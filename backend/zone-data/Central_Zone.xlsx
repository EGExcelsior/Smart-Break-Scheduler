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egurling\Downloads\break-scheduler\backend\zone-data\"/>
    </mc:Choice>
  </mc:AlternateContent>
  <xr:revisionPtr revIDLastSave="0" documentId="13_ncr:1_{E72B5202-7B4C-474F-B07E-130126E96FC8}" xr6:coauthVersionLast="47" xr6:coauthVersionMax="47" xr10:uidLastSave="{00000000-0000-0000-0000-000000000000}"/>
  <bookViews>
    <workbookView xWindow="-28920" yWindow="-120" windowWidth="29040" windowHeight="15720" xr2:uid="{54720ED5-5BDB-4C09-8D62-00C0A59B62F2}"/>
  </bookViews>
  <sheets>
    <sheet name="Scheduling" sheetId="1" r:id="rId1"/>
    <sheet name="Closed Days" sheetId="2" r:id="rId2"/>
  </sheets>
  <externalReferences>
    <externalReference r:id="rId3"/>
    <externalReference r:id="rId4"/>
  </externalReferences>
  <definedNames>
    <definedName name="Day_Codes">'[1]Master File'!$E$5:$I$30</definedName>
    <definedName name="Units">'[2]Control Sheet'!$C$5:$F$64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S6" i="1" l="1"/>
  <c r="DT6" i="1" s="1"/>
  <c r="DS7" i="1"/>
  <c r="DS8" i="1"/>
  <c r="DS9" i="1"/>
  <c r="DS10" i="1"/>
  <c r="DS11" i="1"/>
  <c r="DS12" i="1"/>
  <c r="DT12" i="1" s="1"/>
  <c r="DS13" i="1"/>
  <c r="DU13" i="1" s="1"/>
  <c r="DS14" i="1"/>
  <c r="DS15" i="1"/>
  <c r="DU15" i="1" s="1"/>
  <c r="DS16" i="1"/>
  <c r="DS17" i="1"/>
  <c r="DS18" i="1"/>
  <c r="DS19" i="1"/>
  <c r="DS20" i="1"/>
  <c r="DS21" i="1"/>
  <c r="DS22" i="1"/>
  <c r="DS23" i="1"/>
  <c r="DS24" i="1"/>
  <c r="DT24" i="1" s="1"/>
  <c r="DS25" i="1"/>
  <c r="DT25" i="1" s="1"/>
  <c r="DS26" i="1"/>
  <c r="DS27" i="1"/>
  <c r="DU27" i="1" s="1"/>
  <c r="DS28" i="1"/>
  <c r="DS29" i="1"/>
  <c r="DS30" i="1"/>
  <c r="DS31" i="1"/>
  <c r="DS32" i="1"/>
  <c r="DS33" i="1"/>
  <c r="DS34" i="1"/>
  <c r="DS35" i="1"/>
  <c r="DS36" i="1"/>
  <c r="DS37" i="1"/>
  <c r="DT37" i="1" s="1"/>
  <c r="DS38" i="1"/>
  <c r="DS39" i="1"/>
  <c r="DU39" i="1" s="1"/>
  <c r="DS40" i="1"/>
  <c r="DS41" i="1"/>
  <c r="DS42" i="1"/>
  <c r="DS43" i="1"/>
  <c r="DU43" i="1" s="1"/>
  <c r="DS44" i="1"/>
  <c r="DS45" i="1"/>
  <c r="DS46" i="1"/>
  <c r="DS47" i="1"/>
  <c r="DS48" i="1"/>
  <c r="DT48" i="1" s="1"/>
  <c r="DS49" i="1"/>
  <c r="DT49" i="1" s="1"/>
  <c r="DS50" i="1"/>
  <c r="DS51" i="1"/>
  <c r="DS52" i="1"/>
  <c r="DS53" i="1"/>
  <c r="DS54" i="1"/>
  <c r="DS55" i="1"/>
  <c r="DU55" i="1" s="1"/>
  <c r="DS56" i="1"/>
  <c r="DS57" i="1"/>
  <c r="DS58" i="1"/>
  <c r="DS59" i="1"/>
  <c r="DS60" i="1"/>
  <c r="DT60" i="1" s="1"/>
  <c r="DS61" i="1"/>
  <c r="DU61" i="1" s="1"/>
  <c r="DS62" i="1"/>
  <c r="DS63" i="1"/>
  <c r="DS64" i="1"/>
  <c r="DS65" i="1"/>
  <c r="DS66" i="1"/>
  <c r="DS67" i="1"/>
  <c r="DS68" i="1"/>
  <c r="DS69" i="1"/>
  <c r="DS70" i="1"/>
  <c r="DS71" i="1"/>
  <c r="DS72" i="1"/>
  <c r="DU72" i="1" s="1"/>
  <c r="DS73" i="1"/>
  <c r="DT73" i="1" s="1"/>
  <c r="DS74" i="1"/>
  <c r="DS75" i="1"/>
  <c r="DS76" i="1"/>
  <c r="DS77" i="1"/>
  <c r="DS78" i="1"/>
  <c r="DS79" i="1"/>
  <c r="DS80" i="1"/>
  <c r="DS81" i="1"/>
  <c r="DS82" i="1"/>
  <c r="DS83" i="1"/>
  <c r="DS84" i="1"/>
  <c r="DS85" i="1"/>
  <c r="DU85" i="1" s="1"/>
  <c r="DS86" i="1"/>
  <c r="DS87" i="1"/>
  <c r="DS88" i="1"/>
  <c r="DS89" i="1"/>
  <c r="DS90" i="1"/>
  <c r="DS91" i="1"/>
  <c r="DS92" i="1"/>
  <c r="DS93" i="1"/>
  <c r="DS94" i="1"/>
  <c r="DS95" i="1"/>
  <c r="DS96" i="1"/>
  <c r="DS97" i="1"/>
  <c r="DT97" i="1" s="1"/>
  <c r="DS98" i="1"/>
  <c r="DS99" i="1"/>
  <c r="DS100" i="1"/>
  <c r="DS101" i="1"/>
  <c r="DS102" i="1"/>
  <c r="DS103" i="1"/>
  <c r="DS104" i="1"/>
  <c r="DS105" i="1"/>
  <c r="DT105" i="1" s="1"/>
  <c r="DS106" i="1"/>
  <c r="DS107" i="1"/>
  <c r="DU107" i="1" s="1"/>
  <c r="DS108" i="1"/>
  <c r="DS109" i="1"/>
  <c r="DS110" i="1"/>
  <c r="DS111" i="1"/>
  <c r="DS112" i="1"/>
  <c r="DS113" i="1"/>
  <c r="DS114" i="1"/>
  <c r="DS115" i="1"/>
  <c r="DS116" i="1"/>
  <c r="DS117" i="1"/>
  <c r="DS118" i="1"/>
  <c r="DS119" i="1"/>
  <c r="DS120" i="1"/>
  <c r="DS121" i="1"/>
  <c r="DU121" i="1" s="1"/>
  <c r="DS122" i="1"/>
  <c r="DS123" i="1"/>
  <c r="DS124" i="1"/>
  <c r="DS125" i="1"/>
  <c r="DS126" i="1"/>
  <c r="DS127" i="1"/>
  <c r="DS128" i="1"/>
  <c r="DT128" i="1" s="1"/>
  <c r="DS129" i="1"/>
  <c r="DS130" i="1"/>
  <c r="DS131" i="1"/>
  <c r="DS132" i="1"/>
  <c r="DT132" i="1" s="1"/>
  <c r="DS133" i="1"/>
  <c r="DT133" i="1" s="1"/>
  <c r="DS134" i="1"/>
  <c r="DJ6" i="1"/>
  <c r="DK6" i="1" s="1"/>
  <c r="DJ7" i="1"/>
  <c r="DL7" i="1" s="1"/>
  <c r="DJ8" i="1"/>
  <c r="DJ9" i="1"/>
  <c r="DJ10" i="1"/>
  <c r="DJ11" i="1"/>
  <c r="DJ12" i="1"/>
  <c r="DJ13" i="1"/>
  <c r="DJ14" i="1"/>
  <c r="DK14" i="1" s="1"/>
  <c r="DJ15" i="1"/>
  <c r="DJ16" i="1"/>
  <c r="DJ17" i="1"/>
  <c r="DJ18" i="1"/>
  <c r="DK18" i="1" s="1"/>
  <c r="DJ19" i="1"/>
  <c r="DK19" i="1" s="1"/>
  <c r="DJ20" i="1"/>
  <c r="DJ21" i="1"/>
  <c r="DJ22" i="1"/>
  <c r="DJ23" i="1"/>
  <c r="DJ24" i="1"/>
  <c r="DL24" i="1" s="1"/>
  <c r="DJ25" i="1"/>
  <c r="DJ26" i="1"/>
  <c r="DK26" i="1" s="1"/>
  <c r="DJ27" i="1"/>
  <c r="DL27" i="1" s="1"/>
  <c r="DJ28" i="1"/>
  <c r="DJ29" i="1"/>
  <c r="DJ30" i="1"/>
  <c r="DK30" i="1" s="1"/>
  <c r="DJ31" i="1"/>
  <c r="DL31" i="1" s="1"/>
  <c r="DJ32" i="1"/>
  <c r="DJ33" i="1"/>
  <c r="DJ34" i="1"/>
  <c r="DJ35" i="1"/>
  <c r="DJ36" i="1"/>
  <c r="DJ37" i="1"/>
  <c r="DJ38" i="1"/>
  <c r="DJ39" i="1"/>
  <c r="DJ40" i="1"/>
  <c r="DJ41" i="1"/>
  <c r="DJ42" i="1"/>
  <c r="DK42" i="1" s="1"/>
  <c r="DJ43" i="1"/>
  <c r="DK43" i="1" s="1"/>
  <c r="DJ44" i="1"/>
  <c r="DJ45" i="1"/>
  <c r="DJ46" i="1"/>
  <c r="DJ47" i="1"/>
  <c r="DK47" i="1" s="1"/>
  <c r="DJ48" i="1"/>
  <c r="DL48" i="1" s="1"/>
  <c r="DJ49" i="1"/>
  <c r="DJ50" i="1"/>
  <c r="DJ51" i="1"/>
  <c r="DK51" i="1" s="1"/>
  <c r="DJ52" i="1"/>
  <c r="DJ53" i="1"/>
  <c r="DJ54" i="1"/>
  <c r="DJ55" i="1"/>
  <c r="DL55" i="1" s="1"/>
  <c r="DJ56" i="1"/>
  <c r="DJ57" i="1"/>
  <c r="DJ58" i="1"/>
  <c r="DJ59" i="1"/>
  <c r="DJ60" i="1"/>
  <c r="DJ61" i="1"/>
  <c r="DJ62" i="1"/>
  <c r="DJ63" i="1"/>
  <c r="DJ64" i="1"/>
  <c r="DJ65" i="1"/>
  <c r="DJ66" i="1"/>
  <c r="DK66" i="1" s="1"/>
  <c r="DJ67" i="1"/>
  <c r="DK67" i="1" s="1"/>
  <c r="DJ68" i="1"/>
  <c r="DJ69" i="1"/>
  <c r="DJ70" i="1"/>
  <c r="DJ71" i="1"/>
  <c r="DJ72" i="1"/>
  <c r="DL72" i="1" s="1"/>
  <c r="DJ73" i="1"/>
  <c r="DJ74" i="1"/>
  <c r="DL74" i="1" s="1"/>
  <c r="DJ75" i="1"/>
  <c r="DJ76" i="1"/>
  <c r="DJ77" i="1"/>
  <c r="DJ78" i="1"/>
  <c r="DK78" i="1" s="1"/>
  <c r="DJ79" i="1"/>
  <c r="DL79" i="1" s="1"/>
  <c r="DJ80" i="1"/>
  <c r="DJ81" i="1"/>
  <c r="DJ82" i="1"/>
  <c r="DJ83" i="1"/>
  <c r="DJ84" i="1"/>
  <c r="DJ85" i="1"/>
  <c r="DJ86" i="1"/>
  <c r="DJ87" i="1"/>
  <c r="DJ88" i="1"/>
  <c r="DJ89" i="1"/>
  <c r="DJ90" i="1"/>
  <c r="DK90" i="1" s="1"/>
  <c r="DJ91" i="1"/>
  <c r="DK91" i="1" s="1"/>
  <c r="DJ92" i="1"/>
  <c r="DK92" i="1" s="1"/>
  <c r="DJ93" i="1"/>
  <c r="DJ94" i="1"/>
  <c r="DJ95" i="1"/>
  <c r="DJ96" i="1"/>
  <c r="DL96" i="1" s="1"/>
  <c r="DJ97" i="1"/>
  <c r="DJ98" i="1"/>
  <c r="DJ99" i="1"/>
  <c r="DJ100" i="1"/>
  <c r="DJ101" i="1"/>
  <c r="DJ102" i="1"/>
  <c r="DK102" i="1" s="1"/>
  <c r="DJ103" i="1"/>
  <c r="DL103" i="1" s="1"/>
  <c r="DJ104" i="1"/>
  <c r="DK104" i="1" s="1"/>
  <c r="DJ105" i="1"/>
  <c r="DJ106" i="1"/>
  <c r="DJ107" i="1"/>
  <c r="DJ108" i="1"/>
  <c r="DJ109" i="1"/>
  <c r="DJ110" i="1"/>
  <c r="DK110" i="1" s="1"/>
  <c r="DJ111" i="1"/>
  <c r="DJ112" i="1"/>
  <c r="DJ113" i="1"/>
  <c r="DJ114" i="1"/>
  <c r="DK114" i="1" s="1"/>
  <c r="DJ115" i="1"/>
  <c r="DL115" i="1" s="1"/>
  <c r="DJ116" i="1"/>
  <c r="DK116" i="1" s="1"/>
  <c r="DJ117" i="1"/>
  <c r="DJ118" i="1"/>
  <c r="DJ119" i="1"/>
  <c r="DJ120" i="1"/>
  <c r="DL120" i="1" s="1"/>
  <c r="DJ121" i="1"/>
  <c r="DJ122" i="1"/>
  <c r="DL122" i="1" s="1"/>
  <c r="DJ123" i="1"/>
  <c r="DJ124" i="1"/>
  <c r="DJ125" i="1"/>
  <c r="DJ126" i="1"/>
  <c r="DK126" i="1" s="1"/>
  <c r="DJ127" i="1"/>
  <c r="DL127" i="1" s="1"/>
  <c r="DJ128" i="1"/>
  <c r="DK128" i="1" s="1"/>
  <c r="DJ129" i="1"/>
  <c r="DJ130" i="1"/>
  <c r="DJ131" i="1"/>
  <c r="DJ132" i="1"/>
  <c r="DJ133" i="1"/>
  <c r="DJ134" i="1"/>
  <c r="DK134" i="1" s="1"/>
  <c r="DA6" i="1"/>
  <c r="DA7" i="1"/>
  <c r="DB7" i="1" s="1"/>
  <c r="DA8" i="1"/>
  <c r="DA9" i="1"/>
  <c r="DA10" i="1"/>
  <c r="DA11" i="1"/>
  <c r="DA12" i="1"/>
  <c r="DA13" i="1"/>
  <c r="DA14" i="1"/>
  <c r="DB14" i="1" s="1"/>
  <c r="DA15" i="1"/>
  <c r="DA16" i="1"/>
  <c r="DA17" i="1"/>
  <c r="DA18" i="1"/>
  <c r="DB18" i="1" s="1"/>
  <c r="DA19" i="1"/>
  <c r="DB19" i="1" s="1"/>
  <c r="DA20" i="1"/>
  <c r="DA21" i="1"/>
  <c r="DA22" i="1"/>
  <c r="DA23" i="1"/>
  <c r="DA24" i="1"/>
  <c r="DA25" i="1"/>
  <c r="DA26" i="1"/>
  <c r="DB26" i="1" s="1"/>
  <c r="DA27" i="1"/>
  <c r="DA28" i="1"/>
  <c r="DA29" i="1"/>
  <c r="DA30" i="1"/>
  <c r="DA31" i="1"/>
  <c r="DB31" i="1" s="1"/>
  <c r="DA32" i="1"/>
  <c r="DA33" i="1"/>
  <c r="DA34" i="1"/>
  <c r="DA35" i="1"/>
  <c r="DA36" i="1"/>
  <c r="DA37" i="1"/>
  <c r="DA38" i="1"/>
  <c r="DB38" i="1" s="1"/>
  <c r="DA39" i="1"/>
  <c r="DA40" i="1"/>
  <c r="DA41" i="1"/>
  <c r="DA42" i="1"/>
  <c r="DB42" i="1" s="1"/>
  <c r="DA43" i="1"/>
  <c r="DB43" i="1" s="1"/>
  <c r="DA44" i="1"/>
  <c r="DA45" i="1"/>
  <c r="DA46" i="1"/>
  <c r="DA47" i="1"/>
  <c r="DA48" i="1"/>
  <c r="DA49" i="1"/>
  <c r="DA50" i="1"/>
  <c r="DB50" i="1" s="1"/>
  <c r="DA51" i="1"/>
  <c r="DA52" i="1"/>
  <c r="DA53" i="1"/>
  <c r="DA54" i="1"/>
  <c r="DA55" i="1"/>
  <c r="DB55" i="1" s="1"/>
  <c r="DA56" i="1"/>
  <c r="DA57" i="1"/>
  <c r="DA58" i="1"/>
  <c r="DA59" i="1"/>
  <c r="DA60" i="1"/>
  <c r="DA61" i="1"/>
  <c r="DA62" i="1"/>
  <c r="DB62" i="1" s="1"/>
  <c r="DA63" i="1"/>
  <c r="DA64" i="1"/>
  <c r="DA65" i="1"/>
  <c r="DA66" i="1"/>
  <c r="DB66" i="1" s="1"/>
  <c r="DA67" i="1"/>
  <c r="DB67" i="1" s="1"/>
  <c r="DA68" i="1"/>
  <c r="DA69" i="1"/>
  <c r="DA70" i="1"/>
  <c r="DB70" i="1" s="1"/>
  <c r="DA71" i="1"/>
  <c r="DA72" i="1"/>
  <c r="DA73" i="1"/>
  <c r="DC73" i="1" s="1"/>
  <c r="DA74" i="1"/>
  <c r="DA75" i="1"/>
  <c r="DA76" i="1"/>
  <c r="DA77" i="1"/>
  <c r="DA78" i="1"/>
  <c r="DA79" i="1"/>
  <c r="DA80" i="1"/>
  <c r="DA81" i="1"/>
  <c r="DB81" i="1" s="1"/>
  <c r="DA82" i="1"/>
  <c r="DA83" i="1"/>
  <c r="DA84" i="1"/>
  <c r="DA85" i="1"/>
  <c r="DA86" i="1"/>
  <c r="DA87" i="1"/>
  <c r="DA88" i="1"/>
  <c r="DA89" i="1"/>
  <c r="DA90" i="1"/>
  <c r="DA91" i="1"/>
  <c r="DC91" i="1" s="1"/>
  <c r="DA92" i="1"/>
  <c r="DB92" i="1" s="1"/>
  <c r="DA93" i="1"/>
  <c r="DA94" i="1"/>
  <c r="DA95" i="1"/>
  <c r="DA96" i="1"/>
  <c r="DA97" i="1"/>
  <c r="DA98" i="1"/>
  <c r="DB98" i="1" s="1"/>
  <c r="DA99" i="1"/>
  <c r="DA100" i="1"/>
  <c r="DA101" i="1"/>
  <c r="DA102" i="1"/>
  <c r="DB102" i="1" s="1"/>
  <c r="DA103" i="1"/>
  <c r="DC103" i="1" s="1"/>
  <c r="DA104" i="1"/>
  <c r="DB104" i="1" s="1"/>
  <c r="DA105" i="1"/>
  <c r="DA106" i="1"/>
  <c r="DA107" i="1"/>
  <c r="DA108" i="1"/>
  <c r="DB108" i="1" s="1"/>
  <c r="DA109" i="1"/>
  <c r="DA110" i="1"/>
  <c r="DA111" i="1"/>
  <c r="DA112" i="1"/>
  <c r="DA113" i="1"/>
  <c r="DA114" i="1"/>
  <c r="DB114" i="1" s="1"/>
  <c r="DA115" i="1"/>
  <c r="DC115" i="1" s="1"/>
  <c r="DA116" i="1"/>
  <c r="DB116" i="1" s="1"/>
  <c r="DA117" i="1"/>
  <c r="DA118" i="1"/>
  <c r="DA119" i="1"/>
  <c r="DA120" i="1"/>
  <c r="DC120" i="1" s="1"/>
  <c r="DA121" i="1"/>
  <c r="DA122" i="1"/>
  <c r="DA123" i="1"/>
  <c r="DA124" i="1"/>
  <c r="DA125" i="1"/>
  <c r="DA126" i="1"/>
  <c r="DC126" i="1" s="1"/>
  <c r="DA127" i="1"/>
  <c r="DA128" i="1"/>
  <c r="DA129" i="1"/>
  <c r="DA130" i="1"/>
  <c r="DA131" i="1"/>
  <c r="DA132" i="1"/>
  <c r="DC132" i="1" s="1"/>
  <c r="DA133" i="1"/>
  <c r="DA134" i="1"/>
  <c r="CR2" i="1"/>
  <c r="CK2" i="1"/>
  <c r="BZ2" i="1"/>
  <c r="BS2" i="1"/>
  <c r="BH2" i="1"/>
  <c r="BA2" i="1"/>
  <c r="ET6" i="1"/>
  <c r="ET7" i="1"/>
  <c r="ET8" i="1"/>
  <c r="EU8" i="1" s="1"/>
  <c r="ET9" i="1"/>
  <c r="ET10" i="1"/>
  <c r="ET11" i="1"/>
  <c r="ET12" i="1"/>
  <c r="EU12" i="1" s="1"/>
  <c r="ET13" i="1"/>
  <c r="EU13" i="1" s="1"/>
  <c r="ET14" i="1"/>
  <c r="ET15" i="1"/>
  <c r="EU15" i="1" s="1"/>
  <c r="ET16" i="1"/>
  <c r="ET17" i="1"/>
  <c r="ET18" i="1"/>
  <c r="ET19" i="1"/>
  <c r="EV19" i="1" s="1"/>
  <c r="ET20" i="1"/>
  <c r="ET21" i="1"/>
  <c r="ET22" i="1"/>
  <c r="ET23" i="1"/>
  <c r="ET24" i="1"/>
  <c r="EU24" i="1" s="1"/>
  <c r="ET25" i="1"/>
  <c r="ET26" i="1"/>
  <c r="ET27" i="1"/>
  <c r="ET28" i="1"/>
  <c r="ET29" i="1"/>
  <c r="ET30" i="1"/>
  <c r="ET31" i="1"/>
  <c r="EU31" i="1" s="1"/>
  <c r="ET32" i="1"/>
  <c r="ET33" i="1"/>
  <c r="ET34" i="1"/>
  <c r="ET35" i="1"/>
  <c r="ET36" i="1"/>
  <c r="ET37" i="1"/>
  <c r="ET38" i="1"/>
  <c r="ET39" i="1"/>
  <c r="ET40" i="1"/>
  <c r="ET41" i="1"/>
  <c r="ET42" i="1"/>
  <c r="ET43" i="1"/>
  <c r="ET44" i="1"/>
  <c r="ET45" i="1"/>
  <c r="ET46" i="1"/>
  <c r="ET47" i="1"/>
  <c r="ET48" i="1"/>
  <c r="EU48" i="1" s="1"/>
  <c r="ET49" i="1"/>
  <c r="ET50" i="1"/>
  <c r="ET51" i="1"/>
  <c r="ET52" i="1"/>
  <c r="ET53" i="1"/>
  <c r="ET54" i="1"/>
  <c r="ET55" i="1"/>
  <c r="EV55" i="1" s="1"/>
  <c r="ET56" i="1"/>
  <c r="ET57" i="1"/>
  <c r="ET58" i="1"/>
  <c r="ET59" i="1"/>
  <c r="ET60" i="1"/>
  <c r="EU60" i="1" s="1"/>
  <c r="ET61" i="1"/>
  <c r="EV61" i="1" s="1"/>
  <c r="ET62" i="1"/>
  <c r="ET63" i="1"/>
  <c r="ET64" i="1"/>
  <c r="ET65" i="1"/>
  <c r="ET66" i="1"/>
  <c r="ET67" i="1"/>
  <c r="EU67" i="1" s="1"/>
  <c r="ET68" i="1"/>
  <c r="ET69" i="1"/>
  <c r="ET70" i="1"/>
  <c r="ET71" i="1"/>
  <c r="ET72" i="1"/>
  <c r="EV72" i="1" s="1"/>
  <c r="ET73" i="1"/>
  <c r="ET74" i="1"/>
  <c r="ET75" i="1"/>
  <c r="ET76" i="1"/>
  <c r="ET77" i="1"/>
  <c r="ET78" i="1"/>
  <c r="ET79" i="1"/>
  <c r="ET80" i="1"/>
  <c r="ET81" i="1"/>
  <c r="ET82" i="1"/>
  <c r="ET83" i="1"/>
  <c r="ET84" i="1"/>
  <c r="EU84" i="1" s="1"/>
  <c r="ET85" i="1"/>
  <c r="EU85" i="1" s="1"/>
  <c r="ET86" i="1"/>
  <c r="ET87" i="1"/>
  <c r="ET88" i="1"/>
  <c r="ET89" i="1"/>
  <c r="ET90" i="1"/>
  <c r="ET91" i="1"/>
  <c r="EU91" i="1" s="1"/>
  <c r="ET92" i="1"/>
  <c r="ET93" i="1"/>
  <c r="ET94" i="1"/>
  <c r="ET95" i="1"/>
  <c r="ET96" i="1"/>
  <c r="EU96" i="1" s="1"/>
  <c r="ET97" i="1"/>
  <c r="ET98" i="1"/>
  <c r="ET99" i="1"/>
  <c r="ET100" i="1"/>
  <c r="ET101" i="1"/>
  <c r="ET102" i="1"/>
  <c r="ET103" i="1"/>
  <c r="EU103" i="1" s="1"/>
  <c r="ET104" i="1"/>
  <c r="ET105" i="1"/>
  <c r="ET106" i="1"/>
  <c r="ET107" i="1"/>
  <c r="ET108" i="1"/>
  <c r="EU108" i="1" s="1"/>
  <c r="ET109" i="1"/>
  <c r="EV109" i="1" s="1"/>
  <c r="ET110" i="1"/>
  <c r="ET111" i="1"/>
  <c r="ET112" i="1"/>
  <c r="ET113" i="1"/>
  <c r="ET114" i="1"/>
  <c r="ET115" i="1"/>
  <c r="ET116" i="1"/>
  <c r="ET117" i="1"/>
  <c r="ET118" i="1"/>
  <c r="ET119" i="1"/>
  <c r="ET120" i="1"/>
  <c r="ET121" i="1"/>
  <c r="ET122" i="1"/>
  <c r="ET123" i="1"/>
  <c r="ET124" i="1"/>
  <c r="ET125" i="1"/>
  <c r="ET126" i="1"/>
  <c r="ET127" i="1"/>
  <c r="ET128" i="1"/>
  <c r="ET129" i="1"/>
  <c r="ET130" i="1"/>
  <c r="ET131" i="1"/>
  <c r="ET132" i="1"/>
  <c r="EU132" i="1" s="1"/>
  <c r="ET133" i="1"/>
  <c r="ET134" i="1"/>
  <c r="EK6" i="1"/>
  <c r="EM6" i="1" s="1"/>
  <c r="EK7" i="1"/>
  <c r="EL7" i="1" s="1"/>
  <c r="EK8" i="1"/>
  <c r="EK9" i="1"/>
  <c r="EK10" i="1"/>
  <c r="EK11" i="1"/>
  <c r="EK12" i="1"/>
  <c r="EK13" i="1"/>
  <c r="EK14" i="1"/>
  <c r="EK15" i="1"/>
  <c r="EK16" i="1"/>
  <c r="EK17" i="1"/>
  <c r="EK18" i="1"/>
  <c r="EM18" i="1" s="1"/>
  <c r="EK19" i="1"/>
  <c r="EL19" i="1" s="1"/>
  <c r="EK20" i="1"/>
  <c r="EK21" i="1"/>
  <c r="EK22" i="1"/>
  <c r="EK23" i="1"/>
  <c r="EK24" i="1"/>
  <c r="EL24" i="1" s="1"/>
  <c r="EK25" i="1"/>
  <c r="EK26" i="1"/>
  <c r="EK27" i="1"/>
  <c r="EK28" i="1"/>
  <c r="EK29" i="1"/>
  <c r="EK30" i="1"/>
  <c r="EK31" i="1"/>
  <c r="EL31" i="1" s="1"/>
  <c r="EK32" i="1"/>
  <c r="EK33" i="1"/>
  <c r="EK34" i="1"/>
  <c r="EK35" i="1"/>
  <c r="EK36" i="1"/>
  <c r="EL36" i="1" s="1"/>
  <c r="EK37" i="1"/>
  <c r="EK38" i="1"/>
  <c r="EK39" i="1"/>
  <c r="EK40" i="1"/>
  <c r="EK41" i="1"/>
  <c r="EK42" i="1"/>
  <c r="EL42" i="1" s="1"/>
  <c r="EK43" i="1"/>
  <c r="EK44" i="1"/>
  <c r="EK45" i="1"/>
  <c r="EK46" i="1"/>
  <c r="EK47" i="1"/>
  <c r="EK48" i="1"/>
  <c r="EK49" i="1"/>
  <c r="EK50" i="1"/>
  <c r="EK51" i="1"/>
  <c r="EK52" i="1"/>
  <c r="EK53" i="1"/>
  <c r="EK54" i="1"/>
  <c r="EL54" i="1" s="1"/>
  <c r="EK55" i="1"/>
  <c r="EL55" i="1" s="1"/>
  <c r="EK56" i="1"/>
  <c r="EK57" i="1"/>
  <c r="EK58" i="1"/>
  <c r="EK59" i="1"/>
  <c r="EK60" i="1"/>
  <c r="EL60" i="1" s="1"/>
  <c r="EK61" i="1"/>
  <c r="EK62" i="1"/>
  <c r="EK63" i="1"/>
  <c r="EK64" i="1"/>
  <c r="EK65" i="1"/>
  <c r="EK66" i="1"/>
  <c r="EK67" i="1"/>
  <c r="EM67" i="1" s="1"/>
  <c r="EK68" i="1"/>
  <c r="EK69" i="1"/>
  <c r="EK70" i="1"/>
  <c r="EK71" i="1"/>
  <c r="EK72" i="1"/>
  <c r="EM72" i="1" s="1"/>
  <c r="EK73" i="1"/>
  <c r="EK74" i="1"/>
  <c r="EK75" i="1"/>
  <c r="EK76" i="1"/>
  <c r="EK77" i="1"/>
  <c r="EK78" i="1"/>
  <c r="EK79" i="1"/>
  <c r="EL79" i="1" s="1"/>
  <c r="EK80" i="1"/>
  <c r="EK81" i="1"/>
  <c r="EK82" i="1"/>
  <c r="EK83" i="1"/>
  <c r="EK84" i="1"/>
  <c r="EL84" i="1" s="1"/>
  <c r="EK85" i="1"/>
  <c r="EK86" i="1"/>
  <c r="EK87" i="1"/>
  <c r="EL87" i="1" s="1"/>
  <c r="EK88" i="1"/>
  <c r="EK89" i="1"/>
  <c r="EK90" i="1"/>
  <c r="EM90" i="1" s="1"/>
  <c r="EK91" i="1"/>
  <c r="EL91" i="1" s="1"/>
  <c r="EK92" i="1"/>
  <c r="EL92" i="1" s="1"/>
  <c r="EK93" i="1"/>
  <c r="EK94" i="1"/>
  <c r="EK95" i="1"/>
  <c r="EK96" i="1"/>
  <c r="EM96" i="1" s="1"/>
  <c r="EK97" i="1"/>
  <c r="EK98" i="1"/>
  <c r="EL98" i="1" s="1"/>
  <c r="EK99" i="1"/>
  <c r="EK100" i="1"/>
  <c r="EK101" i="1"/>
  <c r="EK102" i="1"/>
  <c r="EK103" i="1"/>
  <c r="EL103" i="1" s="1"/>
  <c r="EK104" i="1"/>
  <c r="EK105" i="1"/>
  <c r="EK106" i="1"/>
  <c r="EK107" i="1"/>
  <c r="EL107" i="1" s="1"/>
  <c r="EK108" i="1"/>
  <c r="EK109" i="1"/>
  <c r="EK110" i="1"/>
  <c r="EM110" i="1" s="1"/>
  <c r="EK111" i="1"/>
  <c r="EK112" i="1"/>
  <c r="EK113" i="1"/>
  <c r="EK114" i="1"/>
  <c r="EL114" i="1" s="1"/>
  <c r="EK115" i="1"/>
  <c r="EL115" i="1" s="1"/>
  <c r="EK116" i="1"/>
  <c r="EK117" i="1"/>
  <c r="EK118" i="1"/>
  <c r="EK119" i="1"/>
  <c r="EK120" i="1"/>
  <c r="EL120" i="1" s="1"/>
  <c r="EK121" i="1"/>
  <c r="EK122" i="1"/>
  <c r="EK123" i="1"/>
  <c r="EK124" i="1"/>
  <c r="EK125" i="1"/>
  <c r="EK126" i="1"/>
  <c r="EK127" i="1"/>
  <c r="EL127" i="1" s="1"/>
  <c r="EK128" i="1"/>
  <c r="EK129" i="1"/>
  <c r="EK130" i="1"/>
  <c r="EK131" i="1"/>
  <c r="EK132" i="1"/>
  <c r="EM132" i="1" s="1"/>
  <c r="EK133" i="1"/>
  <c r="EK134" i="1"/>
  <c r="EB6" i="1"/>
  <c r="EB7" i="1"/>
  <c r="EB8" i="1"/>
  <c r="EB9" i="1"/>
  <c r="EB10" i="1"/>
  <c r="EB11" i="1"/>
  <c r="EB12" i="1"/>
  <c r="EB13" i="1"/>
  <c r="EB14" i="1"/>
  <c r="EB15" i="1"/>
  <c r="EB16" i="1"/>
  <c r="EB17" i="1"/>
  <c r="EB18" i="1"/>
  <c r="ED18" i="1" s="1"/>
  <c r="EB19" i="1"/>
  <c r="EC19" i="1" s="1"/>
  <c r="EB20" i="1"/>
  <c r="EB21" i="1"/>
  <c r="EB22" i="1"/>
  <c r="EB23" i="1"/>
  <c r="EB24" i="1"/>
  <c r="EB25" i="1"/>
  <c r="EB26" i="1"/>
  <c r="EB27" i="1"/>
  <c r="EB28" i="1"/>
  <c r="EB29" i="1"/>
  <c r="EB30" i="1"/>
  <c r="EB31" i="1"/>
  <c r="EB32" i="1"/>
  <c r="EB33" i="1"/>
  <c r="EB34" i="1"/>
  <c r="EB35" i="1"/>
  <c r="EB36" i="1"/>
  <c r="EB37" i="1"/>
  <c r="EC37" i="1" s="1"/>
  <c r="EB38" i="1"/>
  <c r="EB39" i="1"/>
  <c r="EB40" i="1"/>
  <c r="EB41" i="1"/>
  <c r="EB42" i="1"/>
  <c r="ED42" i="1" s="1"/>
  <c r="EB43" i="1"/>
  <c r="EB44" i="1"/>
  <c r="EB45" i="1"/>
  <c r="EB46" i="1"/>
  <c r="EB47" i="1"/>
  <c r="EB48" i="1"/>
  <c r="EB49" i="1"/>
  <c r="EC49" i="1" s="1"/>
  <c r="EB50" i="1"/>
  <c r="EB51" i="1"/>
  <c r="EB52" i="1"/>
  <c r="EB53" i="1"/>
  <c r="EB54" i="1"/>
  <c r="EB55" i="1"/>
  <c r="EB56" i="1"/>
  <c r="EB57" i="1"/>
  <c r="EB58" i="1"/>
  <c r="EB59" i="1"/>
  <c r="EB60" i="1"/>
  <c r="EB61" i="1"/>
  <c r="EB62" i="1"/>
  <c r="EB63" i="1"/>
  <c r="EB64" i="1"/>
  <c r="EB65" i="1"/>
  <c r="EB66" i="1"/>
  <c r="EC66" i="1" s="1"/>
  <c r="EB67" i="1"/>
  <c r="ED67" i="1" s="1"/>
  <c r="EB68" i="1"/>
  <c r="EB69" i="1"/>
  <c r="EB70" i="1"/>
  <c r="EB71" i="1"/>
  <c r="EB72" i="1"/>
  <c r="EB73" i="1"/>
  <c r="EC73" i="1" s="1"/>
  <c r="EB74" i="1"/>
  <c r="EB75" i="1"/>
  <c r="EB76" i="1"/>
  <c r="EB77" i="1"/>
  <c r="EB78" i="1"/>
  <c r="EC78" i="1" s="1"/>
  <c r="EB79" i="1"/>
  <c r="EB80" i="1"/>
  <c r="EB81" i="1"/>
  <c r="EB82" i="1"/>
  <c r="EB83" i="1"/>
  <c r="EB84" i="1"/>
  <c r="EB85" i="1"/>
  <c r="EC85" i="1" s="1"/>
  <c r="EB86" i="1"/>
  <c r="EB87" i="1"/>
  <c r="EB88" i="1"/>
  <c r="EB89" i="1"/>
  <c r="EB90" i="1"/>
  <c r="EC90" i="1" s="1"/>
  <c r="EB91" i="1"/>
  <c r="EC91" i="1" s="1"/>
  <c r="EB92" i="1"/>
  <c r="EB93" i="1"/>
  <c r="EB94" i="1"/>
  <c r="EB95" i="1"/>
  <c r="EB96" i="1"/>
  <c r="EB97" i="1"/>
  <c r="EC97" i="1" s="1"/>
  <c r="EB98" i="1"/>
  <c r="EC98" i="1" s="1"/>
  <c r="EB99" i="1"/>
  <c r="EB100" i="1"/>
  <c r="EB101" i="1"/>
  <c r="EB102" i="1"/>
  <c r="EB103" i="1"/>
  <c r="EB104" i="1"/>
  <c r="EB105" i="1"/>
  <c r="EB106" i="1"/>
  <c r="EB107" i="1"/>
  <c r="EB108" i="1"/>
  <c r="ED108" i="1" s="1"/>
  <c r="EB109" i="1"/>
  <c r="EB110" i="1"/>
  <c r="EC110" i="1" s="1"/>
  <c r="EB111" i="1"/>
  <c r="EB112" i="1"/>
  <c r="EB113" i="1"/>
  <c r="EB114" i="1"/>
  <c r="EC114" i="1" s="1"/>
  <c r="EB115" i="1"/>
  <c r="EB116" i="1"/>
  <c r="EB117" i="1"/>
  <c r="EB118" i="1"/>
  <c r="EB119" i="1"/>
  <c r="EB120" i="1"/>
  <c r="EB121" i="1"/>
  <c r="EC121" i="1" s="1"/>
  <c r="EB122" i="1"/>
  <c r="EC122" i="1" s="1"/>
  <c r="EB123" i="1"/>
  <c r="EB124" i="1"/>
  <c r="EB125" i="1"/>
  <c r="EB126" i="1"/>
  <c r="EB127" i="1"/>
  <c r="EC127" i="1" s="1"/>
  <c r="EB128" i="1"/>
  <c r="EB129" i="1"/>
  <c r="EB130" i="1"/>
  <c r="EB131" i="1"/>
  <c r="EB132" i="1"/>
  <c r="ED132" i="1" s="1"/>
  <c r="EB133" i="1"/>
  <c r="EB134" i="1"/>
  <c r="EC134" i="1" s="1"/>
  <c r="DP2" i="1"/>
  <c r="DF2" i="1"/>
  <c r="CQ2" i="1"/>
  <c r="CE2" i="1"/>
  <c r="BN2" i="1"/>
  <c r="BB2" i="1"/>
  <c r="FU6" i="1"/>
  <c r="FV6" i="1" s="1"/>
  <c r="FU7" i="1"/>
  <c r="FV7" i="1" s="1"/>
  <c r="FU8" i="1"/>
  <c r="FU9" i="1"/>
  <c r="FU10" i="1"/>
  <c r="FU11" i="1"/>
  <c r="FU12" i="1"/>
  <c r="FW12" i="1" s="1"/>
  <c r="FU13" i="1"/>
  <c r="FV13" i="1" s="1"/>
  <c r="FU14" i="1"/>
  <c r="FV14" i="1" s="1"/>
  <c r="FU15" i="1"/>
  <c r="FU16" i="1"/>
  <c r="FU17" i="1"/>
  <c r="FU18" i="1"/>
  <c r="FV18" i="1" s="1"/>
  <c r="FU19" i="1"/>
  <c r="FU20" i="1"/>
  <c r="FU21" i="1"/>
  <c r="FU22" i="1"/>
  <c r="FU23" i="1"/>
  <c r="FU24" i="1"/>
  <c r="FW24" i="1" s="1"/>
  <c r="FU25" i="1"/>
  <c r="FU26" i="1"/>
  <c r="FV26" i="1" s="1"/>
  <c r="FU27" i="1"/>
  <c r="FU28" i="1"/>
  <c r="FU29" i="1"/>
  <c r="FU30" i="1"/>
  <c r="FV30" i="1" s="1"/>
  <c r="FU31" i="1"/>
  <c r="FU32" i="1"/>
  <c r="FU33" i="1"/>
  <c r="FU34" i="1"/>
  <c r="FU35" i="1"/>
  <c r="FU36" i="1"/>
  <c r="FW36" i="1" s="1"/>
  <c r="FU37" i="1"/>
  <c r="FW37" i="1" s="1"/>
  <c r="FU38" i="1"/>
  <c r="FV38" i="1" s="1"/>
  <c r="FU39" i="1"/>
  <c r="FU40" i="1"/>
  <c r="FU41" i="1"/>
  <c r="FU42" i="1"/>
  <c r="FV42" i="1" s="1"/>
  <c r="FU43" i="1"/>
  <c r="FU44" i="1"/>
  <c r="FU45" i="1"/>
  <c r="FU46" i="1"/>
  <c r="FU47" i="1"/>
  <c r="FU48" i="1"/>
  <c r="FU49" i="1"/>
  <c r="FW49" i="1" s="1"/>
  <c r="FU50" i="1"/>
  <c r="FV50" i="1" s="1"/>
  <c r="FU51" i="1"/>
  <c r="FU52" i="1"/>
  <c r="FU53" i="1"/>
  <c r="FU54" i="1"/>
  <c r="FV54" i="1" s="1"/>
  <c r="FU55" i="1"/>
  <c r="FV55" i="1" s="1"/>
  <c r="FU56" i="1"/>
  <c r="FU57" i="1"/>
  <c r="FU58" i="1"/>
  <c r="FU59" i="1"/>
  <c r="FU60" i="1"/>
  <c r="FU61" i="1"/>
  <c r="FU62" i="1"/>
  <c r="FV62" i="1" s="1"/>
  <c r="FU63" i="1"/>
  <c r="FU64" i="1"/>
  <c r="FU65" i="1"/>
  <c r="FU66" i="1"/>
  <c r="FV66" i="1" s="1"/>
  <c r="FU67" i="1"/>
  <c r="FU68" i="1"/>
  <c r="FU69" i="1"/>
  <c r="FU70" i="1"/>
  <c r="FU71" i="1"/>
  <c r="FU72" i="1"/>
  <c r="FW72" i="1" s="1"/>
  <c r="FU73" i="1"/>
  <c r="FU74" i="1"/>
  <c r="FV74" i="1" s="1"/>
  <c r="FU75" i="1"/>
  <c r="FU76" i="1"/>
  <c r="FU77" i="1"/>
  <c r="FU78" i="1"/>
  <c r="FV78" i="1" s="1"/>
  <c r="FU79" i="1"/>
  <c r="FV79" i="1" s="1"/>
  <c r="FU80" i="1"/>
  <c r="FU81" i="1"/>
  <c r="FU82" i="1"/>
  <c r="FU83" i="1"/>
  <c r="FU84" i="1"/>
  <c r="FW84" i="1" s="1"/>
  <c r="FU85" i="1"/>
  <c r="FW85" i="1" s="1"/>
  <c r="FU86" i="1"/>
  <c r="FU87" i="1"/>
  <c r="FU88" i="1"/>
  <c r="FU89" i="1"/>
  <c r="FU90" i="1"/>
  <c r="FU91" i="1"/>
  <c r="FU92" i="1"/>
  <c r="FU93" i="1"/>
  <c r="FU94" i="1"/>
  <c r="FU95" i="1"/>
  <c r="FU96" i="1"/>
  <c r="FU97" i="1"/>
  <c r="FU98" i="1"/>
  <c r="FU99" i="1"/>
  <c r="FU100" i="1"/>
  <c r="FU101" i="1"/>
  <c r="FU102" i="1"/>
  <c r="FV102" i="1" s="1"/>
  <c r="FU103" i="1"/>
  <c r="FU104" i="1"/>
  <c r="FU105" i="1"/>
  <c r="FU106" i="1"/>
  <c r="FU107" i="1"/>
  <c r="FU108" i="1"/>
  <c r="FW108" i="1" s="1"/>
  <c r="FU109" i="1"/>
  <c r="FW109" i="1" s="1"/>
  <c r="FU110" i="1"/>
  <c r="FU111" i="1"/>
  <c r="FU112" i="1"/>
  <c r="FU113" i="1"/>
  <c r="FU114" i="1"/>
  <c r="FU115" i="1"/>
  <c r="FU116" i="1"/>
  <c r="FU117" i="1"/>
  <c r="FU118" i="1"/>
  <c r="FU119" i="1"/>
  <c r="FU120" i="1"/>
  <c r="FV120" i="1" s="1"/>
  <c r="FU121" i="1"/>
  <c r="FV121" i="1" s="1"/>
  <c r="FU122" i="1"/>
  <c r="FV122" i="1" s="1"/>
  <c r="FU123" i="1"/>
  <c r="FU124" i="1"/>
  <c r="FU125" i="1"/>
  <c r="FU126" i="1"/>
  <c r="FV126" i="1" s="1"/>
  <c r="FU127" i="1"/>
  <c r="FV127" i="1" s="1"/>
  <c r="FU128" i="1"/>
  <c r="FU129" i="1"/>
  <c r="FU130" i="1"/>
  <c r="FU131" i="1"/>
  <c r="FU132" i="1"/>
  <c r="FW132" i="1" s="1"/>
  <c r="FU133" i="1"/>
  <c r="FU134" i="1"/>
  <c r="FV134" i="1" s="1"/>
  <c r="FL6" i="1"/>
  <c r="FN6" i="1" s="1"/>
  <c r="FL7" i="1"/>
  <c r="FM7" i="1" s="1"/>
  <c r="FL8" i="1"/>
  <c r="FL9" i="1"/>
  <c r="FL10" i="1"/>
  <c r="FL11" i="1"/>
  <c r="FL12" i="1"/>
  <c r="FL13" i="1"/>
  <c r="FM13" i="1" s="1"/>
  <c r="FL14" i="1"/>
  <c r="FM14" i="1" s="1"/>
  <c r="FL15" i="1"/>
  <c r="FL16" i="1"/>
  <c r="FL17" i="1"/>
  <c r="FL18" i="1"/>
  <c r="FL19" i="1"/>
  <c r="FM19" i="1" s="1"/>
  <c r="FL20" i="1"/>
  <c r="FL21" i="1"/>
  <c r="FL22" i="1"/>
  <c r="FL23" i="1"/>
  <c r="FL24" i="1"/>
  <c r="FM24" i="1" s="1"/>
  <c r="FL25" i="1"/>
  <c r="FL26" i="1"/>
  <c r="FL27" i="1"/>
  <c r="FM27" i="1" s="1"/>
  <c r="FL28" i="1"/>
  <c r="FL29" i="1"/>
  <c r="FL30" i="1"/>
  <c r="FM30" i="1" s="1"/>
  <c r="FL31" i="1"/>
  <c r="FM31" i="1" s="1"/>
  <c r="FL32" i="1"/>
  <c r="FL33" i="1"/>
  <c r="FL34" i="1"/>
  <c r="FL35" i="1"/>
  <c r="FL36" i="1"/>
  <c r="FN36" i="1" s="1"/>
  <c r="FL37" i="1"/>
  <c r="FL38" i="1"/>
  <c r="FL39" i="1"/>
  <c r="FL40" i="1"/>
  <c r="FL41" i="1"/>
  <c r="FL42" i="1"/>
  <c r="FN42" i="1" s="1"/>
  <c r="FL43" i="1"/>
  <c r="FM43" i="1" s="1"/>
  <c r="FL44" i="1"/>
  <c r="FL45" i="1"/>
  <c r="FL46" i="1"/>
  <c r="FL47" i="1"/>
  <c r="FL48" i="1"/>
  <c r="FM48" i="1" s="1"/>
  <c r="FL49" i="1"/>
  <c r="FM49" i="1" s="1"/>
  <c r="FL50" i="1"/>
  <c r="FL51" i="1"/>
  <c r="FL52" i="1"/>
  <c r="FL53" i="1"/>
  <c r="FL54" i="1"/>
  <c r="FM54" i="1" s="1"/>
  <c r="FL55" i="1"/>
  <c r="FM55" i="1" s="1"/>
  <c r="FL56" i="1"/>
  <c r="FL57" i="1"/>
  <c r="FL58" i="1"/>
  <c r="FL59" i="1"/>
  <c r="FL60" i="1"/>
  <c r="FL61" i="1"/>
  <c r="FL62" i="1"/>
  <c r="FM62" i="1" s="1"/>
  <c r="FL63" i="1"/>
  <c r="FL64" i="1"/>
  <c r="FL65" i="1"/>
  <c r="FL66" i="1"/>
  <c r="FL67" i="1"/>
  <c r="FL68" i="1"/>
  <c r="FL69" i="1"/>
  <c r="FL70" i="1"/>
  <c r="FL71" i="1"/>
  <c r="FL72" i="1"/>
  <c r="FM72" i="1" s="1"/>
  <c r="FL73" i="1"/>
  <c r="FL74" i="1"/>
  <c r="FM74" i="1" s="1"/>
  <c r="FL75" i="1"/>
  <c r="FL76" i="1"/>
  <c r="FL77" i="1"/>
  <c r="FL78" i="1"/>
  <c r="FL79" i="1"/>
  <c r="FL80" i="1"/>
  <c r="FL81" i="1"/>
  <c r="FL82" i="1"/>
  <c r="FL83" i="1"/>
  <c r="FL84" i="1"/>
  <c r="FL85" i="1"/>
  <c r="FL86" i="1"/>
  <c r="FN86" i="1" s="1"/>
  <c r="FL87" i="1"/>
  <c r="FM87" i="1" s="1"/>
  <c r="FL88" i="1"/>
  <c r="FL89" i="1"/>
  <c r="FL90" i="1"/>
  <c r="FL91" i="1"/>
  <c r="FL92" i="1"/>
  <c r="FL93" i="1"/>
  <c r="FN93" i="1" s="1"/>
  <c r="FL94" i="1"/>
  <c r="FL95" i="1"/>
  <c r="FL96" i="1"/>
  <c r="FM96" i="1" s="1"/>
  <c r="FL97" i="1"/>
  <c r="FM97" i="1" s="1"/>
  <c r="FL98" i="1"/>
  <c r="FN98" i="1" s="1"/>
  <c r="FL99" i="1"/>
  <c r="FL100" i="1"/>
  <c r="FL101" i="1"/>
  <c r="FL102" i="1"/>
  <c r="FL103" i="1"/>
  <c r="FL104" i="1"/>
  <c r="FL105" i="1"/>
  <c r="FL106" i="1"/>
  <c r="FL107" i="1"/>
  <c r="FM107" i="1" s="1"/>
  <c r="FL108" i="1"/>
  <c r="FL109" i="1"/>
  <c r="FM109" i="1" s="1"/>
  <c r="FL110" i="1"/>
  <c r="FM110" i="1" s="1"/>
  <c r="FL111" i="1"/>
  <c r="FL112" i="1"/>
  <c r="FL113" i="1"/>
  <c r="FL114" i="1"/>
  <c r="FL115" i="1"/>
  <c r="FM115" i="1" s="1"/>
  <c r="FL116" i="1"/>
  <c r="FL117" i="1"/>
  <c r="FL118" i="1"/>
  <c r="FL119" i="1"/>
  <c r="FM119" i="1" s="1"/>
  <c r="FL120" i="1"/>
  <c r="FN120" i="1" s="1"/>
  <c r="FL121" i="1"/>
  <c r="FL122" i="1"/>
  <c r="FL123" i="1"/>
  <c r="FL124" i="1"/>
  <c r="FL125" i="1"/>
  <c r="FL126" i="1"/>
  <c r="FM126" i="1" s="1"/>
  <c r="FL127" i="1"/>
  <c r="FL128" i="1"/>
  <c r="FL129" i="1"/>
  <c r="FL130" i="1"/>
  <c r="FL131" i="1"/>
  <c r="FM131" i="1" s="1"/>
  <c r="FL132" i="1"/>
  <c r="FL133" i="1"/>
  <c r="FM133" i="1" s="1"/>
  <c r="FL134" i="1"/>
  <c r="FC6" i="1"/>
  <c r="FD6" i="1" s="1"/>
  <c r="FC7" i="1"/>
  <c r="FD7" i="1" s="1"/>
  <c r="FC8" i="1"/>
  <c r="FC9" i="1"/>
  <c r="FC10" i="1"/>
  <c r="FC11" i="1"/>
  <c r="FC12" i="1"/>
  <c r="FD12" i="1" s="1"/>
  <c r="FC13" i="1"/>
  <c r="FC14" i="1"/>
  <c r="FC15" i="1"/>
  <c r="FD15" i="1" s="1"/>
  <c r="FC16" i="1"/>
  <c r="FC17" i="1"/>
  <c r="FC18" i="1"/>
  <c r="FE18" i="1" s="1"/>
  <c r="FC19" i="1"/>
  <c r="FC20" i="1"/>
  <c r="FC21" i="1"/>
  <c r="FC22" i="1"/>
  <c r="FC23" i="1"/>
  <c r="FC24" i="1"/>
  <c r="FC25" i="1"/>
  <c r="FC26" i="1"/>
  <c r="FC27" i="1"/>
  <c r="FC28" i="1"/>
  <c r="FC29" i="1"/>
  <c r="FC30" i="1"/>
  <c r="FE30" i="1" s="1"/>
  <c r="FC31" i="1"/>
  <c r="FC32" i="1"/>
  <c r="FC33" i="1"/>
  <c r="FC34" i="1"/>
  <c r="FC35" i="1"/>
  <c r="FC36" i="1"/>
  <c r="FD36" i="1" s="1"/>
  <c r="FC37" i="1"/>
  <c r="FC38" i="1"/>
  <c r="FC39" i="1"/>
  <c r="FD39" i="1" s="1"/>
  <c r="FC40" i="1"/>
  <c r="FC41" i="1"/>
  <c r="FC42" i="1"/>
  <c r="FC43" i="1"/>
  <c r="FC44" i="1"/>
  <c r="FC45" i="1"/>
  <c r="FC46" i="1"/>
  <c r="FC47" i="1"/>
  <c r="FC48" i="1"/>
  <c r="FD48" i="1" s="1"/>
  <c r="FC49" i="1"/>
  <c r="FC50" i="1"/>
  <c r="FC51" i="1"/>
  <c r="FC52" i="1"/>
  <c r="FC53" i="1"/>
  <c r="FC54" i="1"/>
  <c r="FE54" i="1" s="1"/>
  <c r="FC55" i="1"/>
  <c r="FC56" i="1"/>
  <c r="FC57" i="1"/>
  <c r="FC58" i="1"/>
  <c r="FC59" i="1"/>
  <c r="FC60" i="1"/>
  <c r="FD60" i="1" s="1"/>
  <c r="FC61" i="1"/>
  <c r="FE61" i="1" s="1"/>
  <c r="FC62" i="1"/>
  <c r="FC63" i="1"/>
  <c r="FC64" i="1"/>
  <c r="FC65" i="1"/>
  <c r="FC66" i="1"/>
  <c r="FE66" i="1" s="1"/>
  <c r="FC67" i="1"/>
  <c r="FC68" i="1"/>
  <c r="FC69" i="1"/>
  <c r="FC70" i="1"/>
  <c r="FC71" i="1"/>
  <c r="FC72" i="1"/>
  <c r="FC73" i="1"/>
  <c r="FC74" i="1"/>
  <c r="FC75" i="1"/>
  <c r="FC76" i="1"/>
  <c r="FC77" i="1"/>
  <c r="FC78" i="1"/>
  <c r="FC79" i="1"/>
  <c r="FC80" i="1"/>
  <c r="FC81" i="1"/>
  <c r="FC82" i="1"/>
  <c r="FC83" i="1"/>
  <c r="FC84" i="1"/>
  <c r="FD84" i="1" s="1"/>
  <c r="FC85" i="1"/>
  <c r="FD85" i="1" s="1"/>
  <c r="FC86" i="1"/>
  <c r="FC87" i="1"/>
  <c r="FC88" i="1"/>
  <c r="FC89" i="1"/>
  <c r="FC90" i="1"/>
  <c r="FC91" i="1"/>
  <c r="FC92" i="1"/>
  <c r="FC93" i="1"/>
  <c r="FC94" i="1"/>
  <c r="FC95" i="1"/>
  <c r="FC96" i="1"/>
  <c r="FC97" i="1"/>
  <c r="FC98" i="1"/>
  <c r="FC99" i="1"/>
  <c r="FD99" i="1" s="1"/>
  <c r="FC100" i="1"/>
  <c r="FC101" i="1"/>
  <c r="FC102" i="1"/>
  <c r="FC103" i="1"/>
  <c r="FD103" i="1" s="1"/>
  <c r="FC104" i="1"/>
  <c r="FC105" i="1"/>
  <c r="FC106" i="1"/>
  <c r="FC107" i="1"/>
  <c r="FC108" i="1"/>
  <c r="FC109" i="1"/>
  <c r="FD109" i="1" s="1"/>
  <c r="FC110" i="1"/>
  <c r="FC111" i="1"/>
  <c r="FC112" i="1"/>
  <c r="FC113" i="1"/>
  <c r="FC114" i="1"/>
  <c r="FC115" i="1"/>
  <c r="FC116" i="1"/>
  <c r="FC117" i="1"/>
  <c r="FC118" i="1"/>
  <c r="FC119" i="1"/>
  <c r="FC120" i="1"/>
  <c r="FC121" i="1"/>
  <c r="FC122" i="1"/>
  <c r="FD122" i="1" s="1"/>
  <c r="FC123" i="1"/>
  <c r="FD123" i="1" s="1"/>
  <c r="FC124" i="1"/>
  <c r="FC125" i="1"/>
  <c r="FC126" i="1"/>
  <c r="FD126" i="1" s="1"/>
  <c r="FC127" i="1"/>
  <c r="FC128" i="1"/>
  <c r="FC129" i="1"/>
  <c r="FC130" i="1"/>
  <c r="FC131" i="1"/>
  <c r="FC132" i="1"/>
  <c r="FC133" i="1"/>
  <c r="FD133" i="1" s="1"/>
  <c r="FC134" i="1"/>
  <c r="EQ2" i="1"/>
  <c r="EG2" i="1"/>
  <c r="DO2" i="1"/>
  <c r="CW2" i="1"/>
  <c r="BY2" i="1"/>
  <c r="BG2" i="1"/>
  <c r="GM6" i="1"/>
  <c r="GN6" i="1" s="1"/>
  <c r="GM7" i="1"/>
  <c r="GN7" i="1" s="1"/>
  <c r="GM8" i="1"/>
  <c r="GN8" i="1" s="1"/>
  <c r="GM9" i="1"/>
  <c r="GO9" i="1" s="1"/>
  <c r="GM10" i="1"/>
  <c r="GM11" i="1"/>
  <c r="GM12" i="1"/>
  <c r="GM13" i="1"/>
  <c r="GO13" i="1" s="1"/>
  <c r="GM14" i="1"/>
  <c r="GN14" i="1" s="1"/>
  <c r="GM15" i="1"/>
  <c r="GM16" i="1"/>
  <c r="GM17" i="1"/>
  <c r="GM18" i="1"/>
  <c r="GM19" i="1"/>
  <c r="GN19" i="1" s="1"/>
  <c r="GM20" i="1"/>
  <c r="GO20" i="1" s="1"/>
  <c r="GM21" i="1"/>
  <c r="GN21" i="1" s="1"/>
  <c r="GM22" i="1"/>
  <c r="GM23" i="1"/>
  <c r="GM24" i="1"/>
  <c r="GO24" i="1" s="1"/>
  <c r="GM25" i="1"/>
  <c r="GN25" i="1" s="1"/>
  <c r="GM26" i="1"/>
  <c r="GN26" i="1" s="1"/>
  <c r="GM27" i="1"/>
  <c r="GM28" i="1"/>
  <c r="GM29" i="1"/>
  <c r="GM30" i="1"/>
  <c r="GN30" i="1" s="1"/>
  <c r="GM31" i="1"/>
  <c r="GM32" i="1"/>
  <c r="GN32" i="1" s="1"/>
  <c r="GM33" i="1"/>
  <c r="GM34" i="1"/>
  <c r="GM35" i="1"/>
  <c r="GM36" i="1"/>
  <c r="GN36" i="1" s="1"/>
  <c r="GM37" i="1"/>
  <c r="GO37" i="1" s="1"/>
  <c r="GM38" i="1"/>
  <c r="GN38" i="1" s="1"/>
  <c r="GM39" i="1"/>
  <c r="GO39" i="1" s="1"/>
  <c r="GM40" i="1"/>
  <c r="GM41" i="1"/>
  <c r="GM42" i="1"/>
  <c r="GN42" i="1" s="1"/>
  <c r="GM43" i="1"/>
  <c r="GO43" i="1" s="1"/>
  <c r="GM44" i="1"/>
  <c r="GO44" i="1" s="1"/>
  <c r="GM45" i="1"/>
  <c r="GM46" i="1"/>
  <c r="GN46" i="1" s="1"/>
  <c r="GM47" i="1"/>
  <c r="GM48" i="1"/>
  <c r="GO48" i="1" s="1"/>
  <c r="GM49" i="1"/>
  <c r="GM50" i="1"/>
  <c r="GM51" i="1"/>
  <c r="GM52" i="1"/>
  <c r="GM53" i="1"/>
  <c r="GM54" i="1"/>
  <c r="GN54" i="1" s="1"/>
  <c r="GM55" i="1"/>
  <c r="GN55" i="1" s="1"/>
  <c r="GM56" i="1"/>
  <c r="GM57" i="1"/>
  <c r="GM58" i="1"/>
  <c r="GN58" i="1" s="1"/>
  <c r="GM59" i="1"/>
  <c r="GM60" i="1"/>
  <c r="GN60" i="1" s="1"/>
  <c r="GM61" i="1"/>
  <c r="GM62" i="1"/>
  <c r="GM63" i="1"/>
  <c r="GM64" i="1"/>
  <c r="GM65" i="1"/>
  <c r="GM66" i="1"/>
  <c r="GM67" i="1"/>
  <c r="GN67" i="1" s="1"/>
  <c r="GM68" i="1"/>
  <c r="GN68" i="1" s="1"/>
  <c r="GM69" i="1"/>
  <c r="GM70" i="1"/>
  <c r="GN70" i="1" s="1"/>
  <c r="GM71" i="1"/>
  <c r="GM72" i="1"/>
  <c r="GM73" i="1"/>
  <c r="GN73" i="1" s="1"/>
  <c r="GM74" i="1"/>
  <c r="GM75" i="1"/>
  <c r="GM76" i="1"/>
  <c r="GM77" i="1"/>
  <c r="GM78" i="1"/>
  <c r="GN78" i="1" s="1"/>
  <c r="GM79" i="1"/>
  <c r="GO79" i="1" s="1"/>
  <c r="GM80" i="1"/>
  <c r="GN80" i="1" s="1"/>
  <c r="GM81" i="1"/>
  <c r="GM82" i="1"/>
  <c r="GN82" i="1" s="1"/>
  <c r="GM83" i="1"/>
  <c r="GM84" i="1"/>
  <c r="GN84" i="1" s="1"/>
  <c r="GM85" i="1"/>
  <c r="GN85" i="1" s="1"/>
  <c r="GM86" i="1"/>
  <c r="GM87" i="1"/>
  <c r="GM88" i="1"/>
  <c r="GM89" i="1"/>
  <c r="GM90" i="1"/>
  <c r="GN90" i="1" s="1"/>
  <c r="GM91" i="1"/>
  <c r="GN91" i="1" s="1"/>
  <c r="GM92" i="1"/>
  <c r="GO92" i="1" s="1"/>
  <c r="GM93" i="1"/>
  <c r="GM94" i="1"/>
  <c r="GN94" i="1" s="1"/>
  <c r="GM95" i="1"/>
  <c r="GM96" i="1"/>
  <c r="GO96" i="1" s="1"/>
  <c r="GM97" i="1"/>
  <c r="GN97" i="1" s="1"/>
  <c r="GM98" i="1"/>
  <c r="GM99" i="1"/>
  <c r="GM100" i="1"/>
  <c r="GM101" i="1"/>
  <c r="GM102" i="1"/>
  <c r="GN102" i="1" s="1"/>
  <c r="GM103" i="1"/>
  <c r="GO103" i="1" s="1"/>
  <c r="GM104" i="1"/>
  <c r="GM105" i="1"/>
  <c r="GM106" i="1"/>
  <c r="GN106" i="1" s="1"/>
  <c r="GM107" i="1"/>
  <c r="GM108" i="1"/>
  <c r="GO108" i="1" s="1"/>
  <c r="GM109" i="1"/>
  <c r="GO109" i="1" s="1"/>
  <c r="GM110" i="1"/>
  <c r="GM111" i="1"/>
  <c r="GM112" i="1"/>
  <c r="GM113" i="1"/>
  <c r="GM114" i="1"/>
  <c r="GM115" i="1"/>
  <c r="GO115" i="1" s="1"/>
  <c r="GM116" i="1"/>
  <c r="GO116" i="1" s="1"/>
  <c r="GM117" i="1"/>
  <c r="GM118" i="1"/>
  <c r="GN118" i="1" s="1"/>
  <c r="GM119" i="1"/>
  <c r="GM120" i="1"/>
  <c r="GO120" i="1" s="1"/>
  <c r="GM121" i="1"/>
  <c r="GO121" i="1" s="1"/>
  <c r="GM122" i="1"/>
  <c r="GM123" i="1"/>
  <c r="GM124" i="1"/>
  <c r="GM125" i="1"/>
  <c r="GM126" i="1"/>
  <c r="GN126" i="1" s="1"/>
  <c r="GM127" i="1"/>
  <c r="GO127" i="1" s="1"/>
  <c r="GM128" i="1"/>
  <c r="GM129" i="1"/>
  <c r="GN129" i="1" s="1"/>
  <c r="GM130" i="1"/>
  <c r="GM131" i="1"/>
  <c r="GM132" i="1"/>
  <c r="GM133" i="1"/>
  <c r="GN133" i="1" s="1"/>
  <c r="GM134" i="1"/>
  <c r="GD6" i="1"/>
  <c r="GF6" i="1" s="1"/>
  <c r="GD7" i="1"/>
  <c r="GD8" i="1"/>
  <c r="GD9" i="1"/>
  <c r="GD10" i="1"/>
  <c r="GD11" i="1"/>
  <c r="GD12" i="1"/>
  <c r="GD13" i="1"/>
  <c r="GE13" i="1" s="1"/>
  <c r="GD14" i="1"/>
  <c r="GE14" i="1" s="1"/>
  <c r="GD15" i="1"/>
  <c r="GD16" i="1"/>
  <c r="GD17" i="1"/>
  <c r="GD18" i="1"/>
  <c r="GF18" i="1" s="1"/>
  <c r="GD19" i="1"/>
  <c r="GE19" i="1" s="1"/>
  <c r="GD20" i="1"/>
  <c r="GD21" i="1"/>
  <c r="GD22" i="1"/>
  <c r="GD23" i="1"/>
  <c r="GD24" i="1"/>
  <c r="GF24" i="1" s="1"/>
  <c r="GD25" i="1"/>
  <c r="GE25" i="1" s="1"/>
  <c r="GD26" i="1"/>
  <c r="GF26" i="1" s="1"/>
  <c r="GD27" i="1"/>
  <c r="GD28" i="1"/>
  <c r="GD29" i="1"/>
  <c r="GD30" i="1"/>
  <c r="GD31" i="1"/>
  <c r="GF31" i="1" s="1"/>
  <c r="GD32" i="1"/>
  <c r="GD33" i="1"/>
  <c r="GD34" i="1"/>
  <c r="GD35" i="1"/>
  <c r="GD36" i="1"/>
  <c r="GD37" i="1"/>
  <c r="GE37" i="1" s="1"/>
  <c r="GD38" i="1"/>
  <c r="GD39" i="1"/>
  <c r="GD40" i="1"/>
  <c r="GD41" i="1"/>
  <c r="GD42" i="1"/>
  <c r="GD43" i="1"/>
  <c r="GE43" i="1" s="1"/>
  <c r="GD44" i="1"/>
  <c r="GD45" i="1"/>
  <c r="GD46" i="1"/>
  <c r="GD47" i="1"/>
  <c r="GD48" i="1"/>
  <c r="GF48" i="1" s="1"/>
  <c r="GD49" i="1"/>
  <c r="GD50" i="1"/>
  <c r="GE50" i="1" s="1"/>
  <c r="GD51" i="1"/>
  <c r="GE51" i="1" s="1"/>
  <c r="GD52" i="1"/>
  <c r="GD53" i="1"/>
  <c r="GD54" i="1"/>
  <c r="GD55" i="1"/>
  <c r="GF55" i="1" s="1"/>
  <c r="GD56" i="1"/>
  <c r="GD57" i="1"/>
  <c r="GD58" i="1"/>
  <c r="GD59" i="1"/>
  <c r="GD60" i="1"/>
  <c r="GE60" i="1" s="1"/>
  <c r="GD61" i="1"/>
  <c r="GE61" i="1" s="1"/>
  <c r="GD62" i="1"/>
  <c r="GE62" i="1" s="1"/>
  <c r="GD63" i="1"/>
  <c r="GE63" i="1" s="1"/>
  <c r="GD64" i="1"/>
  <c r="GD65" i="1"/>
  <c r="GD66" i="1"/>
  <c r="GE66" i="1" s="1"/>
  <c r="GD67" i="1"/>
  <c r="GD68" i="1"/>
  <c r="GD69" i="1"/>
  <c r="GD70" i="1"/>
  <c r="GD71" i="1"/>
  <c r="GD72" i="1"/>
  <c r="GE72" i="1" s="1"/>
  <c r="GD73" i="1"/>
  <c r="GE73" i="1" s="1"/>
  <c r="GD74" i="1"/>
  <c r="GF74" i="1" s="1"/>
  <c r="GD75" i="1"/>
  <c r="GE75" i="1" s="1"/>
  <c r="GD76" i="1"/>
  <c r="GD77" i="1"/>
  <c r="GD78" i="1"/>
  <c r="GE78" i="1" s="1"/>
  <c r="GD79" i="1"/>
  <c r="GD80" i="1"/>
  <c r="GD81" i="1"/>
  <c r="GD82" i="1"/>
  <c r="GD83" i="1"/>
  <c r="GD84" i="1"/>
  <c r="GE84" i="1" s="1"/>
  <c r="GD85" i="1"/>
  <c r="GD86" i="1"/>
  <c r="GE86" i="1" s="1"/>
  <c r="GD87" i="1"/>
  <c r="GD88" i="1"/>
  <c r="GD89" i="1"/>
  <c r="GD90" i="1"/>
  <c r="GF90" i="1" s="1"/>
  <c r="GD91" i="1"/>
  <c r="GE91" i="1" s="1"/>
  <c r="GD92" i="1"/>
  <c r="GD93" i="1"/>
  <c r="GD94" i="1"/>
  <c r="GD95" i="1"/>
  <c r="GD96" i="1"/>
  <c r="GF96" i="1" s="1"/>
  <c r="GD97" i="1"/>
  <c r="GE97" i="1" s="1"/>
  <c r="GD98" i="1"/>
  <c r="GE98" i="1" s="1"/>
  <c r="GD99" i="1"/>
  <c r="GD100" i="1"/>
  <c r="GD101" i="1"/>
  <c r="GD102" i="1"/>
  <c r="GE102" i="1" s="1"/>
  <c r="GD103" i="1"/>
  <c r="GD104" i="1"/>
  <c r="GD105" i="1"/>
  <c r="GD106" i="1"/>
  <c r="GD107" i="1"/>
  <c r="GD108" i="1"/>
  <c r="GF108" i="1" s="1"/>
  <c r="GD109" i="1"/>
  <c r="GD110" i="1"/>
  <c r="GF110" i="1" s="1"/>
  <c r="GD111" i="1"/>
  <c r="GE111" i="1" s="1"/>
  <c r="GD112" i="1"/>
  <c r="GD113" i="1"/>
  <c r="GD114" i="1"/>
  <c r="GF114" i="1" s="1"/>
  <c r="GD115" i="1"/>
  <c r="GD116" i="1"/>
  <c r="GD117" i="1"/>
  <c r="GD118" i="1"/>
  <c r="GD119" i="1"/>
  <c r="GD120" i="1"/>
  <c r="GE120" i="1" s="1"/>
  <c r="GD121" i="1"/>
  <c r="GE121" i="1" s="1"/>
  <c r="GD122" i="1"/>
  <c r="GE122" i="1" s="1"/>
  <c r="GD123" i="1"/>
  <c r="GE123" i="1" s="1"/>
  <c r="GD124" i="1"/>
  <c r="GD125" i="1"/>
  <c r="GD126" i="1"/>
  <c r="GE126" i="1" s="1"/>
  <c r="GD127" i="1"/>
  <c r="GD128" i="1"/>
  <c r="GD129" i="1"/>
  <c r="GD130" i="1"/>
  <c r="GD131" i="1"/>
  <c r="GD132" i="1"/>
  <c r="GE132" i="1" s="1"/>
  <c r="GD133" i="1"/>
  <c r="GE133" i="1" s="1"/>
  <c r="GD134" i="1"/>
  <c r="GE134" i="1" s="1"/>
  <c r="FR2" i="1"/>
  <c r="FH2" i="1"/>
  <c r="EP2" i="1"/>
  <c r="DX2" i="1"/>
  <c r="CL2" i="1"/>
  <c r="BM2" i="1"/>
  <c r="BP372" i="2"/>
  <c r="BO372" i="2"/>
  <c r="BN372" i="2"/>
  <c r="BM372" i="2"/>
  <c r="BL372" i="2"/>
  <c r="BK372" i="2"/>
  <c r="BJ372" i="2"/>
  <c r="BI372" i="2"/>
  <c r="BH372" i="2"/>
  <c r="BG372" i="2"/>
  <c r="BF372" i="2"/>
  <c r="BE372" i="2"/>
  <c r="BD372" i="2"/>
  <c r="BC372" i="2"/>
  <c r="BB372" i="2"/>
  <c r="BA372" i="2"/>
  <c r="AZ372" i="2"/>
  <c r="AY372" i="2"/>
  <c r="AX372" i="2"/>
  <c r="AW372" i="2"/>
  <c r="AV372" i="2"/>
  <c r="AU372" i="2"/>
  <c r="AT372" i="2"/>
  <c r="AS372" i="2"/>
  <c r="AR372" i="2"/>
  <c r="AQ372" i="2"/>
  <c r="AP372" i="2"/>
  <c r="AO372" i="2"/>
  <c r="AN372" i="2"/>
  <c r="AM372" i="2"/>
  <c r="AL372" i="2"/>
  <c r="AK372" i="2"/>
  <c r="AJ372" i="2"/>
  <c r="AI372" i="2"/>
  <c r="AH372" i="2"/>
  <c r="AG372" i="2"/>
  <c r="AF372" i="2"/>
  <c r="AE372" i="2"/>
  <c r="AD372" i="2"/>
  <c r="AC372" i="2"/>
  <c r="AB372" i="2"/>
  <c r="AA372" i="2"/>
  <c r="Z372" i="2"/>
  <c r="Y372" i="2"/>
  <c r="X372" i="2"/>
  <c r="W372" i="2"/>
  <c r="V372" i="2"/>
  <c r="U372" i="2"/>
  <c r="T372" i="2"/>
  <c r="S372" i="2"/>
  <c r="R372" i="2"/>
  <c r="Q372" i="2"/>
  <c r="P372" i="2"/>
  <c r="O372" i="2"/>
  <c r="N372" i="2"/>
  <c r="M372" i="2"/>
  <c r="L372" i="2"/>
  <c r="K372" i="2"/>
  <c r="J372" i="2"/>
  <c r="I372" i="2"/>
  <c r="BP371" i="2"/>
  <c r="BO371" i="2"/>
  <c r="BN371" i="2"/>
  <c r="BM371" i="2"/>
  <c r="BL371" i="2"/>
  <c r="BK371" i="2"/>
  <c r="BJ371" i="2"/>
  <c r="BI371" i="2"/>
  <c r="BH371" i="2"/>
  <c r="BG371" i="2"/>
  <c r="BF371" i="2"/>
  <c r="BE371" i="2"/>
  <c r="BD371" i="2"/>
  <c r="BC371" i="2"/>
  <c r="BB371" i="2"/>
  <c r="BA371" i="2"/>
  <c r="AZ371" i="2"/>
  <c r="AY371" i="2"/>
  <c r="AX371" i="2"/>
  <c r="AW371" i="2"/>
  <c r="AV371" i="2"/>
  <c r="AU371" i="2"/>
  <c r="AT371" i="2"/>
  <c r="AS371" i="2"/>
  <c r="AR371" i="2"/>
  <c r="AQ371" i="2"/>
  <c r="AP371" i="2"/>
  <c r="AO371" i="2"/>
  <c r="AN371" i="2"/>
  <c r="AM371" i="2"/>
  <c r="AL371" i="2"/>
  <c r="AK371" i="2"/>
  <c r="AJ371" i="2"/>
  <c r="AI371" i="2"/>
  <c r="AH371" i="2"/>
  <c r="AG371" i="2"/>
  <c r="AF371" i="2"/>
  <c r="AE371" i="2"/>
  <c r="AD371" i="2"/>
  <c r="AC371" i="2"/>
  <c r="AB371" i="2"/>
  <c r="AA371" i="2"/>
  <c r="Z371" i="2"/>
  <c r="Y371" i="2"/>
  <c r="X371" i="2"/>
  <c r="W371" i="2"/>
  <c r="V371" i="2"/>
  <c r="U371" i="2"/>
  <c r="T371" i="2"/>
  <c r="S371" i="2"/>
  <c r="R371" i="2"/>
  <c r="Q371" i="2"/>
  <c r="P371" i="2"/>
  <c r="O371" i="2"/>
  <c r="N371" i="2"/>
  <c r="M371" i="2"/>
  <c r="L371" i="2"/>
  <c r="K371" i="2"/>
  <c r="J371" i="2"/>
  <c r="I371" i="2"/>
  <c r="F369" i="2"/>
  <c r="E369" i="2"/>
  <c r="F368" i="2"/>
  <c r="E368" i="2"/>
  <c r="F367" i="2"/>
  <c r="E367" i="2"/>
  <c r="F366" i="2"/>
  <c r="E366" i="2"/>
  <c r="F365" i="2"/>
  <c r="E365" i="2"/>
  <c r="F364" i="2"/>
  <c r="E364" i="2"/>
  <c r="F363" i="2"/>
  <c r="E363" i="2"/>
  <c r="F362" i="2"/>
  <c r="E362" i="2"/>
  <c r="F361" i="2"/>
  <c r="E361" i="2"/>
  <c r="F360" i="2"/>
  <c r="E360" i="2"/>
  <c r="F359" i="2"/>
  <c r="E359" i="2"/>
  <c r="F358" i="2"/>
  <c r="E358" i="2"/>
  <c r="F357" i="2"/>
  <c r="E357" i="2"/>
  <c r="F356" i="2"/>
  <c r="E356" i="2"/>
  <c r="F355" i="2"/>
  <c r="E355" i="2"/>
  <c r="F354" i="2"/>
  <c r="E354" i="2"/>
  <c r="F353" i="2"/>
  <c r="E353" i="2"/>
  <c r="F352" i="2"/>
  <c r="E352" i="2"/>
  <c r="F351" i="2"/>
  <c r="E351" i="2"/>
  <c r="F350" i="2"/>
  <c r="E350" i="2"/>
  <c r="F349" i="2"/>
  <c r="E349" i="2"/>
  <c r="F348" i="2"/>
  <c r="E348" i="2"/>
  <c r="F347" i="2"/>
  <c r="E347" i="2"/>
  <c r="F346" i="2"/>
  <c r="E346" i="2"/>
  <c r="F345" i="2"/>
  <c r="E345" i="2"/>
  <c r="F344" i="2"/>
  <c r="E344" i="2"/>
  <c r="F343" i="2"/>
  <c r="E343" i="2"/>
  <c r="F342" i="2"/>
  <c r="E342" i="2"/>
  <c r="F341" i="2"/>
  <c r="E341" i="2"/>
  <c r="F340" i="2"/>
  <c r="E340" i="2"/>
  <c r="F339" i="2"/>
  <c r="E339" i="2"/>
  <c r="F338" i="2"/>
  <c r="E338" i="2"/>
  <c r="F337" i="2"/>
  <c r="E337" i="2"/>
  <c r="F336" i="2"/>
  <c r="E336" i="2"/>
  <c r="F335" i="2"/>
  <c r="E335" i="2"/>
  <c r="F334" i="2"/>
  <c r="E334" i="2"/>
  <c r="F333" i="2"/>
  <c r="E333" i="2"/>
  <c r="F332" i="2"/>
  <c r="E332" i="2"/>
  <c r="F331" i="2"/>
  <c r="E331" i="2"/>
  <c r="F330" i="2"/>
  <c r="E330" i="2"/>
  <c r="F329" i="2"/>
  <c r="E329" i="2"/>
  <c r="F328" i="2"/>
  <c r="E328" i="2"/>
  <c r="F327" i="2"/>
  <c r="E327" i="2"/>
  <c r="F326" i="2"/>
  <c r="E326" i="2"/>
  <c r="F325" i="2"/>
  <c r="E325" i="2"/>
  <c r="F324" i="2"/>
  <c r="E324" i="2"/>
  <c r="F323" i="2"/>
  <c r="E323" i="2"/>
  <c r="F322" i="2"/>
  <c r="E322" i="2"/>
  <c r="F321" i="2"/>
  <c r="E321" i="2"/>
  <c r="F320" i="2"/>
  <c r="E320" i="2"/>
  <c r="F319" i="2"/>
  <c r="E319" i="2"/>
  <c r="F318" i="2"/>
  <c r="E318" i="2"/>
  <c r="F317" i="2"/>
  <c r="E317" i="2"/>
  <c r="F316" i="2"/>
  <c r="E316" i="2"/>
  <c r="F315" i="2"/>
  <c r="E315" i="2"/>
  <c r="F314" i="2"/>
  <c r="E314" i="2"/>
  <c r="F313" i="2"/>
  <c r="E313" i="2"/>
  <c r="F312" i="2"/>
  <c r="E312" i="2"/>
  <c r="F311" i="2"/>
  <c r="E311" i="2"/>
  <c r="F310" i="2"/>
  <c r="E310" i="2"/>
  <c r="F309" i="2"/>
  <c r="E309" i="2"/>
  <c r="F308" i="2"/>
  <c r="E308" i="2"/>
  <c r="F307" i="2"/>
  <c r="E307" i="2"/>
  <c r="F306" i="2"/>
  <c r="E306" i="2"/>
  <c r="F305" i="2"/>
  <c r="E305" i="2"/>
  <c r="F304" i="2"/>
  <c r="E304" i="2"/>
  <c r="F303" i="2"/>
  <c r="E303" i="2"/>
  <c r="F302" i="2"/>
  <c r="E302" i="2"/>
  <c r="F301" i="2"/>
  <c r="E301" i="2"/>
  <c r="F300" i="2"/>
  <c r="E300" i="2"/>
  <c r="F299" i="2"/>
  <c r="E299" i="2"/>
  <c r="F298" i="2"/>
  <c r="E298" i="2"/>
  <c r="F297" i="2"/>
  <c r="E297" i="2"/>
  <c r="F296" i="2"/>
  <c r="E296" i="2"/>
  <c r="F295" i="2"/>
  <c r="E295" i="2"/>
  <c r="F294" i="2"/>
  <c r="E294" i="2"/>
  <c r="F293" i="2"/>
  <c r="E293" i="2"/>
  <c r="F292" i="2"/>
  <c r="E292" i="2"/>
  <c r="F291" i="2"/>
  <c r="E291" i="2"/>
  <c r="F290" i="2"/>
  <c r="E290" i="2"/>
  <c r="F289" i="2"/>
  <c r="E289" i="2"/>
  <c r="F288" i="2"/>
  <c r="E288" i="2"/>
  <c r="F287" i="2"/>
  <c r="E287" i="2"/>
  <c r="F286" i="2"/>
  <c r="E286" i="2"/>
  <c r="F285" i="2"/>
  <c r="E285" i="2"/>
  <c r="F284" i="2"/>
  <c r="E284" i="2"/>
  <c r="F283" i="2"/>
  <c r="E283" i="2"/>
  <c r="F282" i="2"/>
  <c r="E282" i="2"/>
  <c r="F281" i="2"/>
  <c r="E281" i="2"/>
  <c r="F280" i="2"/>
  <c r="E280" i="2"/>
  <c r="F279" i="2"/>
  <c r="E279" i="2"/>
  <c r="F278" i="2"/>
  <c r="E278" i="2"/>
  <c r="F277" i="2"/>
  <c r="E277" i="2"/>
  <c r="F276" i="2"/>
  <c r="E276" i="2"/>
  <c r="F275" i="2"/>
  <c r="E275" i="2"/>
  <c r="F274" i="2"/>
  <c r="E274" i="2"/>
  <c r="F273" i="2"/>
  <c r="E273" i="2"/>
  <c r="F272" i="2"/>
  <c r="E272" i="2"/>
  <c r="F271" i="2"/>
  <c r="E271" i="2"/>
  <c r="F270" i="2"/>
  <c r="E270" i="2"/>
  <c r="F269" i="2"/>
  <c r="E269" i="2"/>
  <c r="F268" i="2"/>
  <c r="E268" i="2"/>
  <c r="F267" i="2"/>
  <c r="E267" i="2"/>
  <c r="F266" i="2"/>
  <c r="E266" i="2"/>
  <c r="F265" i="2"/>
  <c r="E265" i="2"/>
  <c r="F264" i="2"/>
  <c r="E264" i="2"/>
  <c r="F263" i="2"/>
  <c r="E263" i="2"/>
  <c r="F262" i="2"/>
  <c r="E262" i="2"/>
  <c r="F261" i="2"/>
  <c r="E261" i="2"/>
  <c r="F260" i="2"/>
  <c r="E260" i="2"/>
  <c r="F259" i="2"/>
  <c r="E259" i="2"/>
  <c r="F258" i="2"/>
  <c r="E258" i="2"/>
  <c r="F257" i="2"/>
  <c r="E257" i="2"/>
  <c r="F256" i="2"/>
  <c r="E256" i="2"/>
  <c r="F255" i="2"/>
  <c r="E255" i="2"/>
  <c r="F254" i="2"/>
  <c r="E254" i="2"/>
  <c r="F253" i="2"/>
  <c r="E253" i="2"/>
  <c r="F252" i="2"/>
  <c r="E252" i="2"/>
  <c r="F251" i="2"/>
  <c r="E251" i="2"/>
  <c r="F250" i="2"/>
  <c r="E250" i="2"/>
  <c r="F249" i="2"/>
  <c r="E249" i="2"/>
  <c r="F248" i="2"/>
  <c r="E248" i="2"/>
  <c r="F247" i="2"/>
  <c r="E247" i="2"/>
  <c r="F246" i="2"/>
  <c r="E246" i="2"/>
  <c r="F245" i="2"/>
  <c r="E245" i="2"/>
  <c r="F244" i="2"/>
  <c r="E244" i="2"/>
  <c r="F243" i="2"/>
  <c r="E243" i="2"/>
  <c r="F242" i="2"/>
  <c r="E242" i="2"/>
  <c r="F241" i="2"/>
  <c r="E241" i="2"/>
  <c r="F240" i="2"/>
  <c r="E240" i="2"/>
  <c r="F239" i="2"/>
  <c r="E239" i="2"/>
  <c r="F238" i="2"/>
  <c r="E238" i="2"/>
  <c r="F237" i="2"/>
  <c r="E237" i="2"/>
  <c r="F236" i="2"/>
  <c r="E236" i="2"/>
  <c r="F235" i="2"/>
  <c r="E235" i="2"/>
  <c r="F234" i="2"/>
  <c r="E234" i="2"/>
  <c r="F233" i="2"/>
  <c r="E233" i="2"/>
  <c r="F232" i="2"/>
  <c r="E232" i="2"/>
  <c r="F231" i="2"/>
  <c r="E231" i="2"/>
  <c r="F230" i="2"/>
  <c r="E230" i="2"/>
  <c r="F229" i="2"/>
  <c r="E229" i="2"/>
  <c r="F228" i="2"/>
  <c r="E228" i="2"/>
  <c r="F227" i="2"/>
  <c r="E227" i="2"/>
  <c r="F226" i="2"/>
  <c r="E226" i="2"/>
  <c r="F225" i="2"/>
  <c r="E225" i="2"/>
  <c r="F224" i="2"/>
  <c r="E224" i="2"/>
  <c r="F223" i="2"/>
  <c r="E223" i="2"/>
  <c r="F222" i="2"/>
  <c r="E222" i="2"/>
  <c r="F221" i="2"/>
  <c r="E221" i="2"/>
  <c r="F220" i="2"/>
  <c r="E220" i="2"/>
  <c r="F219" i="2"/>
  <c r="E219" i="2"/>
  <c r="F218" i="2"/>
  <c r="E218" i="2"/>
  <c r="F217" i="2"/>
  <c r="E217" i="2"/>
  <c r="F216" i="2"/>
  <c r="E216" i="2"/>
  <c r="F215" i="2"/>
  <c r="E215" i="2"/>
  <c r="F214" i="2"/>
  <c r="E214" i="2"/>
  <c r="F213" i="2"/>
  <c r="E213" i="2"/>
  <c r="F212" i="2"/>
  <c r="E212" i="2"/>
  <c r="F211" i="2"/>
  <c r="E211" i="2"/>
  <c r="F210" i="2"/>
  <c r="E210" i="2"/>
  <c r="F209" i="2"/>
  <c r="E209" i="2"/>
  <c r="F208" i="2"/>
  <c r="E208" i="2"/>
  <c r="F207" i="2"/>
  <c r="E207" i="2"/>
  <c r="F206" i="2"/>
  <c r="E206" i="2"/>
  <c r="F205" i="2"/>
  <c r="E205" i="2"/>
  <c r="F204" i="2"/>
  <c r="E204" i="2"/>
  <c r="F203" i="2"/>
  <c r="E203" i="2"/>
  <c r="F202" i="2"/>
  <c r="E202" i="2"/>
  <c r="F201" i="2"/>
  <c r="E201" i="2"/>
  <c r="F200" i="2"/>
  <c r="E200" i="2"/>
  <c r="F199" i="2"/>
  <c r="E199" i="2"/>
  <c r="F198" i="2"/>
  <c r="E198" i="2"/>
  <c r="F197" i="2"/>
  <c r="E197" i="2"/>
  <c r="F196" i="2"/>
  <c r="E196" i="2"/>
  <c r="F195" i="2"/>
  <c r="E195" i="2"/>
  <c r="F194" i="2"/>
  <c r="E194" i="2"/>
  <c r="F193" i="2"/>
  <c r="E193" i="2"/>
  <c r="F192" i="2"/>
  <c r="E192" i="2"/>
  <c r="F191" i="2"/>
  <c r="E191" i="2"/>
  <c r="F190" i="2"/>
  <c r="E190" i="2"/>
  <c r="F189" i="2"/>
  <c r="E189" i="2"/>
  <c r="F188" i="2"/>
  <c r="E188" i="2"/>
  <c r="F187" i="2"/>
  <c r="E187" i="2"/>
  <c r="F186" i="2"/>
  <c r="E186" i="2"/>
  <c r="F185" i="2"/>
  <c r="E185" i="2"/>
  <c r="F184" i="2"/>
  <c r="E184" i="2"/>
  <c r="F183" i="2"/>
  <c r="E183" i="2"/>
  <c r="F182" i="2"/>
  <c r="E182" i="2"/>
  <c r="F181" i="2"/>
  <c r="E181" i="2"/>
  <c r="F180" i="2"/>
  <c r="E180" i="2"/>
  <c r="F179" i="2"/>
  <c r="E179" i="2"/>
  <c r="F178" i="2"/>
  <c r="E178" i="2"/>
  <c r="F177" i="2"/>
  <c r="E177" i="2"/>
  <c r="F176" i="2"/>
  <c r="E176" i="2"/>
  <c r="F175" i="2"/>
  <c r="E175" i="2"/>
  <c r="F174" i="2"/>
  <c r="E174" i="2"/>
  <c r="F173" i="2"/>
  <c r="E173" i="2"/>
  <c r="F172" i="2"/>
  <c r="E172" i="2"/>
  <c r="F171" i="2"/>
  <c r="E171" i="2"/>
  <c r="F170" i="2"/>
  <c r="E170" i="2"/>
  <c r="F169" i="2"/>
  <c r="E169" i="2"/>
  <c r="F168" i="2"/>
  <c r="E168" i="2"/>
  <c r="F167" i="2"/>
  <c r="E167" i="2"/>
  <c r="F166" i="2"/>
  <c r="E166" i="2"/>
  <c r="F165" i="2"/>
  <c r="E165" i="2"/>
  <c r="F164" i="2"/>
  <c r="E164" i="2"/>
  <c r="F163" i="2"/>
  <c r="E163" i="2"/>
  <c r="F162" i="2"/>
  <c r="E162" i="2"/>
  <c r="F161" i="2"/>
  <c r="E161" i="2"/>
  <c r="F160" i="2"/>
  <c r="E160" i="2"/>
  <c r="F159" i="2"/>
  <c r="E159" i="2"/>
  <c r="F158" i="2"/>
  <c r="E158" i="2"/>
  <c r="F157" i="2"/>
  <c r="E157" i="2"/>
  <c r="F156" i="2"/>
  <c r="E156" i="2"/>
  <c r="F155" i="2"/>
  <c r="E155" i="2"/>
  <c r="F154" i="2"/>
  <c r="E154" i="2"/>
  <c r="F153" i="2"/>
  <c r="E153" i="2"/>
  <c r="F152" i="2"/>
  <c r="E152" i="2"/>
  <c r="F151" i="2"/>
  <c r="E151" i="2"/>
  <c r="F150" i="2"/>
  <c r="E150" i="2"/>
  <c r="F149" i="2"/>
  <c r="E149" i="2"/>
  <c r="F148" i="2"/>
  <c r="E148" i="2"/>
  <c r="F147" i="2"/>
  <c r="E147" i="2"/>
  <c r="F146" i="2"/>
  <c r="E146" i="2"/>
  <c r="F145" i="2"/>
  <c r="E145" i="2"/>
  <c r="F144" i="2"/>
  <c r="E144" i="2"/>
  <c r="F143" i="2"/>
  <c r="E143" i="2"/>
  <c r="F142" i="2"/>
  <c r="E142" i="2"/>
  <c r="F141" i="2"/>
  <c r="E141" i="2"/>
  <c r="F140" i="2"/>
  <c r="E140" i="2"/>
  <c r="F139" i="2"/>
  <c r="E139" i="2"/>
  <c r="F138" i="2"/>
  <c r="E138" i="2"/>
  <c r="F137" i="2"/>
  <c r="E137" i="2"/>
  <c r="F136" i="2"/>
  <c r="E136" i="2"/>
  <c r="F135" i="2"/>
  <c r="E135" i="2"/>
  <c r="F134" i="2"/>
  <c r="E134" i="2"/>
  <c r="F133" i="2"/>
  <c r="E133" i="2"/>
  <c r="F132" i="2"/>
  <c r="E132" i="2"/>
  <c r="F131" i="2"/>
  <c r="E131" i="2"/>
  <c r="F130" i="2"/>
  <c r="E130" i="2"/>
  <c r="F129" i="2"/>
  <c r="E129" i="2"/>
  <c r="F128" i="2"/>
  <c r="E128" i="2"/>
  <c r="F127" i="2"/>
  <c r="E127" i="2"/>
  <c r="F126" i="2"/>
  <c r="E126" i="2"/>
  <c r="F125" i="2"/>
  <c r="E125" i="2"/>
  <c r="F124" i="2"/>
  <c r="E124" i="2"/>
  <c r="F123" i="2"/>
  <c r="E123" i="2"/>
  <c r="F122" i="2"/>
  <c r="E122" i="2"/>
  <c r="F121" i="2"/>
  <c r="E121" i="2"/>
  <c r="F120" i="2"/>
  <c r="E120" i="2"/>
  <c r="F119" i="2"/>
  <c r="E119" i="2"/>
  <c r="F118" i="2"/>
  <c r="E118" i="2"/>
  <c r="F117" i="2"/>
  <c r="E117" i="2"/>
  <c r="F116" i="2"/>
  <c r="E116" i="2"/>
  <c r="F115" i="2"/>
  <c r="E115" i="2"/>
  <c r="F114" i="2"/>
  <c r="E114" i="2"/>
  <c r="F113" i="2"/>
  <c r="E113" i="2"/>
  <c r="F112" i="2"/>
  <c r="E112" i="2"/>
  <c r="F111" i="2"/>
  <c r="E111" i="2"/>
  <c r="F110" i="2"/>
  <c r="E110" i="2"/>
  <c r="F109" i="2"/>
  <c r="E109" i="2"/>
  <c r="F108" i="2"/>
  <c r="E108" i="2"/>
  <c r="F107" i="2"/>
  <c r="E107" i="2"/>
  <c r="F106" i="2"/>
  <c r="E106" i="2"/>
  <c r="F105" i="2"/>
  <c r="E105" i="2"/>
  <c r="F104" i="2"/>
  <c r="E104" i="2"/>
  <c r="F103" i="2"/>
  <c r="E103" i="2"/>
  <c r="F102" i="2"/>
  <c r="E102" i="2"/>
  <c r="F101" i="2"/>
  <c r="E101" i="2"/>
  <c r="F100" i="2"/>
  <c r="E100" i="2"/>
  <c r="F99" i="2"/>
  <c r="E99" i="2"/>
  <c r="F98" i="2"/>
  <c r="E98" i="2"/>
  <c r="F97" i="2"/>
  <c r="E97" i="2"/>
  <c r="F96" i="2"/>
  <c r="E96" i="2"/>
  <c r="F95" i="2"/>
  <c r="E95" i="2"/>
  <c r="F94" i="2"/>
  <c r="E94" i="2"/>
  <c r="F93" i="2"/>
  <c r="E93" i="2"/>
  <c r="F92" i="2"/>
  <c r="E92" i="2"/>
  <c r="F91" i="2"/>
  <c r="E91" i="2"/>
  <c r="F90" i="2"/>
  <c r="E90" i="2"/>
  <c r="F89" i="2"/>
  <c r="E89" i="2"/>
  <c r="F88" i="2"/>
  <c r="E88" i="2"/>
  <c r="F87" i="2"/>
  <c r="E87" i="2"/>
  <c r="F86" i="2"/>
  <c r="E86" i="2"/>
  <c r="F85" i="2"/>
  <c r="E85" i="2"/>
  <c r="F84" i="2"/>
  <c r="E84" i="2"/>
  <c r="F83" i="2"/>
  <c r="E83" i="2"/>
  <c r="F82" i="2"/>
  <c r="E82" i="2"/>
  <c r="F81" i="2"/>
  <c r="E81" i="2"/>
  <c r="F80" i="2"/>
  <c r="E80" i="2"/>
  <c r="F79" i="2"/>
  <c r="E79" i="2"/>
  <c r="F78" i="2"/>
  <c r="E78" i="2"/>
  <c r="F77" i="2"/>
  <c r="E77" i="2"/>
  <c r="F76" i="2"/>
  <c r="E76" i="2"/>
  <c r="F75" i="2"/>
  <c r="E75" i="2"/>
  <c r="F74" i="2"/>
  <c r="E74" i="2"/>
  <c r="F73" i="2"/>
  <c r="E73" i="2"/>
  <c r="F72" i="2"/>
  <c r="E72" i="2"/>
  <c r="F71" i="2"/>
  <c r="E71" i="2"/>
  <c r="F70" i="2"/>
  <c r="E70" i="2"/>
  <c r="F69" i="2"/>
  <c r="E69" i="2"/>
  <c r="F68" i="2"/>
  <c r="E68" i="2"/>
  <c r="F67" i="2"/>
  <c r="E67" i="2"/>
  <c r="F66" i="2"/>
  <c r="E66" i="2"/>
  <c r="F65" i="2"/>
  <c r="E65" i="2"/>
  <c r="F64" i="2"/>
  <c r="E64" i="2"/>
  <c r="F63" i="2"/>
  <c r="E63" i="2"/>
  <c r="F62" i="2"/>
  <c r="E62" i="2"/>
  <c r="F61" i="2"/>
  <c r="E61" i="2"/>
  <c r="F60" i="2"/>
  <c r="E60" i="2"/>
  <c r="F59" i="2"/>
  <c r="E59" i="2"/>
  <c r="F58" i="2"/>
  <c r="E58" i="2"/>
  <c r="F57" i="2"/>
  <c r="E57" i="2"/>
  <c r="F56" i="2"/>
  <c r="E56" i="2"/>
  <c r="F55" i="2"/>
  <c r="E55" i="2"/>
  <c r="F54" i="2"/>
  <c r="E54" i="2"/>
  <c r="F53" i="2"/>
  <c r="E53" i="2"/>
  <c r="F52" i="2"/>
  <c r="E52" i="2"/>
  <c r="F51" i="2"/>
  <c r="E51" i="2"/>
  <c r="F50" i="2"/>
  <c r="E50" i="2"/>
  <c r="F49" i="2"/>
  <c r="E49" i="2"/>
  <c r="F48" i="2"/>
  <c r="E48" i="2"/>
  <c r="F47" i="2"/>
  <c r="E47" i="2"/>
  <c r="F46" i="2"/>
  <c r="E46" i="2"/>
  <c r="F45" i="2"/>
  <c r="E45" i="2"/>
  <c r="F44" i="2"/>
  <c r="E44" i="2"/>
  <c r="F43" i="2"/>
  <c r="E43" i="2"/>
  <c r="F42" i="2"/>
  <c r="E42" i="2"/>
  <c r="F41" i="2"/>
  <c r="E41" i="2"/>
  <c r="F40" i="2"/>
  <c r="E40" i="2"/>
  <c r="F39" i="2"/>
  <c r="E39" i="2"/>
  <c r="F38" i="2"/>
  <c r="E38" i="2"/>
  <c r="F37" i="2"/>
  <c r="E37" i="2"/>
  <c r="F36" i="2"/>
  <c r="E36" i="2"/>
  <c r="F35" i="2"/>
  <c r="E35" i="2"/>
  <c r="F34" i="2"/>
  <c r="E34" i="2"/>
  <c r="F33" i="2"/>
  <c r="E33" i="2"/>
  <c r="F32" i="2"/>
  <c r="E32" i="2"/>
  <c r="F31" i="2"/>
  <c r="E31" i="2"/>
  <c r="F30" i="2"/>
  <c r="E30" i="2"/>
  <c r="F29" i="2"/>
  <c r="E29" i="2"/>
  <c r="F28" i="2"/>
  <c r="E28" i="2"/>
  <c r="F27" i="2"/>
  <c r="E27" i="2"/>
  <c r="F26" i="2"/>
  <c r="E26" i="2"/>
  <c r="F25" i="2"/>
  <c r="E25" i="2"/>
  <c r="F24" i="2"/>
  <c r="E24" i="2"/>
  <c r="F23" i="2"/>
  <c r="E23" i="2"/>
  <c r="F22" i="2"/>
  <c r="E22" i="2"/>
  <c r="F21" i="2"/>
  <c r="E21" i="2"/>
  <c r="F20" i="2"/>
  <c r="E20" i="2"/>
  <c r="F19" i="2"/>
  <c r="E19" i="2"/>
  <c r="F18" i="2"/>
  <c r="E18" i="2"/>
  <c r="F17" i="2"/>
  <c r="E17" i="2"/>
  <c r="F16" i="2"/>
  <c r="E16" i="2"/>
  <c r="F15" i="2"/>
  <c r="E15" i="2"/>
  <c r="F14" i="2"/>
  <c r="E14" i="2"/>
  <c r="F13" i="2"/>
  <c r="E13" i="2"/>
  <c r="F12" i="2"/>
  <c r="E12" i="2"/>
  <c r="F11" i="2"/>
  <c r="E11" i="2"/>
  <c r="F10" i="2"/>
  <c r="E10" i="2"/>
  <c r="F9" i="2"/>
  <c r="E9" i="2"/>
  <c r="F8" i="2"/>
  <c r="E8" i="2"/>
  <c r="F7" i="2"/>
  <c r="E7" i="2"/>
  <c r="F6" i="2"/>
  <c r="E6" i="2"/>
  <c r="BP3" i="2"/>
  <c r="BO3" i="2"/>
  <c r="BN3" i="2"/>
  <c r="BM3" i="2"/>
  <c r="BL3" i="2"/>
  <c r="BK3" i="2"/>
  <c r="BJ3" i="2"/>
  <c r="BI3" i="2"/>
  <c r="BH3" i="2"/>
  <c r="BG3" i="2"/>
  <c r="BF3" i="2"/>
  <c r="BE3" i="2"/>
  <c r="BD3" i="2"/>
  <c r="BC3" i="2"/>
  <c r="BB3" i="2"/>
  <c r="BA3" i="2"/>
  <c r="AZ3" i="2"/>
  <c r="AY3" i="2"/>
  <c r="AX3" i="2"/>
  <c r="AW3" i="2"/>
  <c r="AV3" i="2"/>
  <c r="AU3" i="2"/>
  <c r="AT3" i="2"/>
  <c r="AS3" i="2"/>
  <c r="AR3" i="2"/>
  <c r="AQ3" i="2"/>
  <c r="AP3" i="2"/>
  <c r="AO3" i="2"/>
  <c r="AN3" i="2"/>
  <c r="AM3" i="2"/>
  <c r="AL3" i="2"/>
  <c r="AK3" i="2"/>
  <c r="AJ3" i="2"/>
  <c r="AI3" i="2"/>
  <c r="AH3" i="2"/>
  <c r="AG3" i="2"/>
  <c r="AF3" i="2"/>
  <c r="AE3" i="2"/>
  <c r="AD3" i="2"/>
  <c r="AC3" i="2"/>
  <c r="AB3" i="2"/>
  <c r="AA3" i="2"/>
  <c r="Z3" i="2"/>
  <c r="Y3" i="2"/>
  <c r="X3" i="2"/>
  <c r="W3" i="2"/>
  <c r="V3" i="2"/>
  <c r="U3" i="2"/>
  <c r="T3" i="2"/>
  <c r="S3" i="2"/>
  <c r="R3" i="2"/>
  <c r="Q3" i="2"/>
  <c r="P3" i="2"/>
  <c r="O3" i="2"/>
  <c r="N3" i="2"/>
  <c r="M3" i="2"/>
  <c r="L3" i="2"/>
  <c r="K3" i="2"/>
  <c r="J3" i="2"/>
  <c r="I3" i="2"/>
  <c r="GQ134" i="1"/>
  <c r="F134" i="1"/>
  <c r="E134" i="1"/>
  <c r="D134" i="1"/>
  <c r="GQ133" i="1"/>
  <c r="F133" i="1"/>
  <c r="E133" i="1"/>
  <c r="D133" i="1"/>
  <c r="GQ132" i="1"/>
  <c r="F132" i="1"/>
  <c r="E132" i="1"/>
  <c r="D132" i="1"/>
  <c r="GQ131" i="1"/>
  <c r="F131" i="1"/>
  <c r="E131" i="1"/>
  <c r="D131" i="1"/>
  <c r="GQ130" i="1"/>
  <c r="F130" i="1"/>
  <c r="E130" i="1"/>
  <c r="D130" i="1"/>
  <c r="GQ129" i="1"/>
  <c r="F129" i="1"/>
  <c r="E129" i="1"/>
  <c r="D129" i="1"/>
  <c r="GQ128" i="1"/>
  <c r="F128" i="1"/>
  <c r="E128" i="1"/>
  <c r="D128" i="1"/>
  <c r="GQ127" i="1"/>
  <c r="F127" i="1"/>
  <c r="E127" i="1"/>
  <c r="D127" i="1"/>
  <c r="GQ126" i="1"/>
  <c r="F126" i="1"/>
  <c r="E126" i="1"/>
  <c r="D126" i="1"/>
  <c r="GQ125" i="1"/>
  <c r="F125" i="1"/>
  <c r="E125" i="1"/>
  <c r="D125" i="1"/>
  <c r="GQ124" i="1"/>
  <c r="F124" i="1"/>
  <c r="E124" i="1"/>
  <c r="D124" i="1"/>
  <c r="GQ123" i="1"/>
  <c r="F123" i="1"/>
  <c r="E123" i="1"/>
  <c r="D123" i="1"/>
  <c r="GQ122" i="1"/>
  <c r="F122" i="1"/>
  <c r="E122" i="1"/>
  <c r="D122" i="1"/>
  <c r="GQ121" i="1"/>
  <c r="F121" i="1"/>
  <c r="E121" i="1"/>
  <c r="D121" i="1"/>
  <c r="GQ120" i="1"/>
  <c r="F120" i="1"/>
  <c r="E120" i="1"/>
  <c r="D120" i="1"/>
  <c r="GQ119" i="1"/>
  <c r="F119" i="1"/>
  <c r="E119" i="1"/>
  <c r="D119" i="1"/>
  <c r="GQ118" i="1"/>
  <c r="F118" i="1"/>
  <c r="E118" i="1"/>
  <c r="D118" i="1"/>
  <c r="GQ117" i="1"/>
  <c r="F117" i="1"/>
  <c r="E117" i="1"/>
  <c r="D117" i="1"/>
  <c r="GQ116" i="1"/>
  <c r="F116" i="1"/>
  <c r="E116" i="1"/>
  <c r="D116" i="1"/>
  <c r="GQ115" i="1"/>
  <c r="F115" i="1"/>
  <c r="E115" i="1"/>
  <c r="D115" i="1"/>
  <c r="GQ114" i="1"/>
  <c r="F114" i="1"/>
  <c r="E114" i="1"/>
  <c r="D114" i="1"/>
  <c r="GQ113" i="1"/>
  <c r="F113" i="1"/>
  <c r="E113" i="1"/>
  <c r="D113" i="1"/>
  <c r="GQ112" i="1"/>
  <c r="F112" i="1"/>
  <c r="E112" i="1"/>
  <c r="D112" i="1"/>
  <c r="GQ111" i="1"/>
  <c r="F111" i="1"/>
  <c r="E111" i="1"/>
  <c r="D111" i="1"/>
  <c r="GQ110" i="1"/>
  <c r="F110" i="1"/>
  <c r="E110" i="1"/>
  <c r="D110" i="1"/>
  <c r="GQ109" i="1"/>
  <c r="F109" i="1"/>
  <c r="E109" i="1"/>
  <c r="D109" i="1"/>
  <c r="GQ108" i="1"/>
  <c r="F108" i="1"/>
  <c r="E108" i="1"/>
  <c r="D108" i="1"/>
  <c r="GQ107" i="1"/>
  <c r="F107" i="1"/>
  <c r="E107" i="1"/>
  <c r="D107" i="1"/>
  <c r="GQ106" i="1"/>
  <c r="F106" i="1"/>
  <c r="E106" i="1"/>
  <c r="D106" i="1"/>
  <c r="GQ105" i="1"/>
  <c r="F105" i="1"/>
  <c r="E105" i="1"/>
  <c r="D105" i="1"/>
  <c r="GQ104" i="1"/>
  <c r="F104" i="1"/>
  <c r="E104" i="1"/>
  <c r="D104" i="1"/>
  <c r="GQ103" i="1"/>
  <c r="F103" i="1"/>
  <c r="E103" i="1"/>
  <c r="D103" i="1"/>
  <c r="GQ102" i="1"/>
  <c r="F102" i="1"/>
  <c r="E102" i="1"/>
  <c r="D102" i="1"/>
  <c r="GQ101" i="1"/>
  <c r="F101" i="1"/>
  <c r="E101" i="1"/>
  <c r="D101" i="1"/>
  <c r="GQ100" i="1"/>
  <c r="F100" i="1"/>
  <c r="E100" i="1"/>
  <c r="D100" i="1"/>
  <c r="GQ99" i="1"/>
  <c r="F99" i="1"/>
  <c r="E99" i="1"/>
  <c r="D99" i="1"/>
  <c r="GQ98" i="1"/>
  <c r="F98" i="1"/>
  <c r="E98" i="1"/>
  <c r="D98" i="1"/>
  <c r="GQ97" i="1"/>
  <c r="F97" i="1"/>
  <c r="E97" i="1"/>
  <c r="D97" i="1"/>
  <c r="GQ96" i="1"/>
  <c r="F96" i="1"/>
  <c r="E96" i="1"/>
  <c r="D96" i="1"/>
  <c r="GQ95" i="1"/>
  <c r="F95" i="1"/>
  <c r="E95" i="1"/>
  <c r="D95" i="1"/>
  <c r="GQ94" i="1"/>
  <c r="F94" i="1"/>
  <c r="E94" i="1"/>
  <c r="D94" i="1"/>
  <c r="GQ93" i="1"/>
  <c r="F93" i="1"/>
  <c r="E93" i="1"/>
  <c r="D93" i="1"/>
  <c r="GQ92" i="1"/>
  <c r="F92" i="1"/>
  <c r="E92" i="1"/>
  <c r="D92" i="1"/>
  <c r="GQ91" i="1"/>
  <c r="F91" i="1"/>
  <c r="E91" i="1"/>
  <c r="D91" i="1"/>
  <c r="GQ90" i="1"/>
  <c r="F90" i="1"/>
  <c r="E90" i="1"/>
  <c r="D90" i="1"/>
  <c r="GQ89" i="1"/>
  <c r="F89" i="1"/>
  <c r="E89" i="1"/>
  <c r="D89" i="1"/>
  <c r="GQ88" i="1"/>
  <c r="F88" i="1"/>
  <c r="E88" i="1"/>
  <c r="D88" i="1"/>
  <c r="GQ87" i="1"/>
  <c r="F87" i="1"/>
  <c r="E87" i="1"/>
  <c r="D87" i="1"/>
  <c r="GQ86" i="1"/>
  <c r="F86" i="1"/>
  <c r="E86" i="1"/>
  <c r="D86" i="1"/>
  <c r="GQ85" i="1"/>
  <c r="F85" i="1"/>
  <c r="E85" i="1"/>
  <c r="D85" i="1"/>
  <c r="GQ84" i="1"/>
  <c r="F84" i="1"/>
  <c r="E84" i="1"/>
  <c r="D84" i="1"/>
  <c r="GQ83" i="1"/>
  <c r="F83" i="1"/>
  <c r="E83" i="1"/>
  <c r="D83" i="1"/>
  <c r="GQ82" i="1"/>
  <c r="F82" i="1"/>
  <c r="E82" i="1"/>
  <c r="D82" i="1"/>
  <c r="GQ81" i="1"/>
  <c r="F81" i="1"/>
  <c r="E81" i="1"/>
  <c r="D81" i="1"/>
  <c r="GQ80" i="1"/>
  <c r="F80" i="1"/>
  <c r="E80" i="1"/>
  <c r="D80" i="1"/>
  <c r="GQ79" i="1"/>
  <c r="F79" i="1"/>
  <c r="E79" i="1"/>
  <c r="D79" i="1"/>
  <c r="GQ78" i="1"/>
  <c r="F78" i="1"/>
  <c r="E78" i="1"/>
  <c r="D78" i="1"/>
  <c r="GQ77" i="1"/>
  <c r="F77" i="1"/>
  <c r="E77" i="1"/>
  <c r="D77" i="1"/>
  <c r="GQ76" i="1"/>
  <c r="F76" i="1"/>
  <c r="E76" i="1"/>
  <c r="D76" i="1"/>
  <c r="GQ75" i="1"/>
  <c r="F75" i="1"/>
  <c r="E75" i="1"/>
  <c r="D75" i="1"/>
  <c r="GQ74" i="1"/>
  <c r="F74" i="1"/>
  <c r="E74" i="1"/>
  <c r="D74" i="1"/>
  <c r="GQ73" i="1"/>
  <c r="F73" i="1"/>
  <c r="E73" i="1"/>
  <c r="D73" i="1"/>
  <c r="GQ72" i="1"/>
  <c r="F72" i="1"/>
  <c r="E72" i="1"/>
  <c r="D72" i="1"/>
  <c r="GQ71" i="1"/>
  <c r="F71" i="1"/>
  <c r="E71" i="1"/>
  <c r="D71" i="1"/>
  <c r="GQ70" i="1"/>
  <c r="F70" i="1"/>
  <c r="E70" i="1"/>
  <c r="D70" i="1"/>
  <c r="GQ69" i="1"/>
  <c r="F69" i="1"/>
  <c r="E69" i="1"/>
  <c r="D69" i="1"/>
  <c r="GQ68" i="1"/>
  <c r="F68" i="1"/>
  <c r="E68" i="1"/>
  <c r="D68" i="1"/>
  <c r="GQ67" i="1"/>
  <c r="F67" i="1"/>
  <c r="E67" i="1"/>
  <c r="D67" i="1"/>
  <c r="GQ66" i="1"/>
  <c r="F66" i="1"/>
  <c r="E66" i="1"/>
  <c r="D66" i="1"/>
  <c r="GQ65" i="1"/>
  <c r="F65" i="1"/>
  <c r="E65" i="1"/>
  <c r="D65" i="1"/>
  <c r="GQ64" i="1"/>
  <c r="F64" i="1"/>
  <c r="E64" i="1"/>
  <c r="D64" i="1"/>
  <c r="GQ63" i="1"/>
  <c r="F63" i="1"/>
  <c r="E63" i="1"/>
  <c r="D63" i="1"/>
  <c r="GQ62" i="1"/>
  <c r="F62" i="1"/>
  <c r="E62" i="1"/>
  <c r="D62" i="1"/>
  <c r="GQ61" i="1"/>
  <c r="F61" i="1"/>
  <c r="E61" i="1"/>
  <c r="D61" i="1"/>
  <c r="GQ60" i="1"/>
  <c r="F60" i="1"/>
  <c r="E60" i="1"/>
  <c r="D60" i="1"/>
  <c r="GQ59" i="1"/>
  <c r="F59" i="1"/>
  <c r="E59" i="1"/>
  <c r="D59" i="1"/>
  <c r="GQ58" i="1"/>
  <c r="F58" i="1"/>
  <c r="E58" i="1"/>
  <c r="D58" i="1"/>
  <c r="GQ57" i="1"/>
  <c r="F57" i="1"/>
  <c r="E57" i="1"/>
  <c r="D57" i="1"/>
  <c r="GQ56" i="1"/>
  <c r="F56" i="1"/>
  <c r="E56" i="1"/>
  <c r="D56" i="1"/>
  <c r="GQ55" i="1"/>
  <c r="F55" i="1"/>
  <c r="E55" i="1"/>
  <c r="D55" i="1"/>
  <c r="GQ54" i="1"/>
  <c r="F54" i="1"/>
  <c r="E54" i="1"/>
  <c r="D54" i="1"/>
  <c r="GQ53" i="1"/>
  <c r="F53" i="1"/>
  <c r="E53" i="1"/>
  <c r="D53" i="1"/>
  <c r="GQ52" i="1"/>
  <c r="F52" i="1"/>
  <c r="E52" i="1"/>
  <c r="D52" i="1"/>
  <c r="GQ51" i="1"/>
  <c r="F51" i="1"/>
  <c r="E51" i="1"/>
  <c r="D51" i="1"/>
  <c r="GQ50" i="1"/>
  <c r="F50" i="1"/>
  <c r="E50" i="1"/>
  <c r="D50" i="1"/>
  <c r="GQ49" i="1"/>
  <c r="F49" i="1"/>
  <c r="E49" i="1"/>
  <c r="D49" i="1"/>
  <c r="GQ48" i="1"/>
  <c r="F48" i="1"/>
  <c r="E48" i="1"/>
  <c r="D48" i="1"/>
  <c r="GQ47" i="1"/>
  <c r="F47" i="1"/>
  <c r="E47" i="1"/>
  <c r="D47" i="1"/>
  <c r="GQ46" i="1"/>
  <c r="F46" i="1"/>
  <c r="E46" i="1"/>
  <c r="D46" i="1"/>
  <c r="GQ45" i="1"/>
  <c r="F45" i="1"/>
  <c r="E45" i="1"/>
  <c r="D45" i="1"/>
  <c r="GQ44" i="1"/>
  <c r="F44" i="1"/>
  <c r="E44" i="1"/>
  <c r="D44" i="1"/>
  <c r="GQ43" i="1"/>
  <c r="F43" i="1"/>
  <c r="E43" i="1"/>
  <c r="D43" i="1"/>
  <c r="GQ42" i="1"/>
  <c r="F42" i="1"/>
  <c r="E42" i="1"/>
  <c r="D42" i="1"/>
  <c r="GQ41" i="1"/>
  <c r="F41" i="1"/>
  <c r="E41" i="1"/>
  <c r="D41" i="1"/>
  <c r="GQ40" i="1"/>
  <c r="F40" i="1"/>
  <c r="E40" i="1"/>
  <c r="D40" i="1"/>
  <c r="GQ39" i="1"/>
  <c r="F39" i="1"/>
  <c r="E39" i="1"/>
  <c r="D39" i="1"/>
  <c r="GQ38" i="1"/>
  <c r="F38" i="1"/>
  <c r="E38" i="1"/>
  <c r="D38" i="1"/>
  <c r="GQ37" i="1"/>
  <c r="F37" i="1"/>
  <c r="E37" i="1"/>
  <c r="D37" i="1"/>
  <c r="GQ36" i="1"/>
  <c r="F36" i="1"/>
  <c r="E36" i="1"/>
  <c r="D36" i="1"/>
  <c r="GQ35" i="1"/>
  <c r="F35" i="1"/>
  <c r="E35" i="1"/>
  <c r="D35" i="1"/>
  <c r="GQ34" i="1"/>
  <c r="F34" i="1"/>
  <c r="E34" i="1"/>
  <c r="D34" i="1"/>
  <c r="GQ33" i="1"/>
  <c r="F33" i="1"/>
  <c r="E33" i="1"/>
  <c r="D33" i="1"/>
  <c r="GQ32" i="1"/>
  <c r="F32" i="1"/>
  <c r="E32" i="1"/>
  <c r="D32" i="1"/>
  <c r="GQ31" i="1"/>
  <c r="F31" i="1"/>
  <c r="E31" i="1"/>
  <c r="D31" i="1"/>
  <c r="GQ30" i="1"/>
  <c r="F30" i="1"/>
  <c r="E30" i="1"/>
  <c r="D30" i="1"/>
  <c r="GQ29" i="1"/>
  <c r="F29" i="1"/>
  <c r="E29" i="1"/>
  <c r="D29" i="1"/>
  <c r="GQ28" i="1"/>
  <c r="F28" i="1"/>
  <c r="E28" i="1"/>
  <c r="D28" i="1"/>
  <c r="GQ27" i="1"/>
  <c r="F27" i="1"/>
  <c r="E27" i="1"/>
  <c r="D27" i="1"/>
  <c r="GQ26" i="1"/>
  <c r="F26" i="1"/>
  <c r="E26" i="1"/>
  <c r="D26" i="1"/>
  <c r="GQ25" i="1"/>
  <c r="F25" i="1"/>
  <c r="E25" i="1"/>
  <c r="D25" i="1"/>
  <c r="GQ24" i="1"/>
  <c r="F24" i="1"/>
  <c r="E24" i="1"/>
  <c r="D24" i="1"/>
  <c r="GQ23" i="1"/>
  <c r="F23" i="1"/>
  <c r="E23" i="1"/>
  <c r="D23" i="1"/>
  <c r="GQ22" i="1"/>
  <c r="F22" i="1"/>
  <c r="E22" i="1"/>
  <c r="D22" i="1"/>
  <c r="GQ21" i="1"/>
  <c r="F21" i="1"/>
  <c r="E21" i="1"/>
  <c r="D21" i="1"/>
  <c r="GQ20" i="1"/>
  <c r="F20" i="1"/>
  <c r="E20" i="1"/>
  <c r="D20" i="1"/>
  <c r="GQ19" i="1"/>
  <c r="F19" i="1"/>
  <c r="E19" i="1"/>
  <c r="D19" i="1"/>
  <c r="GQ18" i="1"/>
  <c r="F18" i="1"/>
  <c r="E18" i="1"/>
  <c r="D18" i="1"/>
  <c r="GQ17" i="1"/>
  <c r="F17" i="1"/>
  <c r="E17" i="1"/>
  <c r="D17" i="1"/>
  <c r="GQ16" i="1"/>
  <c r="F16" i="1"/>
  <c r="E16" i="1"/>
  <c r="D16" i="1"/>
  <c r="GQ15" i="1"/>
  <c r="F15" i="1"/>
  <c r="E15" i="1"/>
  <c r="D15" i="1"/>
  <c r="GQ14" i="1"/>
  <c r="F14" i="1"/>
  <c r="E14" i="1"/>
  <c r="D14" i="1"/>
  <c r="GQ13" i="1"/>
  <c r="F13" i="1"/>
  <c r="E13" i="1"/>
  <c r="D13" i="1"/>
  <c r="GQ12" i="1"/>
  <c r="F12" i="1"/>
  <c r="E12" i="1"/>
  <c r="D12" i="1"/>
  <c r="GQ11" i="1"/>
  <c r="F11" i="1"/>
  <c r="E11" i="1"/>
  <c r="D11" i="1"/>
  <c r="GQ10" i="1"/>
  <c r="F10" i="1"/>
  <c r="E10" i="1"/>
  <c r="D10" i="1"/>
  <c r="GQ9" i="1"/>
  <c r="F9" i="1"/>
  <c r="E9" i="1"/>
  <c r="D9" i="1"/>
  <c r="GQ8" i="1"/>
  <c r="F8" i="1"/>
  <c r="E8" i="1"/>
  <c r="D8" i="1"/>
  <c r="GQ7" i="1"/>
  <c r="F7" i="1"/>
  <c r="E7" i="1"/>
  <c r="D7" i="1"/>
  <c r="GQ6" i="1"/>
  <c r="F6" i="1"/>
  <c r="E6" i="1"/>
  <c r="D6" i="1"/>
  <c r="GJ2" i="1"/>
  <c r="GI2" i="1"/>
  <c r="GA2" i="1"/>
  <c r="FZ2" i="1"/>
  <c r="FQ2" i="1"/>
  <c r="FI2" i="1"/>
  <c r="EZ2" i="1"/>
  <c r="EY2" i="1"/>
  <c r="EH2" i="1"/>
  <c r="DY2" i="1"/>
  <c r="DG2" i="1"/>
  <c r="CX2" i="1"/>
  <c r="CF2" i="1"/>
  <c r="BT2" i="1"/>
  <c r="AV2" i="1"/>
  <c r="AU2" i="1"/>
  <c r="AP2" i="1"/>
  <c r="AO2" i="1"/>
  <c r="AJ2" i="1"/>
  <c r="AI2" i="1"/>
  <c r="AD2" i="1"/>
  <c r="AC2" i="1"/>
  <c r="X2" i="1"/>
  <c r="W2" i="1"/>
  <c r="R2" i="1"/>
  <c r="Q2" i="1"/>
  <c r="K2" i="1"/>
  <c r="J2" i="1"/>
  <c r="DT39" i="1" l="1"/>
  <c r="EV12" i="1"/>
  <c r="DU48" i="1"/>
  <c r="DB126" i="1"/>
  <c r="DB115" i="1"/>
  <c r="EC18" i="1"/>
  <c r="FW78" i="1"/>
  <c r="DT16" i="1"/>
  <c r="EU43" i="1"/>
  <c r="EV43" i="1"/>
  <c r="DC131" i="1"/>
  <c r="EC89" i="1"/>
  <c r="FD101" i="1"/>
  <c r="FW119" i="1"/>
  <c r="FV119" i="1"/>
  <c r="FW95" i="1"/>
  <c r="FW83" i="1"/>
  <c r="DT108" i="1"/>
  <c r="DU108" i="1"/>
  <c r="DL35" i="1"/>
  <c r="DK11" i="1"/>
  <c r="GO128" i="1"/>
  <c r="GN128" i="1"/>
  <c r="DT131" i="1"/>
  <c r="DU131" i="1"/>
  <c r="DT119" i="1"/>
  <c r="DT107" i="1"/>
  <c r="DL82" i="1"/>
  <c r="EC93" i="1"/>
  <c r="ED93" i="1"/>
  <c r="EC70" i="1"/>
  <c r="EC46" i="1"/>
  <c r="EV41" i="1"/>
  <c r="EV17" i="1"/>
  <c r="DC107" i="1"/>
  <c r="FM89" i="1"/>
  <c r="FM77" i="1"/>
  <c r="FM65" i="1"/>
  <c r="FM53" i="1"/>
  <c r="FM29" i="1"/>
  <c r="FM17" i="1"/>
  <c r="FW88" i="1"/>
  <c r="FW77" i="1"/>
  <c r="FV53" i="1"/>
  <c r="FV41" i="1"/>
  <c r="FW17" i="1"/>
  <c r="EU124" i="1"/>
  <c r="EU112" i="1"/>
  <c r="EU100" i="1"/>
  <c r="EU88" i="1"/>
  <c r="EU76" i="1"/>
  <c r="EU64" i="1"/>
  <c r="EU52" i="1"/>
  <c r="DC71" i="1"/>
  <c r="FD125" i="1"/>
  <c r="FD113" i="1"/>
  <c r="FM124" i="1"/>
  <c r="FN112" i="1"/>
  <c r="FN100" i="1"/>
  <c r="FN76" i="1"/>
  <c r="FN40" i="1"/>
  <c r="FM28" i="1"/>
  <c r="DC94" i="1"/>
  <c r="DB82" i="1"/>
  <c r="ED45" i="1"/>
  <c r="DL130" i="1"/>
  <c r="DL106" i="1"/>
  <c r="EC82" i="1"/>
  <c r="EU29" i="1"/>
  <c r="DB118" i="1"/>
  <c r="FE101" i="1"/>
  <c r="FE89" i="1"/>
  <c r="FE77" i="1"/>
  <c r="FD29" i="1"/>
  <c r="FD17" i="1"/>
  <c r="FN123" i="1"/>
  <c r="FN111" i="1"/>
  <c r="FN51" i="1"/>
  <c r="GF87" i="1"/>
  <c r="GF39" i="1"/>
  <c r="FE111" i="1"/>
  <c r="FD76" i="1"/>
  <c r="FD64" i="1"/>
  <c r="FD52" i="1"/>
  <c r="FD28" i="1"/>
  <c r="FN26" i="1"/>
  <c r="FM26" i="1"/>
  <c r="FV131" i="1"/>
  <c r="EC125" i="1"/>
  <c r="ED113" i="1"/>
  <c r="ED101" i="1"/>
  <c r="EL124" i="1"/>
  <c r="DT100" i="1"/>
  <c r="DU88" i="1"/>
  <c r="DT76" i="1"/>
  <c r="DT64" i="1"/>
  <c r="DT52" i="1"/>
  <c r="DU41" i="1"/>
  <c r="GO131" i="1"/>
  <c r="GN119" i="1"/>
  <c r="GN95" i="1"/>
  <c r="GN83" i="1"/>
  <c r="GN71" i="1"/>
  <c r="GO59" i="1"/>
  <c r="GN47" i="1"/>
  <c r="GN35" i="1"/>
  <c r="GN11" i="1"/>
  <c r="FM61" i="1"/>
  <c r="FN61" i="1"/>
  <c r="FV130" i="1"/>
  <c r="ED124" i="1"/>
  <c r="ED112" i="1"/>
  <c r="ED100" i="1"/>
  <c r="GF46" i="1"/>
  <c r="FD119" i="1"/>
  <c r="FM59" i="1"/>
  <c r="FV118" i="1"/>
  <c r="FW59" i="1"/>
  <c r="DB35" i="1"/>
  <c r="DL58" i="1"/>
  <c r="GE129" i="1"/>
  <c r="GE69" i="1"/>
  <c r="FE95" i="1"/>
  <c r="FE35" i="1"/>
  <c r="FM105" i="1"/>
  <c r="EL76" i="1"/>
  <c r="DC70" i="1"/>
  <c r="DC10" i="1"/>
  <c r="GE104" i="1"/>
  <c r="GE32" i="1"/>
  <c r="GN89" i="1"/>
  <c r="FE105" i="1"/>
  <c r="FD46" i="1"/>
  <c r="FM116" i="1"/>
  <c r="FM21" i="1"/>
  <c r="FV21" i="1"/>
  <c r="ED50" i="1"/>
  <c r="DB45" i="1"/>
  <c r="DK32" i="1"/>
  <c r="DT81" i="1"/>
  <c r="GF127" i="1"/>
  <c r="GF103" i="1"/>
  <c r="GF79" i="1"/>
  <c r="GF67" i="1"/>
  <c r="FM56" i="1"/>
  <c r="FM44" i="1"/>
  <c r="FM32" i="1"/>
  <c r="FW20" i="1"/>
  <c r="FV20" i="1"/>
  <c r="FW8" i="1"/>
  <c r="ED131" i="1"/>
  <c r="EC119" i="1"/>
  <c r="EC107" i="1"/>
  <c r="EC95" i="1"/>
  <c r="ED61" i="1"/>
  <c r="EM131" i="1"/>
  <c r="EL119" i="1"/>
  <c r="EL96" i="1"/>
  <c r="EM86" i="1"/>
  <c r="EM62" i="1"/>
  <c r="EL50" i="1"/>
  <c r="EM38" i="1"/>
  <c r="EL26" i="1"/>
  <c r="EL14" i="1"/>
  <c r="EU131" i="1"/>
  <c r="EU119" i="1"/>
  <c r="EU83" i="1"/>
  <c r="EU47" i="1"/>
  <c r="EU35" i="1"/>
  <c r="DB124" i="1"/>
  <c r="DC79" i="1"/>
  <c r="DC9" i="1"/>
  <c r="DK20" i="1"/>
  <c r="DT104" i="1"/>
  <c r="DU92" i="1"/>
  <c r="DU68" i="1"/>
  <c r="DT56" i="1"/>
  <c r="DT10" i="1"/>
  <c r="GE118" i="1"/>
  <c r="GE94" i="1"/>
  <c r="GE70" i="1"/>
  <c r="GE34" i="1"/>
  <c r="GE10" i="1"/>
  <c r="FD131" i="1"/>
  <c r="FM83" i="1"/>
  <c r="FV94" i="1"/>
  <c r="FV47" i="1"/>
  <c r="ED88" i="1"/>
  <c r="DB59" i="1"/>
  <c r="DB23" i="1"/>
  <c r="DL34" i="1"/>
  <c r="DU129" i="1"/>
  <c r="DU59" i="1"/>
  <c r="GE117" i="1"/>
  <c r="GE93" i="1"/>
  <c r="GE45" i="1"/>
  <c r="GE9" i="1"/>
  <c r="FE118" i="1"/>
  <c r="FD83" i="1"/>
  <c r="FD23" i="1"/>
  <c r="FM117" i="1"/>
  <c r="FN70" i="1"/>
  <c r="FN46" i="1"/>
  <c r="EC51" i="1"/>
  <c r="ED51" i="1"/>
  <c r="ED27" i="1"/>
  <c r="DB58" i="1"/>
  <c r="DB34" i="1"/>
  <c r="DL68" i="1"/>
  <c r="DL11" i="1"/>
  <c r="GE128" i="1"/>
  <c r="GF92" i="1"/>
  <c r="GF68" i="1"/>
  <c r="GN113" i="1"/>
  <c r="GO77" i="1"/>
  <c r="GO41" i="1"/>
  <c r="FE129" i="1"/>
  <c r="FE94" i="1"/>
  <c r="FD70" i="1"/>
  <c r="FE11" i="1"/>
  <c r="FM69" i="1"/>
  <c r="FM9" i="1"/>
  <c r="EC62" i="1"/>
  <c r="ED26" i="1"/>
  <c r="EM87" i="1"/>
  <c r="DC57" i="1"/>
  <c r="DB33" i="1"/>
  <c r="DB9" i="1"/>
  <c r="DL56" i="1"/>
  <c r="DU105" i="1"/>
  <c r="DU69" i="1"/>
  <c r="DU23" i="1"/>
  <c r="GN99" i="1"/>
  <c r="GN63" i="1"/>
  <c r="GN16" i="1"/>
  <c r="FD44" i="1"/>
  <c r="FN79" i="1"/>
  <c r="EC94" i="1"/>
  <c r="EM130" i="1"/>
  <c r="DB134" i="1"/>
  <c r="DT125" i="1"/>
  <c r="DT33" i="1"/>
  <c r="DU9" i="1"/>
  <c r="GE130" i="1"/>
  <c r="GE82" i="1"/>
  <c r="GE58" i="1"/>
  <c r="GF22" i="1"/>
  <c r="FM118" i="1"/>
  <c r="FM94" i="1"/>
  <c r="FM71" i="1"/>
  <c r="FN35" i="1"/>
  <c r="FW35" i="1"/>
  <c r="DC47" i="1"/>
  <c r="DB11" i="1"/>
  <c r="DK23" i="1"/>
  <c r="DT95" i="1"/>
  <c r="GE105" i="1"/>
  <c r="GE81" i="1"/>
  <c r="GE57" i="1"/>
  <c r="FD130" i="1"/>
  <c r="FD106" i="1"/>
  <c r="FD71" i="1"/>
  <c r="FE47" i="1"/>
  <c r="FM129" i="1"/>
  <c r="FM58" i="1"/>
  <c r="EL52" i="1"/>
  <c r="DC104" i="1"/>
  <c r="DC81" i="1"/>
  <c r="DC46" i="1"/>
  <c r="DC22" i="1"/>
  <c r="DU47" i="1"/>
  <c r="GF116" i="1"/>
  <c r="GE80" i="1"/>
  <c r="GO125" i="1"/>
  <c r="GO65" i="1"/>
  <c r="FD22" i="1"/>
  <c r="FN128" i="1"/>
  <c r="FM93" i="1"/>
  <c r="FM81" i="1"/>
  <c r="FV104" i="1"/>
  <c r="FV9" i="1"/>
  <c r="FW9" i="1"/>
  <c r="EC86" i="1"/>
  <c r="EC38" i="1"/>
  <c r="ED15" i="1"/>
  <c r="EL63" i="1"/>
  <c r="EM39" i="1"/>
  <c r="EM15" i="1"/>
  <c r="DB69" i="1"/>
  <c r="DB21" i="1"/>
  <c r="DK68" i="1"/>
  <c r="DL10" i="1"/>
  <c r="DT57" i="1"/>
  <c r="DU11" i="1"/>
  <c r="GN111" i="1"/>
  <c r="GO87" i="1"/>
  <c r="GO51" i="1"/>
  <c r="GN28" i="1"/>
  <c r="FD80" i="1"/>
  <c r="FD68" i="1"/>
  <c r="FD56" i="1"/>
  <c r="FD32" i="1"/>
  <c r="FD20" i="1"/>
  <c r="FN67" i="1"/>
  <c r="FV124" i="1"/>
  <c r="EC130" i="1"/>
  <c r="EC118" i="1"/>
  <c r="EC106" i="1"/>
  <c r="EM107" i="1"/>
  <c r="DC123" i="1"/>
  <c r="DC112" i="1"/>
  <c r="DL8" i="1"/>
  <c r="DT113" i="1"/>
  <c r="DU91" i="1"/>
  <c r="GE101" i="1"/>
  <c r="GE89" i="1"/>
  <c r="GE65" i="1"/>
  <c r="GE53" i="1"/>
  <c r="GE41" i="1"/>
  <c r="GE29" i="1"/>
  <c r="GN134" i="1"/>
  <c r="FV123" i="1"/>
  <c r="FV113" i="1"/>
  <c r="FW101" i="1"/>
  <c r="EC129" i="1"/>
  <c r="EC117" i="1"/>
  <c r="EC105" i="1"/>
  <c r="EC83" i="1"/>
  <c r="ED71" i="1"/>
  <c r="ED47" i="1"/>
  <c r="EC35" i="1"/>
  <c r="ED23" i="1"/>
  <c r="EL106" i="1"/>
  <c r="EU129" i="1"/>
  <c r="EU105" i="1"/>
  <c r="EU93" i="1"/>
  <c r="EU57" i="1"/>
  <c r="FV99" i="1"/>
  <c r="FV52" i="1"/>
  <c r="FV16" i="1"/>
  <c r="ED103" i="1"/>
  <c r="EC69" i="1"/>
  <c r="EM128" i="1"/>
  <c r="EL71" i="1"/>
  <c r="EL47" i="1"/>
  <c r="EM35" i="1"/>
  <c r="EM11" i="1"/>
  <c r="EV116" i="1"/>
  <c r="EU104" i="1"/>
  <c r="EV92" i="1"/>
  <c r="EU80" i="1"/>
  <c r="EU56" i="1"/>
  <c r="DC100" i="1"/>
  <c r="DC88" i="1"/>
  <c r="DC77" i="1"/>
  <c r="DK124" i="1"/>
  <c r="DK112" i="1"/>
  <c r="DK100" i="1"/>
  <c r="DK88" i="1"/>
  <c r="DK76" i="1"/>
  <c r="DT124" i="1"/>
  <c r="DU112" i="1"/>
  <c r="DU32" i="1"/>
  <c r="DT20" i="1"/>
  <c r="DU8" i="1"/>
  <c r="FN39" i="1"/>
  <c r="FN16" i="1"/>
  <c r="FV111" i="1"/>
  <c r="FV40" i="1"/>
  <c r="ED92" i="1"/>
  <c r="EC81" i="1"/>
  <c r="EC57" i="1"/>
  <c r="EC22" i="1"/>
  <c r="EC11" i="1"/>
  <c r="EM59" i="1"/>
  <c r="EL23" i="1"/>
  <c r="GE131" i="1"/>
  <c r="GF119" i="1"/>
  <c r="GF107" i="1"/>
  <c r="GE83" i="1"/>
  <c r="GE71" i="1"/>
  <c r="GF35" i="1"/>
  <c r="GF23" i="1"/>
  <c r="GF11" i="1"/>
  <c r="GO105" i="1"/>
  <c r="GN81" i="1"/>
  <c r="GN69" i="1"/>
  <c r="GO57" i="1"/>
  <c r="FE121" i="1"/>
  <c r="FE98" i="1"/>
  <c r="FD86" i="1"/>
  <c r="FE74" i="1"/>
  <c r="FD38" i="1"/>
  <c r="FD26" i="1"/>
  <c r="FE15" i="1"/>
  <c r="FM50" i="1"/>
  <c r="FN38" i="1"/>
  <c r="FW121" i="1"/>
  <c r="FV110" i="1"/>
  <c r="FV98" i="1"/>
  <c r="FV86" i="1"/>
  <c r="FV75" i="1"/>
  <c r="FV63" i="1"/>
  <c r="FW51" i="1"/>
  <c r="FV39" i="1"/>
  <c r="FV27" i="1"/>
  <c r="EC45" i="1"/>
  <c r="EC21" i="1"/>
  <c r="ED10" i="1"/>
  <c r="EL82" i="1"/>
  <c r="EL70" i="1"/>
  <c r="EL58" i="1"/>
  <c r="EM34" i="1"/>
  <c r="EM10" i="1"/>
  <c r="EV115" i="1"/>
  <c r="EU32" i="1"/>
  <c r="EV20" i="1"/>
  <c r="DC110" i="1"/>
  <c r="DC99" i="1"/>
  <c r="DC87" i="1"/>
  <c r="DC65" i="1"/>
  <c r="DB53" i="1"/>
  <c r="DB41" i="1"/>
  <c r="DB29" i="1"/>
  <c r="DB17" i="1"/>
  <c r="DK123" i="1"/>
  <c r="DK99" i="1"/>
  <c r="DK75" i="1"/>
  <c r="DK64" i="1"/>
  <c r="DK52" i="1"/>
  <c r="DK40" i="1"/>
  <c r="DK28" i="1"/>
  <c r="DT123" i="1"/>
  <c r="DU111" i="1"/>
  <c r="DU7" i="1"/>
  <c r="DT7" i="1"/>
  <c r="GN124" i="1"/>
  <c r="GN112" i="1"/>
  <c r="GN100" i="1"/>
  <c r="GO76" i="1"/>
  <c r="GO64" i="1"/>
  <c r="GO17" i="1"/>
  <c r="FE81" i="1"/>
  <c r="FD69" i="1"/>
  <c r="FD57" i="1"/>
  <c r="FD45" i="1"/>
  <c r="FD33" i="1"/>
  <c r="FN103" i="1"/>
  <c r="FM92" i="1"/>
  <c r="FN68" i="1"/>
  <c r="FM57" i="1"/>
  <c r="FM33" i="1"/>
  <c r="FN22" i="1"/>
  <c r="FV105" i="1"/>
  <c r="FV70" i="1"/>
  <c r="FV34" i="1"/>
  <c r="FV11" i="1"/>
  <c r="ED123" i="1"/>
  <c r="EC111" i="1"/>
  <c r="ED99" i="1"/>
  <c r="ED89" i="1"/>
  <c r="EC77" i="1"/>
  <c r="EC65" i="1"/>
  <c r="EM68" i="1"/>
  <c r="EM32" i="1"/>
  <c r="EM20" i="1"/>
  <c r="EV125" i="1"/>
  <c r="EV113" i="1"/>
  <c r="EU101" i="1"/>
  <c r="EU77" i="1"/>
  <c r="EV65" i="1"/>
  <c r="DB130" i="1"/>
  <c r="DC119" i="1"/>
  <c r="DB74" i="1"/>
  <c r="DC63" i="1"/>
  <c r="DC39" i="1"/>
  <c r="DC15" i="1"/>
  <c r="DK62" i="1"/>
  <c r="DK50" i="1"/>
  <c r="DL38" i="1"/>
  <c r="DK27" i="1"/>
  <c r="DU101" i="1"/>
  <c r="DU89" i="1"/>
  <c r="DU77" i="1"/>
  <c r="DT65" i="1"/>
  <c r="DU31" i="1"/>
  <c r="GE124" i="1"/>
  <c r="GE112" i="1"/>
  <c r="GE100" i="1"/>
  <c r="GE88" i="1"/>
  <c r="GE76" i="1"/>
  <c r="GE64" i="1"/>
  <c r="GE52" i="1"/>
  <c r="GE28" i="1"/>
  <c r="GE16" i="1"/>
  <c r="GN122" i="1"/>
  <c r="GN110" i="1"/>
  <c r="GN98" i="1"/>
  <c r="GN86" i="1"/>
  <c r="GN74" i="1"/>
  <c r="GN62" i="1"/>
  <c r="GN50" i="1"/>
  <c r="GN39" i="1"/>
  <c r="GO15" i="1"/>
  <c r="FE91" i="1"/>
  <c r="FE67" i="1"/>
  <c r="FE55" i="1"/>
  <c r="FE31" i="1"/>
  <c r="FD8" i="1"/>
  <c r="FM125" i="1"/>
  <c r="FM113" i="1"/>
  <c r="FM101" i="1"/>
  <c r="FM8" i="1"/>
  <c r="FW125" i="1"/>
  <c r="FW103" i="1"/>
  <c r="FW91" i="1"/>
  <c r="FW68" i="1"/>
  <c r="FV56" i="1"/>
  <c r="FW44" i="1"/>
  <c r="ED109" i="1"/>
  <c r="EC29" i="1"/>
  <c r="EL123" i="1"/>
  <c r="EL111" i="1"/>
  <c r="EL100" i="1"/>
  <c r="EU111" i="1"/>
  <c r="EU99" i="1"/>
  <c r="EU87" i="1"/>
  <c r="EU75" i="1"/>
  <c r="EV51" i="1"/>
  <c r="EU40" i="1"/>
  <c r="EU16" i="1"/>
  <c r="DB128" i="1"/>
  <c r="DB83" i="1"/>
  <c r="DC49" i="1"/>
  <c r="DC25" i="1"/>
  <c r="DK131" i="1"/>
  <c r="DK119" i="1"/>
  <c r="DL107" i="1"/>
  <c r="DK95" i="1"/>
  <c r="DL83" i="1"/>
  <c r="DK71" i="1"/>
  <c r="DU40" i="1"/>
  <c r="DT17" i="1"/>
  <c r="FV33" i="1"/>
  <c r="FW33" i="1"/>
  <c r="EM104" i="1"/>
  <c r="EL104" i="1"/>
  <c r="FD93" i="1"/>
  <c r="FE93" i="1"/>
  <c r="GF50" i="1"/>
  <c r="GO26" i="1"/>
  <c r="DU29" i="1"/>
  <c r="DT29" i="1"/>
  <c r="DL80" i="1"/>
  <c r="DK80" i="1"/>
  <c r="EV11" i="1"/>
  <c r="EU11" i="1"/>
  <c r="FM88" i="1"/>
  <c r="FN88" i="1"/>
  <c r="FE82" i="1"/>
  <c r="FD82" i="1"/>
  <c r="EL126" i="1"/>
  <c r="EM126" i="1"/>
  <c r="FN134" i="1"/>
  <c r="FM134" i="1"/>
  <c r="FD129" i="1"/>
  <c r="FM16" i="1"/>
  <c r="FV88" i="1"/>
  <c r="EV101" i="1"/>
  <c r="DL123" i="1"/>
  <c r="DL88" i="1"/>
  <c r="DL20" i="1"/>
  <c r="GF53" i="1"/>
  <c r="GE31" i="1"/>
  <c r="GN103" i="1"/>
  <c r="GO80" i="1"/>
  <c r="FD89" i="1"/>
  <c r="EC103" i="1"/>
  <c r="EC26" i="1"/>
  <c r="GF19" i="1"/>
  <c r="FW47" i="1"/>
  <c r="ED82" i="1"/>
  <c r="GF86" i="1"/>
  <c r="ED91" i="1"/>
  <c r="GF104" i="1"/>
  <c r="GE39" i="1"/>
  <c r="FM120" i="1"/>
  <c r="FN110" i="1"/>
  <c r="FN89" i="1"/>
  <c r="FN59" i="1"/>
  <c r="ED37" i="1"/>
  <c r="EL62" i="1"/>
  <c r="EV87" i="1"/>
  <c r="EU19" i="1"/>
  <c r="DB112" i="1"/>
  <c r="DC34" i="1"/>
  <c r="GO112" i="1"/>
  <c r="FE69" i="1"/>
  <c r="FE22" i="1"/>
  <c r="FM68" i="1"/>
  <c r="FV77" i="1"/>
  <c r="EM114" i="1"/>
  <c r="EL38" i="1"/>
  <c r="EU41" i="1"/>
  <c r="DB132" i="1"/>
  <c r="DL128" i="1"/>
  <c r="DL18" i="1"/>
  <c r="DU37" i="1"/>
  <c r="DT15" i="1"/>
  <c r="GO42" i="1"/>
  <c r="FN118" i="1"/>
  <c r="FV95" i="1"/>
  <c r="FV85" i="1"/>
  <c r="EL132" i="1"/>
  <c r="EM123" i="1"/>
  <c r="EM82" i="1"/>
  <c r="EV85" i="1"/>
  <c r="DC42" i="1"/>
  <c r="DT55" i="1"/>
  <c r="GE79" i="1"/>
  <c r="GN64" i="1"/>
  <c r="ED65" i="1"/>
  <c r="ED35" i="1"/>
  <c r="EV129" i="1"/>
  <c r="DK115" i="1"/>
  <c r="DT13" i="1"/>
  <c r="GF132" i="1"/>
  <c r="GE110" i="1"/>
  <c r="GE35" i="1"/>
  <c r="FE76" i="1"/>
  <c r="FM86" i="1"/>
  <c r="GF120" i="1"/>
  <c r="FN125" i="1"/>
  <c r="FN105" i="1"/>
  <c r="FN74" i="1"/>
  <c r="FV125" i="1"/>
  <c r="FW27" i="1"/>
  <c r="ED129" i="1"/>
  <c r="EC42" i="1"/>
  <c r="EL110" i="1"/>
  <c r="DC62" i="1"/>
  <c r="DL114" i="1"/>
  <c r="GE119" i="1"/>
  <c r="FE56" i="1"/>
  <c r="FD11" i="1"/>
  <c r="FN50" i="1"/>
  <c r="FN27" i="1"/>
  <c r="FN17" i="1"/>
  <c r="ED85" i="1"/>
  <c r="DB65" i="1"/>
  <c r="DC33" i="1"/>
  <c r="DB10" i="1"/>
  <c r="DL119" i="1"/>
  <c r="DK55" i="1"/>
  <c r="DL23" i="1"/>
  <c r="DL42" i="1"/>
  <c r="GE96" i="1"/>
  <c r="GN48" i="1"/>
  <c r="FD105" i="1"/>
  <c r="FD95" i="1"/>
  <c r="FM67" i="1"/>
  <c r="FN58" i="1"/>
  <c r="EC61" i="1"/>
  <c r="DK74" i="1"/>
  <c r="DT41" i="1"/>
  <c r="DT32" i="1"/>
  <c r="DU12" i="1"/>
  <c r="GE87" i="1"/>
  <c r="GF78" i="1"/>
  <c r="GE67" i="1"/>
  <c r="GE26" i="1"/>
  <c r="FM112" i="1"/>
  <c r="FM103" i="1"/>
  <c r="FN32" i="1"/>
  <c r="ED49" i="1"/>
  <c r="EL20" i="1"/>
  <c r="EV93" i="1"/>
  <c r="EU61" i="1"/>
  <c r="DB120" i="1"/>
  <c r="DK35" i="1"/>
  <c r="DL6" i="1"/>
  <c r="DU56" i="1"/>
  <c r="DC98" i="1"/>
  <c r="DL102" i="1"/>
  <c r="ED73" i="1"/>
  <c r="DU84" i="1"/>
  <c r="DT84" i="1"/>
  <c r="DU24" i="1"/>
  <c r="GE22" i="1"/>
  <c r="GN108" i="1"/>
  <c r="GN13" i="1"/>
  <c r="FD54" i="1"/>
  <c r="FE32" i="1"/>
  <c r="FV91" i="1"/>
  <c r="FW38" i="1"/>
  <c r="DK107" i="1"/>
  <c r="DL66" i="1"/>
  <c r="DL26" i="1"/>
  <c r="DU60" i="1"/>
  <c r="DU63" i="1"/>
  <c r="DT63" i="1"/>
  <c r="EM26" i="1"/>
  <c r="GO95" i="1"/>
  <c r="GO73" i="1"/>
  <c r="GN41" i="1"/>
  <c r="GN20" i="1"/>
  <c r="FE52" i="1"/>
  <c r="FM70" i="1"/>
  <c r="FV109" i="1"/>
  <c r="FW98" i="1"/>
  <c r="FW16" i="1"/>
  <c r="ED107" i="1"/>
  <c r="ED21" i="1"/>
  <c r="EM100" i="1"/>
  <c r="EM58" i="1"/>
  <c r="EM47" i="1"/>
  <c r="EV124" i="1"/>
  <c r="EU113" i="1"/>
  <c r="EU92" i="1"/>
  <c r="DU124" i="1"/>
  <c r="DT68" i="1"/>
  <c r="DU75" i="1"/>
  <c r="DT75" i="1"/>
  <c r="ED97" i="1"/>
  <c r="EU7" i="1"/>
  <c r="EV7" i="1"/>
  <c r="GE127" i="1"/>
  <c r="GN125" i="1"/>
  <c r="GO19" i="1"/>
  <c r="GN9" i="1"/>
  <c r="FM98" i="1"/>
  <c r="FN29" i="1"/>
  <c r="FV24" i="1"/>
  <c r="ED106" i="1"/>
  <c r="EV131" i="1"/>
  <c r="EV91" i="1"/>
  <c r="EU71" i="1"/>
  <c r="EV71" i="1"/>
  <c r="DB57" i="1"/>
  <c r="DC35" i="1"/>
  <c r="DL62" i="1"/>
  <c r="DK31" i="1"/>
  <c r="DU20" i="1"/>
  <c r="DB86" i="1"/>
  <c r="DC86" i="1"/>
  <c r="DB96" i="1"/>
  <c r="DC96" i="1"/>
  <c r="DU87" i="1"/>
  <c r="DT87" i="1"/>
  <c r="DU116" i="1"/>
  <c r="DT116" i="1"/>
  <c r="EV37" i="1"/>
  <c r="EU37" i="1"/>
  <c r="DU79" i="1"/>
  <c r="DT79" i="1"/>
  <c r="DT99" i="1"/>
  <c r="DU99" i="1"/>
  <c r="DU115" i="1"/>
  <c r="DT115" i="1"/>
  <c r="GF128" i="1"/>
  <c r="GF93" i="1"/>
  <c r="GO100" i="1"/>
  <c r="FM111" i="1"/>
  <c r="FV103" i="1"/>
  <c r="FW52" i="1"/>
  <c r="EC67" i="1"/>
  <c r="EL90" i="1"/>
  <c r="EM71" i="1"/>
  <c r="EV117" i="1"/>
  <c r="EU117" i="1"/>
  <c r="EV96" i="1"/>
  <c r="EV69" i="1"/>
  <c r="EU69" i="1"/>
  <c r="DB99" i="1"/>
  <c r="DC29" i="1"/>
  <c r="DL98" i="1"/>
  <c r="DK98" i="1"/>
  <c r="DK59" i="1"/>
  <c r="DL59" i="1"/>
  <c r="DK38" i="1"/>
  <c r="DT112" i="1"/>
  <c r="DU104" i="1"/>
  <c r="DT72" i="1"/>
  <c r="DT44" i="1"/>
  <c r="DU44" i="1"/>
  <c r="DL16" i="1"/>
  <c r="DK16" i="1"/>
  <c r="GF102" i="1"/>
  <c r="GO78" i="1"/>
  <c r="GO68" i="1"/>
  <c r="GO38" i="1"/>
  <c r="FD121" i="1"/>
  <c r="FD81" i="1"/>
  <c r="FE39" i="1"/>
  <c r="FE29" i="1"/>
  <c r="FN119" i="1"/>
  <c r="FN44" i="1"/>
  <c r="FV132" i="1"/>
  <c r="EC113" i="1"/>
  <c r="ED57" i="1"/>
  <c r="ED29" i="1"/>
  <c r="EV127" i="1"/>
  <c r="EU127" i="1"/>
  <c r="EV105" i="1"/>
  <c r="EU79" i="1"/>
  <c r="EV79" i="1"/>
  <c r="DC128" i="1"/>
  <c r="DB88" i="1"/>
  <c r="DB79" i="1"/>
  <c r="DC17" i="1"/>
  <c r="DL86" i="1"/>
  <c r="DK86" i="1"/>
  <c r="DU132" i="1"/>
  <c r="DT92" i="1"/>
  <c r="DT53" i="1"/>
  <c r="DU53" i="1"/>
  <c r="DT9" i="1"/>
  <c r="DU25" i="1"/>
  <c r="GF10" i="1"/>
  <c r="GN121" i="1"/>
  <c r="GO84" i="1"/>
  <c r="GN76" i="1"/>
  <c r="GN59" i="1"/>
  <c r="GO21" i="1"/>
  <c r="FD35" i="1"/>
  <c r="FE17" i="1"/>
  <c r="FN129" i="1"/>
  <c r="FM51" i="1"/>
  <c r="FN43" i="1"/>
  <c r="FV72" i="1"/>
  <c r="FW41" i="1"/>
  <c r="ED117" i="1"/>
  <c r="EC108" i="1"/>
  <c r="EC101" i="1"/>
  <c r="EL86" i="1"/>
  <c r="EL18" i="1"/>
  <c r="EV108" i="1"/>
  <c r="EV99" i="1"/>
  <c r="EV84" i="1"/>
  <c r="EV75" i="1"/>
  <c r="EV57" i="1"/>
  <c r="DB77" i="1"/>
  <c r="DL131" i="1"/>
  <c r="DK122" i="1"/>
  <c r="GO91" i="1"/>
  <c r="EM54" i="1"/>
  <c r="DC118" i="1"/>
  <c r="DB110" i="1"/>
  <c r="DC82" i="1"/>
  <c r="DC66" i="1"/>
  <c r="DC50" i="1"/>
  <c r="DC18" i="1"/>
  <c r="DL95" i="1"/>
  <c r="DL64" i="1"/>
  <c r="DL47" i="1"/>
  <c r="DL40" i="1"/>
  <c r="DL32" i="1"/>
  <c r="DT121" i="1"/>
  <c r="DU113" i="1"/>
  <c r="DU81" i="1"/>
  <c r="DU73" i="1"/>
  <c r="DU49" i="1"/>
  <c r="DT43" i="1"/>
  <c r="GF133" i="1"/>
  <c r="GO47" i="1"/>
  <c r="FE80" i="1"/>
  <c r="FE6" i="1"/>
  <c r="FN31" i="1"/>
  <c r="FW122" i="1"/>
  <c r="FW70" i="1"/>
  <c r="FV59" i="1"/>
  <c r="EM119" i="1"/>
  <c r="EU55" i="1"/>
  <c r="DC41" i="1"/>
  <c r="DK79" i="1"/>
  <c r="DU128" i="1"/>
  <c r="DT89" i="1"/>
  <c r="DU65" i="1"/>
  <c r="GF72" i="1"/>
  <c r="GO54" i="1"/>
  <c r="GN37" i="1"/>
  <c r="GF122" i="1"/>
  <c r="GF105" i="1"/>
  <c r="GF97" i="1"/>
  <c r="GF88" i="1"/>
  <c r="GF62" i="1"/>
  <c r="GF14" i="1"/>
  <c r="GO133" i="1"/>
  <c r="GO124" i="1"/>
  <c r="GN115" i="1"/>
  <c r="GN96" i="1"/>
  <c r="GO71" i="1"/>
  <c r="GO63" i="1"/>
  <c r="FE130" i="1"/>
  <c r="FE103" i="1"/>
  <c r="FD94" i="1"/>
  <c r="FD77" i="1"/>
  <c r="FE68" i="1"/>
  <c r="FE57" i="1"/>
  <c r="FD30" i="1"/>
  <c r="FN133" i="1"/>
  <c r="FN124" i="1"/>
  <c r="FN101" i="1"/>
  <c r="FN92" i="1"/>
  <c r="FM46" i="1"/>
  <c r="FW127" i="1"/>
  <c r="FV101" i="1"/>
  <c r="FV36" i="1"/>
  <c r="ED69" i="1"/>
  <c r="EV52" i="1"/>
  <c r="EV35" i="1"/>
  <c r="EV15" i="1"/>
  <c r="DB71" i="1"/>
  <c r="DC55" i="1"/>
  <c r="DB47" i="1"/>
  <c r="DC38" i="1"/>
  <c r="DC31" i="1"/>
  <c r="DC23" i="1"/>
  <c r="DL91" i="1"/>
  <c r="DL43" i="1"/>
  <c r="DU125" i="1"/>
  <c r="DT111" i="1"/>
  <c r="DU95" i="1"/>
  <c r="GF51" i="1"/>
  <c r="GN87" i="1"/>
  <c r="FD111" i="1"/>
  <c r="FE38" i="1"/>
  <c r="FN109" i="1"/>
  <c r="FM36" i="1"/>
  <c r="FV83" i="1"/>
  <c r="FW75" i="1"/>
  <c r="EC131" i="1"/>
  <c r="ED111" i="1"/>
  <c r="ED77" i="1"/>
  <c r="EC23" i="1"/>
  <c r="EM124" i="1"/>
  <c r="EM106" i="1"/>
  <c r="EL39" i="1"/>
  <c r="EL11" i="1"/>
  <c r="EV60" i="1"/>
  <c r="DL116" i="1"/>
  <c r="DL99" i="1"/>
  <c r="DK83" i="1"/>
  <c r="DL75" i="1"/>
  <c r="DL67" i="1"/>
  <c r="DT40" i="1"/>
  <c r="DT8" i="1"/>
  <c r="DK44" i="1"/>
  <c r="DL44" i="1"/>
  <c r="EL95" i="1"/>
  <c r="EM95" i="1"/>
  <c r="DK54" i="1"/>
  <c r="DL54" i="1"/>
  <c r="ED33" i="1"/>
  <c r="EC33" i="1"/>
  <c r="EC59" i="1"/>
  <c r="ED59" i="1"/>
  <c r="DU21" i="1"/>
  <c r="DT21" i="1"/>
  <c r="ED116" i="1"/>
  <c r="EC116" i="1"/>
  <c r="DU28" i="1"/>
  <c r="DT28" i="1"/>
  <c r="EC126" i="1"/>
  <c r="ED126" i="1"/>
  <c r="DT36" i="1"/>
  <c r="DU36" i="1"/>
  <c r="FV46" i="1"/>
  <c r="FW46" i="1"/>
  <c r="FW65" i="1"/>
  <c r="FV65" i="1"/>
  <c r="DU71" i="1"/>
  <c r="DT71" i="1"/>
  <c r="GE74" i="1"/>
  <c r="GO111" i="1"/>
  <c r="GO102" i="1"/>
  <c r="GO85" i="1"/>
  <c r="GO70" i="1"/>
  <c r="FE131" i="1"/>
  <c r="FE125" i="1"/>
  <c r="FE106" i="1"/>
  <c r="FM123" i="1"/>
  <c r="FM100" i="1"/>
  <c r="FN83" i="1"/>
  <c r="FM22" i="1"/>
  <c r="FW131" i="1"/>
  <c r="FW124" i="1"/>
  <c r="FV89" i="1"/>
  <c r="FW89" i="1"/>
  <c r="FW53" i="1"/>
  <c r="FV35" i="1"/>
  <c r="FV17" i="1"/>
  <c r="ED105" i="1"/>
  <c r="ED98" i="1"/>
  <c r="EC10" i="1"/>
  <c r="EL130" i="1"/>
  <c r="EM70" i="1"/>
  <c r="EM60" i="1"/>
  <c r="EM52" i="1"/>
  <c r="EM42" i="1"/>
  <c r="EV31" i="1"/>
  <c r="EV13" i="1"/>
  <c r="DC124" i="1"/>
  <c r="DC116" i="1"/>
  <c r="DB100" i="1"/>
  <c r="DC92" i="1"/>
  <c r="DC45" i="1"/>
  <c r="DC7" i="1"/>
  <c r="DL92" i="1"/>
  <c r="DL78" i="1"/>
  <c r="DK56" i="1"/>
  <c r="DT101" i="1"/>
  <c r="DT85" i="1"/>
  <c r="DT11" i="1"/>
  <c r="EM78" i="1"/>
  <c r="EL78" i="1"/>
  <c r="EC102" i="1"/>
  <c r="ED102" i="1"/>
  <c r="GF82" i="1"/>
  <c r="GE46" i="1"/>
  <c r="GO119" i="1"/>
  <c r="GN77" i="1"/>
  <c r="GO16" i="1"/>
  <c r="FE45" i="1"/>
  <c r="FN57" i="1"/>
  <c r="FV8" i="1"/>
  <c r="ED19" i="1"/>
  <c r="EV132" i="1"/>
  <c r="EU115" i="1"/>
  <c r="EU20" i="1"/>
  <c r="DC130" i="1"/>
  <c r="DC83" i="1"/>
  <c r="DB22" i="1"/>
  <c r="DC14" i="1"/>
  <c r="DK8" i="1"/>
  <c r="DT69" i="1"/>
  <c r="DU17" i="1"/>
  <c r="GE108" i="1"/>
  <c r="GE92" i="1"/>
  <c r="GO122" i="1"/>
  <c r="GN105" i="1"/>
  <c r="GO90" i="1"/>
  <c r="GO82" i="1"/>
  <c r="GN43" i="1"/>
  <c r="FD118" i="1"/>
  <c r="FD61" i="1"/>
  <c r="FE44" i="1"/>
  <c r="FE28" i="1"/>
  <c r="FN94" i="1"/>
  <c r="FN87" i="1"/>
  <c r="FN55" i="1"/>
  <c r="FM39" i="1"/>
  <c r="FV68" i="1"/>
  <c r="FV51" i="1"/>
  <c r="FW42" i="1"/>
  <c r="ED11" i="1"/>
  <c r="EM92" i="1"/>
  <c r="EL34" i="1"/>
  <c r="EV119" i="1"/>
  <c r="EV67" i="1"/>
  <c r="DC102" i="1"/>
  <c r="DC69" i="1"/>
  <c r="DC21" i="1"/>
  <c r="DL71" i="1"/>
  <c r="DL51" i="1"/>
  <c r="DT77" i="1"/>
  <c r="DT23" i="1"/>
  <c r="GO81" i="1"/>
  <c r="FE83" i="1"/>
  <c r="FN54" i="1"/>
  <c r="EM98" i="1"/>
  <c r="EM84" i="1"/>
  <c r="EV111" i="1"/>
  <c r="EV103" i="1"/>
  <c r="EV24" i="1"/>
  <c r="DC108" i="1"/>
  <c r="DC74" i="1"/>
  <c r="DC53" i="1"/>
  <c r="DC26" i="1"/>
  <c r="DL112" i="1"/>
  <c r="DL104" i="1"/>
  <c r="DL90" i="1"/>
  <c r="DL50" i="1"/>
  <c r="DU123" i="1"/>
  <c r="DU97" i="1"/>
  <c r="DU76" i="1"/>
  <c r="DU64" i="1"/>
  <c r="DU57" i="1"/>
  <c r="DU52" i="1"/>
  <c r="DU33" i="1"/>
  <c r="DU16" i="1"/>
  <c r="GF129" i="1"/>
  <c r="GE114" i="1"/>
  <c r="GF83" i="1"/>
  <c r="GF76" i="1"/>
  <c r="GE68" i="1"/>
  <c r="GF60" i="1"/>
  <c r="GF32" i="1"/>
  <c r="GF25" i="1"/>
  <c r="GN127" i="1"/>
  <c r="GN15" i="1"/>
  <c r="FD98" i="1"/>
  <c r="FD91" i="1"/>
  <c r="FN115" i="1"/>
  <c r="FM76" i="1"/>
  <c r="FW105" i="1"/>
  <c r="FW66" i="1"/>
  <c r="EC112" i="1"/>
  <c r="EC100" i="1"/>
  <c r="ED66" i="1"/>
  <c r="EL32" i="1"/>
  <c r="EM14" i="1"/>
  <c r="EV80" i="1"/>
  <c r="EU72" i="1"/>
  <c r="EV48" i="1"/>
  <c r="EV32" i="1"/>
  <c r="DC134" i="1"/>
  <c r="DC114" i="1"/>
  <c r="DB94" i="1"/>
  <c r="DC59" i="1"/>
  <c r="DB46" i="1"/>
  <c r="DC11" i="1"/>
  <c r="DL126" i="1"/>
  <c r="DL30" i="1"/>
  <c r="DT27" i="1"/>
  <c r="GF95" i="1"/>
  <c r="GE95" i="1"/>
  <c r="GE8" i="1"/>
  <c r="GF8" i="1"/>
  <c r="FD59" i="1"/>
  <c r="FE59" i="1"/>
  <c r="FM132" i="1"/>
  <c r="FN132" i="1"/>
  <c r="FM104" i="1"/>
  <c r="FN104" i="1"/>
  <c r="FM20" i="1"/>
  <c r="FN20" i="1"/>
  <c r="FV90" i="1"/>
  <c r="FW90" i="1"/>
  <c r="ED120" i="1"/>
  <c r="EC120" i="1"/>
  <c r="EM80" i="1"/>
  <c r="EL80" i="1"/>
  <c r="EL46" i="1"/>
  <c r="EM46" i="1"/>
  <c r="DB122" i="1"/>
  <c r="DC122" i="1"/>
  <c r="DB76" i="1"/>
  <c r="DC76" i="1"/>
  <c r="DK111" i="1"/>
  <c r="DL111" i="1"/>
  <c r="DT120" i="1"/>
  <c r="DU120" i="1"/>
  <c r="DU51" i="1"/>
  <c r="DT51" i="1"/>
  <c r="DT26" i="1"/>
  <c r="DU26" i="1"/>
  <c r="GF123" i="1"/>
  <c r="GF118" i="1"/>
  <c r="GF58" i="1"/>
  <c r="GO12" i="1"/>
  <c r="GN12" i="1"/>
  <c r="FE43" i="1"/>
  <c r="FD43" i="1"/>
  <c r="FN96" i="1"/>
  <c r="FW116" i="1"/>
  <c r="FV116" i="1"/>
  <c r="EU63" i="1"/>
  <c r="EV63" i="1"/>
  <c r="EV47" i="1"/>
  <c r="DB121" i="1"/>
  <c r="DC121" i="1"/>
  <c r="DC95" i="1"/>
  <c r="DB95" i="1"/>
  <c r="DL110" i="1"/>
  <c r="DK37" i="1"/>
  <c r="DL37" i="1"/>
  <c r="DU119" i="1"/>
  <c r="DT50" i="1"/>
  <c r="DU50" i="1"/>
  <c r="FM45" i="1"/>
  <c r="FN45" i="1"/>
  <c r="EL108" i="1"/>
  <c r="EM108" i="1"/>
  <c r="EL94" i="1"/>
  <c r="EM94" i="1"/>
  <c r="DB109" i="1"/>
  <c r="DC109" i="1"/>
  <c r="GF73" i="1"/>
  <c r="FE97" i="1"/>
  <c r="FD97" i="1"/>
  <c r="FD34" i="1"/>
  <c r="FE34" i="1"/>
  <c r="FD10" i="1"/>
  <c r="FE10" i="1"/>
  <c r="FM66" i="1"/>
  <c r="FN66" i="1"/>
  <c r="FM52" i="1"/>
  <c r="FN52" i="1"/>
  <c r="FM18" i="1"/>
  <c r="FN18" i="1"/>
  <c r="FN8" i="1"/>
  <c r="FW50" i="1"/>
  <c r="FW34" i="1"/>
  <c r="ED118" i="1"/>
  <c r="EC27" i="1"/>
  <c r="EL44" i="1"/>
  <c r="EM44" i="1"/>
  <c r="EL27" i="1"/>
  <c r="EM27" i="1"/>
  <c r="EL10" i="1"/>
  <c r="EU123" i="1"/>
  <c r="EV123" i="1"/>
  <c r="EU39" i="1"/>
  <c r="EV39" i="1"/>
  <c r="EV9" i="1"/>
  <c r="EU9" i="1"/>
  <c r="DB28" i="1"/>
  <c r="DC28" i="1"/>
  <c r="DK103" i="1"/>
  <c r="DK63" i="1"/>
  <c r="DL63" i="1"/>
  <c r="DT80" i="1"/>
  <c r="DU80" i="1"/>
  <c r="DT61" i="1"/>
  <c r="FM63" i="1"/>
  <c r="FN63" i="1"/>
  <c r="ED133" i="1"/>
  <c r="EC133" i="1"/>
  <c r="ED125" i="1"/>
  <c r="ED81" i="1"/>
  <c r="EC39" i="1"/>
  <c r="ED39" i="1"/>
  <c r="EM8" i="1"/>
  <c r="EL8" i="1"/>
  <c r="EV45" i="1"/>
  <c r="EU45" i="1"/>
  <c r="DB106" i="1"/>
  <c r="DC106" i="1"/>
  <c r="DB93" i="1"/>
  <c r="DC93" i="1"/>
  <c r="DC58" i="1"/>
  <c r="DB6" i="1"/>
  <c r="DC6" i="1"/>
  <c r="DL14" i="1"/>
  <c r="GE36" i="1"/>
  <c r="GF36" i="1"/>
  <c r="GO93" i="1"/>
  <c r="GN93" i="1"/>
  <c r="GO33" i="1"/>
  <c r="GN33" i="1"/>
  <c r="GN22" i="1"/>
  <c r="GO22" i="1"/>
  <c r="EC54" i="1"/>
  <c r="ED54" i="1"/>
  <c r="EV89" i="1"/>
  <c r="EU89" i="1"/>
  <c r="DC111" i="1"/>
  <c r="DB111" i="1"/>
  <c r="DB78" i="1"/>
  <c r="DC78" i="1"/>
  <c r="DK13" i="1"/>
  <c r="DL13" i="1"/>
  <c r="DT90" i="1"/>
  <c r="DU90" i="1"/>
  <c r="GE27" i="1"/>
  <c r="GF27" i="1"/>
  <c r="FD37" i="1"/>
  <c r="FE37" i="1"/>
  <c r="FN99" i="1"/>
  <c r="FM99" i="1"/>
  <c r="FV92" i="1"/>
  <c r="FW92" i="1"/>
  <c r="FV29" i="1"/>
  <c r="FW29" i="1"/>
  <c r="EC87" i="1"/>
  <c r="ED87" i="1"/>
  <c r="EC53" i="1"/>
  <c r="ED53" i="1"/>
  <c r="EC6" i="1"/>
  <c r="ED6" i="1"/>
  <c r="EL75" i="1"/>
  <c r="EM75" i="1"/>
  <c r="EL66" i="1"/>
  <c r="EM66" i="1"/>
  <c r="EL48" i="1"/>
  <c r="EM48" i="1"/>
  <c r="EL22" i="1"/>
  <c r="EM22" i="1"/>
  <c r="EU133" i="1"/>
  <c r="EV133" i="1"/>
  <c r="EU27" i="1"/>
  <c r="EV27" i="1"/>
  <c r="DB97" i="1"/>
  <c r="DC97" i="1"/>
  <c r="DK133" i="1"/>
  <c r="DL133" i="1"/>
  <c r="DK39" i="1"/>
  <c r="DL39" i="1"/>
  <c r="DT109" i="1"/>
  <c r="DU109" i="1"/>
  <c r="DT103" i="1"/>
  <c r="DU103" i="1"/>
  <c r="GN107" i="1"/>
  <c r="GO107" i="1"/>
  <c r="GO31" i="1"/>
  <c r="GN31" i="1"/>
  <c r="FV100" i="1"/>
  <c r="FW100" i="1"/>
  <c r="EL134" i="1"/>
  <c r="EM134" i="1"/>
  <c r="EL102" i="1"/>
  <c r="EM102" i="1"/>
  <c r="EL74" i="1"/>
  <c r="EM74" i="1"/>
  <c r="DB90" i="1"/>
  <c r="DC90" i="1"/>
  <c r="DB30" i="1"/>
  <c r="DC30" i="1"/>
  <c r="DT102" i="1"/>
  <c r="DU102" i="1"/>
  <c r="DT96" i="1"/>
  <c r="DU96" i="1"/>
  <c r="DU45" i="1"/>
  <c r="DT45" i="1"/>
  <c r="FD117" i="1"/>
  <c r="FE117" i="1"/>
  <c r="FE21" i="1"/>
  <c r="FD21" i="1"/>
  <c r="FM91" i="1"/>
  <c r="FN91" i="1"/>
  <c r="FN11" i="1"/>
  <c r="FM11" i="1"/>
  <c r="EC43" i="1"/>
  <c r="ED43" i="1"/>
  <c r="EL118" i="1"/>
  <c r="EM118" i="1"/>
  <c r="EM30" i="1"/>
  <c r="EL30" i="1"/>
  <c r="EM12" i="1"/>
  <c r="EL12" i="1"/>
  <c r="DB129" i="1"/>
  <c r="DC129" i="1"/>
  <c r="DB89" i="1"/>
  <c r="DC89" i="1"/>
  <c r="DK85" i="1"/>
  <c r="DL85" i="1"/>
  <c r="DT114" i="1"/>
  <c r="DU114" i="1"/>
  <c r="GE109" i="1"/>
  <c r="GF109" i="1"/>
  <c r="GE40" i="1"/>
  <c r="GF40" i="1"/>
  <c r="GE15" i="1"/>
  <c r="GF15" i="1"/>
  <c r="GN52" i="1"/>
  <c r="GO52" i="1"/>
  <c r="FD50" i="1"/>
  <c r="FE50" i="1"/>
  <c r="FM102" i="1"/>
  <c r="FN102" i="1"/>
  <c r="FV81" i="1"/>
  <c r="FW81" i="1"/>
  <c r="ED41" i="1"/>
  <c r="EC41" i="1"/>
  <c r="EC34" i="1"/>
  <c r="ED34" i="1"/>
  <c r="EV23" i="1"/>
  <c r="EU23" i="1"/>
  <c r="DC127" i="1"/>
  <c r="DB127" i="1"/>
  <c r="DB54" i="1"/>
  <c r="DC54" i="1"/>
  <c r="DU67" i="1"/>
  <c r="DT67" i="1"/>
  <c r="GE49" i="1"/>
  <c r="GF49" i="1"/>
  <c r="FN122" i="1"/>
  <c r="FM122" i="1"/>
  <c r="FV57" i="1"/>
  <c r="FW57" i="1"/>
  <c r="EU53" i="1"/>
  <c r="EV53" i="1"/>
  <c r="DB113" i="1"/>
  <c r="DC113" i="1"/>
  <c r="DK109" i="1"/>
  <c r="DL109" i="1"/>
  <c r="DK15" i="1"/>
  <c r="DL15" i="1"/>
  <c r="DT66" i="1"/>
  <c r="DU66" i="1"/>
  <c r="GE56" i="1"/>
  <c r="GF56" i="1"/>
  <c r="FD134" i="1"/>
  <c r="FE134" i="1"/>
  <c r="FE65" i="1"/>
  <c r="FD65" i="1"/>
  <c r="GE115" i="1"/>
  <c r="GF115" i="1"/>
  <c r="GE99" i="1"/>
  <c r="GF99" i="1"/>
  <c r="GE47" i="1"/>
  <c r="GF47" i="1"/>
  <c r="GE30" i="1"/>
  <c r="GF30" i="1"/>
  <c r="GN132" i="1"/>
  <c r="GO132" i="1"/>
  <c r="GN117" i="1"/>
  <c r="GO117" i="1"/>
  <c r="GN109" i="1"/>
  <c r="GN49" i="1"/>
  <c r="GO49" i="1"/>
  <c r="GO8" i="1"/>
  <c r="FE119" i="1"/>
  <c r="FD47" i="1"/>
  <c r="FE23" i="1"/>
  <c r="FM114" i="1"/>
  <c r="FN114" i="1"/>
  <c r="FN107" i="1"/>
  <c r="FN62" i="1"/>
  <c r="FN56" i="1"/>
  <c r="FW87" i="1"/>
  <c r="FV87" i="1"/>
  <c r="FW64" i="1"/>
  <c r="FV64" i="1"/>
  <c r="FW14" i="1"/>
  <c r="FW7" i="1"/>
  <c r="ED38" i="1"/>
  <c r="EC25" i="1"/>
  <c r="ED25" i="1"/>
  <c r="EC9" i="1"/>
  <c r="ED9" i="1"/>
  <c r="EM76" i="1"/>
  <c r="EL68" i="1"/>
  <c r="EL51" i="1"/>
  <c r="EM51" i="1"/>
  <c r="EV83" i="1"/>
  <c r="DB105" i="1"/>
  <c r="DC105" i="1"/>
  <c r="DL134" i="1"/>
  <c r="DK61" i="1"/>
  <c r="DL61" i="1"/>
  <c r="DL19" i="1"/>
  <c r="DK7" i="1"/>
  <c r="DT91" i="1"/>
  <c r="ED96" i="1"/>
  <c r="EC96" i="1"/>
  <c r="GE113" i="1"/>
  <c r="GF113" i="1"/>
  <c r="GE90" i="1"/>
  <c r="GE21" i="1"/>
  <c r="GF21" i="1"/>
  <c r="GN116" i="1"/>
  <c r="FD87" i="1"/>
  <c r="FE87" i="1"/>
  <c r="FD63" i="1"/>
  <c r="FE63" i="1"/>
  <c r="FD55" i="1"/>
  <c r="FN23" i="1"/>
  <c r="FM23" i="1"/>
  <c r="FM15" i="1"/>
  <c r="FN15" i="1"/>
  <c r="FV133" i="1"/>
  <c r="FW133" i="1"/>
  <c r="FW126" i="1"/>
  <c r="FW120" i="1"/>
  <c r="FW63" i="1"/>
  <c r="FV22" i="1"/>
  <c r="FW22" i="1"/>
  <c r="EC88" i="1"/>
  <c r="EM83" i="1"/>
  <c r="EL83" i="1"/>
  <c r="EV68" i="1"/>
  <c r="EU68" i="1"/>
  <c r="EU59" i="1"/>
  <c r="EV59" i="1"/>
  <c r="DB131" i="1"/>
  <c r="DB125" i="1"/>
  <c r="DC125" i="1"/>
  <c r="DB52" i="1"/>
  <c r="DC52" i="1"/>
  <c r="DK127" i="1"/>
  <c r="DK87" i="1"/>
  <c r="DL87" i="1"/>
  <c r="GF134" i="1"/>
  <c r="GF71" i="1"/>
  <c r="GE18" i="1"/>
  <c r="GE11" i="1"/>
  <c r="GO126" i="1"/>
  <c r="GN120" i="1"/>
  <c r="FE46" i="1"/>
  <c r="FM128" i="1"/>
  <c r="FN81" i="1"/>
  <c r="FN49" i="1"/>
  <c r="FM42" i="1"/>
  <c r="FN7" i="1"/>
  <c r="FV108" i="1"/>
  <c r="FW39" i="1"/>
  <c r="FW26" i="1"/>
  <c r="FW18" i="1"/>
  <c r="ED130" i="1"/>
  <c r="EC124" i="1"/>
  <c r="EC92" i="1"/>
  <c r="EC71" i="1"/>
  <c r="EC50" i="1"/>
  <c r="EL67" i="1"/>
  <c r="EL59" i="1"/>
  <c r="EL15" i="1"/>
  <c r="EU109" i="1"/>
  <c r="DB119" i="1"/>
  <c r="DB103" i="1"/>
  <c r="DB87" i="1"/>
  <c r="DB75" i="1"/>
  <c r="DC75" i="1"/>
  <c r="DB63" i="1"/>
  <c r="DB51" i="1"/>
  <c r="DC51" i="1"/>
  <c r="DB39" i="1"/>
  <c r="DB27" i="1"/>
  <c r="DC27" i="1"/>
  <c r="DB15" i="1"/>
  <c r="DK132" i="1"/>
  <c r="DL132" i="1"/>
  <c r="DK120" i="1"/>
  <c r="DK108" i="1"/>
  <c r="DL108" i="1"/>
  <c r="DK96" i="1"/>
  <c r="DK84" i="1"/>
  <c r="DL84" i="1"/>
  <c r="DK72" i="1"/>
  <c r="DK60" i="1"/>
  <c r="DL60" i="1"/>
  <c r="DK48" i="1"/>
  <c r="DK36" i="1"/>
  <c r="DL36" i="1"/>
  <c r="DK24" i="1"/>
  <c r="DK12" i="1"/>
  <c r="DL12" i="1"/>
  <c r="DT129" i="1"/>
  <c r="DT118" i="1"/>
  <c r="DU118" i="1"/>
  <c r="DU100" i="1"/>
  <c r="DU83" i="1"/>
  <c r="DT83" i="1"/>
  <c r="ED30" i="1"/>
  <c r="EC30" i="1"/>
  <c r="EC17" i="1"/>
  <c r="ED17" i="1"/>
  <c r="EL99" i="1"/>
  <c r="EM99" i="1"/>
  <c r="EU95" i="1"/>
  <c r="EV95" i="1"/>
  <c r="EV81" i="1"/>
  <c r="EU81" i="1"/>
  <c r="DT117" i="1"/>
  <c r="DU117" i="1"/>
  <c r="DT88" i="1"/>
  <c r="DT82" i="1"/>
  <c r="DU82" i="1"/>
  <c r="DT59" i="1"/>
  <c r="DT42" i="1"/>
  <c r="DU42" i="1"/>
  <c r="DT31" i="1"/>
  <c r="DB68" i="1"/>
  <c r="DC68" i="1"/>
  <c r="DB44" i="1"/>
  <c r="DC44" i="1"/>
  <c r="DB20" i="1"/>
  <c r="DC20" i="1"/>
  <c r="DK125" i="1"/>
  <c r="DL125" i="1"/>
  <c r="DK101" i="1"/>
  <c r="DL101" i="1"/>
  <c r="DK77" i="1"/>
  <c r="DL77" i="1"/>
  <c r="DK53" i="1"/>
  <c r="DL53" i="1"/>
  <c r="DK29" i="1"/>
  <c r="DL29" i="1"/>
  <c r="DT134" i="1"/>
  <c r="DU134" i="1"/>
  <c r="DT94" i="1"/>
  <c r="DU94" i="1"/>
  <c r="GE48" i="1"/>
  <c r="GF41" i="1"/>
  <c r="GF16" i="1"/>
  <c r="GN131" i="1"/>
  <c r="GO106" i="1"/>
  <c r="GN65" i="1"/>
  <c r="GN51" i="1"/>
  <c r="GO32" i="1"/>
  <c r="GN24" i="1"/>
  <c r="GN17" i="1"/>
  <c r="FE86" i="1"/>
  <c r="FE64" i="1"/>
  <c r="FE33" i="1"/>
  <c r="FE20" i="1"/>
  <c r="FN126" i="1"/>
  <c r="FM79" i="1"/>
  <c r="FN65" i="1"/>
  <c r="FM40" i="1"/>
  <c r="FN19" i="1"/>
  <c r="FW134" i="1"/>
  <c r="FW86" i="1"/>
  <c r="EC109" i="1"/>
  <c r="ED83" i="1"/>
  <c r="EC15" i="1"/>
  <c r="EM91" i="1"/>
  <c r="EM50" i="1"/>
  <c r="EL43" i="1"/>
  <c r="EM43" i="1"/>
  <c r="EM36" i="1"/>
  <c r="EU51" i="1"/>
  <c r="EV8" i="1"/>
  <c r="DB123" i="1"/>
  <c r="DB107" i="1"/>
  <c r="DB91" i="1"/>
  <c r="DC67" i="1"/>
  <c r="DC43" i="1"/>
  <c r="DC19" i="1"/>
  <c r="DL124" i="1"/>
  <c r="DL100" i="1"/>
  <c r="DL76" i="1"/>
  <c r="DL52" i="1"/>
  <c r="DL28" i="1"/>
  <c r="DU133" i="1"/>
  <c r="DT93" i="1"/>
  <c r="DU93" i="1"/>
  <c r="DT58" i="1"/>
  <c r="DU58" i="1"/>
  <c r="DT47" i="1"/>
  <c r="DU19" i="1"/>
  <c r="DT19" i="1"/>
  <c r="GO58" i="1"/>
  <c r="GN44" i="1"/>
  <c r="ED121" i="1"/>
  <c r="EC115" i="1"/>
  <c r="ED115" i="1"/>
  <c r="ED62" i="1"/>
  <c r="EL122" i="1"/>
  <c r="EM122" i="1"/>
  <c r="EL28" i="1"/>
  <c r="EM28" i="1"/>
  <c r="EL6" i="1"/>
  <c r="EV100" i="1"/>
  <c r="EU36" i="1"/>
  <c r="EV36" i="1"/>
  <c r="EV29" i="1"/>
  <c r="EU21" i="1"/>
  <c r="EV21" i="1"/>
  <c r="DB73" i="1"/>
  <c r="DB49" i="1"/>
  <c r="DB25" i="1"/>
  <c r="DK130" i="1"/>
  <c r="DK106" i="1"/>
  <c r="DK82" i="1"/>
  <c r="DK58" i="1"/>
  <c r="DK34" i="1"/>
  <c r="DK10" i="1"/>
  <c r="DT110" i="1"/>
  <c r="DU110" i="1"/>
  <c r="DT18" i="1"/>
  <c r="DU18" i="1"/>
  <c r="EU128" i="1"/>
  <c r="EV128" i="1"/>
  <c r="EU107" i="1"/>
  <c r="EV107" i="1"/>
  <c r="DB133" i="1"/>
  <c r="DC133" i="1"/>
  <c r="DB117" i="1"/>
  <c r="DC117" i="1"/>
  <c r="DB101" i="1"/>
  <c r="DC101" i="1"/>
  <c r="DB85" i="1"/>
  <c r="DC85" i="1"/>
  <c r="DB61" i="1"/>
  <c r="DC61" i="1"/>
  <c r="DB37" i="1"/>
  <c r="DC37" i="1"/>
  <c r="DB13" i="1"/>
  <c r="DC13" i="1"/>
  <c r="DK118" i="1"/>
  <c r="DL118" i="1"/>
  <c r="DK94" i="1"/>
  <c r="DL94" i="1"/>
  <c r="DK70" i="1"/>
  <c r="DL70" i="1"/>
  <c r="DK46" i="1"/>
  <c r="DL46" i="1"/>
  <c r="DK22" i="1"/>
  <c r="DL22" i="1"/>
  <c r="DT127" i="1"/>
  <c r="DU127" i="1"/>
  <c r="DU35" i="1"/>
  <c r="DT35" i="1"/>
  <c r="EC75" i="1"/>
  <c r="ED75" i="1"/>
  <c r="EC13" i="1"/>
  <c r="ED13" i="1"/>
  <c r="DB84" i="1"/>
  <c r="DC84" i="1"/>
  <c r="DB72" i="1"/>
  <c r="DC72" i="1"/>
  <c r="DB60" i="1"/>
  <c r="DC60" i="1"/>
  <c r="DB48" i="1"/>
  <c r="DC48" i="1"/>
  <c r="DB36" i="1"/>
  <c r="DC36" i="1"/>
  <c r="DB24" i="1"/>
  <c r="DC24" i="1"/>
  <c r="DB12" i="1"/>
  <c r="DC12" i="1"/>
  <c r="DK129" i="1"/>
  <c r="DL129" i="1"/>
  <c r="DK117" i="1"/>
  <c r="DL117" i="1"/>
  <c r="DK105" i="1"/>
  <c r="DL105" i="1"/>
  <c r="DK93" i="1"/>
  <c r="DL93" i="1"/>
  <c r="DK81" i="1"/>
  <c r="DL81" i="1"/>
  <c r="DK69" i="1"/>
  <c r="DL69" i="1"/>
  <c r="DK57" i="1"/>
  <c r="DL57" i="1"/>
  <c r="DK45" i="1"/>
  <c r="DL45" i="1"/>
  <c r="DK33" i="1"/>
  <c r="DL33" i="1"/>
  <c r="DK21" i="1"/>
  <c r="DL21" i="1"/>
  <c r="DK9" i="1"/>
  <c r="DL9" i="1"/>
  <c r="DT126" i="1"/>
  <c r="DU126" i="1"/>
  <c r="DT74" i="1"/>
  <c r="DU74" i="1"/>
  <c r="DT34" i="1"/>
  <c r="DU34" i="1"/>
  <c r="EL72" i="1"/>
  <c r="EU125" i="1"/>
  <c r="DT78" i="1"/>
  <c r="DU78" i="1"/>
  <c r="DT62" i="1"/>
  <c r="DU62" i="1"/>
  <c r="DT46" i="1"/>
  <c r="DU46" i="1"/>
  <c r="DT30" i="1"/>
  <c r="DU30" i="1"/>
  <c r="DT14" i="1"/>
  <c r="DU14" i="1"/>
  <c r="DB80" i="1"/>
  <c r="DC80" i="1"/>
  <c r="DB56" i="1"/>
  <c r="DC56" i="1"/>
  <c r="DB32" i="1"/>
  <c r="DC32" i="1"/>
  <c r="DB8" i="1"/>
  <c r="DC8" i="1"/>
  <c r="DK113" i="1"/>
  <c r="DL113" i="1"/>
  <c r="DK89" i="1"/>
  <c r="DL89" i="1"/>
  <c r="DK65" i="1"/>
  <c r="DL65" i="1"/>
  <c r="DK41" i="1"/>
  <c r="DL41" i="1"/>
  <c r="DK17" i="1"/>
  <c r="DL17" i="1"/>
  <c r="DT122" i="1"/>
  <c r="DU122" i="1"/>
  <c r="DT98" i="1"/>
  <c r="DU98" i="1"/>
  <c r="EC99" i="1"/>
  <c r="EM115" i="1"/>
  <c r="EM63" i="1"/>
  <c r="DB64" i="1"/>
  <c r="DC64" i="1"/>
  <c r="DB40" i="1"/>
  <c r="DC40" i="1"/>
  <c r="DB16" i="1"/>
  <c r="DC16" i="1"/>
  <c r="DK121" i="1"/>
  <c r="DL121" i="1"/>
  <c r="DK97" i="1"/>
  <c r="DL97" i="1"/>
  <c r="DK73" i="1"/>
  <c r="DL73" i="1"/>
  <c r="DK49" i="1"/>
  <c r="DL49" i="1"/>
  <c r="DK25" i="1"/>
  <c r="DL25" i="1"/>
  <c r="DT130" i="1"/>
  <c r="DU130" i="1"/>
  <c r="DT106" i="1"/>
  <c r="DU106" i="1"/>
  <c r="DT86" i="1"/>
  <c r="DU86" i="1"/>
  <c r="DT70" i="1"/>
  <c r="DU70" i="1"/>
  <c r="DT54" i="1"/>
  <c r="DU54" i="1"/>
  <c r="DT38" i="1"/>
  <c r="DU38" i="1"/>
  <c r="DT22" i="1"/>
  <c r="DU22" i="1"/>
  <c r="DU10" i="1"/>
  <c r="DU6" i="1"/>
  <c r="GN72" i="1"/>
  <c r="GO72" i="1"/>
  <c r="FD24" i="1"/>
  <c r="FE24" i="1"/>
  <c r="FM78" i="1"/>
  <c r="FN78" i="1"/>
  <c r="FN64" i="1"/>
  <c r="FM64" i="1"/>
  <c r="FV129" i="1"/>
  <c r="FW129" i="1"/>
  <c r="EC7" i="1"/>
  <c r="ED7" i="1"/>
  <c r="EU86" i="1"/>
  <c r="EV86" i="1"/>
  <c r="GN45" i="1"/>
  <c r="GO45" i="1"/>
  <c r="FE42" i="1"/>
  <c r="FD42" i="1"/>
  <c r="EL61" i="1"/>
  <c r="EM61" i="1"/>
  <c r="EU97" i="1"/>
  <c r="EV97" i="1"/>
  <c r="EU22" i="1"/>
  <c r="EV22" i="1"/>
  <c r="GE54" i="1"/>
  <c r="GF54" i="1"/>
  <c r="GE17" i="1"/>
  <c r="GF17" i="1"/>
  <c r="FD102" i="1"/>
  <c r="FE102" i="1"/>
  <c r="FD41" i="1"/>
  <c r="FE41" i="1"/>
  <c r="FM84" i="1"/>
  <c r="FN84" i="1"/>
  <c r="FV73" i="1"/>
  <c r="FW73" i="1"/>
  <c r="FW25" i="1"/>
  <c r="FV25" i="1"/>
  <c r="ED104" i="1"/>
  <c r="EC104" i="1"/>
  <c r="EC58" i="1"/>
  <c r="ED58" i="1"/>
  <c r="EC52" i="1"/>
  <c r="ED52" i="1"/>
  <c r="EC24" i="1"/>
  <c r="ED24" i="1"/>
  <c r="EU10" i="1"/>
  <c r="EV10" i="1"/>
  <c r="FV31" i="1"/>
  <c r="FW31" i="1"/>
  <c r="EC40" i="1"/>
  <c r="ED40" i="1"/>
  <c r="EU120" i="1"/>
  <c r="EV120" i="1"/>
  <c r="EU114" i="1"/>
  <c r="EV114" i="1"/>
  <c r="GE85" i="1"/>
  <c r="GF85" i="1"/>
  <c r="EL105" i="1"/>
  <c r="EM105" i="1"/>
  <c r="EL77" i="1"/>
  <c r="EM77" i="1"/>
  <c r="EU33" i="1"/>
  <c r="EV33" i="1"/>
  <c r="GE59" i="1"/>
  <c r="GF59" i="1"/>
  <c r="GN56" i="1"/>
  <c r="GO56" i="1"/>
  <c r="GN10" i="1"/>
  <c r="GO10" i="1"/>
  <c r="FD107" i="1"/>
  <c r="FE107" i="1"/>
  <c r="FN106" i="1"/>
  <c r="FM106" i="1"/>
  <c r="FW97" i="1"/>
  <c r="FV97" i="1"/>
  <c r="EC63" i="1"/>
  <c r="ED63" i="1"/>
  <c r="EL88" i="1"/>
  <c r="EM88" i="1"/>
  <c r="GN23" i="1"/>
  <c r="GO23" i="1"/>
  <c r="FE53" i="1"/>
  <c r="FD53" i="1"/>
  <c r="FM10" i="1"/>
  <c r="FN10" i="1"/>
  <c r="FV96" i="1"/>
  <c r="FW96" i="1"/>
  <c r="FV43" i="1"/>
  <c r="FW43" i="1"/>
  <c r="EL116" i="1"/>
  <c r="EM116" i="1"/>
  <c r="EV44" i="1"/>
  <c r="EU44" i="1"/>
  <c r="GN130" i="1"/>
  <c r="GO130" i="1"/>
  <c r="FD114" i="1"/>
  <c r="FE114" i="1"/>
  <c r="ED74" i="1"/>
  <c r="EC74" i="1"/>
  <c r="EL109" i="1"/>
  <c r="EM109" i="1"/>
  <c r="EU130" i="1"/>
  <c r="EV130" i="1"/>
  <c r="EU49" i="1"/>
  <c r="EV49" i="1"/>
  <c r="GF130" i="1"/>
  <c r="GF124" i="1"/>
  <c r="GF63" i="1"/>
  <c r="GE38" i="1"/>
  <c r="GF38" i="1"/>
  <c r="GO129" i="1"/>
  <c r="GO86" i="1"/>
  <c r="GN61" i="1"/>
  <c r="GO61" i="1"/>
  <c r="GN29" i="1"/>
  <c r="GO29" i="1"/>
  <c r="FE113" i="1"/>
  <c r="FD72" i="1"/>
  <c r="FE72" i="1"/>
  <c r="FD58" i="1"/>
  <c r="FE58" i="1"/>
  <c r="FD13" i="1"/>
  <c r="FE13" i="1"/>
  <c r="FM35" i="1"/>
  <c r="FV49" i="1"/>
  <c r="EC123" i="1"/>
  <c r="EC79" i="1"/>
  <c r="ED79" i="1"/>
  <c r="EL121" i="1"/>
  <c r="EM121" i="1"/>
  <c r="EM23" i="1"/>
  <c r="EU65" i="1"/>
  <c r="EU28" i="1"/>
  <c r="EV28" i="1"/>
  <c r="EL49" i="1"/>
  <c r="EM49" i="1"/>
  <c r="GF100" i="1"/>
  <c r="GF94" i="1"/>
  <c r="GF37" i="1"/>
  <c r="GE6" i="1"/>
  <c r="GO98" i="1"/>
  <c r="GN92" i="1"/>
  <c r="GO60" i="1"/>
  <c r="GO28" i="1"/>
  <c r="FD127" i="1"/>
  <c r="FE127" i="1"/>
  <c r="FE71" i="1"/>
  <c r="FE12" i="1"/>
  <c r="ED128" i="1"/>
  <c r="EC128" i="1"/>
  <c r="ED78" i="1"/>
  <c r="EM120" i="1"/>
  <c r="EV76" i="1"/>
  <c r="GF69" i="1"/>
  <c r="GE44" i="1"/>
  <c r="GF44" i="1"/>
  <c r="GN34" i="1"/>
  <c r="GO34" i="1"/>
  <c r="FE126" i="1"/>
  <c r="FE79" i="1"/>
  <c r="FD79" i="1"/>
  <c r="FD19" i="1"/>
  <c r="FE19" i="1"/>
  <c r="FM41" i="1"/>
  <c r="FN41" i="1"/>
  <c r="FV117" i="1"/>
  <c r="FW117" i="1"/>
  <c r="FV61" i="1"/>
  <c r="FW61" i="1"/>
  <c r="FV48" i="1"/>
  <c r="FW48" i="1"/>
  <c r="ED127" i="1"/>
  <c r="ED122" i="1"/>
  <c r="EC14" i="1"/>
  <c r="ED14" i="1"/>
  <c r="EL125" i="1"/>
  <c r="EM125" i="1"/>
  <c r="EU70" i="1"/>
  <c r="EV70" i="1"/>
  <c r="GE106" i="1"/>
  <c r="GF106" i="1"/>
  <c r="GE12" i="1"/>
  <c r="GF12" i="1"/>
  <c r="GO134" i="1"/>
  <c r="GN104" i="1"/>
  <c r="GO104" i="1"/>
  <c r="GO97" i="1"/>
  <c r="FD78" i="1"/>
  <c r="FE78" i="1"/>
  <c r="FD18" i="1"/>
  <c r="FV60" i="1"/>
  <c r="FW60" i="1"/>
  <c r="FV12" i="1"/>
  <c r="EC132" i="1"/>
  <c r="ED94" i="1"/>
  <c r="EL131" i="1"/>
  <c r="EM56" i="1"/>
  <c r="EL56" i="1"/>
  <c r="EL33" i="1"/>
  <c r="EM33" i="1"/>
  <c r="EU134" i="1"/>
  <c r="EV134" i="1"/>
  <c r="FM127" i="1"/>
  <c r="FN127" i="1"/>
  <c r="FM75" i="1"/>
  <c r="FN75" i="1"/>
  <c r="FW71" i="1"/>
  <c r="FV71" i="1"/>
  <c r="FW23" i="1"/>
  <c r="FV23" i="1"/>
  <c r="EC72" i="1"/>
  <c r="ED72" i="1"/>
  <c r="EC44" i="1"/>
  <c r="ED44" i="1"/>
  <c r="EL16" i="1"/>
  <c r="EM16" i="1"/>
  <c r="EU118" i="1"/>
  <c r="EV118" i="1"/>
  <c r="EU58" i="1"/>
  <c r="EV58" i="1"/>
  <c r="EU42" i="1"/>
  <c r="EV42" i="1"/>
  <c r="FD16" i="1"/>
  <c r="FE16" i="1"/>
  <c r="FV107" i="1"/>
  <c r="FW107" i="1"/>
  <c r="FV76" i="1"/>
  <c r="FW76" i="1"/>
  <c r="FV28" i="1"/>
  <c r="FW28" i="1"/>
  <c r="EC55" i="1"/>
  <c r="ED55" i="1"/>
  <c r="EC28" i="1"/>
  <c r="ED28" i="1"/>
  <c r="EL97" i="1"/>
  <c r="EM97" i="1"/>
  <c r="EL81" i="1"/>
  <c r="EM81" i="1"/>
  <c r="EL53" i="1"/>
  <c r="EM53" i="1"/>
  <c r="FV82" i="1"/>
  <c r="FW82" i="1"/>
  <c r="FV15" i="1"/>
  <c r="FW15" i="1"/>
  <c r="EL64" i="1"/>
  <c r="EM64" i="1"/>
  <c r="EL37" i="1"/>
  <c r="EM37" i="1"/>
  <c r="EU106" i="1"/>
  <c r="EV106" i="1"/>
  <c r="EU90" i="1"/>
  <c r="EV90" i="1"/>
  <c r="EU62" i="1"/>
  <c r="EV62" i="1"/>
  <c r="FD110" i="1"/>
  <c r="FE110" i="1"/>
  <c r="FM80" i="1"/>
  <c r="FN80" i="1"/>
  <c r="FM37" i="1"/>
  <c r="FN37" i="1"/>
  <c r="FV112" i="1"/>
  <c r="FW112" i="1"/>
  <c r="FW69" i="1"/>
  <c r="FV69" i="1"/>
  <c r="EC76" i="1"/>
  <c r="ED76" i="1"/>
  <c r="EC16" i="1"/>
  <c r="ED16" i="1"/>
  <c r="EL129" i="1"/>
  <c r="EM129" i="1"/>
  <c r="EL101" i="1"/>
  <c r="EM101" i="1"/>
  <c r="EU73" i="1"/>
  <c r="EV73" i="1"/>
  <c r="EU46" i="1"/>
  <c r="EV46" i="1"/>
  <c r="GE107" i="1"/>
  <c r="GF81" i="1"/>
  <c r="GF65" i="1"/>
  <c r="GE55" i="1"/>
  <c r="GF45" i="1"/>
  <c r="GE24" i="1"/>
  <c r="GF13" i="1"/>
  <c r="GN57" i="1"/>
  <c r="GO46" i="1"/>
  <c r="GO36" i="1"/>
  <c r="FE122" i="1"/>
  <c r="FD74" i="1"/>
  <c r="FD67" i="1"/>
  <c r="FE8" i="1"/>
  <c r="FW111" i="1"/>
  <c r="FW62" i="1"/>
  <c r="ED134" i="1"/>
  <c r="ED110" i="1"/>
  <c r="ED86" i="1"/>
  <c r="EL128" i="1"/>
  <c r="EL112" i="1"/>
  <c r="EM112" i="1"/>
  <c r="EL85" i="1"/>
  <c r="EM85" i="1"/>
  <c r="EL25" i="1"/>
  <c r="EM25" i="1"/>
  <c r="EL9" i="1"/>
  <c r="EM9" i="1"/>
  <c r="EU116" i="1"/>
  <c r="EU110" i="1"/>
  <c r="EV110" i="1"/>
  <c r="EV56" i="1"/>
  <c r="EU14" i="1"/>
  <c r="EV14" i="1"/>
  <c r="FD51" i="1"/>
  <c r="FE51" i="1"/>
  <c r="FV114" i="1"/>
  <c r="FW114" i="1"/>
  <c r="GF131" i="1"/>
  <c r="GF111" i="1"/>
  <c r="GF91" i="1"/>
  <c r="GF70" i="1"/>
  <c r="GF34" i="1"/>
  <c r="GO83" i="1"/>
  <c r="GO67" i="1"/>
  <c r="GO7" i="1"/>
  <c r="FM85" i="1"/>
  <c r="FN85" i="1"/>
  <c r="FN24" i="1"/>
  <c r="FW56" i="1"/>
  <c r="FW13" i="1"/>
  <c r="ED119" i="1"/>
  <c r="ED95" i="1"/>
  <c r="EC64" i="1"/>
  <c r="ED64" i="1"/>
  <c r="EC48" i="1"/>
  <c r="ED48" i="1"/>
  <c r="EC20" i="1"/>
  <c r="ED20" i="1"/>
  <c r="EM111" i="1"/>
  <c r="EM24" i="1"/>
  <c r="EM19" i="1"/>
  <c r="EU121" i="1"/>
  <c r="EV121" i="1"/>
  <c r="EU94" i="1"/>
  <c r="EV94" i="1"/>
  <c r="EV77" i="1"/>
  <c r="EU34" i="1"/>
  <c r="EV34" i="1"/>
  <c r="EU18" i="1"/>
  <c r="EV18" i="1"/>
  <c r="FD9" i="1"/>
  <c r="FE9" i="1"/>
  <c r="GF121" i="1"/>
  <c r="GE116" i="1"/>
  <c r="GF101" i="1"/>
  <c r="GF80" i="1"/>
  <c r="GF64" i="1"/>
  <c r="GE23" i="1"/>
  <c r="GO99" i="1"/>
  <c r="FD115" i="1"/>
  <c r="FE115" i="1"/>
  <c r="FD73" i="1"/>
  <c r="FE73" i="1"/>
  <c r="FD66" i="1"/>
  <c r="FE48" i="1"/>
  <c r="FD25" i="1"/>
  <c r="FE25" i="1"/>
  <c r="FE7" i="1"/>
  <c r="FN113" i="1"/>
  <c r="FN71" i="1"/>
  <c r="FN30" i="1"/>
  <c r="FN13" i="1"/>
  <c r="FM6" i="1"/>
  <c r="FW130" i="1"/>
  <c r="FW110" i="1"/>
  <c r="FW104" i="1"/>
  <c r="FV44" i="1"/>
  <c r="FV37" i="1"/>
  <c r="ED114" i="1"/>
  <c r="ED90" i="1"/>
  <c r="EC47" i="1"/>
  <c r="EC31" i="1"/>
  <c r="ED31" i="1"/>
  <c r="EL133" i="1"/>
  <c r="EM133" i="1"/>
  <c r="EL73" i="1"/>
  <c r="EM73" i="1"/>
  <c r="EL57" i="1"/>
  <c r="EM57" i="1"/>
  <c r="EL35" i="1"/>
  <c r="EL29" i="1"/>
  <c r="EM29" i="1"/>
  <c r="EV104" i="1"/>
  <c r="EU17" i="1"/>
  <c r="EU25" i="1"/>
  <c r="EV25" i="1"/>
  <c r="FD90" i="1"/>
  <c r="FE90" i="1"/>
  <c r="FM90" i="1"/>
  <c r="FN90" i="1"/>
  <c r="EC68" i="1"/>
  <c r="ED68" i="1"/>
  <c r="EL40" i="1"/>
  <c r="EM40" i="1"/>
  <c r="EL13" i="1"/>
  <c r="EM13" i="1"/>
  <c r="EU82" i="1"/>
  <c r="EV82" i="1"/>
  <c r="EU66" i="1"/>
  <c r="EV66" i="1"/>
  <c r="EU38" i="1"/>
  <c r="EV38" i="1"/>
  <c r="FW11" i="1"/>
  <c r="EC80" i="1"/>
  <c r="ED80" i="1"/>
  <c r="ED70" i="1"/>
  <c r="EC56" i="1"/>
  <c r="ED56" i="1"/>
  <c r="ED46" i="1"/>
  <c r="EC32" i="1"/>
  <c r="ED32" i="1"/>
  <c r="ED22" i="1"/>
  <c r="EC8" i="1"/>
  <c r="ED8" i="1"/>
  <c r="EM127" i="1"/>
  <c r="EL113" i="1"/>
  <c r="EM113" i="1"/>
  <c r="EM103" i="1"/>
  <c r="EL89" i="1"/>
  <c r="EM89" i="1"/>
  <c r="EM79" i="1"/>
  <c r="EL65" i="1"/>
  <c r="EM65" i="1"/>
  <c r="EM55" i="1"/>
  <c r="EL41" i="1"/>
  <c r="EM41" i="1"/>
  <c r="EM31" i="1"/>
  <c r="EL17" i="1"/>
  <c r="EM17" i="1"/>
  <c r="EM7" i="1"/>
  <c r="EU122" i="1"/>
  <c r="EV122" i="1"/>
  <c r="EV112" i="1"/>
  <c r="EU98" i="1"/>
  <c r="EV98" i="1"/>
  <c r="EV88" i="1"/>
  <c r="EU74" i="1"/>
  <c r="EV74" i="1"/>
  <c r="EV64" i="1"/>
  <c r="EU50" i="1"/>
  <c r="EV50" i="1"/>
  <c r="EV40" i="1"/>
  <c r="EU26" i="1"/>
  <c r="EV26" i="1"/>
  <c r="EV16" i="1"/>
  <c r="FW21" i="1"/>
  <c r="EC84" i="1"/>
  <c r="ED84" i="1"/>
  <c r="EC60" i="1"/>
  <c r="ED60" i="1"/>
  <c r="EC36" i="1"/>
  <c r="ED36" i="1"/>
  <c r="EC12" i="1"/>
  <c r="ED12" i="1"/>
  <c r="EL117" i="1"/>
  <c r="EM117" i="1"/>
  <c r="EL93" i="1"/>
  <c r="EM93" i="1"/>
  <c r="EL69" i="1"/>
  <c r="EM69" i="1"/>
  <c r="EL45" i="1"/>
  <c r="EM45" i="1"/>
  <c r="EL21" i="1"/>
  <c r="EM21" i="1"/>
  <c r="EU126" i="1"/>
  <c r="EV126" i="1"/>
  <c r="EU102" i="1"/>
  <c r="EV102" i="1"/>
  <c r="EU78" i="1"/>
  <c r="EV78" i="1"/>
  <c r="EU54" i="1"/>
  <c r="EV54" i="1"/>
  <c r="EU30" i="1"/>
  <c r="EV30" i="1"/>
  <c r="EU6" i="1"/>
  <c r="EV6" i="1"/>
  <c r="GE125" i="1"/>
  <c r="GF125" i="1"/>
  <c r="GE42" i="1"/>
  <c r="GF42" i="1"/>
  <c r="GN88" i="1"/>
  <c r="GO88" i="1"/>
  <c r="FD132" i="1"/>
  <c r="FE132" i="1"/>
  <c r="FD108" i="1"/>
  <c r="FE108" i="1"/>
  <c r="FD40" i="1"/>
  <c r="FE40" i="1"/>
  <c r="FM130" i="1"/>
  <c r="FN130" i="1"/>
  <c r="FM47" i="1"/>
  <c r="FN47" i="1"/>
  <c r="FV93" i="1"/>
  <c r="FW93" i="1"/>
  <c r="FV10" i="1"/>
  <c r="FW10" i="1"/>
  <c r="GE7" i="1"/>
  <c r="GF7" i="1"/>
  <c r="GN53" i="1"/>
  <c r="GO53" i="1"/>
  <c r="FD112" i="1"/>
  <c r="FE112" i="1"/>
  <c r="FD88" i="1"/>
  <c r="FE88" i="1"/>
  <c r="FD49" i="1"/>
  <c r="FE49" i="1"/>
  <c r="FM95" i="1"/>
  <c r="FN95" i="1"/>
  <c r="FM12" i="1"/>
  <c r="FN12" i="1"/>
  <c r="FV58" i="1"/>
  <c r="FW58" i="1"/>
  <c r="FV19" i="1"/>
  <c r="FW19" i="1"/>
  <c r="GN101" i="1"/>
  <c r="GO101" i="1"/>
  <c r="GN18" i="1"/>
  <c r="GO18" i="1"/>
  <c r="FD116" i="1"/>
  <c r="FE116" i="1"/>
  <c r="FD92" i="1"/>
  <c r="FE92" i="1"/>
  <c r="FD14" i="1"/>
  <c r="FE14" i="1"/>
  <c r="FM60" i="1"/>
  <c r="FN60" i="1"/>
  <c r="FV106" i="1"/>
  <c r="FW106" i="1"/>
  <c r="FV67" i="1"/>
  <c r="FW67" i="1"/>
  <c r="GE77" i="1"/>
  <c r="GF77" i="1"/>
  <c r="GE20" i="1"/>
  <c r="GF20" i="1"/>
  <c r="GN66" i="1"/>
  <c r="GO66" i="1"/>
  <c r="GN27" i="1"/>
  <c r="GO27" i="1"/>
  <c r="FD120" i="1"/>
  <c r="FE120" i="1"/>
  <c r="FD96" i="1"/>
  <c r="FE96" i="1"/>
  <c r="FD62" i="1"/>
  <c r="FE62" i="1"/>
  <c r="FM108" i="1"/>
  <c r="FN108" i="1"/>
  <c r="FM25" i="1"/>
  <c r="FN25" i="1"/>
  <c r="FV115" i="1"/>
  <c r="FW115" i="1"/>
  <c r="FV32" i="1"/>
  <c r="FW32" i="1"/>
  <c r="GN114" i="1"/>
  <c r="GO114" i="1"/>
  <c r="GN75" i="1"/>
  <c r="GO75" i="1"/>
  <c r="FD124" i="1"/>
  <c r="FE124" i="1"/>
  <c r="FD27" i="1"/>
  <c r="FE27" i="1"/>
  <c r="FM73" i="1"/>
  <c r="FN73" i="1"/>
  <c r="FM34" i="1"/>
  <c r="FN34" i="1"/>
  <c r="FV80" i="1"/>
  <c r="FW80" i="1"/>
  <c r="GF126" i="1"/>
  <c r="GF117" i="1"/>
  <c r="GF112" i="1"/>
  <c r="GE103" i="1"/>
  <c r="GF98" i="1"/>
  <c r="GF89" i="1"/>
  <c r="GF84" i="1"/>
  <c r="GF75" i="1"/>
  <c r="GF66" i="1"/>
  <c r="GF57" i="1"/>
  <c r="GF52" i="1"/>
  <c r="GF43" i="1"/>
  <c r="GF28" i="1"/>
  <c r="GF9" i="1"/>
  <c r="GO118" i="1"/>
  <c r="GO113" i="1"/>
  <c r="GO94" i="1"/>
  <c r="GO89" i="1"/>
  <c r="GO74" i="1"/>
  <c r="GO69" i="1"/>
  <c r="GO55" i="1"/>
  <c r="GO50" i="1"/>
  <c r="GO35" i="1"/>
  <c r="GO25" i="1"/>
  <c r="GO11" i="1"/>
  <c r="FE133" i="1"/>
  <c r="FE123" i="1"/>
  <c r="FE109" i="1"/>
  <c r="FE99" i="1"/>
  <c r="FE85" i="1"/>
  <c r="FE70" i="1"/>
  <c r="FE26" i="1"/>
  <c r="FN131" i="1"/>
  <c r="FN116" i="1"/>
  <c r="FN97" i="1"/>
  <c r="FN77" i="1"/>
  <c r="FN72" i="1"/>
  <c r="FN53" i="1"/>
  <c r="FN48" i="1"/>
  <c r="FN33" i="1"/>
  <c r="FN28" i="1"/>
  <c r="FN14" i="1"/>
  <c r="FN9" i="1"/>
  <c r="FW123" i="1"/>
  <c r="FW113" i="1"/>
  <c r="FW99" i="1"/>
  <c r="FW79" i="1"/>
  <c r="FW55" i="1"/>
  <c r="FW40" i="1"/>
  <c r="FD100" i="1"/>
  <c r="FE100" i="1"/>
  <c r="GF61" i="1"/>
  <c r="GE33" i="1"/>
  <c r="GF33" i="1"/>
  <c r="GN123" i="1"/>
  <c r="GO123" i="1"/>
  <c r="GN79" i="1"/>
  <c r="GN40" i="1"/>
  <c r="GO40" i="1"/>
  <c r="GO30" i="1"/>
  <c r="GO6" i="1"/>
  <c r="FD128" i="1"/>
  <c r="FE128" i="1"/>
  <c r="FD104" i="1"/>
  <c r="FE104" i="1"/>
  <c r="FD75" i="1"/>
  <c r="FE75" i="1"/>
  <c r="FE60" i="1"/>
  <c r="FD31" i="1"/>
  <c r="FM121" i="1"/>
  <c r="FN121" i="1"/>
  <c r="FM82" i="1"/>
  <c r="FN82" i="1"/>
  <c r="FM38" i="1"/>
  <c r="FV128" i="1"/>
  <c r="FW128" i="1"/>
  <c r="FW118" i="1"/>
  <c r="FW94" i="1"/>
  <c r="FV84" i="1"/>
  <c r="FW74" i="1"/>
  <c r="FV45" i="1"/>
  <c r="FW45" i="1"/>
  <c r="FW30" i="1"/>
  <c r="GF29" i="1"/>
  <c r="GO110" i="1"/>
  <c r="GO62" i="1"/>
  <c r="GO14" i="1"/>
  <c r="FE84" i="1"/>
  <c r="FE36" i="1"/>
  <c r="FN117" i="1"/>
  <c r="FN69" i="1"/>
  <c r="FN21" i="1"/>
  <c r="FW102" i="1"/>
  <c r="FW54" i="1"/>
  <c r="FW6" i="1"/>
</calcChain>
</file>

<file path=xl/sharedStrings.xml><?xml version="1.0" encoding="utf-8"?>
<sst xmlns="http://schemas.openxmlformats.org/spreadsheetml/2006/main" count="22525" uniqueCount="113">
  <si>
    <t>Unit Name</t>
  </si>
  <si>
    <t>Staffed Position</t>
  </si>
  <si>
    <t>Grade</t>
  </si>
  <si>
    <t>Zone</t>
  </si>
  <si>
    <t>Cost Centre</t>
  </si>
  <si>
    <t>A</t>
  </si>
  <si>
    <t>Total Hours</t>
  </si>
  <si>
    <t>Pre-April Cost</t>
  </si>
  <si>
    <t>Post-April Cost</t>
  </si>
  <si>
    <t>B</t>
  </si>
  <si>
    <t>C</t>
  </si>
  <si>
    <t>D</t>
  </si>
  <si>
    <t>E</t>
  </si>
  <si>
    <t>F</t>
  </si>
  <si>
    <t>G</t>
  </si>
  <si>
    <t>H</t>
  </si>
  <si>
    <t>I</t>
  </si>
  <si>
    <t>J</t>
  </si>
  <si>
    <t>K</t>
  </si>
  <si>
    <t>L</t>
  </si>
  <si>
    <t>M</t>
  </si>
  <si>
    <t>N</t>
  </si>
  <si>
    <t>O</t>
  </si>
  <si>
    <t>Closed</t>
  </si>
  <si>
    <t>P</t>
  </si>
  <si>
    <t>Q</t>
  </si>
  <si>
    <t>R</t>
  </si>
  <si>
    <t>S</t>
  </si>
  <si>
    <t>T</t>
  </si>
  <si>
    <t>U</t>
  </si>
  <si>
    <t>V</t>
  </si>
  <si>
    <t>W</t>
  </si>
  <si>
    <t>X</t>
  </si>
  <si>
    <t>Y</t>
  </si>
  <si>
    <t>Z</t>
  </si>
  <si>
    <t>MAX Employees (live)</t>
  </si>
  <si>
    <t>MAX Employees (broken)</t>
  </si>
  <si>
    <t>Start</t>
  </si>
  <si>
    <t>End</t>
  </si>
  <si>
    <t>Break Length (Min)</t>
  </si>
  <si>
    <t>Staff #</t>
  </si>
  <si>
    <t>FTE</t>
  </si>
  <si>
    <t>Zonal Leads</t>
  </si>
  <si>
    <t>Room on the Broom</t>
  </si>
  <si>
    <t>Rides - ROTB Attendant</t>
  </si>
  <si>
    <t>Adventure Tree</t>
  </si>
  <si>
    <t>Rides - AdventureTreeOperator</t>
  </si>
  <si>
    <t>Tiny Truckers</t>
  </si>
  <si>
    <t>Rides - Tiny Truckers Operator</t>
  </si>
  <si>
    <t>Elmer's Flying Jumbos</t>
  </si>
  <si>
    <t>Rides - ElmersOperator</t>
  </si>
  <si>
    <t>Canopy Capers</t>
  </si>
  <si>
    <t>Rides - CanopyCapersAttendant</t>
  </si>
  <si>
    <t>Sea Dragons</t>
  </si>
  <si>
    <t>Rides - Sea Dragons Operator</t>
  </si>
  <si>
    <t>Griffin's Galeon</t>
  </si>
  <si>
    <t>Rides - GriffinsGalleonOperator</t>
  </si>
  <si>
    <t>Dragon's Playhouse</t>
  </si>
  <si>
    <t>Rides - Dragon'sPlayhouseAttendant</t>
  </si>
  <si>
    <t>Rides - Break Cover Operator</t>
  </si>
  <si>
    <t>Rides - Break Cover Attendant</t>
  </si>
  <si>
    <t>Car Parks - Staff Car Park</t>
  </si>
  <si>
    <t>Car Parks - Host</t>
  </si>
  <si>
    <t>Car Parks - Hotel Car Park</t>
  </si>
  <si>
    <t>Car Parks - Express</t>
  </si>
  <si>
    <t>Car Parks - Split</t>
  </si>
  <si>
    <t>Car Parks - Flamingo</t>
  </si>
  <si>
    <t>Car Parks - Giraffe</t>
  </si>
  <si>
    <t>Car Parks - Gorilla</t>
  </si>
  <si>
    <t>Car Parks - Additional Schools</t>
  </si>
  <si>
    <t>GHI - Rap</t>
  </si>
  <si>
    <t>GHI RAP_Host</t>
  </si>
  <si>
    <t>GHI - Hub</t>
  </si>
  <si>
    <t>GHI Front_Desk_Host</t>
  </si>
  <si>
    <t>GHI Senior Host</t>
  </si>
  <si>
    <t>GHI - Help Squad</t>
  </si>
  <si>
    <t>GHI Help_Squad_Host</t>
  </si>
  <si>
    <t>Lodge Entrance</t>
  </si>
  <si>
    <t>Admissions Senior Host</t>
  </si>
  <si>
    <t>Admissions Host</t>
  </si>
  <si>
    <t>Explorer Entrance</t>
  </si>
  <si>
    <t>Azteca Entrance</t>
  </si>
  <si>
    <t>Schools Entrance</t>
  </si>
  <si>
    <t>Retail - Senior Host</t>
  </si>
  <si>
    <t>Retail Host</t>
  </si>
  <si>
    <t>Explorer Supplies</t>
  </si>
  <si>
    <t>Lorikeets</t>
  </si>
  <si>
    <t>Sweet Shop</t>
  </si>
  <si>
    <t>Ben &amp; Jerry's</t>
  </si>
  <si>
    <t>Ben &amp; Jerry's Kiosk</t>
  </si>
  <si>
    <t>Retail Break Cover</t>
  </si>
  <si>
    <t>:</t>
  </si>
  <si>
    <t>Down Time Calendar</t>
  </si>
  <si>
    <t>Period</t>
  </si>
  <si>
    <t>Week</t>
  </si>
  <si>
    <t>Day</t>
  </si>
  <si>
    <t>Date</t>
  </si>
  <si>
    <t>Day Code</t>
  </si>
  <si>
    <t>Sun</t>
  </si>
  <si>
    <t>Open</t>
  </si>
  <si>
    <t>Mon</t>
  </si>
  <si>
    <t>Tue</t>
  </si>
  <si>
    <t>Wed</t>
  </si>
  <si>
    <t>Thu</t>
  </si>
  <si>
    <t>Fri</t>
  </si>
  <si>
    <t>Sat</t>
  </si>
  <si>
    <t>Total Open Days</t>
  </si>
  <si>
    <t>Total Closed Days</t>
  </si>
  <si>
    <t>Nexus Zonal Leads</t>
  </si>
  <si>
    <t>Nexus Rides Break Cover</t>
  </si>
  <si>
    <t>Adventure Point Gift Shop</t>
  </si>
  <si>
    <t>Sealife Shop</t>
  </si>
  <si>
    <t>Nexus Retail Break Cover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</si>
</sst>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7" formatCode="&quot;£&quot;#,##0.00;\-&quot;£&quot;#,##0.00"/>
    <numFmt numFmtId="44" formatCode="_-&quot;£&quot;* #,##0.00_-;\-&quot;£&quot;* #,##0.00_-;_-&quot;£&quot;* &quot;-&quot;??_-;_-@_-"/>
    <numFmt numFmtId="43" formatCode="_-* #,##0.00_-;\-* #,##0.00_-;_-* &quot;-&quot;??_-;_-@_-"/>
    <numFmt numFmtId="164" formatCode="0.0_)\%;\(0.0\)\%;0.0_)\%;@_)_%"/>
    <numFmt numFmtId="165" formatCode="#,##0.0_)_%;\(#,##0.0\)_%;0.0_)_%;@_)_%"/>
    <numFmt numFmtId="166" formatCode="#,##0.0_);\(#,##0.0\);#,##0.0_);@_)"/>
    <numFmt numFmtId="167" formatCode="&quot;£&quot;_(#,##0.00_);&quot;£&quot;\(#,##0.00\);&quot;£&quot;_(0.00_);@_)"/>
    <numFmt numFmtId="168" formatCode="&quot;$&quot;_(#,##0.00_);&quot;$&quot;\(#,##0.00\);&quot;$&quot;_(0.00_);@_)"/>
    <numFmt numFmtId="169" formatCode="#,##0.00_);\(#,##0.00\);0.00_);@_)"/>
    <numFmt numFmtId="170" formatCode="\€_(#,##0.00_);\€\(#,##0.00\);\€_(0.00_);@_)"/>
    <numFmt numFmtId="171" formatCode="#,##0_)\x;\(#,##0\)\x;0_)\x;@_)_x"/>
    <numFmt numFmtId="172" formatCode="#,##0_)_x;\(#,##0\)_x;0_)_x;@_)_x"/>
    <numFmt numFmtId="173" formatCode="ddd/dd/mmm"/>
    <numFmt numFmtId="174" formatCode="_-[$€]\ * #,##0.00_-;\-[$€]\ * #,##0.00_-;_-[$€]\ * &quot;-&quot;??_-;_-@_-"/>
    <numFmt numFmtId="175" formatCode="mmmm"/>
    <numFmt numFmtId="176" formatCode="\-\ 0.00"/>
    <numFmt numFmtId="177" formatCode="#,##0.0\ ;\(#,##0.0\);\-\ \ "/>
    <numFmt numFmtId="178" formatCode="0.00;\-0.00;\-"/>
    <numFmt numFmtId="179" formatCode="0.00;\-0.00;&quot;Not Used&quot;"/>
    <numFmt numFmtId="180" formatCode="#,##0_ ;\-#,##0\ "/>
    <numFmt numFmtId="181" formatCode="0;\-0;\-"/>
    <numFmt numFmtId="182" formatCode="#,##0.00_ ;\-#,##0.00\ "/>
    <numFmt numFmtId="183" formatCode="#,##0.0"/>
    <numFmt numFmtId="184" formatCode="ddd\ dd\ \-\ mm\ \-\ yy"/>
  </numFmts>
  <fonts count="41">
    <font>
      <sz val="11"/>
      <color theme="1"/>
      <name val="Aptos Narrow"/>
      <family val="2"/>
      <scheme val="minor"/>
    </font>
    <font>
      <sz val="11"/>
      <color theme="1"/>
      <name val="Aptos Narrow"/>
      <family val="2"/>
      <scheme val="minor"/>
    </font>
    <font>
      <sz val="10"/>
      <name val="Arial"/>
      <family val="2"/>
    </font>
    <font>
      <sz val="10"/>
      <name val="Helv"/>
      <charset val="204"/>
    </font>
    <font>
      <sz val="12"/>
      <name val="Times New Roman"/>
      <family val="1"/>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1"/>
      <color indexed="8"/>
      <name val="Calibri"/>
      <family val="2"/>
    </font>
    <font>
      <sz val="11"/>
      <color indexed="63"/>
      <name val="Calibri"/>
      <family val="2"/>
    </font>
    <font>
      <sz val="11"/>
      <color indexed="9"/>
      <name val="Calibri"/>
      <family val="2"/>
    </font>
    <font>
      <b/>
      <sz val="11"/>
      <color indexed="63"/>
      <name val="Calibri"/>
      <family val="2"/>
    </font>
    <font>
      <sz val="11"/>
      <color indexed="16"/>
      <name val="Calibri"/>
      <family val="2"/>
    </font>
    <font>
      <sz val="11"/>
      <color indexed="20"/>
      <name val="Calibri"/>
      <family val="2"/>
    </font>
    <font>
      <sz val="11"/>
      <color indexed="36"/>
      <name val="Calibri"/>
      <family val="2"/>
    </font>
    <font>
      <b/>
      <sz val="11"/>
      <color indexed="52"/>
      <name val="Calibri"/>
      <family val="2"/>
    </font>
    <font>
      <sz val="10"/>
      <name val="Times New Roman"/>
      <family val="1"/>
    </font>
    <font>
      <b/>
      <sz val="10"/>
      <name val="Switzerland"/>
      <family val="2"/>
    </font>
    <font>
      <b/>
      <sz val="12"/>
      <name val="Switzerland"/>
      <family val="2"/>
    </font>
    <font>
      <b/>
      <sz val="8"/>
      <name val="Switzerland"/>
      <family val="2"/>
    </font>
    <font>
      <b/>
      <i/>
      <sz val="10"/>
      <name val="Switzerland"/>
      <family val="2"/>
    </font>
    <font>
      <b/>
      <i/>
      <sz val="12"/>
      <name val="Switzerland"/>
      <family val="2"/>
    </font>
    <font>
      <b/>
      <i/>
      <sz val="8"/>
      <name val="Switzerland"/>
      <family val="2"/>
    </font>
    <font>
      <b/>
      <sz val="15"/>
      <color indexed="56"/>
      <name val="Calibri"/>
      <family val="2"/>
    </font>
    <font>
      <b/>
      <sz val="13"/>
      <color indexed="56"/>
      <name val="Calibri"/>
      <family val="2"/>
    </font>
    <font>
      <b/>
      <sz val="11"/>
      <color indexed="56"/>
      <name val="Calibri"/>
      <family val="2"/>
    </font>
    <font>
      <b/>
      <sz val="11"/>
      <color indexed="53"/>
      <name val="Calibri"/>
      <family val="2"/>
    </font>
    <font>
      <b/>
      <sz val="11"/>
      <color indexed="34"/>
      <name val="Calibri"/>
      <family val="2"/>
    </font>
    <font>
      <sz val="11"/>
      <name val="Arial Narrow"/>
      <family val="2"/>
    </font>
    <font>
      <b/>
      <sz val="9"/>
      <color indexed="8"/>
      <name val="Arial"/>
      <family val="2"/>
    </font>
    <font>
      <sz val="10"/>
      <color indexed="12"/>
      <name val="Courier"/>
      <family val="3"/>
    </font>
    <font>
      <b/>
      <sz val="14"/>
      <color theme="1"/>
      <name val="Aptos"/>
      <family val="2"/>
    </font>
    <font>
      <sz val="11"/>
      <color theme="1"/>
      <name val="Aptos"/>
      <family val="2"/>
    </font>
    <font>
      <sz val="11"/>
      <name val="Aptos"/>
      <family val="2"/>
    </font>
    <font>
      <b/>
      <sz val="14"/>
      <color theme="0"/>
      <name val="Aptos"/>
      <family val="2"/>
    </font>
    <font>
      <b/>
      <sz val="11"/>
      <color theme="1"/>
      <name val="Aptos Narrow"/>
      <family val="2"/>
      <scheme val="minor"/>
    </font>
    <font>
      <b/>
      <sz val="14"/>
      <color theme="0"/>
      <name val="Aptos Narrow"/>
      <family val="2"/>
      <scheme val="minor"/>
    </font>
    <font>
      <sz val="14"/>
      <color theme="1"/>
      <name val="Aptos Narrow"/>
      <family val="2"/>
      <scheme val="minor"/>
    </font>
    <font>
      <b/>
      <sz val="11"/>
      <name val="Aptos Narrow"/>
      <family val="2"/>
      <scheme val="minor"/>
    </font>
  </fonts>
  <fills count="59">
    <fill>
      <patternFill patternType="none"/>
    </fill>
    <fill>
      <patternFill patternType="gray125"/>
    </fill>
    <fill>
      <patternFill patternType="solid">
        <fgColor theme="6" tint="0.79998168889431442"/>
        <bgColor indexed="64"/>
      </patternFill>
    </fill>
    <fill>
      <patternFill patternType="solid">
        <fgColor indexed="46"/>
        <bgColor indexed="64"/>
      </patternFill>
    </fill>
    <fill>
      <patternFill patternType="solid">
        <fgColor indexed="43"/>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9"/>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61"/>
      </patternFill>
    </fill>
    <fill>
      <patternFill patternType="solid">
        <fgColor indexed="15"/>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54"/>
        <bgColor indexed="54"/>
      </patternFill>
    </fill>
    <fill>
      <patternFill patternType="solid">
        <fgColor indexed="23"/>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25"/>
        <bgColor indexed="25"/>
      </patternFill>
    </fill>
    <fill>
      <patternFill patternType="solid">
        <fgColor indexed="60"/>
      </patternFill>
    </fill>
    <fill>
      <patternFill patternType="solid">
        <fgColor indexed="42"/>
        <bgColor indexed="42"/>
      </patternFill>
    </fill>
    <fill>
      <patternFill patternType="solid">
        <fgColor indexed="57"/>
      </patternFill>
    </fill>
    <fill>
      <patternFill patternType="solid">
        <fgColor indexed="17"/>
      </patternFill>
    </fill>
    <fill>
      <patternFill patternType="solid">
        <fgColor indexed="54"/>
      </patternFill>
    </fill>
    <fill>
      <patternFill patternType="solid">
        <fgColor indexed="27"/>
        <bgColor indexed="27"/>
      </patternFill>
    </fill>
    <fill>
      <patternFill patternType="solid">
        <fgColor indexed="49"/>
        <bgColor indexed="49"/>
      </patternFill>
    </fill>
    <fill>
      <patternFill patternType="solid">
        <fgColor indexed="35"/>
      </patternFill>
    </fill>
    <fill>
      <patternFill patternType="solid">
        <fgColor indexed="47"/>
        <bgColor indexed="47"/>
      </patternFill>
    </fill>
    <fill>
      <patternFill patternType="solid">
        <fgColor indexed="53"/>
      </patternFill>
    </fill>
    <fill>
      <patternFill patternType="solid">
        <fgColor indexed="52"/>
        <bgColor indexed="52"/>
      </patternFill>
    </fill>
    <fill>
      <patternFill patternType="solid">
        <fgColor indexed="45"/>
        <bgColor indexed="45"/>
      </patternFill>
    </fill>
    <fill>
      <patternFill patternType="solid">
        <fgColor indexed="9"/>
        <bgColor indexed="9"/>
      </patternFill>
    </fill>
    <fill>
      <patternFill patternType="solid">
        <fgColor theme="3"/>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6337778862885"/>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hair">
        <color indexed="8"/>
      </top>
      <bottom style="hair">
        <color indexed="8"/>
      </bottom>
      <diagonal/>
    </border>
    <border>
      <left/>
      <right/>
      <top/>
      <bottom style="medium">
        <color indexed="18"/>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hair">
        <color indexed="8"/>
      </top>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9641">
    <xf numFmtId="0" fontId="0"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3" fillId="0" borderId="0"/>
    <xf numFmtId="0" fontId="3" fillId="0" borderId="0"/>
    <xf numFmtId="0" fontId="4" fillId="0" borderId="0"/>
    <xf numFmtId="0" fontId="2" fillId="0" borderId="0"/>
    <xf numFmtId="0" fontId="2" fillId="0" borderId="0"/>
    <xf numFmtId="0" fontId="2" fillId="0" borderId="0"/>
    <xf numFmtId="164" fontId="2"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0" fontId="3" fillId="0" borderId="0"/>
    <xf numFmtId="0" fontId="3" fillId="0" borderId="0"/>
    <xf numFmtId="167" fontId="2" fillId="0" borderId="0" applyFont="0" applyFill="0" applyBorder="0" applyAlignment="0" applyProtection="0"/>
    <xf numFmtId="168" fontId="2" fillId="0" borderId="0" applyFont="0" applyFill="0" applyBorder="0" applyAlignment="0" applyProtection="0"/>
    <xf numFmtId="167" fontId="2" fillId="0" borderId="0" applyFont="0" applyFill="0" applyBorder="0" applyAlignment="0" applyProtection="0"/>
    <xf numFmtId="169"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applyFont="0" applyFill="0" applyBorder="0" applyAlignment="0" applyProtection="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2" fillId="4" borderId="0" applyNumberFormat="0" applyFont="0" applyAlignment="0" applyProtection="0"/>
    <xf numFmtId="0" fontId="3" fillId="0" borderId="0"/>
    <xf numFmtId="0" fontId="3" fillId="0" borderId="0"/>
    <xf numFmtId="0" fontId="3" fillId="0" borderId="0"/>
    <xf numFmtId="0" fontId="4"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applyFont="0" applyFill="0" applyBorder="0" applyAlignment="0" applyProtection="0"/>
    <xf numFmtId="172" fontId="2" fillId="0" borderId="0" applyFont="0" applyFill="0" applyBorder="0" applyProtection="0">
      <alignment horizontal="right"/>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6" fillId="0" borderId="0" applyNumberFormat="0" applyFill="0" applyBorder="0" applyProtection="0">
      <alignment vertical="top"/>
    </xf>
    <xf numFmtId="0" fontId="4" fillId="0" borderId="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7" fillId="0" borderId="17" applyNumberFormat="0" applyFill="0" applyAlignment="0" applyProtection="0"/>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18" applyNumberFormat="0" applyFill="0" applyProtection="0">
      <alignment horizontal="center"/>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9" fillId="0" borderId="0" applyNumberFormat="0" applyFill="0" applyBorder="0" applyProtection="0">
      <alignment horizontal="centerContinuous"/>
    </xf>
    <xf numFmtId="0" fontId="2" fillId="0" borderId="0"/>
    <xf numFmtId="0" fontId="2" fillId="0" borderId="0"/>
    <xf numFmtId="0" fontId="3" fillId="0" borderId="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5" borderId="0" applyNumberFormat="0" applyBorder="0" applyAlignment="0" applyProtection="0"/>
    <xf numFmtId="0" fontId="11" fillId="11"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1" fillId="10"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1"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1"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1"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1"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2" borderId="0" applyNumberFormat="0" applyBorder="0" applyAlignment="0" applyProtection="0"/>
    <xf numFmtId="0" fontId="11" fillId="16"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1" fillId="15"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1" fillId="7"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8" borderId="0" applyNumberFormat="0" applyBorder="0" applyAlignment="0" applyProtection="0"/>
    <xf numFmtId="0" fontId="11" fillId="17"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12" borderId="0" applyNumberFormat="0" applyBorder="0" applyAlignment="0" applyProtection="0"/>
    <xf numFmtId="0" fontId="11" fillId="18"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1"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19"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3" borderId="0" applyNumberFormat="0" applyBorder="0" applyAlignment="0" applyProtection="0"/>
    <xf numFmtId="0" fontId="12" fillId="22"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20" borderId="0" applyNumberFormat="0" applyBorder="0" applyAlignment="0" applyProtection="0"/>
    <xf numFmtId="0" fontId="12" fillId="17"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3"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19"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2" fillId="25"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8"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4"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0" fillId="29" borderId="0" applyNumberFormat="0" applyBorder="0" applyAlignment="0" applyProtection="0"/>
    <xf numFmtId="0" fontId="10" fillId="35" borderId="0" applyNumberFormat="0" applyBorder="0" applyAlignment="0" applyProtection="0"/>
    <xf numFmtId="0" fontId="12" fillId="30"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6"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6"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6" borderId="0" applyNumberFormat="0" applyBorder="0" applyAlignment="0" applyProtection="0"/>
    <xf numFmtId="0" fontId="12" fillId="31" borderId="0" applyNumberFormat="0" applyBorder="0" applyAlignment="0" applyProtection="0"/>
    <xf numFmtId="0" fontId="12" fillId="31"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7"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1"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1"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1"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1" borderId="0" applyNumberFormat="0" applyBorder="0" applyAlignment="0" applyProtection="0"/>
    <xf numFmtId="0" fontId="12" fillId="36" borderId="0" applyNumberFormat="0" applyBorder="0" applyAlignment="0" applyProtection="0"/>
    <xf numFmtId="0" fontId="12" fillId="31"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1"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0" fillId="24" borderId="0" applyNumberFormat="0" applyBorder="0" applyAlignment="0" applyProtection="0"/>
    <xf numFmtId="0" fontId="10" fillId="30" borderId="0" applyNumberFormat="0" applyBorder="0" applyAlignment="0" applyProtection="0"/>
    <xf numFmtId="0" fontId="12" fillId="3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0"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0"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0" borderId="0" applyNumberFormat="0" applyBorder="0" applyAlignment="0" applyProtection="0"/>
    <xf numFmtId="0" fontId="12" fillId="27" borderId="0" applyNumberFormat="0" applyBorder="0" applyAlignment="0" applyProtection="0"/>
    <xf numFmtId="0" fontId="12" fillId="27"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38"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38" borderId="0" applyNumberFormat="0" applyBorder="0" applyAlignment="0" applyProtection="0"/>
    <xf numFmtId="0" fontId="12" fillId="38"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7"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7"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7"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7" borderId="0" applyNumberFormat="0" applyBorder="0" applyAlignment="0" applyProtection="0"/>
    <xf numFmtId="0" fontId="12" fillId="20" borderId="0" applyNumberFormat="0" applyBorder="0" applyAlignment="0" applyProtection="0"/>
    <xf numFmtId="0" fontId="12" fillId="27"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7"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0" fillId="39" borderId="0" applyNumberFormat="0" applyBorder="0" applyAlignment="0" applyProtection="0"/>
    <xf numFmtId="0" fontId="10" fillId="24" borderId="0" applyNumberFormat="0" applyBorder="0" applyAlignment="0" applyProtection="0"/>
    <xf numFmtId="0" fontId="12" fillId="25"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40" borderId="0" applyNumberFormat="0" applyBorder="0" applyAlignment="0" applyProtection="0"/>
    <xf numFmtId="0" fontId="12" fillId="40" borderId="0" applyNumberFormat="0" applyBorder="0" applyAlignment="0" applyProtection="0"/>
    <xf numFmtId="0" fontId="12" fillId="21" borderId="0" applyNumberFormat="0" applyBorder="0" applyAlignment="0" applyProtection="0"/>
    <xf numFmtId="0" fontId="12" fillId="40" borderId="0" applyNumberFormat="0" applyBorder="0" applyAlignment="0" applyProtection="0"/>
    <xf numFmtId="0" fontId="12" fillId="40" borderId="0" applyNumberFormat="0" applyBorder="0" applyAlignment="0" applyProtection="0"/>
    <xf numFmtId="0" fontId="12" fillId="21" borderId="0" applyNumberFormat="0" applyBorder="0" applyAlignment="0" applyProtection="0"/>
    <xf numFmtId="0" fontId="12" fillId="40" borderId="0" applyNumberFormat="0" applyBorder="0" applyAlignment="0" applyProtection="0"/>
    <xf numFmtId="0" fontId="12" fillId="40" borderId="0" applyNumberFormat="0" applyBorder="0" applyAlignment="0" applyProtection="0"/>
    <xf numFmtId="0" fontId="12" fillId="21" borderId="0" applyNumberFormat="0" applyBorder="0" applyAlignment="0" applyProtection="0"/>
    <xf numFmtId="0" fontId="12" fillId="40" borderId="0" applyNumberFormat="0" applyBorder="0" applyAlignment="0" applyProtection="0"/>
    <xf numFmtId="0" fontId="12" fillId="40"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4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41" borderId="0" applyNumberFormat="0" applyBorder="0" applyAlignment="0" applyProtection="0"/>
    <xf numFmtId="0" fontId="12" fillId="4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40"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40"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40"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40" borderId="0" applyNumberFormat="0" applyBorder="0" applyAlignment="0" applyProtection="0"/>
    <xf numFmtId="0" fontId="12" fillId="21" borderId="0" applyNumberFormat="0" applyBorder="0" applyAlignment="0" applyProtection="0"/>
    <xf numFmtId="0" fontId="12" fillId="40"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40"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0" fillId="29" borderId="0" applyNumberFormat="0" applyBorder="0" applyAlignment="0" applyProtection="0"/>
    <xf numFmtId="0" fontId="10" fillId="42" borderId="0" applyNumberFormat="0" applyBorder="0" applyAlignment="0" applyProtection="0"/>
    <xf numFmtId="0" fontId="12" fillId="42"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3"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3"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3"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34"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4"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4"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4"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4" borderId="0" applyNumberFormat="0" applyBorder="0" applyAlignment="0" applyProtection="0"/>
    <xf numFmtId="0" fontId="12" fillId="43" borderId="0" applyNumberFormat="0" applyBorder="0" applyAlignment="0" applyProtection="0"/>
    <xf numFmtId="0" fontId="12" fillId="44"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4"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26" borderId="0" applyNumberFormat="0" applyBorder="0" applyAlignment="0" applyProtection="0"/>
    <xf numFmtId="0" fontId="12" fillId="26"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1" fontId="2" fillId="0" borderId="0" applyFont="0" applyFill="0" applyBorder="0" applyAlignment="0" applyProtection="0"/>
    <xf numFmtId="1" fontId="2" fillId="0" borderId="0" applyFont="0" applyFill="0" applyBorder="0" applyAlignment="0" applyProtection="0"/>
    <xf numFmtId="1" fontId="2" fillId="0" borderId="0" applyFont="0" applyFill="0" applyBorder="0" applyAlignment="0" applyProtection="0"/>
    <xf numFmtId="1" fontId="2" fillId="0" borderId="0" applyFont="0" applyFill="0" applyBorder="0" applyAlignment="0" applyProtection="0"/>
    <xf numFmtId="1" fontId="2" fillId="0" borderId="0" applyFont="0" applyFill="0" applyBorder="0" applyAlignment="0" applyProtection="0"/>
    <xf numFmtId="1" fontId="2" fillId="0" borderId="0" applyFont="0" applyFill="0" applyBorder="0" applyAlignment="0" applyProtection="0"/>
    <xf numFmtId="1" fontId="2" fillId="0" borderId="0" applyFont="0" applyFill="0" applyBorder="0" applyAlignment="0" applyProtection="0"/>
    <xf numFmtId="1" fontId="2" fillId="0" borderId="0" applyFont="0" applyFill="0" applyBorder="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3" fillId="16" borderId="19" applyNumberFormat="0" applyAlignment="0" applyProtection="0"/>
    <xf numFmtId="0" fontId="14" fillId="45" borderId="0" applyNumberFormat="0" applyBorder="0" applyAlignment="0" applyProtection="0"/>
    <xf numFmtId="0" fontId="15" fillId="6" borderId="0" applyNumberFormat="0" applyBorder="0" applyAlignment="0" applyProtection="0"/>
    <xf numFmtId="0" fontId="16" fillId="8"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4" fillId="45"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8" fillId="0" borderId="21" applyNumberFormat="0" applyFill="0" applyAlignment="0"/>
    <xf numFmtId="0" fontId="19"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5" fillId="0" borderId="22" applyNumberFormat="0" applyFill="0" applyAlignment="0" applyProtection="0"/>
    <xf numFmtId="0" fontId="25" fillId="0" borderId="22" applyNumberFormat="0" applyFill="0" applyAlignment="0" applyProtection="0"/>
    <xf numFmtId="0" fontId="26" fillId="0" borderId="23" applyNumberFormat="0" applyFill="0" applyAlignment="0" applyProtection="0"/>
    <xf numFmtId="0" fontId="26" fillId="0" borderId="23" applyNumberFormat="0" applyFill="0" applyAlignment="0" applyProtection="0"/>
    <xf numFmtId="0" fontId="27" fillId="0" borderId="24" applyNumberFormat="0" applyFill="0" applyAlignment="0" applyProtection="0"/>
    <xf numFmtId="0" fontId="27" fillId="0" borderId="24" applyNumberFormat="0" applyFill="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17" fillId="16" borderId="20" applyNumberFormat="0" applyAlignment="0" applyProtection="0"/>
    <xf numFmtId="0" fontId="28" fillId="46" borderId="20" applyNumberFormat="0" applyAlignment="0" applyProtection="0"/>
    <xf numFmtId="0" fontId="17" fillId="16"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17" fillId="16"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17" fillId="16"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17" fillId="16"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29" fillId="11"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17" fillId="16" borderId="20" applyNumberFormat="0" applyAlignment="0" applyProtection="0"/>
    <xf numFmtId="0" fontId="2" fillId="0" borderId="0"/>
    <xf numFmtId="0" fontId="2" fillId="0" borderId="0"/>
    <xf numFmtId="0" fontId="2" fillId="0" borderId="0"/>
    <xf numFmtId="0" fontId="1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 fontId="2" fillId="0" borderId="0" applyBorder="0" applyAlignment="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3" fontId="2" fillId="0" borderId="0"/>
    <xf numFmtId="0" fontId="2" fillId="0" borderId="0"/>
    <xf numFmtId="0" fontId="2" fillId="0" borderId="0"/>
    <xf numFmtId="0" fontId="2" fillId="0" borderId="0"/>
    <xf numFmtId="0" fontId="2" fillId="0" borderId="0"/>
    <xf numFmtId="0" fontId="2" fillId="0" borderId="0"/>
    <xf numFmtId="16"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3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7" fontId="31" fillId="0" borderId="0">
      <protection locked="0"/>
    </xf>
    <xf numFmtId="0" fontId="2" fillId="0" borderId="0"/>
    <xf numFmtId="0" fontId="2" fillId="0" borderId="0"/>
    <xf numFmtId="0" fontId="2" fillId="0" borderId="0"/>
    <xf numFmtId="0" fontId="2" fillId="0" borderId="0"/>
    <xf numFmtId="0" fontId="2" fillId="0" borderId="0"/>
    <xf numFmtId="0" fontId="2" fillId="0" borderId="0"/>
    <xf numFmtId="176" fontId="32" fillId="0" borderId="0">
      <alignment horizontal="right"/>
      <protection locked="0"/>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0"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37" fontId="2" fillId="0" borderId="0" applyFont="0" applyFill="0" applyBorder="0" applyAlignment="0" applyProtection="0">
      <alignment horizont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7" fontId="18" fillId="3" borderId="0" applyFill="0" applyBorder="0" applyProtection="0">
      <alignment horizontal="righ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cellStyleXfs>
  <cellXfs count="88">
    <xf numFmtId="0" fontId="0" fillId="0" borderId="0" xfId="0"/>
    <xf numFmtId="0" fontId="33" fillId="48" borderId="13" xfId="0" applyFont="1" applyFill="1" applyBorder="1" applyAlignment="1">
      <alignment horizontal="center" vertical="center"/>
    </xf>
    <xf numFmtId="0" fontId="33" fillId="48" borderId="5" xfId="0" applyFont="1" applyFill="1" applyBorder="1" applyAlignment="1">
      <alignment horizontal="center" vertical="center"/>
    </xf>
    <xf numFmtId="0" fontId="33" fillId="48" borderId="5" xfId="0" applyFont="1" applyFill="1" applyBorder="1" applyAlignment="1">
      <alignment horizontal="center" vertical="center" wrapText="1"/>
    </xf>
    <xf numFmtId="0" fontId="34" fillId="0" borderId="0" xfId="0" applyFont="1" applyAlignment="1">
      <alignment horizontal="center" vertical="center"/>
    </xf>
    <xf numFmtId="0" fontId="34" fillId="0" borderId="0" xfId="0" applyFont="1"/>
    <xf numFmtId="0" fontId="35" fillId="0" borderId="0" xfId="0" applyFont="1" applyAlignment="1">
      <alignment horizontal="center" vertical="center"/>
    </xf>
    <xf numFmtId="18" fontId="33" fillId="48" borderId="13" xfId="0" quotePrefix="1" applyNumberFormat="1" applyFont="1" applyFill="1" applyBorder="1" applyAlignment="1">
      <alignment horizontal="center" vertical="center"/>
    </xf>
    <xf numFmtId="0" fontId="34" fillId="48" borderId="5" xfId="0" applyFont="1" applyFill="1" applyBorder="1" applyAlignment="1">
      <alignment horizontal="center" vertical="center" wrapText="1"/>
    </xf>
    <xf numFmtId="0" fontId="34" fillId="48" borderId="5" xfId="0" applyFont="1" applyFill="1" applyBorder="1" applyAlignment="1">
      <alignment vertical="center"/>
    </xf>
    <xf numFmtId="0" fontId="36" fillId="47" borderId="5" xfId="0" quotePrefix="1" applyFont="1" applyFill="1" applyBorder="1" applyAlignment="1">
      <alignment horizontal="center" vertical="center" wrapText="1"/>
    </xf>
    <xf numFmtId="0" fontId="36" fillId="47" borderId="14" xfId="0" quotePrefix="1" applyFont="1" applyFill="1" applyBorder="1" applyAlignment="1">
      <alignment horizontal="center" vertical="center" wrapText="1"/>
    </xf>
    <xf numFmtId="0" fontId="36" fillId="47" borderId="13" xfId="0" quotePrefix="1" applyFont="1" applyFill="1" applyBorder="1" applyAlignment="1">
      <alignment horizontal="center" vertical="center" wrapText="1"/>
    </xf>
    <xf numFmtId="0" fontId="33" fillId="49" borderId="6" xfId="0" applyFont="1" applyFill="1" applyBorder="1" applyAlignment="1">
      <alignment horizontal="center" vertical="center"/>
    </xf>
    <xf numFmtId="0" fontId="33" fillId="49" borderId="7" xfId="0" applyFont="1" applyFill="1" applyBorder="1" applyAlignment="1">
      <alignment horizontal="center" vertical="center"/>
    </xf>
    <xf numFmtId="18" fontId="33" fillId="50" borderId="28" xfId="0" quotePrefix="1" applyNumberFormat="1" applyFont="1" applyFill="1" applyBorder="1" applyAlignment="1">
      <alignment horizontal="center" vertical="center"/>
    </xf>
    <xf numFmtId="0" fontId="33" fillId="50" borderId="25" xfId="0" quotePrefix="1" applyFont="1" applyFill="1" applyBorder="1" applyAlignment="1">
      <alignment horizontal="center" vertical="center"/>
    </xf>
    <xf numFmtId="0" fontId="33" fillId="50" borderId="29" xfId="0" quotePrefix="1" applyFont="1" applyFill="1" applyBorder="1" applyAlignment="1">
      <alignment horizontal="center" vertical="center"/>
    </xf>
    <xf numFmtId="0" fontId="33" fillId="50" borderId="27" xfId="0" quotePrefix="1" applyFont="1" applyFill="1" applyBorder="1" applyAlignment="1">
      <alignment horizontal="center" vertical="center"/>
    </xf>
    <xf numFmtId="0" fontId="34" fillId="49" borderId="6" xfId="0" applyFont="1" applyFill="1" applyBorder="1" applyAlignment="1">
      <alignment horizontal="center" vertical="center"/>
    </xf>
    <xf numFmtId="0" fontId="34" fillId="49" borderId="7" xfId="0" applyFont="1" applyFill="1" applyBorder="1" applyAlignment="1">
      <alignment horizontal="center" vertical="center"/>
    </xf>
    <xf numFmtId="0" fontId="34" fillId="49" borderId="8" xfId="0" applyFont="1" applyFill="1" applyBorder="1" applyAlignment="1">
      <alignment horizontal="center" vertical="center"/>
    </xf>
    <xf numFmtId="4" fontId="34" fillId="52" borderId="15" xfId="0" applyNumberFormat="1" applyFont="1" applyFill="1" applyBorder="1" applyAlignment="1">
      <alignment horizontal="center" vertical="center"/>
    </xf>
    <xf numFmtId="179" fontId="34" fillId="52" borderId="0" xfId="0" applyNumberFormat="1" applyFont="1" applyFill="1" applyAlignment="1">
      <alignment horizontal="center" vertical="center"/>
    </xf>
    <xf numFmtId="0" fontId="34" fillId="2" borderId="0" xfId="0" applyFont="1" applyFill="1" applyAlignment="1">
      <alignment horizontal="center" vertical="center"/>
    </xf>
    <xf numFmtId="20" fontId="34" fillId="51" borderId="26" xfId="0" applyNumberFormat="1" applyFont="1" applyFill="1" applyBorder="1" applyAlignment="1">
      <alignment horizontal="center" vertical="center"/>
    </xf>
    <xf numFmtId="20" fontId="34" fillId="51" borderId="2" xfId="0" applyNumberFormat="1" applyFont="1" applyFill="1" applyBorder="1" applyAlignment="1">
      <alignment horizontal="center" vertical="center"/>
    </xf>
    <xf numFmtId="3" fontId="34" fillId="51" borderId="2" xfId="0" applyNumberFormat="1" applyFont="1" applyFill="1" applyBorder="1" applyAlignment="1">
      <alignment horizontal="center" vertical="center"/>
    </xf>
    <xf numFmtId="180" fontId="34" fillId="51" borderId="2" xfId="0" applyNumberFormat="1" applyFont="1" applyFill="1" applyBorder="1" applyAlignment="1">
      <alignment horizontal="center" vertical="center"/>
    </xf>
    <xf numFmtId="182" fontId="34" fillId="51" borderId="12" xfId="0" applyNumberFormat="1" applyFont="1" applyFill="1" applyBorder="1" applyAlignment="1">
      <alignment horizontal="center" vertical="center"/>
    </xf>
    <xf numFmtId="180" fontId="34" fillId="0" borderId="0" xfId="0" applyNumberFormat="1" applyFont="1" applyAlignment="1">
      <alignment horizontal="center" vertical="center"/>
    </xf>
    <xf numFmtId="20" fontId="0" fillId="51" borderId="4" xfId="0" applyNumberFormat="1" applyFill="1" applyBorder="1" applyAlignment="1">
      <alignment horizontal="center" vertical="center"/>
    </xf>
    <xf numFmtId="20" fontId="0" fillId="51" borderId="1" xfId="0" applyNumberFormat="1" applyFill="1" applyBorder="1" applyAlignment="1">
      <alignment horizontal="center" vertical="center"/>
    </xf>
    <xf numFmtId="3" fontId="0" fillId="51" borderId="1" xfId="0" applyNumberFormat="1" applyFill="1" applyBorder="1" applyAlignment="1">
      <alignment horizontal="center" vertical="center"/>
    </xf>
    <xf numFmtId="180" fontId="0" fillId="51" borderId="1" xfId="0" applyNumberFormat="1" applyFill="1" applyBorder="1" applyAlignment="1">
      <alignment horizontal="center" vertical="center"/>
    </xf>
    <xf numFmtId="182" fontId="0" fillId="51" borderId="3" xfId="0" applyNumberFormat="1" applyFill="1" applyBorder="1" applyAlignment="1">
      <alignment horizontal="center" vertical="center"/>
    </xf>
    <xf numFmtId="3" fontId="0" fillId="51" borderId="3" xfId="0" applyNumberFormat="1" applyFill="1" applyBorder="1" applyAlignment="1">
      <alignment horizontal="center" vertical="center"/>
    </xf>
    <xf numFmtId="4" fontId="0" fillId="51" borderId="3" xfId="0" applyNumberFormat="1" applyFill="1" applyBorder="1" applyAlignment="1">
      <alignment horizontal="center" vertical="center"/>
    </xf>
    <xf numFmtId="183" fontId="0" fillId="51" borderId="3" xfId="0" applyNumberFormat="1" applyFill="1" applyBorder="1" applyAlignment="1">
      <alignment horizontal="center" vertical="center"/>
    </xf>
    <xf numFmtId="0" fontId="0" fillId="0" borderId="0" xfId="0" applyAlignment="1">
      <alignment horizontal="center" vertical="center"/>
    </xf>
    <xf numFmtId="0" fontId="39" fillId="0" borderId="0" xfId="0" applyFont="1"/>
    <xf numFmtId="0" fontId="38" fillId="54" borderId="6" xfId="0" applyFont="1" applyFill="1" applyBorder="1" applyAlignment="1">
      <alignment horizontal="center" vertical="center"/>
    </xf>
    <xf numFmtId="0" fontId="38" fillId="54" borderId="7" xfId="0" applyFont="1" applyFill="1" applyBorder="1" applyAlignment="1">
      <alignment horizontal="center" vertical="center"/>
    </xf>
    <xf numFmtId="0" fontId="38" fillId="54" borderId="8" xfId="0" applyFont="1" applyFill="1" applyBorder="1" applyAlignment="1">
      <alignment horizontal="center" vertical="center"/>
    </xf>
    <xf numFmtId="49" fontId="37" fillId="55" borderId="13" xfId="0" applyNumberFormat="1" applyFont="1" applyFill="1" applyBorder="1" applyAlignment="1">
      <alignment horizontal="center" vertical="center" wrapText="1"/>
    </xf>
    <xf numFmtId="49" fontId="37" fillId="55" borderId="5" xfId="0" applyNumberFormat="1" applyFont="1" applyFill="1" applyBorder="1" applyAlignment="1">
      <alignment horizontal="center" vertical="center" wrapText="1"/>
    </xf>
    <xf numFmtId="49" fontId="37" fillId="55" borderId="14" xfId="0" applyNumberFormat="1" applyFont="1" applyFill="1" applyBorder="1" applyAlignment="1">
      <alignment horizontal="center" vertical="center" wrapText="1"/>
    </xf>
    <xf numFmtId="0" fontId="40" fillId="55" borderId="9" xfId="0" applyFont="1" applyFill="1" applyBorder="1" applyAlignment="1">
      <alignment horizontal="center" vertical="center" wrapText="1"/>
    </xf>
    <xf numFmtId="0" fontId="40" fillId="55" borderId="10" xfId="0" applyFont="1" applyFill="1" applyBorder="1" applyAlignment="1">
      <alignment horizontal="center" vertical="center" wrapText="1"/>
    </xf>
    <xf numFmtId="0" fontId="40" fillId="55" borderId="11" xfId="0" applyFont="1" applyFill="1" applyBorder="1" applyAlignment="1">
      <alignment horizontal="center" vertical="center" wrapText="1"/>
    </xf>
    <xf numFmtId="0" fontId="37" fillId="0" borderId="0" xfId="0" applyFont="1" applyAlignment="1">
      <alignment horizontal="center" vertical="center"/>
    </xf>
    <xf numFmtId="1" fontId="37" fillId="56" borderId="6" xfId="0" applyNumberFormat="1" applyFont="1" applyFill="1" applyBorder="1" applyAlignment="1">
      <alignment horizontal="center" vertical="center"/>
    </xf>
    <xf numFmtId="1" fontId="37" fillId="56" borderId="7" xfId="0" applyNumberFormat="1" applyFont="1" applyFill="1" applyBorder="1" applyAlignment="1">
      <alignment horizontal="center" vertical="center"/>
    </xf>
    <xf numFmtId="184" fontId="37" fillId="56" borderId="7" xfId="0" applyNumberFormat="1" applyFont="1" applyFill="1" applyBorder="1" applyAlignment="1">
      <alignment horizontal="center" vertical="center"/>
    </xf>
    <xf numFmtId="1" fontId="37" fillId="56" borderId="8" xfId="0" applyNumberFormat="1" applyFont="1" applyFill="1" applyBorder="1" applyAlignment="1">
      <alignment horizontal="center" vertical="center"/>
    </xf>
    <xf numFmtId="1" fontId="0" fillId="57" borderId="30" xfId="0" applyNumberFormat="1" applyFill="1" applyBorder="1" applyAlignment="1">
      <alignment horizontal="center"/>
    </xf>
    <xf numFmtId="1" fontId="0" fillId="58" borderId="1" xfId="0" applyNumberFormat="1" applyFill="1" applyBorder="1" applyAlignment="1">
      <alignment horizontal="center"/>
    </xf>
    <xf numFmtId="1" fontId="0" fillId="57" borderId="31" xfId="0" applyNumberFormat="1" applyFill="1" applyBorder="1" applyAlignment="1">
      <alignment horizontal="center"/>
    </xf>
    <xf numFmtId="1" fontId="37" fillId="56" borderId="15" xfId="0" applyNumberFormat="1" applyFont="1" applyFill="1" applyBorder="1" applyAlignment="1">
      <alignment horizontal="center" vertical="center"/>
    </xf>
    <xf numFmtId="1" fontId="37" fillId="56" borderId="0" xfId="0" applyNumberFormat="1" applyFont="1" applyFill="1" applyAlignment="1">
      <alignment horizontal="center" vertical="center"/>
    </xf>
    <xf numFmtId="184" fontId="37" fillId="56" borderId="0" xfId="0" applyNumberFormat="1" applyFont="1" applyFill="1" applyAlignment="1">
      <alignment horizontal="center" vertical="center"/>
    </xf>
    <xf numFmtId="1" fontId="37" fillId="56" borderId="16" xfId="0" applyNumberFormat="1" applyFont="1" applyFill="1" applyBorder="1" applyAlignment="1">
      <alignment horizontal="center" vertical="center"/>
    </xf>
    <xf numFmtId="1" fontId="0" fillId="58" borderId="3" xfId="0" applyNumberFormat="1" applyFill="1" applyBorder="1" applyAlignment="1">
      <alignment horizontal="center"/>
    </xf>
    <xf numFmtId="1" fontId="0" fillId="55" borderId="1" xfId="0" applyNumberFormat="1" applyFill="1" applyBorder="1" applyAlignment="1">
      <alignment horizontal="center"/>
    </xf>
    <xf numFmtId="1" fontId="0" fillId="55" borderId="3" xfId="0" applyNumberFormat="1" applyFill="1" applyBorder="1" applyAlignment="1">
      <alignment horizontal="center"/>
    </xf>
    <xf numFmtId="1" fontId="0" fillId="0" borderId="1" xfId="0" applyNumberFormat="1" applyBorder="1" applyAlignment="1">
      <alignment horizontal="center"/>
    </xf>
    <xf numFmtId="1" fontId="0" fillId="0" borderId="3" xfId="0" applyNumberFormat="1" applyBorder="1" applyAlignment="1">
      <alignment horizontal="center"/>
    </xf>
    <xf numFmtId="1" fontId="0" fillId="57" borderId="1" xfId="0" applyNumberFormat="1" applyFill="1" applyBorder="1" applyAlignment="1">
      <alignment horizontal="center"/>
    </xf>
    <xf numFmtId="1" fontId="0" fillId="57" borderId="3" xfId="0" applyNumberFormat="1" applyFill="1" applyBorder="1" applyAlignment="1">
      <alignment horizontal="center"/>
    </xf>
    <xf numFmtId="1" fontId="0" fillId="0" borderId="0" xfId="0" applyNumberFormat="1" applyAlignment="1">
      <alignment horizontal="center"/>
    </xf>
    <xf numFmtId="0" fontId="37" fillId="0" borderId="0" xfId="0" applyFont="1" applyAlignment="1">
      <alignment horizontal="center"/>
    </xf>
    <xf numFmtId="1" fontId="37" fillId="56" borderId="32" xfId="0" applyNumberFormat="1" applyFont="1" applyFill="1" applyBorder="1" applyAlignment="1">
      <alignment horizontal="center" vertical="center"/>
    </xf>
    <xf numFmtId="3" fontId="37" fillId="0" borderId="6" xfId="0" applyNumberFormat="1" applyFont="1" applyBorder="1" applyAlignment="1">
      <alignment horizontal="center"/>
    </xf>
    <xf numFmtId="3" fontId="37" fillId="0" borderId="7" xfId="0" applyNumberFormat="1" applyFont="1" applyBorder="1" applyAlignment="1">
      <alignment horizontal="center"/>
    </xf>
    <xf numFmtId="3" fontId="37" fillId="0" borderId="8" xfId="0" applyNumberFormat="1" applyFont="1" applyBorder="1" applyAlignment="1">
      <alignment horizontal="center"/>
    </xf>
    <xf numFmtId="1" fontId="37" fillId="56" borderId="33" xfId="0" applyNumberFormat="1" applyFont="1" applyFill="1" applyBorder="1" applyAlignment="1">
      <alignment horizontal="center" vertical="center"/>
    </xf>
    <xf numFmtId="3" fontId="37" fillId="0" borderId="9" xfId="0" applyNumberFormat="1" applyFont="1" applyBorder="1" applyAlignment="1">
      <alignment horizontal="center"/>
    </xf>
    <xf numFmtId="3" fontId="37" fillId="0" borderId="10" xfId="0" applyNumberFormat="1" applyFont="1" applyBorder="1" applyAlignment="1">
      <alignment horizontal="center"/>
    </xf>
    <xf numFmtId="3" fontId="37" fillId="0" borderId="11" xfId="0" applyNumberFormat="1" applyFont="1" applyBorder="1" applyAlignment="1">
      <alignment horizontal="center"/>
    </xf>
    <xf numFmtId="178" fontId="34" fillId="2" borderId="15" xfId="19640" applyNumberFormat="1" applyFont="1" applyFill="1" applyBorder="1" applyAlignment="1">
      <alignment horizontal="center" vertical="center"/>
    </xf>
    <xf numFmtId="44" fontId="34" fillId="2" borderId="0" xfId="19640" applyFont="1" applyFill="1" applyBorder="1" applyAlignment="1">
      <alignment horizontal="center" vertical="center"/>
    </xf>
    <xf numFmtId="44" fontId="34" fillId="2" borderId="16" xfId="19640" applyFont="1" applyFill="1" applyBorder="1" applyAlignment="1">
      <alignment horizontal="center" vertical="center"/>
    </xf>
    <xf numFmtId="181" fontId="34" fillId="53" borderId="15" xfId="19640" applyNumberFormat="1" applyFont="1" applyFill="1" applyBorder="1" applyAlignment="1">
      <alignment horizontal="center" vertical="center"/>
    </xf>
    <xf numFmtId="181" fontId="34" fillId="53" borderId="16" xfId="19640" applyNumberFormat="1" applyFont="1" applyFill="1" applyBorder="1" applyAlignment="1">
      <alignment horizontal="center" vertical="center"/>
    </xf>
    <xf numFmtId="181" fontId="34" fillId="53" borderId="11" xfId="19640" applyNumberFormat="1" applyFont="1" applyFill="1" applyBorder="1" applyAlignment="1">
      <alignment horizontal="center" vertical="center"/>
    </xf>
    <xf numFmtId="14" fontId="38" fillId="54" borderId="13" xfId="0" applyNumberFormat="1" applyFont="1" applyFill="1" applyBorder="1" applyAlignment="1">
      <alignment horizontal="center"/>
    </xf>
    <xf numFmtId="14" fontId="38" fillId="54" borderId="5" xfId="0" applyNumberFormat="1" applyFont="1" applyFill="1" applyBorder="1" applyAlignment="1">
      <alignment horizontal="center"/>
    </xf>
    <xf numFmtId="0" fontId="34" fillId="0" borderId="7" xfId="0" applyFont="1" applyBorder="1" applyAlignment="1">
      <alignment horizontal="center" vertical="center"/>
    </xf>
  </cellXfs>
  <cellStyles count="19641">
    <cellStyle name="_x0013_" xfId="5" xr:uid="{4E99A982-FCFA-4149-A0B1-FBAAAA759252}"/>
    <cellStyle name=" 1" xfId="6" xr:uid="{DE62ECFE-49E8-484E-A92A-0CD91FA5706C}"/>
    <cellStyle name=" 1 2" xfId="7" xr:uid="{16E6573D-AFC4-44DA-AA3D-893FC44790CD}"/>
    <cellStyle name=" 1_Clear BS" xfId="8" xr:uid="{716C2C4E-0B98-4485-851D-6297DC30EA01}"/>
    <cellStyle name="%" xfId="9" xr:uid="{C880F20C-4E69-4F41-95B9-8D976337080D}"/>
    <cellStyle name="% 2" xfId="10" xr:uid="{660DB0E8-EE99-471B-B7B9-5553F9E218AF}"/>
    <cellStyle name="%_Admissions" xfId="11" xr:uid="{49B2B452-635C-4563-A7C9-8F0FF0263D66}"/>
    <cellStyle name="_%(SignOnly)" xfId="12" xr:uid="{2FF4CF03-5CBF-4B30-BCBC-77737C113DAE}"/>
    <cellStyle name="_%(SignSpaceOnly)" xfId="13" xr:uid="{E0008AD7-0C2C-4577-A255-615C4B46A7DB}"/>
    <cellStyle name="_2012 Profit Protection - LE 040512 KD workings" xfId="14" xr:uid="{BA2B4756-25A0-4A31-80BA-F582BB473489}"/>
    <cellStyle name="_x0013__Admissions" xfId="15" xr:uid="{F34273C3-D1F8-4BBF-918A-1337DDB644A8}"/>
    <cellStyle name="_x0013__Admissions Upsales" xfId="16" xr:uid="{D3E36322-0332-43E3-BBDC-098B18234367}"/>
    <cellStyle name="_x0013__Admissions Upsales_Admissions" xfId="17" xr:uid="{88FA2574-CEF5-4830-8B66-D87CF2AFF60B}"/>
    <cellStyle name="_Book2" xfId="18" xr:uid="{732600A1-7A47-4077-AC5A-C6276365E4F1}"/>
    <cellStyle name="_Cash Flow Statement" xfId="19" xr:uid="{CABC2696-1F99-414D-BB50-CD8E8C4189A8}"/>
    <cellStyle name="_Cash Flow Statement_Admissions" xfId="20" xr:uid="{9C7CB66A-2295-4857-84A9-E4A412F3C1F7}"/>
    <cellStyle name="_Cash Flow Statement_Admissions Upsales" xfId="21" xr:uid="{5A0EC151-63D7-4B9F-B4E4-E920812AEA06}"/>
    <cellStyle name="_Cash Flow Statement_Admissions Upsales_Admissions" xfId="22" xr:uid="{71E75959-44EB-4DAA-A488-5278B86BE8A5}"/>
    <cellStyle name="_Cash Flow Statement_Front end" xfId="23" xr:uid="{CD9A8D36-04B5-4B1D-BBF6-B21198700EE4}"/>
    <cellStyle name="_Cash Flow Statement_Front end_Admissions" xfId="24" xr:uid="{56CA4F5F-EAAC-4623-A958-145B8ACCA045}"/>
    <cellStyle name="_Cash Flow Statement_Front end_Admissions Upsales" xfId="25" xr:uid="{C9B6B383-8BF7-449F-8CFC-AAFFA724F60A}"/>
    <cellStyle name="_Cash Flow Statement_Front end_Admissions Upsales_Admissions" xfId="26" xr:uid="{769CF633-E864-4EEF-BEB0-180931744B18}"/>
    <cellStyle name="_Cash Flow Statement_Front end_Volume Build Up" xfId="27" xr:uid="{E1A2D30D-C826-42A8-A6F8-AEAC91B9D769}"/>
    <cellStyle name="_Cash Flow Statement_Front end_Volume Build Up_Admissions" xfId="28" xr:uid="{B96BC65D-298F-4B85-BA1B-6B9652EC9938}"/>
    <cellStyle name="_Cash Flow Statement_PDG Capex" xfId="29" xr:uid="{86320279-7E2E-4812-B548-6D3EA080964A}"/>
    <cellStyle name="_Cash Flow Statement_PDG Capex_Admissions" xfId="30" xr:uid="{C297FD47-0669-42C0-82BE-57A59AB853C9}"/>
    <cellStyle name="_Cash Flow Statement_PDG Capex_Admissions Upsales" xfId="31" xr:uid="{025FE065-4007-4631-B25B-1BD4D0BCAD5A}"/>
    <cellStyle name="_Cash Flow Statement_PDG Capex_Admissions Upsales_Admissions" xfId="32" xr:uid="{1661422B-072C-4691-A0AD-F8C112491EB0}"/>
    <cellStyle name="_Cash Flow Statement_PDG Capex_Volume Build Up" xfId="33" xr:uid="{5F27551C-EEF2-44C9-9BD2-87D0A8F974BE}"/>
    <cellStyle name="_Cash Flow Statement_PDG Capex_Volume Build Up_Admissions" xfId="34" xr:uid="{59E5A928-A12E-458E-AFC3-18906F2184EB}"/>
    <cellStyle name="_Cash Flow Statement_Volume Build Up" xfId="35" xr:uid="{36AC6F28-92FD-444E-8876-6B3B452C9100}"/>
    <cellStyle name="_Cash Flow Statement_Volume Build Up_Admissions" xfId="36" xr:uid="{42E4A50E-0C49-489B-8CCE-54CAC9B1656A}"/>
    <cellStyle name="_Comma" xfId="37" xr:uid="{7A220230-C2FD-4866-B454-32CDA4126044}"/>
    <cellStyle name="_Corporate GBP - variance analysis" xfId="38" xr:uid="{ABC3D91E-C025-42D8-B125-4CAE1B1E0804}"/>
    <cellStyle name="_Corporate Recharges Budget 2011 v2" xfId="39" xr:uid="{C035296C-746D-4950-9323-6812CB8B7BCD}"/>
    <cellStyle name="_Currency" xfId="40" xr:uid="{28AA3BCE-B85D-4790-A52C-0E1B5E76099B}"/>
    <cellStyle name="_Currency_€845m Amortisation Profile Apr 2007 (2)" xfId="41" xr:uid="{2EB0BFFC-35C3-45EB-8A56-C165BBD00635}"/>
    <cellStyle name="_Currency_Profile" xfId="42" xr:uid="{EE54A214-94A5-444D-AD6C-7B1516D966B1}"/>
    <cellStyle name="_CurrencySpace" xfId="43" xr:uid="{A1E325B5-A41E-4FF7-AD6F-08C4A6DADECC}"/>
    <cellStyle name="_x0013__Data Entry" xfId="44" xr:uid="{74103900-C28E-4A5E-AA08-C8FBC122D4E6}"/>
    <cellStyle name="_x0013__Data Entry_Admissions" xfId="45" xr:uid="{6349623F-AD5A-4283-A85E-F85E2277E846}"/>
    <cellStyle name="_x0013__Data Entry_Admissions Upsales" xfId="46" xr:uid="{789ABF6A-1FD4-415D-AE47-877602EB5CBE}"/>
    <cellStyle name="_x0013__Data Entry_Admissions Upsales_Admissions" xfId="47" xr:uid="{EEC8D93E-7651-42D0-8D44-D7EF8A03759D}"/>
    <cellStyle name="_x0013__Data Entry_Front end" xfId="48" xr:uid="{D7D72DC8-1D2C-4331-845C-EE80F225644F}"/>
    <cellStyle name="_x0013__Data Entry_Front end_Admissions" xfId="49" xr:uid="{B4FC9314-2FFD-4914-8F9F-656E8ADBE117}"/>
    <cellStyle name="_x0013__Data Entry_Front end_Admissions Upsales" xfId="50" xr:uid="{A64825EF-FEA0-4370-AB1C-CF7B7C3B852F}"/>
    <cellStyle name="_x0013__Data Entry_Front end_Admissions Upsales_Admissions" xfId="51" xr:uid="{788C1A30-0606-4AE1-BDDE-1991BFE9929C}"/>
    <cellStyle name="_x0013__Data Entry_Front end_Volume Build Up" xfId="52" xr:uid="{521EEEAD-1717-4F10-934B-89DB8C7E8565}"/>
    <cellStyle name="_x0013__Data Entry_Front end_Volume Build Up_Admissions" xfId="53" xr:uid="{85834AA9-AE5A-4F81-B658-7C234536C7EE}"/>
    <cellStyle name="_x0013__Data Entry_PDG Capex" xfId="54" xr:uid="{E0B44E87-E8B9-4E05-8254-BB6DE2C67987}"/>
    <cellStyle name="_x0013__Data Entry_PDG Capex_Admissions" xfId="55" xr:uid="{CC739EEC-1E0D-439F-9EF8-F999624D5976}"/>
    <cellStyle name="_x0013__Data Entry_PDG Capex_Admissions Upsales" xfId="56" xr:uid="{FDAEB7BF-64A2-44DB-A29B-FDA8F068900D}"/>
    <cellStyle name="_x0013__Data Entry_PDG Capex_Admissions Upsales_Admissions" xfId="57" xr:uid="{C107A35F-69B4-49BB-B22E-A5572036C14A}"/>
    <cellStyle name="_x0013__Data Entry_PDG Capex_Volume Build Up" xfId="58" xr:uid="{3760723C-1738-43F4-A065-B6C9B12EF6E5}"/>
    <cellStyle name="_x0013__Data Entry_PDG Capex_Volume Build Up_Admissions" xfId="59" xr:uid="{3040A8DC-F32F-49D1-9A4E-079F287C9083}"/>
    <cellStyle name="_x0013__Data Entry_Volume Build Up" xfId="60" xr:uid="{0026BB72-B255-484B-98D6-301887ACD1D9}"/>
    <cellStyle name="_x0013__Data Entry_Volume Build Up_Admissions" xfId="61" xr:uid="{E5EB8232-CCC6-441D-8CE0-26A5075FC79D}"/>
    <cellStyle name="_Entity 3002 cashflow by month" xfId="62" xr:uid="{3BDB87D1-4599-4784-BAD1-AB44F4BC262D}"/>
    <cellStyle name="_Entity 3002 cashflow by month_Admissions" xfId="63" xr:uid="{FA57AB7A-82C1-4D1B-8A39-B6BDB509E1FF}"/>
    <cellStyle name="_Entity 3002 cashflow by month_Admissions Upsales" xfId="64" xr:uid="{15033AFC-E9AA-4D37-953C-55A1AA3C13BD}"/>
    <cellStyle name="_Entity 3002 cashflow by month_Admissions Upsales_Admissions" xfId="65" xr:uid="{0C413F68-6F6B-4BD4-AE2E-2E7FA918BFE8}"/>
    <cellStyle name="_Entity 3002 cashflow by month_Front end" xfId="66" xr:uid="{4B31606A-B2CB-4474-BC11-A825E33AF7F8}"/>
    <cellStyle name="_Entity 3002 cashflow by month_Front end_Admissions" xfId="67" xr:uid="{31CB3405-26E8-45B0-9B63-7234EC817087}"/>
    <cellStyle name="_Entity 3002 cashflow by month_Front end_Admissions Upsales" xfId="68" xr:uid="{DCF2125E-7532-410B-8C6D-04C95B49EA96}"/>
    <cellStyle name="_Entity 3002 cashflow by month_Front end_Admissions Upsales_Admissions" xfId="69" xr:uid="{49091473-772E-4BE8-8F02-A46E0BD47BFF}"/>
    <cellStyle name="_Entity 3002 cashflow by month_Front end_Volume Build Up" xfId="70" xr:uid="{F55E76ED-2722-4508-B6B8-03463BAE6B1C}"/>
    <cellStyle name="_Entity 3002 cashflow by month_Front end_Volume Build Up_Admissions" xfId="71" xr:uid="{EE666242-9177-4A8A-BDBA-54CF49B747EB}"/>
    <cellStyle name="_Entity 3002 cashflow by month_PDG Capex" xfId="72" xr:uid="{6C89B493-F977-413D-96DB-B6AFC31FAF6E}"/>
    <cellStyle name="_Entity 3002 cashflow by month_PDG Capex_Admissions" xfId="73" xr:uid="{A64DCC6D-E197-4482-9B71-F4F8ACA30C14}"/>
    <cellStyle name="_Entity 3002 cashflow by month_PDG Capex_Admissions Upsales" xfId="74" xr:uid="{C407CFC8-459F-4575-A279-AE1C31EC6570}"/>
    <cellStyle name="_Entity 3002 cashflow by month_PDG Capex_Admissions Upsales_Admissions" xfId="75" xr:uid="{1474544B-4F94-466C-B964-8F8E63AAFB12}"/>
    <cellStyle name="_Entity 3002 cashflow by month_PDG Capex_Volume Build Up" xfId="76" xr:uid="{10FDB9EF-F30D-4FC6-9FE9-12CD9635407B}"/>
    <cellStyle name="_Entity 3002 cashflow by month_PDG Capex_Volume Build Up_Admissions" xfId="77" xr:uid="{B96CBAEB-FE8A-4DF9-AA1F-F7F0E5D085B8}"/>
    <cellStyle name="_Entity 3002 cashflow by month_Volume Build Up" xfId="78" xr:uid="{A487F1B1-BC92-461F-8981-ECA8B4F2ED5D}"/>
    <cellStyle name="_Entity 3002 cashflow by month_Volume Build Up_Admissions" xfId="79" xr:uid="{B1FFBD33-44A0-4E0A-8ACB-75EA77FBD4FF}"/>
    <cellStyle name="_Euro" xfId="80" xr:uid="{52235B45-6662-4879-B33A-891E85400EA5}"/>
    <cellStyle name="_Financial Snapshot" xfId="81" xr:uid="{C53BDD01-2480-4F63-BE76-01F064B2EEF3}"/>
    <cellStyle name="_x0013__Front end" xfId="82" xr:uid="{4857EE3F-6289-434E-BA54-57A85F1F23ED}"/>
    <cellStyle name="_x0013__Front end_Admissions" xfId="83" xr:uid="{73B94C49-8F81-469B-B598-73BDBBA8C267}"/>
    <cellStyle name="_x0013__Front end_Admissions Upsales" xfId="84" xr:uid="{5093B65F-7300-4EA2-8933-B566B7F99B5A}"/>
    <cellStyle name="_x0013__Front end_Admissions Upsales_Admissions" xfId="85" xr:uid="{DD31BBC4-566D-4BFF-8101-93887024371D}"/>
    <cellStyle name="_x0013__Front end_Volume Build Up" xfId="86" xr:uid="{23E35B99-05C1-4B11-B32B-C196E5D1D6F6}"/>
    <cellStyle name="_x0013__Front end_Volume Build Up_Admissions" xfId="87" xr:uid="{E909A7D8-2E6C-45EE-8E10-DA1AC8463876}"/>
    <cellStyle name="_Front Sheet" xfId="88" xr:uid="{C80D8D3A-0C57-4D2B-B890-E6E325FAF98D}"/>
    <cellStyle name="_Heading" xfId="89" xr:uid="{831E9361-98A1-46B7-B31B-FAFC697DF725}"/>
    <cellStyle name="_Heading_CASHFLOW - mment acs" xfId="90" xr:uid="{B84CBFAF-477C-4E42-89B6-617046AF0D55}"/>
    <cellStyle name="_Heading_COV MODEL monthly report 2010 - ACTUALS (new)" xfId="91" xr:uid="{B7DB6211-3FD8-440E-9E5A-6D98B36759FD}"/>
    <cellStyle name="_Heading_COV MODEL monthly report 2010 - ACTUALS (new)_Bank Covenant Data" xfId="92" xr:uid="{DC342261-E302-4D56-8199-1D3683886943}"/>
    <cellStyle name="_Heading_COV MODEL monthly report 2010 - ACTUALS (new)_Covenant data CurrentMth" xfId="93" xr:uid="{0C9CAD9C-28C5-4818-AF6F-4D0FE15036AD}"/>
    <cellStyle name="_Heading_COV MODEL monthly report 2010 - ACTUALS (new)_Covenant data PriorMth" xfId="94" xr:uid="{A04625BF-C09C-4D41-B5FB-59386661D047}"/>
    <cellStyle name="_Heading_COV MODEL monthly report 2010 - ACTUALS (new)_Front end" xfId="95" xr:uid="{D479A65A-9D47-42FA-83D1-4EEFEF0C2517}"/>
    <cellStyle name="_Heading_COV MODEL monthly report 2010 - ACTUALS (new)_PDG Capex" xfId="96" xr:uid="{9BB29C8A-CA9B-435A-9F79-7AD7B71E40C8}"/>
    <cellStyle name="_Heading_Data Entry" xfId="97" xr:uid="{E8DC8FD2-CE74-4B9C-AD11-6888581EB7F5}"/>
    <cellStyle name="_Heading_Data Entry_Bank Covenant Data" xfId="98" xr:uid="{B057C6F2-2C32-4644-8488-517B75ADDD83}"/>
    <cellStyle name="_Heading_Data Entry_Covenant data CurrentMth" xfId="99" xr:uid="{151098DA-8A01-45B2-96DE-56B8B42DE3C0}"/>
    <cellStyle name="_Heading_Data Entry_Covenant data PriorMth" xfId="100" xr:uid="{F6C21D7B-FEEB-4CF0-9C88-8991715C9B5A}"/>
    <cellStyle name="_Heading_Data Entry_Front end" xfId="101" xr:uid="{BD91836C-6EC6-4A83-8FC9-F973AEAAAD1D}"/>
    <cellStyle name="_Heading_Data Entry_PDG Capex" xfId="102" xr:uid="{D277574C-9300-492A-8056-F3B0D2EC880E}"/>
    <cellStyle name="_Heading_EE capital plan and EBITDA Forecast 2010" xfId="103" xr:uid="{7C92689D-4552-4B3E-AC10-B85CDD204771}"/>
    <cellStyle name="_Heading_EE capital plan and EBITDA Forecast 2010 141010 LB" xfId="104" xr:uid="{AA4B5C37-1D0C-48FF-9368-D251AE42A17D}"/>
    <cellStyle name="_Heading_EE capital plan and EBITDA Forecast 2010 141010 LB_Bank Covenant Data" xfId="105" xr:uid="{D0FED98B-AE3D-4747-8671-BB64FB04DFEF}"/>
    <cellStyle name="_Heading_EE capital plan and EBITDA Forecast 2010 141010 LB_Covenant data CurrentMth" xfId="106" xr:uid="{417333A7-0B59-4DC6-B9DA-A0A6BDDC53D2}"/>
    <cellStyle name="_Heading_EE capital plan and EBITDA Forecast 2010 141010 LB_Covenant data PriorMth" xfId="107" xr:uid="{0ADE3629-5EAD-444F-A896-D04387364BC6}"/>
    <cellStyle name="_Heading_EE capital plan and EBITDA Forecast 2010 141010 LB_PDG Capex" xfId="108" xr:uid="{2C9BCF34-9DB3-44AC-AB74-2B4024867CA6}"/>
    <cellStyle name="_Heading_EE summary for cov model" xfId="109" xr:uid="{791D1CCD-0BF7-4CE5-84B1-52414A6F9818}"/>
    <cellStyle name="_Heading_EE summary for cov model_Bank Covenant Data" xfId="110" xr:uid="{4DE79454-0660-489D-9741-FDB000CC2E4C}"/>
    <cellStyle name="_Heading_EE summary for cov model_Covenant data CurrentMth" xfId="111" xr:uid="{EF884ADE-DB69-4C5C-B72D-F36DF191CACE}"/>
    <cellStyle name="_Heading_EE summary for cov model_Covenant data PriorMth" xfId="112" xr:uid="{D7681192-689C-499B-A4A6-E745380C93DF}"/>
    <cellStyle name="_Heading_EE summary for cov model_PDG Capex" xfId="113" xr:uid="{5390BF79-54C1-4B29-BEAC-0F9D441489AC}"/>
    <cellStyle name="_Heading_Other Data Entry" xfId="114" xr:uid="{6244A657-30C8-4900-B02D-E74ED68DBBF4}"/>
    <cellStyle name="_Heading_Other Data Entry_Bank Covenant Data" xfId="115" xr:uid="{33FCA2F2-9D49-417B-AD85-C01B404CDAE2}"/>
    <cellStyle name="_Heading_Other Data Entry_Covenant data CurrentMth" xfId="116" xr:uid="{4D7B3498-8198-4DF2-A179-E3F3D48B68BF}"/>
    <cellStyle name="_Heading_Other Data Entry_Covenant data PriorMth" xfId="117" xr:uid="{2747B07D-DEEB-4F5A-9B9B-A187830549F3}"/>
    <cellStyle name="_Heading_Other Data Entry_Front end" xfId="118" xr:uid="{31FFF3CB-5A4D-4BE1-B3D0-3DD855B23F96}"/>
    <cellStyle name="_Heading_Other Data Entry_PDG Capex" xfId="119" xr:uid="{B5B18540-B7E8-409F-AFA7-EF02ECAD25AE}"/>
    <cellStyle name="_Heading_Sheet1" xfId="120" xr:uid="{D3A46B5B-37D3-42DB-B375-EC7D9F6E1C3D}"/>
    <cellStyle name="_Heading_SUMMARY- EBITDA" xfId="121" xr:uid="{399BCB60-EA34-4FA9-96A1-F3EB794B75AC}"/>
    <cellStyle name="_Heading_SUMMARY EE (2)" xfId="122" xr:uid="{DD4773BB-0921-4F33-B883-4A5866A02466}"/>
    <cellStyle name="_Heading_Weighted FX" xfId="123" xr:uid="{54F7FA0F-0C96-4E7C-ACBF-604EE76014C3}"/>
    <cellStyle name="_Highlight" xfId="124" xr:uid="{B8AF999F-182F-44AD-8DD2-FD79F3E363AF}"/>
    <cellStyle name="_Journals Feb 12 KD" xfId="125" xr:uid="{A393726A-24D7-4C10-BE9E-FEA559BDFE82}"/>
    <cellStyle name="_Journals Jan 12 KD1" xfId="126" xr:uid="{AFB10111-CC72-4DB1-AD54-E1920256228E}"/>
    <cellStyle name="_Journals Mar 12 KD" xfId="127" xr:uid="{F05421D6-0EAF-44A4-A08A-449CDB39DF14}"/>
    <cellStyle name="_London contingency-LE Mar" xfId="128" xr:uid="{98EC83D1-8A68-40D3-B7E9-EE2BE25DEF1C}"/>
    <cellStyle name="_London Eye 2012 contingency" xfId="129" xr:uid="{75582410-CA73-4658-901A-BCA7559CDFD2}"/>
    <cellStyle name="_Lux to Lux2 mment acs CF" xfId="130" xr:uid="{5A565971-68CC-48F5-B7A9-EEE97C42E644}"/>
    <cellStyle name="_mment acs CF" xfId="131" xr:uid="{7C229CF5-D460-4EB1-A49F-1FDC5765B16E}"/>
    <cellStyle name="_x0013__mment acs CF" xfId="132" xr:uid="{8485E05B-4030-4839-9408-B2FC63C21414}"/>
    <cellStyle name="_mment acs CF_1" xfId="133" xr:uid="{5CC2F65D-A61A-4053-914D-DD464A921F3A}"/>
    <cellStyle name="_mment acs CF_1_Admissions" xfId="134" xr:uid="{56939F99-85CD-4295-B1C6-4E2C9B9EFD4F}"/>
    <cellStyle name="_mment acs CF_1_Admissions Upsales" xfId="135" xr:uid="{5FC9FAE7-A4A3-4FF5-8F71-6F4E132366A3}"/>
    <cellStyle name="_mment acs CF_1_Admissions Upsales_Admissions" xfId="136" xr:uid="{6C1C4131-B688-4B9D-9CD3-4E876CC234C8}"/>
    <cellStyle name="_mment acs CF_1_Front end" xfId="137" xr:uid="{D8F21016-DAAB-4098-8B70-DD002788B773}"/>
    <cellStyle name="_mment acs CF_1_Front end_Admissions" xfId="138" xr:uid="{F89180E0-A608-4791-BC8A-8F55919589AC}"/>
    <cellStyle name="_mment acs CF_1_Front end_Admissions Upsales" xfId="139" xr:uid="{ED6EE22A-B083-43E3-BFD7-1B18596C294E}"/>
    <cellStyle name="_mment acs CF_1_Front end_Admissions Upsales_Admissions" xfId="140" xr:uid="{29D394E3-E3FC-4C59-9D04-C20444BD82D9}"/>
    <cellStyle name="_mment acs CF_1_Front end_Volume Build Up" xfId="141" xr:uid="{2A47C399-DA2F-44C2-AC5B-18BD20B2F0E6}"/>
    <cellStyle name="_mment acs CF_1_Front end_Volume Build Up_Admissions" xfId="142" xr:uid="{8C802BB4-C7B3-4C0C-BB30-5345DC104A21}"/>
    <cellStyle name="_mment acs CF_1_PDG Capex" xfId="143" xr:uid="{66F3DF48-ECC9-47E0-AA9F-5EDF9B53A34A}"/>
    <cellStyle name="_mment acs CF_1_PDG Capex_Admissions" xfId="144" xr:uid="{DA369C58-D13D-44E1-9091-C99B03D29B0E}"/>
    <cellStyle name="_mment acs CF_1_PDG Capex_Admissions Upsales" xfId="145" xr:uid="{8C8E8BCB-705F-40D5-86C9-AFDD631783BD}"/>
    <cellStyle name="_mment acs CF_1_PDG Capex_Admissions Upsales_Admissions" xfId="146" xr:uid="{E00083EF-1D5D-4C57-9CF5-B02F136E2014}"/>
    <cellStyle name="_mment acs CF_1_PDG Capex_Volume Build Up" xfId="147" xr:uid="{7A7240BB-22BE-45A5-A7C3-A022D3AC28C0}"/>
    <cellStyle name="_mment acs CF_1_PDG Capex_Volume Build Up_Admissions" xfId="148" xr:uid="{50CBF96E-2716-4171-8535-B6FDEB5DA971}"/>
    <cellStyle name="_mment acs CF_1_Volume Build Up" xfId="149" xr:uid="{CCB063E9-957A-433F-864A-CB2CAF7BDC96}"/>
    <cellStyle name="_mment acs CF_1_Volume Build Up_Admissions" xfId="150" xr:uid="{AEDD799C-D840-4538-A014-B15FA67047D4}"/>
    <cellStyle name="_x0013__mment acs CF_Admissions" xfId="151" xr:uid="{E6182955-B655-4FDF-A918-157AB65F0B7B}"/>
    <cellStyle name="_x0013__mment acs CF_Admissions Upsales" xfId="152" xr:uid="{0A73EC31-5CFD-498D-A13F-8DCF1D1A3EE2}"/>
    <cellStyle name="_x0013__mment acs CF_Admissions Upsales_Admissions" xfId="153" xr:uid="{1D018A77-5253-4A8A-ACF3-9BDEFEFC7D9D}"/>
    <cellStyle name="_x0013__mment acs CF_Front end" xfId="154" xr:uid="{5350696B-EBAB-4853-8ABE-F0F76F5688F2}"/>
    <cellStyle name="_x0013__mment acs CF_Front end_Admissions" xfId="155" xr:uid="{B94A1481-FBA3-47B2-913E-CF4329D6071B}"/>
    <cellStyle name="_x0013__mment acs CF_Front end_Admissions Upsales" xfId="156" xr:uid="{01F0A32B-8745-4BAF-93ED-F720AF70F547}"/>
    <cellStyle name="_x0013__mment acs CF_Front end_Admissions Upsales_Admissions" xfId="157" xr:uid="{8C72CEF5-562C-40F0-B9A7-6A21907EBF13}"/>
    <cellStyle name="_x0013__mment acs CF_Front end_Volume Build Up" xfId="158" xr:uid="{D24314EB-0B6A-4144-86E4-E2408787582C}"/>
    <cellStyle name="_x0013__mment acs CF_Front end_Volume Build Up_Admissions" xfId="159" xr:uid="{9B733574-C106-42F7-8D33-D2B562AF5EB3}"/>
    <cellStyle name="_x0013__mment acs CF_PDG Capex" xfId="160" xr:uid="{22842920-DC49-4299-B23F-64E05640CADA}"/>
    <cellStyle name="_x0013__mment acs CF_PDG Capex_Admissions" xfId="161" xr:uid="{A7B34D4B-83E2-4483-B048-705B5E141AB3}"/>
    <cellStyle name="_x0013__mment acs CF_PDG Capex_Admissions Upsales" xfId="162" xr:uid="{E3D3C9FB-4A60-4191-B0BF-D63F9DDDA743}"/>
    <cellStyle name="_x0013__mment acs CF_PDG Capex_Admissions Upsales_Admissions" xfId="163" xr:uid="{BDAD1FA4-ED0F-46D0-9B18-63C1BE4BA77C}"/>
    <cellStyle name="_x0013__mment acs CF_PDG Capex_Volume Build Up" xfId="164" xr:uid="{62A9469F-0D86-4823-9D60-8D46DCFA7657}"/>
    <cellStyle name="_x0013__mment acs CF_PDG Capex_Volume Build Up_Admissions" xfId="165" xr:uid="{441BDBC2-7BEB-4DF0-A1E2-63274750B7BC}"/>
    <cellStyle name="_x0013__mment acs CF_Volume Build Up" xfId="166" xr:uid="{E3C5EBB0-4B5E-4A72-9C89-28F7E4FCEA76}"/>
    <cellStyle name="_x0013__mment acs CF_Volume Build Up_Admissions" xfId="167" xr:uid="{B0984A84-C688-4728-B6AB-62869F79A578}"/>
    <cellStyle name="_Multiple" xfId="168" xr:uid="{B381549E-8C61-4C3A-BBDC-77BCAD00BE15}"/>
    <cellStyle name="_MultipleSpace" xfId="169" xr:uid="{F507CAF8-48E8-4A57-B209-2B1301C3BF91}"/>
    <cellStyle name="_x0013__Other Data Entry" xfId="170" xr:uid="{129333E8-B2F3-4E9A-B6A9-D8DD4A295FD5}"/>
    <cellStyle name="_x0013__Other Data Entry_Admissions" xfId="171" xr:uid="{F144590C-C757-4B82-AF3C-F78D395FE1F2}"/>
    <cellStyle name="_x0013__Other Data Entry_Admissions Upsales" xfId="172" xr:uid="{3604CF77-70F9-4350-8915-D70631EC806E}"/>
    <cellStyle name="_x0013__Other Data Entry_Admissions Upsales_Admissions" xfId="173" xr:uid="{A1646C35-2060-45E6-8ABE-0A12F696F62A}"/>
    <cellStyle name="_x0013__Other Data Entry_Front end" xfId="174" xr:uid="{B76E4A02-960A-4749-A551-E06C6142F164}"/>
    <cellStyle name="_x0013__Other Data Entry_Front end_Admissions" xfId="175" xr:uid="{B9D4EFFB-31DD-4AEB-9F53-C473413EA39C}"/>
    <cellStyle name="_x0013__Other Data Entry_Front end_Admissions Upsales" xfId="176" xr:uid="{0A130177-952B-4F90-ADE3-6773FDB15B83}"/>
    <cellStyle name="_x0013__Other Data Entry_Front end_Admissions Upsales_Admissions" xfId="177" xr:uid="{C4E42DD4-78DE-4BC0-9AB4-99497A6D01AF}"/>
    <cellStyle name="_x0013__Other Data Entry_Front end_Volume Build Up" xfId="178" xr:uid="{1B2E6341-9B97-4528-B585-823E04FE99AB}"/>
    <cellStyle name="_x0013__Other Data Entry_Front end_Volume Build Up_Admissions" xfId="179" xr:uid="{A937D742-C51A-461C-BF16-6624E90EC850}"/>
    <cellStyle name="_x0013__Other Data Entry_PDG Capex" xfId="180" xr:uid="{2FDBDA73-14F6-45F5-ACAD-69E492FD1A77}"/>
    <cellStyle name="_x0013__Other Data Entry_PDG Capex_Admissions" xfId="181" xr:uid="{ADA62611-5AC2-4715-A43A-90FAF6FA1164}"/>
    <cellStyle name="_x0013__Other Data Entry_PDG Capex_Admissions Upsales" xfId="182" xr:uid="{A8A21D07-7C07-4359-A701-1AD3725E14A8}"/>
    <cellStyle name="_x0013__Other Data Entry_PDG Capex_Admissions Upsales_Admissions" xfId="183" xr:uid="{060F385F-CDF1-499D-B2F4-9E0BB20C2817}"/>
    <cellStyle name="_x0013__Other Data Entry_PDG Capex_Volume Build Up" xfId="184" xr:uid="{5BAD2F59-2F17-4844-A7C3-2F15ACF17602}"/>
    <cellStyle name="_x0013__Other Data Entry_PDG Capex_Volume Build Up_Admissions" xfId="185" xr:uid="{3D146D98-547C-4269-AE0E-01FB4C124F13}"/>
    <cellStyle name="_x0013__Other Data Entry_Volume Build Up" xfId="186" xr:uid="{F850EF80-A045-4182-B9FF-765477B71C51}"/>
    <cellStyle name="_x0013__Other Data Entry_Volume Build Up_Admissions" xfId="187" xr:uid="{2F1EDA9C-FB2F-4F5A-B64B-59B1F4B8EDEE}"/>
    <cellStyle name="_x0013__PDG Capex" xfId="188" xr:uid="{2502FC0A-839E-4172-8E2D-6879D047DB46}"/>
    <cellStyle name="_x0013__PDG Capex_Admissions" xfId="189" xr:uid="{27704C00-7012-44AC-B92C-0EBB0C07F2A1}"/>
    <cellStyle name="_x0013__PDG Capex_Admissions Upsales" xfId="190" xr:uid="{294212BE-CA4E-41C2-9C4C-6F03E66D7A32}"/>
    <cellStyle name="_x0013__PDG Capex_Admissions Upsales_Admissions" xfId="191" xr:uid="{9B9B5C09-6261-4D12-B10E-6B1456AFFD03}"/>
    <cellStyle name="_x0013__PDG Capex_Volume Build Up" xfId="192" xr:uid="{B93171B2-1731-4C72-ADD0-B148761AD07E}"/>
    <cellStyle name="_x0013__PDG Capex_Volume Build Up_Admissions" xfId="193" xr:uid="{A8079B88-CD31-449C-A3B9-BA77D12FA028}"/>
    <cellStyle name="_SubHeading" xfId="194" xr:uid="{0B51F52E-6A25-4A82-9D36-BB2DE4CFA666}"/>
    <cellStyle name="_SubHeading_CASHFLOW - mment acs" xfId="195" xr:uid="{1A6663D1-726E-4AF6-9B4A-49D6DB6D37A4}"/>
    <cellStyle name="_SubHeading_COV MODEL monthly report 2010 - ACTUALS (new)" xfId="196" xr:uid="{1A42AB55-4557-4D7D-A5C4-59FB7D2C4931}"/>
    <cellStyle name="_SubHeading_COV MODEL monthly report 2010 - ACTUALS (new)_Bank Covenant Data" xfId="197" xr:uid="{73F55BC5-5B96-43FA-BC50-45C7DC14CADA}"/>
    <cellStyle name="_SubHeading_COV MODEL monthly report 2010 - ACTUALS (new)_Covenant data CurrentMth" xfId="198" xr:uid="{F334F2C1-BA1C-4D09-920C-474E91EE1B97}"/>
    <cellStyle name="_SubHeading_COV MODEL monthly report 2010 - ACTUALS (new)_Covenant data PriorMth" xfId="199" xr:uid="{8303C28B-12B6-48D1-AF48-E68546F2827B}"/>
    <cellStyle name="_SubHeading_COV MODEL monthly report 2010 - ACTUALS (new)_Front end" xfId="200" xr:uid="{40F28BEB-B443-40B9-A1C3-D8C6A8C8D5B4}"/>
    <cellStyle name="_SubHeading_COV MODEL monthly report 2010 - ACTUALS (new)_PDG Capex" xfId="201" xr:uid="{310E668B-6740-4E4A-B0DC-D22B0CA9ABD3}"/>
    <cellStyle name="_SubHeading_Data Entry" xfId="202" xr:uid="{45569859-9F43-407A-B1E9-4719E91823BF}"/>
    <cellStyle name="_SubHeading_Data Entry_Bank Covenant Data" xfId="203" xr:uid="{F115590F-BB60-4216-BB93-81B1BE28AA13}"/>
    <cellStyle name="_SubHeading_Data Entry_Covenant data CurrentMth" xfId="204" xr:uid="{956D132B-AC45-4E2E-868B-29553397EAA8}"/>
    <cellStyle name="_SubHeading_Data Entry_Covenant data PriorMth" xfId="205" xr:uid="{148B65C0-8197-4F96-BA44-7CBC2F4CCBF0}"/>
    <cellStyle name="_SubHeading_Data Entry_Front end" xfId="206" xr:uid="{275BC6C2-B2ED-4F2D-A88D-1246E906C692}"/>
    <cellStyle name="_SubHeading_Data Entry_PDG Capex" xfId="207" xr:uid="{4CEE05AD-7954-410A-B5EE-153CAED44A86}"/>
    <cellStyle name="_SubHeading_EE capital plan and EBITDA Forecast 2010" xfId="208" xr:uid="{DFD6DB22-CC3D-497D-9EC2-700610E2136D}"/>
    <cellStyle name="_SubHeading_EE capital plan and EBITDA Forecast 2010 141010 LB" xfId="209" xr:uid="{F8B61202-63FA-431C-87C6-1DCE0C8687D9}"/>
    <cellStyle name="_SubHeading_EE capital plan and EBITDA Forecast 2010 141010 LB_Bank Covenant Data" xfId="210" xr:uid="{CCDA1095-9EBC-46DF-BDA0-C8A71473DE5A}"/>
    <cellStyle name="_SubHeading_EE capital plan and EBITDA Forecast 2010 141010 LB_Covenant data CurrentMth" xfId="211" xr:uid="{457BA7A7-5D69-46AC-91F7-B1DF07612D4D}"/>
    <cellStyle name="_SubHeading_EE capital plan and EBITDA Forecast 2010 141010 LB_Covenant data PriorMth" xfId="212" xr:uid="{72592A1C-560E-4889-85BD-DAA6666DD0FB}"/>
    <cellStyle name="_SubHeading_EE capital plan and EBITDA Forecast 2010 141010 LB_PDG Capex" xfId="213" xr:uid="{CE68FF7B-4651-4486-AD9E-62EB3EDA675E}"/>
    <cellStyle name="_SubHeading_EE summary for cov model" xfId="214" xr:uid="{A8E090CA-BD71-4190-84B0-710D16C34C81}"/>
    <cellStyle name="_SubHeading_EE summary for cov model_Bank Covenant Data" xfId="215" xr:uid="{DD951047-9B3B-4326-B85E-9DC70EB91F00}"/>
    <cellStyle name="_SubHeading_EE summary for cov model_Covenant data CurrentMth" xfId="216" xr:uid="{C9EAADDB-E5EA-435B-9CD4-1F8DB210E0A4}"/>
    <cellStyle name="_SubHeading_EE summary for cov model_Covenant data PriorMth" xfId="217" xr:uid="{DDB1F48E-3519-4405-A2C9-6BCF7FA730E3}"/>
    <cellStyle name="_SubHeading_EE summary for cov model_PDG Capex" xfId="218" xr:uid="{1782CD08-74DD-45D1-B1A1-CA15E6B61A75}"/>
    <cellStyle name="_SubHeading_Other Data Entry" xfId="219" xr:uid="{DBAE33FB-7E96-4AA9-BF0D-924C20FFB0AF}"/>
    <cellStyle name="_SubHeading_Other Data Entry_Bank Covenant Data" xfId="220" xr:uid="{48292D41-30A1-43F4-84D3-B83970C32A33}"/>
    <cellStyle name="_SubHeading_Other Data Entry_Covenant data CurrentMth" xfId="221" xr:uid="{CCDB37AD-2C61-4EA6-8DDF-36A34C40FDF5}"/>
    <cellStyle name="_SubHeading_Other Data Entry_Covenant data PriorMth" xfId="222" xr:uid="{2CE925E8-C63C-4752-8E70-3462B78862BF}"/>
    <cellStyle name="_SubHeading_Other Data Entry_Front end" xfId="223" xr:uid="{2082FCA2-0896-4166-A2F1-19FD30D452B4}"/>
    <cellStyle name="_SubHeading_Other Data Entry_PDG Capex" xfId="224" xr:uid="{C62ED1DB-4059-43F9-812E-FA093D957DB9}"/>
    <cellStyle name="_SubHeading_Sheet1" xfId="225" xr:uid="{EFEA0C48-20D9-43A9-83A3-B6ECD5C7A105}"/>
    <cellStyle name="_SubHeading_SUMMARY- EBITDA" xfId="226" xr:uid="{1957C71D-04B4-48A5-9946-37D844D4BA5C}"/>
    <cellStyle name="_SubHeading_SUMMARY EE (2)" xfId="227" xr:uid="{99F1A24A-D74D-431F-A8D9-6DFC723E0AAC}"/>
    <cellStyle name="_SubHeading_Weighted FX" xfId="228" xr:uid="{A593CD0A-7118-4979-9C12-8CE0A740CF91}"/>
    <cellStyle name="_Sunny's LONDON 5% Savings FEB 2012" xfId="229" xr:uid="{41B3A80E-54A4-4DB3-9FE7-EB9809F39694}"/>
    <cellStyle name="_Table" xfId="230" xr:uid="{AECB7A90-8591-44B8-B0C5-528D4201725A}"/>
    <cellStyle name="_Table_CASHFLOW - mment acs" xfId="231" xr:uid="{84FC3B9B-C97E-4AAC-ABA1-41148D88B4F8}"/>
    <cellStyle name="_Table_COV MODEL monthly report 2010 - ACTUALS (new)" xfId="232" xr:uid="{8868596F-6982-4708-AFAA-E1C11A01B2ED}"/>
    <cellStyle name="_Table_COV MODEL monthly report 2010 - ACTUALS (new)_Bank Covenant Data" xfId="233" xr:uid="{7F09045C-5CB0-4385-A078-ACD298F56EF9}"/>
    <cellStyle name="_Table_COV MODEL monthly report 2010 - ACTUALS (new)_Covenant data CurrentMth" xfId="234" xr:uid="{909E19EC-2F15-4D10-A175-825AE5A3E313}"/>
    <cellStyle name="_Table_COV MODEL monthly report 2010 - ACTUALS (new)_Covenant data PriorMth" xfId="235" xr:uid="{E1394789-3664-4A1E-8CF0-BF0483415553}"/>
    <cellStyle name="_Table_COV MODEL monthly report 2010 - ACTUALS (new)_Front end" xfId="236" xr:uid="{F184C4E9-B497-44ED-ADBB-FF7F3551F232}"/>
    <cellStyle name="_Table_COV MODEL monthly report 2010 - ACTUALS (new)_PDG Capex" xfId="237" xr:uid="{C237A198-2CB6-440C-83A1-4A5D45FA89D5}"/>
    <cellStyle name="_Table_Data Entry" xfId="238" xr:uid="{7C7F0640-18E6-483C-82BA-01EB47C6E1E1}"/>
    <cellStyle name="_Table_Data Entry_Bank Covenant Data" xfId="239" xr:uid="{B07E36C7-B103-4A37-A192-DDAF33373447}"/>
    <cellStyle name="_Table_Data Entry_Covenant data CurrentMth" xfId="240" xr:uid="{7EAFF5F2-7788-44FA-AD72-9094DD4B2222}"/>
    <cellStyle name="_Table_Data Entry_Covenant data PriorMth" xfId="241" xr:uid="{C10C287A-0305-40BB-BC5C-8464534E3CE4}"/>
    <cellStyle name="_Table_Data Entry_Front end" xfId="242" xr:uid="{69F068EF-F371-4273-918D-E90DD439BE9A}"/>
    <cellStyle name="_Table_Data Entry_PDG Capex" xfId="243" xr:uid="{87B5D413-4169-41EF-8854-EFB122C0F789}"/>
    <cellStyle name="_Table_EE capital plan and EBITDA Forecast 2010" xfId="244" xr:uid="{962F9400-5EC0-4D53-B8DA-9BAF5A3021CB}"/>
    <cellStyle name="_Table_EE capital plan and EBITDA Forecast 2010 141010 LB" xfId="245" xr:uid="{117F43B9-E679-4514-937E-6C58E3362667}"/>
    <cellStyle name="_Table_EE capital plan and EBITDA Forecast 2010 141010 LB_Bank Covenant Data" xfId="246" xr:uid="{1E926FDB-877A-415C-99DC-4740E2F420D5}"/>
    <cellStyle name="_Table_EE capital plan and EBITDA Forecast 2010 141010 LB_Covenant data CurrentMth" xfId="247" xr:uid="{A3A02A83-D012-4071-8260-6136FA0E6939}"/>
    <cellStyle name="_Table_EE capital plan and EBITDA Forecast 2010 141010 LB_Covenant data PriorMth" xfId="248" xr:uid="{0AE674B5-4EA9-448B-A4CA-9BBD8B3A31B9}"/>
    <cellStyle name="_Table_EE capital plan and EBITDA Forecast 2010 141010 LB_PDG Capex" xfId="249" xr:uid="{D7593C9A-8498-47EB-86EE-391BCC64EAD5}"/>
    <cellStyle name="_Table_EE summary for cov model" xfId="250" xr:uid="{434AC182-F9B2-492C-B318-EFD865F76B15}"/>
    <cellStyle name="_Table_EE summary for cov model_Bank Covenant Data" xfId="251" xr:uid="{B383C453-16D4-4D96-84A5-16A667C576E7}"/>
    <cellStyle name="_Table_EE summary for cov model_Covenant data CurrentMth" xfId="252" xr:uid="{A625A3A4-E01F-4B61-9269-D7C44E977F7D}"/>
    <cellStyle name="_Table_EE summary for cov model_Covenant data PriorMth" xfId="253" xr:uid="{6E62EE74-EA3E-430E-AF69-2CCA4B761B66}"/>
    <cellStyle name="_Table_EE summary for cov model_PDG Capex" xfId="254" xr:uid="{3BC26AF0-5854-4DB7-AD8E-DA7745803AFC}"/>
    <cellStyle name="_Table_Other Data Entry" xfId="255" xr:uid="{E216995A-B881-4B55-A3E9-7AB645E65B37}"/>
    <cellStyle name="_Table_Other Data Entry_Bank Covenant Data" xfId="256" xr:uid="{C8B54654-2521-44E1-B82F-9E34FEBC443B}"/>
    <cellStyle name="_Table_Other Data Entry_Covenant data CurrentMth" xfId="257" xr:uid="{D4D3C8C2-7CF7-4F64-8A10-DCD6F67CC7E3}"/>
    <cellStyle name="_Table_Other Data Entry_Covenant data PriorMth" xfId="258" xr:uid="{32CD324D-4B09-4135-A12E-C8A4BEC3503E}"/>
    <cellStyle name="_Table_Other Data Entry_Front end" xfId="259" xr:uid="{B3AC741C-C055-4E03-A964-01CF12AA4351}"/>
    <cellStyle name="_Table_Other Data Entry_PDG Capex" xfId="260" xr:uid="{F607EDF2-BE27-4B35-A521-0F0EBA880E45}"/>
    <cellStyle name="_Table_Sheet1" xfId="261" xr:uid="{5AD33259-F5F9-4D16-9BBD-65B33C893CED}"/>
    <cellStyle name="_Table_SUMMARY- EBITDA" xfId="262" xr:uid="{88A2132A-99A9-499B-8366-84ED888F54A1}"/>
    <cellStyle name="_Table_SUMMARY EE (2)" xfId="263" xr:uid="{D06B433E-C281-4509-BC56-C60D33634621}"/>
    <cellStyle name="_Table_Weighted FX" xfId="264" xr:uid="{FD41B7F7-5C0F-4F3B-9575-5B782EB82208}"/>
    <cellStyle name="_TableHead" xfId="265" xr:uid="{AF2886B9-2468-4B39-8FF3-5565F9B0F70E}"/>
    <cellStyle name="_TableHead_CASHFLOW - mment acs" xfId="266" xr:uid="{6DD4807B-944B-4777-AF51-74CF2E56A5B9}"/>
    <cellStyle name="_TableHead_COV MODEL monthly report 2010 - ACTUALS (new)" xfId="267" xr:uid="{3B942647-9932-41E6-B2C6-4E2CA89A0649}"/>
    <cellStyle name="_TableHead_COV MODEL monthly report 2010 - ACTUALS (new)_Bank Covenant Data" xfId="268" xr:uid="{16885792-419F-4A3D-9A6A-FDA2D401271B}"/>
    <cellStyle name="_TableHead_COV MODEL monthly report 2010 - ACTUALS (new)_Covenant data CurrentMth" xfId="269" xr:uid="{4015948B-D1FF-4F1A-8A71-87A3A055FBBF}"/>
    <cellStyle name="_TableHead_COV MODEL monthly report 2010 - ACTUALS (new)_Covenant data PriorMth" xfId="270" xr:uid="{186467CC-D851-4CBF-8DBD-6391DC32C297}"/>
    <cellStyle name="_TableHead_COV MODEL monthly report 2010 - ACTUALS (new)_Front end" xfId="271" xr:uid="{58F0DA6F-B488-4F18-A022-ADFE5FDA4807}"/>
    <cellStyle name="_TableHead_COV MODEL monthly report 2010 - ACTUALS (new)_PDG Capex" xfId="272" xr:uid="{421940CE-51DA-4E77-82BA-6E0573B9A6ED}"/>
    <cellStyle name="_TableHead_Data Entry" xfId="273" xr:uid="{F9ADB3BF-1B72-410F-83C2-EE022CB145BC}"/>
    <cellStyle name="_TableHead_Data Entry_Bank Covenant Data" xfId="274" xr:uid="{F1673F8A-C3C9-45CC-A501-E9C8FDC7F18C}"/>
    <cellStyle name="_TableHead_Data Entry_Covenant data CurrentMth" xfId="275" xr:uid="{EF2455C3-2F75-403E-BABE-91103C2011C3}"/>
    <cellStyle name="_TableHead_Data Entry_Covenant data PriorMth" xfId="276" xr:uid="{A3700268-0B59-4202-80D7-A44073D53FC8}"/>
    <cellStyle name="_TableHead_Data Entry_Front end" xfId="277" xr:uid="{08C5430C-60D1-4911-A606-32131EB35758}"/>
    <cellStyle name="_TableHead_Data Entry_PDG Capex" xfId="278" xr:uid="{C9BBCC5C-4A7C-432C-B541-806A266DCC13}"/>
    <cellStyle name="_TableHead_EE capital plan and EBITDA Forecast 2010" xfId="279" xr:uid="{3318A823-19EF-466F-BDEE-74E621115FB9}"/>
    <cellStyle name="_TableHead_EE capital plan and EBITDA Forecast 2010 141010 LB" xfId="280" xr:uid="{5ED8A701-385C-4F26-A529-61450FAB36C1}"/>
    <cellStyle name="_TableHead_EE capital plan and EBITDA Forecast 2010 141010 LB_Bank Covenant Data" xfId="281" xr:uid="{B47BB0A1-CF0B-45AD-BE55-774302B3FC1C}"/>
    <cellStyle name="_TableHead_EE capital plan and EBITDA Forecast 2010 141010 LB_Covenant data CurrentMth" xfId="282" xr:uid="{CBAAF7AA-76A1-4D3E-B698-A31144DAFE22}"/>
    <cellStyle name="_TableHead_EE capital plan and EBITDA Forecast 2010 141010 LB_Covenant data PriorMth" xfId="283" xr:uid="{BBE916F7-C637-4C56-9E60-182979E1CCAF}"/>
    <cellStyle name="_TableHead_EE capital plan and EBITDA Forecast 2010 141010 LB_PDG Capex" xfId="284" xr:uid="{DEB56358-1C13-41A2-913F-87C7B90A03FF}"/>
    <cellStyle name="_TableHead_EE summary for cov model" xfId="285" xr:uid="{E872675E-8C1C-4882-9E58-0AB357B4D563}"/>
    <cellStyle name="_TableHead_EE summary for cov model_Bank Covenant Data" xfId="286" xr:uid="{CFFB5ABF-B832-4410-992B-180224E44A0C}"/>
    <cellStyle name="_TableHead_EE summary for cov model_Covenant data CurrentMth" xfId="287" xr:uid="{EA93CCCD-FD55-478C-A4D7-7F19CF427A39}"/>
    <cellStyle name="_TableHead_EE summary for cov model_Covenant data PriorMth" xfId="288" xr:uid="{A2702191-B610-4922-8142-FF6E041C236A}"/>
    <cellStyle name="_TableHead_EE summary for cov model_PDG Capex" xfId="289" xr:uid="{AA359A57-0FA4-429E-9217-6D36F6AA7BB4}"/>
    <cellStyle name="_TableHead_Other Data Entry" xfId="290" xr:uid="{6527184F-DEA4-463A-8185-2126EBAD7FA8}"/>
    <cellStyle name="_TableHead_Other Data Entry_Bank Covenant Data" xfId="291" xr:uid="{837D0FDC-10C6-4F0D-BE37-D3F78FFB6437}"/>
    <cellStyle name="_TableHead_Other Data Entry_Covenant data CurrentMth" xfId="292" xr:uid="{13A9BEAD-F40E-4BFD-8347-9E88967794C5}"/>
    <cellStyle name="_TableHead_Other Data Entry_Covenant data PriorMth" xfId="293" xr:uid="{619227EB-4D7D-47FB-BCD3-AA17C6C13AF5}"/>
    <cellStyle name="_TableHead_Other Data Entry_Front end" xfId="294" xr:uid="{83383648-9569-42C5-929B-E60547C5D27B}"/>
    <cellStyle name="_TableHead_Other Data Entry_PDG Capex" xfId="295" xr:uid="{04CC7A47-B655-45DC-9C9C-E47908B741D3}"/>
    <cellStyle name="_TableHead_Sheet1" xfId="296" xr:uid="{FDAD5860-69D9-4B5C-929E-D86DA0E8F3ED}"/>
    <cellStyle name="_TableHead_SUMMARY- EBITDA" xfId="297" xr:uid="{3ACEF002-9403-45AD-8CC9-A79AF7601678}"/>
    <cellStyle name="_TableHead_SUMMARY EE (2)" xfId="298" xr:uid="{2CAB2C0B-1251-467D-B812-4F636410991E}"/>
    <cellStyle name="_TableHead_Weighted FX" xfId="299" xr:uid="{954CD4F3-4EED-4265-8554-BC4EA288D79A}"/>
    <cellStyle name="_TableRowHead" xfId="300" xr:uid="{CC12D86A-2FB7-44C8-93E6-8D4784A611F1}"/>
    <cellStyle name="_TableRowHead_CASHFLOW - mment acs" xfId="301" xr:uid="{89F59500-9400-4990-AA3E-8273B023FA25}"/>
    <cellStyle name="_TableRowHead_COV MODEL monthly report 2010 - ACTUALS (new)" xfId="302" xr:uid="{E79F1016-4BA9-4DE7-A3FC-A1D0E94752A1}"/>
    <cellStyle name="_TableRowHead_COV MODEL monthly report 2010 - ACTUALS (new)_Bank Covenant Data" xfId="303" xr:uid="{0B6B166B-9BBC-4F53-A42F-00E63F5CC4EA}"/>
    <cellStyle name="_TableRowHead_COV MODEL monthly report 2010 - ACTUALS (new)_Covenant data CurrentMth" xfId="304" xr:uid="{E4F6957B-7BFF-4DDC-8D16-BF3879B6E601}"/>
    <cellStyle name="_TableRowHead_COV MODEL monthly report 2010 - ACTUALS (new)_Covenant data PriorMth" xfId="305" xr:uid="{751E34A7-82DB-4C7B-9A8D-5BCEC823B768}"/>
    <cellStyle name="_TableRowHead_COV MODEL monthly report 2010 - ACTUALS (new)_Front end" xfId="306" xr:uid="{5ACA29DF-8615-4836-8604-9B0974044C26}"/>
    <cellStyle name="_TableRowHead_COV MODEL monthly report 2010 - ACTUALS (new)_PDG Capex" xfId="307" xr:uid="{C5E75703-F49A-441C-88B2-BFE7C3348F79}"/>
    <cellStyle name="_TableRowHead_Data Entry" xfId="308" xr:uid="{174589CE-A2D0-48ED-8F3F-DFC776EBA944}"/>
    <cellStyle name="_TableRowHead_Data Entry_Bank Covenant Data" xfId="309" xr:uid="{EF00A683-B201-4189-AB56-9E4CD88320B1}"/>
    <cellStyle name="_TableRowHead_Data Entry_Covenant data CurrentMth" xfId="310" xr:uid="{AC9BC214-C102-4B56-AB6E-94BB66A1681A}"/>
    <cellStyle name="_TableRowHead_Data Entry_Covenant data PriorMth" xfId="311" xr:uid="{D6F4C911-4335-4398-8BDF-F98342E49026}"/>
    <cellStyle name="_TableRowHead_Data Entry_Front end" xfId="312" xr:uid="{1CD0A901-EAFF-45D1-963E-DFBC67FA5AD3}"/>
    <cellStyle name="_TableRowHead_Data Entry_PDG Capex" xfId="313" xr:uid="{F572EE2E-E08D-4120-B2D7-A30EA45112E7}"/>
    <cellStyle name="_TableRowHead_EE capital plan and EBITDA Forecast 2010" xfId="314" xr:uid="{F47B4BEE-493B-48B2-8A1F-8767EF975971}"/>
    <cellStyle name="_TableRowHead_EE capital plan and EBITDA Forecast 2010 141010 LB" xfId="315" xr:uid="{B9F93DEC-0C8C-4BAA-809D-A8D8F96AF381}"/>
    <cellStyle name="_TableRowHead_EE capital plan and EBITDA Forecast 2010 141010 LB_Bank Covenant Data" xfId="316" xr:uid="{AB815357-FC21-4AA1-9C27-CC32EAFCEC53}"/>
    <cellStyle name="_TableRowHead_EE capital plan and EBITDA Forecast 2010 141010 LB_Covenant data CurrentMth" xfId="317" xr:uid="{96ACFB29-9961-4D4C-8EA9-92C1F7BF6BE4}"/>
    <cellStyle name="_TableRowHead_EE capital plan and EBITDA Forecast 2010 141010 LB_Covenant data PriorMth" xfId="318" xr:uid="{4CD6CFF8-6B94-4E3E-96C5-A4CD056D5459}"/>
    <cellStyle name="_TableRowHead_EE capital plan and EBITDA Forecast 2010 141010 LB_PDG Capex" xfId="319" xr:uid="{5839FB59-4A02-49A6-9AB4-3AFC9FA2D81F}"/>
    <cellStyle name="_TableRowHead_EE summary for cov model" xfId="320" xr:uid="{06C43C82-7FB2-40A9-BB37-7541504361F2}"/>
    <cellStyle name="_TableRowHead_EE summary for cov model_Bank Covenant Data" xfId="321" xr:uid="{F0B41D09-FFF6-43A4-A532-281EF1CC924A}"/>
    <cellStyle name="_TableRowHead_EE summary for cov model_Covenant data CurrentMth" xfId="322" xr:uid="{99AD6DA4-1D4D-432E-8F49-B56EFBEDC363}"/>
    <cellStyle name="_TableRowHead_EE summary for cov model_Covenant data PriorMth" xfId="323" xr:uid="{62A5E0D9-9EB3-4550-8240-971F716FD98B}"/>
    <cellStyle name="_TableRowHead_EE summary for cov model_PDG Capex" xfId="324" xr:uid="{98672577-D81C-42DD-8C9D-AD5F01219631}"/>
    <cellStyle name="_TableRowHead_Other Data Entry" xfId="325" xr:uid="{F6DFCF60-4E45-4652-B1AF-5792C82E1074}"/>
    <cellStyle name="_TableRowHead_Other Data Entry_Bank Covenant Data" xfId="326" xr:uid="{A3F54726-DA41-4E3D-A130-7EEFB62114B9}"/>
    <cellStyle name="_TableRowHead_Other Data Entry_Covenant data CurrentMth" xfId="327" xr:uid="{4CFDC57F-1EEF-40C6-81F8-84398D0AF358}"/>
    <cellStyle name="_TableRowHead_Other Data Entry_Covenant data PriorMth" xfId="328" xr:uid="{DB9FF11D-0CD7-41C4-913F-A774071F585C}"/>
    <cellStyle name="_TableRowHead_Other Data Entry_Front end" xfId="329" xr:uid="{45D30976-0B2E-4DBF-9EF7-66231E254CE0}"/>
    <cellStyle name="_TableRowHead_Other Data Entry_PDG Capex" xfId="330" xr:uid="{59DF2A62-7ECF-4989-BB7A-C5F63075C2A8}"/>
    <cellStyle name="_TableRowHead_Sheet1" xfId="331" xr:uid="{EA3DC3C4-11C5-46D7-9561-82EA9D16E805}"/>
    <cellStyle name="_TableRowHead_SUMMARY- EBITDA" xfId="332" xr:uid="{7DF8A810-4CF2-46DF-B9E5-35A35539D58F}"/>
    <cellStyle name="_TableRowHead_SUMMARY EE (2)" xfId="333" xr:uid="{A3472E19-A061-4BAB-B17B-FF987ABD51D3}"/>
    <cellStyle name="_TableRowHead_Weighted FX" xfId="334" xr:uid="{A2B3F439-BAB4-43C1-AF8F-FDFA658BE849}"/>
    <cellStyle name="_TableSuperHead" xfId="335" xr:uid="{BB12E63C-9C96-484E-9B82-DD8EFDB70053}"/>
    <cellStyle name="_TableSuperHead_CASHFLOW - mment acs" xfId="336" xr:uid="{AFDDCF38-8FCB-4ACB-BCF2-1AAF84A7E721}"/>
    <cellStyle name="_TableSuperHead_COV MODEL monthly report 2010 - ACTUALS (new)" xfId="337" xr:uid="{53782289-1724-44BB-AFAE-BFFC98B4355F}"/>
    <cellStyle name="_TableSuperHead_COV MODEL monthly report 2010 - ACTUALS (new)_Bank Covenant Data" xfId="338" xr:uid="{2330A6F6-60E1-447E-A46A-A8B75AE8EC99}"/>
    <cellStyle name="_TableSuperHead_COV MODEL monthly report 2010 - ACTUALS (new)_Covenant data CurrentMth" xfId="339" xr:uid="{219E187D-4DCA-4EB9-8A80-86D00A6B7A54}"/>
    <cellStyle name="_TableSuperHead_COV MODEL monthly report 2010 - ACTUALS (new)_Covenant data PriorMth" xfId="340" xr:uid="{7B6BF1AA-68C7-4CBD-B63B-9B81914E23F5}"/>
    <cellStyle name="_TableSuperHead_COV MODEL monthly report 2010 - ACTUALS (new)_Front end" xfId="341" xr:uid="{F44EA3F1-016B-4665-B606-B3860D3070E7}"/>
    <cellStyle name="_TableSuperHead_COV MODEL monthly report 2010 - ACTUALS (new)_PDG Capex" xfId="342" xr:uid="{FF2FA687-5594-4547-A0FE-30FAFBF1940E}"/>
    <cellStyle name="_TableSuperHead_Data Entry" xfId="343" xr:uid="{C4BF8DA4-04BB-4E2E-BD1C-29D447A9E63F}"/>
    <cellStyle name="_TableSuperHead_Data Entry_Bank Covenant Data" xfId="344" xr:uid="{28659834-DEF6-4CA4-95E5-6CB1FBBD2893}"/>
    <cellStyle name="_TableSuperHead_Data Entry_Covenant data CurrentMth" xfId="345" xr:uid="{E0E2C3DC-7F93-425B-B7C1-9FC1A42A0F17}"/>
    <cellStyle name="_TableSuperHead_Data Entry_Covenant data PriorMth" xfId="346" xr:uid="{C9738180-8C62-4050-8962-656C1B7CFA3B}"/>
    <cellStyle name="_TableSuperHead_Data Entry_Front end" xfId="347" xr:uid="{FD79DDBB-7D56-4359-AB21-7773F2D0786B}"/>
    <cellStyle name="_TableSuperHead_Data Entry_PDG Capex" xfId="348" xr:uid="{0F0C0A0A-A80F-4136-B4DC-28456C8E1F3B}"/>
    <cellStyle name="_TableSuperHead_EE capital plan and EBITDA Forecast 2010" xfId="349" xr:uid="{D35DD97A-CEA7-4B6F-B390-11840ED61376}"/>
    <cellStyle name="_TableSuperHead_EE capital plan and EBITDA Forecast 2010 141010 LB" xfId="350" xr:uid="{6F549F7C-61E3-45AE-9EC5-B7C620B4D7A0}"/>
    <cellStyle name="_TableSuperHead_EE capital plan and EBITDA Forecast 2010 141010 LB_Bank Covenant Data" xfId="351" xr:uid="{A8F23A66-BC8C-465E-9242-374A351C885F}"/>
    <cellStyle name="_TableSuperHead_EE capital plan and EBITDA Forecast 2010 141010 LB_Covenant data CurrentMth" xfId="352" xr:uid="{4F665DD9-5FB4-4F6E-8BC2-1E8A73715273}"/>
    <cellStyle name="_TableSuperHead_EE capital plan and EBITDA Forecast 2010 141010 LB_Covenant data PriorMth" xfId="353" xr:uid="{8881FE9F-3943-4583-B7F4-444E5E9240B6}"/>
    <cellStyle name="_TableSuperHead_EE capital plan and EBITDA Forecast 2010 141010 LB_PDG Capex" xfId="354" xr:uid="{CBFA77E4-C307-45B6-9813-FE57162F912F}"/>
    <cellStyle name="_TableSuperHead_EE summary for cov model" xfId="355" xr:uid="{BC7AEA69-19CF-4D9E-A007-7EC1C0082101}"/>
    <cellStyle name="_TableSuperHead_EE summary for cov model_Bank Covenant Data" xfId="356" xr:uid="{6005A025-BB4C-4714-A737-937AE43B50C3}"/>
    <cellStyle name="_TableSuperHead_EE summary for cov model_Covenant data CurrentMth" xfId="357" xr:uid="{643015FA-27A7-4AE8-AAE2-C07973B669A9}"/>
    <cellStyle name="_TableSuperHead_EE summary for cov model_Covenant data PriorMth" xfId="358" xr:uid="{6E8A8E61-7395-4535-8440-CC028668D6F3}"/>
    <cellStyle name="_TableSuperHead_EE summary for cov model_PDG Capex" xfId="359" xr:uid="{67FF8A24-6CA4-4C10-91AE-1F0AAA8D5243}"/>
    <cellStyle name="_TableSuperHead_Other Data Entry" xfId="360" xr:uid="{99770008-4F66-4FD4-9B42-D49921F09B78}"/>
    <cellStyle name="_TableSuperHead_Other Data Entry_Bank Covenant Data" xfId="361" xr:uid="{DD263385-F143-42BD-AA45-4100D8BFB004}"/>
    <cellStyle name="_TableSuperHead_Other Data Entry_Covenant data CurrentMth" xfId="362" xr:uid="{7AF4AD7B-C17D-48F3-9387-D1452E60611B}"/>
    <cellStyle name="_TableSuperHead_Other Data Entry_Covenant data PriorMth" xfId="363" xr:uid="{8FBD4567-EF94-4C4F-B857-E8EC507D54CE}"/>
    <cellStyle name="_TableSuperHead_Other Data Entry_Front end" xfId="364" xr:uid="{767B448D-9FBC-4C22-A38F-E64B074C0D75}"/>
    <cellStyle name="_TableSuperHead_Other Data Entry_PDG Capex" xfId="365" xr:uid="{20C2506B-7E23-43D8-81B0-445F96635B68}"/>
    <cellStyle name="_TableSuperHead_Sheet1" xfId="366" xr:uid="{BD116686-614C-4967-921A-7A7AF9304D66}"/>
    <cellStyle name="_TableSuperHead_SUMMARY- EBITDA" xfId="367" xr:uid="{5E5A12CB-E368-438C-9D75-FDD909C75045}"/>
    <cellStyle name="_TableSuperHead_SUMMARY EE (2)" xfId="368" xr:uid="{3D8A493E-CA6F-4F83-B4B1-1789E8D8BAFB}"/>
    <cellStyle name="_TableSuperHead_Weighted FX" xfId="369" xr:uid="{C06C06DD-68E2-43C8-83A4-CED0CB8BE4D9}"/>
    <cellStyle name="_x0013__Volume Build Up" xfId="370" xr:uid="{64B96F21-A891-41EE-B769-CAD2F844EA68}"/>
    <cellStyle name="_x0013__Volume Build Up_Admissions" xfId="371" xr:uid="{8306AD44-6480-45FC-808C-CB90D89724EE}"/>
    <cellStyle name="_Warwick Castle Output request" xfId="372" xr:uid="{855D585B-51B4-41DC-94F2-E4AFBB002D80}"/>
    <cellStyle name="20 % - Aksentti1" xfId="373" xr:uid="{24FCA13C-CDF6-4315-ABDE-F8315B17433A}"/>
    <cellStyle name="20 % - Aksentti1 2" xfId="374" xr:uid="{6D3DDF7A-E848-48C7-B016-E4378BCBDE08}"/>
    <cellStyle name="20 % - Aksentti1 3" xfId="375" xr:uid="{0F028225-D4CB-4884-A790-E4D615FA9909}"/>
    <cellStyle name="20 % - Aksentti1_Capital detail" xfId="376" xr:uid="{198C067A-C420-4770-B52D-04317E4B28A0}"/>
    <cellStyle name="20 % - Aksentti2" xfId="377" xr:uid="{310F9D29-2F2A-49B0-A8A5-2C696E720E2C}"/>
    <cellStyle name="20 % - Aksentti2 2" xfId="378" xr:uid="{195C1D07-CCDF-42A2-B378-EA800DF949EC}"/>
    <cellStyle name="20 % - Aksentti2 3" xfId="379" xr:uid="{F106DBE4-2198-4F4B-AD94-CF67115C690B}"/>
    <cellStyle name="20 % - Aksentti2_Capital detail" xfId="380" xr:uid="{04C369C9-8A3A-495D-9BEE-A379364298BF}"/>
    <cellStyle name="20 % - Aksentti3" xfId="381" xr:uid="{8701DFFB-48E3-41C0-A848-DD722D5FF066}"/>
    <cellStyle name="20 % - Aksentti3 2" xfId="382" xr:uid="{6D8F1539-D7F6-4ECF-9A68-741C61B725CA}"/>
    <cellStyle name="20 % - Aksentti3 3" xfId="383" xr:uid="{B4BD6377-EAF4-4E8B-A72F-8DF771A5E3FF}"/>
    <cellStyle name="20 % - Aksentti3_Capital detail" xfId="384" xr:uid="{E8DFBE47-760B-4A94-9D9D-9946D902B2EB}"/>
    <cellStyle name="20 % - Aksentti4" xfId="385" xr:uid="{73B5DED0-074F-4B7C-9244-7200E089863E}"/>
    <cellStyle name="20 % - Aksentti4 2" xfId="386" xr:uid="{81DD63F7-EBC2-4C2D-AD1D-2B634CCD437A}"/>
    <cellStyle name="20 % - Aksentti4 3" xfId="387" xr:uid="{45101941-4E09-474E-8F35-88DB2916AC66}"/>
    <cellStyle name="20 % - Aksentti4_Capital detail" xfId="388" xr:uid="{AD7F4DD3-A285-4808-BF78-EA6F1A952DF6}"/>
    <cellStyle name="20 % - Aksentti5" xfId="389" xr:uid="{08BDF016-A736-4E67-AC6D-448EB86F0ECB}"/>
    <cellStyle name="20 % - Aksentti5 2" xfId="390" xr:uid="{11ECD361-26BF-403D-8664-2683F9EFD893}"/>
    <cellStyle name="20 % - Aksentti5 3" xfId="391" xr:uid="{4FDEA8A8-9EB7-4C61-974F-5A3D5286D63D}"/>
    <cellStyle name="20 % - Aksentti5_Capital detail" xfId="392" xr:uid="{F89D7321-0D07-4EA6-ABD7-74AE8D85A9E1}"/>
    <cellStyle name="20 % - Aksentti6" xfId="393" xr:uid="{E458303E-3B2A-4EC7-B6FA-DE07FBC601A1}"/>
    <cellStyle name="20 % - Aksentti6 2" xfId="394" xr:uid="{9813828F-947C-41EB-A904-1A6230269779}"/>
    <cellStyle name="20 % - Aksentti6 3" xfId="395" xr:uid="{AB2A2A38-AF30-4FC0-BBAD-748BC0311577}"/>
    <cellStyle name="20 % - Aksentti6_Capital detail" xfId="396" xr:uid="{EB1BCD25-18AD-4373-9347-A652D5617029}"/>
    <cellStyle name="20 % - Akzent1" xfId="397" xr:uid="{338B6E62-DC7D-4536-9E02-F785C7CDA1E9}"/>
    <cellStyle name="20 % - Akzent1 2" xfId="398" xr:uid="{CCB23277-F8EB-4DA4-BB31-DF209D35F0B0}"/>
    <cellStyle name="20 % - Akzent1 3" xfId="399" xr:uid="{4845B72D-BDE5-433D-88E6-180890FFAC41}"/>
    <cellStyle name="20 % - Akzent1_Capital detail" xfId="400" xr:uid="{DFF9452E-1940-436C-9DC4-B11AEBBA1DA5}"/>
    <cellStyle name="20 % - Akzent2" xfId="401" xr:uid="{BD03D949-3D9F-4C91-A516-45E9F1FEF4C1}"/>
    <cellStyle name="20 % - Akzent2 2" xfId="402" xr:uid="{95B294B7-72FE-47CA-97C5-A6F553F7B947}"/>
    <cellStyle name="20 % - Akzent2 3" xfId="403" xr:uid="{EA8C72DF-866C-4040-A82C-CE261D568550}"/>
    <cellStyle name="20 % - Akzent2_Capital detail" xfId="404" xr:uid="{274BF2E2-EE9C-4858-9637-E0D74FC4B8B4}"/>
    <cellStyle name="20 % - Akzent3" xfId="405" xr:uid="{E160C37D-7AEA-49D9-8841-A2D478B3DC21}"/>
    <cellStyle name="20 % - Akzent3 2" xfId="406" xr:uid="{3C5A5D12-2004-4934-B0D4-67009DB17ABD}"/>
    <cellStyle name="20 % - Akzent3 3" xfId="407" xr:uid="{BA82F86D-7EF9-481D-B986-75C686DEC60B}"/>
    <cellStyle name="20 % - Akzent3_Capital detail" xfId="408" xr:uid="{6328606D-55C5-4E76-824F-040C661D2BB2}"/>
    <cellStyle name="20 % - Akzent4" xfId="409" xr:uid="{D2E7AF33-EF7B-4F9F-8865-DD4B5381C7CF}"/>
    <cellStyle name="20 % - Akzent4 2" xfId="410" xr:uid="{2EF88564-BAB8-44A8-B014-F76FCABA8DD5}"/>
    <cellStyle name="20 % - Akzent4 3" xfId="411" xr:uid="{85DC35DC-DA7B-45B4-8EEE-A2DB08129559}"/>
    <cellStyle name="20 % - Akzent4_Capital detail" xfId="412" xr:uid="{26611AB2-048A-44F3-A59E-349FBF75FF8E}"/>
    <cellStyle name="20 % - Akzent5" xfId="413" xr:uid="{D123CEC1-A09B-4889-8793-9335E3B8A839}"/>
    <cellStyle name="20 % - Akzent5 2" xfId="414" xr:uid="{E8312DB1-54A9-46A5-BEAD-42BBB45A4ADD}"/>
    <cellStyle name="20 % - Akzent5 3" xfId="415" xr:uid="{7A5CAB60-A808-4418-AD1F-A71FDE16B20C}"/>
    <cellStyle name="20 % - Akzent5_Capital detail" xfId="416" xr:uid="{3BABD197-75D6-4413-B73B-7D0A6A286C26}"/>
    <cellStyle name="20 % - Akzent6" xfId="417" xr:uid="{E21A5917-7A3F-485E-94C5-14B051259975}"/>
    <cellStyle name="20 % - Akzent6 2" xfId="418" xr:uid="{6FEF9EB0-ED5B-4251-BEBC-E83CF19B37D5}"/>
    <cellStyle name="20 % - Akzent6 3" xfId="419" xr:uid="{D40FF8E5-08C2-42FD-9FD6-D748B2321D66}"/>
    <cellStyle name="20 % - Akzent6_Capital detail" xfId="420" xr:uid="{CB5AC5E8-7918-4CA9-9F38-1469D876532C}"/>
    <cellStyle name="20% - Accent1 2" xfId="421" xr:uid="{DFC2DF19-9D99-4120-95B6-F0C7A282AD61}"/>
    <cellStyle name="20% - Accent1 2 2" xfId="422" xr:uid="{E58052D2-BFB9-4FAC-85FF-1F0C329EA769}"/>
    <cellStyle name="20% - Accent1 2 2 2" xfId="423" xr:uid="{E601770A-DBCD-4AB2-A634-DCA3B9CA4075}"/>
    <cellStyle name="20% - Accent1 2 2_Menu" xfId="424" xr:uid="{F0D16821-18D8-4FE6-A86C-B4A640FA5A62}"/>
    <cellStyle name="20% - Accent1 2 3" xfId="425" xr:uid="{0CA3D5B4-AC48-4970-A316-BFA6DC00E01C}"/>
    <cellStyle name="20% - Accent1 2 3 2" xfId="426" xr:uid="{5558010D-CCE1-4D92-948A-CF88D6BFE312}"/>
    <cellStyle name="20% - Accent1 2 3_Menu" xfId="427" xr:uid="{926D3966-D072-4715-A017-DBD504622526}"/>
    <cellStyle name="20% - Accent1 2 4" xfId="428" xr:uid="{479C13D9-A852-4213-A743-A3CC66ABAB45}"/>
    <cellStyle name="20% - Accent1 2 5" xfId="429" xr:uid="{DF7421ED-E7C9-4D38-86A5-674D0FF6052B}"/>
    <cellStyle name="20% - Accent1 2_2013" xfId="430" xr:uid="{A111FD48-14DC-48B6-81E2-C1C6F40D6873}"/>
    <cellStyle name="20% - Accent1 3" xfId="431" xr:uid="{2119497F-8A71-4CBF-BE4A-4AAEBD656868}"/>
    <cellStyle name="20% - Accent2 2" xfId="432" xr:uid="{7CE9E9B8-566D-4F1E-8CC8-C2152F5F55F7}"/>
    <cellStyle name="20% - Accent2 2 2" xfId="433" xr:uid="{DC38E4AB-E776-4FB5-B8C4-D88BB392FBC7}"/>
    <cellStyle name="20% - Accent2 2 2 2" xfId="434" xr:uid="{59DD5EDC-3BB5-4559-A828-70FED15A9706}"/>
    <cellStyle name="20% - Accent2 2 2_Menu" xfId="435" xr:uid="{0AD225EC-2C95-4BCA-AB97-20B14E3E6FDC}"/>
    <cellStyle name="20% - Accent2 2 3" xfId="436" xr:uid="{4D44438F-DADD-41A0-BA88-C2F12E43176C}"/>
    <cellStyle name="20% - Accent2 2 3 2" xfId="437" xr:uid="{2F0CC766-3290-422E-8C29-ADBBDAAB3FD2}"/>
    <cellStyle name="20% - Accent2 2 3_Menu" xfId="438" xr:uid="{7ACE4127-2681-48B4-8310-CB49D30AB9B4}"/>
    <cellStyle name="20% - Accent2 2 4" xfId="439" xr:uid="{71C1C0AD-A7FF-4D5D-BD31-577C6A02567E}"/>
    <cellStyle name="20% - Accent2 2 5" xfId="440" xr:uid="{47C47E02-D370-4A43-A8C0-08F2A969971B}"/>
    <cellStyle name="20% - Accent2 2_2013" xfId="441" xr:uid="{735A83C3-D99D-42CD-A3A6-34FE3EC82D11}"/>
    <cellStyle name="20% - Accent2 3" xfId="442" xr:uid="{96E3B2F1-6D90-4CC6-B524-473163B744D0}"/>
    <cellStyle name="20% - Accent3 2" xfId="443" xr:uid="{708E80FC-671F-4C25-9B08-3BD2766ED391}"/>
    <cellStyle name="20% - Accent3 2 2" xfId="444" xr:uid="{10AF0698-DB7B-42B3-B80C-CF8DA2C21E2F}"/>
    <cellStyle name="20% - Accent3 2 2 2" xfId="445" xr:uid="{6386745F-F6E7-4CB2-B4C0-1F7A9C70FA23}"/>
    <cellStyle name="20% - Accent3 2 2_Menu" xfId="446" xr:uid="{D8B47060-5B34-40A2-B770-B742AA10DB21}"/>
    <cellStyle name="20% - Accent3 2 3" xfId="447" xr:uid="{DDBCC3E9-B726-4923-91AD-53A92EA783E0}"/>
    <cellStyle name="20% - Accent3 2 3 2" xfId="448" xr:uid="{95626F3B-9863-4D03-B786-426890958FFD}"/>
    <cellStyle name="20% - Accent3 2 3_Menu" xfId="449" xr:uid="{11FA40D8-E419-4D5A-8A12-ED2063DFBA80}"/>
    <cellStyle name="20% - Accent3 2 4" xfId="450" xr:uid="{8CE1F99E-E0AA-424F-91C9-155093EECE0C}"/>
    <cellStyle name="20% - Accent3 2 5" xfId="451" xr:uid="{7047417B-07A6-4DB4-9953-29408750C741}"/>
    <cellStyle name="20% - Accent3 2_2013" xfId="452" xr:uid="{D3386778-94EE-4747-A1B3-E2E40509DE36}"/>
    <cellStyle name="20% - Accent3 3" xfId="453" xr:uid="{4C4E0675-76D0-4AAD-8B4E-D776EBB93A7D}"/>
    <cellStyle name="20% - Accent4 2" xfId="454" xr:uid="{D8B8CC09-EC7D-4267-9656-5DA1D639EEF5}"/>
    <cellStyle name="20% - Accent4 2 2" xfId="455" xr:uid="{6117CF17-DEE9-4602-926E-66EE613E6C57}"/>
    <cellStyle name="20% - Accent4 2 2 2" xfId="456" xr:uid="{23E50365-7366-4B46-B60F-8337CE98C501}"/>
    <cellStyle name="20% - Accent4 2 2_Menu" xfId="457" xr:uid="{4851789E-58A1-4B05-8810-333473BC96A2}"/>
    <cellStyle name="20% - Accent4 2 3" xfId="458" xr:uid="{CBAEAF3B-B428-4B11-B52C-03290F5983EB}"/>
    <cellStyle name="20% - Accent4 2 3 2" xfId="459" xr:uid="{5DC1F72D-0F36-4C49-A1E5-67D8F1812A72}"/>
    <cellStyle name="20% - Accent4 2 3_Menu" xfId="460" xr:uid="{EEC5890E-C9A1-43EF-9951-B1D7DC0B78AD}"/>
    <cellStyle name="20% - Accent4 2 4" xfId="461" xr:uid="{716B1A85-EC5D-45FF-8DB8-469C7B0A4DD2}"/>
    <cellStyle name="20% - Accent4 2 5" xfId="462" xr:uid="{E19C6F68-EA6D-4200-A78C-F720B87773AF}"/>
    <cellStyle name="20% - Accent4 2_2013" xfId="463" xr:uid="{ED606DE4-CFC7-4B4C-9A6A-DD794E80FE18}"/>
    <cellStyle name="20% - Accent4 3" xfId="464" xr:uid="{4FDCF340-9745-4248-9FA0-FF7FE355C2AA}"/>
    <cellStyle name="20% - Accent5 2" xfId="465" xr:uid="{99046D9B-7133-486B-9107-E5C1E843A0BE}"/>
    <cellStyle name="20% - Accent5 2 2" xfId="466" xr:uid="{C900F04B-855D-4D91-A803-879DB73B70B4}"/>
    <cellStyle name="20% - Accent5 2 2 2" xfId="467" xr:uid="{2AE2BFCA-CA00-4D29-A8D9-AA3D5BFC4A69}"/>
    <cellStyle name="20% - Accent5 2 2_Menu" xfId="468" xr:uid="{AB1A1D24-B6D2-4548-90CB-C46B54938374}"/>
    <cellStyle name="20% - Accent5 2 3" xfId="469" xr:uid="{0DE7C7E6-2A88-4160-BCE0-A45EAF2254B3}"/>
    <cellStyle name="20% - Accent5 2 3 2" xfId="470" xr:uid="{E447C176-05E9-4E10-B6D4-804A533ACF6F}"/>
    <cellStyle name="20% - Accent5 2 3_Menu" xfId="471" xr:uid="{97DB7CDF-C24D-4B28-82DE-A27F0235AC0C}"/>
    <cellStyle name="20% - Accent5 2 4" xfId="472" xr:uid="{57DB7135-B408-49D1-966D-0FF407C6CF40}"/>
    <cellStyle name="20% - Accent5 2 5" xfId="473" xr:uid="{F8F907BD-89E1-435F-9906-AACD69D0A005}"/>
    <cellStyle name="20% - Accent5 2_2013" xfId="474" xr:uid="{FDA87CE8-0D6F-4A68-8042-ACD5BE739D23}"/>
    <cellStyle name="20% - Accent5 3" xfId="475" xr:uid="{5729E485-967A-4CD7-8806-F481F2BDEADB}"/>
    <cellStyle name="20% - Accent6 2" xfId="476" xr:uid="{F3E96102-E50D-4776-B4D2-860FBAFE21E7}"/>
    <cellStyle name="20% - Accent6 2 2" xfId="477" xr:uid="{EC510524-02AB-40F3-9207-148A8B370F09}"/>
    <cellStyle name="20% - Accent6 2 2 2" xfId="478" xr:uid="{55DBB27C-2592-49F0-94D0-9E4A1FE3A038}"/>
    <cellStyle name="20% - Accent6 2 2_Menu" xfId="479" xr:uid="{429A3EEA-9920-4261-9D55-2B07AD7C62E7}"/>
    <cellStyle name="20% - Accent6 2 3" xfId="480" xr:uid="{F15DC7D2-F5F0-46E8-9987-11C5D8926186}"/>
    <cellStyle name="20% - Accent6 2 3 2" xfId="481" xr:uid="{8D50D09A-7752-4D2E-8FF1-B433EBD91CE5}"/>
    <cellStyle name="20% - Accent6 2 3_Menu" xfId="482" xr:uid="{E5D14364-7BF9-4AC6-9BA0-262333D664E9}"/>
    <cellStyle name="20% - Accent6 2 4" xfId="483" xr:uid="{761E2B3B-E020-4F75-9C39-4FF0599431A2}"/>
    <cellStyle name="20% - Accent6 2 5" xfId="484" xr:uid="{5A62FD5B-3F32-4656-8D8D-CFF6D5675CE2}"/>
    <cellStyle name="20% - Accent6 2_2013" xfId="485" xr:uid="{FCA759AB-490B-4D7E-9741-BE96F0ED15DF}"/>
    <cellStyle name="20% - Accent6 3" xfId="486" xr:uid="{CFABBCCE-FDFD-4897-862E-377DD2206807}"/>
    <cellStyle name="20% - Colore 1" xfId="487" xr:uid="{156312C9-7482-4C4C-84D6-9A06F0E6712D}"/>
    <cellStyle name="20% - Colore 1 2" xfId="488" xr:uid="{1B93424D-3AC7-49D9-8F84-A3F9FA6E6DE6}"/>
    <cellStyle name="20% - Colore 1_Capital detail" xfId="489" xr:uid="{7BCE5F84-AB13-4FE4-B2AF-DEC5F51909A5}"/>
    <cellStyle name="20% - Colore 2" xfId="490" xr:uid="{BF1017C9-4893-4ACF-880A-8638DCD22666}"/>
    <cellStyle name="20% - Colore 2 2" xfId="491" xr:uid="{3722152E-241F-434C-94A8-97A88A489BB0}"/>
    <cellStyle name="20% - Colore 2_Capital detail" xfId="492" xr:uid="{F438613A-FBEE-414B-8220-94C10F5DE007}"/>
    <cellStyle name="20% - Colore 3" xfId="493" xr:uid="{C2FB3964-A1A3-40B2-B8B3-65BF78CFDF01}"/>
    <cellStyle name="20% - Colore 3 2" xfId="494" xr:uid="{A0FB0A3F-6E5D-4BF8-B676-6777049013D8}"/>
    <cellStyle name="20% - Colore 3_Capital detail" xfId="495" xr:uid="{78DEFAA4-9680-4EC2-AE1E-22F9A7797ECB}"/>
    <cellStyle name="20% - Colore 4" xfId="496" xr:uid="{632B7A2B-62BE-49A0-ADE2-F5471A8A48CF}"/>
    <cellStyle name="20% - Colore 4 2" xfId="497" xr:uid="{331C8E95-15A4-4115-B068-24E25F25C6F2}"/>
    <cellStyle name="20% - Colore 4_Capital detail" xfId="498" xr:uid="{55DEC579-BBA6-4A9D-B59A-E14D25A83745}"/>
    <cellStyle name="20% - Colore 5" xfId="499" xr:uid="{23B9645F-9155-440C-AC86-8D5B4D0D1C3A}"/>
    <cellStyle name="20% - Colore 5 2" xfId="500" xr:uid="{ECAE1FDB-E386-49A6-9004-AE982F9876E1}"/>
    <cellStyle name="20% - Colore 5_Capital detail" xfId="501" xr:uid="{1EE3E6FE-5E1F-4F60-8009-9D93B8124FB3}"/>
    <cellStyle name="20% - Colore 6" xfId="502" xr:uid="{D4AE2B08-A3F9-4148-B823-595E1AF88B2F}"/>
    <cellStyle name="20% - Colore 6 2" xfId="503" xr:uid="{9B505BB3-E720-4CC4-BF7F-AE2BFAB02525}"/>
    <cellStyle name="20% - Colore 6_Capital detail" xfId="504" xr:uid="{FC89BE58-A86D-4983-BB83-09506C998EEC}"/>
    <cellStyle name="20% - Cor1" xfId="505" xr:uid="{F6C25067-0D65-4AB1-AF33-A2F5D56F66DE}"/>
    <cellStyle name="20% - Cor1 2" xfId="506" xr:uid="{4E823754-91E6-4461-B617-7369E9B96814}"/>
    <cellStyle name="20% - Cor1 3" xfId="507" xr:uid="{712FB55E-08B4-48DB-8621-D14E9E4898D1}"/>
    <cellStyle name="20% - Cor2" xfId="508" xr:uid="{2125A45C-FE80-4A8B-AEE3-4AF0F6DBE70E}"/>
    <cellStyle name="20% - Cor2 2" xfId="509" xr:uid="{9527C5E5-48CF-4922-ADD6-C4527C0AC70C}"/>
    <cellStyle name="20% - Cor2 3" xfId="510" xr:uid="{45919740-3051-4BCB-B329-5F25B6F4AD8B}"/>
    <cellStyle name="20% - Cor3" xfId="511" xr:uid="{0479A072-6F46-4DB5-A719-0424B79A065B}"/>
    <cellStyle name="20% - Cor3 2" xfId="512" xr:uid="{6923B500-9085-4A0A-949B-4A8C0204CE85}"/>
    <cellStyle name="20% - Cor3 3" xfId="513" xr:uid="{BEBA7B44-C1AD-44A0-86D3-098DAB2FF5C3}"/>
    <cellStyle name="20% - Cor4" xfId="514" xr:uid="{2EA8B1C8-014C-4AD8-8FD4-8B098B803D8B}"/>
    <cellStyle name="20% - Cor4 2" xfId="515" xr:uid="{D29C1270-F6ED-4F60-96B9-F2028658DBF5}"/>
    <cellStyle name="20% - Cor4 3" xfId="516" xr:uid="{9E529F65-C346-4C8B-A008-9F6A1A12E53C}"/>
    <cellStyle name="20% - Cor5" xfId="517" xr:uid="{18378D27-4C1B-4635-BB34-88F574B5B684}"/>
    <cellStyle name="20% - Cor5 2" xfId="518" xr:uid="{87E32F57-673B-413C-BDDD-D20F798C03CE}"/>
    <cellStyle name="20% - Cor5 3" xfId="519" xr:uid="{F245573F-1400-4A05-8A8D-6C067AF84C33}"/>
    <cellStyle name="20% - Cor6" xfId="520" xr:uid="{A812B8EC-B2AE-4088-B05B-0C5C76E79908}"/>
    <cellStyle name="20% - Cor6 2" xfId="521" xr:uid="{59D9320B-A763-4CE0-9310-6642270675AB}"/>
    <cellStyle name="20% - Cor6 3" xfId="522" xr:uid="{53B5D55F-13EA-4F78-B69E-8188AA9E2079}"/>
    <cellStyle name="40 % - Aksentti1" xfId="523" xr:uid="{88EF960C-5BE4-4C05-AD05-DCEB205E17F9}"/>
    <cellStyle name="40 % - Aksentti1 2" xfId="524" xr:uid="{35E7804B-E3E5-454A-939B-8FFD54E02A6B}"/>
    <cellStyle name="40 % - Aksentti1 3" xfId="525" xr:uid="{26236B6A-B77D-401A-BD0F-B4E98F0F61B9}"/>
    <cellStyle name="40 % - Aksentti1_Capital detail" xfId="526" xr:uid="{65F6FC2C-1E67-43F8-A0E3-FE5B4265280E}"/>
    <cellStyle name="40 % - Aksentti2" xfId="527" xr:uid="{01A84EDB-FC06-4789-AE1F-E545187A369D}"/>
    <cellStyle name="40 % - Aksentti2 2" xfId="528" xr:uid="{F4CD07EB-EEA1-47BF-8BAD-A6B4AC355A97}"/>
    <cellStyle name="40 % - Aksentti2 3" xfId="529" xr:uid="{7DF3557F-C35F-4CFA-9675-C681F5039700}"/>
    <cellStyle name="40 % - Aksentti2_Capital detail" xfId="530" xr:uid="{534B4DE3-67C0-44D5-9987-4C15B66144D6}"/>
    <cellStyle name="40 % - Aksentti3" xfId="531" xr:uid="{C88CF5EC-4272-4C66-A500-39A984EC21EE}"/>
    <cellStyle name="40 % - Aksentti3 2" xfId="532" xr:uid="{EC75B91C-4D0B-4A37-A2D6-E9F7D9DC2313}"/>
    <cellStyle name="40 % - Aksentti3 3" xfId="533" xr:uid="{4A6AF55D-5234-4376-8FCB-142781AB175E}"/>
    <cellStyle name="40 % - Aksentti3_Capital detail" xfId="534" xr:uid="{B9532FAA-C63C-4918-BE01-F648318DE3DF}"/>
    <cellStyle name="40 % - Aksentti4" xfId="535" xr:uid="{709A084A-1EA8-402B-9F4E-FC038367F19F}"/>
    <cellStyle name="40 % - Aksentti4 2" xfId="536" xr:uid="{7FCF2694-0C45-48CD-88CF-0B3459D08B8A}"/>
    <cellStyle name="40 % - Aksentti4 3" xfId="537" xr:uid="{30945AF7-2AE3-48A3-AD5A-5E5E4CE41754}"/>
    <cellStyle name="40 % - Aksentti4_Capital detail" xfId="538" xr:uid="{C468B8FF-2AD9-44F4-BAE9-96FEE3CC23D4}"/>
    <cellStyle name="40 % - Aksentti5" xfId="539" xr:uid="{9C36F159-08D9-41CA-B001-48E3732EF89C}"/>
    <cellStyle name="40 % - Aksentti5 2" xfId="540" xr:uid="{69D25DCC-2FE7-484E-8A32-E18739F7D551}"/>
    <cellStyle name="40 % - Aksentti5 3" xfId="541" xr:uid="{A0BA29CC-5FED-42BE-AAC4-10E810585CD2}"/>
    <cellStyle name="40 % - Aksentti5_Capital detail" xfId="542" xr:uid="{3E8B89E6-89B2-4A75-ABF5-AE92F1134C53}"/>
    <cellStyle name="40 % - Aksentti6" xfId="543" xr:uid="{D5F14B18-221B-40F6-AA99-97557EEF9FA2}"/>
    <cellStyle name="40 % - Aksentti6 2" xfId="544" xr:uid="{6EB54127-AE38-4456-8C9C-8B1618C139EA}"/>
    <cellStyle name="40 % - Aksentti6 3" xfId="545" xr:uid="{9F8115C9-B3CC-4991-9512-56A878377313}"/>
    <cellStyle name="40 % - Aksentti6_Capital detail" xfId="546" xr:uid="{CE99557F-B0BC-4FA7-A94C-335A0E2BB5BE}"/>
    <cellStyle name="40 % - Akzent1" xfId="547" xr:uid="{389511CD-9DA3-4D91-97C1-E10FA261D7EF}"/>
    <cellStyle name="40 % - Akzent1 2" xfId="548" xr:uid="{941A48B7-C902-43CC-AEE6-4C894DF6E577}"/>
    <cellStyle name="40 % - Akzent1 3" xfId="549" xr:uid="{949992AE-09F2-4E79-8CF4-31A8456CE061}"/>
    <cellStyle name="40 % - Akzent1_Capital detail" xfId="550" xr:uid="{ADAC4859-7C8E-41DF-B94B-CE29A7FDB168}"/>
    <cellStyle name="40 % - Akzent2" xfId="551" xr:uid="{BB958DA9-48D6-4DCA-B706-275024D6E660}"/>
    <cellStyle name="40 % - Akzent2 2" xfId="552" xr:uid="{7253E97A-EA8B-472B-B296-5FAEDB2A46B8}"/>
    <cellStyle name="40 % - Akzent2 3" xfId="553" xr:uid="{C05A6A1C-92DB-42A2-AE76-59EC8E8F7346}"/>
    <cellStyle name="40 % - Akzent2_Capital detail" xfId="554" xr:uid="{32B9411B-0389-4105-974F-CD4EE7D718B7}"/>
    <cellStyle name="40 % - Akzent3" xfId="555" xr:uid="{2346D784-41F4-4F41-91E8-56A10B55015C}"/>
    <cellStyle name="40 % - Akzent3 2" xfId="556" xr:uid="{82801FE9-C9C9-48D0-81B9-05135FF64D2A}"/>
    <cellStyle name="40 % - Akzent3 3" xfId="557" xr:uid="{953CA02A-F246-4ADF-AEA0-07E7DBDE38A5}"/>
    <cellStyle name="40 % - Akzent3_Capital detail" xfId="558" xr:uid="{085D540B-CA19-4E3A-9CA4-02294D41F862}"/>
    <cellStyle name="40 % - Akzent4" xfId="559" xr:uid="{5810CC09-1EA1-4287-9D9F-A94BD881A2AD}"/>
    <cellStyle name="40 % - Akzent4 2" xfId="560" xr:uid="{B358F169-6D24-4D2D-A274-B8B83ED75B8C}"/>
    <cellStyle name="40 % - Akzent4 3" xfId="561" xr:uid="{98505057-CD08-49E3-ABB0-984C2CC9C123}"/>
    <cellStyle name="40 % - Akzent4_Capital detail" xfId="562" xr:uid="{682444BA-0DE8-454F-AF82-7F09A294CF65}"/>
    <cellStyle name="40 % - Akzent5" xfId="563" xr:uid="{6FAB4113-6B35-4AF8-B7D0-07A6E7DF7740}"/>
    <cellStyle name="40 % - Akzent5 2" xfId="564" xr:uid="{601501CB-E152-4FC5-8592-8991CE63FFB5}"/>
    <cellStyle name="40 % - Akzent5 3" xfId="565" xr:uid="{F5783A01-3830-4CEE-9C95-4A3207AA6DED}"/>
    <cellStyle name="40 % - Akzent5_Capital detail" xfId="566" xr:uid="{30164275-345C-4753-B433-8C250CF919E0}"/>
    <cellStyle name="40 % - Akzent6" xfId="567" xr:uid="{2E2CE276-C045-4BE0-8FDB-A60E1A95F5F0}"/>
    <cellStyle name="40 % - Akzent6 2" xfId="568" xr:uid="{DF65D24C-D585-4ECC-AB5D-F1FE2649EF45}"/>
    <cellStyle name="40 % - Akzent6 3" xfId="569" xr:uid="{19605345-21E9-456B-AF09-A8EFC1ADCE40}"/>
    <cellStyle name="40 % - Akzent6_Capital detail" xfId="570" xr:uid="{87D1D8C5-A247-4F04-973E-F3263A786582}"/>
    <cellStyle name="40% - Accent1 2" xfId="571" xr:uid="{922D4DC8-F57F-44DD-81FF-6A7E569A62A4}"/>
    <cellStyle name="40% - Accent1 2 2" xfId="572" xr:uid="{D593B401-0CFE-44BC-BDF8-EB6D87350FB9}"/>
    <cellStyle name="40% - Accent1 2 2 2" xfId="573" xr:uid="{D6BF56FF-E7B3-481A-B449-23556CF8A060}"/>
    <cellStyle name="40% - Accent1 2 2_Menu" xfId="574" xr:uid="{CF41C162-9675-4C1F-9531-566E58BADDA0}"/>
    <cellStyle name="40% - Accent1 2 3" xfId="575" xr:uid="{3ED860CE-310B-4E14-9CA5-F4B3C229C561}"/>
    <cellStyle name="40% - Accent1 2 3 2" xfId="576" xr:uid="{E70E6969-BC0E-4166-9A4C-ACEEF0A57518}"/>
    <cellStyle name="40% - Accent1 2 3_Menu" xfId="577" xr:uid="{088E063C-7EB4-462F-A413-2CD71B91929E}"/>
    <cellStyle name="40% - Accent1 2 4" xfId="578" xr:uid="{19A44EE5-B45B-4C0C-9301-41384A0F5A05}"/>
    <cellStyle name="40% - Accent1 2 5" xfId="579" xr:uid="{99627F1F-72B8-4E33-A28E-ACE09EEB7431}"/>
    <cellStyle name="40% - Accent1 2_2013" xfId="580" xr:uid="{6FA6BEE8-69F1-4C10-B401-27577C064F4E}"/>
    <cellStyle name="40% - Accent1 3" xfId="581" xr:uid="{62A284DA-BBE4-485D-8C93-E3E880387C93}"/>
    <cellStyle name="40% - Accent2 2" xfId="582" xr:uid="{36F0BACD-E4E0-4D0A-B0F5-924173E67D6C}"/>
    <cellStyle name="40% - Accent2 2 2" xfId="583" xr:uid="{0063F552-B0EB-44C5-AD76-D3F99F082735}"/>
    <cellStyle name="40% - Accent2 2 2 2" xfId="584" xr:uid="{99EEA044-4A3A-4292-B17F-6398DFBBAABA}"/>
    <cellStyle name="40% - Accent2 2 2_Menu" xfId="585" xr:uid="{21097B2C-BA30-4341-8B1B-4063BA90840F}"/>
    <cellStyle name="40% - Accent2 2 3" xfId="586" xr:uid="{63E99541-577A-4469-9FEC-4B8BCCC1CB3A}"/>
    <cellStyle name="40% - Accent2 2 3 2" xfId="587" xr:uid="{D94AA344-2FEB-4796-96BE-A2007F2F7AC8}"/>
    <cellStyle name="40% - Accent2 2 3_Menu" xfId="588" xr:uid="{9CD8140A-ADAA-42B7-932F-B885BD74A294}"/>
    <cellStyle name="40% - Accent2 2 4" xfId="589" xr:uid="{340946A0-B8B1-4BF9-AE8E-6FCB95B3B233}"/>
    <cellStyle name="40% - Accent2 2 5" xfId="590" xr:uid="{4F3C22FE-6536-4260-A07F-78417E33C032}"/>
    <cellStyle name="40% - Accent2 2_2013" xfId="591" xr:uid="{02EFF88F-9923-4D2A-A74E-177193BA8009}"/>
    <cellStyle name="40% - Accent2 3" xfId="592" xr:uid="{FA80462D-850B-4D9B-9B32-6FA2EFC6D5A0}"/>
    <cellStyle name="40% - Accent3 2" xfId="593" xr:uid="{B229913B-F0D5-4E2B-8F43-EBB49164CB45}"/>
    <cellStyle name="40% - Accent3 2 2" xfId="594" xr:uid="{F8A1CB22-2C48-465F-A02B-F325907E21EE}"/>
    <cellStyle name="40% - Accent3 2 2 2" xfId="595" xr:uid="{840B8768-64D2-4D26-8E1C-7D369AEEF825}"/>
    <cellStyle name="40% - Accent3 2 2_Menu" xfId="596" xr:uid="{C605451F-B785-4922-A6EF-20D209A0CCB4}"/>
    <cellStyle name="40% - Accent3 2 3" xfId="597" xr:uid="{E335D751-2807-49CF-AA7E-C1189AA60B45}"/>
    <cellStyle name="40% - Accent3 2 3 2" xfId="598" xr:uid="{9D8AD613-577E-47B8-BBFC-F2484764FC33}"/>
    <cellStyle name="40% - Accent3 2 3_Menu" xfId="599" xr:uid="{908F5F8C-E611-475D-A684-875290B4FDC4}"/>
    <cellStyle name="40% - Accent3 2 4" xfId="600" xr:uid="{6CC536E0-981B-4419-8AC4-226D230A406E}"/>
    <cellStyle name="40% - Accent3 2 5" xfId="601" xr:uid="{49E9C0AE-AA2C-4B3C-BCB8-F354968FCEA2}"/>
    <cellStyle name="40% - Accent3 2_2013" xfId="602" xr:uid="{B3A65C92-6613-4DDE-AEE6-111356266CEA}"/>
    <cellStyle name="40% - Accent3 3" xfId="603" xr:uid="{D504C5E2-AFA1-4AFB-BE1C-D56BA0D87C3E}"/>
    <cellStyle name="40% - Accent4 2" xfId="604" xr:uid="{3F60C07D-3B2A-4DC5-8A5C-73D924EC0D59}"/>
    <cellStyle name="40% - Accent4 2 2" xfId="605" xr:uid="{8A63991F-95B5-42EF-B044-9BBF859A9860}"/>
    <cellStyle name="40% - Accent4 2 2 2" xfId="606" xr:uid="{8FD5C760-64A4-4F5E-9046-3DFA7785BB9B}"/>
    <cellStyle name="40% - Accent4 2 2_Menu" xfId="607" xr:uid="{0871CDD4-1E0A-4006-99CC-8C5D5D1AA6CB}"/>
    <cellStyle name="40% - Accent4 2 3" xfId="608" xr:uid="{9A4463B6-18DA-4282-B745-F050BD642BD4}"/>
    <cellStyle name="40% - Accent4 2 3 2" xfId="609" xr:uid="{C6C97214-C9EA-465C-8E44-2F1F5A12E71A}"/>
    <cellStyle name="40% - Accent4 2 3_Menu" xfId="610" xr:uid="{9C226D15-9468-45E2-A643-EA3AC017AB0B}"/>
    <cellStyle name="40% - Accent4 2 4" xfId="611" xr:uid="{8D229E8F-BCB6-4564-A06E-5FD81BBEE5AE}"/>
    <cellStyle name="40% - Accent4 2 5" xfId="612" xr:uid="{F3EA5882-9E50-473D-B0A8-FA9709DEC2B1}"/>
    <cellStyle name="40% - Accent4 2_2013" xfId="613" xr:uid="{C4F89C6E-1959-494B-AAB6-30B4AFC6B64F}"/>
    <cellStyle name="40% - Accent4 3" xfId="614" xr:uid="{FCF30D4C-0DF1-4AF1-9C4E-67DC849701C8}"/>
    <cellStyle name="40% - Accent5 2" xfId="615" xr:uid="{40CB974A-0855-4EF8-A4D5-C95F4E59015F}"/>
    <cellStyle name="40% - Accent5 2 2" xfId="616" xr:uid="{A58938FE-55A5-44AE-8770-D2F389596142}"/>
    <cellStyle name="40% - Accent5 2 2 2" xfId="617" xr:uid="{D961A1FC-6DDD-4DC6-978A-64F330F8DAE2}"/>
    <cellStyle name="40% - Accent5 2 2_Menu" xfId="618" xr:uid="{6B65260C-AC55-4BD1-A05C-118561894296}"/>
    <cellStyle name="40% - Accent5 2 3" xfId="619" xr:uid="{EF79292A-4686-41AE-9214-52F37EE6F62A}"/>
    <cellStyle name="40% - Accent5 2 3 2" xfId="620" xr:uid="{FB8759F8-2B38-4F18-8DE0-B127F3C87A3C}"/>
    <cellStyle name="40% - Accent5 2 3_Menu" xfId="621" xr:uid="{EF692F85-D2D1-4297-B698-595A52127640}"/>
    <cellStyle name="40% - Accent5 2 4" xfId="622" xr:uid="{FF21B911-17B1-4CEE-8A62-5E5C41637CD7}"/>
    <cellStyle name="40% - Accent5 2 5" xfId="623" xr:uid="{C0AFF26D-0037-4843-83B3-8FB913ACD88B}"/>
    <cellStyle name="40% - Accent5 2_2013" xfId="624" xr:uid="{6F88BD93-A844-4D50-BA64-CEBDADFE26CD}"/>
    <cellStyle name="40% - Accent5 3" xfId="625" xr:uid="{9634DA6B-4B62-4D5F-9F3A-9456950C4FC9}"/>
    <cellStyle name="40% - Accent6 2" xfId="626" xr:uid="{2CF4B1CF-79F6-48E5-B744-29A1423CECF9}"/>
    <cellStyle name="40% - Accent6 2 2" xfId="627" xr:uid="{64153DF4-CC8F-496A-A5FD-DDCAE54C1BBB}"/>
    <cellStyle name="40% - Accent6 2 2 2" xfId="628" xr:uid="{A48CF780-AE0D-414B-A394-6679CC988E74}"/>
    <cellStyle name="40% - Accent6 2 2_Menu" xfId="629" xr:uid="{92A2E32B-3922-4496-93A9-B849260E3E77}"/>
    <cellStyle name="40% - Accent6 2 3" xfId="630" xr:uid="{61809100-709F-4E65-B994-A5174BE928A1}"/>
    <cellStyle name="40% - Accent6 2 3 2" xfId="631" xr:uid="{384285D3-D1F5-4DC2-AF99-284D20170E91}"/>
    <cellStyle name="40% - Accent6 2 3_Menu" xfId="632" xr:uid="{C0F5A0EA-3E67-4FD9-8697-3A0C2301A4AE}"/>
    <cellStyle name="40% - Accent6 2 4" xfId="633" xr:uid="{87711749-4286-4937-80F0-DB61DD63E9FC}"/>
    <cellStyle name="40% - Accent6 2 5" xfId="634" xr:uid="{7FC2EDF8-28E3-4E98-95DD-D6E70C250463}"/>
    <cellStyle name="40% - Accent6 2_2013" xfId="635" xr:uid="{2C748847-5E34-47F4-A851-977256ADB3B4}"/>
    <cellStyle name="40% - Accent6 3" xfId="636" xr:uid="{163226DE-C954-4686-B020-E4F11506E0D1}"/>
    <cellStyle name="40% - Colore 1" xfId="637" xr:uid="{996EC4FB-8A4F-4945-87AB-57936B6FA049}"/>
    <cellStyle name="40% - Colore 1 2" xfId="638" xr:uid="{AAB7A24F-98F4-4BD3-AEC7-88EDE58A0D63}"/>
    <cellStyle name="40% - Colore 1_Capital detail" xfId="639" xr:uid="{D14CFA8B-0B11-433C-9E5E-E51E402DD9F2}"/>
    <cellStyle name="40% - Colore 2" xfId="640" xr:uid="{0F008E49-1011-4991-AB99-7EB0649FF0AA}"/>
    <cellStyle name="40% - Colore 2 2" xfId="641" xr:uid="{8399184A-9A8B-45E9-B897-2E98567AED4E}"/>
    <cellStyle name="40% - Colore 2_Capital detail" xfId="642" xr:uid="{B6247A8C-1ED8-41A8-851A-18A85529D861}"/>
    <cellStyle name="40% - Colore 3" xfId="643" xr:uid="{05C2B9D2-AEE8-4D83-AAEB-C96E24D5C3CC}"/>
    <cellStyle name="40% - Colore 3 2" xfId="644" xr:uid="{96CAFE31-46A2-42DA-B71F-FEED3C26CDBD}"/>
    <cellStyle name="40% - Colore 3_Capital detail" xfId="645" xr:uid="{0B607A89-5978-454F-9E67-036E00AD9F2C}"/>
    <cellStyle name="40% - Colore 4" xfId="646" xr:uid="{7FF84BF5-E188-4754-85F7-DAA2118BDA1B}"/>
    <cellStyle name="40% - Colore 4 2" xfId="647" xr:uid="{6468BAB8-5640-416B-A961-930FA611E2E4}"/>
    <cellStyle name="40% - Colore 4_Capital detail" xfId="648" xr:uid="{E3A4313B-CA20-4D9D-AE2A-73FED5387215}"/>
    <cellStyle name="40% - Colore 5" xfId="649" xr:uid="{81197652-F9CC-4D21-85E4-C3292D25D26A}"/>
    <cellStyle name="40% - Colore 5 2" xfId="650" xr:uid="{DCC4C5A2-D5D4-402D-BF1E-B357500ADE75}"/>
    <cellStyle name="40% - Colore 5_Capital detail" xfId="651" xr:uid="{B9AC9532-E9F2-4F4C-9E75-AEE355D65415}"/>
    <cellStyle name="40% - Colore 6" xfId="652" xr:uid="{DD4D77F0-3B62-44CF-AFDA-48E17B352B6C}"/>
    <cellStyle name="40% - Colore 6 2" xfId="653" xr:uid="{C7CB026D-DEE9-4E23-851B-A6DBC0FD7C3B}"/>
    <cellStyle name="40% - Colore 6_Capital detail" xfId="654" xr:uid="{85AF544A-0FD1-4266-81B6-6452A55709D3}"/>
    <cellStyle name="40% - Cor1" xfId="655" xr:uid="{DBF52DD7-02C1-4752-98A1-A85655B0E350}"/>
    <cellStyle name="40% - Cor1 2" xfId="656" xr:uid="{2A3F9BAA-E1D4-454A-8699-E06C99B57F7B}"/>
    <cellStyle name="40% - Cor1 3" xfId="657" xr:uid="{BE470699-E098-496E-8EDD-94818065B66E}"/>
    <cellStyle name="40% - Cor2" xfId="658" xr:uid="{314CA0E0-711A-4E56-AB4E-AE4D250C6CD6}"/>
    <cellStyle name="40% - Cor2 2" xfId="659" xr:uid="{9B0AB8FD-BC23-4A92-9226-900E1D148CC4}"/>
    <cellStyle name="40% - Cor2 3" xfId="660" xr:uid="{FCFAF184-8E58-4696-809F-6210F839D6F7}"/>
    <cellStyle name="40% - Cor3" xfId="661" xr:uid="{9BA641B8-FCB2-42D9-8F2A-EB0DE7F346D0}"/>
    <cellStyle name="40% - Cor3 2" xfId="662" xr:uid="{B9983244-4B99-4315-BE95-CA8AAB313313}"/>
    <cellStyle name="40% - Cor3 3" xfId="663" xr:uid="{3B73D9D8-4F4D-4CBA-8C71-6314D515D863}"/>
    <cellStyle name="40% - Cor4" xfId="664" xr:uid="{FEFE12A1-7260-4B16-9967-A367F50AB266}"/>
    <cellStyle name="40% - Cor4 2" xfId="665" xr:uid="{ED50F628-05C9-4235-A1C6-7D07348EDD6F}"/>
    <cellStyle name="40% - Cor4 3" xfId="666" xr:uid="{8BACEE00-0BFE-4B86-9649-3A75CFB76C6F}"/>
    <cellStyle name="40% - Cor5" xfId="667" xr:uid="{9A2343FF-186C-49D3-A905-3507A7F864E1}"/>
    <cellStyle name="40% - Cor5 2" xfId="668" xr:uid="{E5344BCD-0175-44F6-850D-D78B90524DD0}"/>
    <cellStyle name="40% - Cor5 3" xfId="669" xr:uid="{439F4DFF-50F5-4D3C-A73B-26E4DC724EE9}"/>
    <cellStyle name="40% - Cor6" xfId="670" xr:uid="{1137BDD0-CA6B-4602-86DB-FF1AA7EC92F0}"/>
    <cellStyle name="40% - Cor6 2" xfId="671" xr:uid="{BF0003EF-4F74-49A8-96BE-EDC9D6F5C2BD}"/>
    <cellStyle name="40% - Cor6 3" xfId="672" xr:uid="{2F284C3B-62E8-4712-BDFB-8D9FA5ECEB54}"/>
    <cellStyle name="60 % - Aksentti1" xfId="673" xr:uid="{461CBEB6-0C3F-4DC1-87A9-B89E9F6A03AD}"/>
    <cellStyle name="60 % - Aksentti1 2" xfId="674" xr:uid="{3B17F389-AD9C-4094-9B8E-292992DCE3C8}"/>
    <cellStyle name="60 % - Aksentti2" xfId="675" xr:uid="{664A404C-5D5C-48D7-A621-DAE9E24A7D87}"/>
    <cellStyle name="60 % - Aksentti2 2" xfId="676" xr:uid="{FFD572B1-8BAD-4756-BE54-BBDB1CD4582E}"/>
    <cellStyle name="60 % - Aksentti3" xfId="677" xr:uid="{1DC5F6C8-CCA0-4A77-9783-095FCCB8A371}"/>
    <cellStyle name="60 % - Aksentti3 2" xfId="678" xr:uid="{894B0D3C-3D79-4C9F-83FB-6A52D60630EC}"/>
    <cellStyle name="60 % - Aksentti4" xfId="679" xr:uid="{6699B06A-DD28-4F4D-99D8-8D950DA75DBE}"/>
    <cellStyle name="60 % - Aksentti4 2" xfId="680" xr:uid="{E4381EF8-1B65-46EE-B24F-F897F406524A}"/>
    <cellStyle name="60 % - Aksentti5" xfId="681" xr:uid="{2FD50131-D7D1-438D-9B44-DFD2C4CC35ED}"/>
    <cellStyle name="60 % - Aksentti5 2" xfId="682" xr:uid="{84E66595-2A26-47F3-A635-51E41BF4BF5F}"/>
    <cellStyle name="60 % - Aksentti6" xfId="683" xr:uid="{F8A28962-9A51-42EC-A596-8AA93A786FBD}"/>
    <cellStyle name="60 % - Aksentti6 2" xfId="684" xr:uid="{D110B8DC-8603-4319-A81F-2F66A9583C05}"/>
    <cellStyle name="60 % - Akzent1" xfId="685" xr:uid="{79A769F7-5E84-4662-9000-389EEFFC8AD1}"/>
    <cellStyle name="60 % - Akzent1 2" xfId="686" xr:uid="{8C959020-EAF3-4891-B07C-92E4357A4246}"/>
    <cellStyle name="60 % - Akzent2" xfId="687" xr:uid="{401F314E-1468-4AB5-AB7D-6A889615100D}"/>
    <cellStyle name="60 % - Akzent2 2" xfId="688" xr:uid="{3E2AC3BC-4FC4-4529-9C56-2AB35F95915F}"/>
    <cellStyle name="60 % - Akzent3" xfId="689" xr:uid="{89198B4A-2264-4509-BD80-4B19A56C159B}"/>
    <cellStyle name="60 % - Akzent3 2" xfId="690" xr:uid="{339228AC-5D3D-448C-A3E9-FD442A67E8D3}"/>
    <cellStyle name="60 % - Akzent4" xfId="691" xr:uid="{04862C2E-D794-422A-AB64-9E929A9AB816}"/>
    <cellStyle name="60 % - Akzent4 2" xfId="692" xr:uid="{76A435A7-BD3C-45FF-93AA-EC89A342A004}"/>
    <cellStyle name="60 % - Akzent5" xfId="693" xr:uid="{AB9F3998-DC2D-4E5A-81FD-D84F9FAED4A1}"/>
    <cellStyle name="60 % - Akzent5 2" xfId="694" xr:uid="{C927971F-F18B-415C-BC6D-E715579202E9}"/>
    <cellStyle name="60 % - Akzent6" xfId="695" xr:uid="{93C89BC7-545F-4667-B22A-E4D5C7E66F2D}"/>
    <cellStyle name="60 % - Akzent6 2" xfId="696" xr:uid="{ECD1D04F-B556-4053-A977-364D7B2125B4}"/>
    <cellStyle name="60% - Accent1 2" xfId="697" xr:uid="{820EB330-5038-4FC2-BEF0-F87743E4994B}"/>
    <cellStyle name="60% - Accent1 2 2" xfId="698" xr:uid="{0EFD8D73-A9B6-4BCF-B20A-4C77A656B565}"/>
    <cellStyle name="60% - Accent1 2 2 2" xfId="699" xr:uid="{E7DA164A-BA4B-45AD-B726-FA4233403028}"/>
    <cellStyle name="60% - Accent1 2 2_Menu" xfId="700" xr:uid="{C9064048-C046-4ED8-9060-D2A6FAC9A536}"/>
    <cellStyle name="60% - Accent1 2 3" xfId="701" xr:uid="{080D3A11-8425-492B-BFE5-CCB10A083654}"/>
    <cellStyle name="60% - Accent1 2 3 2" xfId="702" xr:uid="{5B16DD56-96AF-4A9C-92E3-03519033E05B}"/>
    <cellStyle name="60% - Accent1 2 3_Menu" xfId="703" xr:uid="{E1511CEA-E74D-4E14-8FAB-10AC1C75DD81}"/>
    <cellStyle name="60% - Accent1 2 4" xfId="704" xr:uid="{B7FD9443-675F-40CE-8FD8-5A583DBB7C76}"/>
    <cellStyle name="60% - Accent1 2 5" xfId="705" xr:uid="{D3587F72-180E-493A-82F5-0575A08619B2}"/>
    <cellStyle name="60% - Accent1 2_2013" xfId="706" xr:uid="{B9E1B9D8-7819-495D-962E-43DB44D684A8}"/>
    <cellStyle name="60% - Accent1 3" xfId="707" xr:uid="{4E275082-FC4E-4CC3-8358-36C4861B03E2}"/>
    <cellStyle name="60% - Accent2 2" xfId="708" xr:uid="{B56ED507-E787-4EE7-9C1B-6BFD211C39DF}"/>
    <cellStyle name="60% - Accent2 2 2" xfId="709" xr:uid="{824C9B85-CBA8-45B7-B9D9-FB31B1C2617B}"/>
    <cellStyle name="60% - Accent2 2 2 2" xfId="710" xr:uid="{B2DDEBF5-A767-4C12-8F90-0AF266692463}"/>
    <cellStyle name="60% - Accent2 2 2_Menu" xfId="711" xr:uid="{E83C5792-236C-4199-B9EE-68BEB48BA523}"/>
    <cellStyle name="60% - Accent2 2 3" xfId="712" xr:uid="{54E86025-A570-4768-AB7C-C665C2825AC6}"/>
    <cellStyle name="60% - Accent2 2 3 2" xfId="713" xr:uid="{87BD64F3-7895-40FC-A08F-CA97E915E52D}"/>
    <cellStyle name="60% - Accent2 2 3_Menu" xfId="714" xr:uid="{4C88F5D9-5617-44B3-94EE-805E92023B00}"/>
    <cellStyle name="60% - Accent2 2 4" xfId="715" xr:uid="{34748FE1-845E-4901-A2A6-F64B6526A419}"/>
    <cellStyle name="60% - Accent2 2 5" xfId="716" xr:uid="{58EA0416-0F08-48DD-8305-E878188E35DE}"/>
    <cellStyle name="60% - Accent2 2_2013" xfId="717" xr:uid="{88CFD422-8E7D-434C-82EC-FD331F2A5A4D}"/>
    <cellStyle name="60% - Accent2 3" xfId="718" xr:uid="{791ECDF3-CD01-41DA-97BC-B742D7155754}"/>
    <cellStyle name="60% - Accent3 2" xfId="719" xr:uid="{B5DDD760-DA62-4050-B233-7C20C130C7CB}"/>
    <cellStyle name="60% - Accent3 2 2" xfId="720" xr:uid="{D591FB2A-1DFF-41AD-A200-F34C2F109FBA}"/>
    <cellStyle name="60% - Accent3 3" xfId="721" xr:uid="{ED369DB1-BA4A-40AC-BE1E-91ACCA0F3989}"/>
    <cellStyle name="60% - Accent4 2" xfId="722" xr:uid="{B3356D8B-E0B7-450B-87E5-AE3941558886}"/>
    <cellStyle name="60% - Accent4 2 2" xfId="723" xr:uid="{BD6F2446-C97A-4C3D-A0B6-2469EB9A5F0A}"/>
    <cellStyle name="60% - Accent4 2 2 2" xfId="724" xr:uid="{2D0E2FE3-7B73-4A0A-ADA4-CB395E3FE0A0}"/>
    <cellStyle name="60% - Accent4 2 2_Menu" xfId="725" xr:uid="{068712FF-273D-4380-BA08-CBE2BF0C4F86}"/>
    <cellStyle name="60% - Accent4 2 3" xfId="726" xr:uid="{F6ADB7E8-A3BE-4733-BEB0-95D0C0825094}"/>
    <cellStyle name="60% - Accent4 2 3 2" xfId="727" xr:uid="{4FCF0DE4-86EA-4515-8F32-CD4DD6829D13}"/>
    <cellStyle name="60% - Accent4 2 3_Menu" xfId="728" xr:uid="{92987966-EB3E-401B-B412-3A330D8414CD}"/>
    <cellStyle name="60% - Accent4 2 4" xfId="729" xr:uid="{6F87D305-D540-4508-B183-9CDDDC800D26}"/>
    <cellStyle name="60% - Accent4 2 5" xfId="730" xr:uid="{47E44407-ADBB-4578-90AF-0ED2CDD12315}"/>
    <cellStyle name="60% - Accent4 2_2013" xfId="731" xr:uid="{5329D87F-F55E-4505-B911-B41F50F405A3}"/>
    <cellStyle name="60% - Accent4 3" xfId="732" xr:uid="{977D47E7-5D18-42EC-A364-20D1D1897DDD}"/>
    <cellStyle name="60% - Accent5 2" xfId="733" xr:uid="{A3C90E7A-401D-4E46-AED5-720231627645}"/>
    <cellStyle name="60% - Accent5 2 2" xfId="734" xr:uid="{E5BBEE83-55A4-4C5E-B651-ABBA6550564D}"/>
    <cellStyle name="60% - Accent5 2 2 2" xfId="735" xr:uid="{D2756AD2-9931-4513-82BC-C30570D424C8}"/>
    <cellStyle name="60% - Accent5 2 2_Menu" xfId="736" xr:uid="{98196694-936E-4042-9D84-462027B63BC1}"/>
    <cellStyle name="60% - Accent5 2 3" xfId="737" xr:uid="{096DBA0B-DD73-4329-889B-6E7375FA490C}"/>
    <cellStyle name="60% - Accent5 2 3 2" xfId="738" xr:uid="{FD09DAEB-DF2E-40EC-B14D-D0B326572840}"/>
    <cellStyle name="60% - Accent5 2 3_Menu" xfId="739" xr:uid="{001E9610-8006-4360-AE39-BB6367B2AFDE}"/>
    <cellStyle name="60% - Accent5 2 4" xfId="740" xr:uid="{7506739D-76F6-46F3-B899-09CFD8566801}"/>
    <cellStyle name="60% - Accent5 2 5" xfId="741" xr:uid="{426DBBC5-0CAB-485C-AC84-F00863967913}"/>
    <cellStyle name="60% - Accent5 2_2013" xfId="742" xr:uid="{446EE237-1A00-46C8-8C5E-BF2BA0A0EA6E}"/>
    <cellStyle name="60% - Accent5 3" xfId="743" xr:uid="{5F0CC7FB-532D-4DD3-91AD-9F0F067E3B11}"/>
    <cellStyle name="60% - Accent6 2" xfId="744" xr:uid="{BECB6B41-3724-4E0F-8C43-78CCCE0D25B8}"/>
    <cellStyle name="60% - Accent6 2 2" xfId="745" xr:uid="{B1B45CEC-17BC-4D48-9565-FD18C3788BAD}"/>
    <cellStyle name="60% - Accent6 3" xfId="746" xr:uid="{1F35FA90-F015-474D-8443-E06D2EED13E4}"/>
    <cellStyle name="60% - Colore 1" xfId="747" xr:uid="{4B7AF065-96FE-414E-AA68-FAFE3B625F8B}"/>
    <cellStyle name="60% - Colore 2" xfId="748" xr:uid="{D066EB16-6ABF-4144-9118-5170E4C87A49}"/>
    <cellStyle name="60% - Colore 3" xfId="749" xr:uid="{88DC069A-19A3-41B5-943A-560887B53F28}"/>
    <cellStyle name="60% - Colore 4" xfId="750" xr:uid="{D8DA84D2-D3FB-4363-8EC9-54C93D7008EA}"/>
    <cellStyle name="60% - Colore 5" xfId="751" xr:uid="{197890A8-4C16-4018-B611-7FB92751FD96}"/>
    <cellStyle name="60% - Colore 6" xfId="752" xr:uid="{228B2D68-0D90-42DA-A65E-AD86C9C3C7F6}"/>
    <cellStyle name="60% - Cor1" xfId="753" xr:uid="{ECA18D78-65E3-446E-90B7-EC80EA292B88}"/>
    <cellStyle name="60% - Cor1 2" xfId="754" xr:uid="{E6E9B044-515B-481E-8168-E902AF8FE5F8}"/>
    <cellStyle name="60% - Cor2" xfId="755" xr:uid="{BE2E4CAF-3D31-433D-B9A5-8AA2D0D192F2}"/>
    <cellStyle name="60% - Cor2 2" xfId="756" xr:uid="{33AAE4C1-8FAE-42C4-8917-1851AB38FEF2}"/>
    <cellStyle name="60% - Cor3" xfId="757" xr:uid="{2EED27D2-7F16-4E35-B7E5-D4878F23C909}"/>
    <cellStyle name="60% - Cor3 2" xfId="758" xr:uid="{392A307A-B22F-4416-9209-9A4CC00314B1}"/>
    <cellStyle name="60% - Cor4" xfId="759" xr:uid="{D41E89DD-A2B3-4118-8189-0F4094C4AE65}"/>
    <cellStyle name="60% - Cor4 2" xfId="760" xr:uid="{4626AB73-7706-4C73-A75A-13051FA114AB}"/>
    <cellStyle name="60% - Cor5" xfId="761" xr:uid="{DF750D61-78A4-4CDE-8FF0-E3CC4112E7E8}"/>
    <cellStyle name="60% - Cor5 2" xfId="762" xr:uid="{146D64C5-DC7C-4F41-BAC1-9AC4DCD157FB}"/>
    <cellStyle name="60% - Cor6" xfId="763" xr:uid="{508EAE4B-6F2F-4132-A090-F8AA08451B5E}"/>
    <cellStyle name="60% - Cor6 2" xfId="764" xr:uid="{9CD76DF5-964D-4758-938A-CDDAAA5AF865}"/>
    <cellStyle name="Accent1 - 20%" xfId="765" xr:uid="{6A8ED515-F996-4B14-B6EA-C583C7EDAB67}"/>
    <cellStyle name="Accent1 - 40%" xfId="766" xr:uid="{8E9CFBA4-32F3-4983-9F85-462714829931}"/>
    <cellStyle name="Accent1 - 60%" xfId="767" xr:uid="{28655080-6184-4FC9-85F1-98ABDEEBBA74}"/>
    <cellStyle name="Accent1 10" xfId="768" xr:uid="{CE0E3FCD-0B70-45AA-8EA3-DC063BAF6DC8}"/>
    <cellStyle name="Accent1 11" xfId="769" xr:uid="{5C1A96A6-116F-4AFC-8864-BFF355B841A0}"/>
    <cellStyle name="Accent1 12" xfId="770" xr:uid="{B6AA1B4C-BF08-407F-8D07-356044F5422D}"/>
    <cellStyle name="Accent1 13" xfId="771" xr:uid="{18F91FC4-4FC3-4C4D-9E01-C847C022C671}"/>
    <cellStyle name="Accent1 14" xfId="772" xr:uid="{719F9CA6-F526-4CE9-80AD-904E4CC1923D}"/>
    <cellStyle name="Accent1 15" xfId="773" xr:uid="{77B0C65C-290C-4CAF-A17A-2DBC7F758767}"/>
    <cellStyle name="Accent1 15 2" xfId="774" xr:uid="{CFFBA1DC-9E38-4586-9CCC-E67D4E5D88FE}"/>
    <cellStyle name="Accent1 15_Menu" xfId="775" xr:uid="{82A6321A-E577-42D7-B99B-B689F080995A}"/>
    <cellStyle name="Accent1 16" xfId="776" xr:uid="{35632E28-62A2-4D6D-B07E-8E322F32F84F}"/>
    <cellStyle name="Accent1 16 2" xfId="777" xr:uid="{113ABC1C-00BD-48CE-84DA-BFD9A5953EE6}"/>
    <cellStyle name="Accent1 16_Menu" xfId="778" xr:uid="{CA92036B-40B4-4194-9E68-7F0EB3E74B4D}"/>
    <cellStyle name="Accent1 17" xfId="779" xr:uid="{36218BA9-4F58-4D19-9A40-A1BAE9AA1DE5}"/>
    <cellStyle name="Accent1 17 2" xfId="780" xr:uid="{00B69C3B-AACA-45E6-9441-F754DC9A9AB6}"/>
    <cellStyle name="Accent1 17_Menu" xfId="781" xr:uid="{C61B7C4B-F9C3-4FDB-AA68-2BFDEC472302}"/>
    <cellStyle name="Accent1 18" xfId="782" xr:uid="{64D3727D-7B1C-4D49-8FA4-9787046A14E0}"/>
    <cellStyle name="Accent1 18 2" xfId="783" xr:uid="{12727346-AEA6-4F2C-88A4-CF942E409505}"/>
    <cellStyle name="Accent1 18_Menu" xfId="784" xr:uid="{99430685-82C5-4464-A29A-201FE4D8045D}"/>
    <cellStyle name="Accent1 19" xfId="785" xr:uid="{7CF6F35F-4032-43FB-A711-55770CB12707}"/>
    <cellStyle name="Accent1 2" xfId="786" xr:uid="{D5C7D5D6-9713-4ACD-96DD-46B7F968A0A6}"/>
    <cellStyle name="Accent1 2 2" xfId="787" xr:uid="{C19DCF02-1098-4501-A2BE-928C1EAECBD8}"/>
    <cellStyle name="Accent1 2 2 2" xfId="788" xr:uid="{BF782FF5-85E9-41B2-8124-6C7F84258E04}"/>
    <cellStyle name="Accent1 2 2_Menu" xfId="789" xr:uid="{EEE2C1F1-F299-4B03-B31F-50B0425C15F3}"/>
    <cellStyle name="Accent1 2 3" xfId="790" xr:uid="{2B5D1FA4-5BEE-4BAF-A947-F129108F2A14}"/>
    <cellStyle name="Accent1 2 3 2" xfId="791" xr:uid="{29592641-0C5C-4E4D-9B56-C728720F8D73}"/>
    <cellStyle name="Accent1 2 3_Menu" xfId="792" xr:uid="{8E4D8632-2FA8-4387-97F7-AAA0EAE92BB7}"/>
    <cellStyle name="Accent1 2 4" xfId="793" xr:uid="{DC82A511-7244-4F9F-B2CA-99E6D18B69D7}"/>
    <cellStyle name="Accent1 2 5" xfId="794" xr:uid="{FFBD48FD-65AE-41A2-8CC2-050BE4FFA0BB}"/>
    <cellStyle name="Accent1 2_2013" xfId="795" xr:uid="{66BC0F6D-551C-47A5-A271-24F44B5E453F}"/>
    <cellStyle name="Accent1 20" xfId="796" xr:uid="{0C8BC337-D3CA-4E92-85EB-6F7B0DED4630}"/>
    <cellStyle name="Accent1 21" xfId="797" xr:uid="{835B330F-1BB7-48F5-9B6B-12C32BC52C3D}"/>
    <cellStyle name="Accent1 22" xfId="798" xr:uid="{C0CEF068-0C85-431A-8DE3-1CB25EDBB353}"/>
    <cellStyle name="Accent1 23" xfId="799" xr:uid="{1D6B3BC0-D040-4C61-A9BB-3654DDBBF36E}"/>
    <cellStyle name="Accent1 3" xfId="800" xr:uid="{C7002E37-6522-4A2C-87E4-5E2E1CDD8E86}"/>
    <cellStyle name="Accent1 3 2" xfId="801" xr:uid="{CA8E8BFD-D120-4ECB-91DC-E7833DD1D446}"/>
    <cellStyle name="Accent1 3_Clear BS" xfId="802" xr:uid="{1CE0F612-160D-4311-8732-C1DD4E903966}"/>
    <cellStyle name="Accent1 4" xfId="803" xr:uid="{165811A3-7BDB-4822-9B23-102F47D07BA0}"/>
    <cellStyle name="Accent1 4 2" xfId="804" xr:uid="{B3BD4FFF-2422-43C2-BC67-66EAE9110141}"/>
    <cellStyle name="Accent1 4_Clear BS" xfId="805" xr:uid="{9CF92895-1597-4F39-A34A-F9D0B6C063D9}"/>
    <cellStyle name="Accent1 5" xfId="806" xr:uid="{41C244ED-1D25-458D-B240-C0DE659E9AC2}"/>
    <cellStyle name="Accent1 5 2" xfId="807" xr:uid="{6C291218-CF27-40BB-B525-9520FFE91DD4}"/>
    <cellStyle name="Accent1 5_Clear BS" xfId="808" xr:uid="{0650EBFD-46A0-4E1B-ADAB-5AE5BE5D9ED9}"/>
    <cellStyle name="Accent1 6" xfId="809" xr:uid="{B6C73AEA-7D94-48C0-B430-9B8E403BAA3C}"/>
    <cellStyle name="Accent1 7" xfId="810" xr:uid="{C39A719B-4812-4AD7-9C7A-DEDA089CB983}"/>
    <cellStyle name="Accent1 7 2" xfId="811" xr:uid="{8272C0DF-6479-4E1F-83CF-172245957C06}"/>
    <cellStyle name="Accent1 8" xfId="812" xr:uid="{D15EF8D1-0506-464B-827B-91E27FBEE36D}"/>
    <cellStyle name="Accent1 8 2" xfId="813" xr:uid="{8464BF2A-9224-424C-B206-DD70CC462F26}"/>
    <cellStyle name="Accent1 8 3" xfId="814" xr:uid="{0429B34A-9BCF-42F3-9EA2-D72A2B94EBBA}"/>
    <cellStyle name="Accent1 8_2013" xfId="815" xr:uid="{40D7F923-9512-45D4-869A-9956C6D7549E}"/>
    <cellStyle name="Accent1 9" xfId="816" xr:uid="{349A1B39-BD56-4930-AC62-628176D47C69}"/>
    <cellStyle name="Accent1 9 2" xfId="817" xr:uid="{8CB878EF-E105-425A-A1B6-9451BAC66B2D}"/>
    <cellStyle name="Accent1 9 3" xfId="818" xr:uid="{3C140920-6377-471E-A77A-F690E82AD432}"/>
    <cellStyle name="Accent1 9_2013" xfId="819" xr:uid="{CCDA07BC-F288-4F72-99F7-EFC9790FE90A}"/>
    <cellStyle name="Accent2 - 20%" xfId="820" xr:uid="{06BAA8EE-AE0B-4973-9172-6E95E38A7088}"/>
    <cellStyle name="Accent2 - 40%" xfId="821" xr:uid="{98BD1E2D-A85C-4A03-BAA5-3F0D914AAD1B}"/>
    <cellStyle name="Accent2 - 60%" xfId="822" xr:uid="{C84148BF-FE76-422D-AE88-9322FB2A9A06}"/>
    <cellStyle name="Accent2 10" xfId="823" xr:uid="{866939B0-13CD-4538-A0FA-FB0247CC4EF2}"/>
    <cellStyle name="Accent2 11" xfId="824" xr:uid="{25C08222-3965-4BCB-8551-EFE6D493A875}"/>
    <cellStyle name="Accent2 12" xfId="825" xr:uid="{7C0831BE-0A9F-4BE7-9F8E-5DF0E1B1A4FC}"/>
    <cellStyle name="Accent2 13" xfId="826" xr:uid="{127E6957-8D0F-4C9F-BACB-34E695711882}"/>
    <cellStyle name="Accent2 14" xfId="827" xr:uid="{DEA861FD-6E71-4EFF-A79D-882164F1AD66}"/>
    <cellStyle name="Accent2 15" xfId="828" xr:uid="{21C7D3D3-706C-44E6-9628-E1549EB1E366}"/>
    <cellStyle name="Accent2 15 2" xfId="829" xr:uid="{2B983AB2-A601-4BD9-B6C9-D99D32E5FFF9}"/>
    <cellStyle name="Accent2 15_Menu" xfId="830" xr:uid="{1A38B8CF-7E83-4D47-9AFB-8D659C56256C}"/>
    <cellStyle name="Accent2 16" xfId="831" xr:uid="{949FF80A-0E6E-4B25-ADC7-69D76B92541F}"/>
    <cellStyle name="Accent2 16 2" xfId="832" xr:uid="{65D9E015-6F26-41EB-9C2F-A4322DAA3344}"/>
    <cellStyle name="Accent2 16_Menu" xfId="833" xr:uid="{2766FEAE-F915-4945-AF12-CBC94FA48FCA}"/>
    <cellStyle name="Accent2 17" xfId="834" xr:uid="{66A003C2-816F-4081-85A0-D96A9E31AD98}"/>
    <cellStyle name="Accent2 17 2" xfId="835" xr:uid="{28D68213-C658-4808-B210-34844DBB64C3}"/>
    <cellStyle name="Accent2 17_Menu" xfId="836" xr:uid="{72681252-6110-4FEB-8197-8107E9395965}"/>
    <cellStyle name="Accent2 18" xfId="837" xr:uid="{6E572883-52C3-4801-B27D-841823B2C62F}"/>
    <cellStyle name="Accent2 18 2" xfId="838" xr:uid="{44B4D449-ABDF-4BA4-96AC-53C063D2A2F5}"/>
    <cellStyle name="Accent2 18_Menu" xfId="839" xr:uid="{5EE33588-15B9-4CE6-A752-B6633F45E564}"/>
    <cellStyle name="Accent2 19" xfId="840" xr:uid="{45DBF4B0-87A5-4E3F-A8A0-04C9A4CF3345}"/>
    <cellStyle name="Accent2 2" xfId="841" xr:uid="{32A82710-411A-476E-B4A1-C174B102A57F}"/>
    <cellStyle name="Accent2 2 2" xfId="842" xr:uid="{6B530267-AE1C-4300-8D1F-A3EA45EDD8E0}"/>
    <cellStyle name="Accent2 2 2 2" xfId="843" xr:uid="{99713B71-6129-4CBB-BC13-673772E126CF}"/>
    <cellStyle name="Accent2 2 2_Menu" xfId="844" xr:uid="{B41BD13E-8924-45CC-A6B7-FC03A543FC72}"/>
    <cellStyle name="Accent2 2 3" xfId="845" xr:uid="{169AF3FE-A6C2-4FE5-8FDF-027449E643E0}"/>
    <cellStyle name="Accent2 2 3 2" xfId="846" xr:uid="{B252ACF6-BB2F-4F58-B74A-E858F3CD1C5D}"/>
    <cellStyle name="Accent2 2 3_Menu" xfId="847" xr:uid="{0FCE36CC-CF84-42F5-816B-A0BCB5C135CA}"/>
    <cellStyle name="Accent2 2 4" xfId="848" xr:uid="{DD6B874B-5A5C-4229-8AE0-AB4B1E695A16}"/>
    <cellStyle name="Accent2 2 5" xfId="849" xr:uid="{A3079908-5186-4F2B-9FD5-D85AA4CEEF11}"/>
    <cellStyle name="Accent2 2_2013" xfId="850" xr:uid="{71C8235A-138E-42BA-B18E-8A687DAE6787}"/>
    <cellStyle name="Accent2 20" xfId="851" xr:uid="{78EA86EF-1006-4B42-925E-B32F04BF0ED0}"/>
    <cellStyle name="Accent2 21" xfId="852" xr:uid="{602459DB-01E3-4D27-8099-27C6DC74D396}"/>
    <cellStyle name="Accent2 22" xfId="853" xr:uid="{82F79FFB-3150-4315-8A10-6A5342083470}"/>
    <cellStyle name="Accent2 23" xfId="854" xr:uid="{C33CB51A-0035-4E4D-AE85-12E202139AB5}"/>
    <cellStyle name="Accent2 3" xfId="855" xr:uid="{D1D5EBDA-E747-4BC7-AB8F-373F7BC264E9}"/>
    <cellStyle name="Accent2 3 2" xfId="856" xr:uid="{4BF94D06-D498-4718-B103-EE05984DDDAA}"/>
    <cellStyle name="Accent2 3_Clear BS" xfId="857" xr:uid="{6D108B6B-6387-4607-B60C-865F19A3C6A3}"/>
    <cellStyle name="Accent2 4" xfId="858" xr:uid="{941FDD7F-6D40-4F49-8927-EE99FDB17245}"/>
    <cellStyle name="Accent2 4 2" xfId="859" xr:uid="{5B897D6C-862E-439E-9596-BC477C470FB7}"/>
    <cellStyle name="Accent2 4_Clear BS" xfId="860" xr:uid="{95A4B130-8E26-4523-A349-A66B3A8F219E}"/>
    <cellStyle name="Accent2 5" xfId="861" xr:uid="{9CA18736-DB42-4AD1-ADD7-1440CA18258E}"/>
    <cellStyle name="Accent2 5 2" xfId="862" xr:uid="{83FD078E-3CAC-48E0-AF60-64F5F22314C0}"/>
    <cellStyle name="Accent2 5_Clear BS" xfId="863" xr:uid="{995A38F0-0089-4FCC-93E5-479D611239F2}"/>
    <cellStyle name="Accent2 6" xfId="864" xr:uid="{A5510D46-4A2C-430B-9AA7-6B7F8C9EE373}"/>
    <cellStyle name="Accent2 7" xfId="865" xr:uid="{F25D5150-AFA7-4029-8B4A-21D2FF4E1B68}"/>
    <cellStyle name="Accent2 7 2" xfId="866" xr:uid="{29A48B0F-82B8-43CC-A92E-6F062B8939E6}"/>
    <cellStyle name="Accent2 8" xfId="867" xr:uid="{741F92FE-9EC1-4B8D-BB2A-91B27EFA72D1}"/>
    <cellStyle name="Accent2 8 2" xfId="868" xr:uid="{EB17D31B-ED51-4402-B5BA-1DFD4FE56400}"/>
    <cellStyle name="Accent2 8 3" xfId="869" xr:uid="{82CB9DB9-6B9A-48FD-865E-AA8B52F9A539}"/>
    <cellStyle name="Accent2 8_2013" xfId="870" xr:uid="{519544A2-8250-40D3-B121-B83769FDFB54}"/>
    <cellStyle name="Accent2 9" xfId="871" xr:uid="{BCAACE22-D559-438E-AE8E-1879B934C8B5}"/>
    <cellStyle name="Accent2 9 2" xfId="872" xr:uid="{5BCE9B35-B370-496C-A51C-6625FC699CB1}"/>
    <cellStyle name="Accent2 9 3" xfId="873" xr:uid="{594493D4-D407-4378-833A-7944ACEFCD99}"/>
    <cellStyle name="Accent2 9_2013" xfId="874" xr:uid="{64D3D1B6-55CD-4D40-884B-48D004ECB059}"/>
    <cellStyle name="Accent3 - 20%" xfId="875" xr:uid="{30C88EDF-E1A9-4852-9215-21415C0E7DC2}"/>
    <cellStyle name="Accent3 - 40%" xfId="876" xr:uid="{2FCF199E-CECB-4F01-A173-9C16FE3FDEBA}"/>
    <cellStyle name="Accent3 - 60%" xfId="877" xr:uid="{97DC3227-246F-43B1-88A2-118C69C38E9C}"/>
    <cellStyle name="Accent3 10" xfId="878" xr:uid="{F6E15D53-7E7C-4C0B-9EE6-7B61791380C4}"/>
    <cellStyle name="Accent3 11" xfId="879" xr:uid="{69164A9D-88F5-400B-9DB5-FEAE74F4AAE5}"/>
    <cellStyle name="Accent3 12" xfId="880" xr:uid="{97EDD661-E742-409A-AD73-F02B8E31C91C}"/>
    <cellStyle name="Accent3 13" xfId="881" xr:uid="{0786A4BF-6433-42F9-9531-6AC7D2C521AA}"/>
    <cellStyle name="Accent3 14" xfId="882" xr:uid="{878151C1-FE51-4013-9368-5394C8F53B44}"/>
    <cellStyle name="Accent3 15" xfId="883" xr:uid="{7317E6FA-1952-400D-87BB-44996784D1B9}"/>
    <cellStyle name="Accent3 15 2" xfId="884" xr:uid="{766EE7A3-7BB6-4E1B-BF40-14954AEA229B}"/>
    <cellStyle name="Accent3 15_Menu" xfId="885" xr:uid="{7F68330E-BDC7-4BE1-AC00-FE2A39BDB193}"/>
    <cellStyle name="Accent3 16" xfId="886" xr:uid="{072C576E-6C20-429E-99C9-23BDB82F46DF}"/>
    <cellStyle name="Accent3 16 2" xfId="887" xr:uid="{1C055D1F-6E37-409C-A327-FAF2EA0739C3}"/>
    <cellStyle name="Accent3 16_Menu" xfId="888" xr:uid="{CC666892-85A9-4FD8-819E-70FED83D611C}"/>
    <cellStyle name="Accent3 17" xfId="889" xr:uid="{57FC5183-3FC9-4B15-912C-7DB6ED0D5483}"/>
    <cellStyle name="Accent3 17 2" xfId="890" xr:uid="{974A122C-8365-4CB2-9BF7-E5674A2156DE}"/>
    <cellStyle name="Accent3 17_Menu" xfId="891" xr:uid="{D28C2542-E500-4DC1-9BB4-11BA7F5326AC}"/>
    <cellStyle name="Accent3 18" xfId="892" xr:uid="{F9933DA6-D432-40FA-AD79-807112A88BEE}"/>
    <cellStyle name="Accent3 18 2" xfId="893" xr:uid="{F09BA3FF-CC43-4715-A994-AD784E408DB1}"/>
    <cellStyle name="Accent3 18_Menu" xfId="894" xr:uid="{0CE0AC3A-EE2C-42B9-AC80-1CF392E17D58}"/>
    <cellStyle name="Accent3 19" xfId="895" xr:uid="{E52D4902-3AF7-41D4-9E69-C45404B6A91B}"/>
    <cellStyle name="Accent3 2" xfId="896" xr:uid="{5EB7967E-DDCA-4533-AE13-ED883517F8C6}"/>
    <cellStyle name="Accent3 2 2" xfId="897" xr:uid="{464F19CE-CB87-441A-9A6F-524FCE80AE90}"/>
    <cellStyle name="Accent3 2 2 2" xfId="898" xr:uid="{DEABA8F8-E2FF-485C-913D-27E2F3C44CAB}"/>
    <cellStyle name="Accent3 2 2_Menu" xfId="899" xr:uid="{0922196C-0025-48BC-A11E-49510E1C4D0F}"/>
    <cellStyle name="Accent3 2 3" xfId="900" xr:uid="{41098941-1DB1-486A-93A3-96D7C9B8AD7F}"/>
    <cellStyle name="Accent3 2 3 2" xfId="901" xr:uid="{15682568-E0A0-44AC-9CBB-C70FCCD2E9BC}"/>
    <cellStyle name="Accent3 2 3_Menu" xfId="902" xr:uid="{C5FCC9D4-6FE2-4ACA-9F18-72EEAE0B2212}"/>
    <cellStyle name="Accent3 2 4" xfId="903" xr:uid="{51AD486F-6004-4646-A505-34EDA38D2D5E}"/>
    <cellStyle name="Accent3 2 5" xfId="904" xr:uid="{963FEE5E-B316-471E-9F11-2D06591579CE}"/>
    <cellStyle name="Accent3 2_2013" xfId="905" xr:uid="{2F27FAA8-F236-4560-8142-5800F565B18E}"/>
    <cellStyle name="Accent3 20" xfId="906" xr:uid="{659A1F65-F77C-473A-A01B-9C917C0F0EB6}"/>
    <cellStyle name="Accent3 21" xfId="907" xr:uid="{F50919C7-1DBB-46AB-943D-7ED66663F1B7}"/>
    <cellStyle name="Accent3 22" xfId="908" xr:uid="{616C0CA4-820C-4113-B2EE-B7050F67BF77}"/>
    <cellStyle name="Accent3 23" xfId="909" xr:uid="{CEF53B99-A809-4C40-AC1C-FEED50C00E00}"/>
    <cellStyle name="Accent3 3" xfId="910" xr:uid="{1F8E7060-2229-45A1-BB3A-BE61A641DCAE}"/>
    <cellStyle name="Accent3 3 2" xfId="911" xr:uid="{9C82232B-46D1-4239-BF15-7E032E8BD5A7}"/>
    <cellStyle name="Accent3 3_Clear BS" xfId="912" xr:uid="{CEECD0AB-F712-45F4-8B55-A5891777B7CE}"/>
    <cellStyle name="Accent3 4" xfId="913" xr:uid="{AA248CDF-CE1E-4506-93C0-2237BFD7FAF9}"/>
    <cellStyle name="Accent3 4 2" xfId="914" xr:uid="{D09A762B-6ABF-4C0E-BE0C-9B3FE9B1E08D}"/>
    <cellStyle name="Accent3 4_Clear BS" xfId="915" xr:uid="{1AE8B6FB-E2B3-417C-9E08-D8C32F4D7790}"/>
    <cellStyle name="Accent3 5" xfId="916" xr:uid="{B41515ED-2E4A-45FF-A18F-833ABB23CFA4}"/>
    <cellStyle name="Accent3 5 2" xfId="917" xr:uid="{ED405F37-BAF6-41F8-B8AF-74136971CF0A}"/>
    <cellStyle name="Accent3 5_Clear BS" xfId="918" xr:uid="{789B34E4-2FDE-4A9D-8A34-1243EFB57040}"/>
    <cellStyle name="Accent3 6" xfId="919" xr:uid="{340DF03E-5E59-42E9-9417-F6B489912138}"/>
    <cellStyle name="Accent3 7" xfId="920" xr:uid="{BE878135-0DB4-421A-81F1-FF826B8A57AC}"/>
    <cellStyle name="Accent3 7 2" xfId="921" xr:uid="{1BD50D13-3EB1-431E-9934-DEC18007E924}"/>
    <cellStyle name="Accent3 8" xfId="922" xr:uid="{01377F74-598F-4CE0-B320-56DFA4407FC6}"/>
    <cellStyle name="Accent3 8 2" xfId="923" xr:uid="{63349BCB-1343-4E7A-8B34-617A3E94D936}"/>
    <cellStyle name="Accent3 8 3" xfId="924" xr:uid="{DCFFA3F3-9C2A-4FB8-8672-FD4A8001CEE8}"/>
    <cellStyle name="Accent3 8_2013" xfId="925" xr:uid="{36A7B45F-8CB5-483B-A7BC-6AC5E15FDBD6}"/>
    <cellStyle name="Accent3 9" xfId="926" xr:uid="{BABB125F-92EE-45D2-BDE4-B6474A5A9452}"/>
    <cellStyle name="Accent3 9 2" xfId="927" xr:uid="{C5BFD132-DFCF-4D7E-94BE-D9298B40CFFE}"/>
    <cellStyle name="Accent3 9 3" xfId="928" xr:uid="{F5794BA4-C812-45DB-BB15-0E41A16B06E6}"/>
    <cellStyle name="Accent3 9_2013" xfId="929" xr:uid="{DB6239A9-C063-4157-AD75-01F006DD071E}"/>
    <cellStyle name="Accent4 - 20%" xfId="930" xr:uid="{C238EBAF-D109-45CB-8F20-DA1A7E90BCE2}"/>
    <cellStyle name="Accent4 - 40%" xfId="931" xr:uid="{8D62782A-E312-4171-A832-604EB54C5EE3}"/>
    <cellStyle name="Accent4 - 60%" xfId="932" xr:uid="{150D9F3D-4947-4ADD-88D8-AFA099659B24}"/>
    <cellStyle name="Accent4 10" xfId="933" xr:uid="{9C189864-0EDD-4D80-A2DB-D018092DE6CB}"/>
    <cellStyle name="Accent4 11" xfId="934" xr:uid="{3D842EC7-3B8B-4FC1-BF4D-DA0969A1963F}"/>
    <cellStyle name="Accent4 12" xfId="935" xr:uid="{B09C173D-EF9E-40F5-8ECE-33FE514B1532}"/>
    <cellStyle name="Accent4 13" xfId="936" xr:uid="{8EA46A8D-248D-4745-950C-1ECAD77FCAC4}"/>
    <cellStyle name="Accent4 14" xfId="937" xr:uid="{EB2E2785-31D4-453E-86AB-623B445519DE}"/>
    <cellStyle name="Accent4 15" xfId="938" xr:uid="{7C37056D-D425-40CB-A56F-C0F620979DEF}"/>
    <cellStyle name="Accent4 15 2" xfId="939" xr:uid="{E0D438AA-B9CF-4209-ABD3-AC5C4418F5D9}"/>
    <cellStyle name="Accent4 15_Menu" xfId="940" xr:uid="{AB2255CC-77DD-4D4B-AF23-13987A8B608B}"/>
    <cellStyle name="Accent4 16" xfId="941" xr:uid="{A282B2E7-3E90-4233-8E00-D1C6C0B54D9A}"/>
    <cellStyle name="Accent4 16 2" xfId="942" xr:uid="{C3583DEF-2659-4F02-B918-1488BB8C4E79}"/>
    <cellStyle name="Accent4 16_Menu" xfId="943" xr:uid="{FE18F238-3FDB-4C74-AADA-929916C421E9}"/>
    <cellStyle name="Accent4 17" xfId="944" xr:uid="{219CD926-7CC8-48EE-8CA2-3AEDC1C49999}"/>
    <cellStyle name="Accent4 17 2" xfId="945" xr:uid="{541F82FD-EC1C-4387-8A8C-C92714A32499}"/>
    <cellStyle name="Accent4 17_Menu" xfId="946" xr:uid="{B1136214-D2BB-4A4E-AADD-A222736A0798}"/>
    <cellStyle name="Accent4 18" xfId="947" xr:uid="{9C877FD4-4D45-42F2-A041-AF0BED3606F3}"/>
    <cellStyle name="Accent4 18 2" xfId="948" xr:uid="{EA82604C-79CF-4BDA-B12D-EAE2D72098E6}"/>
    <cellStyle name="Accent4 18_Menu" xfId="949" xr:uid="{9010D66D-9243-47BC-9B34-9540EFB64295}"/>
    <cellStyle name="Accent4 19" xfId="950" xr:uid="{45387AC7-F1C9-43A3-A284-4A50BCAB30B5}"/>
    <cellStyle name="Accent4 2" xfId="951" xr:uid="{77D648A6-81B9-4F70-81CB-0644A458F0CF}"/>
    <cellStyle name="Accent4 2 2" xfId="952" xr:uid="{2C22DD74-CC46-4156-B0A7-972DBFC68341}"/>
    <cellStyle name="Accent4 2 2 2" xfId="953" xr:uid="{9242FA6A-6F33-46D0-AE3D-8A3D399C84E1}"/>
    <cellStyle name="Accent4 2 2_Menu" xfId="954" xr:uid="{D9E0B202-66D2-4821-8FB4-DC936037C26E}"/>
    <cellStyle name="Accent4 2 3" xfId="955" xr:uid="{87CBB9A6-0B08-451F-A5A9-42DA45EA27DC}"/>
    <cellStyle name="Accent4 2 3 2" xfId="956" xr:uid="{94AD7D65-C75A-4123-9157-E7A7A6CF8622}"/>
    <cellStyle name="Accent4 2 3_Menu" xfId="957" xr:uid="{5989A84B-88B3-4042-B712-274CA6BC1426}"/>
    <cellStyle name="Accent4 2 4" xfId="958" xr:uid="{DEB76476-B4F1-443D-84AE-2F0227D9668A}"/>
    <cellStyle name="Accent4 2 5" xfId="959" xr:uid="{7675DCB5-4EF2-4F58-9365-8A6F3952B2D2}"/>
    <cellStyle name="Accent4 2_2013" xfId="960" xr:uid="{3A4B8CBC-7AE7-4416-9D39-2569C75DB3C7}"/>
    <cellStyle name="Accent4 20" xfId="961" xr:uid="{F6E055CD-1C09-47BF-9CDE-92328F0FF0C4}"/>
    <cellStyle name="Accent4 21" xfId="962" xr:uid="{ACBEBF96-5EB6-4A48-AD7A-77BA22C040AC}"/>
    <cellStyle name="Accent4 22" xfId="963" xr:uid="{B559F4D1-24EB-43D3-9D8F-6461F7536C6C}"/>
    <cellStyle name="Accent4 23" xfId="964" xr:uid="{506E3D4C-F0FA-49CE-BE63-823A3F001D08}"/>
    <cellStyle name="Accent4 3" xfId="965" xr:uid="{B344E0B2-D1A4-40E7-9E18-F381C06313FD}"/>
    <cellStyle name="Accent4 3 2" xfId="966" xr:uid="{84C0380F-8889-4CD9-B1EF-34D20E750DCE}"/>
    <cellStyle name="Accent4 3_Clear BS" xfId="967" xr:uid="{D1F6F311-1BC5-4B21-BECF-3B7E0F1313D0}"/>
    <cellStyle name="Accent4 4" xfId="968" xr:uid="{C3A26D44-664A-4896-9653-06C1657B2B50}"/>
    <cellStyle name="Accent4 4 2" xfId="969" xr:uid="{482E33C5-3D4B-4325-8FBB-1204185A4904}"/>
    <cellStyle name="Accent4 4_Clear BS" xfId="970" xr:uid="{02ABD23F-6C62-4DD7-884C-1B216B8DC3AC}"/>
    <cellStyle name="Accent4 5" xfId="971" xr:uid="{F882DD6F-C9E0-4F63-B994-2BAE3FAC0973}"/>
    <cellStyle name="Accent4 5 2" xfId="972" xr:uid="{3450D49A-1F7B-462F-87B1-74C2A884BC99}"/>
    <cellStyle name="Accent4 5_Clear BS" xfId="973" xr:uid="{FD01A111-7B0F-4629-BA03-698F9BB32694}"/>
    <cellStyle name="Accent4 6" xfId="974" xr:uid="{EE70E93C-A63D-4780-9FAB-2C91DFA02353}"/>
    <cellStyle name="Accent4 7" xfId="975" xr:uid="{83CE75FE-E312-4650-8675-0D460460299C}"/>
    <cellStyle name="Accent4 7 2" xfId="976" xr:uid="{37BEE6EF-8373-45BF-BF1A-80BA4020457C}"/>
    <cellStyle name="Accent4 8" xfId="977" xr:uid="{DDD4DBD3-E681-419E-9A43-33EDBFB1C42F}"/>
    <cellStyle name="Accent4 8 2" xfId="978" xr:uid="{F96E39D8-681E-468C-8FA2-5AF635B27921}"/>
    <cellStyle name="Accent4 8 3" xfId="979" xr:uid="{B2EADB0C-25A0-4DC6-8229-9BBFEE3072CB}"/>
    <cellStyle name="Accent4 8_2013" xfId="980" xr:uid="{2B5AE4EA-12E8-43D4-A8D2-42DA1D2208E8}"/>
    <cellStyle name="Accent4 9" xfId="981" xr:uid="{8F25F4C6-21FF-4037-863A-38BD31C1EB51}"/>
    <cellStyle name="Accent4 9 2" xfId="982" xr:uid="{857EEDF5-1D39-4694-BADF-6D80E6754915}"/>
    <cellStyle name="Accent4 9 3" xfId="983" xr:uid="{BA2E7B83-7DB3-4459-B559-F9A210F1BADE}"/>
    <cellStyle name="Accent4 9_2013" xfId="984" xr:uid="{7B1395D5-033B-41DB-967C-A1B36DD4A586}"/>
    <cellStyle name="Accent5 - 20%" xfId="985" xr:uid="{75798746-D696-4117-9703-A983CC1825F0}"/>
    <cellStyle name="Accent5 - 40%" xfId="986" xr:uid="{23D65487-FCBE-49DE-B32C-35B9CEC24F73}"/>
    <cellStyle name="Accent5 - 60%" xfId="987" xr:uid="{9420C900-ECD1-494D-9D31-AF5B295E3B1D}"/>
    <cellStyle name="Accent5 10" xfId="988" xr:uid="{73A9EB5E-6AF8-42CA-8C49-3D29CF730815}"/>
    <cellStyle name="Accent5 11" xfId="989" xr:uid="{E1965B1B-A1B5-412E-94B2-CED341E486F2}"/>
    <cellStyle name="Accent5 12" xfId="990" xr:uid="{BC91F849-11E4-4447-A17D-6FEC8F8DD183}"/>
    <cellStyle name="Accent5 13" xfId="991" xr:uid="{B37B1CA4-38AC-46AD-AFAC-720B663B8206}"/>
    <cellStyle name="Accent5 14" xfId="992" xr:uid="{9347D7CA-2D39-49BC-BF9F-0F7861B12F42}"/>
    <cellStyle name="Accent5 15" xfId="993" xr:uid="{28D40DE0-316A-4349-AE0B-11A240C7EA75}"/>
    <cellStyle name="Accent5 15 2" xfId="994" xr:uid="{331E0535-E0B3-493B-A3CA-E5E53405109A}"/>
    <cellStyle name="Accent5 15_Menu" xfId="995" xr:uid="{0BD5423A-BBCC-4A7F-88D0-E1CEC198B00F}"/>
    <cellStyle name="Accent5 16" xfId="996" xr:uid="{3391367B-54DE-405F-97A1-5E13CCC06396}"/>
    <cellStyle name="Accent5 16 2" xfId="997" xr:uid="{9384D2CA-58A2-42DA-BE1D-0890C0FF7CE4}"/>
    <cellStyle name="Accent5 16_Menu" xfId="998" xr:uid="{D9D79C11-4EF3-4C3D-BB50-EA46FCE0E02B}"/>
    <cellStyle name="Accent5 17" xfId="999" xr:uid="{D44BF688-852B-4AA8-9F67-227A18BD6EC2}"/>
    <cellStyle name="Accent5 17 2" xfId="1000" xr:uid="{309F5714-B640-4486-8EEA-40ED9B1AAFEC}"/>
    <cellStyle name="Accent5 17_Menu" xfId="1001" xr:uid="{29206A1B-0CD6-48D5-BCAA-75E3B2DBE7F1}"/>
    <cellStyle name="Accent5 18" xfId="1002" xr:uid="{7D7BB92D-DA9F-40D7-A9BA-E6D1D230C373}"/>
    <cellStyle name="Accent5 18 2" xfId="1003" xr:uid="{8A7646EA-24FA-43D4-BBE6-4677F28A2DF1}"/>
    <cellStyle name="Accent5 18_Menu" xfId="1004" xr:uid="{B696A9F1-719F-4373-90B0-142D4F9973EA}"/>
    <cellStyle name="Accent5 19" xfId="1005" xr:uid="{CFCC3EBA-6BA2-488E-9B49-187B440F3940}"/>
    <cellStyle name="Accent5 2" xfId="1006" xr:uid="{6F21207D-A227-47AC-805B-679699CCEF26}"/>
    <cellStyle name="Accent5 2 2" xfId="1007" xr:uid="{B5D46DAA-3E50-42BF-927B-267B38FD1605}"/>
    <cellStyle name="Accent5 2 2 2" xfId="1008" xr:uid="{35FD5118-2E31-4163-B26D-E749F58E9ABC}"/>
    <cellStyle name="Accent5 2 2_Menu" xfId="1009" xr:uid="{2A252466-0796-4577-9A97-411A8E727913}"/>
    <cellStyle name="Accent5 2 3" xfId="1010" xr:uid="{CFFBF4F0-062F-4AFC-B726-6AA623B9642A}"/>
    <cellStyle name="Accent5 2 3 2" xfId="1011" xr:uid="{E4BFC4F1-3025-432B-B199-E90FB8E884E2}"/>
    <cellStyle name="Accent5 2 3_Menu" xfId="1012" xr:uid="{7C932DF7-9C18-4451-8093-6F8C0E19538F}"/>
    <cellStyle name="Accent5 2 4" xfId="1013" xr:uid="{C8896A8D-E3F2-41E1-A0F1-F3DC0477BF82}"/>
    <cellStyle name="Accent5 2 5" xfId="1014" xr:uid="{FE331617-7AA7-471C-9CB9-A3D83E72A2F4}"/>
    <cellStyle name="Accent5 2_2013" xfId="1015" xr:uid="{FFDD479A-D2F2-40B4-924A-5F17F0334279}"/>
    <cellStyle name="Accent5 20" xfId="1016" xr:uid="{FA080CD7-4670-48D8-BAFB-9D9715ED621A}"/>
    <cellStyle name="Accent5 21" xfId="1017" xr:uid="{8649AE7B-6533-4FB4-96E1-B423005EB278}"/>
    <cellStyle name="Accent5 22" xfId="1018" xr:uid="{41E1CD4C-80B5-41FB-AF93-BD34BF57A057}"/>
    <cellStyle name="Accent5 23" xfId="1019" xr:uid="{D1D1F463-848C-4DFF-B9AF-A9E594E8C39A}"/>
    <cellStyle name="Accent5 3" xfId="1020" xr:uid="{ADA449F8-785B-4627-AAEE-4D07703499CB}"/>
    <cellStyle name="Accent5 3 2" xfId="1021" xr:uid="{E46C5193-8CDD-4C1C-9C36-F7A0D1D2D0DA}"/>
    <cellStyle name="Accent5 3_Clear BS" xfId="1022" xr:uid="{415D7F43-7FEE-4C14-ACFE-84A446C46A67}"/>
    <cellStyle name="Accent5 4" xfId="1023" xr:uid="{C398DDDC-1926-45D7-B810-4CFCBB5D3B54}"/>
    <cellStyle name="Accent5 4 2" xfId="1024" xr:uid="{229EB682-9849-4410-9DB1-8925CB59FCC2}"/>
    <cellStyle name="Accent5 4_Clear BS" xfId="1025" xr:uid="{8675953B-23AD-4652-B016-D8DB6845BABB}"/>
    <cellStyle name="Accent5 5" xfId="1026" xr:uid="{1700187B-6AF3-4E24-8C65-CA77379EB66D}"/>
    <cellStyle name="Accent5 5 2" xfId="1027" xr:uid="{2732DE41-90F8-4C5E-AE7F-511E84D5093E}"/>
    <cellStyle name="Accent5 5_Clear BS" xfId="1028" xr:uid="{5B23EE35-B737-4C30-B138-78877317A8E8}"/>
    <cellStyle name="Accent5 6" xfId="1029" xr:uid="{0B53A056-DF68-4E0E-917F-82AE9574A095}"/>
    <cellStyle name="Accent5 7" xfId="1030" xr:uid="{2778076F-DF05-40EB-908D-324A95AF7008}"/>
    <cellStyle name="Accent5 7 2" xfId="1031" xr:uid="{24185AC7-1BFB-437A-929E-E9D5EFFB96F8}"/>
    <cellStyle name="Accent5 8" xfId="1032" xr:uid="{EE082F4B-C513-4007-9F7B-673D5A84DC90}"/>
    <cellStyle name="Accent5 8 2" xfId="1033" xr:uid="{DF1D4B9D-4F72-4E2D-B8C6-59BBE802A87E}"/>
    <cellStyle name="Accent5 8 3" xfId="1034" xr:uid="{E7A1E4B6-F607-41B7-B577-EDA4733907B4}"/>
    <cellStyle name="Accent5 8_2013" xfId="1035" xr:uid="{45D54139-A073-4873-8AA9-07AC58856C29}"/>
    <cellStyle name="Accent5 9" xfId="1036" xr:uid="{740E0AA8-A3CA-48B9-AE26-66A597A6800C}"/>
    <cellStyle name="Accent5 9 2" xfId="1037" xr:uid="{948AA8F9-F8FE-4A4C-B0AC-6B4BA08F89F0}"/>
    <cellStyle name="Accent5 9 3" xfId="1038" xr:uid="{27EC7EFF-CDBD-4EF7-A080-3A890E7A74C6}"/>
    <cellStyle name="Accent5 9_2013" xfId="1039" xr:uid="{200EBBBA-576D-43F9-8A45-9EC60A13D62E}"/>
    <cellStyle name="Accent6 - 20%" xfId="1040" xr:uid="{5BCE4A6E-54AF-4DD2-AFAE-504CB66B0597}"/>
    <cellStyle name="Accent6 - 40%" xfId="1041" xr:uid="{0110D6C6-37F5-4FFB-9EF2-09B7986ADE51}"/>
    <cellStyle name="Accent6 - 60%" xfId="1042" xr:uid="{A609F767-604E-4D37-9674-2A6CAA6CAAEC}"/>
    <cellStyle name="Accent6 10" xfId="1043" xr:uid="{C280747D-C7AE-461E-BF1C-85E00A613A67}"/>
    <cellStyle name="Accent6 11" xfId="1044" xr:uid="{7ABE9461-2E49-4230-9C31-BC5C62813AEC}"/>
    <cellStyle name="Accent6 12" xfId="1045" xr:uid="{BC803C73-104A-4746-B700-D888FC12F673}"/>
    <cellStyle name="Accent6 13" xfId="1046" xr:uid="{478BA398-826A-4AAB-B907-D7A8E09276DF}"/>
    <cellStyle name="Accent6 14" xfId="1047" xr:uid="{4BCC530A-577A-463F-88C1-281053BAC4A5}"/>
    <cellStyle name="Accent6 15" xfId="1048" xr:uid="{E74C6058-3772-40D1-95E4-62E80455CB82}"/>
    <cellStyle name="Accent6 15 2" xfId="1049" xr:uid="{D3B9C8CA-C017-4809-B369-A28E1440CB47}"/>
    <cellStyle name="Accent6 15_Menu" xfId="1050" xr:uid="{4A693E85-AF6D-4415-9213-442FED4763D5}"/>
    <cellStyle name="Accent6 16" xfId="1051" xr:uid="{732A223D-F9F6-4E91-BB30-7156C90A75DD}"/>
    <cellStyle name="Accent6 16 2" xfId="1052" xr:uid="{AB7464F9-258F-46C0-92D4-9E9D16D8E61B}"/>
    <cellStyle name="Accent6 16_Menu" xfId="1053" xr:uid="{6E822382-5A6F-4871-B7C1-02D04E659811}"/>
    <cellStyle name="Accent6 17" xfId="1054" xr:uid="{201D6CA9-0E09-47DE-9BB7-E39585AFE9DF}"/>
    <cellStyle name="Accent6 17 2" xfId="1055" xr:uid="{391A5EDA-9604-4B57-B60F-F8F87B806FBE}"/>
    <cellStyle name="Accent6 17_Menu" xfId="1056" xr:uid="{5F3A3588-489D-44BF-9FDA-2B98B87C4869}"/>
    <cellStyle name="Accent6 18" xfId="1057" xr:uid="{2AC878C4-B41B-44B6-B0C5-E43A3BE51F60}"/>
    <cellStyle name="Accent6 18 2" xfId="1058" xr:uid="{94A8D370-28E4-49A6-8457-1CA319AC0DFC}"/>
    <cellStyle name="Accent6 18_Menu" xfId="1059" xr:uid="{48ED01AA-E6D4-4C11-9C3D-BF3F5FC34125}"/>
    <cellStyle name="Accent6 19" xfId="1060" xr:uid="{7F613AE1-B055-4BF5-8ACE-9C5419F202E4}"/>
    <cellStyle name="Accent6 2" xfId="1061" xr:uid="{E0A141D9-9CEA-4EE8-9DA7-37ABE9132530}"/>
    <cellStyle name="Accent6 2 2" xfId="1062" xr:uid="{40206B81-E68E-4CBB-B69E-C12EDAB7352B}"/>
    <cellStyle name="Accent6 2 2 2" xfId="1063" xr:uid="{A5685249-CD89-4693-9B44-96EA35E60D31}"/>
    <cellStyle name="Accent6 2 2_Menu" xfId="1064" xr:uid="{B85D2B5A-1007-4E90-8967-53C194A1DE8A}"/>
    <cellStyle name="Accent6 2 3" xfId="1065" xr:uid="{AEF10654-0F25-434A-9D58-1681977D6B40}"/>
    <cellStyle name="Accent6 2 3 2" xfId="1066" xr:uid="{EB959BCB-0243-42F5-A03E-F2E7CABA92F0}"/>
    <cellStyle name="Accent6 2 3_Menu" xfId="1067" xr:uid="{4A38877F-4401-4744-92CB-C951035D33FB}"/>
    <cellStyle name="Accent6 2 4" xfId="1068" xr:uid="{6B3CB316-5D29-441F-83BC-1D83677C040D}"/>
    <cellStyle name="Accent6 2 5" xfId="1069" xr:uid="{7840C48C-3CC4-4CA1-A37E-5452052D0F29}"/>
    <cellStyle name="Accent6 2_2013" xfId="1070" xr:uid="{53B7F35D-77DC-4EE5-ACBA-EA3895AEE727}"/>
    <cellStyle name="Accent6 20" xfId="1071" xr:uid="{C47D7F0A-467C-4E02-9390-F218E4359A62}"/>
    <cellStyle name="Accent6 21" xfId="1072" xr:uid="{C05E4214-B443-4CA5-87C3-9793750661E2}"/>
    <cellStyle name="Accent6 22" xfId="1073" xr:uid="{3E28624D-2B65-4F0B-85DE-7D940E34926A}"/>
    <cellStyle name="Accent6 23" xfId="1074" xr:uid="{84601FC6-A131-4613-828B-66749A587B60}"/>
    <cellStyle name="Accent6 3" xfId="1075" xr:uid="{6FCF6E72-AA5B-49F2-AB2C-1BEA150EFE21}"/>
    <cellStyle name="Accent6 3 2" xfId="1076" xr:uid="{B44E087C-D421-451D-8183-8CBFA4562A9C}"/>
    <cellStyle name="Accent6 3_Clear BS" xfId="1077" xr:uid="{5FF72E24-C8D2-488C-90A9-C79E4041184B}"/>
    <cellStyle name="Accent6 4" xfId="1078" xr:uid="{9AF1F551-FF53-4079-9682-AF60070D25D0}"/>
    <cellStyle name="Accent6 4 2" xfId="1079" xr:uid="{87C4A97F-F607-4D2C-8DB3-BDBEF5A3C79D}"/>
    <cellStyle name="Accent6 4_Clear BS" xfId="1080" xr:uid="{D1D8DC9C-900A-4A81-983E-0BCF6ADE9B91}"/>
    <cellStyle name="Accent6 5" xfId="1081" xr:uid="{9183DA12-64AE-48A0-9012-9FC7DC370219}"/>
    <cellStyle name="Accent6 5 2" xfId="1082" xr:uid="{BE1775CB-65DC-43AE-81EF-E2B722D088F8}"/>
    <cellStyle name="Accent6 5_Clear BS" xfId="1083" xr:uid="{22B66F55-0DE2-4BEC-9EA7-517456E0E05A}"/>
    <cellStyle name="Accent6 6" xfId="1084" xr:uid="{21FEA30B-BB0B-48E8-A213-347903A783C7}"/>
    <cellStyle name="Accent6 7" xfId="1085" xr:uid="{7ADE7241-A637-4D64-8830-FC3996C01DF7}"/>
    <cellStyle name="Accent6 7 2" xfId="1086" xr:uid="{7100D06B-4B9E-408F-B7BE-2E89DED3D0E1}"/>
    <cellStyle name="Accent6 8" xfId="1087" xr:uid="{5E6834C6-D9BA-403F-80F6-8DC986918DCB}"/>
    <cellStyle name="Accent6 8 2" xfId="1088" xr:uid="{E5A57F98-BE26-4742-BEC6-4C5E0901DD39}"/>
    <cellStyle name="Accent6 8 3" xfId="1089" xr:uid="{4EAAE59F-3A1F-4568-AE64-0A918CE60F77}"/>
    <cellStyle name="Accent6 8_2013" xfId="1090" xr:uid="{548FEFE5-6DD8-4208-8B5B-C12C70B7DAEE}"/>
    <cellStyle name="Accent6 9" xfId="1091" xr:uid="{55352BE3-97A3-41DC-96A4-51EF38B892C9}"/>
    <cellStyle name="Accent6 9 2" xfId="1092" xr:uid="{0F15CCD5-C4C2-4589-81B5-3F3AA9E78017}"/>
    <cellStyle name="Accent6 9 3" xfId="1093" xr:uid="{E5622D7C-CBD2-4711-BDA6-001172BCFB4F}"/>
    <cellStyle name="Accent6 9_2013" xfId="1094" xr:uid="{B88D1FA5-5B4E-4B32-90FC-4766339340E9}"/>
    <cellStyle name="Aksentti1" xfId="1095" xr:uid="{1BCDEA01-5449-4A34-9754-4EF33EB3B8C7}"/>
    <cellStyle name="Aksentti1 2" xfId="1096" xr:uid="{05FCCC42-3887-4D86-8661-3F5F95B8C0F9}"/>
    <cellStyle name="Aksentti2" xfId="1097" xr:uid="{73655F7A-3E5C-4168-A36C-BB214DF628B7}"/>
    <cellStyle name="Aksentti2 2" xfId="1098" xr:uid="{714783C3-A1EE-40EB-86B7-5960AB68A8B0}"/>
    <cellStyle name="Aksentti3" xfId="1099" xr:uid="{8AA3EE46-4076-49F1-8ECE-480B5C41595A}"/>
    <cellStyle name="Aksentti3 2" xfId="1100" xr:uid="{F5356F2D-1D51-4F27-AEAF-664C79C0D8AF}"/>
    <cellStyle name="Aksentti4" xfId="1101" xr:uid="{E648F36E-9683-4498-97FC-7AD3B11F2F49}"/>
    <cellStyle name="Aksentti4 2" xfId="1102" xr:uid="{4F483B0F-F624-41C6-BADB-A649F6EAC71E}"/>
    <cellStyle name="Aksentti5" xfId="1103" xr:uid="{3B1484D4-50E6-4228-BA8A-7FD599C88D60}"/>
    <cellStyle name="Aksentti5 2" xfId="1104" xr:uid="{286F215F-6D31-4FE7-83FB-3ACB6A0909BA}"/>
    <cellStyle name="Aksentti6" xfId="1105" xr:uid="{AB4522C0-106C-46D8-A6F6-3A6D6B5D5589}"/>
    <cellStyle name="Aksentti6 2" xfId="1106" xr:uid="{46FD092E-24B1-4E71-BEC5-41489576C1E1}"/>
    <cellStyle name="Akzent1" xfId="1107" xr:uid="{1125D124-B040-4B7C-8A8F-40A89B5E2398}"/>
    <cellStyle name="Akzent1 2" xfId="1108" xr:uid="{C2B14751-C24F-4D61-AB2A-DF0DF71E7984}"/>
    <cellStyle name="Akzent2" xfId="1109" xr:uid="{4AF02995-A117-4B4F-9C2E-69D78B691677}"/>
    <cellStyle name="Akzent2 2" xfId="1110" xr:uid="{DBD0FC57-C3DE-4946-A29B-0D74DFB3B621}"/>
    <cellStyle name="Akzent3" xfId="1111" xr:uid="{7FCA167A-17F0-43A7-ACC7-C0353CC4F174}"/>
    <cellStyle name="Akzent3 2" xfId="1112" xr:uid="{E1EC760F-E5AE-48C0-925F-7479D9BD52C0}"/>
    <cellStyle name="Akzent4" xfId="1113" xr:uid="{E99368D3-8A35-428D-B7A7-D88BF18F3BB2}"/>
    <cellStyle name="Akzent4 2" xfId="1114" xr:uid="{694CE373-E78C-40B8-AB68-A4DCEBF0B484}"/>
    <cellStyle name="Akzent5" xfId="1115" xr:uid="{78C99317-8F80-47A7-A390-9A8F07BDD0A1}"/>
    <cellStyle name="Akzent5 2" xfId="1116" xr:uid="{097F2D90-23DC-4494-9048-C1F5F489856E}"/>
    <cellStyle name="Akzent6" xfId="1117" xr:uid="{313E78FC-8320-4088-A9ED-4448DA954FD5}"/>
    <cellStyle name="Akzent6 2" xfId="1118" xr:uid="{DDEC6D86-5543-4C2D-9DAA-777BF06E1F40}"/>
    <cellStyle name="Amount" xfId="1119" xr:uid="{EEE5CAF6-34FC-44B1-93C7-550B28319DB9}"/>
    <cellStyle name="Amount 2" xfId="1120" xr:uid="{7E2CC90D-EF97-4D16-BABA-6A296BA7CA3B}"/>
    <cellStyle name="Amount 2 2" xfId="1121" xr:uid="{87C9A507-257A-4356-97F2-CEF5458EF7EA}"/>
    <cellStyle name="Amount 3" xfId="1122" xr:uid="{5079D634-1F2B-42E7-A1D4-DCA8991E1961}"/>
    <cellStyle name="Amount 3 2" xfId="1123" xr:uid="{728B8D45-0A05-42A3-B9E6-DCB32F90B36D}"/>
    <cellStyle name="Amount 3 2 2" xfId="1124" xr:uid="{0CE485A4-FAA1-4B04-B18F-406692D68A68}"/>
    <cellStyle name="Amount 3 3" xfId="1125" xr:uid="{8015B118-4C23-4483-9AFB-67350EF53766}"/>
    <cellStyle name="Amount 4" xfId="1126" xr:uid="{53E2F4D5-61A4-41D0-B33F-61BA66F10D87}"/>
    <cellStyle name="Ausgabe" xfId="1127" xr:uid="{25EECB91-93EF-4098-AC12-72612BC3061C}"/>
    <cellStyle name="Ausgabe 10" xfId="1128" xr:uid="{3E959C29-42C6-4980-A16E-4F05C2492DC9}"/>
    <cellStyle name="Ausgabe 11" xfId="1129" xr:uid="{B40C87D1-A238-44B5-80FF-617F07534F57}"/>
    <cellStyle name="Ausgabe 12" xfId="1130" xr:uid="{7048DA13-5CEA-4612-AEA9-F58E55CE7C10}"/>
    <cellStyle name="Ausgabe 13" xfId="1131" xr:uid="{7641910F-5131-4BF8-B80D-E743F86D9398}"/>
    <cellStyle name="Ausgabe 14" xfId="1132" xr:uid="{205D5430-9AC8-4E0F-AF09-540737BCD95B}"/>
    <cellStyle name="Ausgabe 15" xfId="1133" xr:uid="{1ADA87E2-3123-4B96-99E6-308E0C95A7DD}"/>
    <cellStyle name="Ausgabe 16" xfId="1134" xr:uid="{14663587-2BAA-4205-9622-3AC191328F4C}"/>
    <cellStyle name="Ausgabe 17" xfId="1135" xr:uid="{CFB22827-A422-4429-BEE1-C340AB7C1AF1}"/>
    <cellStyle name="Ausgabe 18" xfId="1136" xr:uid="{89CE8B24-732E-46FF-9847-BA68D2BEB5FD}"/>
    <cellStyle name="Ausgabe 19" xfId="1137" xr:uid="{A3ECC1E7-8265-4C3E-BC59-C4E93D01A2ED}"/>
    <cellStyle name="Ausgabe 2" xfId="1138" xr:uid="{680A81F7-D7B7-4B6A-9712-B8FBA7157850}"/>
    <cellStyle name="Ausgabe 2 10" xfId="1139" xr:uid="{184E54F2-4660-4110-8131-7AD64A2FCC54}"/>
    <cellStyle name="Ausgabe 2 11" xfId="1140" xr:uid="{04C81D62-DB06-4D88-8AC2-609C3AA67BC6}"/>
    <cellStyle name="Ausgabe 2 12" xfId="1141" xr:uid="{3B89DDEC-AD56-4F8E-992D-65570D4E75DC}"/>
    <cellStyle name="Ausgabe 2 13" xfId="1142" xr:uid="{82507FF5-2C00-468A-A61D-994C4118FA1B}"/>
    <cellStyle name="Ausgabe 2 14" xfId="1143" xr:uid="{9CF38707-7207-4924-BB54-AFCD77385533}"/>
    <cellStyle name="Ausgabe 2 15" xfId="1144" xr:uid="{9443FA73-7916-4003-A0EB-C5AB8F7D7303}"/>
    <cellStyle name="Ausgabe 2 16" xfId="1145" xr:uid="{5D846E05-6D76-48FB-89ED-623D1E8B7CDC}"/>
    <cellStyle name="Ausgabe 2 17" xfId="1146" xr:uid="{5FAEA269-B8F2-4C77-B6D0-465A9CA8FA98}"/>
    <cellStyle name="Ausgabe 2 18" xfId="1147" xr:uid="{B91DDF2F-8314-4C89-9DE6-71372E14B767}"/>
    <cellStyle name="Ausgabe 2 19" xfId="1148" xr:uid="{05E7D724-F881-4663-A7CC-CB23FEEF7A1D}"/>
    <cellStyle name="Ausgabe 2 2" xfId="1149" xr:uid="{0D0834D8-598F-4040-9B57-0AAFF39C011F}"/>
    <cellStyle name="Ausgabe 2 2 10" xfId="1150" xr:uid="{3C82422E-6145-44A3-B6B1-391473319E1B}"/>
    <cellStyle name="Ausgabe 2 2 11" xfId="1151" xr:uid="{2EE7DDE0-EA92-4F58-A917-AAC115DBD1CC}"/>
    <cellStyle name="Ausgabe 2 2 12" xfId="1152" xr:uid="{D2C0D7B4-D566-4B25-A31F-3F914F2FCA07}"/>
    <cellStyle name="Ausgabe 2 2 13" xfId="1153" xr:uid="{C6944343-FD7E-4CB1-AA22-58B275295D94}"/>
    <cellStyle name="Ausgabe 2 2 14" xfId="1154" xr:uid="{677E87BE-6B8D-4CCE-849F-FB5FD69C5F07}"/>
    <cellStyle name="Ausgabe 2 2 15" xfId="1155" xr:uid="{96C2CA52-8EF0-450A-8A32-193BF210B47A}"/>
    <cellStyle name="Ausgabe 2 2 16" xfId="1156" xr:uid="{BBE71F58-DAD7-46E9-97A4-3ACBFD5D153D}"/>
    <cellStyle name="Ausgabe 2 2 17" xfId="1157" xr:uid="{9E1CCCDC-3BA7-4253-BDBA-39BE07C2FF57}"/>
    <cellStyle name="Ausgabe 2 2 18" xfId="1158" xr:uid="{1FE0CC9E-35B3-4C95-A985-672E8DDB7D26}"/>
    <cellStyle name="Ausgabe 2 2 19" xfId="1159" xr:uid="{ED068F3F-C7D3-4203-B948-17D9D033CBDF}"/>
    <cellStyle name="Ausgabe 2 2 2" xfId="1160" xr:uid="{9A85A172-35D2-4BF9-B774-0AE533FFDD0A}"/>
    <cellStyle name="Ausgabe 2 2 2 10" xfId="1161" xr:uid="{E41A23B3-6E44-48D4-BFAA-F7EBF4FD0383}"/>
    <cellStyle name="Ausgabe 2 2 2 11" xfId="1162" xr:uid="{D4B5C432-0710-4D58-8FF1-A70A9DE233EE}"/>
    <cellStyle name="Ausgabe 2 2 2 12" xfId="1163" xr:uid="{DCE5DC72-3406-4AEA-9F89-B50F75A9764A}"/>
    <cellStyle name="Ausgabe 2 2 2 13" xfId="1164" xr:uid="{B9FBB50E-CF3C-4243-9158-5CECDAFBE1AC}"/>
    <cellStyle name="Ausgabe 2 2 2 14" xfId="1165" xr:uid="{7AFC036C-49C3-451B-BEE8-B2F7F4632B95}"/>
    <cellStyle name="Ausgabe 2 2 2 15" xfId="1166" xr:uid="{42260B99-1F8A-498D-BACC-09A42105415F}"/>
    <cellStyle name="Ausgabe 2 2 2 16" xfId="1167" xr:uid="{D592C93C-ADD0-4F7C-8E04-6A24819A752E}"/>
    <cellStyle name="Ausgabe 2 2 2 17" xfId="1168" xr:uid="{BFFC2143-5072-421A-9B18-CDBB8C1C849C}"/>
    <cellStyle name="Ausgabe 2 2 2 18" xfId="1169" xr:uid="{AB0FBA14-EE02-4440-883B-5F93FEA65883}"/>
    <cellStyle name="Ausgabe 2 2 2 19" xfId="1170" xr:uid="{C900E485-6641-4E95-8E19-D7B5BF02D438}"/>
    <cellStyle name="Ausgabe 2 2 2 2" xfId="1171" xr:uid="{47128E17-17B6-463F-861D-F8DCB37066CF}"/>
    <cellStyle name="Ausgabe 2 2 2 2 10" xfId="1172" xr:uid="{3F330761-4CCA-445D-BFE4-BD1971CAB6CF}"/>
    <cellStyle name="Ausgabe 2 2 2 2 11" xfId="1173" xr:uid="{B75AB17D-BDA8-408F-A8BF-C7A2B71A7B02}"/>
    <cellStyle name="Ausgabe 2 2 2 2 12" xfId="1174" xr:uid="{0476B519-BCB7-4AFD-A5AC-2E2EF6A8AA81}"/>
    <cellStyle name="Ausgabe 2 2 2 2 13" xfId="1175" xr:uid="{CBEF4478-C435-4467-8616-870605B088F2}"/>
    <cellStyle name="Ausgabe 2 2 2 2 14" xfId="1176" xr:uid="{EFEBC8B4-229F-4207-88F8-0AC99EBA56F4}"/>
    <cellStyle name="Ausgabe 2 2 2 2 15" xfId="1177" xr:uid="{9759E150-DAFC-4D5C-8B40-4B0D4DAAD2B8}"/>
    <cellStyle name="Ausgabe 2 2 2 2 16" xfId="1178" xr:uid="{143268EC-2665-4A27-B98C-FA79966EE07F}"/>
    <cellStyle name="Ausgabe 2 2 2 2 17" xfId="1179" xr:uid="{7167C1C6-F023-43D2-8F9F-50E1357A704D}"/>
    <cellStyle name="Ausgabe 2 2 2 2 18" xfId="1180" xr:uid="{78B01281-A7AB-483F-AC15-0A523653D9E3}"/>
    <cellStyle name="Ausgabe 2 2 2 2 19" xfId="1181" xr:uid="{8E788442-D880-4AB6-9B35-2F001AA9CFD4}"/>
    <cellStyle name="Ausgabe 2 2 2 2 2" xfId="1182" xr:uid="{069B60C9-6406-41B1-BB46-7A4B475703D0}"/>
    <cellStyle name="Ausgabe 2 2 2 2 3" xfId="1183" xr:uid="{15810EF1-C798-42FF-91FF-85986975957F}"/>
    <cellStyle name="Ausgabe 2 2 2 2 4" xfId="1184" xr:uid="{E64D6BEE-4E87-4747-89A6-4F24A8E29CF6}"/>
    <cellStyle name="Ausgabe 2 2 2 2 5" xfId="1185" xr:uid="{E9986EAA-2A96-44E6-BBD5-B12ED82AE94E}"/>
    <cellStyle name="Ausgabe 2 2 2 2 6" xfId="1186" xr:uid="{6244BE2B-67AB-4CC8-92FF-6BBC069C1153}"/>
    <cellStyle name="Ausgabe 2 2 2 2 7" xfId="1187" xr:uid="{013806B2-052F-4AE0-9647-273FDE96D850}"/>
    <cellStyle name="Ausgabe 2 2 2 2 8" xfId="1188" xr:uid="{254C5FA4-D9FF-47BF-93CA-3941FB592020}"/>
    <cellStyle name="Ausgabe 2 2 2 2 9" xfId="1189" xr:uid="{238CD8DC-7F16-4114-BB7D-217D9107A8EA}"/>
    <cellStyle name="Ausgabe 2 2 2 20" xfId="1190" xr:uid="{A9A8E8BF-657D-4DF2-8445-3B2BF264F814}"/>
    <cellStyle name="Ausgabe 2 2 2 3" xfId="1191" xr:uid="{DFC7A0E4-B1F3-4200-B2C9-0D5AF2A3CB5B}"/>
    <cellStyle name="Ausgabe 2 2 2 4" xfId="1192" xr:uid="{AB074561-758F-4DCC-9E49-428ECDA005D2}"/>
    <cellStyle name="Ausgabe 2 2 2 5" xfId="1193" xr:uid="{1237572B-F3FB-44D4-A01A-80CD9A12B9F7}"/>
    <cellStyle name="Ausgabe 2 2 2 6" xfId="1194" xr:uid="{FCBEA225-E0D9-4664-AFBD-D754C9728F9D}"/>
    <cellStyle name="Ausgabe 2 2 2 7" xfId="1195" xr:uid="{2D31529F-1FEC-49F2-B124-5FCB51712436}"/>
    <cellStyle name="Ausgabe 2 2 2 8" xfId="1196" xr:uid="{689C6757-E249-4C9B-A10E-F3C697CCA9DF}"/>
    <cellStyle name="Ausgabe 2 2 2 9" xfId="1197" xr:uid="{703A45F4-C3DE-457F-B080-8B8344AA9702}"/>
    <cellStyle name="Ausgabe 2 2 20" xfId="1198" xr:uid="{DDA65B85-34DA-4D0A-B277-00C725F30197}"/>
    <cellStyle name="Ausgabe 2 2 21" xfId="1199" xr:uid="{38AC1F27-96F8-446E-A38F-6D768E147C60}"/>
    <cellStyle name="Ausgabe 2 2 22" xfId="1200" xr:uid="{5F7CABE1-75D6-498A-9CDE-C7B00DE6412C}"/>
    <cellStyle name="Ausgabe 2 2 23" xfId="1201" xr:uid="{2B914210-BB3A-4A73-9801-A8BE1FC5D990}"/>
    <cellStyle name="Ausgabe 2 2 3" xfId="1202" xr:uid="{2722AA0C-3190-4D08-8029-9D3B1D1FC835}"/>
    <cellStyle name="Ausgabe 2 2 3 10" xfId="1203" xr:uid="{288C7F74-7418-430D-A4A4-E92D17574744}"/>
    <cellStyle name="Ausgabe 2 2 3 11" xfId="1204" xr:uid="{9C7BF174-7FA6-4B79-9D6F-8AF540E2CE41}"/>
    <cellStyle name="Ausgabe 2 2 3 12" xfId="1205" xr:uid="{B093B07B-339F-4184-BB3E-50995CA1023C}"/>
    <cellStyle name="Ausgabe 2 2 3 13" xfId="1206" xr:uid="{CBA6442C-3D29-44AC-AF5F-8484D80FDF52}"/>
    <cellStyle name="Ausgabe 2 2 3 14" xfId="1207" xr:uid="{BDBC0931-F3BD-4D7F-BDE6-68A955630EE4}"/>
    <cellStyle name="Ausgabe 2 2 3 15" xfId="1208" xr:uid="{692F25D4-FDB2-47A9-A602-4325B129F85B}"/>
    <cellStyle name="Ausgabe 2 2 3 16" xfId="1209" xr:uid="{B3FC8A6D-6382-4307-BDE6-1A48C52BDCC5}"/>
    <cellStyle name="Ausgabe 2 2 3 17" xfId="1210" xr:uid="{D0F104C7-4341-4411-B804-FC956631EAA8}"/>
    <cellStyle name="Ausgabe 2 2 3 18" xfId="1211" xr:uid="{8D7512AC-E8A3-44CB-98EC-8D9286B9CB6D}"/>
    <cellStyle name="Ausgabe 2 2 3 19" xfId="1212" xr:uid="{5A2B60C9-271F-4042-8A30-06F464D381EC}"/>
    <cellStyle name="Ausgabe 2 2 3 2" xfId="1213" xr:uid="{403822B1-4EA4-4552-94B9-01757DEAFD1D}"/>
    <cellStyle name="Ausgabe 2 2 3 2 10" xfId="1214" xr:uid="{4D6671BA-3C07-4795-9E93-F59831BE000E}"/>
    <cellStyle name="Ausgabe 2 2 3 2 11" xfId="1215" xr:uid="{D24067BF-1118-4C7C-95D1-BF421054FFB7}"/>
    <cellStyle name="Ausgabe 2 2 3 2 12" xfId="1216" xr:uid="{2EF117B8-441E-4921-B8BD-D6FEEEDAA7A8}"/>
    <cellStyle name="Ausgabe 2 2 3 2 13" xfId="1217" xr:uid="{0EEF36B3-90C5-4711-9D0A-8C566855FD23}"/>
    <cellStyle name="Ausgabe 2 2 3 2 14" xfId="1218" xr:uid="{762B4EBF-6D63-4B25-99CC-6D5960BEDE97}"/>
    <cellStyle name="Ausgabe 2 2 3 2 15" xfId="1219" xr:uid="{A158D9D9-0A0B-4386-8AA3-356C72D55870}"/>
    <cellStyle name="Ausgabe 2 2 3 2 16" xfId="1220" xr:uid="{B0239012-E2A2-44D0-8060-C342D62A00A4}"/>
    <cellStyle name="Ausgabe 2 2 3 2 17" xfId="1221" xr:uid="{8B9BD58B-46FB-4D69-891A-83DBE03B7E41}"/>
    <cellStyle name="Ausgabe 2 2 3 2 18" xfId="1222" xr:uid="{157A518F-1DCC-428D-9603-6E65718A61FF}"/>
    <cellStyle name="Ausgabe 2 2 3 2 19" xfId="1223" xr:uid="{E601EEBD-5C62-4C62-BCFE-6CB4FA419801}"/>
    <cellStyle name="Ausgabe 2 2 3 2 2" xfId="1224" xr:uid="{15A9E750-74CF-4E8F-996D-A3BCF7726172}"/>
    <cellStyle name="Ausgabe 2 2 3 2 3" xfId="1225" xr:uid="{987E959B-2E1D-4440-B352-22C41296C5EA}"/>
    <cellStyle name="Ausgabe 2 2 3 2 4" xfId="1226" xr:uid="{1CA5390F-9927-42E9-A6F5-FD7A4A7EF382}"/>
    <cellStyle name="Ausgabe 2 2 3 2 5" xfId="1227" xr:uid="{A207857A-EC12-4D58-A93C-65DAC7746422}"/>
    <cellStyle name="Ausgabe 2 2 3 2 6" xfId="1228" xr:uid="{63B134AA-C915-4915-8754-A12171428FD2}"/>
    <cellStyle name="Ausgabe 2 2 3 2 7" xfId="1229" xr:uid="{D0D32BAC-D25C-4973-B4A1-E3EEDDBF06CA}"/>
    <cellStyle name="Ausgabe 2 2 3 2 8" xfId="1230" xr:uid="{CFF6B8F0-FB1A-4FC6-B7D5-F28850CD8B19}"/>
    <cellStyle name="Ausgabe 2 2 3 2 9" xfId="1231" xr:uid="{AFDF7025-991A-41E3-8011-525AF8804F79}"/>
    <cellStyle name="Ausgabe 2 2 3 20" xfId="1232" xr:uid="{553859CD-CAA4-4E1B-A319-8E2FE66DAD29}"/>
    <cellStyle name="Ausgabe 2 2 3 3" xfId="1233" xr:uid="{BBAF731D-93A4-4FE3-A980-4CE501119BD8}"/>
    <cellStyle name="Ausgabe 2 2 3 4" xfId="1234" xr:uid="{43026143-ECA0-480B-AD54-853411EFE33D}"/>
    <cellStyle name="Ausgabe 2 2 3 5" xfId="1235" xr:uid="{6A92C72E-825E-49FA-B1F3-87766B1EF2B9}"/>
    <cellStyle name="Ausgabe 2 2 3 6" xfId="1236" xr:uid="{954A74A8-2E91-4C65-97E6-042BFE7E9CD2}"/>
    <cellStyle name="Ausgabe 2 2 3 7" xfId="1237" xr:uid="{9C19FAFA-9FE1-4730-9509-D3ABD4C44035}"/>
    <cellStyle name="Ausgabe 2 2 3 8" xfId="1238" xr:uid="{A54C58A8-BD44-41C3-ADAF-0076C914FC0F}"/>
    <cellStyle name="Ausgabe 2 2 3 9" xfId="1239" xr:uid="{D776B2A0-A732-4B39-8307-6552FD3AA623}"/>
    <cellStyle name="Ausgabe 2 2 4" xfId="1240" xr:uid="{D6FC7890-31CA-4477-BD84-31F2B43860F6}"/>
    <cellStyle name="Ausgabe 2 2 4 10" xfId="1241" xr:uid="{595DDA6A-C0AF-4418-90E9-6F89DA308753}"/>
    <cellStyle name="Ausgabe 2 2 4 11" xfId="1242" xr:uid="{1B9AB7D5-3EAD-4C29-BE8C-9E60280F9816}"/>
    <cellStyle name="Ausgabe 2 2 4 12" xfId="1243" xr:uid="{037AEED4-11ED-49AB-B836-82425B845F1B}"/>
    <cellStyle name="Ausgabe 2 2 4 13" xfId="1244" xr:uid="{D697D486-D06E-4291-8CC1-279079CC146C}"/>
    <cellStyle name="Ausgabe 2 2 4 14" xfId="1245" xr:uid="{77B71798-F69E-4E60-A985-D88D79D96BC2}"/>
    <cellStyle name="Ausgabe 2 2 4 15" xfId="1246" xr:uid="{99034477-48BB-49C6-B4B8-FB631C3678E7}"/>
    <cellStyle name="Ausgabe 2 2 4 16" xfId="1247" xr:uid="{4360E611-5315-4A26-8580-9E0F3E055093}"/>
    <cellStyle name="Ausgabe 2 2 4 17" xfId="1248" xr:uid="{331679AB-70A6-448F-9A84-A03DE93C82B8}"/>
    <cellStyle name="Ausgabe 2 2 4 18" xfId="1249" xr:uid="{2533F786-36C7-485F-ADEA-577950866D21}"/>
    <cellStyle name="Ausgabe 2 2 4 19" xfId="1250" xr:uid="{53B99AA9-103A-44A8-99CF-07A0837794AE}"/>
    <cellStyle name="Ausgabe 2 2 4 2" xfId="1251" xr:uid="{D69F2E22-AAF3-4293-A1B2-598E2127AE6F}"/>
    <cellStyle name="Ausgabe 2 2 4 2 10" xfId="1252" xr:uid="{92F98098-8FEA-4526-8EA6-F36845AB92C4}"/>
    <cellStyle name="Ausgabe 2 2 4 2 11" xfId="1253" xr:uid="{CC55D3D5-4EA2-48F5-B455-500739E5E962}"/>
    <cellStyle name="Ausgabe 2 2 4 2 12" xfId="1254" xr:uid="{BC299F68-70E8-4BDC-A18D-F756F1F8DFD2}"/>
    <cellStyle name="Ausgabe 2 2 4 2 13" xfId="1255" xr:uid="{D6AF5D6E-8F21-4C91-A59E-B02580789CE3}"/>
    <cellStyle name="Ausgabe 2 2 4 2 14" xfId="1256" xr:uid="{8880E5BF-ECE5-4D88-9D20-856EDE53FBB5}"/>
    <cellStyle name="Ausgabe 2 2 4 2 15" xfId="1257" xr:uid="{6B5531DD-B838-455E-AF24-8A4021755E93}"/>
    <cellStyle name="Ausgabe 2 2 4 2 16" xfId="1258" xr:uid="{1F3DD63A-F792-4B99-83B7-5FD3CBF9FA53}"/>
    <cellStyle name="Ausgabe 2 2 4 2 17" xfId="1259" xr:uid="{49FE7925-A322-4230-B9C6-D70FFF236BB8}"/>
    <cellStyle name="Ausgabe 2 2 4 2 18" xfId="1260" xr:uid="{2AFAC613-D499-4EBE-9814-F7B2ADF3E58D}"/>
    <cellStyle name="Ausgabe 2 2 4 2 19" xfId="1261" xr:uid="{E03750CF-189B-4859-BE93-E5F08ACE7771}"/>
    <cellStyle name="Ausgabe 2 2 4 2 2" xfId="1262" xr:uid="{4D6F7664-5F11-45F7-B71E-19CFF32BD179}"/>
    <cellStyle name="Ausgabe 2 2 4 2 3" xfId="1263" xr:uid="{52E46E0E-6566-4D4F-B4F1-B36AFCC23A87}"/>
    <cellStyle name="Ausgabe 2 2 4 2 4" xfId="1264" xr:uid="{9249B134-56FB-45B9-94B6-0D82098CE5A6}"/>
    <cellStyle name="Ausgabe 2 2 4 2 5" xfId="1265" xr:uid="{008BB604-138F-48AF-B6FA-4ADEC86D0EDB}"/>
    <cellStyle name="Ausgabe 2 2 4 2 6" xfId="1266" xr:uid="{1B1165F6-909A-482B-939B-5CE7268EFAD3}"/>
    <cellStyle name="Ausgabe 2 2 4 2 7" xfId="1267" xr:uid="{1447F4B4-EE22-41D1-830F-85A8BC070642}"/>
    <cellStyle name="Ausgabe 2 2 4 2 8" xfId="1268" xr:uid="{6DF48A41-28A6-4727-A16A-423CD221CF39}"/>
    <cellStyle name="Ausgabe 2 2 4 2 9" xfId="1269" xr:uid="{D19F0D4E-EC79-4024-91BA-4E92433DAC18}"/>
    <cellStyle name="Ausgabe 2 2 4 20" xfId="1270" xr:uid="{082768BB-7CFF-40F3-89C6-89405707C3EB}"/>
    <cellStyle name="Ausgabe 2 2 4 3" xfId="1271" xr:uid="{228FB20A-E37A-46E5-95A2-3D915FCE5567}"/>
    <cellStyle name="Ausgabe 2 2 4 4" xfId="1272" xr:uid="{A0C25210-4826-4372-86BD-7F8255AA8BF4}"/>
    <cellStyle name="Ausgabe 2 2 4 5" xfId="1273" xr:uid="{2297F268-A798-4A78-82CA-7E2E66F8CFF3}"/>
    <cellStyle name="Ausgabe 2 2 4 6" xfId="1274" xr:uid="{E74322DF-913B-4D04-9350-E69DE8D10F20}"/>
    <cellStyle name="Ausgabe 2 2 4 7" xfId="1275" xr:uid="{71E1020F-AB2B-4153-80B5-578562E6BEDC}"/>
    <cellStyle name="Ausgabe 2 2 4 8" xfId="1276" xr:uid="{0344D4C7-1782-4ABD-A6C8-6A28CFB37F04}"/>
    <cellStyle name="Ausgabe 2 2 4 9" xfId="1277" xr:uid="{43602153-CBD5-4140-A180-3FA5C16D4F9A}"/>
    <cellStyle name="Ausgabe 2 2 5" xfId="1278" xr:uid="{0C3F4F56-0527-41EB-AC21-F3BC1689F703}"/>
    <cellStyle name="Ausgabe 2 2 5 10" xfId="1279" xr:uid="{A28558EE-BEB9-421F-8245-822CDE4D5A45}"/>
    <cellStyle name="Ausgabe 2 2 5 11" xfId="1280" xr:uid="{E33C98EE-EDC4-4FA1-AE60-40A7E9F956E6}"/>
    <cellStyle name="Ausgabe 2 2 5 12" xfId="1281" xr:uid="{5D639BF8-7A6A-498F-9FA1-A13E81A4788F}"/>
    <cellStyle name="Ausgabe 2 2 5 13" xfId="1282" xr:uid="{210EEFB2-A967-4B18-9C0A-D5EAA002ED69}"/>
    <cellStyle name="Ausgabe 2 2 5 14" xfId="1283" xr:uid="{37994373-E4AE-43E9-94DB-E9C25D26A305}"/>
    <cellStyle name="Ausgabe 2 2 5 15" xfId="1284" xr:uid="{0658829C-8E71-4F53-8ECF-7D2AE3DCFCF6}"/>
    <cellStyle name="Ausgabe 2 2 5 16" xfId="1285" xr:uid="{CCE68B3F-9274-47BD-AFA5-43CEC0630117}"/>
    <cellStyle name="Ausgabe 2 2 5 17" xfId="1286" xr:uid="{6CDD2053-4B2C-410E-9310-4CA8F238A146}"/>
    <cellStyle name="Ausgabe 2 2 5 18" xfId="1287" xr:uid="{315A4562-7256-4268-B090-3F0CE85DC900}"/>
    <cellStyle name="Ausgabe 2 2 5 19" xfId="1288" xr:uid="{A2955302-3FCD-440E-B8C7-7AAB9B4673AF}"/>
    <cellStyle name="Ausgabe 2 2 5 2" xfId="1289" xr:uid="{EBDE39A5-39F6-4697-ADD9-516CDBA0AA59}"/>
    <cellStyle name="Ausgabe 2 2 5 3" xfId="1290" xr:uid="{316A9676-0ED9-41E6-9292-1100E2A8F4CC}"/>
    <cellStyle name="Ausgabe 2 2 5 4" xfId="1291" xr:uid="{4EC32B98-550F-403E-8B81-561B63D3A9F9}"/>
    <cellStyle name="Ausgabe 2 2 5 5" xfId="1292" xr:uid="{85D4B02D-BD3E-42C3-AD03-26BBF4227B37}"/>
    <cellStyle name="Ausgabe 2 2 5 6" xfId="1293" xr:uid="{CA61E271-4F83-4A41-BDA1-463895ADAD2A}"/>
    <cellStyle name="Ausgabe 2 2 5 7" xfId="1294" xr:uid="{0A072030-43E7-4226-B8B5-66AEBCFAA648}"/>
    <cellStyle name="Ausgabe 2 2 5 8" xfId="1295" xr:uid="{0F0CD53D-165D-429A-954F-443172AD4671}"/>
    <cellStyle name="Ausgabe 2 2 5 9" xfId="1296" xr:uid="{DD7DC5EB-1C18-4ECE-9ABF-87593EF33303}"/>
    <cellStyle name="Ausgabe 2 2 6" xfId="1297" xr:uid="{BDD2878C-F7B0-41EF-926E-AA4C704DA558}"/>
    <cellStyle name="Ausgabe 2 2 7" xfId="1298" xr:uid="{06AFD8E8-F0CB-4BD9-8D8B-5FE8555DF0DE}"/>
    <cellStyle name="Ausgabe 2 2 8" xfId="1299" xr:uid="{9A684045-C671-4BC2-A5AA-44388A00C513}"/>
    <cellStyle name="Ausgabe 2 2 9" xfId="1300" xr:uid="{AC5BD8D2-345C-4FDF-90A1-1091257651EA}"/>
    <cellStyle name="Ausgabe 2 20" xfId="1301" xr:uid="{99F741AD-A413-4A75-8CDF-D46ECC464BBE}"/>
    <cellStyle name="Ausgabe 2 21" xfId="1302" xr:uid="{97457B96-C2CA-478A-AF2D-D6B61978CD24}"/>
    <cellStyle name="Ausgabe 2 22" xfId="1303" xr:uid="{503302D5-1761-4A03-839A-43A7E9512C31}"/>
    <cellStyle name="Ausgabe 2 23" xfId="1304" xr:uid="{8A18B331-3C97-4BB1-A238-FBDBD468EC61}"/>
    <cellStyle name="Ausgabe 2 24" xfId="1305" xr:uid="{F586A602-22AA-4200-B346-1D01DF9CCF8F}"/>
    <cellStyle name="Ausgabe 2 3" xfId="1306" xr:uid="{54B2BACA-BC74-43DA-8E21-EAA265C8B74C}"/>
    <cellStyle name="Ausgabe 2 3 10" xfId="1307" xr:uid="{F09442B6-FFD3-40F7-9563-809056B8DC37}"/>
    <cellStyle name="Ausgabe 2 3 11" xfId="1308" xr:uid="{7154BC8A-835B-44A8-8804-D33E0402A726}"/>
    <cellStyle name="Ausgabe 2 3 12" xfId="1309" xr:uid="{E20DA0BF-94B0-436E-8CFB-484C32E51172}"/>
    <cellStyle name="Ausgabe 2 3 13" xfId="1310" xr:uid="{116ACA4B-E5B7-4E93-BD40-D8680EB45B13}"/>
    <cellStyle name="Ausgabe 2 3 14" xfId="1311" xr:uid="{7A8A57E6-BBD0-46D7-9303-14A858F915DE}"/>
    <cellStyle name="Ausgabe 2 3 15" xfId="1312" xr:uid="{42391E84-AAC1-4D98-ADAA-71EE4A25D59B}"/>
    <cellStyle name="Ausgabe 2 3 16" xfId="1313" xr:uid="{1A833B56-04E8-4681-BD6B-F8619BD376D6}"/>
    <cellStyle name="Ausgabe 2 3 17" xfId="1314" xr:uid="{9CADC256-9D6A-43C1-8330-09EBE09D753A}"/>
    <cellStyle name="Ausgabe 2 3 18" xfId="1315" xr:uid="{ECFA28B9-8E1F-442C-BA5D-9904CC87819D}"/>
    <cellStyle name="Ausgabe 2 3 19" xfId="1316" xr:uid="{309E0F7F-5C6E-49B8-8F04-AF7D4788814A}"/>
    <cellStyle name="Ausgabe 2 3 2" xfId="1317" xr:uid="{26DEE72B-4E8A-471D-89C1-E9CC31A5E19A}"/>
    <cellStyle name="Ausgabe 2 3 2 10" xfId="1318" xr:uid="{F3CB05CF-D303-4342-A15A-7FA6382C4A08}"/>
    <cellStyle name="Ausgabe 2 3 2 11" xfId="1319" xr:uid="{D8B6F211-173D-4BA6-9252-4C15BF8637B3}"/>
    <cellStyle name="Ausgabe 2 3 2 12" xfId="1320" xr:uid="{A1C89962-5166-437E-9005-95B4DB55D6C6}"/>
    <cellStyle name="Ausgabe 2 3 2 13" xfId="1321" xr:uid="{EAEE0A69-B625-4979-BD8B-E4CE567B5D55}"/>
    <cellStyle name="Ausgabe 2 3 2 14" xfId="1322" xr:uid="{F366EDDE-CB26-4752-943D-B359716F5409}"/>
    <cellStyle name="Ausgabe 2 3 2 15" xfId="1323" xr:uid="{640E0770-025A-4136-84CA-2706A88516E5}"/>
    <cellStyle name="Ausgabe 2 3 2 16" xfId="1324" xr:uid="{11FB549A-979F-40D4-869F-AD93DA8E6C86}"/>
    <cellStyle name="Ausgabe 2 3 2 17" xfId="1325" xr:uid="{F892F088-3811-41BF-A350-66090781E543}"/>
    <cellStyle name="Ausgabe 2 3 2 18" xfId="1326" xr:uid="{035636EF-5BFC-4AD6-BC9D-6D9F7C5FAC94}"/>
    <cellStyle name="Ausgabe 2 3 2 19" xfId="1327" xr:uid="{8D590805-F4DE-4BD6-BEB9-F83B08532C13}"/>
    <cellStyle name="Ausgabe 2 3 2 2" xfId="1328" xr:uid="{D9F25FEE-FCB1-4192-9A39-A0578EBDF7B3}"/>
    <cellStyle name="Ausgabe 2 3 2 3" xfId="1329" xr:uid="{CC24BA85-AE9C-4255-BB12-61016E647975}"/>
    <cellStyle name="Ausgabe 2 3 2 4" xfId="1330" xr:uid="{A99463AF-CF9E-4695-BEB2-65BA462DAB98}"/>
    <cellStyle name="Ausgabe 2 3 2 5" xfId="1331" xr:uid="{8BC49511-624F-4DA2-B097-AE76E714E84A}"/>
    <cellStyle name="Ausgabe 2 3 2 6" xfId="1332" xr:uid="{3558958C-4DBB-482E-88EF-41A0D34D1037}"/>
    <cellStyle name="Ausgabe 2 3 2 7" xfId="1333" xr:uid="{530DE0CD-E167-4445-92CA-9092C6440104}"/>
    <cellStyle name="Ausgabe 2 3 2 8" xfId="1334" xr:uid="{5D99F40B-60F0-4945-B369-FCF06D151DC3}"/>
    <cellStyle name="Ausgabe 2 3 2 9" xfId="1335" xr:uid="{AF0B6D8F-027D-4A32-86F4-39E75B907087}"/>
    <cellStyle name="Ausgabe 2 3 20" xfId="1336" xr:uid="{4D8411C6-DBB2-4E5C-AED0-4C19A7A5F5B1}"/>
    <cellStyle name="Ausgabe 2 3 3" xfId="1337" xr:uid="{3D5467A2-F77D-4CEC-B78D-995FA15F281B}"/>
    <cellStyle name="Ausgabe 2 3 4" xfId="1338" xr:uid="{7C09BE43-A6AF-474B-9653-210FD812F280}"/>
    <cellStyle name="Ausgabe 2 3 5" xfId="1339" xr:uid="{999AF0FB-39D1-4BDB-9946-ED906351C852}"/>
    <cellStyle name="Ausgabe 2 3 6" xfId="1340" xr:uid="{9C785B36-D81C-46E8-A9DD-7E51E00A4DC8}"/>
    <cellStyle name="Ausgabe 2 3 7" xfId="1341" xr:uid="{46765C6D-6A61-4D08-B1EB-8575ACC55FE4}"/>
    <cellStyle name="Ausgabe 2 3 8" xfId="1342" xr:uid="{F7E2BB24-9EE0-4619-8C45-7A3A548C2E9F}"/>
    <cellStyle name="Ausgabe 2 3 9" xfId="1343" xr:uid="{8D3703F2-EFFE-444B-A4B7-F2E90DD7C3E1}"/>
    <cellStyle name="Ausgabe 2 4" xfId="1344" xr:uid="{D7EFA7B8-39F2-4B8B-B4FB-8C083DAD2FE8}"/>
    <cellStyle name="Ausgabe 2 4 10" xfId="1345" xr:uid="{1CB660B5-C783-4EE9-AC94-1213F0630E8F}"/>
    <cellStyle name="Ausgabe 2 4 11" xfId="1346" xr:uid="{369ECAEA-CE7D-446B-8AFD-EE5A786FA192}"/>
    <cellStyle name="Ausgabe 2 4 12" xfId="1347" xr:uid="{A36C372D-79C5-4FB3-8ECA-28CA5833DBCB}"/>
    <cellStyle name="Ausgabe 2 4 13" xfId="1348" xr:uid="{6D053AA4-AD39-43E2-8A6C-603F4CC0FFAD}"/>
    <cellStyle name="Ausgabe 2 4 14" xfId="1349" xr:uid="{CF17E53A-3718-470C-942A-6441C3898F9C}"/>
    <cellStyle name="Ausgabe 2 4 15" xfId="1350" xr:uid="{362C8690-3304-469D-9A70-6BA314394526}"/>
    <cellStyle name="Ausgabe 2 4 16" xfId="1351" xr:uid="{E292D97D-2EAB-4274-BAA7-1477540E45A3}"/>
    <cellStyle name="Ausgabe 2 4 17" xfId="1352" xr:uid="{72AFB077-EF12-4023-940D-F37F13A321CB}"/>
    <cellStyle name="Ausgabe 2 4 18" xfId="1353" xr:uid="{0CF0E883-26D7-4EA3-9919-44790A979AA5}"/>
    <cellStyle name="Ausgabe 2 4 19" xfId="1354" xr:uid="{9810138A-2F7B-489C-B9EF-13DC0D70F187}"/>
    <cellStyle name="Ausgabe 2 4 2" xfId="1355" xr:uid="{8CC8DCAF-8C48-46C7-BB85-40A6F161CF4E}"/>
    <cellStyle name="Ausgabe 2 4 2 10" xfId="1356" xr:uid="{04F28990-6DE0-4966-987B-EDE22F2A3D76}"/>
    <cellStyle name="Ausgabe 2 4 2 11" xfId="1357" xr:uid="{67BC0FE7-6BA7-4B48-9C61-AB49E5642109}"/>
    <cellStyle name="Ausgabe 2 4 2 12" xfId="1358" xr:uid="{3A060F85-0F82-4693-A619-0571AD6DB650}"/>
    <cellStyle name="Ausgabe 2 4 2 13" xfId="1359" xr:uid="{BA9C8DB1-8D70-46C3-8334-1FEFAA6A9102}"/>
    <cellStyle name="Ausgabe 2 4 2 14" xfId="1360" xr:uid="{4F6A62AC-81E6-40B7-A9C8-335AD89DAC25}"/>
    <cellStyle name="Ausgabe 2 4 2 15" xfId="1361" xr:uid="{E559A574-897C-4C05-B3AE-D77748333453}"/>
    <cellStyle name="Ausgabe 2 4 2 16" xfId="1362" xr:uid="{A86FCADB-DCB1-4297-9454-930901F648B4}"/>
    <cellStyle name="Ausgabe 2 4 2 17" xfId="1363" xr:uid="{B3CABC4C-5A29-4140-AF86-EBEFB91F5D6F}"/>
    <cellStyle name="Ausgabe 2 4 2 18" xfId="1364" xr:uid="{AC8B69BD-7A83-49A8-9F3F-49244FACB5AB}"/>
    <cellStyle name="Ausgabe 2 4 2 19" xfId="1365" xr:uid="{DB57761B-7986-4CB1-9C0D-0AEF16329FAA}"/>
    <cellStyle name="Ausgabe 2 4 2 2" xfId="1366" xr:uid="{C634F004-68E6-475A-B54B-3EF81AAE02C6}"/>
    <cellStyle name="Ausgabe 2 4 2 3" xfId="1367" xr:uid="{7BE7A19D-0080-4A89-9F9B-8749D46EADCB}"/>
    <cellStyle name="Ausgabe 2 4 2 4" xfId="1368" xr:uid="{48F8572F-4F4A-4A8D-914A-1E0A8E1BA04D}"/>
    <cellStyle name="Ausgabe 2 4 2 5" xfId="1369" xr:uid="{337B0B58-5D73-48FE-BFC1-5DC513FA235A}"/>
    <cellStyle name="Ausgabe 2 4 2 6" xfId="1370" xr:uid="{B3C177D8-1949-4982-B457-A50D3297ED0B}"/>
    <cellStyle name="Ausgabe 2 4 2 7" xfId="1371" xr:uid="{7C3D9E7B-96B4-420B-A783-00FD6FB8C0EE}"/>
    <cellStyle name="Ausgabe 2 4 2 8" xfId="1372" xr:uid="{440D902C-10C0-4C0D-BED2-BCCE648F5446}"/>
    <cellStyle name="Ausgabe 2 4 2 9" xfId="1373" xr:uid="{0FCD496A-86CE-4AEF-9BEA-34C1536748E6}"/>
    <cellStyle name="Ausgabe 2 4 20" xfId="1374" xr:uid="{137464B2-5BE6-4E32-A14E-7CC7245E4679}"/>
    <cellStyle name="Ausgabe 2 4 3" xfId="1375" xr:uid="{1DF0CEB9-402D-4F4D-AB4D-43EA4AA14D22}"/>
    <cellStyle name="Ausgabe 2 4 4" xfId="1376" xr:uid="{A2C8ABAB-3209-4B73-ACA1-5DFA92EFF38D}"/>
    <cellStyle name="Ausgabe 2 4 5" xfId="1377" xr:uid="{B8C78281-3C94-45C8-B123-B6EAFE865C84}"/>
    <cellStyle name="Ausgabe 2 4 6" xfId="1378" xr:uid="{0970F637-FA9D-43AE-9833-609CB95E06F6}"/>
    <cellStyle name="Ausgabe 2 4 7" xfId="1379" xr:uid="{B6B26481-0EBB-44DA-ADF7-475F1AA5CBCB}"/>
    <cellStyle name="Ausgabe 2 4 8" xfId="1380" xr:uid="{E90BD1CD-94A8-4C9B-8F51-00A268640CA9}"/>
    <cellStyle name="Ausgabe 2 4 9" xfId="1381" xr:uid="{868CBB66-5F76-4CAA-A1E1-5B298D31E362}"/>
    <cellStyle name="Ausgabe 2 5" xfId="1382" xr:uid="{0407EF1B-C487-40D2-AEC1-FDC06F6BC6ED}"/>
    <cellStyle name="Ausgabe 2 5 10" xfId="1383" xr:uid="{F3C6E293-7854-4B42-9C5F-DE9D4F57251D}"/>
    <cellStyle name="Ausgabe 2 5 11" xfId="1384" xr:uid="{7E92B3B6-470A-4572-B9C2-B5BCC28053CB}"/>
    <cellStyle name="Ausgabe 2 5 12" xfId="1385" xr:uid="{6B99B499-8F0A-476F-8194-D0C685D000B1}"/>
    <cellStyle name="Ausgabe 2 5 13" xfId="1386" xr:uid="{FA38326C-3D96-4388-9113-AE3E541A9287}"/>
    <cellStyle name="Ausgabe 2 5 14" xfId="1387" xr:uid="{19C1F87B-F842-40F5-829D-B22183BC80AC}"/>
    <cellStyle name="Ausgabe 2 5 15" xfId="1388" xr:uid="{1608EB56-F513-4516-B0D1-7AB9484FFF54}"/>
    <cellStyle name="Ausgabe 2 5 16" xfId="1389" xr:uid="{A986543E-8412-4379-9852-61A2071BA9F6}"/>
    <cellStyle name="Ausgabe 2 5 17" xfId="1390" xr:uid="{49EB7AAA-090B-4B0D-864B-76614DAE8526}"/>
    <cellStyle name="Ausgabe 2 5 18" xfId="1391" xr:uid="{FEC62DE4-F917-436E-A618-2B31C32BB075}"/>
    <cellStyle name="Ausgabe 2 5 19" xfId="1392" xr:uid="{BD0B896A-E8B4-4373-83DF-DC22A649AD58}"/>
    <cellStyle name="Ausgabe 2 5 2" xfId="1393" xr:uid="{805C6DFC-41AE-4D29-BB46-5FDA647D6820}"/>
    <cellStyle name="Ausgabe 2 5 2 10" xfId="1394" xr:uid="{EE2C4952-B948-4913-8FE7-1CDFAC8C3366}"/>
    <cellStyle name="Ausgabe 2 5 2 11" xfId="1395" xr:uid="{19D23CE0-306F-4C16-9EBE-7F81796A9F46}"/>
    <cellStyle name="Ausgabe 2 5 2 12" xfId="1396" xr:uid="{253E5034-336A-41F0-87A4-C125753AF77F}"/>
    <cellStyle name="Ausgabe 2 5 2 13" xfId="1397" xr:uid="{AFD82D81-ADE9-4589-BF9D-B7691796DAA7}"/>
    <cellStyle name="Ausgabe 2 5 2 14" xfId="1398" xr:uid="{3C72EFBA-D1FD-4421-9D7C-B60D257775DD}"/>
    <cellStyle name="Ausgabe 2 5 2 15" xfId="1399" xr:uid="{8389687F-9BCE-46BF-828F-6B19A502D889}"/>
    <cellStyle name="Ausgabe 2 5 2 16" xfId="1400" xr:uid="{425ADAD8-C036-456E-9BFD-7C4A6B88CD2D}"/>
    <cellStyle name="Ausgabe 2 5 2 17" xfId="1401" xr:uid="{BF17A619-68BF-4ADD-8B88-E95DFC8F823C}"/>
    <cellStyle name="Ausgabe 2 5 2 18" xfId="1402" xr:uid="{A0FFF118-2697-40A8-8718-7FA32CB08682}"/>
    <cellStyle name="Ausgabe 2 5 2 19" xfId="1403" xr:uid="{89D0E830-54CD-4D43-87B0-7C85B19C6C0C}"/>
    <cellStyle name="Ausgabe 2 5 2 2" xfId="1404" xr:uid="{89C8BB64-7D1A-4D73-B6D6-9994DE277970}"/>
    <cellStyle name="Ausgabe 2 5 2 3" xfId="1405" xr:uid="{D69E24CE-18F4-44DC-9303-5C45DFE4EDAA}"/>
    <cellStyle name="Ausgabe 2 5 2 4" xfId="1406" xr:uid="{1312DA3C-783E-4866-98FE-B6C2BB76D962}"/>
    <cellStyle name="Ausgabe 2 5 2 5" xfId="1407" xr:uid="{48E4FD71-597E-497D-B042-5200C0A4879C}"/>
    <cellStyle name="Ausgabe 2 5 2 6" xfId="1408" xr:uid="{AD16B676-AD58-4152-B97E-B15812D756FC}"/>
    <cellStyle name="Ausgabe 2 5 2 7" xfId="1409" xr:uid="{920C7733-CB9D-4448-B45C-32B4B2F3A559}"/>
    <cellStyle name="Ausgabe 2 5 2 8" xfId="1410" xr:uid="{9859B617-B0AD-4239-9ECE-D4CD107AB6C3}"/>
    <cellStyle name="Ausgabe 2 5 2 9" xfId="1411" xr:uid="{7E1A01A9-7155-4238-860B-4E2C1F5DB85B}"/>
    <cellStyle name="Ausgabe 2 5 20" xfId="1412" xr:uid="{2118A134-C20E-426F-8AF0-A0CFCDAC7EB5}"/>
    <cellStyle name="Ausgabe 2 5 3" xfId="1413" xr:uid="{85CC48C0-A90C-48A8-9C00-CB7620B7E73F}"/>
    <cellStyle name="Ausgabe 2 5 4" xfId="1414" xr:uid="{B92CF561-EBB3-42B7-B1EF-7A5C12C78B71}"/>
    <cellStyle name="Ausgabe 2 5 5" xfId="1415" xr:uid="{12583076-94A7-4325-82B6-96EE20290EA3}"/>
    <cellStyle name="Ausgabe 2 5 6" xfId="1416" xr:uid="{17C98AED-FB5A-447B-80F4-95D96A8599D4}"/>
    <cellStyle name="Ausgabe 2 5 7" xfId="1417" xr:uid="{B7CCEF77-7B79-468E-8CD5-4B76FA7C333B}"/>
    <cellStyle name="Ausgabe 2 5 8" xfId="1418" xr:uid="{CD6E2D0F-4F97-4C8F-9749-4ABA237294F8}"/>
    <cellStyle name="Ausgabe 2 5 9" xfId="1419" xr:uid="{DD3B7F62-3129-4A6C-A423-7A50893F7F09}"/>
    <cellStyle name="Ausgabe 2 6" xfId="1420" xr:uid="{02FCA344-F523-4B75-97E2-E64175C1EC95}"/>
    <cellStyle name="Ausgabe 2 6 10" xfId="1421" xr:uid="{2E0F89B4-7500-4043-A310-9547B5A79D4B}"/>
    <cellStyle name="Ausgabe 2 6 11" xfId="1422" xr:uid="{577B92D3-075B-4428-AE68-383AE1701315}"/>
    <cellStyle name="Ausgabe 2 6 12" xfId="1423" xr:uid="{D97314FF-FC5B-4C0C-97FE-3080E1BECE52}"/>
    <cellStyle name="Ausgabe 2 6 13" xfId="1424" xr:uid="{37DABCBC-7945-47C6-9C28-C639CA8F51AE}"/>
    <cellStyle name="Ausgabe 2 6 14" xfId="1425" xr:uid="{8F65244B-0BCD-469C-A769-D7EFC90DF541}"/>
    <cellStyle name="Ausgabe 2 6 15" xfId="1426" xr:uid="{953872B6-7FAC-443D-8135-CEA81F55FB09}"/>
    <cellStyle name="Ausgabe 2 6 16" xfId="1427" xr:uid="{4A5BE787-B842-419D-AE07-E5E04BF6804B}"/>
    <cellStyle name="Ausgabe 2 6 17" xfId="1428" xr:uid="{1000A46B-E6F4-4703-890F-5F330DB90352}"/>
    <cellStyle name="Ausgabe 2 6 18" xfId="1429" xr:uid="{45362379-F6EF-4F94-829B-D73CD2569080}"/>
    <cellStyle name="Ausgabe 2 6 19" xfId="1430" xr:uid="{C4C62DA7-A5D4-4608-BA1D-980AB7335FFF}"/>
    <cellStyle name="Ausgabe 2 6 2" xfId="1431" xr:uid="{F72BB304-868A-4EAB-81BE-AADA6A12F208}"/>
    <cellStyle name="Ausgabe 2 6 3" xfId="1432" xr:uid="{26F8D888-B8EA-478A-9544-24DD91150DB1}"/>
    <cellStyle name="Ausgabe 2 6 4" xfId="1433" xr:uid="{AA10F22C-D892-4054-9DD8-7BAC9C5F2AAD}"/>
    <cellStyle name="Ausgabe 2 6 5" xfId="1434" xr:uid="{86014501-F64F-46B6-8CED-12D60B7C35AF}"/>
    <cellStyle name="Ausgabe 2 6 6" xfId="1435" xr:uid="{40410727-1378-4B9E-B6B0-58D1D483C7A9}"/>
    <cellStyle name="Ausgabe 2 6 7" xfId="1436" xr:uid="{56F65EBD-DFE0-49EA-AC72-3F670BD2FBF5}"/>
    <cellStyle name="Ausgabe 2 6 8" xfId="1437" xr:uid="{DC82BBCB-F243-45B1-B3FC-9C2115BF5F9E}"/>
    <cellStyle name="Ausgabe 2 6 9" xfId="1438" xr:uid="{D38A5B04-17FD-4275-ABFB-7E8C1D8BEF10}"/>
    <cellStyle name="Ausgabe 2 7" xfId="1439" xr:uid="{3DD2CBA5-F1A7-4225-9F2D-B4E2A960AE95}"/>
    <cellStyle name="Ausgabe 2 7 2" xfId="1440" xr:uid="{115EF25F-B8E5-4C74-974E-23E54B2405F8}"/>
    <cellStyle name="Ausgabe 2 8" xfId="1441" xr:uid="{1001E618-12B2-4F8B-8639-EB558EFCB707}"/>
    <cellStyle name="Ausgabe 2 9" xfId="1442" xr:uid="{40CAF93B-9866-4BCB-AF80-C84B25E2C2CE}"/>
    <cellStyle name="Ausgabe 20" xfId="1443" xr:uid="{63C981FB-93AA-4FB6-AD22-14D9323C7979}"/>
    <cellStyle name="Ausgabe 21" xfId="1444" xr:uid="{90DB418D-DC55-4BEA-9629-FCBD3F45D974}"/>
    <cellStyle name="Ausgabe 22" xfId="1445" xr:uid="{EABE8D87-4FF7-4279-9225-832AA6B1E18A}"/>
    <cellStyle name="Ausgabe 23" xfId="1446" xr:uid="{21F02A02-4FEF-4DF2-AB81-F30A3B776A20}"/>
    <cellStyle name="Ausgabe 24" xfId="1447" xr:uid="{86CE2E88-9272-4C28-91E9-7E47D3E27A29}"/>
    <cellStyle name="Ausgabe 25" xfId="1448" xr:uid="{C12F7866-74FA-4C67-9F1B-8DDB08D083FA}"/>
    <cellStyle name="Ausgabe 26" xfId="1449" xr:uid="{3DDD3AD9-BB79-49AE-91B0-599F17875D47}"/>
    <cellStyle name="Ausgabe 27" xfId="1450" xr:uid="{11CCB5DD-2100-4D27-9DF9-DBB1F32E596A}"/>
    <cellStyle name="Ausgabe 3" xfId="1451" xr:uid="{92DA4AAB-1A2F-463B-A8D5-2985E08B791E}"/>
    <cellStyle name="Ausgabe 3 10" xfId="1452" xr:uid="{6E2A715D-B9A1-4FA3-982F-EEB221B075E6}"/>
    <cellStyle name="Ausgabe 3 11" xfId="1453" xr:uid="{AB004A1E-3C52-44C5-ABDB-2E2302AC8974}"/>
    <cellStyle name="Ausgabe 3 12" xfId="1454" xr:uid="{0D375BD2-B14F-4DD3-9F71-892D418B9D7F}"/>
    <cellStyle name="Ausgabe 3 13" xfId="1455" xr:uid="{5F233D51-210D-4892-8D3B-CD0190F99A13}"/>
    <cellStyle name="Ausgabe 3 14" xfId="1456" xr:uid="{756EB018-BB21-4508-B1A4-E555D94934D2}"/>
    <cellStyle name="Ausgabe 3 15" xfId="1457" xr:uid="{F060D9A5-0D21-424C-BBDE-9902CD9A95E7}"/>
    <cellStyle name="Ausgabe 3 16" xfId="1458" xr:uid="{694DB18E-9C8D-49E6-B8E2-131121128B0D}"/>
    <cellStyle name="Ausgabe 3 17" xfId="1459" xr:uid="{97C225D5-6929-4410-800C-AB84347C7313}"/>
    <cellStyle name="Ausgabe 3 18" xfId="1460" xr:uid="{2236895A-30E1-4732-A6F5-CB4E37AE8B88}"/>
    <cellStyle name="Ausgabe 3 19" xfId="1461" xr:uid="{7AD7B000-87D1-460D-93F3-DBD43073934F}"/>
    <cellStyle name="Ausgabe 3 2" xfId="1462" xr:uid="{B21767F0-A3D0-4091-8310-94E96640D9A1}"/>
    <cellStyle name="Ausgabe 3 2 10" xfId="1463" xr:uid="{70B6A23D-C34F-4EF5-8F86-7B20B9BB85D8}"/>
    <cellStyle name="Ausgabe 3 2 11" xfId="1464" xr:uid="{FEB2C564-4BD3-46F7-944F-205A82FE744E}"/>
    <cellStyle name="Ausgabe 3 2 12" xfId="1465" xr:uid="{61540CB3-A7F6-4F7E-A4B1-1F717F2486D2}"/>
    <cellStyle name="Ausgabe 3 2 13" xfId="1466" xr:uid="{2BF64A9A-279A-4696-AD2D-DB947F179425}"/>
    <cellStyle name="Ausgabe 3 2 14" xfId="1467" xr:uid="{6D4416FE-B7E3-4F82-8C44-419046BE4770}"/>
    <cellStyle name="Ausgabe 3 2 15" xfId="1468" xr:uid="{B7D559ED-6A2A-4325-B3C7-5ACD82FEC16E}"/>
    <cellStyle name="Ausgabe 3 2 16" xfId="1469" xr:uid="{E365EB04-BDDF-4468-A780-28DC78CB69E4}"/>
    <cellStyle name="Ausgabe 3 2 17" xfId="1470" xr:uid="{638C2A94-0357-423C-95EF-0BB09BD92085}"/>
    <cellStyle name="Ausgabe 3 2 18" xfId="1471" xr:uid="{C96CBC4B-A4F3-443E-B00C-DD24E87414BC}"/>
    <cellStyle name="Ausgabe 3 2 19" xfId="1472" xr:uid="{753CCB80-6B76-4E43-860B-4136A344ACAA}"/>
    <cellStyle name="Ausgabe 3 2 2" xfId="1473" xr:uid="{D0BB454B-52D2-4750-9603-D6E288C00743}"/>
    <cellStyle name="Ausgabe 3 2 2 10" xfId="1474" xr:uid="{8C1DC478-EB5A-40E3-9089-43710325AAE3}"/>
    <cellStyle name="Ausgabe 3 2 2 11" xfId="1475" xr:uid="{62820C09-8DEE-454E-A23B-A30E9EBE5A65}"/>
    <cellStyle name="Ausgabe 3 2 2 12" xfId="1476" xr:uid="{E28379A8-00E7-48C6-BCF0-B6EDC53EF4D0}"/>
    <cellStyle name="Ausgabe 3 2 2 13" xfId="1477" xr:uid="{2310061E-5CAC-40B3-802C-E3F06C2F71DF}"/>
    <cellStyle name="Ausgabe 3 2 2 14" xfId="1478" xr:uid="{18F5CBD8-9F11-43E9-8B49-3D098E5B2675}"/>
    <cellStyle name="Ausgabe 3 2 2 15" xfId="1479" xr:uid="{8802929A-80D7-4171-AA82-948CCA5CD5E0}"/>
    <cellStyle name="Ausgabe 3 2 2 16" xfId="1480" xr:uid="{983AB019-53D0-4619-B7D4-E537F25FAAE4}"/>
    <cellStyle name="Ausgabe 3 2 2 17" xfId="1481" xr:uid="{7B3C2394-E1AD-4CFD-9861-64ED47F4D731}"/>
    <cellStyle name="Ausgabe 3 2 2 18" xfId="1482" xr:uid="{D7258FB1-5EEB-4D6B-87FD-1E2366EBC3ED}"/>
    <cellStyle name="Ausgabe 3 2 2 19" xfId="1483" xr:uid="{0EFF484D-D68D-4D93-8529-EBC636DAF4BA}"/>
    <cellStyle name="Ausgabe 3 2 2 2" xfId="1484" xr:uid="{26DA1374-E227-4AC7-AE01-17B953D4D3DF}"/>
    <cellStyle name="Ausgabe 3 2 2 2 10" xfId="1485" xr:uid="{5C0225BE-1623-4578-BB6F-D47763C2A7DC}"/>
    <cellStyle name="Ausgabe 3 2 2 2 11" xfId="1486" xr:uid="{62CD9854-8B17-4475-B581-0FD2F9A96A40}"/>
    <cellStyle name="Ausgabe 3 2 2 2 12" xfId="1487" xr:uid="{E27104BC-0F6B-4A25-AA1F-BB1EAF785AAF}"/>
    <cellStyle name="Ausgabe 3 2 2 2 13" xfId="1488" xr:uid="{DAFE4D95-95FB-42AC-8AF7-2317F530CCEF}"/>
    <cellStyle name="Ausgabe 3 2 2 2 14" xfId="1489" xr:uid="{677BC2A4-8C9B-4F95-B592-DE08BDA0FD30}"/>
    <cellStyle name="Ausgabe 3 2 2 2 15" xfId="1490" xr:uid="{CAC6022F-EC5C-4D6E-ACEA-1F665EDE9F8A}"/>
    <cellStyle name="Ausgabe 3 2 2 2 16" xfId="1491" xr:uid="{1D8A3497-968E-4F56-8ECE-17B30C051A16}"/>
    <cellStyle name="Ausgabe 3 2 2 2 17" xfId="1492" xr:uid="{C2D2F53E-8B28-4A56-82AF-3E4594343290}"/>
    <cellStyle name="Ausgabe 3 2 2 2 18" xfId="1493" xr:uid="{D2068A37-5807-4F9A-9364-495C1E7DCFF8}"/>
    <cellStyle name="Ausgabe 3 2 2 2 19" xfId="1494" xr:uid="{1272672B-FCDF-4CC5-A2D7-A0B8D828A06C}"/>
    <cellStyle name="Ausgabe 3 2 2 2 2" xfId="1495" xr:uid="{6FA8707E-90AC-4E5F-AC89-F0F7303F26AF}"/>
    <cellStyle name="Ausgabe 3 2 2 2 3" xfId="1496" xr:uid="{64755F68-91F7-4FB0-957C-1CFB6C87D3DD}"/>
    <cellStyle name="Ausgabe 3 2 2 2 4" xfId="1497" xr:uid="{6E0460A5-D5C8-4CB4-91A9-0BEFCC4E1C38}"/>
    <cellStyle name="Ausgabe 3 2 2 2 5" xfId="1498" xr:uid="{0FCC3AEE-5F6F-49EA-AF4F-BD5304A9335B}"/>
    <cellStyle name="Ausgabe 3 2 2 2 6" xfId="1499" xr:uid="{5D7C0ECB-84D1-40DC-9788-15EB5E3047A1}"/>
    <cellStyle name="Ausgabe 3 2 2 2 7" xfId="1500" xr:uid="{0D7B4695-BB46-444E-9511-6E2D9432884C}"/>
    <cellStyle name="Ausgabe 3 2 2 2 8" xfId="1501" xr:uid="{E7BC13C4-952C-4E9F-BA1C-DA8982AB898F}"/>
    <cellStyle name="Ausgabe 3 2 2 2 9" xfId="1502" xr:uid="{A47AF558-878E-45E7-8314-6BE46994F191}"/>
    <cellStyle name="Ausgabe 3 2 2 20" xfId="1503" xr:uid="{73B68BA7-CCE8-4ABA-BA8A-5DF34BE2D2F8}"/>
    <cellStyle name="Ausgabe 3 2 2 3" xfId="1504" xr:uid="{6BA01F14-7F93-4A95-B52D-D9E1DF85D8FF}"/>
    <cellStyle name="Ausgabe 3 2 2 4" xfId="1505" xr:uid="{7EF8345F-6573-49B3-BD7F-5CEAFA09FB19}"/>
    <cellStyle name="Ausgabe 3 2 2 5" xfId="1506" xr:uid="{CE422BEA-9D9A-4845-8BDB-1DEC8ABF4095}"/>
    <cellStyle name="Ausgabe 3 2 2 6" xfId="1507" xr:uid="{3F466E00-DB19-4BC5-BBEA-597FBF53684A}"/>
    <cellStyle name="Ausgabe 3 2 2 7" xfId="1508" xr:uid="{22F76726-14AE-49CC-9699-D638F87359B7}"/>
    <cellStyle name="Ausgabe 3 2 2 8" xfId="1509" xr:uid="{921BE2E2-D77C-4900-8B85-DE03329529E7}"/>
    <cellStyle name="Ausgabe 3 2 2 9" xfId="1510" xr:uid="{B04EB01B-6C8B-453A-A8A9-050644049249}"/>
    <cellStyle name="Ausgabe 3 2 20" xfId="1511" xr:uid="{AA6C6C80-E39C-47BF-9D15-D901F875C0F3}"/>
    <cellStyle name="Ausgabe 3 2 21" xfId="1512" xr:uid="{370070AF-A180-4355-921F-296D491CFCEF}"/>
    <cellStyle name="Ausgabe 3 2 22" xfId="1513" xr:uid="{22A236C7-FC06-4725-B8F4-B70F16864C63}"/>
    <cellStyle name="Ausgabe 3 2 23" xfId="1514" xr:uid="{0E998BA8-856A-4CA5-8F0B-693AE5A18F53}"/>
    <cellStyle name="Ausgabe 3 2 3" xfId="1515" xr:uid="{EA1CED79-8D91-4F42-968E-4A062418AC21}"/>
    <cellStyle name="Ausgabe 3 2 3 10" xfId="1516" xr:uid="{8959F657-132E-4D43-9734-24CAE4B42C98}"/>
    <cellStyle name="Ausgabe 3 2 3 11" xfId="1517" xr:uid="{E23EA3D9-EFFA-45EF-975C-006BC7C87C3A}"/>
    <cellStyle name="Ausgabe 3 2 3 12" xfId="1518" xr:uid="{5CD8C6ED-9534-45A6-B8EA-E0BAFD617EEE}"/>
    <cellStyle name="Ausgabe 3 2 3 13" xfId="1519" xr:uid="{D2B55933-7551-4C5E-B0B6-11C94965D060}"/>
    <cellStyle name="Ausgabe 3 2 3 14" xfId="1520" xr:uid="{09B020A6-3977-4B74-A30E-3F14EC494F19}"/>
    <cellStyle name="Ausgabe 3 2 3 15" xfId="1521" xr:uid="{47A4DEE7-F2FF-4A80-8FB5-3BDC7A2ADDBD}"/>
    <cellStyle name="Ausgabe 3 2 3 16" xfId="1522" xr:uid="{FBAC52C1-DDF2-4E2C-81CF-99A408853AC3}"/>
    <cellStyle name="Ausgabe 3 2 3 17" xfId="1523" xr:uid="{69485544-2B92-4D66-998B-DBF98C9AFE4E}"/>
    <cellStyle name="Ausgabe 3 2 3 18" xfId="1524" xr:uid="{E8084B80-61BF-4D66-BCEB-F586D7521123}"/>
    <cellStyle name="Ausgabe 3 2 3 19" xfId="1525" xr:uid="{E1438257-137A-471E-8A23-BF799A867609}"/>
    <cellStyle name="Ausgabe 3 2 3 2" xfId="1526" xr:uid="{2B672E32-DB7D-4AE8-8E02-8744FF937568}"/>
    <cellStyle name="Ausgabe 3 2 3 2 10" xfId="1527" xr:uid="{CC8AE3F5-FE00-4841-81D9-F399E6296DC1}"/>
    <cellStyle name="Ausgabe 3 2 3 2 11" xfId="1528" xr:uid="{425162F3-9B8E-4424-B788-A9B9FC80AE91}"/>
    <cellStyle name="Ausgabe 3 2 3 2 12" xfId="1529" xr:uid="{1CA80B11-6969-434E-8B5E-9DFB73F26616}"/>
    <cellStyle name="Ausgabe 3 2 3 2 13" xfId="1530" xr:uid="{DB848BE1-8234-4903-A533-23B5E7018614}"/>
    <cellStyle name="Ausgabe 3 2 3 2 14" xfId="1531" xr:uid="{037EED51-A919-4264-ACE2-16EDA7285A60}"/>
    <cellStyle name="Ausgabe 3 2 3 2 15" xfId="1532" xr:uid="{655A079B-B84E-4DF5-A7E0-D7950B418017}"/>
    <cellStyle name="Ausgabe 3 2 3 2 16" xfId="1533" xr:uid="{1748EC9E-A052-4FF9-AF0D-D96EE51806F1}"/>
    <cellStyle name="Ausgabe 3 2 3 2 17" xfId="1534" xr:uid="{916EB7B5-C722-463C-B34C-6CC565AECCEB}"/>
    <cellStyle name="Ausgabe 3 2 3 2 18" xfId="1535" xr:uid="{0585B6D4-7BDF-448D-9F78-3128A50BE3B1}"/>
    <cellStyle name="Ausgabe 3 2 3 2 19" xfId="1536" xr:uid="{C4DEF1CB-1149-461C-A0B6-38FEA454CC63}"/>
    <cellStyle name="Ausgabe 3 2 3 2 2" xfId="1537" xr:uid="{E8289452-4431-46E8-BAD6-7133E2A24A9C}"/>
    <cellStyle name="Ausgabe 3 2 3 2 3" xfId="1538" xr:uid="{9D7DF3DB-04FB-4DF3-9954-06775489DDC7}"/>
    <cellStyle name="Ausgabe 3 2 3 2 4" xfId="1539" xr:uid="{B3C894B5-0EA0-4EF0-87A1-6C5445A2137E}"/>
    <cellStyle name="Ausgabe 3 2 3 2 5" xfId="1540" xr:uid="{2FFD1284-CDAF-44C8-BD33-D979E336A9CC}"/>
    <cellStyle name="Ausgabe 3 2 3 2 6" xfId="1541" xr:uid="{D75A3D13-E1BC-4202-BEE9-13A2F8F0C9D7}"/>
    <cellStyle name="Ausgabe 3 2 3 2 7" xfId="1542" xr:uid="{0EFA47F0-B33F-4799-8361-D56103FFED6C}"/>
    <cellStyle name="Ausgabe 3 2 3 2 8" xfId="1543" xr:uid="{3BF45649-855B-471D-8D94-3267CA36D62E}"/>
    <cellStyle name="Ausgabe 3 2 3 2 9" xfId="1544" xr:uid="{C9E94968-6984-48D0-894B-507DEED2D3E5}"/>
    <cellStyle name="Ausgabe 3 2 3 20" xfId="1545" xr:uid="{0F144E1D-9DC8-4131-B556-C8FB85D67916}"/>
    <cellStyle name="Ausgabe 3 2 3 3" xfId="1546" xr:uid="{EBAC6EA5-CA79-402B-9FFD-8C0DBC7EE77A}"/>
    <cellStyle name="Ausgabe 3 2 3 4" xfId="1547" xr:uid="{EF8F1D8A-49C6-44D3-8B61-9183ABB2E1FF}"/>
    <cellStyle name="Ausgabe 3 2 3 5" xfId="1548" xr:uid="{2DDECDF5-2BA2-4B83-BBF3-3EF1A4B5056F}"/>
    <cellStyle name="Ausgabe 3 2 3 6" xfId="1549" xr:uid="{A0608FA3-0D8C-4672-95A8-193379135213}"/>
    <cellStyle name="Ausgabe 3 2 3 7" xfId="1550" xr:uid="{72439727-E3B7-4797-997C-BC7D8D6435D3}"/>
    <cellStyle name="Ausgabe 3 2 3 8" xfId="1551" xr:uid="{39C9351D-4E28-4589-B142-B9CFAEDE3F3C}"/>
    <cellStyle name="Ausgabe 3 2 3 9" xfId="1552" xr:uid="{B16644C4-A963-45BF-90B1-039C8CCB7108}"/>
    <cellStyle name="Ausgabe 3 2 4" xfId="1553" xr:uid="{99C3EA49-2A1B-43DF-96C6-A3F8F9A380C8}"/>
    <cellStyle name="Ausgabe 3 2 4 10" xfId="1554" xr:uid="{F7D2FFF4-8601-4F04-8A1A-610F9F3C0918}"/>
    <cellStyle name="Ausgabe 3 2 4 11" xfId="1555" xr:uid="{45D73358-EECB-40C0-87FA-A26F322C9C2B}"/>
    <cellStyle name="Ausgabe 3 2 4 12" xfId="1556" xr:uid="{CDF617DF-6E4A-475C-94A2-ED03118A45C9}"/>
    <cellStyle name="Ausgabe 3 2 4 13" xfId="1557" xr:uid="{049D7EFC-3138-4CAC-9D79-FD29720E9C4A}"/>
    <cellStyle name="Ausgabe 3 2 4 14" xfId="1558" xr:uid="{15034F61-E5E1-47E1-8EF2-7E80E874DA7C}"/>
    <cellStyle name="Ausgabe 3 2 4 15" xfId="1559" xr:uid="{8216F031-50AF-42C0-9D84-83AF7DC4FD65}"/>
    <cellStyle name="Ausgabe 3 2 4 16" xfId="1560" xr:uid="{7543F80C-01C1-4E9F-836C-8D297C47A354}"/>
    <cellStyle name="Ausgabe 3 2 4 17" xfId="1561" xr:uid="{2664A189-262D-4C68-8618-4927B5FD44DA}"/>
    <cellStyle name="Ausgabe 3 2 4 18" xfId="1562" xr:uid="{3DFB30BC-0B78-4D75-8467-79CAB7ACCBFD}"/>
    <cellStyle name="Ausgabe 3 2 4 19" xfId="1563" xr:uid="{4CE951E8-9455-4402-BA8A-3A4D089A7EC1}"/>
    <cellStyle name="Ausgabe 3 2 4 2" xfId="1564" xr:uid="{DCF2E5C3-F675-444F-A930-759080473386}"/>
    <cellStyle name="Ausgabe 3 2 4 2 10" xfId="1565" xr:uid="{1A1A5F39-7395-412E-BFCD-EE2206E554E2}"/>
    <cellStyle name="Ausgabe 3 2 4 2 11" xfId="1566" xr:uid="{AA17D7FC-5AE0-4709-B416-7DBAC9972F0B}"/>
    <cellStyle name="Ausgabe 3 2 4 2 12" xfId="1567" xr:uid="{891C5708-E4BA-4299-9671-31970EE17EA7}"/>
    <cellStyle name="Ausgabe 3 2 4 2 13" xfId="1568" xr:uid="{9B94612B-B088-47D1-97C6-A78CB4D2153C}"/>
    <cellStyle name="Ausgabe 3 2 4 2 14" xfId="1569" xr:uid="{E08E02D2-EA8E-4D2D-B940-1DDBB81ADD57}"/>
    <cellStyle name="Ausgabe 3 2 4 2 15" xfId="1570" xr:uid="{70A68C41-5945-4019-A86A-D67A144279ED}"/>
    <cellStyle name="Ausgabe 3 2 4 2 16" xfId="1571" xr:uid="{6AF8059C-3BE1-475D-B1B8-A5A68B1DB137}"/>
    <cellStyle name="Ausgabe 3 2 4 2 17" xfId="1572" xr:uid="{7FC6E6C7-BEF0-4941-B046-9B00509BCC9C}"/>
    <cellStyle name="Ausgabe 3 2 4 2 18" xfId="1573" xr:uid="{C3F5D2D4-4D62-4896-BC9C-AB143574AA57}"/>
    <cellStyle name="Ausgabe 3 2 4 2 19" xfId="1574" xr:uid="{A6B7AA35-A0D0-430F-AE4C-E9D337876C81}"/>
    <cellStyle name="Ausgabe 3 2 4 2 2" xfId="1575" xr:uid="{705E8ACA-F1ED-4A86-ABBB-7F4BF6DF25CF}"/>
    <cellStyle name="Ausgabe 3 2 4 2 3" xfId="1576" xr:uid="{631CB77D-BB68-495F-9F19-B6B67AA8EC60}"/>
    <cellStyle name="Ausgabe 3 2 4 2 4" xfId="1577" xr:uid="{3EB3322E-CEA2-45CA-9D79-79F99CCE37D0}"/>
    <cellStyle name="Ausgabe 3 2 4 2 5" xfId="1578" xr:uid="{33BBEBD0-EFB0-4A91-B87D-5FB665206046}"/>
    <cellStyle name="Ausgabe 3 2 4 2 6" xfId="1579" xr:uid="{57C96F87-B6E4-4E30-843F-1AD649D515C9}"/>
    <cellStyle name="Ausgabe 3 2 4 2 7" xfId="1580" xr:uid="{6EAA74A0-0AF4-41F1-B863-DAF657BADB7E}"/>
    <cellStyle name="Ausgabe 3 2 4 2 8" xfId="1581" xr:uid="{529E86FC-FF04-426A-A1A8-5F0F2D783DE1}"/>
    <cellStyle name="Ausgabe 3 2 4 2 9" xfId="1582" xr:uid="{9312B183-3701-4083-B881-E484975E0F69}"/>
    <cellStyle name="Ausgabe 3 2 4 20" xfId="1583" xr:uid="{9BDD0996-0504-4D17-A16B-D7F3E61E92EC}"/>
    <cellStyle name="Ausgabe 3 2 4 3" xfId="1584" xr:uid="{C1C75D25-75FD-4E0B-A66F-D73448CDB8DD}"/>
    <cellStyle name="Ausgabe 3 2 4 4" xfId="1585" xr:uid="{797124F9-B7A4-4C36-8280-E450340A365F}"/>
    <cellStyle name="Ausgabe 3 2 4 5" xfId="1586" xr:uid="{B691C5D9-7C90-4667-B028-2304C2C6FC23}"/>
    <cellStyle name="Ausgabe 3 2 4 6" xfId="1587" xr:uid="{B9A9BCCA-6DFA-4A4C-A9EF-F4585B03DAAC}"/>
    <cellStyle name="Ausgabe 3 2 4 7" xfId="1588" xr:uid="{DCF59919-90FB-4028-B03D-9A44AC5A7B0A}"/>
    <cellStyle name="Ausgabe 3 2 4 8" xfId="1589" xr:uid="{A2EFF0C2-C003-4419-BA59-042507605220}"/>
    <cellStyle name="Ausgabe 3 2 4 9" xfId="1590" xr:uid="{ACB43421-3489-4A08-AFE7-6928EFB73E10}"/>
    <cellStyle name="Ausgabe 3 2 5" xfId="1591" xr:uid="{F082920B-5FA9-4AB7-B4B3-CB284F6236FF}"/>
    <cellStyle name="Ausgabe 3 2 5 10" xfId="1592" xr:uid="{CFB7B623-5C44-491A-A294-625C1D225818}"/>
    <cellStyle name="Ausgabe 3 2 5 11" xfId="1593" xr:uid="{AAE04723-2315-4573-A52C-C1CB4023A67C}"/>
    <cellStyle name="Ausgabe 3 2 5 12" xfId="1594" xr:uid="{24270E30-AADC-47F8-AFB0-AF88C2AB79B8}"/>
    <cellStyle name="Ausgabe 3 2 5 13" xfId="1595" xr:uid="{5A351F46-0A6B-46C2-9252-79596039868B}"/>
    <cellStyle name="Ausgabe 3 2 5 14" xfId="1596" xr:uid="{CBE70CCE-A59E-4D66-BC12-E275D94D1239}"/>
    <cellStyle name="Ausgabe 3 2 5 15" xfId="1597" xr:uid="{097D2448-42F6-472D-9CCA-6A5A8E4D6AEB}"/>
    <cellStyle name="Ausgabe 3 2 5 16" xfId="1598" xr:uid="{EAB88133-29A4-4B44-9007-DD7DE00BF3F2}"/>
    <cellStyle name="Ausgabe 3 2 5 17" xfId="1599" xr:uid="{A997ED4C-6B03-44A6-B2A5-9821D6F9915F}"/>
    <cellStyle name="Ausgabe 3 2 5 18" xfId="1600" xr:uid="{AA1F4AA3-3AFE-4941-8CEA-C02EA989ACA3}"/>
    <cellStyle name="Ausgabe 3 2 5 19" xfId="1601" xr:uid="{CB4C1091-A149-4133-9AC2-EA54F27B97B0}"/>
    <cellStyle name="Ausgabe 3 2 5 2" xfId="1602" xr:uid="{26ECDC3F-6733-4EF3-B9F8-5040596FCC93}"/>
    <cellStyle name="Ausgabe 3 2 5 3" xfId="1603" xr:uid="{2EF4B2FD-7D7F-4F83-92A7-3BA43E65B3EA}"/>
    <cellStyle name="Ausgabe 3 2 5 4" xfId="1604" xr:uid="{1ECB28B8-68B9-433A-AA9D-CB1C6CE2EA83}"/>
    <cellStyle name="Ausgabe 3 2 5 5" xfId="1605" xr:uid="{BDA92EA8-85DF-4E2C-898E-06D8E3F07CBC}"/>
    <cellStyle name="Ausgabe 3 2 5 6" xfId="1606" xr:uid="{FB4E7D19-CB32-49FD-B32B-E3EB3ADCCF0B}"/>
    <cellStyle name="Ausgabe 3 2 5 7" xfId="1607" xr:uid="{267F4936-BB79-44BD-925A-15BC1FE11D22}"/>
    <cellStyle name="Ausgabe 3 2 5 8" xfId="1608" xr:uid="{4A5423CF-E407-485A-ADA3-54A120B0E318}"/>
    <cellStyle name="Ausgabe 3 2 5 9" xfId="1609" xr:uid="{92C0576D-F684-4BB6-A69C-6094335B5E80}"/>
    <cellStyle name="Ausgabe 3 2 6" xfId="1610" xr:uid="{676CDC3B-3798-4AD6-B89F-85553F1D80D3}"/>
    <cellStyle name="Ausgabe 3 2 7" xfId="1611" xr:uid="{10E26B95-ED13-4827-9527-B3B73125AE6B}"/>
    <cellStyle name="Ausgabe 3 2 8" xfId="1612" xr:uid="{C57BCA52-CF11-4B13-8BCB-8EA186327345}"/>
    <cellStyle name="Ausgabe 3 2 9" xfId="1613" xr:uid="{FA72F9E2-D7A8-4699-8098-DE72F64EE5AE}"/>
    <cellStyle name="Ausgabe 3 20" xfId="1614" xr:uid="{7D225E26-3D24-4DC9-B672-6CB0DEB3E750}"/>
    <cellStyle name="Ausgabe 3 21" xfId="1615" xr:uid="{96FA12B2-6FAB-45A5-A36D-982AABFCE6A5}"/>
    <cellStyle name="Ausgabe 3 22" xfId="1616" xr:uid="{4D9BDA03-A535-4BC5-9641-B41401131736}"/>
    <cellStyle name="Ausgabe 3 23" xfId="1617" xr:uid="{8BA2E5E6-6C12-4807-9D8E-E47585CD9564}"/>
    <cellStyle name="Ausgabe 3 24" xfId="1618" xr:uid="{4F2AA339-2602-4DA3-99EF-D7322D4E5A38}"/>
    <cellStyle name="Ausgabe 3 3" xfId="1619" xr:uid="{369C6966-F06A-4B7A-9073-73984F88AB13}"/>
    <cellStyle name="Ausgabe 3 3 10" xfId="1620" xr:uid="{F40FF5EB-FF4C-4C19-8B2E-A3A8EE7EE482}"/>
    <cellStyle name="Ausgabe 3 3 11" xfId="1621" xr:uid="{FCD7264B-C255-498B-A3AA-6D04F01FA851}"/>
    <cellStyle name="Ausgabe 3 3 12" xfId="1622" xr:uid="{CE5EBA0C-287A-43CF-A6C6-8B8E645B42F0}"/>
    <cellStyle name="Ausgabe 3 3 13" xfId="1623" xr:uid="{A157F616-2718-4624-A2B6-675D00613558}"/>
    <cellStyle name="Ausgabe 3 3 14" xfId="1624" xr:uid="{6B8EC93C-D4E4-48AB-8E43-BF71338FB964}"/>
    <cellStyle name="Ausgabe 3 3 15" xfId="1625" xr:uid="{2AE81847-9FB1-4DCA-A263-79AC29F105C5}"/>
    <cellStyle name="Ausgabe 3 3 16" xfId="1626" xr:uid="{FDF13C3C-5F19-4F22-A485-4E1EA5877DBD}"/>
    <cellStyle name="Ausgabe 3 3 17" xfId="1627" xr:uid="{D6697256-5147-425B-A827-3234B7513D03}"/>
    <cellStyle name="Ausgabe 3 3 18" xfId="1628" xr:uid="{EE374752-083D-42D0-A31C-EA5A10977C39}"/>
    <cellStyle name="Ausgabe 3 3 19" xfId="1629" xr:uid="{4AA8A385-EB43-4FDE-A223-B1F0D5B9C3DC}"/>
    <cellStyle name="Ausgabe 3 3 2" xfId="1630" xr:uid="{3CF9F9D8-3586-404A-A48E-0C03D12EFB8D}"/>
    <cellStyle name="Ausgabe 3 3 2 10" xfId="1631" xr:uid="{0290E3B6-ED37-4F62-B64A-66F7E9503D59}"/>
    <cellStyle name="Ausgabe 3 3 2 11" xfId="1632" xr:uid="{FF7583F4-4559-46A7-B6C6-453A2277DD05}"/>
    <cellStyle name="Ausgabe 3 3 2 12" xfId="1633" xr:uid="{0BE322BF-D217-442A-BAC8-E523D6C74265}"/>
    <cellStyle name="Ausgabe 3 3 2 13" xfId="1634" xr:uid="{E50F2B5A-48D5-409C-927C-8B3FDD1D38E1}"/>
    <cellStyle name="Ausgabe 3 3 2 14" xfId="1635" xr:uid="{EB9328A8-616E-4657-A865-C0C8FA7EB988}"/>
    <cellStyle name="Ausgabe 3 3 2 15" xfId="1636" xr:uid="{5A66D2C3-2C47-4E0D-B0F0-A86CB202C32A}"/>
    <cellStyle name="Ausgabe 3 3 2 16" xfId="1637" xr:uid="{2B3D5BF8-E8CA-4926-816E-81579B6DFC28}"/>
    <cellStyle name="Ausgabe 3 3 2 17" xfId="1638" xr:uid="{2F8B7479-9230-4F6F-9637-AC69FEED4023}"/>
    <cellStyle name="Ausgabe 3 3 2 18" xfId="1639" xr:uid="{9A2CAB71-2158-4418-B60D-001924C7FEE3}"/>
    <cellStyle name="Ausgabe 3 3 2 19" xfId="1640" xr:uid="{C1F4CC10-4E9C-4BDB-A6B7-09951A0B1C42}"/>
    <cellStyle name="Ausgabe 3 3 2 2" xfId="1641" xr:uid="{5116AB1E-043B-4F55-9F27-ED569F795771}"/>
    <cellStyle name="Ausgabe 3 3 2 3" xfId="1642" xr:uid="{0D1C843C-93FE-4CC9-BE04-6E35250B6F53}"/>
    <cellStyle name="Ausgabe 3 3 2 4" xfId="1643" xr:uid="{498C3FF0-C259-47FB-9D9F-551F538CA6F2}"/>
    <cellStyle name="Ausgabe 3 3 2 5" xfId="1644" xr:uid="{B8FBACF7-C8C4-4C4B-977F-22C39C42037A}"/>
    <cellStyle name="Ausgabe 3 3 2 6" xfId="1645" xr:uid="{9E8AF59C-349D-49F1-BEA4-A98AD3F0178E}"/>
    <cellStyle name="Ausgabe 3 3 2 7" xfId="1646" xr:uid="{7127F046-D88E-4D1A-A881-C789FB58FF53}"/>
    <cellStyle name="Ausgabe 3 3 2 8" xfId="1647" xr:uid="{A7263115-46D3-4711-A081-57460749552C}"/>
    <cellStyle name="Ausgabe 3 3 2 9" xfId="1648" xr:uid="{F455FB0E-6B87-46E5-8852-0469FCF924CC}"/>
    <cellStyle name="Ausgabe 3 3 20" xfId="1649" xr:uid="{46EAA20F-332C-4679-B2D1-2B4C473F4B15}"/>
    <cellStyle name="Ausgabe 3 3 3" xfId="1650" xr:uid="{191F9A83-5AB0-492C-AEF1-2E2EF2788FE0}"/>
    <cellStyle name="Ausgabe 3 3 4" xfId="1651" xr:uid="{F29211D0-3CE7-4C26-8171-940499C0FBB5}"/>
    <cellStyle name="Ausgabe 3 3 5" xfId="1652" xr:uid="{50E4D309-521C-462E-8D84-B74718D268E9}"/>
    <cellStyle name="Ausgabe 3 3 6" xfId="1653" xr:uid="{843F282D-B951-4EF7-8628-0148D24928AC}"/>
    <cellStyle name="Ausgabe 3 3 7" xfId="1654" xr:uid="{E681C1C4-0F2E-4F0B-805A-DF53D5155B18}"/>
    <cellStyle name="Ausgabe 3 3 8" xfId="1655" xr:uid="{6F58F6A2-FFB7-40CC-99EB-739E34379A1C}"/>
    <cellStyle name="Ausgabe 3 3 9" xfId="1656" xr:uid="{C07DA278-7471-43FD-A3F6-DCAF3A64C00D}"/>
    <cellStyle name="Ausgabe 3 4" xfId="1657" xr:uid="{39ACCCEE-C7A6-4ED2-8451-6675D6128ECE}"/>
    <cellStyle name="Ausgabe 3 4 10" xfId="1658" xr:uid="{499327E5-BE0E-43D2-80F7-8B4D24F66E15}"/>
    <cellStyle name="Ausgabe 3 4 11" xfId="1659" xr:uid="{DC861CB0-C9D6-4173-AA81-466BCCDE4F83}"/>
    <cellStyle name="Ausgabe 3 4 12" xfId="1660" xr:uid="{0CD4CE22-D4C5-4B75-979F-A97A469A9B04}"/>
    <cellStyle name="Ausgabe 3 4 13" xfId="1661" xr:uid="{A93DB5F2-08EF-4BBB-8933-2ADE0C9C8C6A}"/>
    <cellStyle name="Ausgabe 3 4 14" xfId="1662" xr:uid="{69575FA5-5DCC-487E-969C-F2A3989362FA}"/>
    <cellStyle name="Ausgabe 3 4 15" xfId="1663" xr:uid="{CA1B4FC4-9B5C-4D30-8EC9-173244B279D7}"/>
    <cellStyle name="Ausgabe 3 4 16" xfId="1664" xr:uid="{5F608991-D2E8-4DDC-9903-C853ECD9FD33}"/>
    <cellStyle name="Ausgabe 3 4 17" xfId="1665" xr:uid="{D95926D6-19B0-4338-9B07-95F221D179B5}"/>
    <cellStyle name="Ausgabe 3 4 18" xfId="1666" xr:uid="{A11054A0-DC19-47F4-AF50-D2FBC1B8C325}"/>
    <cellStyle name="Ausgabe 3 4 19" xfId="1667" xr:uid="{B9BA6902-A009-4913-96D3-C8C99BFDFC2B}"/>
    <cellStyle name="Ausgabe 3 4 2" xfId="1668" xr:uid="{E7C0BF37-5ABB-48DD-9075-41603142856D}"/>
    <cellStyle name="Ausgabe 3 4 2 10" xfId="1669" xr:uid="{618628A0-5C2B-4A39-8F24-94DE1F6F96F0}"/>
    <cellStyle name="Ausgabe 3 4 2 11" xfId="1670" xr:uid="{B0810ED5-EE53-4CE9-BEAA-B4C3DC28EFF3}"/>
    <cellStyle name="Ausgabe 3 4 2 12" xfId="1671" xr:uid="{A52EF61E-D5FD-49FD-9829-F31F427BB9B7}"/>
    <cellStyle name="Ausgabe 3 4 2 13" xfId="1672" xr:uid="{C9FDCBBA-29D3-4C9C-8642-6A80575BBEFD}"/>
    <cellStyle name="Ausgabe 3 4 2 14" xfId="1673" xr:uid="{58A20D23-9EA0-4867-9A1A-9B15A2B13989}"/>
    <cellStyle name="Ausgabe 3 4 2 15" xfId="1674" xr:uid="{3C2449E8-F3A9-42C3-932B-76559DDD346D}"/>
    <cellStyle name="Ausgabe 3 4 2 16" xfId="1675" xr:uid="{1C9FE48F-CB38-493E-90D9-9DA02FCDD398}"/>
    <cellStyle name="Ausgabe 3 4 2 17" xfId="1676" xr:uid="{E9BD1F01-7494-4E5F-9CCC-8C3380F64D00}"/>
    <cellStyle name="Ausgabe 3 4 2 18" xfId="1677" xr:uid="{7C64902A-277F-47AD-AFD8-61376E62D064}"/>
    <cellStyle name="Ausgabe 3 4 2 19" xfId="1678" xr:uid="{080734C8-FA90-43DC-B5DB-5F61E51DE164}"/>
    <cellStyle name="Ausgabe 3 4 2 2" xfId="1679" xr:uid="{5DE962C1-9EAB-47F2-ABA0-F2C1BEE54E89}"/>
    <cellStyle name="Ausgabe 3 4 2 3" xfId="1680" xr:uid="{498E908E-F37B-45CF-8A19-133E34434331}"/>
    <cellStyle name="Ausgabe 3 4 2 4" xfId="1681" xr:uid="{092FD03C-2D2D-4202-BF8C-6388E8614492}"/>
    <cellStyle name="Ausgabe 3 4 2 5" xfId="1682" xr:uid="{8795CA20-19B1-4B41-8EBE-3D5E1D341DF3}"/>
    <cellStyle name="Ausgabe 3 4 2 6" xfId="1683" xr:uid="{E8606FD3-4B9F-4676-BB3E-DD490627CDCA}"/>
    <cellStyle name="Ausgabe 3 4 2 7" xfId="1684" xr:uid="{28D845BF-585A-453F-A362-794067E91A84}"/>
    <cellStyle name="Ausgabe 3 4 2 8" xfId="1685" xr:uid="{9B33BA59-F07E-4D41-B10A-0794B37D980C}"/>
    <cellStyle name="Ausgabe 3 4 2 9" xfId="1686" xr:uid="{A66B94EF-4E89-439D-BD9B-5172044EA2C9}"/>
    <cellStyle name="Ausgabe 3 4 20" xfId="1687" xr:uid="{D79EFEAC-72BA-4291-9D65-9B117E51241C}"/>
    <cellStyle name="Ausgabe 3 4 3" xfId="1688" xr:uid="{0EE94A92-CB89-47DC-9B0F-2D37853BD169}"/>
    <cellStyle name="Ausgabe 3 4 4" xfId="1689" xr:uid="{A4A92713-9B54-4C5A-BA3E-4E52B5834B16}"/>
    <cellStyle name="Ausgabe 3 4 5" xfId="1690" xr:uid="{B4F7E602-3EEB-4E9C-B8B0-CE238065CA56}"/>
    <cellStyle name="Ausgabe 3 4 6" xfId="1691" xr:uid="{9827A79A-C5F2-4E08-A0B4-6BC903014DD6}"/>
    <cellStyle name="Ausgabe 3 4 7" xfId="1692" xr:uid="{C86FADB6-F4CE-4BD8-A14C-006DD5C4C9F3}"/>
    <cellStyle name="Ausgabe 3 4 8" xfId="1693" xr:uid="{9B74F853-1AB2-421A-B904-586F634B4BF6}"/>
    <cellStyle name="Ausgabe 3 4 9" xfId="1694" xr:uid="{5E3E7E0B-4296-402D-BC0B-B4369BD01209}"/>
    <cellStyle name="Ausgabe 3 5" xfId="1695" xr:uid="{A6A2CA1C-8C3D-45C2-BFE0-C63CC8CC624E}"/>
    <cellStyle name="Ausgabe 3 5 10" xfId="1696" xr:uid="{64665CEE-7E11-4D6A-A835-EBAA9BFF2B65}"/>
    <cellStyle name="Ausgabe 3 5 11" xfId="1697" xr:uid="{478CD03B-3ADF-40CC-865D-EB68C788C310}"/>
    <cellStyle name="Ausgabe 3 5 12" xfId="1698" xr:uid="{641828A0-F9C3-4F9C-ABE7-B437D3371F84}"/>
    <cellStyle name="Ausgabe 3 5 13" xfId="1699" xr:uid="{210B839F-20DA-478D-B92D-047A7DBC4A87}"/>
    <cellStyle name="Ausgabe 3 5 14" xfId="1700" xr:uid="{6555081F-2061-4870-8A88-97FC8A749B5F}"/>
    <cellStyle name="Ausgabe 3 5 15" xfId="1701" xr:uid="{0A2F9964-03BD-4AE2-A1A8-6582F99AA13A}"/>
    <cellStyle name="Ausgabe 3 5 16" xfId="1702" xr:uid="{C697B4E3-006D-43C8-B82E-635E3725AAE0}"/>
    <cellStyle name="Ausgabe 3 5 17" xfId="1703" xr:uid="{8720C0B8-B6F2-4BA4-BF26-9D11686D76F7}"/>
    <cellStyle name="Ausgabe 3 5 18" xfId="1704" xr:uid="{AB17B81D-1D8A-46AB-AD38-39E9D517B176}"/>
    <cellStyle name="Ausgabe 3 5 19" xfId="1705" xr:uid="{758F6662-9E50-4BAC-9900-B8550B860F06}"/>
    <cellStyle name="Ausgabe 3 5 2" xfId="1706" xr:uid="{2A4B1D8A-C9DF-446D-817C-E8DA3A38A044}"/>
    <cellStyle name="Ausgabe 3 5 2 10" xfId="1707" xr:uid="{084805C1-AB5E-4AC8-B3E1-5DBCD677B2AA}"/>
    <cellStyle name="Ausgabe 3 5 2 11" xfId="1708" xr:uid="{04926C9B-3799-4136-B1A4-10C22F614C52}"/>
    <cellStyle name="Ausgabe 3 5 2 12" xfId="1709" xr:uid="{EF918F8B-DFE2-4619-B33F-EAAF3882DC8B}"/>
    <cellStyle name="Ausgabe 3 5 2 13" xfId="1710" xr:uid="{D7E91609-B3CC-49E9-925C-8899F7AB44E7}"/>
    <cellStyle name="Ausgabe 3 5 2 14" xfId="1711" xr:uid="{F67C85E8-5B47-4204-B02E-1287607F7F36}"/>
    <cellStyle name="Ausgabe 3 5 2 15" xfId="1712" xr:uid="{2CD22D37-EAA1-485A-9CD8-5A3C8B9A2B3A}"/>
    <cellStyle name="Ausgabe 3 5 2 16" xfId="1713" xr:uid="{F90E32CC-4386-4DDF-BAC4-2AD1FC83EC9A}"/>
    <cellStyle name="Ausgabe 3 5 2 17" xfId="1714" xr:uid="{A0028E0B-EE0A-4877-B3F5-D7BB4E0A676E}"/>
    <cellStyle name="Ausgabe 3 5 2 18" xfId="1715" xr:uid="{9EF3D1F1-6EAB-4A2D-B84B-E2A9C43EF666}"/>
    <cellStyle name="Ausgabe 3 5 2 19" xfId="1716" xr:uid="{5D262947-1072-4DA9-9865-6013031F5A77}"/>
    <cellStyle name="Ausgabe 3 5 2 2" xfId="1717" xr:uid="{D147D232-7CB9-4E62-8DBB-22DE22FAAA95}"/>
    <cellStyle name="Ausgabe 3 5 2 3" xfId="1718" xr:uid="{1367C185-A87C-4277-B6C8-9C182BF13EB8}"/>
    <cellStyle name="Ausgabe 3 5 2 4" xfId="1719" xr:uid="{FA0D9007-5640-43F1-9D26-22284608DEE5}"/>
    <cellStyle name="Ausgabe 3 5 2 5" xfId="1720" xr:uid="{57F8283C-5DB4-428B-A388-68DC4DC0C7C5}"/>
    <cellStyle name="Ausgabe 3 5 2 6" xfId="1721" xr:uid="{9012E8B9-1D87-4083-9459-E6A9CAB86FA7}"/>
    <cellStyle name="Ausgabe 3 5 2 7" xfId="1722" xr:uid="{15D835CE-3AF1-4490-8B53-E41B227F3302}"/>
    <cellStyle name="Ausgabe 3 5 2 8" xfId="1723" xr:uid="{AC511C82-542D-4B8C-9DD6-731CBFD421E7}"/>
    <cellStyle name="Ausgabe 3 5 2 9" xfId="1724" xr:uid="{7E48F33F-590C-44EE-A8B8-1607BAFA976C}"/>
    <cellStyle name="Ausgabe 3 5 20" xfId="1725" xr:uid="{3FAC35D4-9D19-46AB-80B7-CDA63C1149E6}"/>
    <cellStyle name="Ausgabe 3 5 3" xfId="1726" xr:uid="{A8E29085-A74E-46A6-93AF-6B3ADBA2C639}"/>
    <cellStyle name="Ausgabe 3 5 4" xfId="1727" xr:uid="{232D803A-6A6C-429C-BF07-68770CD6D9E1}"/>
    <cellStyle name="Ausgabe 3 5 5" xfId="1728" xr:uid="{325461DC-1588-4467-9EE6-68748376CDAC}"/>
    <cellStyle name="Ausgabe 3 5 6" xfId="1729" xr:uid="{EE852455-26F3-4F03-AC95-408A5352F4A5}"/>
    <cellStyle name="Ausgabe 3 5 7" xfId="1730" xr:uid="{48CC91E6-43E1-42D2-878C-8EAC090C09F8}"/>
    <cellStyle name="Ausgabe 3 5 8" xfId="1731" xr:uid="{67D2D1B2-BEDA-4B70-9506-6563F8A93CC4}"/>
    <cellStyle name="Ausgabe 3 5 9" xfId="1732" xr:uid="{97AD05B9-AC5D-4448-AAFD-E8493578D412}"/>
    <cellStyle name="Ausgabe 3 6" xfId="1733" xr:uid="{56EBD5A4-1D95-46A6-8E56-9974F5FA63C2}"/>
    <cellStyle name="Ausgabe 3 6 10" xfId="1734" xr:uid="{D86EB1AA-DFD0-4B37-A5DE-4055EDA540EA}"/>
    <cellStyle name="Ausgabe 3 6 11" xfId="1735" xr:uid="{794E4DC7-CB7A-4BD7-80D8-045B7761DF79}"/>
    <cellStyle name="Ausgabe 3 6 12" xfId="1736" xr:uid="{95C1EA98-11F0-4F6B-832E-B64053742D2A}"/>
    <cellStyle name="Ausgabe 3 6 13" xfId="1737" xr:uid="{7F643794-0A94-4134-B387-A4BAEDA369B7}"/>
    <cellStyle name="Ausgabe 3 6 14" xfId="1738" xr:uid="{5E2DE66F-85B2-4C32-A887-72BBB9D8A725}"/>
    <cellStyle name="Ausgabe 3 6 15" xfId="1739" xr:uid="{494D3DD1-7E07-4A1C-9652-9602EA449FB7}"/>
    <cellStyle name="Ausgabe 3 6 16" xfId="1740" xr:uid="{939A9A58-57DA-49A3-B6C0-B31D3E8424FD}"/>
    <cellStyle name="Ausgabe 3 6 17" xfId="1741" xr:uid="{DEBE6B51-7395-4CB3-B686-C2F036C5ACBF}"/>
    <cellStyle name="Ausgabe 3 6 18" xfId="1742" xr:uid="{CB83BA05-9184-47B3-8D4C-A02CB24A39A0}"/>
    <cellStyle name="Ausgabe 3 6 19" xfId="1743" xr:uid="{FFBC4CBE-F830-4808-A014-C59D29BA212B}"/>
    <cellStyle name="Ausgabe 3 6 2" xfId="1744" xr:uid="{BBF31621-A99F-4558-9DE8-2DAB9DC3945F}"/>
    <cellStyle name="Ausgabe 3 6 3" xfId="1745" xr:uid="{2CC3576C-B4F7-4BC5-A636-BFB9A245DC9C}"/>
    <cellStyle name="Ausgabe 3 6 4" xfId="1746" xr:uid="{A0EEC21C-2499-471E-8C5D-F0DF0C6DF8D3}"/>
    <cellStyle name="Ausgabe 3 6 5" xfId="1747" xr:uid="{DC89CBCF-6149-4FEE-B7D6-0DFCFFED8776}"/>
    <cellStyle name="Ausgabe 3 6 6" xfId="1748" xr:uid="{95DFB04B-736D-4410-88FB-B77C7FD8CB72}"/>
    <cellStyle name="Ausgabe 3 6 7" xfId="1749" xr:uid="{6EF65B6C-A102-4D4C-8E8E-F9E1D45436AB}"/>
    <cellStyle name="Ausgabe 3 6 8" xfId="1750" xr:uid="{C9A37556-FD7F-40E6-B05C-E3E8724E1101}"/>
    <cellStyle name="Ausgabe 3 6 9" xfId="1751" xr:uid="{DAE8BED4-2AB0-48F1-B028-607F0409E1C4}"/>
    <cellStyle name="Ausgabe 3 7" xfId="1752" xr:uid="{078CC8DD-836F-4D3F-B6C2-4B8E1403FA14}"/>
    <cellStyle name="Ausgabe 3 7 2" xfId="1753" xr:uid="{2770D8A5-D0B5-4403-99CC-5C3FC371120A}"/>
    <cellStyle name="Ausgabe 3 8" xfId="1754" xr:uid="{F431E836-C820-4D4D-B505-2DF3A3C347D9}"/>
    <cellStyle name="Ausgabe 3 9" xfId="1755" xr:uid="{FEBF0E47-AA16-4955-AFDC-E47D6D5F4CE0}"/>
    <cellStyle name="Ausgabe 4" xfId="1756" xr:uid="{A5862FFC-6D84-43D1-9F03-4EE7BF9E8759}"/>
    <cellStyle name="Ausgabe 4 10" xfId="1757" xr:uid="{D3C868D2-585A-4ABC-A93B-B2584D5DE762}"/>
    <cellStyle name="Ausgabe 4 11" xfId="1758" xr:uid="{7790F83D-7E17-4466-AB9D-950CA7813677}"/>
    <cellStyle name="Ausgabe 4 12" xfId="1759" xr:uid="{A0C5EBCD-D073-4134-B990-23A39BA6B128}"/>
    <cellStyle name="Ausgabe 4 13" xfId="1760" xr:uid="{FAB4A078-1226-4321-8B56-CFAA536CE9DE}"/>
    <cellStyle name="Ausgabe 4 14" xfId="1761" xr:uid="{D889112B-C5FF-42A9-986F-FFF55F861D1A}"/>
    <cellStyle name="Ausgabe 4 15" xfId="1762" xr:uid="{DA8AE1A3-3442-4DE4-82F8-B20626FAAA3A}"/>
    <cellStyle name="Ausgabe 4 16" xfId="1763" xr:uid="{753FA763-753A-4909-9661-6A678D1C358E}"/>
    <cellStyle name="Ausgabe 4 17" xfId="1764" xr:uid="{A6DB0929-FFD7-49DB-A22A-9737CCDF5493}"/>
    <cellStyle name="Ausgabe 4 18" xfId="1765" xr:uid="{DB0F6ED7-BFCA-4117-89A2-18EE002DB17B}"/>
    <cellStyle name="Ausgabe 4 19" xfId="1766" xr:uid="{B59E25B2-E456-41B6-B369-244DDA3C3676}"/>
    <cellStyle name="Ausgabe 4 2" xfId="1767" xr:uid="{574EC241-CA20-4D6F-B01B-9BA3BF2A6C8F}"/>
    <cellStyle name="Ausgabe 4 2 10" xfId="1768" xr:uid="{5E1FD166-4F80-4764-9646-85F5AA2083F9}"/>
    <cellStyle name="Ausgabe 4 2 11" xfId="1769" xr:uid="{6A8DBB6A-3121-4E3B-AAD1-74619E22A229}"/>
    <cellStyle name="Ausgabe 4 2 12" xfId="1770" xr:uid="{166BDFF2-905E-4026-A531-EF9F01688E36}"/>
    <cellStyle name="Ausgabe 4 2 13" xfId="1771" xr:uid="{0B1B8C3A-C1A8-4D5C-AFC3-8ABD77282FA4}"/>
    <cellStyle name="Ausgabe 4 2 14" xfId="1772" xr:uid="{2DDA8921-13FE-4DD2-9089-E2B6CFEF7AD7}"/>
    <cellStyle name="Ausgabe 4 2 15" xfId="1773" xr:uid="{7E6E2594-4011-46BB-89AC-328BA62269C3}"/>
    <cellStyle name="Ausgabe 4 2 16" xfId="1774" xr:uid="{74FF6611-B8B9-4C2B-A3C3-988A5F318F18}"/>
    <cellStyle name="Ausgabe 4 2 17" xfId="1775" xr:uid="{B199C195-F78E-462C-A28E-2F0D961C8D07}"/>
    <cellStyle name="Ausgabe 4 2 18" xfId="1776" xr:uid="{8208BFFE-51B3-4CAE-8211-1EBDE5B67E4B}"/>
    <cellStyle name="Ausgabe 4 2 19" xfId="1777" xr:uid="{3BC23072-BBB5-4D1B-8366-168BD6108471}"/>
    <cellStyle name="Ausgabe 4 2 2" xfId="1778" xr:uid="{53808D57-EC4E-43E9-B930-71F2ED79A962}"/>
    <cellStyle name="Ausgabe 4 2 2 10" xfId="1779" xr:uid="{4CB26055-FE07-4A38-AAE9-F8FCCCFDE441}"/>
    <cellStyle name="Ausgabe 4 2 2 11" xfId="1780" xr:uid="{35C1A37E-E13E-4759-85EF-16B0A1B4D4A6}"/>
    <cellStyle name="Ausgabe 4 2 2 12" xfId="1781" xr:uid="{6B2AD4ED-02C7-4820-A3B7-59EFD46F5E02}"/>
    <cellStyle name="Ausgabe 4 2 2 13" xfId="1782" xr:uid="{8E021D0D-0F6D-4986-9773-DB126337F368}"/>
    <cellStyle name="Ausgabe 4 2 2 14" xfId="1783" xr:uid="{89B764D2-C269-4860-8571-B83D1EB22FC8}"/>
    <cellStyle name="Ausgabe 4 2 2 15" xfId="1784" xr:uid="{A40EB7AD-C164-4CA7-BABB-85F33E163459}"/>
    <cellStyle name="Ausgabe 4 2 2 16" xfId="1785" xr:uid="{26C1615B-1533-41E4-B308-4D39FAA197FF}"/>
    <cellStyle name="Ausgabe 4 2 2 17" xfId="1786" xr:uid="{C6D37F20-1CB5-4219-AF38-470320ABBB99}"/>
    <cellStyle name="Ausgabe 4 2 2 18" xfId="1787" xr:uid="{1B960BBE-2A63-48C9-B26C-9E8ABAF54C66}"/>
    <cellStyle name="Ausgabe 4 2 2 19" xfId="1788" xr:uid="{AFCF005E-3389-447C-982E-65B5AA9B54BE}"/>
    <cellStyle name="Ausgabe 4 2 2 2" xfId="1789" xr:uid="{B5984ACD-F0B4-4C9A-8E47-1B059840011C}"/>
    <cellStyle name="Ausgabe 4 2 2 3" xfId="1790" xr:uid="{F3A088F7-25D5-408C-9A60-E208C4897F7F}"/>
    <cellStyle name="Ausgabe 4 2 2 4" xfId="1791" xr:uid="{756C7CA8-3A3F-4E3E-8FD5-1FD1437B1871}"/>
    <cellStyle name="Ausgabe 4 2 2 5" xfId="1792" xr:uid="{89BB3992-CC6C-4C0B-AE02-C3A899F6EA0B}"/>
    <cellStyle name="Ausgabe 4 2 2 6" xfId="1793" xr:uid="{DA21CC38-9A29-4894-93D6-E58BAA9C203E}"/>
    <cellStyle name="Ausgabe 4 2 2 7" xfId="1794" xr:uid="{F1A9D788-F4F8-4E96-A419-2B559E5EB625}"/>
    <cellStyle name="Ausgabe 4 2 2 8" xfId="1795" xr:uid="{8F47A0A7-8573-4579-9605-42F0EE7467B9}"/>
    <cellStyle name="Ausgabe 4 2 2 9" xfId="1796" xr:uid="{55C4A047-A627-4BB6-AB21-F51A06D2ECCD}"/>
    <cellStyle name="Ausgabe 4 2 20" xfId="1797" xr:uid="{6F4AD516-CE02-42C3-A03C-80A8BCC07C6D}"/>
    <cellStyle name="Ausgabe 4 2 3" xfId="1798" xr:uid="{DA4E3A05-6890-4596-8742-E87228DCCF59}"/>
    <cellStyle name="Ausgabe 4 2 4" xfId="1799" xr:uid="{952BC768-6411-4151-A488-2AD1655E5478}"/>
    <cellStyle name="Ausgabe 4 2 5" xfId="1800" xr:uid="{1AC7C466-59E5-436F-856C-5005B6BC52A9}"/>
    <cellStyle name="Ausgabe 4 2 6" xfId="1801" xr:uid="{35AB1779-5A9D-4450-A055-4D5A0A916C8B}"/>
    <cellStyle name="Ausgabe 4 2 7" xfId="1802" xr:uid="{EB3044BA-11C4-44B1-9043-D2AA5DCE169C}"/>
    <cellStyle name="Ausgabe 4 2 8" xfId="1803" xr:uid="{5D6657B0-F032-4676-AB81-D02D58858853}"/>
    <cellStyle name="Ausgabe 4 2 9" xfId="1804" xr:uid="{DDA5F509-3490-43A0-A1D6-C7643471057D}"/>
    <cellStyle name="Ausgabe 4 20" xfId="1805" xr:uid="{9FAF5A2E-6BA3-4E74-93CD-EBF253CB3D5A}"/>
    <cellStyle name="Ausgabe 4 21" xfId="1806" xr:uid="{1609544E-156E-45B0-8596-EA4FEBBF9E7F}"/>
    <cellStyle name="Ausgabe 4 22" xfId="1807" xr:uid="{7FEB3426-4FAE-4149-878F-EEECEFA532FB}"/>
    <cellStyle name="Ausgabe 4 23" xfId="1808" xr:uid="{645BA7E0-7617-48BA-9D34-0DE9CDCFCEAA}"/>
    <cellStyle name="Ausgabe 4 3" xfId="1809" xr:uid="{70B6A658-F3AB-4916-9515-1782FCEAFAAC}"/>
    <cellStyle name="Ausgabe 4 3 10" xfId="1810" xr:uid="{44894C38-05F9-4BF6-8721-044045036493}"/>
    <cellStyle name="Ausgabe 4 3 11" xfId="1811" xr:uid="{D3EA0537-55C6-492A-9B96-3B45B6E53E24}"/>
    <cellStyle name="Ausgabe 4 3 12" xfId="1812" xr:uid="{2B5711A4-16FD-4295-9414-64C1563D6C9B}"/>
    <cellStyle name="Ausgabe 4 3 13" xfId="1813" xr:uid="{22FBE46D-4498-4220-92C7-3E8ED76AA0CE}"/>
    <cellStyle name="Ausgabe 4 3 14" xfId="1814" xr:uid="{11F3374D-6574-477B-A870-000C572ED47F}"/>
    <cellStyle name="Ausgabe 4 3 15" xfId="1815" xr:uid="{89342CF1-1944-4A38-9321-EB92FBD0B062}"/>
    <cellStyle name="Ausgabe 4 3 16" xfId="1816" xr:uid="{7CBD1AED-CD6F-4D0F-97EC-E37CE17C83E4}"/>
    <cellStyle name="Ausgabe 4 3 17" xfId="1817" xr:uid="{56CF226A-45B1-4491-9A4A-E6ED02740D08}"/>
    <cellStyle name="Ausgabe 4 3 18" xfId="1818" xr:uid="{CFB4C1FC-1478-4085-A885-E44CACBA2AB2}"/>
    <cellStyle name="Ausgabe 4 3 19" xfId="1819" xr:uid="{1D4352E8-0C99-4CF1-9667-552645D7F6A9}"/>
    <cellStyle name="Ausgabe 4 3 2" xfId="1820" xr:uid="{745ABBD1-2204-4E5E-8B19-11E1083F13CE}"/>
    <cellStyle name="Ausgabe 4 3 2 10" xfId="1821" xr:uid="{C151248A-B3F6-4E5E-B782-C018F010F302}"/>
    <cellStyle name="Ausgabe 4 3 2 11" xfId="1822" xr:uid="{D818DE6C-9A93-4629-8D46-97D3978B7F26}"/>
    <cellStyle name="Ausgabe 4 3 2 12" xfId="1823" xr:uid="{628517EB-F857-42AA-AC4E-7DA4937D9532}"/>
    <cellStyle name="Ausgabe 4 3 2 13" xfId="1824" xr:uid="{C9EDF3AD-295E-489A-89AA-64CAF1C6F52B}"/>
    <cellStyle name="Ausgabe 4 3 2 14" xfId="1825" xr:uid="{BF83311F-39C8-439F-B24D-CC1AE7E6E2BE}"/>
    <cellStyle name="Ausgabe 4 3 2 15" xfId="1826" xr:uid="{1B54A1E7-C57C-45D4-967B-13CBE3CE0A66}"/>
    <cellStyle name="Ausgabe 4 3 2 16" xfId="1827" xr:uid="{1ED904C8-3830-424A-BFC5-FBF0167229C7}"/>
    <cellStyle name="Ausgabe 4 3 2 17" xfId="1828" xr:uid="{D75B0ADF-B7B1-4C49-8049-C7EFD08CFF89}"/>
    <cellStyle name="Ausgabe 4 3 2 18" xfId="1829" xr:uid="{9780C646-9235-454A-B786-FEC09C61C5EF}"/>
    <cellStyle name="Ausgabe 4 3 2 19" xfId="1830" xr:uid="{879E5246-3D0D-407B-9D39-D950DF8DB92C}"/>
    <cellStyle name="Ausgabe 4 3 2 2" xfId="1831" xr:uid="{E30EEA9B-824C-4C87-BBCF-04F669F94F1F}"/>
    <cellStyle name="Ausgabe 4 3 2 3" xfId="1832" xr:uid="{DA3D5FCE-CB7C-43BA-9DC2-2388565B0985}"/>
    <cellStyle name="Ausgabe 4 3 2 4" xfId="1833" xr:uid="{0C6C56C2-A858-4E55-B7C5-3A96898BA267}"/>
    <cellStyle name="Ausgabe 4 3 2 5" xfId="1834" xr:uid="{05829C01-D9C7-42A5-B73E-5BD0B400F679}"/>
    <cellStyle name="Ausgabe 4 3 2 6" xfId="1835" xr:uid="{E0B7A9BF-FBD9-46F2-AAFD-31563051CC89}"/>
    <cellStyle name="Ausgabe 4 3 2 7" xfId="1836" xr:uid="{CF264D8C-B7B7-40B6-9944-132C10CA4DDE}"/>
    <cellStyle name="Ausgabe 4 3 2 8" xfId="1837" xr:uid="{E6F50411-20ED-420E-AC77-2FFFEBA18755}"/>
    <cellStyle name="Ausgabe 4 3 2 9" xfId="1838" xr:uid="{D64FA84B-BD39-46CA-B61A-BFE05D7780A0}"/>
    <cellStyle name="Ausgabe 4 3 20" xfId="1839" xr:uid="{3EC0577C-CDDC-4440-B877-EFC426AE2B80}"/>
    <cellStyle name="Ausgabe 4 3 3" xfId="1840" xr:uid="{71F43DAB-5D34-4C84-8C7F-5790556D88E8}"/>
    <cellStyle name="Ausgabe 4 3 4" xfId="1841" xr:uid="{742AFCDF-0848-461C-BE91-36AD3E707E89}"/>
    <cellStyle name="Ausgabe 4 3 5" xfId="1842" xr:uid="{3E735F49-4F99-45EA-86E1-F66EEF9CBE35}"/>
    <cellStyle name="Ausgabe 4 3 6" xfId="1843" xr:uid="{C87D7C13-7FF3-4234-942D-55C04A2B913E}"/>
    <cellStyle name="Ausgabe 4 3 7" xfId="1844" xr:uid="{447B7BA4-85B6-48F9-BD86-EF713584B8EF}"/>
    <cellStyle name="Ausgabe 4 3 8" xfId="1845" xr:uid="{0684F1A3-7CD3-4216-AD2D-38328D3B4B71}"/>
    <cellStyle name="Ausgabe 4 3 9" xfId="1846" xr:uid="{C067938E-AFEB-4CF4-BB09-2705AEE114FC}"/>
    <cellStyle name="Ausgabe 4 4" xfId="1847" xr:uid="{4C15BC93-1868-4377-96BE-02AFEE710436}"/>
    <cellStyle name="Ausgabe 4 4 10" xfId="1848" xr:uid="{C8C204D8-5AC4-453F-B86F-E2AE47B4E071}"/>
    <cellStyle name="Ausgabe 4 4 11" xfId="1849" xr:uid="{C1D33E4D-7AA9-4C74-8A3B-6498862E1E19}"/>
    <cellStyle name="Ausgabe 4 4 12" xfId="1850" xr:uid="{0A88BB9C-1A2E-42C3-B073-D1CB84308DAD}"/>
    <cellStyle name="Ausgabe 4 4 13" xfId="1851" xr:uid="{2D337E03-3EF4-437F-842B-532B8B0EAEA3}"/>
    <cellStyle name="Ausgabe 4 4 14" xfId="1852" xr:uid="{E2DCA2DF-B332-4A0D-927B-093F0BA3F7B3}"/>
    <cellStyle name="Ausgabe 4 4 15" xfId="1853" xr:uid="{324794C3-9083-43A2-8231-1F70D6938075}"/>
    <cellStyle name="Ausgabe 4 4 16" xfId="1854" xr:uid="{9B8DE4C7-FD4E-447E-87DB-0EE05B63FA54}"/>
    <cellStyle name="Ausgabe 4 4 17" xfId="1855" xr:uid="{7838085B-D5B2-4D3E-908A-69FF01A5F054}"/>
    <cellStyle name="Ausgabe 4 4 18" xfId="1856" xr:uid="{B887C3BA-A5E7-4E9A-A928-030003C5CD68}"/>
    <cellStyle name="Ausgabe 4 4 19" xfId="1857" xr:uid="{E58D1512-130A-42AC-A1E8-56FCCABD2F9D}"/>
    <cellStyle name="Ausgabe 4 4 2" xfId="1858" xr:uid="{64B556A9-1A37-4A72-9C09-F1A7384A3C1B}"/>
    <cellStyle name="Ausgabe 4 4 2 10" xfId="1859" xr:uid="{064B33AD-563F-4F62-AFCD-7B2BC016DC15}"/>
    <cellStyle name="Ausgabe 4 4 2 11" xfId="1860" xr:uid="{20AB014C-6611-4523-A043-D64AE63C7447}"/>
    <cellStyle name="Ausgabe 4 4 2 12" xfId="1861" xr:uid="{6088A96C-45BC-48EB-85F0-9E8931E8391A}"/>
    <cellStyle name="Ausgabe 4 4 2 13" xfId="1862" xr:uid="{7672B99E-8861-482E-8B3F-DC693690E863}"/>
    <cellStyle name="Ausgabe 4 4 2 14" xfId="1863" xr:uid="{84432513-F5DF-41AD-A53D-60FDBB0A3B0F}"/>
    <cellStyle name="Ausgabe 4 4 2 15" xfId="1864" xr:uid="{B42A6012-4C6E-4F34-A6DD-45C625D29EC5}"/>
    <cellStyle name="Ausgabe 4 4 2 16" xfId="1865" xr:uid="{323D57C3-24F6-4DE9-AAF8-00C33BE83D2A}"/>
    <cellStyle name="Ausgabe 4 4 2 17" xfId="1866" xr:uid="{028A0549-EC16-46B4-A2E0-DF8E67D5C1B7}"/>
    <cellStyle name="Ausgabe 4 4 2 18" xfId="1867" xr:uid="{04114C12-FE5A-484D-8CA2-A55C27BF684E}"/>
    <cellStyle name="Ausgabe 4 4 2 19" xfId="1868" xr:uid="{95D20F09-8C28-4867-8AE2-7C17EC0B4646}"/>
    <cellStyle name="Ausgabe 4 4 2 2" xfId="1869" xr:uid="{5E3A3562-1C67-4413-BCDA-0457CE194988}"/>
    <cellStyle name="Ausgabe 4 4 2 3" xfId="1870" xr:uid="{4D63F59E-A41C-4461-A05A-D824EA11D3C3}"/>
    <cellStyle name="Ausgabe 4 4 2 4" xfId="1871" xr:uid="{304C58B9-5E30-4C68-BECC-35B9C2063D01}"/>
    <cellStyle name="Ausgabe 4 4 2 5" xfId="1872" xr:uid="{0048FCB0-8245-4122-A105-D06E4D90C42B}"/>
    <cellStyle name="Ausgabe 4 4 2 6" xfId="1873" xr:uid="{8F558DF8-86AC-4997-A24C-FBDC058845CC}"/>
    <cellStyle name="Ausgabe 4 4 2 7" xfId="1874" xr:uid="{72540063-728C-4E7D-AE08-67206C01F785}"/>
    <cellStyle name="Ausgabe 4 4 2 8" xfId="1875" xr:uid="{92DB5572-4D03-4465-9F2B-F6AC5464AA3F}"/>
    <cellStyle name="Ausgabe 4 4 2 9" xfId="1876" xr:uid="{E9779DD4-B320-4323-809C-D0FF54A1A667}"/>
    <cellStyle name="Ausgabe 4 4 20" xfId="1877" xr:uid="{D39DE6C2-D9CF-476D-A460-ACA9C85085E8}"/>
    <cellStyle name="Ausgabe 4 4 3" xfId="1878" xr:uid="{4D15C9B2-8174-4F0F-B847-9AD29E8DCBCE}"/>
    <cellStyle name="Ausgabe 4 4 4" xfId="1879" xr:uid="{85EE84F4-5CCD-4F27-85C7-F4570383BDBC}"/>
    <cellStyle name="Ausgabe 4 4 5" xfId="1880" xr:uid="{10AF048D-51B9-4806-BD82-08D4E1433F2B}"/>
    <cellStyle name="Ausgabe 4 4 6" xfId="1881" xr:uid="{948ACDFC-C324-4BB1-9E0F-BAC8E8A0598A}"/>
    <cellStyle name="Ausgabe 4 4 7" xfId="1882" xr:uid="{194CF44D-D657-45E4-B7BF-5229C2071F34}"/>
    <cellStyle name="Ausgabe 4 4 8" xfId="1883" xr:uid="{8BDFA60C-5D44-44FD-9845-B10DC534C3A5}"/>
    <cellStyle name="Ausgabe 4 4 9" xfId="1884" xr:uid="{7E55D690-9135-488F-8FF8-3A7AFD74AD79}"/>
    <cellStyle name="Ausgabe 4 5" xfId="1885" xr:uid="{C068F18A-47C2-4A8A-BBCE-04EFD09FA018}"/>
    <cellStyle name="Ausgabe 4 5 10" xfId="1886" xr:uid="{96947B7C-BD79-4713-897F-7DE1283C6313}"/>
    <cellStyle name="Ausgabe 4 5 11" xfId="1887" xr:uid="{99944409-7A57-421F-A8D7-67C2F9564E6E}"/>
    <cellStyle name="Ausgabe 4 5 12" xfId="1888" xr:uid="{229229A0-C591-4D33-88DF-A886A629C602}"/>
    <cellStyle name="Ausgabe 4 5 13" xfId="1889" xr:uid="{E150F379-F210-46D8-8B9D-234F84069C81}"/>
    <cellStyle name="Ausgabe 4 5 14" xfId="1890" xr:uid="{0A8B7B7D-3F7C-4D05-B93B-59573D21888F}"/>
    <cellStyle name="Ausgabe 4 5 15" xfId="1891" xr:uid="{42E80450-D215-4392-B8FE-43A541A985B0}"/>
    <cellStyle name="Ausgabe 4 5 16" xfId="1892" xr:uid="{B263AE89-8BC0-451A-84EC-8DAC1552200C}"/>
    <cellStyle name="Ausgabe 4 5 17" xfId="1893" xr:uid="{89157D4B-1FD2-4921-A930-378F6D72274C}"/>
    <cellStyle name="Ausgabe 4 5 18" xfId="1894" xr:uid="{1B90457D-22F4-4FDD-BA93-CE00E9EB9E9D}"/>
    <cellStyle name="Ausgabe 4 5 19" xfId="1895" xr:uid="{258B8546-F7A8-48B4-9957-471635A286B1}"/>
    <cellStyle name="Ausgabe 4 5 2" xfId="1896" xr:uid="{A76FB534-4417-4C43-A9E4-76B905B25FEB}"/>
    <cellStyle name="Ausgabe 4 5 3" xfId="1897" xr:uid="{A4BB5299-E31A-4F46-BF13-4B5C1253FCB2}"/>
    <cellStyle name="Ausgabe 4 5 4" xfId="1898" xr:uid="{4935014C-FBE2-420C-8D41-8E2DC1E15030}"/>
    <cellStyle name="Ausgabe 4 5 5" xfId="1899" xr:uid="{E9E6C00F-A664-42A5-8328-A50E17F966E8}"/>
    <cellStyle name="Ausgabe 4 5 6" xfId="1900" xr:uid="{67C336D9-BC7A-4364-800C-078D057A560F}"/>
    <cellStyle name="Ausgabe 4 5 7" xfId="1901" xr:uid="{8CF1E9E9-CE77-4D4A-A1DA-BABFE36B44FB}"/>
    <cellStyle name="Ausgabe 4 5 8" xfId="1902" xr:uid="{8000CE3C-4313-49D4-B88D-CFE4FEF7513E}"/>
    <cellStyle name="Ausgabe 4 5 9" xfId="1903" xr:uid="{BD9A4EEB-7557-48CA-99B6-F24E5F302D39}"/>
    <cellStyle name="Ausgabe 4 6" xfId="1904" xr:uid="{CA1D1BBC-D16F-497B-BE2A-9365D5B552CC}"/>
    <cellStyle name="Ausgabe 4 7" xfId="1905" xr:uid="{244602C0-FD1B-4A73-A4D4-C33B71825047}"/>
    <cellStyle name="Ausgabe 4 8" xfId="1906" xr:uid="{63518194-A7A2-40DA-8FB0-3ADC6CE4B052}"/>
    <cellStyle name="Ausgabe 4 9" xfId="1907" xr:uid="{22F59FF2-0DF3-4712-B113-4D7D8552A085}"/>
    <cellStyle name="Ausgabe 5" xfId="1908" xr:uid="{67663CBF-FF53-41C6-81E0-36C707279D80}"/>
    <cellStyle name="Ausgabe 5 10" xfId="1909" xr:uid="{23B7E519-8CFA-44E4-B0B0-A6423DAC48D8}"/>
    <cellStyle name="Ausgabe 5 11" xfId="1910" xr:uid="{6977E00A-68C3-425F-888D-A461FDBE9728}"/>
    <cellStyle name="Ausgabe 5 12" xfId="1911" xr:uid="{A923B2D2-5851-4F20-9747-FF7DBA4FDE2C}"/>
    <cellStyle name="Ausgabe 5 13" xfId="1912" xr:uid="{0F1E56F6-14F4-4C15-AE8B-A2E10AB7870A}"/>
    <cellStyle name="Ausgabe 5 14" xfId="1913" xr:uid="{B8717B9A-3DBC-463C-AA20-A2ADC5990E55}"/>
    <cellStyle name="Ausgabe 5 15" xfId="1914" xr:uid="{82819D94-4C08-4423-B6FB-F0A9108499EC}"/>
    <cellStyle name="Ausgabe 5 16" xfId="1915" xr:uid="{89040D2E-6B54-4749-A7E9-408B88417653}"/>
    <cellStyle name="Ausgabe 5 17" xfId="1916" xr:uid="{E5938F48-B39F-4F28-87D0-DA53F0CD4017}"/>
    <cellStyle name="Ausgabe 5 18" xfId="1917" xr:uid="{954ACF7D-B1A5-454C-99E1-B26EB4273872}"/>
    <cellStyle name="Ausgabe 5 19" xfId="1918" xr:uid="{9E2313E6-8439-4139-A582-94E0F5F72527}"/>
    <cellStyle name="Ausgabe 5 2" xfId="1919" xr:uid="{D7FAE0E6-DD2F-4751-88FA-4E39EFFF663D}"/>
    <cellStyle name="Ausgabe 5 2 10" xfId="1920" xr:uid="{6214F633-D094-43E0-A7DD-C66B92834B75}"/>
    <cellStyle name="Ausgabe 5 2 11" xfId="1921" xr:uid="{9D1D1F96-460E-420A-A93E-42866175F936}"/>
    <cellStyle name="Ausgabe 5 2 12" xfId="1922" xr:uid="{17909EC8-B450-4D5F-AC73-984FE3E459E1}"/>
    <cellStyle name="Ausgabe 5 2 13" xfId="1923" xr:uid="{A85D868C-411A-47CC-B39B-4BE79EDB8FA3}"/>
    <cellStyle name="Ausgabe 5 2 14" xfId="1924" xr:uid="{A48E04C9-EABB-482E-BFFE-98C99F367CD8}"/>
    <cellStyle name="Ausgabe 5 2 15" xfId="1925" xr:uid="{74A9BFE7-0FFB-4612-93D0-7374605D1348}"/>
    <cellStyle name="Ausgabe 5 2 16" xfId="1926" xr:uid="{9D5E9DA1-6697-4FFC-9E54-26833FB2FBBB}"/>
    <cellStyle name="Ausgabe 5 2 17" xfId="1927" xr:uid="{3574E54A-7FD0-4791-826E-BDCBBBB7F349}"/>
    <cellStyle name="Ausgabe 5 2 18" xfId="1928" xr:uid="{2803ABD2-F27E-430E-8678-EB0C08B8365A}"/>
    <cellStyle name="Ausgabe 5 2 19" xfId="1929" xr:uid="{F5E26AE4-807C-413F-B126-E898D396426E}"/>
    <cellStyle name="Ausgabe 5 2 2" xfId="1930" xr:uid="{7BD0F64C-B98C-4AF3-95EF-3C4417DCB543}"/>
    <cellStyle name="Ausgabe 5 2 3" xfId="1931" xr:uid="{C0C4877D-221D-4146-B462-492DB3549F4A}"/>
    <cellStyle name="Ausgabe 5 2 4" xfId="1932" xr:uid="{C94918FC-9DBD-428A-A7E9-7D3CB20002A3}"/>
    <cellStyle name="Ausgabe 5 2 5" xfId="1933" xr:uid="{423A54B8-1CDC-4DE9-852E-139C3BA4CFE8}"/>
    <cellStyle name="Ausgabe 5 2 6" xfId="1934" xr:uid="{7418395D-13A7-48DB-B9E9-9B72A208C96A}"/>
    <cellStyle name="Ausgabe 5 2 7" xfId="1935" xr:uid="{D43ADC3C-2E45-4313-BC70-3A801E0D7450}"/>
    <cellStyle name="Ausgabe 5 2 8" xfId="1936" xr:uid="{7E72AB53-9721-4EB7-8796-046EA9B58D42}"/>
    <cellStyle name="Ausgabe 5 2 9" xfId="1937" xr:uid="{9FC3F618-316C-46B3-9C37-0AFFF5B350F9}"/>
    <cellStyle name="Ausgabe 5 20" xfId="1938" xr:uid="{C06A4C46-584B-490D-A518-E6492E8B3186}"/>
    <cellStyle name="Ausgabe 5 3" xfId="1939" xr:uid="{1EA31B0C-D3F4-4C7D-9026-5376C93733A2}"/>
    <cellStyle name="Ausgabe 5 4" xfId="1940" xr:uid="{568674AA-5613-4086-923E-2C7656BA4C22}"/>
    <cellStyle name="Ausgabe 5 5" xfId="1941" xr:uid="{6F689F2C-C702-4549-BFCA-57D13D41FBF4}"/>
    <cellStyle name="Ausgabe 5 6" xfId="1942" xr:uid="{A25C4978-671C-45A2-9033-1AC68421EB03}"/>
    <cellStyle name="Ausgabe 5 7" xfId="1943" xr:uid="{8A78A73C-A4D7-4246-84FF-71D809AE0D7D}"/>
    <cellStyle name="Ausgabe 5 8" xfId="1944" xr:uid="{960A3A7C-0116-40D7-B0D0-DC37AE8DBB7D}"/>
    <cellStyle name="Ausgabe 5 9" xfId="1945" xr:uid="{42869414-DF92-478A-9C1F-ACFAC2C58290}"/>
    <cellStyle name="Ausgabe 6" xfId="1946" xr:uid="{2AA444E9-08FC-4D52-BCA2-9F3E270A1389}"/>
    <cellStyle name="Ausgabe 6 10" xfId="1947" xr:uid="{9A3B64B5-A3C6-4565-BA13-35267FC8A024}"/>
    <cellStyle name="Ausgabe 6 11" xfId="1948" xr:uid="{8EC1F374-7776-4551-A62C-C06B7A3917C5}"/>
    <cellStyle name="Ausgabe 6 12" xfId="1949" xr:uid="{848EAEB9-2796-4498-A12E-2FF94DE03A35}"/>
    <cellStyle name="Ausgabe 6 13" xfId="1950" xr:uid="{E4557628-5CC0-4934-B499-B67D413A8A9B}"/>
    <cellStyle name="Ausgabe 6 14" xfId="1951" xr:uid="{54CBF35F-24D1-4400-8ECF-21C62CEFC7BC}"/>
    <cellStyle name="Ausgabe 6 15" xfId="1952" xr:uid="{16D6A14F-C8DF-49D3-9F92-0256F32C92A5}"/>
    <cellStyle name="Ausgabe 6 16" xfId="1953" xr:uid="{F6E92FC5-767D-4D2C-8C8C-4093295C2B38}"/>
    <cellStyle name="Ausgabe 6 17" xfId="1954" xr:uid="{894FE2DE-A875-4C52-B1F7-CF248EE7F2FF}"/>
    <cellStyle name="Ausgabe 6 18" xfId="1955" xr:uid="{18D3290E-88E5-4769-BC96-3101B75F66A0}"/>
    <cellStyle name="Ausgabe 6 19" xfId="1956" xr:uid="{47EA9121-CC4A-4E52-B20B-E607BE5A1F1B}"/>
    <cellStyle name="Ausgabe 6 2" xfId="1957" xr:uid="{A698D02A-D5F8-427A-9291-D575DC6E29DF}"/>
    <cellStyle name="Ausgabe 6 2 10" xfId="1958" xr:uid="{AB920ABC-66A7-4112-94FB-CF6085CEC55A}"/>
    <cellStyle name="Ausgabe 6 2 11" xfId="1959" xr:uid="{427D4E28-8D94-4D29-88FA-DD4E3AE01CFB}"/>
    <cellStyle name="Ausgabe 6 2 12" xfId="1960" xr:uid="{11A0982F-969C-46C3-840B-AA64F8A43693}"/>
    <cellStyle name="Ausgabe 6 2 13" xfId="1961" xr:uid="{68C27CA6-10DB-4FF6-96D6-E95036924BFE}"/>
    <cellStyle name="Ausgabe 6 2 14" xfId="1962" xr:uid="{09F15221-637F-4524-985C-E868C5CE1E5B}"/>
    <cellStyle name="Ausgabe 6 2 15" xfId="1963" xr:uid="{8715875C-8E33-45CD-989C-EDDC30208E9D}"/>
    <cellStyle name="Ausgabe 6 2 16" xfId="1964" xr:uid="{92766939-E220-4FED-86BF-0EDEC4DDAC54}"/>
    <cellStyle name="Ausgabe 6 2 17" xfId="1965" xr:uid="{3F8CDA04-E0E6-43DD-93E1-65B07564C959}"/>
    <cellStyle name="Ausgabe 6 2 18" xfId="1966" xr:uid="{AA5F4952-98D4-47F6-BEA2-05FB038A4710}"/>
    <cellStyle name="Ausgabe 6 2 19" xfId="1967" xr:uid="{14337DA5-1E48-4FD8-86C4-745E16F22DFF}"/>
    <cellStyle name="Ausgabe 6 2 2" xfId="1968" xr:uid="{D058EBB3-3614-462E-8805-37E949D04E4B}"/>
    <cellStyle name="Ausgabe 6 2 3" xfId="1969" xr:uid="{E3F4CA9A-EBAC-425B-8DB6-7DF940A4D403}"/>
    <cellStyle name="Ausgabe 6 2 4" xfId="1970" xr:uid="{8DD1132F-8556-4744-92F9-7B448150876A}"/>
    <cellStyle name="Ausgabe 6 2 5" xfId="1971" xr:uid="{9E6A7793-7323-4E4F-B36C-2EF7E55B4892}"/>
    <cellStyle name="Ausgabe 6 2 6" xfId="1972" xr:uid="{0D2AC49C-55B8-408B-AAFA-8DA5B58C3895}"/>
    <cellStyle name="Ausgabe 6 2 7" xfId="1973" xr:uid="{EEC002CA-2E6D-4FB4-AC04-73E47F7E1665}"/>
    <cellStyle name="Ausgabe 6 2 8" xfId="1974" xr:uid="{FC60BA19-ABA8-4178-8392-E4E953415CBB}"/>
    <cellStyle name="Ausgabe 6 2 9" xfId="1975" xr:uid="{1B8CF31F-5E04-41B9-A66F-B92505D57E46}"/>
    <cellStyle name="Ausgabe 6 20" xfId="1976" xr:uid="{57CA1B36-5C29-4E6B-8333-9C700E487425}"/>
    <cellStyle name="Ausgabe 6 3" xfId="1977" xr:uid="{5AE0CCD6-1578-4AB0-81D7-3B017FE4B806}"/>
    <cellStyle name="Ausgabe 6 4" xfId="1978" xr:uid="{C1EC9B67-C91C-4BBB-A3F3-E064AC983221}"/>
    <cellStyle name="Ausgabe 6 5" xfId="1979" xr:uid="{A5EEE65C-4453-4880-911B-3567B753BCC0}"/>
    <cellStyle name="Ausgabe 6 6" xfId="1980" xr:uid="{3B99798D-9542-4E2F-8A10-A67BE1BE0108}"/>
    <cellStyle name="Ausgabe 6 7" xfId="1981" xr:uid="{F411E30D-7038-4D66-9DC7-57C9A0802672}"/>
    <cellStyle name="Ausgabe 6 8" xfId="1982" xr:uid="{BAFCA8F0-6AA4-423D-A797-57AE823B78D7}"/>
    <cellStyle name="Ausgabe 6 9" xfId="1983" xr:uid="{41DECA24-2F04-48A3-B5EA-D58751E9B17E}"/>
    <cellStyle name="Ausgabe 7" xfId="1984" xr:uid="{080FFCB8-2FC4-4D27-A8C7-868D287D5FB6}"/>
    <cellStyle name="Ausgabe 7 10" xfId="1985" xr:uid="{13DB5FDD-8E3A-4F29-AE47-0323862C05B0}"/>
    <cellStyle name="Ausgabe 7 11" xfId="1986" xr:uid="{56F4F2D6-9D9A-4362-A425-C1FA23BF1216}"/>
    <cellStyle name="Ausgabe 7 12" xfId="1987" xr:uid="{9A519EA5-7B7A-4A48-A418-B6E9A17DC1F1}"/>
    <cellStyle name="Ausgabe 7 13" xfId="1988" xr:uid="{97C2C243-9A32-4849-BD3E-B0D688BB0D64}"/>
    <cellStyle name="Ausgabe 7 14" xfId="1989" xr:uid="{0CA545E8-3C96-4F18-B282-E979FCEFF888}"/>
    <cellStyle name="Ausgabe 7 15" xfId="1990" xr:uid="{40BFEA71-6FFD-4D61-8BD0-CF92157E9703}"/>
    <cellStyle name="Ausgabe 7 16" xfId="1991" xr:uid="{DA791C21-62EB-4F69-8BA5-3E357B8348E3}"/>
    <cellStyle name="Ausgabe 7 17" xfId="1992" xr:uid="{6BF33B55-A1A8-458E-8AE5-FA1BBF5C1274}"/>
    <cellStyle name="Ausgabe 7 18" xfId="1993" xr:uid="{6069C1C0-46EA-49B0-B7A2-478C1F062744}"/>
    <cellStyle name="Ausgabe 7 19" xfId="1994" xr:uid="{BFA54898-427F-4BED-B6F5-1F512B8EB8B3}"/>
    <cellStyle name="Ausgabe 7 2" xfId="1995" xr:uid="{D72731B0-5C15-43C7-9D5B-E586073CDC2E}"/>
    <cellStyle name="Ausgabe 7 2 10" xfId="1996" xr:uid="{038E6478-C9B4-4D4A-B893-DFD7AB5E38CA}"/>
    <cellStyle name="Ausgabe 7 2 11" xfId="1997" xr:uid="{9381CAD8-0EFC-4278-AEC3-5873DB138BD2}"/>
    <cellStyle name="Ausgabe 7 2 12" xfId="1998" xr:uid="{04B4B7CA-96A1-4170-8781-A29F721EB809}"/>
    <cellStyle name="Ausgabe 7 2 13" xfId="1999" xr:uid="{4154C696-E31B-4879-85F2-D583081177D2}"/>
    <cellStyle name="Ausgabe 7 2 14" xfId="2000" xr:uid="{352888E2-BA59-4C78-AB94-211395849BE0}"/>
    <cellStyle name="Ausgabe 7 2 15" xfId="2001" xr:uid="{B84C20F6-2BAC-4C1E-A241-2DFBB7301ABD}"/>
    <cellStyle name="Ausgabe 7 2 16" xfId="2002" xr:uid="{B7302438-948F-4C31-A1C1-48EADB716FC1}"/>
    <cellStyle name="Ausgabe 7 2 17" xfId="2003" xr:uid="{8775FD25-2591-4BC0-8DEC-A70A6E708A15}"/>
    <cellStyle name="Ausgabe 7 2 18" xfId="2004" xr:uid="{26A0C885-8FE3-4741-864E-3C8177647CCA}"/>
    <cellStyle name="Ausgabe 7 2 19" xfId="2005" xr:uid="{B834B27A-11C9-406D-923E-72F8DA4C90E3}"/>
    <cellStyle name="Ausgabe 7 2 2" xfId="2006" xr:uid="{D7A01424-7683-41F1-B1CF-633558C087FB}"/>
    <cellStyle name="Ausgabe 7 2 3" xfId="2007" xr:uid="{149AC7DE-06AE-4479-B411-839A4F8D3327}"/>
    <cellStyle name="Ausgabe 7 2 4" xfId="2008" xr:uid="{7C26524F-D6EE-4EAE-ABA1-DA3F479FD4A0}"/>
    <cellStyle name="Ausgabe 7 2 5" xfId="2009" xr:uid="{DEF1743C-132D-4DB1-981A-1EA890494CD6}"/>
    <cellStyle name="Ausgabe 7 2 6" xfId="2010" xr:uid="{0706FF6D-15F5-470E-8DEB-8A8923D450D1}"/>
    <cellStyle name="Ausgabe 7 2 7" xfId="2011" xr:uid="{DD83AC22-02CD-4D07-BDD1-459F1A7B0A7E}"/>
    <cellStyle name="Ausgabe 7 2 8" xfId="2012" xr:uid="{12860ED0-6EF4-4EE7-89E8-D88F6210A554}"/>
    <cellStyle name="Ausgabe 7 2 9" xfId="2013" xr:uid="{448E3181-981C-465C-B2C9-9FA01B35280F}"/>
    <cellStyle name="Ausgabe 7 20" xfId="2014" xr:uid="{19709271-BE52-44AA-AF55-CC1A771F11CA}"/>
    <cellStyle name="Ausgabe 7 3" xfId="2015" xr:uid="{01B0B600-0F8B-47DF-B54B-30F44AE864A7}"/>
    <cellStyle name="Ausgabe 7 4" xfId="2016" xr:uid="{C833C5E0-0055-445B-8061-F2D036499A36}"/>
    <cellStyle name="Ausgabe 7 5" xfId="2017" xr:uid="{EA477664-FFAD-492D-BAEC-93A64B8EE5F9}"/>
    <cellStyle name="Ausgabe 7 6" xfId="2018" xr:uid="{3D3211C1-7408-4899-9BCA-9989E868C8A2}"/>
    <cellStyle name="Ausgabe 7 7" xfId="2019" xr:uid="{06F7AF93-4502-4001-9312-6AE9946CAC86}"/>
    <cellStyle name="Ausgabe 7 8" xfId="2020" xr:uid="{B4AFEECB-6E6C-41FD-8DCD-42E21549AE62}"/>
    <cellStyle name="Ausgabe 7 9" xfId="2021" xr:uid="{A9B16414-114B-483C-A9BF-534AF8EDAE08}"/>
    <cellStyle name="Ausgabe 8" xfId="2022" xr:uid="{F4BF4CAF-F402-43F3-A255-8995EB240C40}"/>
    <cellStyle name="Ausgabe 8 10" xfId="2023" xr:uid="{0F0AC184-7D43-40CA-9857-E703EF7CF7A0}"/>
    <cellStyle name="Ausgabe 8 11" xfId="2024" xr:uid="{9BCE5555-3E1C-415C-85F6-4104E62410AB}"/>
    <cellStyle name="Ausgabe 8 12" xfId="2025" xr:uid="{F5FBE9FE-A824-4C95-AC8F-58CA0E257771}"/>
    <cellStyle name="Ausgabe 8 13" xfId="2026" xr:uid="{9CC2990F-FC2C-4CDC-A2D6-1E498210DF35}"/>
    <cellStyle name="Ausgabe 8 14" xfId="2027" xr:uid="{E099A331-E4A6-4E94-B8AF-3C13814548D9}"/>
    <cellStyle name="Ausgabe 8 15" xfId="2028" xr:uid="{7781BF8F-94FF-4CD9-95C2-4D31312EB59B}"/>
    <cellStyle name="Ausgabe 8 16" xfId="2029" xr:uid="{4C7617E8-E04F-4D3D-B697-8A53FAF22135}"/>
    <cellStyle name="Ausgabe 8 17" xfId="2030" xr:uid="{38FD68CB-F8CE-4E38-8347-9C64BF836D1D}"/>
    <cellStyle name="Ausgabe 8 18" xfId="2031" xr:uid="{8C5F2E2C-D0D1-4BAB-89BA-D0C39CAAE913}"/>
    <cellStyle name="Ausgabe 8 19" xfId="2032" xr:uid="{450D236C-3F14-444A-B565-FD48055F4911}"/>
    <cellStyle name="Ausgabe 8 2" xfId="2033" xr:uid="{30E366AD-CBBC-47ED-A53F-66D0E5686826}"/>
    <cellStyle name="Ausgabe 8 3" xfId="2034" xr:uid="{12267002-D25A-4B4B-B2EC-26EC3361B3D3}"/>
    <cellStyle name="Ausgabe 8 4" xfId="2035" xr:uid="{4D12C6D6-0817-466A-B2CF-0C7F9DD2E406}"/>
    <cellStyle name="Ausgabe 8 5" xfId="2036" xr:uid="{540B4571-3164-45CA-B176-80A81EA34A72}"/>
    <cellStyle name="Ausgabe 8 6" xfId="2037" xr:uid="{72FE0BDB-ECBC-4909-813E-D611B59977CF}"/>
    <cellStyle name="Ausgabe 8 7" xfId="2038" xr:uid="{DF9C84C2-5133-4D80-933F-CEF4A19425D6}"/>
    <cellStyle name="Ausgabe 8 8" xfId="2039" xr:uid="{32ADFCB1-A644-42F0-AC85-85D41E6DA886}"/>
    <cellStyle name="Ausgabe 8 9" xfId="2040" xr:uid="{5C6BD5BD-DA62-4D7B-95A0-A0D6A295AA9B}"/>
    <cellStyle name="Ausgabe 9" xfId="2041" xr:uid="{5CD6C918-987D-46C6-BA9C-05F5DADDF7D5}"/>
    <cellStyle name="Bad 10" xfId="2042" xr:uid="{CEFE5CF9-95D0-492C-B3AD-A934C2928D0B}"/>
    <cellStyle name="Bad 2" xfId="2043" xr:uid="{0607C417-68BB-491A-8838-6F809915CB45}"/>
    <cellStyle name="Bad 2 2" xfId="2044" xr:uid="{C858016D-4818-42F0-99F0-884B0BCE73C0}"/>
    <cellStyle name="Bad 2 2 2" xfId="2045" xr:uid="{2B0E5B07-454D-4718-9DCF-BC6995D9B444}"/>
    <cellStyle name="Bad 2 2_Menu" xfId="2046" xr:uid="{5935AB03-089E-4B3C-8C09-813B77CABD52}"/>
    <cellStyle name="Bad 2 3" xfId="2047" xr:uid="{0B24B23D-53C7-41D1-9AD9-26EC45B3CDE6}"/>
    <cellStyle name="Bad 2 3 2" xfId="2048" xr:uid="{54F27BE5-60A1-483A-B0BB-33FCDE75A56B}"/>
    <cellStyle name="Bad 2 3_Menu" xfId="2049" xr:uid="{5EC3D2BE-2E35-4B64-9D62-B9DD69461AE8}"/>
    <cellStyle name="Bad 2 4" xfId="2050" xr:uid="{4D4FCDD4-F802-4EE8-9F2B-2178E4278CA4}"/>
    <cellStyle name="Bad 2 5" xfId="2051" xr:uid="{09F83642-5FD4-45BF-9E7A-2F645CD546E9}"/>
    <cellStyle name="Bad 2_2013" xfId="2052" xr:uid="{1425CEB8-1183-401F-9952-4CE05C53D23D}"/>
    <cellStyle name="Bad 3" xfId="2053" xr:uid="{E776DE79-53EB-4CD0-92B4-A0365CF5DED5}"/>
    <cellStyle name="Bad 4" xfId="2054" xr:uid="{CE56957C-73DD-4F45-A970-107D4CE3FD89}"/>
    <cellStyle name="Bad 5" xfId="2055" xr:uid="{A9DF58D3-E8FB-4021-B603-A816305F1485}"/>
    <cellStyle name="Bad 6" xfId="2056" xr:uid="{2F663CA7-0783-4390-8334-75E06D595454}"/>
    <cellStyle name="Bad 7" xfId="2057" xr:uid="{D5DF01BF-ACC0-431B-899C-271CB1EC1876}"/>
    <cellStyle name="Bad 8" xfId="2058" xr:uid="{81E937DE-1907-40CD-9F7B-DA7FEC72198F}"/>
    <cellStyle name="Bad 9" xfId="2059" xr:uid="{56AC9A95-BFCE-4E0D-8087-B253FA83D77B}"/>
    <cellStyle name="Berechnung" xfId="2060" xr:uid="{E023B845-CE69-4ED8-849B-FC4B1460C2A5}"/>
    <cellStyle name="Berechnung 10" xfId="2061" xr:uid="{188C13EE-FBB8-484E-830C-4C4618AFBC3B}"/>
    <cellStyle name="Berechnung 11" xfId="2062" xr:uid="{353129D4-75D8-4B55-B8A3-5FD164B7BAB3}"/>
    <cellStyle name="Berechnung 12" xfId="2063" xr:uid="{B7550FC4-CED6-4F5D-8DF0-4A193BFEBBD3}"/>
    <cellStyle name="Berechnung 13" xfId="2064" xr:uid="{A84CD328-DEC1-40DC-95C2-C56AA58E1CFF}"/>
    <cellStyle name="Berechnung 14" xfId="2065" xr:uid="{706E1664-0D86-46ED-B620-647F300E06EE}"/>
    <cellStyle name="Berechnung 15" xfId="2066" xr:uid="{E8196FB0-5948-4AE8-AC99-CD8AD212BE96}"/>
    <cellStyle name="Berechnung 16" xfId="2067" xr:uid="{FB606D76-198B-4BA7-A67F-D6552645D0D7}"/>
    <cellStyle name="Berechnung 17" xfId="2068" xr:uid="{2DD8374F-1976-42CC-81B0-B8DC10485081}"/>
    <cellStyle name="Berechnung 18" xfId="2069" xr:uid="{CBC1B42D-F91C-461D-96B3-2B602B29C14B}"/>
    <cellStyle name="Berechnung 19" xfId="2070" xr:uid="{07E4538C-1C90-4983-8CE9-121E6B74C662}"/>
    <cellStyle name="Berechnung 2" xfId="2071" xr:uid="{CCB83540-55EF-4671-8E29-B5C4A48A365D}"/>
    <cellStyle name="Berechnung 2 10" xfId="2072" xr:uid="{D8968A64-E217-4F4D-B4DD-2170B13EB3AE}"/>
    <cellStyle name="Berechnung 2 11" xfId="2073" xr:uid="{682E2530-9B16-47BD-B557-C0B14E4D6E6A}"/>
    <cellStyle name="Berechnung 2 12" xfId="2074" xr:uid="{E9EFEF72-7819-45B9-95DE-855E933F7B4C}"/>
    <cellStyle name="Berechnung 2 13" xfId="2075" xr:uid="{0C385C12-DC70-4B6F-947E-F25BE003E317}"/>
    <cellStyle name="Berechnung 2 14" xfId="2076" xr:uid="{E4779E65-754C-476F-AD70-E5BCD3441931}"/>
    <cellStyle name="Berechnung 2 15" xfId="2077" xr:uid="{45CA42C3-7773-4841-8233-9B3D1DB09012}"/>
    <cellStyle name="Berechnung 2 16" xfId="2078" xr:uid="{30D8A8AB-A890-43B7-9CCD-7BD4DE203359}"/>
    <cellStyle name="Berechnung 2 17" xfId="2079" xr:uid="{2E6ECFBC-47A5-4BA2-AFCD-F63B3D33CDE4}"/>
    <cellStyle name="Berechnung 2 18" xfId="2080" xr:uid="{60461671-7378-4A48-B1AB-E4BF6F1B9A18}"/>
    <cellStyle name="Berechnung 2 19" xfId="2081" xr:uid="{F42838F9-66DA-4393-88A3-0767820AED33}"/>
    <cellStyle name="Berechnung 2 2" xfId="2082" xr:uid="{F9A4449B-28B7-42B1-AC9C-565562D17A8F}"/>
    <cellStyle name="Berechnung 2 2 10" xfId="2083" xr:uid="{C2E4E24F-60FA-4869-9E82-B91FB61097D1}"/>
    <cellStyle name="Berechnung 2 2 11" xfId="2084" xr:uid="{57BF04B5-6C8B-4E9B-803E-8CFFE8136215}"/>
    <cellStyle name="Berechnung 2 2 12" xfId="2085" xr:uid="{0C41A286-65C3-4EAF-AEFF-2381D063B1E2}"/>
    <cellStyle name="Berechnung 2 2 13" xfId="2086" xr:uid="{7E3971B5-EA60-4B2F-AC6E-B2A03DE04E31}"/>
    <cellStyle name="Berechnung 2 2 14" xfId="2087" xr:uid="{844C9058-5BB8-4FF2-A2D8-146F67488236}"/>
    <cellStyle name="Berechnung 2 2 15" xfId="2088" xr:uid="{F30F2E8E-5993-4664-80B1-756DA7011590}"/>
    <cellStyle name="Berechnung 2 2 16" xfId="2089" xr:uid="{C8676E27-CB4E-432E-9C44-3460FFB2BAB7}"/>
    <cellStyle name="Berechnung 2 2 17" xfId="2090" xr:uid="{89258C1B-7F15-4A9B-AEA6-ED2E69C9B765}"/>
    <cellStyle name="Berechnung 2 2 18" xfId="2091" xr:uid="{673EB40D-6061-4513-8156-F7ECA1C6F0E9}"/>
    <cellStyle name="Berechnung 2 2 19" xfId="2092" xr:uid="{BA233EF1-0F9F-4A8F-AD9D-D63441E5DCFD}"/>
    <cellStyle name="Berechnung 2 2 2" xfId="2093" xr:uid="{B0729DEF-7984-495E-B39C-F3AC37CA76A8}"/>
    <cellStyle name="Berechnung 2 2 2 10" xfId="2094" xr:uid="{B7C68D3D-BE3A-430A-B9CE-0A325FB39936}"/>
    <cellStyle name="Berechnung 2 2 2 11" xfId="2095" xr:uid="{19639DE7-A102-4E88-AC0B-426855A94719}"/>
    <cellStyle name="Berechnung 2 2 2 12" xfId="2096" xr:uid="{8282E241-777E-4C98-86C5-602AD1EE3168}"/>
    <cellStyle name="Berechnung 2 2 2 13" xfId="2097" xr:uid="{5917E1AE-3CE3-4B28-A388-44B1D61A51C1}"/>
    <cellStyle name="Berechnung 2 2 2 14" xfId="2098" xr:uid="{E5E3A32A-CD11-4AEF-B283-B21EDA15A2AA}"/>
    <cellStyle name="Berechnung 2 2 2 15" xfId="2099" xr:uid="{FFD06449-4A47-485A-9973-766F516AB8AB}"/>
    <cellStyle name="Berechnung 2 2 2 16" xfId="2100" xr:uid="{387AA96A-4FC3-4E09-A4AD-353E5913FFF4}"/>
    <cellStyle name="Berechnung 2 2 2 17" xfId="2101" xr:uid="{B6F86392-91F7-4455-9297-32255E6F7478}"/>
    <cellStyle name="Berechnung 2 2 2 18" xfId="2102" xr:uid="{25A1BF35-345B-4EDC-945F-FE16694F9AB3}"/>
    <cellStyle name="Berechnung 2 2 2 19" xfId="2103" xr:uid="{CE607ADB-A575-4DB5-9BBE-D06F8F71C4FE}"/>
    <cellStyle name="Berechnung 2 2 2 19 2" xfId="2104" xr:uid="{9E55B294-2F84-4854-A4EF-C24AD9F4835D}"/>
    <cellStyle name="Berechnung 2 2 2 2" xfId="2105" xr:uid="{F1BD57CE-5286-445C-B70B-5E8E71D2D3EB}"/>
    <cellStyle name="Berechnung 2 2 2 2 10" xfId="2106" xr:uid="{AC4BCABF-53CC-4526-AAB4-37EB0FAE682D}"/>
    <cellStyle name="Berechnung 2 2 2 2 11" xfId="2107" xr:uid="{8F54AC86-56FF-47EF-BDC7-D0AED5B2E5D2}"/>
    <cellStyle name="Berechnung 2 2 2 2 12" xfId="2108" xr:uid="{E840CCE1-24BA-46A9-B625-A66FF40FE711}"/>
    <cellStyle name="Berechnung 2 2 2 2 13" xfId="2109" xr:uid="{479F0CDD-A895-4F6E-94A6-004138B97377}"/>
    <cellStyle name="Berechnung 2 2 2 2 14" xfId="2110" xr:uid="{1437C1F2-CC5F-48CE-9A9C-3467E7A9D9B5}"/>
    <cellStyle name="Berechnung 2 2 2 2 15" xfId="2111" xr:uid="{FB41B925-57F1-4F7D-B6D5-A5315D4327D8}"/>
    <cellStyle name="Berechnung 2 2 2 2 16" xfId="2112" xr:uid="{08B85E46-5A8B-471A-8AD8-135E3A4AA82E}"/>
    <cellStyle name="Berechnung 2 2 2 2 17" xfId="2113" xr:uid="{A4CD9340-72D8-4C83-815F-7F5A16AE11C3}"/>
    <cellStyle name="Berechnung 2 2 2 2 18" xfId="2114" xr:uid="{2E3F2ED7-C8F2-4A47-A6B9-34C05A591CD1}"/>
    <cellStyle name="Berechnung 2 2 2 2 18 2" xfId="2115" xr:uid="{CFEB5686-2CE2-498B-8A39-9FE04CC62BF4}"/>
    <cellStyle name="Berechnung 2 2 2 2 19" xfId="2116" xr:uid="{A716B441-975A-4A75-9E5F-5E40E4E05144}"/>
    <cellStyle name="Berechnung 2 2 2 2 2" xfId="2117" xr:uid="{E38DE781-883F-4C5D-BCF6-C8E381812E27}"/>
    <cellStyle name="Berechnung 2 2 2 2 3" xfId="2118" xr:uid="{4295C28E-CD6F-4EA8-971F-B3F0B32A6078}"/>
    <cellStyle name="Berechnung 2 2 2 2 4" xfId="2119" xr:uid="{B35D3CD3-E6F7-4BDB-A33C-C32AE9F2822E}"/>
    <cellStyle name="Berechnung 2 2 2 2 5" xfId="2120" xr:uid="{AEE2F039-F842-4681-B8B0-CFE7917D8BB2}"/>
    <cellStyle name="Berechnung 2 2 2 2 6" xfId="2121" xr:uid="{DE66B198-D101-49FD-9707-4AC6F4B6E02A}"/>
    <cellStyle name="Berechnung 2 2 2 2 7" xfId="2122" xr:uid="{34153C1B-43F2-461C-8A40-9ABFB28B8A2A}"/>
    <cellStyle name="Berechnung 2 2 2 2 8" xfId="2123" xr:uid="{6CCD52BE-0150-4A41-912E-447E8B6996B5}"/>
    <cellStyle name="Berechnung 2 2 2 2 9" xfId="2124" xr:uid="{1A1C668B-89D9-416A-A5DB-3D60B33FFF47}"/>
    <cellStyle name="Berechnung 2 2 2 20" xfId="2125" xr:uid="{C076666E-C9FB-49B6-B313-F920827AEA6E}"/>
    <cellStyle name="Berechnung 2 2 2 3" xfId="2126" xr:uid="{1BC48DBD-68AF-4738-98F3-2112EB6E660D}"/>
    <cellStyle name="Berechnung 2 2 2 4" xfId="2127" xr:uid="{E33AE41E-844A-4249-8D45-023052EF9644}"/>
    <cellStyle name="Berechnung 2 2 2 5" xfId="2128" xr:uid="{28CB288E-E6AD-490D-8D56-C7E8A3155E41}"/>
    <cellStyle name="Berechnung 2 2 2 6" xfId="2129" xr:uid="{F1BB8973-6299-4C72-BDA9-E67D464A46B5}"/>
    <cellStyle name="Berechnung 2 2 2 7" xfId="2130" xr:uid="{F63FC5CC-742D-4334-9230-736A58BF7D71}"/>
    <cellStyle name="Berechnung 2 2 2 8" xfId="2131" xr:uid="{E6E19458-17F8-495A-A9CD-BBB19D88DC6E}"/>
    <cellStyle name="Berechnung 2 2 2 9" xfId="2132" xr:uid="{1553DFF8-31EE-45B5-9AC5-3E472E7D0A1F}"/>
    <cellStyle name="Berechnung 2 2 20" xfId="2133" xr:uid="{B0ABB3DE-7715-459E-A8DB-FE9922C148D0}"/>
    <cellStyle name="Berechnung 2 2 21" xfId="2134" xr:uid="{4232A848-B0E1-4A55-A442-97CF4186522B}"/>
    <cellStyle name="Berechnung 2 2 22" xfId="2135" xr:uid="{8A1929CC-5003-43E2-BBA1-4925FC4C69D5}"/>
    <cellStyle name="Berechnung 2 2 22 2" xfId="2136" xr:uid="{E844568D-D4F5-4136-B207-AF4018C69C2C}"/>
    <cellStyle name="Berechnung 2 2 23" xfId="2137" xr:uid="{DC5D5CD9-74EB-4EDF-B200-BD132BA61565}"/>
    <cellStyle name="Berechnung 2 2 3" xfId="2138" xr:uid="{A5DCEA42-12C0-4A15-9AB1-C6A930C1E897}"/>
    <cellStyle name="Berechnung 2 2 3 10" xfId="2139" xr:uid="{8EFB04E6-F24E-48AA-BADE-B524781CD164}"/>
    <cellStyle name="Berechnung 2 2 3 11" xfId="2140" xr:uid="{D030B7AC-BFAD-4AEA-A74A-C8DC26734F7B}"/>
    <cellStyle name="Berechnung 2 2 3 12" xfId="2141" xr:uid="{9A9EBCEE-67E2-498C-86B1-7556B5FD21DA}"/>
    <cellStyle name="Berechnung 2 2 3 13" xfId="2142" xr:uid="{D21A8AC4-5BD1-493E-9943-C818546EB56A}"/>
    <cellStyle name="Berechnung 2 2 3 14" xfId="2143" xr:uid="{50A458C6-7DD4-4BE4-BF33-5DF58AA4BE11}"/>
    <cellStyle name="Berechnung 2 2 3 15" xfId="2144" xr:uid="{4467069F-48A5-4937-8B25-488A722DDB44}"/>
    <cellStyle name="Berechnung 2 2 3 16" xfId="2145" xr:uid="{58BFEBD6-A126-48AA-9001-6DCA7BF36252}"/>
    <cellStyle name="Berechnung 2 2 3 17" xfId="2146" xr:uid="{FF9BEDA5-74C7-4F9A-9EB2-E1F16FA7CACA}"/>
    <cellStyle name="Berechnung 2 2 3 18" xfId="2147" xr:uid="{EE7CEEC4-35F7-40E2-A73D-429DAE4BB236}"/>
    <cellStyle name="Berechnung 2 2 3 19" xfId="2148" xr:uid="{C16A7419-47B0-4FA6-8820-B3B9DF7F794E}"/>
    <cellStyle name="Berechnung 2 2 3 19 2" xfId="2149" xr:uid="{55FC401E-1E42-4195-B970-04DB81AD5D7D}"/>
    <cellStyle name="Berechnung 2 2 3 2" xfId="2150" xr:uid="{8938CEFD-0817-4443-9279-A679C1DC885B}"/>
    <cellStyle name="Berechnung 2 2 3 2 10" xfId="2151" xr:uid="{E36BAAE2-94D1-449E-AF6D-2485E3FE4D95}"/>
    <cellStyle name="Berechnung 2 2 3 2 11" xfId="2152" xr:uid="{A85DB011-4898-4A02-A2C0-C99C5FF2CDCD}"/>
    <cellStyle name="Berechnung 2 2 3 2 12" xfId="2153" xr:uid="{5330D8E8-CCB0-49B3-93C8-FF19C530F2BA}"/>
    <cellStyle name="Berechnung 2 2 3 2 13" xfId="2154" xr:uid="{6D85CD16-F973-4A32-B3D3-0E53B3C93E04}"/>
    <cellStyle name="Berechnung 2 2 3 2 14" xfId="2155" xr:uid="{B669E61D-EC69-4150-8038-D712AC9D8511}"/>
    <cellStyle name="Berechnung 2 2 3 2 15" xfId="2156" xr:uid="{273DF002-7770-4004-B9EA-D5EB378BB870}"/>
    <cellStyle name="Berechnung 2 2 3 2 16" xfId="2157" xr:uid="{0FCE76A9-390C-489F-9F03-F23611E69547}"/>
    <cellStyle name="Berechnung 2 2 3 2 17" xfId="2158" xr:uid="{297334B8-338F-41B3-9F94-5289DE3CAE4D}"/>
    <cellStyle name="Berechnung 2 2 3 2 18" xfId="2159" xr:uid="{56E417BF-61C8-424C-84F8-60B974B8CC5D}"/>
    <cellStyle name="Berechnung 2 2 3 2 18 2" xfId="2160" xr:uid="{5262C180-B3ED-4984-B171-2FB98AA3AE5A}"/>
    <cellStyle name="Berechnung 2 2 3 2 19" xfId="2161" xr:uid="{6323A879-6EC1-482E-B6A0-9FBBBB607961}"/>
    <cellStyle name="Berechnung 2 2 3 2 2" xfId="2162" xr:uid="{3191CB71-5948-4304-9734-C78C093FB5ED}"/>
    <cellStyle name="Berechnung 2 2 3 2 3" xfId="2163" xr:uid="{3528CF62-7EF0-4348-A83E-1F9C768843A2}"/>
    <cellStyle name="Berechnung 2 2 3 2 4" xfId="2164" xr:uid="{423AA084-AD7B-4C67-A9EA-B4891DC27D33}"/>
    <cellStyle name="Berechnung 2 2 3 2 5" xfId="2165" xr:uid="{EA1443E9-5CA4-441E-BE98-BF04830481ED}"/>
    <cellStyle name="Berechnung 2 2 3 2 6" xfId="2166" xr:uid="{51E463F3-2B0B-43F3-81C8-0C6AA40A010A}"/>
    <cellStyle name="Berechnung 2 2 3 2 7" xfId="2167" xr:uid="{B664931F-714D-46AB-A10F-CD04A3D47FD5}"/>
    <cellStyle name="Berechnung 2 2 3 2 8" xfId="2168" xr:uid="{AF312E0F-52B1-477A-9B26-A2B99CB2557A}"/>
    <cellStyle name="Berechnung 2 2 3 2 9" xfId="2169" xr:uid="{9CA18615-B62C-4E81-A436-5318C9523D31}"/>
    <cellStyle name="Berechnung 2 2 3 20" xfId="2170" xr:uid="{66476EF3-52C9-42EB-A416-AC3AB82B2CB2}"/>
    <cellStyle name="Berechnung 2 2 3 3" xfId="2171" xr:uid="{E5A501B0-75CE-46EC-8576-39C324DF9C2B}"/>
    <cellStyle name="Berechnung 2 2 3 4" xfId="2172" xr:uid="{8405C3BA-C97F-4447-BFFF-28BA57BADA0F}"/>
    <cellStyle name="Berechnung 2 2 3 5" xfId="2173" xr:uid="{40FD676E-E708-4B53-9BDB-911CA9416DC1}"/>
    <cellStyle name="Berechnung 2 2 3 6" xfId="2174" xr:uid="{2FC04922-4667-4A69-AA32-EEDBA179F95E}"/>
    <cellStyle name="Berechnung 2 2 3 7" xfId="2175" xr:uid="{7A3A03F9-C953-4C8B-81C4-BC63489F84A0}"/>
    <cellStyle name="Berechnung 2 2 3 8" xfId="2176" xr:uid="{916709B9-0C89-4E68-8781-B7C932562BA0}"/>
    <cellStyle name="Berechnung 2 2 3 9" xfId="2177" xr:uid="{BE04ECB1-4994-4259-867E-A273B8048074}"/>
    <cellStyle name="Berechnung 2 2 4" xfId="2178" xr:uid="{018DD977-A569-4691-AC07-236D3F3B8C92}"/>
    <cellStyle name="Berechnung 2 2 4 10" xfId="2179" xr:uid="{D5EFA808-5646-48B6-9CB4-61E2500FD5EC}"/>
    <cellStyle name="Berechnung 2 2 4 11" xfId="2180" xr:uid="{BB5CBE41-77C2-485F-951C-4024B1DF2EA8}"/>
    <cellStyle name="Berechnung 2 2 4 12" xfId="2181" xr:uid="{B8A24035-7A3A-445E-8FE7-F5116B2422EA}"/>
    <cellStyle name="Berechnung 2 2 4 13" xfId="2182" xr:uid="{A4163163-1F3C-49A2-ADF4-34F1559591DD}"/>
    <cellStyle name="Berechnung 2 2 4 14" xfId="2183" xr:uid="{14595F89-E5A1-4307-B120-4C0A8B22F0ED}"/>
    <cellStyle name="Berechnung 2 2 4 15" xfId="2184" xr:uid="{688F87C4-9D5D-46A3-8C4F-20505289A488}"/>
    <cellStyle name="Berechnung 2 2 4 16" xfId="2185" xr:uid="{BAE5541C-47D8-41AA-896A-DF54E9E0E296}"/>
    <cellStyle name="Berechnung 2 2 4 17" xfId="2186" xr:uid="{12C183B2-09DF-4A47-8B79-41BD54C015C9}"/>
    <cellStyle name="Berechnung 2 2 4 18" xfId="2187" xr:uid="{FB341BF9-5EC8-4E7B-A925-E272F51567BC}"/>
    <cellStyle name="Berechnung 2 2 4 19" xfId="2188" xr:uid="{78ECA97E-C6FD-410F-84F5-427EE7BE0EBC}"/>
    <cellStyle name="Berechnung 2 2 4 19 2" xfId="2189" xr:uid="{F235C4C6-5567-48CA-92E0-71A61B7CA000}"/>
    <cellStyle name="Berechnung 2 2 4 2" xfId="2190" xr:uid="{AE29EC1A-2C19-4F45-9AE1-BA0621AD20CF}"/>
    <cellStyle name="Berechnung 2 2 4 2 10" xfId="2191" xr:uid="{6A056528-FCD1-4A81-A45F-F6BF7CE2A2AD}"/>
    <cellStyle name="Berechnung 2 2 4 2 11" xfId="2192" xr:uid="{45DAB09F-580C-45FD-9CBB-5EE2104A9E15}"/>
    <cellStyle name="Berechnung 2 2 4 2 12" xfId="2193" xr:uid="{B7939595-E679-4EB7-97A6-692DEEC57EB8}"/>
    <cellStyle name="Berechnung 2 2 4 2 13" xfId="2194" xr:uid="{44895825-F7A1-400C-81C0-91DA885675FE}"/>
    <cellStyle name="Berechnung 2 2 4 2 14" xfId="2195" xr:uid="{973AC7F8-74DC-436A-9F2B-998A70689E1A}"/>
    <cellStyle name="Berechnung 2 2 4 2 15" xfId="2196" xr:uid="{B7097DEE-B62D-4FA5-A959-F664530DC264}"/>
    <cellStyle name="Berechnung 2 2 4 2 16" xfId="2197" xr:uid="{9E9DE7D6-99E2-460B-98C8-493E913D2B49}"/>
    <cellStyle name="Berechnung 2 2 4 2 17" xfId="2198" xr:uid="{24669FB7-A3BC-46D2-A241-208877CBD2DD}"/>
    <cellStyle name="Berechnung 2 2 4 2 18" xfId="2199" xr:uid="{B6887F50-7E81-45B0-BB49-F6B9D60611DC}"/>
    <cellStyle name="Berechnung 2 2 4 2 18 2" xfId="2200" xr:uid="{249579F1-B929-48A1-8B14-C8480F3832AF}"/>
    <cellStyle name="Berechnung 2 2 4 2 19" xfId="2201" xr:uid="{6900B9ED-AD81-4534-AA1E-A2E48F55FFA3}"/>
    <cellStyle name="Berechnung 2 2 4 2 2" xfId="2202" xr:uid="{28EAA45B-0C4D-4B11-86E1-5F1276D92B9C}"/>
    <cellStyle name="Berechnung 2 2 4 2 3" xfId="2203" xr:uid="{87D6D845-F856-4E87-AED4-F7E43369F228}"/>
    <cellStyle name="Berechnung 2 2 4 2 4" xfId="2204" xr:uid="{DD3DC43A-0432-4239-AD79-CE7AC043610D}"/>
    <cellStyle name="Berechnung 2 2 4 2 5" xfId="2205" xr:uid="{6D0B9A6B-7A03-472C-A986-DD6B678DD97A}"/>
    <cellStyle name="Berechnung 2 2 4 2 6" xfId="2206" xr:uid="{8F90C5C8-87D7-447D-BC0C-3936F3B17E83}"/>
    <cellStyle name="Berechnung 2 2 4 2 7" xfId="2207" xr:uid="{1140517A-B75A-42D7-A6FC-29E4449C4A94}"/>
    <cellStyle name="Berechnung 2 2 4 2 8" xfId="2208" xr:uid="{9C404BF7-3442-4061-B970-83E274DA158A}"/>
    <cellStyle name="Berechnung 2 2 4 2 9" xfId="2209" xr:uid="{A5F583B2-AB38-4673-A0A0-3EC09E1EB453}"/>
    <cellStyle name="Berechnung 2 2 4 20" xfId="2210" xr:uid="{C11B30A0-C996-4C83-8B18-B1965EECD6C7}"/>
    <cellStyle name="Berechnung 2 2 4 3" xfId="2211" xr:uid="{616B53EB-7779-44AC-A59D-D67EB7329D20}"/>
    <cellStyle name="Berechnung 2 2 4 4" xfId="2212" xr:uid="{775CE7DD-BCE2-43AF-8205-B9C60C1AEF06}"/>
    <cellStyle name="Berechnung 2 2 4 5" xfId="2213" xr:uid="{D825FC06-9141-433F-91C1-16EBC70D68E6}"/>
    <cellStyle name="Berechnung 2 2 4 6" xfId="2214" xr:uid="{67F3B99C-1CD5-488C-8430-5455730F902C}"/>
    <cellStyle name="Berechnung 2 2 4 7" xfId="2215" xr:uid="{1B2267B6-182C-4CA2-AEBA-6015CEF7D8BA}"/>
    <cellStyle name="Berechnung 2 2 4 8" xfId="2216" xr:uid="{31D490BA-9207-48A4-BF47-C0BA218AAE5F}"/>
    <cellStyle name="Berechnung 2 2 4 9" xfId="2217" xr:uid="{118220EF-A052-45F3-8D68-056AAB50EB08}"/>
    <cellStyle name="Berechnung 2 2 5" xfId="2218" xr:uid="{06C9F5AF-20A5-4909-A973-B7B1CB205DBB}"/>
    <cellStyle name="Berechnung 2 2 5 10" xfId="2219" xr:uid="{5225D6B3-3C6D-47E5-8DFA-9B6AA4AF9D48}"/>
    <cellStyle name="Berechnung 2 2 5 11" xfId="2220" xr:uid="{6B479E32-BEE8-4A8C-A0C2-A1F03CF2675D}"/>
    <cellStyle name="Berechnung 2 2 5 12" xfId="2221" xr:uid="{2E1045C4-3EBB-47ED-AFCE-EFA728D9A873}"/>
    <cellStyle name="Berechnung 2 2 5 13" xfId="2222" xr:uid="{DD02AD24-25CA-429D-BF72-A05EA7003572}"/>
    <cellStyle name="Berechnung 2 2 5 14" xfId="2223" xr:uid="{F2BBA29A-1A98-4369-83A1-55CF38353231}"/>
    <cellStyle name="Berechnung 2 2 5 15" xfId="2224" xr:uid="{3DEC0853-9A40-4361-84E6-744FD17818E2}"/>
    <cellStyle name="Berechnung 2 2 5 16" xfId="2225" xr:uid="{D17BEAB9-A01C-4E3C-B654-CAABA6CB4282}"/>
    <cellStyle name="Berechnung 2 2 5 17" xfId="2226" xr:uid="{C46E96AD-7EDB-4FD1-958B-436449AD9D07}"/>
    <cellStyle name="Berechnung 2 2 5 18" xfId="2227" xr:uid="{D5AAB571-A71A-4F15-9C9C-A402A7D8D99A}"/>
    <cellStyle name="Berechnung 2 2 5 18 2" xfId="2228" xr:uid="{804AAD91-9234-4F52-93DF-7305F13974DF}"/>
    <cellStyle name="Berechnung 2 2 5 19" xfId="2229" xr:uid="{2F628E93-59E7-41DD-BB11-93EE9BD373F6}"/>
    <cellStyle name="Berechnung 2 2 5 2" xfId="2230" xr:uid="{D8724151-910F-4063-9E3A-FF1CC53AD344}"/>
    <cellStyle name="Berechnung 2 2 5 3" xfId="2231" xr:uid="{8D8EBB09-32AB-4605-91EA-EE6C651C199B}"/>
    <cellStyle name="Berechnung 2 2 5 4" xfId="2232" xr:uid="{16F86FED-D53F-4B10-A6D0-E1139F741EE1}"/>
    <cellStyle name="Berechnung 2 2 5 5" xfId="2233" xr:uid="{08655073-3529-4BF9-A6B9-FB3FC09C6BEE}"/>
    <cellStyle name="Berechnung 2 2 5 6" xfId="2234" xr:uid="{A14A666E-3F5E-46BA-A2C5-A3EDCD3AAC81}"/>
    <cellStyle name="Berechnung 2 2 5 7" xfId="2235" xr:uid="{207D0A7E-98E9-4C2C-AF5F-BC26D9658AB7}"/>
    <cellStyle name="Berechnung 2 2 5 8" xfId="2236" xr:uid="{9BF1E8F9-1D0B-4370-84E6-74647F67D70F}"/>
    <cellStyle name="Berechnung 2 2 5 9" xfId="2237" xr:uid="{A43E88BE-B10A-48C5-9B7F-515FF9EF40D0}"/>
    <cellStyle name="Berechnung 2 2 6" xfId="2238" xr:uid="{75B6FE86-3263-4BAD-A4C8-F83967F2FFC6}"/>
    <cellStyle name="Berechnung 2 2 7" xfId="2239" xr:uid="{5D5C26B1-D79D-441F-B9A7-CE087C8639B5}"/>
    <cellStyle name="Berechnung 2 2 8" xfId="2240" xr:uid="{92838AD1-EBB0-4A2F-8DE4-5BB4F91D44D7}"/>
    <cellStyle name="Berechnung 2 2 9" xfId="2241" xr:uid="{048408C8-2A6C-4E00-88D0-00FF090BE534}"/>
    <cellStyle name="Berechnung 2 20" xfId="2242" xr:uid="{A813A208-E5FE-4A79-BDB5-D63CAEA94899}"/>
    <cellStyle name="Berechnung 2 21" xfId="2243" xr:uid="{1FF6AB40-0A92-4C36-A8E1-CF3F8F23FD69}"/>
    <cellStyle name="Berechnung 2 22" xfId="2244" xr:uid="{2D081EE0-FA87-46CF-AC09-7B50AEC9D726}"/>
    <cellStyle name="Berechnung 2 23" xfId="2245" xr:uid="{39047B8C-8006-4685-87E1-CDCE631382FC}"/>
    <cellStyle name="Berechnung 2 23 2" xfId="2246" xr:uid="{8721CF66-2D3D-4FB3-AED1-18B507773C08}"/>
    <cellStyle name="Berechnung 2 24" xfId="2247" xr:uid="{04468FFE-89BA-403D-8D90-CC20522FE5A3}"/>
    <cellStyle name="Berechnung 2 3" xfId="2248" xr:uid="{335CEB75-D207-4351-94DC-0BC583A35E30}"/>
    <cellStyle name="Berechnung 2 3 10" xfId="2249" xr:uid="{E57FE1A2-B7E8-45FD-9FCB-8D7060358645}"/>
    <cellStyle name="Berechnung 2 3 11" xfId="2250" xr:uid="{8E4C3E83-8681-4BFD-971D-E9248663C430}"/>
    <cellStyle name="Berechnung 2 3 12" xfId="2251" xr:uid="{ABF8F05E-DC9F-4714-B4E5-DF34A08D7EA4}"/>
    <cellStyle name="Berechnung 2 3 13" xfId="2252" xr:uid="{088F2376-343C-434D-8F50-1076AFE30713}"/>
    <cellStyle name="Berechnung 2 3 14" xfId="2253" xr:uid="{BA6F2AE5-C6B9-4BE3-BBE8-96B9080F057F}"/>
    <cellStyle name="Berechnung 2 3 15" xfId="2254" xr:uid="{6E71F8E1-B972-4652-A98C-D0F67126F1BE}"/>
    <cellStyle name="Berechnung 2 3 16" xfId="2255" xr:uid="{0EDF0665-CCED-4F5A-A6B3-57C5BBF58EC0}"/>
    <cellStyle name="Berechnung 2 3 17" xfId="2256" xr:uid="{C5A7E0D1-3264-4188-808A-41042A2D3E5A}"/>
    <cellStyle name="Berechnung 2 3 18" xfId="2257" xr:uid="{19F7A0D7-7B65-482E-8269-452D049AFD8D}"/>
    <cellStyle name="Berechnung 2 3 19" xfId="2258" xr:uid="{C4397CC2-ED8C-4C78-8208-828C400A262C}"/>
    <cellStyle name="Berechnung 2 3 19 2" xfId="2259" xr:uid="{73A61816-650B-4CDE-A867-C28C32BA7B75}"/>
    <cellStyle name="Berechnung 2 3 2" xfId="2260" xr:uid="{FD124AAE-8AE9-43DF-81A1-F8A9257CDB97}"/>
    <cellStyle name="Berechnung 2 3 2 10" xfId="2261" xr:uid="{F0A57B44-AB18-4A68-96BC-FB71C1621650}"/>
    <cellStyle name="Berechnung 2 3 2 11" xfId="2262" xr:uid="{7D25C728-A336-4979-AE87-110250DDB756}"/>
    <cellStyle name="Berechnung 2 3 2 12" xfId="2263" xr:uid="{2730C03F-0A1A-4550-8E24-79F8E13FE51A}"/>
    <cellStyle name="Berechnung 2 3 2 13" xfId="2264" xr:uid="{E1362232-25D6-4890-9AAD-F3CCFB60FF09}"/>
    <cellStyle name="Berechnung 2 3 2 14" xfId="2265" xr:uid="{F9F01825-E27B-49CF-80DB-1A762B984B53}"/>
    <cellStyle name="Berechnung 2 3 2 15" xfId="2266" xr:uid="{2F397609-C983-44CB-9007-F4B9A46E027C}"/>
    <cellStyle name="Berechnung 2 3 2 16" xfId="2267" xr:uid="{57DD0E6D-86EB-40E3-89A0-0FCF76342AE2}"/>
    <cellStyle name="Berechnung 2 3 2 17" xfId="2268" xr:uid="{8239F3D2-AFEA-432B-8CF4-F6C7A2066F69}"/>
    <cellStyle name="Berechnung 2 3 2 18" xfId="2269" xr:uid="{5C58455D-6E2C-40FC-B360-6374E95538CD}"/>
    <cellStyle name="Berechnung 2 3 2 18 2" xfId="2270" xr:uid="{B4A522F9-48B2-45E3-9D4F-C3B4C6129937}"/>
    <cellStyle name="Berechnung 2 3 2 19" xfId="2271" xr:uid="{5AA3CFCC-B29F-4021-84E0-6DBBEFD51768}"/>
    <cellStyle name="Berechnung 2 3 2 2" xfId="2272" xr:uid="{5F338C3E-4645-4D32-9AA9-AC74C6318FC9}"/>
    <cellStyle name="Berechnung 2 3 2 3" xfId="2273" xr:uid="{66BA273E-8997-42B6-BC70-03BD5E3F70FC}"/>
    <cellStyle name="Berechnung 2 3 2 4" xfId="2274" xr:uid="{30643B87-7FC3-451C-8675-36389D2FABCC}"/>
    <cellStyle name="Berechnung 2 3 2 5" xfId="2275" xr:uid="{424E3396-FA92-46D2-A9C4-57555C262220}"/>
    <cellStyle name="Berechnung 2 3 2 6" xfId="2276" xr:uid="{6B573681-D0EF-43B5-B50D-10A3379AADAD}"/>
    <cellStyle name="Berechnung 2 3 2 7" xfId="2277" xr:uid="{22BA1E5A-3C57-4FA0-A641-6495FBF964BF}"/>
    <cellStyle name="Berechnung 2 3 2 8" xfId="2278" xr:uid="{460E59BC-3BBC-49C6-8B32-C05C55D85BEB}"/>
    <cellStyle name="Berechnung 2 3 2 9" xfId="2279" xr:uid="{F001B4E4-5D7D-48E3-B749-14308CBA0BCD}"/>
    <cellStyle name="Berechnung 2 3 20" xfId="2280" xr:uid="{985CB6C2-F983-4AAF-8968-B6A7809B223D}"/>
    <cellStyle name="Berechnung 2 3 3" xfId="2281" xr:uid="{44BA3638-C4C5-4DB3-82F1-BA1B3D9BD318}"/>
    <cellStyle name="Berechnung 2 3 4" xfId="2282" xr:uid="{80C77EF1-3C1F-4990-850F-6609427F36E0}"/>
    <cellStyle name="Berechnung 2 3 5" xfId="2283" xr:uid="{20B2037D-5F80-46D0-A5B6-4CD0202F382A}"/>
    <cellStyle name="Berechnung 2 3 6" xfId="2284" xr:uid="{2CC0BC85-ED44-4500-81AC-E605E1B69D8B}"/>
    <cellStyle name="Berechnung 2 3 7" xfId="2285" xr:uid="{B7C7FE29-60D5-4AE4-A622-6578AE759AFE}"/>
    <cellStyle name="Berechnung 2 3 8" xfId="2286" xr:uid="{C1FA38AC-07B9-4A0D-9FC1-77427A64935F}"/>
    <cellStyle name="Berechnung 2 3 9" xfId="2287" xr:uid="{2A050E1A-8C7A-4C36-A899-2FE3E010980E}"/>
    <cellStyle name="Berechnung 2 4" xfId="2288" xr:uid="{418782C0-1920-45CF-8B0C-4928BC043F64}"/>
    <cellStyle name="Berechnung 2 4 10" xfId="2289" xr:uid="{1D387BB6-DE58-423D-B60C-5D27EFA6608B}"/>
    <cellStyle name="Berechnung 2 4 11" xfId="2290" xr:uid="{92289DAE-A6A3-4B15-9343-AB83C135ABC3}"/>
    <cellStyle name="Berechnung 2 4 12" xfId="2291" xr:uid="{7B352041-6EB3-4FB7-BBC8-964166FA1A6A}"/>
    <cellStyle name="Berechnung 2 4 13" xfId="2292" xr:uid="{FE22110C-BBB4-4E65-90D5-302BF6DB6DC4}"/>
    <cellStyle name="Berechnung 2 4 14" xfId="2293" xr:uid="{B1E00AB1-A47D-47EA-A157-FAD58EE44ACE}"/>
    <cellStyle name="Berechnung 2 4 15" xfId="2294" xr:uid="{BB1091F0-B883-4DFA-9B12-0DF92CD4217E}"/>
    <cellStyle name="Berechnung 2 4 16" xfId="2295" xr:uid="{A743C505-F76C-4D7F-8FC9-95F7D00E10A8}"/>
    <cellStyle name="Berechnung 2 4 17" xfId="2296" xr:uid="{F9C010B5-E927-45FB-B985-E86CB0845D40}"/>
    <cellStyle name="Berechnung 2 4 18" xfId="2297" xr:uid="{47B1EC51-3C29-4BED-95C0-B3A69C344772}"/>
    <cellStyle name="Berechnung 2 4 19" xfId="2298" xr:uid="{259E959A-C6C8-45F3-92FD-6D6A87BA5AF4}"/>
    <cellStyle name="Berechnung 2 4 19 2" xfId="2299" xr:uid="{95957CE1-3680-42E2-8A63-14FBFF2B3ABC}"/>
    <cellStyle name="Berechnung 2 4 2" xfId="2300" xr:uid="{4D179564-608B-4613-82B7-0029480A684C}"/>
    <cellStyle name="Berechnung 2 4 2 10" xfId="2301" xr:uid="{6060313E-7451-438F-A1C8-54682DFADF1D}"/>
    <cellStyle name="Berechnung 2 4 2 11" xfId="2302" xr:uid="{17458544-8C11-402F-8EAD-2BDAA73D6594}"/>
    <cellStyle name="Berechnung 2 4 2 12" xfId="2303" xr:uid="{EBB9E531-E075-4958-9C30-A571B7149ECC}"/>
    <cellStyle name="Berechnung 2 4 2 13" xfId="2304" xr:uid="{8851600C-453E-4BE3-9CF9-F33283709FB3}"/>
    <cellStyle name="Berechnung 2 4 2 14" xfId="2305" xr:uid="{78AEAFCE-3E43-416B-8D05-96A5573CE29E}"/>
    <cellStyle name="Berechnung 2 4 2 15" xfId="2306" xr:uid="{5748EF81-CC29-4F35-BE71-6E69C9F80A87}"/>
    <cellStyle name="Berechnung 2 4 2 16" xfId="2307" xr:uid="{840F3BEA-5D17-40E6-8FF1-E20B9DE53E2A}"/>
    <cellStyle name="Berechnung 2 4 2 17" xfId="2308" xr:uid="{5A28668B-3F3F-42F5-B1C1-FD8F4E92A2A1}"/>
    <cellStyle name="Berechnung 2 4 2 18" xfId="2309" xr:uid="{800BA7D1-B10E-40A2-A100-F83971B209F4}"/>
    <cellStyle name="Berechnung 2 4 2 18 2" xfId="2310" xr:uid="{B2C4AD24-2BEB-4698-BA8E-128DF9DA8A2A}"/>
    <cellStyle name="Berechnung 2 4 2 19" xfId="2311" xr:uid="{76FA5A5D-BCCC-4352-AF7F-85D6216DE6E2}"/>
    <cellStyle name="Berechnung 2 4 2 2" xfId="2312" xr:uid="{FFBADDE8-4CFA-4FE4-8119-90B44FA07E36}"/>
    <cellStyle name="Berechnung 2 4 2 3" xfId="2313" xr:uid="{87D456B1-C668-4919-ACD6-F8BFA734D239}"/>
    <cellStyle name="Berechnung 2 4 2 4" xfId="2314" xr:uid="{AB735A73-EDEE-4A15-8322-255E623BE6A7}"/>
    <cellStyle name="Berechnung 2 4 2 5" xfId="2315" xr:uid="{534BDC80-C35E-4F41-BC8A-D72BA2A5B3EF}"/>
    <cellStyle name="Berechnung 2 4 2 6" xfId="2316" xr:uid="{24EECD06-122F-4E66-A4EF-B94F74FAA758}"/>
    <cellStyle name="Berechnung 2 4 2 7" xfId="2317" xr:uid="{5A31EC55-6DD2-454E-9362-B68275D85072}"/>
    <cellStyle name="Berechnung 2 4 2 8" xfId="2318" xr:uid="{CB229E5E-3247-4C90-BE52-D4C32B3C9EB6}"/>
    <cellStyle name="Berechnung 2 4 2 9" xfId="2319" xr:uid="{7AD5A5BF-A980-426E-BB0C-7EA82E9BFDBE}"/>
    <cellStyle name="Berechnung 2 4 20" xfId="2320" xr:uid="{69F9F205-9645-4D60-846F-D3E89C0532D1}"/>
    <cellStyle name="Berechnung 2 4 3" xfId="2321" xr:uid="{5C963BBC-5749-4890-B3A9-2CCB2BF909DC}"/>
    <cellStyle name="Berechnung 2 4 4" xfId="2322" xr:uid="{61B0C0F5-382A-4539-81DF-53FD204AE969}"/>
    <cellStyle name="Berechnung 2 4 5" xfId="2323" xr:uid="{BA783C10-E854-4CCB-A4D8-E87498879A6D}"/>
    <cellStyle name="Berechnung 2 4 6" xfId="2324" xr:uid="{099781B2-3BDC-4344-8C4B-5712BC50A16F}"/>
    <cellStyle name="Berechnung 2 4 7" xfId="2325" xr:uid="{AB813479-CC1F-4B1F-B4E7-CB6B72D155C6}"/>
    <cellStyle name="Berechnung 2 4 8" xfId="2326" xr:uid="{FEDDD821-9E84-48DA-8D4A-83706E1C2BEA}"/>
    <cellStyle name="Berechnung 2 4 9" xfId="2327" xr:uid="{72A9857B-7AE3-4437-BAB5-491FE8BB6D07}"/>
    <cellStyle name="Berechnung 2 5" xfId="2328" xr:uid="{8939A1DC-92BB-48C0-8801-6F6949ED4679}"/>
    <cellStyle name="Berechnung 2 5 10" xfId="2329" xr:uid="{3F50D8D0-A322-45A8-8213-A272DDA172DD}"/>
    <cellStyle name="Berechnung 2 5 11" xfId="2330" xr:uid="{BC1A7448-4A20-4C47-899D-88E50D3729C4}"/>
    <cellStyle name="Berechnung 2 5 12" xfId="2331" xr:uid="{29A5CFEF-58C4-44B0-8CC8-3F86F1C8FA53}"/>
    <cellStyle name="Berechnung 2 5 13" xfId="2332" xr:uid="{EA294BE1-019A-450A-9F73-2CE02DCD251A}"/>
    <cellStyle name="Berechnung 2 5 14" xfId="2333" xr:uid="{60CB90AF-F0BA-499D-9F21-CCDBD8D93C48}"/>
    <cellStyle name="Berechnung 2 5 15" xfId="2334" xr:uid="{25565722-20C6-43EE-A7E7-06A77305B084}"/>
    <cellStyle name="Berechnung 2 5 16" xfId="2335" xr:uid="{DD559D21-3105-4C46-B852-490B4123DC30}"/>
    <cellStyle name="Berechnung 2 5 17" xfId="2336" xr:uid="{C2A5A987-33C0-4290-BEA5-A0AC03207911}"/>
    <cellStyle name="Berechnung 2 5 18" xfId="2337" xr:uid="{4E24B782-55B7-460E-A17E-E95A419E4389}"/>
    <cellStyle name="Berechnung 2 5 19" xfId="2338" xr:uid="{A144E827-0542-4851-B3F7-92060B693337}"/>
    <cellStyle name="Berechnung 2 5 19 2" xfId="2339" xr:uid="{C29A351A-2C6E-4A17-84B3-6D2A0436B03B}"/>
    <cellStyle name="Berechnung 2 5 2" xfId="2340" xr:uid="{C3D3165F-4DE6-4B11-A110-09DDF9FC79F6}"/>
    <cellStyle name="Berechnung 2 5 2 10" xfId="2341" xr:uid="{33BA7FD4-1737-43D6-B307-33E3D7B98900}"/>
    <cellStyle name="Berechnung 2 5 2 11" xfId="2342" xr:uid="{6A3B73AB-2ABD-491B-82D7-800B29DB8288}"/>
    <cellStyle name="Berechnung 2 5 2 12" xfId="2343" xr:uid="{0C1875C0-08E2-4A34-979A-2F4E422D0850}"/>
    <cellStyle name="Berechnung 2 5 2 13" xfId="2344" xr:uid="{B596A14E-1814-40D2-881A-DA87809BC98E}"/>
    <cellStyle name="Berechnung 2 5 2 14" xfId="2345" xr:uid="{3C945095-C759-425B-B908-FBED0CFAB250}"/>
    <cellStyle name="Berechnung 2 5 2 15" xfId="2346" xr:uid="{1156A7CD-97E2-44CF-9A92-FF23F8BF5A69}"/>
    <cellStyle name="Berechnung 2 5 2 16" xfId="2347" xr:uid="{49AD5F5C-145A-4CE6-AC88-EB23C39896FD}"/>
    <cellStyle name="Berechnung 2 5 2 17" xfId="2348" xr:uid="{2243DB15-72F1-422F-BE9C-3694C986E581}"/>
    <cellStyle name="Berechnung 2 5 2 18" xfId="2349" xr:uid="{EF8B881D-4797-4026-9C85-B1529A773FFD}"/>
    <cellStyle name="Berechnung 2 5 2 18 2" xfId="2350" xr:uid="{340962A2-FB0D-4885-933E-7E444D32EFC8}"/>
    <cellStyle name="Berechnung 2 5 2 19" xfId="2351" xr:uid="{25964991-6037-402F-A1BE-DC3F757D2EE0}"/>
    <cellStyle name="Berechnung 2 5 2 2" xfId="2352" xr:uid="{BAF36444-2BE9-40DB-AEF2-64D1EE44A589}"/>
    <cellStyle name="Berechnung 2 5 2 3" xfId="2353" xr:uid="{D48D4CC1-C84A-4AA0-B7CF-282A6C59B735}"/>
    <cellStyle name="Berechnung 2 5 2 4" xfId="2354" xr:uid="{12772460-E615-4A07-8FBE-8F381871D2D4}"/>
    <cellStyle name="Berechnung 2 5 2 5" xfId="2355" xr:uid="{5E8D731F-7DA6-4FED-84FF-1D7F211FDAFE}"/>
    <cellStyle name="Berechnung 2 5 2 6" xfId="2356" xr:uid="{DA502BF4-7860-4C08-BD01-0074D4A47BBD}"/>
    <cellStyle name="Berechnung 2 5 2 7" xfId="2357" xr:uid="{F8F1630C-2086-4CD9-976D-B697A1720E23}"/>
    <cellStyle name="Berechnung 2 5 2 8" xfId="2358" xr:uid="{0D468B80-C83F-4535-A85D-2835B835F21F}"/>
    <cellStyle name="Berechnung 2 5 2 9" xfId="2359" xr:uid="{D9CAC46E-207A-4F74-A6B5-A16A8CA3B03E}"/>
    <cellStyle name="Berechnung 2 5 20" xfId="2360" xr:uid="{5D1BC3E7-3638-40B5-BC53-CAD67A52AD4C}"/>
    <cellStyle name="Berechnung 2 5 3" xfId="2361" xr:uid="{1D74F42D-A8AD-4CE5-8E4D-507FFAB6CD6D}"/>
    <cellStyle name="Berechnung 2 5 4" xfId="2362" xr:uid="{76DDEEBA-1520-4220-8613-3C5EEF91BAC2}"/>
    <cellStyle name="Berechnung 2 5 5" xfId="2363" xr:uid="{FBCB13BA-DCFA-4297-87A2-6CBDBE0031BD}"/>
    <cellStyle name="Berechnung 2 5 6" xfId="2364" xr:uid="{5DC8B21F-EF3C-4F78-8D45-A76453954475}"/>
    <cellStyle name="Berechnung 2 5 7" xfId="2365" xr:uid="{DAC20DB3-88E6-4009-B159-9D9C8E8BAD0E}"/>
    <cellStyle name="Berechnung 2 5 8" xfId="2366" xr:uid="{B275B1E2-5BF6-4C05-B29A-9A688E6F4DE2}"/>
    <cellStyle name="Berechnung 2 5 9" xfId="2367" xr:uid="{B9ED9961-CC9C-410E-BE26-EE4DECDCD75C}"/>
    <cellStyle name="Berechnung 2 6" xfId="2368" xr:uid="{398D42E4-C226-4D1B-AC80-70AB58987BE1}"/>
    <cellStyle name="Berechnung 2 6 10" xfId="2369" xr:uid="{06CC9CED-919F-45D6-8FA6-64D3259B5F8A}"/>
    <cellStyle name="Berechnung 2 6 11" xfId="2370" xr:uid="{F1C4DA6E-EE6C-4C98-95F3-FC267C289D56}"/>
    <cellStyle name="Berechnung 2 6 12" xfId="2371" xr:uid="{198016B4-01A1-447F-A4E7-0EE772CDC677}"/>
    <cellStyle name="Berechnung 2 6 13" xfId="2372" xr:uid="{8214C57F-829F-4688-BBA8-57AE213F6676}"/>
    <cellStyle name="Berechnung 2 6 14" xfId="2373" xr:uid="{C60D1D15-D797-4FCF-B017-4DCE6563FCE3}"/>
    <cellStyle name="Berechnung 2 6 15" xfId="2374" xr:uid="{A42587E3-B7C4-4768-B0F4-7C003B880E85}"/>
    <cellStyle name="Berechnung 2 6 16" xfId="2375" xr:uid="{AA056033-65A3-4A1E-9B9C-2898939C3E0C}"/>
    <cellStyle name="Berechnung 2 6 17" xfId="2376" xr:uid="{6339CC6A-727A-445E-AA4F-A121C1D18523}"/>
    <cellStyle name="Berechnung 2 6 18" xfId="2377" xr:uid="{6CF4D271-546D-4CF4-B313-8DF70180F252}"/>
    <cellStyle name="Berechnung 2 6 18 2" xfId="2378" xr:uid="{8F6928BA-3D26-41B2-AEBD-49701ED04412}"/>
    <cellStyle name="Berechnung 2 6 19" xfId="2379" xr:uid="{16BABB81-A544-43EA-A9C2-01CED60E35FF}"/>
    <cellStyle name="Berechnung 2 6 2" xfId="2380" xr:uid="{8458E659-5840-4A72-A87D-5145F00D6370}"/>
    <cellStyle name="Berechnung 2 6 3" xfId="2381" xr:uid="{950B4F80-F425-40D3-85E3-CC03EEEBFD25}"/>
    <cellStyle name="Berechnung 2 6 4" xfId="2382" xr:uid="{99DC83E5-F4F6-4084-9895-6A05C98A3E86}"/>
    <cellStyle name="Berechnung 2 6 5" xfId="2383" xr:uid="{B379EE51-73F1-49F2-82CB-2C457E2C2011}"/>
    <cellStyle name="Berechnung 2 6 6" xfId="2384" xr:uid="{2CE5099E-2A1F-4C18-8FED-5C7EEB5FC39E}"/>
    <cellStyle name="Berechnung 2 6 7" xfId="2385" xr:uid="{BBF7B2B2-988F-47A8-9C6A-700D59984B25}"/>
    <cellStyle name="Berechnung 2 6 8" xfId="2386" xr:uid="{1FCCD017-5D9E-4BA3-92D8-90EA4916919C}"/>
    <cellStyle name="Berechnung 2 6 9" xfId="2387" xr:uid="{A996D00F-45F2-4281-A8A7-47DBBEA85189}"/>
    <cellStyle name="Berechnung 2 7" xfId="2388" xr:uid="{2B9F815E-B6BB-498F-ABF7-4B7849314B9D}"/>
    <cellStyle name="Berechnung 2 8" xfId="2389" xr:uid="{12E3D788-7F0C-41A0-BC99-C0FDA525CCBF}"/>
    <cellStyle name="Berechnung 2 9" xfId="2390" xr:uid="{62EB9B1B-798F-4FEF-8A98-7091E407D6FB}"/>
    <cellStyle name="Berechnung 20" xfId="2391" xr:uid="{AD560119-7758-47B4-AA65-882B1CAC287F}"/>
    <cellStyle name="Berechnung 21" xfId="2392" xr:uid="{9D5DF535-52AD-4D7C-866D-2B5FE1B9E5EB}"/>
    <cellStyle name="Berechnung 22" xfId="2393" xr:uid="{A4062ACC-FC53-4016-9274-CD0959246B34}"/>
    <cellStyle name="Berechnung 23" xfId="2394" xr:uid="{70FBB584-F2FC-4A9D-8A7A-09E9BCE67F42}"/>
    <cellStyle name="Berechnung 24" xfId="2395" xr:uid="{4E6BBCCF-E9BE-44E2-A99C-D5490964EEBE}"/>
    <cellStyle name="Berechnung 25" xfId="2396" xr:uid="{E41F06A4-B7DF-48A7-987D-9280E7AC82D5}"/>
    <cellStyle name="Berechnung 26" xfId="2397" xr:uid="{EF155613-A917-4936-9108-62A87234AA61}"/>
    <cellStyle name="Berechnung 27" xfId="2398" xr:uid="{4ED0A9F2-759B-44FC-91F8-4C916D299FD5}"/>
    <cellStyle name="Berechnung 3" xfId="2399" xr:uid="{5198B705-AAFA-4632-B8F1-0ADF6BA8DF6E}"/>
    <cellStyle name="Berechnung 3 10" xfId="2400" xr:uid="{B91FBB3D-1417-4A46-993C-CCFFF640D683}"/>
    <cellStyle name="Berechnung 3 11" xfId="2401" xr:uid="{837CB15E-380F-4F71-9FC4-22234612517E}"/>
    <cellStyle name="Berechnung 3 12" xfId="2402" xr:uid="{C5D4C8F1-ABC3-494D-9F65-F448D7EA3BF3}"/>
    <cellStyle name="Berechnung 3 13" xfId="2403" xr:uid="{772FDAF3-D6EB-4A00-A064-E4027F42E697}"/>
    <cellStyle name="Berechnung 3 14" xfId="2404" xr:uid="{95D05895-4FDA-43E0-AB2A-3467322B7055}"/>
    <cellStyle name="Berechnung 3 15" xfId="2405" xr:uid="{A163B1BD-0ACE-4028-8B95-970FD3A78014}"/>
    <cellStyle name="Berechnung 3 16" xfId="2406" xr:uid="{05E77EFF-12DC-49D2-A2EA-8686E63CDB0C}"/>
    <cellStyle name="Berechnung 3 17" xfId="2407" xr:uid="{DF2C7CF7-0142-4A91-952E-3F4416A6D814}"/>
    <cellStyle name="Berechnung 3 18" xfId="2408" xr:uid="{39B611F1-8DF9-4278-8B62-A545DBDBADC3}"/>
    <cellStyle name="Berechnung 3 19" xfId="2409" xr:uid="{A0FDEEF9-B4FF-4840-B281-D7BE752064B4}"/>
    <cellStyle name="Berechnung 3 2" xfId="2410" xr:uid="{910873B8-7B00-4BFC-B66E-B405B4861852}"/>
    <cellStyle name="Berechnung 3 2 10" xfId="2411" xr:uid="{755EE4A5-87FE-476E-AD37-9A33A498912C}"/>
    <cellStyle name="Berechnung 3 2 11" xfId="2412" xr:uid="{EACDD596-51EA-4B09-B785-1F3C447FBDB3}"/>
    <cellStyle name="Berechnung 3 2 12" xfId="2413" xr:uid="{5B2A817E-D7BC-4827-81B0-3384ED819761}"/>
    <cellStyle name="Berechnung 3 2 13" xfId="2414" xr:uid="{210633BD-1099-4A99-A7EA-0E0632B29617}"/>
    <cellStyle name="Berechnung 3 2 14" xfId="2415" xr:uid="{8C5F30E3-BBC2-4FF9-AB50-793AE4F1C11A}"/>
    <cellStyle name="Berechnung 3 2 15" xfId="2416" xr:uid="{0824EFED-2E18-4FDC-8ED2-AE7577439595}"/>
    <cellStyle name="Berechnung 3 2 16" xfId="2417" xr:uid="{252FE873-B196-42E9-96F5-A237D43882C1}"/>
    <cellStyle name="Berechnung 3 2 17" xfId="2418" xr:uid="{0F4284EB-8877-4C1F-BF1B-C585A0ECF298}"/>
    <cellStyle name="Berechnung 3 2 18" xfId="2419" xr:uid="{4D404A51-87A8-48A3-B408-590020672764}"/>
    <cellStyle name="Berechnung 3 2 19" xfId="2420" xr:uid="{BCCA620F-7DC2-480C-992A-8F43D3A1B55F}"/>
    <cellStyle name="Berechnung 3 2 2" xfId="2421" xr:uid="{93AAB43F-80AF-4A23-9494-BDE05D814740}"/>
    <cellStyle name="Berechnung 3 2 2 10" xfId="2422" xr:uid="{13B7E11A-B8EE-41C0-BECA-EC7354F4514F}"/>
    <cellStyle name="Berechnung 3 2 2 11" xfId="2423" xr:uid="{38F16DB3-1DCC-41FB-94ED-A6FBD4B4B12F}"/>
    <cellStyle name="Berechnung 3 2 2 12" xfId="2424" xr:uid="{0FE76220-B9B5-437F-B9AC-83D68EC00A22}"/>
    <cellStyle name="Berechnung 3 2 2 13" xfId="2425" xr:uid="{5FFB2586-7791-44B6-B8E7-8BB6F6BF3008}"/>
    <cellStyle name="Berechnung 3 2 2 14" xfId="2426" xr:uid="{35D315D3-2F07-4E36-8619-0EC43CD41111}"/>
    <cellStyle name="Berechnung 3 2 2 15" xfId="2427" xr:uid="{420875FF-3B01-406A-B99B-B64BE4E26F5E}"/>
    <cellStyle name="Berechnung 3 2 2 16" xfId="2428" xr:uid="{FE64BFB4-E89C-43FB-BFC4-CB8CC4865362}"/>
    <cellStyle name="Berechnung 3 2 2 17" xfId="2429" xr:uid="{F3BDF6D2-1E6B-4CD0-BA48-8BB14740B7FF}"/>
    <cellStyle name="Berechnung 3 2 2 18" xfId="2430" xr:uid="{71911DC5-2195-4D1B-8DDB-FE3AC44CC9D8}"/>
    <cellStyle name="Berechnung 3 2 2 19" xfId="2431" xr:uid="{7AC8137C-D576-4BEA-BDF5-19511E836998}"/>
    <cellStyle name="Berechnung 3 2 2 19 2" xfId="2432" xr:uid="{62DAFC27-54DF-42BF-A2F6-CEACB43D8DCD}"/>
    <cellStyle name="Berechnung 3 2 2 2" xfId="2433" xr:uid="{57F1C921-DB2B-4E69-8043-F0FD5E896C51}"/>
    <cellStyle name="Berechnung 3 2 2 2 10" xfId="2434" xr:uid="{95AE3AE4-3AF6-43ED-AB12-2CA1CFB453E0}"/>
    <cellStyle name="Berechnung 3 2 2 2 11" xfId="2435" xr:uid="{F3A994D6-920F-40EA-B154-23C12083C054}"/>
    <cellStyle name="Berechnung 3 2 2 2 12" xfId="2436" xr:uid="{7F418836-FF94-4C79-8350-AC03A385FF0E}"/>
    <cellStyle name="Berechnung 3 2 2 2 13" xfId="2437" xr:uid="{DEFBDE2C-9ABE-4DA9-895E-68EDFF554A56}"/>
    <cellStyle name="Berechnung 3 2 2 2 14" xfId="2438" xr:uid="{640B8AE1-4C18-4EC2-963D-9D5DFD281A4F}"/>
    <cellStyle name="Berechnung 3 2 2 2 15" xfId="2439" xr:uid="{C0C3944D-C6D1-4BC7-A029-01F03B49CB5C}"/>
    <cellStyle name="Berechnung 3 2 2 2 16" xfId="2440" xr:uid="{0B13DC1E-0F9B-4906-9A8E-51DA661CAE9E}"/>
    <cellStyle name="Berechnung 3 2 2 2 17" xfId="2441" xr:uid="{C605BE61-6CE1-4E4B-AB1A-1320E7A0AF62}"/>
    <cellStyle name="Berechnung 3 2 2 2 18" xfId="2442" xr:uid="{CE363D22-7EBE-49AD-AF80-C7149898DB00}"/>
    <cellStyle name="Berechnung 3 2 2 2 18 2" xfId="2443" xr:uid="{7BCD72C5-2B1E-4051-87B7-41893B4B8807}"/>
    <cellStyle name="Berechnung 3 2 2 2 19" xfId="2444" xr:uid="{4B080AB4-90E9-4C59-B25D-4E7EA54DE8E7}"/>
    <cellStyle name="Berechnung 3 2 2 2 2" xfId="2445" xr:uid="{CA82243B-B47E-4FC9-AC2D-F3BA98BE8748}"/>
    <cellStyle name="Berechnung 3 2 2 2 3" xfId="2446" xr:uid="{9D40D69E-CAE4-4598-83F4-8F97BABB8C5A}"/>
    <cellStyle name="Berechnung 3 2 2 2 4" xfId="2447" xr:uid="{E6C60184-9B78-4AFA-B296-A1D6B7E8430A}"/>
    <cellStyle name="Berechnung 3 2 2 2 5" xfId="2448" xr:uid="{9F836D47-9C92-4763-A682-BC1C0EC6CF12}"/>
    <cellStyle name="Berechnung 3 2 2 2 6" xfId="2449" xr:uid="{FF290041-E815-44F4-9EF8-385DF247812F}"/>
    <cellStyle name="Berechnung 3 2 2 2 7" xfId="2450" xr:uid="{E0D245A4-4B0E-459F-B9F4-B379B5D1FB50}"/>
    <cellStyle name="Berechnung 3 2 2 2 8" xfId="2451" xr:uid="{E4185881-20AF-422E-951D-7E94F027665D}"/>
    <cellStyle name="Berechnung 3 2 2 2 9" xfId="2452" xr:uid="{089729AC-3074-4F97-8A18-193CED6C9F1A}"/>
    <cellStyle name="Berechnung 3 2 2 20" xfId="2453" xr:uid="{37F6718C-00E7-47CE-B7B0-3223D5D0917A}"/>
    <cellStyle name="Berechnung 3 2 2 3" xfId="2454" xr:uid="{D903EA7C-BADE-4883-8661-6FFC39A6B13D}"/>
    <cellStyle name="Berechnung 3 2 2 4" xfId="2455" xr:uid="{CDE5A1A5-8054-4E7C-96F5-6A6B02FA4493}"/>
    <cellStyle name="Berechnung 3 2 2 5" xfId="2456" xr:uid="{B2354FFF-79B8-4623-BAF9-D32E50E3A802}"/>
    <cellStyle name="Berechnung 3 2 2 6" xfId="2457" xr:uid="{2927C20D-31C5-4E1A-8706-24D31B34A79E}"/>
    <cellStyle name="Berechnung 3 2 2 7" xfId="2458" xr:uid="{35B87281-C0D5-478B-8223-A301508C63FE}"/>
    <cellStyle name="Berechnung 3 2 2 8" xfId="2459" xr:uid="{5DE7BC31-3E0F-4EB9-9C70-1D9A54400AE6}"/>
    <cellStyle name="Berechnung 3 2 2 9" xfId="2460" xr:uid="{EE00F1ED-0291-4F2F-9683-90911B3C796B}"/>
    <cellStyle name="Berechnung 3 2 20" xfId="2461" xr:uid="{6950E124-354E-4E88-85D3-B66C856A3348}"/>
    <cellStyle name="Berechnung 3 2 21" xfId="2462" xr:uid="{5F45F062-2F09-4064-9E3B-3D8065A8651A}"/>
    <cellStyle name="Berechnung 3 2 22" xfId="2463" xr:uid="{04BD0778-1C28-4EC3-BC0A-94E6FF95CEE7}"/>
    <cellStyle name="Berechnung 3 2 22 2" xfId="2464" xr:uid="{1FFFB6D5-0798-4CAF-A24A-334CC4BAB37C}"/>
    <cellStyle name="Berechnung 3 2 23" xfId="2465" xr:uid="{739D462D-FB21-40CF-936A-42FAB16DA18C}"/>
    <cellStyle name="Berechnung 3 2 3" xfId="2466" xr:uid="{E4B26B83-15C2-4A41-8325-CBF131B0EFF8}"/>
    <cellStyle name="Berechnung 3 2 3 10" xfId="2467" xr:uid="{18B634F7-7225-4D16-BACE-95DED9CAA454}"/>
    <cellStyle name="Berechnung 3 2 3 11" xfId="2468" xr:uid="{06638040-7351-43F9-99D5-22C385828AF7}"/>
    <cellStyle name="Berechnung 3 2 3 12" xfId="2469" xr:uid="{18766F44-0176-4CD4-9C01-F7F4CCD60103}"/>
    <cellStyle name="Berechnung 3 2 3 13" xfId="2470" xr:uid="{250F6926-AFEE-4311-B442-C55A4ECD223D}"/>
    <cellStyle name="Berechnung 3 2 3 14" xfId="2471" xr:uid="{651CB3C0-4558-45CA-A377-E4AA216068AD}"/>
    <cellStyle name="Berechnung 3 2 3 15" xfId="2472" xr:uid="{2A5F213C-9B3F-4432-80D2-933B5FCD1122}"/>
    <cellStyle name="Berechnung 3 2 3 16" xfId="2473" xr:uid="{CA93E7DF-F159-4859-BB4D-A3D7C8B96784}"/>
    <cellStyle name="Berechnung 3 2 3 17" xfId="2474" xr:uid="{684B48BE-33CF-4A47-A3EA-671299EEC63E}"/>
    <cellStyle name="Berechnung 3 2 3 18" xfId="2475" xr:uid="{F4525D61-3751-48B7-B2E8-880014091E52}"/>
    <cellStyle name="Berechnung 3 2 3 19" xfId="2476" xr:uid="{36D512B3-EF92-4FDC-B3F9-B8171436F29B}"/>
    <cellStyle name="Berechnung 3 2 3 19 2" xfId="2477" xr:uid="{9F010657-C043-4B4B-B38F-27C9983DE1CE}"/>
    <cellStyle name="Berechnung 3 2 3 2" xfId="2478" xr:uid="{05525DF7-134F-4861-8FF1-BBD15E1C923D}"/>
    <cellStyle name="Berechnung 3 2 3 2 10" xfId="2479" xr:uid="{79F27DE9-EF53-4FB2-A71A-C766828A9FB3}"/>
    <cellStyle name="Berechnung 3 2 3 2 11" xfId="2480" xr:uid="{FABDFE78-A205-4A3D-B05F-B9AB00C8012E}"/>
    <cellStyle name="Berechnung 3 2 3 2 12" xfId="2481" xr:uid="{ADC5CB21-CE99-49D5-A4EC-E64F2D851D78}"/>
    <cellStyle name="Berechnung 3 2 3 2 13" xfId="2482" xr:uid="{9C9A6FFD-9522-4E2E-8C71-CC3F8B5765D3}"/>
    <cellStyle name="Berechnung 3 2 3 2 14" xfId="2483" xr:uid="{14272189-ACFC-4133-B7E6-A7911027C024}"/>
    <cellStyle name="Berechnung 3 2 3 2 15" xfId="2484" xr:uid="{2921B58C-9A74-4522-A724-A702DC9C2EB0}"/>
    <cellStyle name="Berechnung 3 2 3 2 16" xfId="2485" xr:uid="{50A03F35-F9E7-4BD4-AAAB-57D53A02E2CB}"/>
    <cellStyle name="Berechnung 3 2 3 2 17" xfId="2486" xr:uid="{DD954207-6EDE-46DC-93B8-5AD60648E6C7}"/>
    <cellStyle name="Berechnung 3 2 3 2 18" xfId="2487" xr:uid="{249F1EB4-0D49-47E3-9A7E-4BAC59DBC3EA}"/>
    <cellStyle name="Berechnung 3 2 3 2 18 2" xfId="2488" xr:uid="{A7A9E47A-0E71-4EDC-BAB6-42BA92D8B96A}"/>
    <cellStyle name="Berechnung 3 2 3 2 19" xfId="2489" xr:uid="{C1000565-503F-412D-B0CD-BEE0C4A229D6}"/>
    <cellStyle name="Berechnung 3 2 3 2 2" xfId="2490" xr:uid="{05B3C634-194F-4311-8F9E-4A37F2F124DB}"/>
    <cellStyle name="Berechnung 3 2 3 2 3" xfId="2491" xr:uid="{3D55E55F-C3AB-4606-98EE-19FF662CFD2C}"/>
    <cellStyle name="Berechnung 3 2 3 2 4" xfId="2492" xr:uid="{6F3E6E6D-87F3-44C8-BE64-ACC86D64122C}"/>
    <cellStyle name="Berechnung 3 2 3 2 5" xfId="2493" xr:uid="{00C7D16B-6F20-4413-B257-C91DF0DC13F3}"/>
    <cellStyle name="Berechnung 3 2 3 2 6" xfId="2494" xr:uid="{DE6202BA-86CA-44BC-870C-DFD3CE8CD152}"/>
    <cellStyle name="Berechnung 3 2 3 2 7" xfId="2495" xr:uid="{99918915-55C9-4946-AF38-517FC3FB4289}"/>
    <cellStyle name="Berechnung 3 2 3 2 8" xfId="2496" xr:uid="{4D84D27F-82BB-4D18-94F0-1EF0FA60237B}"/>
    <cellStyle name="Berechnung 3 2 3 2 9" xfId="2497" xr:uid="{01DBA952-E47A-4CA2-8D9D-7D204659F684}"/>
    <cellStyle name="Berechnung 3 2 3 20" xfId="2498" xr:uid="{61789908-A184-4B99-82ED-D995CB20070D}"/>
    <cellStyle name="Berechnung 3 2 3 3" xfId="2499" xr:uid="{5028EE7B-BA96-40BC-8933-9D2179ACC138}"/>
    <cellStyle name="Berechnung 3 2 3 4" xfId="2500" xr:uid="{2D60EF2B-EE62-43B7-9A09-B1146A3B1880}"/>
    <cellStyle name="Berechnung 3 2 3 5" xfId="2501" xr:uid="{6490362B-B8BB-4705-87E6-444AEA2AD74B}"/>
    <cellStyle name="Berechnung 3 2 3 6" xfId="2502" xr:uid="{52BEE7FC-0B8F-4BE9-9D62-2CA35E1DADA3}"/>
    <cellStyle name="Berechnung 3 2 3 7" xfId="2503" xr:uid="{988BCB05-908D-4690-A076-F4081FFA3AD5}"/>
    <cellStyle name="Berechnung 3 2 3 8" xfId="2504" xr:uid="{A1BE9B9D-59F0-410A-952F-8F0C516D7079}"/>
    <cellStyle name="Berechnung 3 2 3 9" xfId="2505" xr:uid="{385FE944-ECC1-41D9-A82B-CC859AC24E2C}"/>
    <cellStyle name="Berechnung 3 2 4" xfId="2506" xr:uid="{EDD3BD8B-7213-4AFF-82EE-9EACBB7EC10F}"/>
    <cellStyle name="Berechnung 3 2 4 10" xfId="2507" xr:uid="{C74FFF87-8BBC-4F95-9B66-C80FE44B800C}"/>
    <cellStyle name="Berechnung 3 2 4 11" xfId="2508" xr:uid="{F6B3F763-98A7-42EC-8306-233D3B450D4A}"/>
    <cellStyle name="Berechnung 3 2 4 12" xfId="2509" xr:uid="{C8177696-E231-4054-BB0A-EA847AB78AB5}"/>
    <cellStyle name="Berechnung 3 2 4 13" xfId="2510" xr:uid="{07816502-1E12-4977-B80B-F7B20C6B4719}"/>
    <cellStyle name="Berechnung 3 2 4 14" xfId="2511" xr:uid="{F6A0542E-2BA5-4EFA-A2DF-5C7F4DBC7320}"/>
    <cellStyle name="Berechnung 3 2 4 15" xfId="2512" xr:uid="{969A2055-82A2-43E0-ACF5-47D9DBA35459}"/>
    <cellStyle name="Berechnung 3 2 4 16" xfId="2513" xr:uid="{7315306C-3314-44F3-A266-620BFFB8D7E0}"/>
    <cellStyle name="Berechnung 3 2 4 17" xfId="2514" xr:uid="{50D49261-03BB-4868-B635-6BFF234D1783}"/>
    <cellStyle name="Berechnung 3 2 4 18" xfId="2515" xr:uid="{38628FA8-BEAC-44C9-9A52-34C1436C5EC9}"/>
    <cellStyle name="Berechnung 3 2 4 19" xfId="2516" xr:uid="{4B4621F9-9A19-4D99-9F0F-9DF9441ADC92}"/>
    <cellStyle name="Berechnung 3 2 4 19 2" xfId="2517" xr:uid="{F020C0FA-A571-4354-959D-A575A2CC6194}"/>
    <cellStyle name="Berechnung 3 2 4 2" xfId="2518" xr:uid="{F01EA7A5-4AA7-4A42-82E9-C622C9A7F800}"/>
    <cellStyle name="Berechnung 3 2 4 2 10" xfId="2519" xr:uid="{CD23DDB8-F103-4508-A19B-F0C30782AB49}"/>
    <cellStyle name="Berechnung 3 2 4 2 11" xfId="2520" xr:uid="{B3E897C8-8349-4EE0-8EAA-D166B3A1B532}"/>
    <cellStyle name="Berechnung 3 2 4 2 12" xfId="2521" xr:uid="{0CED8B82-0D0F-4F5A-A6D0-95882BB13CA2}"/>
    <cellStyle name="Berechnung 3 2 4 2 13" xfId="2522" xr:uid="{1B4575EA-7DE7-4F15-9798-23DD630AC704}"/>
    <cellStyle name="Berechnung 3 2 4 2 14" xfId="2523" xr:uid="{558A5F69-1833-4EF8-B3D8-854A5930E722}"/>
    <cellStyle name="Berechnung 3 2 4 2 15" xfId="2524" xr:uid="{85CB5955-D26F-42BC-88FA-7639E11CDA01}"/>
    <cellStyle name="Berechnung 3 2 4 2 16" xfId="2525" xr:uid="{BEB59E5A-1326-411F-ADF1-D24FF8B89411}"/>
    <cellStyle name="Berechnung 3 2 4 2 17" xfId="2526" xr:uid="{1DC5AC84-E882-4747-9086-5C3C025C0181}"/>
    <cellStyle name="Berechnung 3 2 4 2 18" xfId="2527" xr:uid="{E3A897F2-8385-4CA6-9885-DA36A5BA4B4F}"/>
    <cellStyle name="Berechnung 3 2 4 2 18 2" xfId="2528" xr:uid="{CA8292C8-4A07-4199-8021-778568AA3245}"/>
    <cellStyle name="Berechnung 3 2 4 2 19" xfId="2529" xr:uid="{8303F7FB-66E9-4DD8-90D6-F7B62B3B56F3}"/>
    <cellStyle name="Berechnung 3 2 4 2 2" xfId="2530" xr:uid="{41368DF5-E77D-4D4C-B6A8-8B880D800203}"/>
    <cellStyle name="Berechnung 3 2 4 2 3" xfId="2531" xr:uid="{1F018FA7-46AB-472C-9E43-5A2F7C2ADE44}"/>
    <cellStyle name="Berechnung 3 2 4 2 4" xfId="2532" xr:uid="{DE9E4D5A-05FB-473B-BE41-9409963125AD}"/>
    <cellStyle name="Berechnung 3 2 4 2 5" xfId="2533" xr:uid="{695A0695-69FA-4D24-9478-315D65391278}"/>
    <cellStyle name="Berechnung 3 2 4 2 6" xfId="2534" xr:uid="{C90E486A-C02D-40A7-AF05-0D8B13735311}"/>
    <cellStyle name="Berechnung 3 2 4 2 7" xfId="2535" xr:uid="{B6F0ADA0-A4DD-478E-A302-F0B1C3D805BB}"/>
    <cellStyle name="Berechnung 3 2 4 2 8" xfId="2536" xr:uid="{AB2BF6A1-5EA7-49E6-96A3-BD6593CFD919}"/>
    <cellStyle name="Berechnung 3 2 4 2 9" xfId="2537" xr:uid="{AA964C7B-61E6-4CA2-83F5-F6DB7D248020}"/>
    <cellStyle name="Berechnung 3 2 4 20" xfId="2538" xr:uid="{DAE8E31E-15E0-46AF-8B86-3ABFFFD89DE3}"/>
    <cellStyle name="Berechnung 3 2 4 3" xfId="2539" xr:uid="{0477C8A0-C2FB-43F7-86BC-DDECFEC04495}"/>
    <cellStyle name="Berechnung 3 2 4 4" xfId="2540" xr:uid="{A697D3EC-60D1-417B-8E21-A238C3478467}"/>
    <cellStyle name="Berechnung 3 2 4 5" xfId="2541" xr:uid="{23B32194-3048-4FE5-AA36-8B1E086EB08D}"/>
    <cellStyle name="Berechnung 3 2 4 6" xfId="2542" xr:uid="{6B8DD31B-BC20-4D1E-B0A1-B8DF329DCC67}"/>
    <cellStyle name="Berechnung 3 2 4 7" xfId="2543" xr:uid="{B9F3307D-943A-4ACC-8FD2-BEF7764E438E}"/>
    <cellStyle name="Berechnung 3 2 4 8" xfId="2544" xr:uid="{C1A22A76-23F7-4805-8865-289C17C176CE}"/>
    <cellStyle name="Berechnung 3 2 4 9" xfId="2545" xr:uid="{E4DC3ABF-8F8D-4A34-8A74-530B2630E302}"/>
    <cellStyle name="Berechnung 3 2 5" xfId="2546" xr:uid="{C0F2293E-4AD0-4F79-B1D7-E494DD004677}"/>
    <cellStyle name="Berechnung 3 2 5 10" xfId="2547" xr:uid="{BE9CA35E-6982-42B7-BFFB-D48337CD4B98}"/>
    <cellStyle name="Berechnung 3 2 5 11" xfId="2548" xr:uid="{0FE2512A-3DD8-49D4-AF52-27A0B7BAA18D}"/>
    <cellStyle name="Berechnung 3 2 5 12" xfId="2549" xr:uid="{B1A961A9-1AB8-4E7A-A7DD-218AFC534669}"/>
    <cellStyle name="Berechnung 3 2 5 13" xfId="2550" xr:uid="{7895835D-99DE-48B3-AB26-8E02488670F2}"/>
    <cellStyle name="Berechnung 3 2 5 14" xfId="2551" xr:uid="{7E1F95C3-C536-4D7F-BD07-E41D865E5A52}"/>
    <cellStyle name="Berechnung 3 2 5 15" xfId="2552" xr:uid="{FB31CEB3-0082-4365-B48C-8D021926A9D1}"/>
    <cellStyle name="Berechnung 3 2 5 16" xfId="2553" xr:uid="{B3F27E32-4F2C-46B8-BEFF-641567F161E6}"/>
    <cellStyle name="Berechnung 3 2 5 17" xfId="2554" xr:uid="{84EDF1CE-D0F3-47D8-9544-084674B4A338}"/>
    <cellStyle name="Berechnung 3 2 5 18" xfId="2555" xr:uid="{D2506D4B-4E58-4AD0-96E5-B422864164F1}"/>
    <cellStyle name="Berechnung 3 2 5 18 2" xfId="2556" xr:uid="{8F913617-F2CF-4288-8AF3-7622080894DD}"/>
    <cellStyle name="Berechnung 3 2 5 19" xfId="2557" xr:uid="{37B0F997-3BD6-440E-8B66-96F0355DC796}"/>
    <cellStyle name="Berechnung 3 2 5 2" xfId="2558" xr:uid="{6D5695F6-5BCB-4095-9493-5F7B388A532F}"/>
    <cellStyle name="Berechnung 3 2 5 3" xfId="2559" xr:uid="{D0A521DE-3EC5-49C9-881E-5F172C6AB5E9}"/>
    <cellStyle name="Berechnung 3 2 5 4" xfId="2560" xr:uid="{349B3575-1F7A-4F0D-A945-8AE552EEE955}"/>
    <cellStyle name="Berechnung 3 2 5 5" xfId="2561" xr:uid="{5FE07211-79C0-459D-9947-688206E720D0}"/>
    <cellStyle name="Berechnung 3 2 5 6" xfId="2562" xr:uid="{C6F5E8CE-B7AD-4D86-8BD8-D73498749566}"/>
    <cellStyle name="Berechnung 3 2 5 7" xfId="2563" xr:uid="{57564A52-90DD-44B7-A23E-D2F73BCDD4EC}"/>
    <cellStyle name="Berechnung 3 2 5 8" xfId="2564" xr:uid="{A4B0ED67-217F-4241-B69D-6F94182E305E}"/>
    <cellStyle name="Berechnung 3 2 5 9" xfId="2565" xr:uid="{08E2EB8A-630C-45E9-B734-6F1068AFCD4F}"/>
    <cellStyle name="Berechnung 3 2 6" xfId="2566" xr:uid="{BB077C35-C35C-44BC-9123-53D82AEA54D0}"/>
    <cellStyle name="Berechnung 3 2 7" xfId="2567" xr:uid="{2E1DDCFA-2E73-46F6-ADCD-CC592CA5B5F0}"/>
    <cellStyle name="Berechnung 3 2 8" xfId="2568" xr:uid="{CF74D962-7C8F-4E0B-A5FC-ACC0DBC5474D}"/>
    <cellStyle name="Berechnung 3 2 9" xfId="2569" xr:uid="{6B7F6B1E-CC1E-47B7-BC39-3D69902CEC08}"/>
    <cellStyle name="Berechnung 3 20" xfId="2570" xr:uid="{3802EE68-13F2-4C12-BAB7-CF60D29294FF}"/>
    <cellStyle name="Berechnung 3 21" xfId="2571" xr:uid="{AE1297C3-AB65-47AE-9A2C-B777B2744262}"/>
    <cellStyle name="Berechnung 3 22" xfId="2572" xr:uid="{C4A6C37B-6EE6-4CAD-9138-5207B39A02E9}"/>
    <cellStyle name="Berechnung 3 23" xfId="2573" xr:uid="{1BA16C9D-EB42-431A-A047-195900555D2C}"/>
    <cellStyle name="Berechnung 3 23 2" xfId="2574" xr:uid="{2D393774-36EB-44C3-B1D1-0C5C3FA10809}"/>
    <cellStyle name="Berechnung 3 24" xfId="2575" xr:uid="{6225E8D3-F9A4-4F98-BE53-24086CC8DB38}"/>
    <cellStyle name="Berechnung 3 3" xfId="2576" xr:uid="{6C5310CC-7F68-41CC-B436-23AE80335A94}"/>
    <cellStyle name="Berechnung 3 3 10" xfId="2577" xr:uid="{363FE34F-EFFA-463C-966F-157B93065250}"/>
    <cellStyle name="Berechnung 3 3 11" xfId="2578" xr:uid="{6A941152-9B87-49DD-A581-EB74D855DDA5}"/>
    <cellStyle name="Berechnung 3 3 12" xfId="2579" xr:uid="{D89BFD92-C196-4544-92CB-130CEE022732}"/>
    <cellStyle name="Berechnung 3 3 13" xfId="2580" xr:uid="{4E16194B-33F3-4C2E-AEBC-92A8119073AF}"/>
    <cellStyle name="Berechnung 3 3 14" xfId="2581" xr:uid="{D23F7CF6-A921-4946-A0AA-694FA4080D3A}"/>
    <cellStyle name="Berechnung 3 3 15" xfId="2582" xr:uid="{23094BB7-4A7F-4789-A312-83268C40635D}"/>
    <cellStyle name="Berechnung 3 3 16" xfId="2583" xr:uid="{B19EE574-023E-4E3D-B3D8-58E445A2E428}"/>
    <cellStyle name="Berechnung 3 3 17" xfId="2584" xr:uid="{8682CF30-471F-49CD-BA9B-D9329477052D}"/>
    <cellStyle name="Berechnung 3 3 18" xfId="2585" xr:uid="{12E4FFF8-3755-45BA-8370-2EC4A2C9773D}"/>
    <cellStyle name="Berechnung 3 3 19" xfId="2586" xr:uid="{12061291-32F1-4C68-9CAB-048DEBA63CE5}"/>
    <cellStyle name="Berechnung 3 3 19 2" xfId="2587" xr:uid="{D4563068-0109-46AC-A126-5B1E5ED55B9B}"/>
    <cellStyle name="Berechnung 3 3 2" xfId="2588" xr:uid="{9DC36BAC-3DC7-465C-BF36-14A553DDFC0B}"/>
    <cellStyle name="Berechnung 3 3 2 10" xfId="2589" xr:uid="{6663180A-BE33-43E0-8969-CBB439FA86D6}"/>
    <cellStyle name="Berechnung 3 3 2 11" xfId="2590" xr:uid="{8B89E35F-B6FA-4EF4-BBA4-F3D344F3C3EB}"/>
    <cellStyle name="Berechnung 3 3 2 12" xfId="2591" xr:uid="{732E48FB-32FC-44A5-B2CA-7EEF5FFD482E}"/>
    <cellStyle name="Berechnung 3 3 2 13" xfId="2592" xr:uid="{888B9A44-C737-40C4-9A67-ED6A62DD1C1E}"/>
    <cellStyle name="Berechnung 3 3 2 14" xfId="2593" xr:uid="{304ADF8E-42AE-4B44-9DF7-96E57C86E3A9}"/>
    <cellStyle name="Berechnung 3 3 2 15" xfId="2594" xr:uid="{4F00C54B-E053-4031-9B06-A28A36B1A285}"/>
    <cellStyle name="Berechnung 3 3 2 16" xfId="2595" xr:uid="{697BBAAA-7C25-4880-BBC9-C762FDAB776F}"/>
    <cellStyle name="Berechnung 3 3 2 17" xfId="2596" xr:uid="{E64D50FA-C0AA-41E5-9737-C93AA6EF959D}"/>
    <cellStyle name="Berechnung 3 3 2 18" xfId="2597" xr:uid="{4354FD72-928B-4BBB-A406-4982D4547D81}"/>
    <cellStyle name="Berechnung 3 3 2 18 2" xfId="2598" xr:uid="{C06931E7-658A-47DD-92DF-00877090880A}"/>
    <cellStyle name="Berechnung 3 3 2 19" xfId="2599" xr:uid="{3C20DB3F-90DE-4F97-BA14-27B3127F8983}"/>
    <cellStyle name="Berechnung 3 3 2 2" xfId="2600" xr:uid="{EDA3D0FE-1FC2-4BC9-A7C6-25F6E7A94F09}"/>
    <cellStyle name="Berechnung 3 3 2 3" xfId="2601" xr:uid="{239DA835-7B96-4EB7-8677-0CAD4E6BE933}"/>
    <cellStyle name="Berechnung 3 3 2 4" xfId="2602" xr:uid="{660B5E76-AE37-488E-9A2C-FB4CBCAB855E}"/>
    <cellStyle name="Berechnung 3 3 2 5" xfId="2603" xr:uid="{778A5008-16AC-4375-817B-AC49C208A91F}"/>
    <cellStyle name="Berechnung 3 3 2 6" xfId="2604" xr:uid="{3B5A759F-C523-4A74-B78E-195DCD506459}"/>
    <cellStyle name="Berechnung 3 3 2 7" xfId="2605" xr:uid="{28B3E988-769D-42B4-B148-FF96361469E2}"/>
    <cellStyle name="Berechnung 3 3 2 8" xfId="2606" xr:uid="{3A3400FF-F246-4348-9845-9ACCA95FCE36}"/>
    <cellStyle name="Berechnung 3 3 2 9" xfId="2607" xr:uid="{4B659027-EB8E-49AE-A7B4-3E4503FE39B0}"/>
    <cellStyle name="Berechnung 3 3 20" xfId="2608" xr:uid="{ED8E9854-3958-483E-A515-C8FE613AB090}"/>
    <cellStyle name="Berechnung 3 3 3" xfId="2609" xr:uid="{E8F1DD27-B567-4251-B07C-516F9E2A993A}"/>
    <cellStyle name="Berechnung 3 3 4" xfId="2610" xr:uid="{025D2A0F-8394-4508-8B81-8ED97D6F9831}"/>
    <cellStyle name="Berechnung 3 3 5" xfId="2611" xr:uid="{2A59CBA9-31AA-473D-9B7C-8474DD38E238}"/>
    <cellStyle name="Berechnung 3 3 6" xfId="2612" xr:uid="{CEBE39C7-B278-4E4F-B28B-A6BD28094036}"/>
    <cellStyle name="Berechnung 3 3 7" xfId="2613" xr:uid="{1B3379CC-D412-4A97-9B66-9EF9C6B0AFFC}"/>
    <cellStyle name="Berechnung 3 3 8" xfId="2614" xr:uid="{2B4DE6B7-FEA8-4AAD-8C94-7F5319EFA684}"/>
    <cellStyle name="Berechnung 3 3 9" xfId="2615" xr:uid="{5EAF8A86-A2B7-44BF-81B2-A800D5B6A129}"/>
    <cellStyle name="Berechnung 3 4" xfId="2616" xr:uid="{C4B9CEF8-5DF6-450D-801F-A5371B56E9A6}"/>
    <cellStyle name="Berechnung 3 4 10" xfId="2617" xr:uid="{284BA6CB-D45F-42FB-90A2-3DCEC5AE5EFC}"/>
    <cellStyle name="Berechnung 3 4 11" xfId="2618" xr:uid="{F83C66EF-08BC-4DCE-B5AC-1112509521A1}"/>
    <cellStyle name="Berechnung 3 4 12" xfId="2619" xr:uid="{2FFA8036-4578-4985-95D0-A5A681FCE15A}"/>
    <cellStyle name="Berechnung 3 4 13" xfId="2620" xr:uid="{BCBE7B9A-8C1A-46BD-B2C6-7CC7460F47AC}"/>
    <cellStyle name="Berechnung 3 4 14" xfId="2621" xr:uid="{5A24EE87-F211-4630-B12C-BA381BC9B35F}"/>
    <cellStyle name="Berechnung 3 4 15" xfId="2622" xr:uid="{B6485B14-5F4B-469D-AEF9-90A17193E3F5}"/>
    <cellStyle name="Berechnung 3 4 16" xfId="2623" xr:uid="{325E094B-BCF4-4C0C-BD12-DC38A178C09C}"/>
    <cellStyle name="Berechnung 3 4 17" xfId="2624" xr:uid="{670C75ED-2F14-4EC6-BDFF-EA8E6BC63B66}"/>
    <cellStyle name="Berechnung 3 4 18" xfId="2625" xr:uid="{84AF5CBF-F86D-44AE-83BF-7A85B3270A48}"/>
    <cellStyle name="Berechnung 3 4 19" xfId="2626" xr:uid="{2D1C3976-9155-4221-8BAD-9B43BC7A1D2B}"/>
    <cellStyle name="Berechnung 3 4 19 2" xfId="2627" xr:uid="{AF6296C5-F0B8-4DCC-B372-0BF425455903}"/>
    <cellStyle name="Berechnung 3 4 2" xfId="2628" xr:uid="{1AC38DFE-BCDE-4D95-9352-4B4ECBC6C9E8}"/>
    <cellStyle name="Berechnung 3 4 2 10" xfId="2629" xr:uid="{5C1B472C-CC88-4A7B-89C8-537FF78EEDED}"/>
    <cellStyle name="Berechnung 3 4 2 11" xfId="2630" xr:uid="{0C4E643B-8927-472F-B4F5-C42ADE298A2D}"/>
    <cellStyle name="Berechnung 3 4 2 12" xfId="2631" xr:uid="{4E39ACFB-8D79-4FB1-AD23-A74ED8D232D8}"/>
    <cellStyle name="Berechnung 3 4 2 13" xfId="2632" xr:uid="{D6FBD76C-FADC-4145-A1EA-20871FBFF184}"/>
    <cellStyle name="Berechnung 3 4 2 14" xfId="2633" xr:uid="{7A0A854D-A99D-4E49-B8C2-38C610BF563D}"/>
    <cellStyle name="Berechnung 3 4 2 15" xfId="2634" xr:uid="{28893DB5-FDC2-4DB0-BA2E-F2B9EB8DEB09}"/>
    <cellStyle name="Berechnung 3 4 2 16" xfId="2635" xr:uid="{1375B3C8-EB5F-4E3F-A682-00FE5260FCBE}"/>
    <cellStyle name="Berechnung 3 4 2 17" xfId="2636" xr:uid="{C482AF92-1C4C-4709-9B6C-8183D7B6D4E9}"/>
    <cellStyle name="Berechnung 3 4 2 18" xfId="2637" xr:uid="{6E6573C3-AA0C-4367-B156-91CF5A31C286}"/>
    <cellStyle name="Berechnung 3 4 2 18 2" xfId="2638" xr:uid="{EE84FB47-07B6-4344-A202-A1C990F218E1}"/>
    <cellStyle name="Berechnung 3 4 2 19" xfId="2639" xr:uid="{1540759E-C71B-4817-96AA-265D7C5765C5}"/>
    <cellStyle name="Berechnung 3 4 2 2" xfId="2640" xr:uid="{57706DF9-4186-45A5-8B0F-EE84B3C669B3}"/>
    <cellStyle name="Berechnung 3 4 2 3" xfId="2641" xr:uid="{3C72187F-D226-401E-82EF-1A65EF5E321E}"/>
    <cellStyle name="Berechnung 3 4 2 4" xfId="2642" xr:uid="{0D887E4A-69E9-4BCE-8CA5-EDA4195D1C0C}"/>
    <cellStyle name="Berechnung 3 4 2 5" xfId="2643" xr:uid="{EC708515-76FF-4202-92AF-30570BB5DCDB}"/>
    <cellStyle name="Berechnung 3 4 2 6" xfId="2644" xr:uid="{9D3C94E8-5BB1-4A7F-9089-C14F62A2401B}"/>
    <cellStyle name="Berechnung 3 4 2 7" xfId="2645" xr:uid="{F8EE24A4-6EFF-4188-B696-224D8CF0149E}"/>
    <cellStyle name="Berechnung 3 4 2 8" xfId="2646" xr:uid="{485045FA-66AF-4662-B9CF-F42C547944A1}"/>
    <cellStyle name="Berechnung 3 4 2 9" xfId="2647" xr:uid="{E2D97187-D297-4DAA-9B88-5E66C587C22D}"/>
    <cellStyle name="Berechnung 3 4 20" xfId="2648" xr:uid="{5936D873-6023-4E17-9DC6-CF704E544969}"/>
    <cellStyle name="Berechnung 3 4 3" xfId="2649" xr:uid="{A80CFD95-048A-4C2A-A729-748DFEDB2F23}"/>
    <cellStyle name="Berechnung 3 4 4" xfId="2650" xr:uid="{A8BA20D2-47D9-4AF9-96F4-11AAFA1F256E}"/>
    <cellStyle name="Berechnung 3 4 5" xfId="2651" xr:uid="{4840B3BF-BA4F-4D96-9B61-D87CFCBFD3AE}"/>
    <cellStyle name="Berechnung 3 4 6" xfId="2652" xr:uid="{E366D1E8-F6D0-4098-9E61-068BBCDD7A85}"/>
    <cellStyle name="Berechnung 3 4 7" xfId="2653" xr:uid="{089D9CB1-9241-4036-A2F0-AEAF909C5B72}"/>
    <cellStyle name="Berechnung 3 4 8" xfId="2654" xr:uid="{FA606E53-3347-466B-8733-5F1204897811}"/>
    <cellStyle name="Berechnung 3 4 9" xfId="2655" xr:uid="{BC61F7B3-A3F2-4A81-8248-2C75BB96916E}"/>
    <cellStyle name="Berechnung 3 5" xfId="2656" xr:uid="{15BAECCE-AAD8-4384-B3F3-EF1B7B537ADC}"/>
    <cellStyle name="Berechnung 3 5 10" xfId="2657" xr:uid="{FD346D6A-7C79-447C-A23D-9347D239C95C}"/>
    <cellStyle name="Berechnung 3 5 11" xfId="2658" xr:uid="{71D5C89B-EAFE-47CE-8587-1F98C2D6C3A5}"/>
    <cellStyle name="Berechnung 3 5 12" xfId="2659" xr:uid="{66F776DE-36B5-4C27-A58A-8B98416C096A}"/>
    <cellStyle name="Berechnung 3 5 13" xfId="2660" xr:uid="{0E150CF5-8F15-47EC-B60D-44DC2D802129}"/>
    <cellStyle name="Berechnung 3 5 14" xfId="2661" xr:uid="{7AE2A3D9-879C-497E-9650-04FF42636821}"/>
    <cellStyle name="Berechnung 3 5 15" xfId="2662" xr:uid="{D7338030-8E04-414C-A45E-4B854B1B2552}"/>
    <cellStyle name="Berechnung 3 5 16" xfId="2663" xr:uid="{1E9389AC-6E0D-43F2-BA9F-A05E9208E6AD}"/>
    <cellStyle name="Berechnung 3 5 17" xfId="2664" xr:uid="{344673C1-DF24-4A03-A4B2-DB85A4773027}"/>
    <cellStyle name="Berechnung 3 5 18" xfId="2665" xr:uid="{054BF5AF-D762-49F6-A91D-04E4249A2C50}"/>
    <cellStyle name="Berechnung 3 5 19" xfId="2666" xr:uid="{858E12E6-B597-420A-893A-9ADA27C640B4}"/>
    <cellStyle name="Berechnung 3 5 19 2" xfId="2667" xr:uid="{BDDD737B-DCDD-439E-8F8A-365AE46ADC1A}"/>
    <cellStyle name="Berechnung 3 5 2" xfId="2668" xr:uid="{22C1C951-2739-43EF-A43C-B35ABB6E26B3}"/>
    <cellStyle name="Berechnung 3 5 2 10" xfId="2669" xr:uid="{E7CE5F22-DE84-4FC1-9B3D-AE32F5F6A9CF}"/>
    <cellStyle name="Berechnung 3 5 2 11" xfId="2670" xr:uid="{7DB29C86-90B1-42FF-A3F4-4F5D171A618E}"/>
    <cellStyle name="Berechnung 3 5 2 12" xfId="2671" xr:uid="{2B0629DD-FCBC-4D0A-B7C5-F63CFE65898E}"/>
    <cellStyle name="Berechnung 3 5 2 13" xfId="2672" xr:uid="{3D4898CB-3E62-4FBC-91A0-47C522203B7D}"/>
    <cellStyle name="Berechnung 3 5 2 14" xfId="2673" xr:uid="{BB8BBC6F-3A89-43A0-B772-FB9B1ECD8DE7}"/>
    <cellStyle name="Berechnung 3 5 2 15" xfId="2674" xr:uid="{4D930F07-B785-450C-899A-C3D463562F3C}"/>
    <cellStyle name="Berechnung 3 5 2 16" xfId="2675" xr:uid="{DD3DF6A4-C9A6-493B-BE06-3ADB14D89D9B}"/>
    <cellStyle name="Berechnung 3 5 2 17" xfId="2676" xr:uid="{43ABAFDA-E2C0-471F-8920-4208671093A4}"/>
    <cellStyle name="Berechnung 3 5 2 18" xfId="2677" xr:uid="{77291333-1F54-4E03-A408-2942C644574E}"/>
    <cellStyle name="Berechnung 3 5 2 18 2" xfId="2678" xr:uid="{B37BDF29-9596-47BA-9DC6-9246C582C728}"/>
    <cellStyle name="Berechnung 3 5 2 19" xfId="2679" xr:uid="{9B06DF3F-273B-4A03-BCC0-75C5EA006D43}"/>
    <cellStyle name="Berechnung 3 5 2 2" xfId="2680" xr:uid="{7D8F9963-4D68-45F9-A3C7-0CC98A1590C9}"/>
    <cellStyle name="Berechnung 3 5 2 3" xfId="2681" xr:uid="{59ADAEC6-F573-41A1-8F32-3B2B76A892E8}"/>
    <cellStyle name="Berechnung 3 5 2 4" xfId="2682" xr:uid="{B88A1EDF-B94A-4E0F-9EF2-E9EA7B8AD407}"/>
    <cellStyle name="Berechnung 3 5 2 5" xfId="2683" xr:uid="{B5BE91BF-4AF7-4ED4-8CE3-AACDCA3A0ABF}"/>
    <cellStyle name="Berechnung 3 5 2 6" xfId="2684" xr:uid="{098C01FB-83E8-481F-8DFD-2B37156B9DBC}"/>
    <cellStyle name="Berechnung 3 5 2 7" xfId="2685" xr:uid="{F4C94573-F6A4-44A8-B794-2A61E96CEA5A}"/>
    <cellStyle name="Berechnung 3 5 2 8" xfId="2686" xr:uid="{17B7732B-03C4-431D-8662-2B5894EE179F}"/>
    <cellStyle name="Berechnung 3 5 2 9" xfId="2687" xr:uid="{0CB2608A-0E93-445B-835C-C7D8420B852D}"/>
    <cellStyle name="Berechnung 3 5 20" xfId="2688" xr:uid="{8ACB8167-79F3-4479-A35E-98DB82FB5019}"/>
    <cellStyle name="Berechnung 3 5 3" xfId="2689" xr:uid="{718735FE-EC6F-40C4-AB7B-CE1525FFC371}"/>
    <cellStyle name="Berechnung 3 5 4" xfId="2690" xr:uid="{9D922BC5-1AC6-405F-9329-101709595CE2}"/>
    <cellStyle name="Berechnung 3 5 5" xfId="2691" xr:uid="{249708C8-5B0C-41B0-8D40-B79773A9866F}"/>
    <cellStyle name="Berechnung 3 5 6" xfId="2692" xr:uid="{1C68D36A-87A9-41F9-8E60-B5844D6E1A8F}"/>
    <cellStyle name="Berechnung 3 5 7" xfId="2693" xr:uid="{35592267-2CEB-4C54-AD0A-2B36E1465189}"/>
    <cellStyle name="Berechnung 3 5 8" xfId="2694" xr:uid="{569825E9-F7F4-4165-ACBE-A5170CC7D148}"/>
    <cellStyle name="Berechnung 3 5 9" xfId="2695" xr:uid="{D5044BD7-F2D9-4D46-B06B-FD5F25AD16AC}"/>
    <cellStyle name="Berechnung 3 6" xfId="2696" xr:uid="{979640FB-231E-4392-97FB-F5290290C39D}"/>
    <cellStyle name="Berechnung 3 6 10" xfId="2697" xr:uid="{770E9213-9820-4A50-BD3E-D42BDCDF5C3D}"/>
    <cellStyle name="Berechnung 3 6 11" xfId="2698" xr:uid="{52BE1A16-9CFA-40E6-8BDE-2AE75F527EB7}"/>
    <cellStyle name="Berechnung 3 6 12" xfId="2699" xr:uid="{6D90BB5F-612F-4A2A-9CA0-CF3B8FCB339A}"/>
    <cellStyle name="Berechnung 3 6 13" xfId="2700" xr:uid="{C57B9306-9DBA-4915-A106-610FD72B3264}"/>
    <cellStyle name="Berechnung 3 6 14" xfId="2701" xr:uid="{F68652FD-D275-429A-8CEB-1A291CDE559C}"/>
    <cellStyle name="Berechnung 3 6 15" xfId="2702" xr:uid="{5113EB09-6A94-4020-9629-CBCAD0670F5B}"/>
    <cellStyle name="Berechnung 3 6 16" xfId="2703" xr:uid="{D8CA6B0F-E2C5-4551-A0D5-EA56D77D7D09}"/>
    <cellStyle name="Berechnung 3 6 17" xfId="2704" xr:uid="{8DD3EC91-2DDF-4DC6-9E71-D4A291AB9F8E}"/>
    <cellStyle name="Berechnung 3 6 18" xfId="2705" xr:uid="{A2C18950-236C-40ED-9F78-8EE3A1BACB52}"/>
    <cellStyle name="Berechnung 3 6 18 2" xfId="2706" xr:uid="{C313337E-3813-409C-95E8-E2CF8F3780A4}"/>
    <cellStyle name="Berechnung 3 6 19" xfId="2707" xr:uid="{438B1C1B-0719-4B12-BA75-F95F9763BD0F}"/>
    <cellStyle name="Berechnung 3 6 2" xfId="2708" xr:uid="{3E5BE205-C5C7-4224-BA8F-A4BD890E01DB}"/>
    <cellStyle name="Berechnung 3 6 3" xfId="2709" xr:uid="{CD2787A1-5885-497D-9EDD-FB467DD026F3}"/>
    <cellStyle name="Berechnung 3 6 4" xfId="2710" xr:uid="{6A29B14E-22AA-42D8-8D38-62228BF74E0F}"/>
    <cellStyle name="Berechnung 3 6 5" xfId="2711" xr:uid="{62B94486-4750-4EDD-85D1-ADA036A1D908}"/>
    <cellStyle name="Berechnung 3 6 6" xfId="2712" xr:uid="{C4CF54AB-ACDD-4DD2-9A27-0CBA4FFBD2A6}"/>
    <cellStyle name="Berechnung 3 6 7" xfId="2713" xr:uid="{6D0634AE-742C-48AB-84BE-F59F16269B6C}"/>
    <cellStyle name="Berechnung 3 6 8" xfId="2714" xr:uid="{74874A57-3183-4C88-A17A-566AC7313C6E}"/>
    <cellStyle name="Berechnung 3 6 9" xfId="2715" xr:uid="{DDA53663-DC3D-43C0-937A-F11E546C13AB}"/>
    <cellStyle name="Berechnung 3 7" xfId="2716" xr:uid="{4DFAAE4D-1885-4076-A011-AA09B80C3D8F}"/>
    <cellStyle name="Berechnung 3 8" xfId="2717" xr:uid="{2DBE5486-913B-4D64-B298-A143B57C9CA2}"/>
    <cellStyle name="Berechnung 3 9" xfId="2718" xr:uid="{214D9130-9785-4E32-9CAA-0C3C319436FF}"/>
    <cellStyle name="Berechnung 4" xfId="2719" xr:uid="{3835F86A-639A-4D55-A83F-B1BEC1DE3E01}"/>
    <cellStyle name="Berechnung 4 10" xfId="2720" xr:uid="{9D327DCF-6234-4ACD-9232-6E6E3513A1B5}"/>
    <cellStyle name="Berechnung 4 11" xfId="2721" xr:uid="{F67BC08F-FAE1-4166-BE58-110E7806E007}"/>
    <cellStyle name="Berechnung 4 12" xfId="2722" xr:uid="{8302EACD-BFA7-451C-8F59-06ECB12D6679}"/>
    <cellStyle name="Berechnung 4 13" xfId="2723" xr:uid="{26C73D17-D3F2-4E33-9757-3A7950333E71}"/>
    <cellStyle name="Berechnung 4 14" xfId="2724" xr:uid="{6C3FE073-A076-4BAC-A109-55A565B1C0A8}"/>
    <cellStyle name="Berechnung 4 15" xfId="2725" xr:uid="{CE5601C8-87E3-4765-A313-0905D4EED9B1}"/>
    <cellStyle name="Berechnung 4 16" xfId="2726" xr:uid="{B744265F-3DB8-4BA7-8689-AE1599BC27D9}"/>
    <cellStyle name="Berechnung 4 17" xfId="2727" xr:uid="{3AF3AD06-97AF-4B7D-A5D6-73002B961A9E}"/>
    <cellStyle name="Berechnung 4 18" xfId="2728" xr:uid="{E867CCF6-2D36-4728-AA73-B4B21B3BC102}"/>
    <cellStyle name="Berechnung 4 19" xfId="2729" xr:uid="{ECF03822-092B-47D6-B9E9-3EC627019BC1}"/>
    <cellStyle name="Berechnung 4 2" xfId="2730" xr:uid="{3A0182C9-F6CA-42F3-A56F-1341400F40EE}"/>
    <cellStyle name="Berechnung 4 2 10" xfId="2731" xr:uid="{35EA92E3-721B-4637-9BE1-9ADABEAC4C58}"/>
    <cellStyle name="Berechnung 4 2 11" xfId="2732" xr:uid="{A5C4BBFB-E98B-4E33-A564-ABE2E8631D75}"/>
    <cellStyle name="Berechnung 4 2 12" xfId="2733" xr:uid="{400A74FC-5375-49AB-A636-5DB2D8D3563C}"/>
    <cellStyle name="Berechnung 4 2 13" xfId="2734" xr:uid="{05FA0A79-9DC6-42BB-9C06-5499C98F38B3}"/>
    <cellStyle name="Berechnung 4 2 14" xfId="2735" xr:uid="{D65C9E78-9FED-4B61-9EE9-EFD37827C4CF}"/>
    <cellStyle name="Berechnung 4 2 15" xfId="2736" xr:uid="{55029610-0B7C-4631-9BBE-16E2B96D6272}"/>
    <cellStyle name="Berechnung 4 2 16" xfId="2737" xr:uid="{6BC2EF42-884D-40C4-BBA8-B5F3800348E6}"/>
    <cellStyle name="Berechnung 4 2 17" xfId="2738" xr:uid="{6D966047-B31B-46F9-B764-516F52A1F38D}"/>
    <cellStyle name="Berechnung 4 2 18" xfId="2739" xr:uid="{08FC0E45-0E12-415C-AFED-8AD86C729309}"/>
    <cellStyle name="Berechnung 4 2 19" xfId="2740" xr:uid="{05BEBA27-A9B6-4C12-8EAC-E1ACAD8D6541}"/>
    <cellStyle name="Berechnung 4 2 19 2" xfId="2741" xr:uid="{BF7E5696-73F6-45CD-994D-E9F915290A74}"/>
    <cellStyle name="Berechnung 4 2 2" xfId="2742" xr:uid="{04950E98-8456-4E87-AA7D-EFF68DD59533}"/>
    <cellStyle name="Berechnung 4 2 2 10" xfId="2743" xr:uid="{5E8FE284-C60E-4E29-8F86-33C23D737421}"/>
    <cellStyle name="Berechnung 4 2 2 11" xfId="2744" xr:uid="{E3AB336D-D262-45C2-8335-469F872CB4F6}"/>
    <cellStyle name="Berechnung 4 2 2 12" xfId="2745" xr:uid="{4DF9EFB8-5FF3-444A-93A6-9D54F5E896C2}"/>
    <cellStyle name="Berechnung 4 2 2 13" xfId="2746" xr:uid="{CB402C85-D4F0-47DB-8A6F-F8E2A1C9CEBA}"/>
    <cellStyle name="Berechnung 4 2 2 14" xfId="2747" xr:uid="{FA22E352-378C-4102-93EE-28317BBEEE6C}"/>
    <cellStyle name="Berechnung 4 2 2 15" xfId="2748" xr:uid="{C2B1BEFC-6182-4F6F-A527-C03395E208FB}"/>
    <cellStyle name="Berechnung 4 2 2 16" xfId="2749" xr:uid="{D4A22F52-E0A4-4F47-87EC-B641D07F3D43}"/>
    <cellStyle name="Berechnung 4 2 2 17" xfId="2750" xr:uid="{B08B140C-159B-4D95-A8CC-D77FA9F5BA2A}"/>
    <cellStyle name="Berechnung 4 2 2 18" xfId="2751" xr:uid="{F4DD45F8-2FCA-4DC5-877A-8A36E966E8E7}"/>
    <cellStyle name="Berechnung 4 2 2 18 2" xfId="2752" xr:uid="{E90CCD15-7784-486F-8ECA-61ADE27FBD86}"/>
    <cellStyle name="Berechnung 4 2 2 19" xfId="2753" xr:uid="{06CAF9E9-7019-4E5E-A901-531E5880AC3D}"/>
    <cellStyle name="Berechnung 4 2 2 2" xfId="2754" xr:uid="{1FEE4C8E-7EBA-4194-94DD-0AF49111AB18}"/>
    <cellStyle name="Berechnung 4 2 2 3" xfId="2755" xr:uid="{74462A6A-4F24-4333-A7A5-0712E876099F}"/>
    <cellStyle name="Berechnung 4 2 2 4" xfId="2756" xr:uid="{981D3C1D-8842-48B0-899A-F019B5F913CD}"/>
    <cellStyle name="Berechnung 4 2 2 5" xfId="2757" xr:uid="{BC48A691-A2A2-4981-848E-EB814D4109F6}"/>
    <cellStyle name="Berechnung 4 2 2 6" xfId="2758" xr:uid="{FE4AEB9B-F847-489B-8393-8EF691211301}"/>
    <cellStyle name="Berechnung 4 2 2 7" xfId="2759" xr:uid="{98F7935F-ECB2-4FAE-99B9-A007E57B0935}"/>
    <cellStyle name="Berechnung 4 2 2 8" xfId="2760" xr:uid="{6F4D9BAC-1CD1-4774-AB88-9759B12E5416}"/>
    <cellStyle name="Berechnung 4 2 2 9" xfId="2761" xr:uid="{E6897373-5E81-4764-AD49-C3970C1F1ECB}"/>
    <cellStyle name="Berechnung 4 2 20" xfId="2762" xr:uid="{0C4B7078-CED3-4277-BDC2-1F94F8543313}"/>
    <cellStyle name="Berechnung 4 2 3" xfId="2763" xr:uid="{F6B27971-BD84-4E1E-BB3B-C1F20898CF50}"/>
    <cellStyle name="Berechnung 4 2 4" xfId="2764" xr:uid="{F3C93F9F-E356-4522-9B2B-993615832EC9}"/>
    <cellStyle name="Berechnung 4 2 5" xfId="2765" xr:uid="{B34B97FD-BF55-4B75-9C98-FEDE673EA11E}"/>
    <cellStyle name="Berechnung 4 2 6" xfId="2766" xr:uid="{20F86F2A-DB17-460D-85FF-BAC777E8AD56}"/>
    <cellStyle name="Berechnung 4 2 7" xfId="2767" xr:uid="{0B341862-6824-48D3-9818-4E8854F39713}"/>
    <cellStyle name="Berechnung 4 2 8" xfId="2768" xr:uid="{EA6A1AEA-F2DD-4535-A89F-4975C7CF551B}"/>
    <cellStyle name="Berechnung 4 2 9" xfId="2769" xr:uid="{BA6F098B-79BE-4302-A8B7-6A1AFC7E1459}"/>
    <cellStyle name="Berechnung 4 20" xfId="2770" xr:uid="{EE710F1B-556D-4BDF-9590-5B2952D8F11D}"/>
    <cellStyle name="Berechnung 4 21" xfId="2771" xr:uid="{0758C355-C83E-4CAC-A859-FFFCE6DA24F9}"/>
    <cellStyle name="Berechnung 4 22" xfId="2772" xr:uid="{B77E8267-1CC2-4664-9AA5-D70AD33DB751}"/>
    <cellStyle name="Berechnung 4 22 2" xfId="2773" xr:uid="{232DBCB1-87B0-45EA-98DF-E3D618BFF4A1}"/>
    <cellStyle name="Berechnung 4 23" xfId="2774" xr:uid="{00F7E1B5-F634-402D-B327-F622B16AFEFD}"/>
    <cellStyle name="Berechnung 4 3" xfId="2775" xr:uid="{21E3D675-5421-4EC8-8108-1627AD4B3731}"/>
    <cellStyle name="Berechnung 4 3 10" xfId="2776" xr:uid="{3A8B048C-5E0D-4AB4-AB03-B0BE700EFBD2}"/>
    <cellStyle name="Berechnung 4 3 11" xfId="2777" xr:uid="{C0501014-B841-4B51-A60A-D8F3C1C1E5FA}"/>
    <cellStyle name="Berechnung 4 3 12" xfId="2778" xr:uid="{B36FAC13-983D-4791-BFAD-6AB1CD8861C5}"/>
    <cellStyle name="Berechnung 4 3 13" xfId="2779" xr:uid="{EDCD4659-9F49-4818-80B1-81359FD8E235}"/>
    <cellStyle name="Berechnung 4 3 14" xfId="2780" xr:uid="{0EE607E3-71D5-44D0-BEC0-4A9D00B01B88}"/>
    <cellStyle name="Berechnung 4 3 15" xfId="2781" xr:uid="{D7D60785-B9CE-4D27-A383-415C31854B1C}"/>
    <cellStyle name="Berechnung 4 3 16" xfId="2782" xr:uid="{9E57A589-A8E7-4224-BE45-986B85192C25}"/>
    <cellStyle name="Berechnung 4 3 17" xfId="2783" xr:uid="{27D3CECF-A999-48A7-85FA-FC096EB19395}"/>
    <cellStyle name="Berechnung 4 3 18" xfId="2784" xr:uid="{EB72B0EA-D0EE-4124-B421-470746896A0D}"/>
    <cellStyle name="Berechnung 4 3 19" xfId="2785" xr:uid="{EAEA73FD-F563-46ED-A9F7-DE9CD3917AF3}"/>
    <cellStyle name="Berechnung 4 3 19 2" xfId="2786" xr:uid="{41842525-40FD-4068-806B-B1C9890E024B}"/>
    <cellStyle name="Berechnung 4 3 2" xfId="2787" xr:uid="{83C9E1EA-E0C3-4266-8B49-87119154FADD}"/>
    <cellStyle name="Berechnung 4 3 2 10" xfId="2788" xr:uid="{5A416231-47F4-4DE4-B0E5-CDC022CA5C65}"/>
    <cellStyle name="Berechnung 4 3 2 11" xfId="2789" xr:uid="{8ECAD01C-3289-4364-92A0-0FED07B43FCB}"/>
    <cellStyle name="Berechnung 4 3 2 12" xfId="2790" xr:uid="{F24DBE5A-AA05-4058-889A-160E18ABC2D9}"/>
    <cellStyle name="Berechnung 4 3 2 13" xfId="2791" xr:uid="{A51651C2-3716-4FB5-953A-1E2598D5CD25}"/>
    <cellStyle name="Berechnung 4 3 2 14" xfId="2792" xr:uid="{7BA1D39E-7513-4EDA-952F-2BA849332955}"/>
    <cellStyle name="Berechnung 4 3 2 15" xfId="2793" xr:uid="{1A2C9E96-B36C-470A-85D4-53D2D785D2E0}"/>
    <cellStyle name="Berechnung 4 3 2 16" xfId="2794" xr:uid="{193C5D47-D236-4BAD-BCAD-AA2D57E1AD32}"/>
    <cellStyle name="Berechnung 4 3 2 17" xfId="2795" xr:uid="{8F4D6811-129D-47D0-A260-1B77F8F3CA10}"/>
    <cellStyle name="Berechnung 4 3 2 18" xfId="2796" xr:uid="{D501923D-E2AC-4B91-8CBC-F50B4BBF80C1}"/>
    <cellStyle name="Berechnung 4 3 2 18 2" xfId="2797" xr:uid="{F82BEC8D-937E-469C-986B-2E41224C1849}"/>
    <cellStyle name="Berechnung 4 3 2 19" xfId="2798" xr:uid="{15AF6955-9C15-4C25-A1B4-1595257928FD}"/>
    <cellStyle name="Berechnung 4 3 2 2" xfId="2799" xr:uid="{445C0883-28BE-4C5C-B5E4-5B0F83059B2A}"/>
    <cellStyle name="Berechnung 4 3 2 3" xfId="2800" xr:uid="{8A70B698-9B8B-414E-A704-A5E9E5CC18F3}"/>
    <cellStyle name="Berechnung 4 3 2 4" xfId="2801" xr:uid="{A6BAE929-F4E0-4FD4-A623-9411D5367DD7}"/>
    <cellStyle name="Berechnung 4 3 2 5" xfId="2802" xr:uid="{F2A54A3A-42A1-4661-876F-9B2A681569C2}"/>
    <cellStyle name="Berechnung 4 3 2 6" xfId="2803" xr:uid="{ED69A7AC-FEFA-4BB1-938A-CAA33655CF4E}"/>
    <cellStyle name="Berechnung 4 3 2 7" xfId="2804" xr:uid="{89B1226A-BD61-4E2E-8355-A126EC68B1C5}"/>
    <cellStyle name="Berechnung 4 3 2 8" xfId="2805" xr:uid="{FD59C239-A56E-4B12-BD71-6DFA5525A67F}"/>
    <cellStyle name="Berechnung 4 3 2 9" xfId="2806" xr:uid="{B6EE582E-CFA5-4873-85A6-01122F634AB3}"/>
    <cellStyle name="Berechnung 4 3 20" xfId="2807" xr:uid="{11FFBD4A-6CF5-4525-A1DD-2426456D6574}"/>
    <cellStyle name="Berechnung 4 3 3" xfId="2808" xr:uid="{7CAB9C57-9F71-4843-98D8-7DC6AF214AAA}"/>
    <cellStyle name="Berechnung 4 3 4" xfId="2809" xr:uid="{30C210C9-111A-489F-9319-C694F3435F0E}"/>
    <cellStyle name="Berechnung 4 3 5" xfId="2810" xr:uid="{DBB96223-6453-4D9D-9F8E-3DB96BB53C41}"/>
    <cellStyle name="Berechnung 4 3 6" xfId="2811" xr:uid="{BF3F6F01-4B20-4EEB-995A-15115A1F4BDC}"/>
    <cellStyle name="Berechnung 4 3 7" xfId="2812" xr:uid="{0C49354D-D3DA-485F-B4C0-ADD64012F263}"/>
    <cellStyle name="Berechnung 4 3 8" xfId="2813" xr:uid="{DDAAFD07-8B8D-441F-A8C7-514171B2ED59}"/>
    <cellStyle name="Berechnung 4 3 9" xfId="2814" xr:uid="{32DC6C13-B20E-4792-AFE9-A7FBE5340BD3}"/>
    <cellStyle name="Berechnung 4 4" xfId="2815" xr:uid="{3FB99603-B494-4E79-A49A-93447CC8712E}"/>
    <cellStyle name="Berechnung 4 4 10" xfId="2816" xr:uid="{2388F599-23B2-4C2F-A138-65E6B39F78C6}"/>
    <cellStyle name="Berechnung 4 4 11" xfId="2817" xr:uid="{E2862ABE-697B-479A-864B-CE16C8AF92AA}"/>
    <cellStyle name="Berechnung 4 4 12" xfId="2818" xr:uid="{FAA0024E-916B-4D81-907A-DBE95FACCD2D}"/>
    <cellStyle name="Berechnung 4 4 13" xfId="2819" xr:uid="{86185CF6-31E0-40EA-ADA3-226DEA09F627}"/>
    <cellStyle name="Berechnung 4 4 14" xfId="2820" xr:uid="{44B6784E-F98D-4A3F-BA7A-5E3DDC9676FC}"/>
    <cellStyle name="Berechnung 4 4 15" xfId="2821" xr:uid="{4BBD0031-004A-4764-8BA6-7B130F6A8CC0}"/>
    <cellStyle name="Berechnung 4 4 16" xfId="2822" xr:uid="{5AC39E48-339F-49B8-875B-342FB16E29C2}"/>
    <cellStyle name="Berechnung 4 4 17" xfId="2823" xr:uid="{A0624160-68D2-4BA2-8C70-52B7E074A77D}"/>
    <cellStyle name="Berechnung 4 4 18" xfId="2824" xr:uid="{04795697-3C36-4405-9238-02AAED69D685}"/>
    <cellStyle name="Berechnung 4 4 19" xfId="2825" xr:uid="{F211F860-02BB-41FE-AD12-842C886C474A}"/>
    <cellStyle name="Berechnung 4 4 19 2" xfId="2826" xr:uid="{655E9369-9833-4847-A7EA-51AB993D8FF9}"/>
    <cellStyle name="Berechnung 4 4 2" xfId="2827" xr:uid="{107B05BA-E87B-41AD-88D1-5E99F1149362}"/>
    <cellStyle name="Berechnung 4 4 2 10" xfId="2828" xr:uid="{6A2D82F1-EEAF-416B-952B-ADE04F5C76E0}"/>
    <cellStyle name="Berechnung 4 4 2 11" xfId="2829" xr:uid="{2A801FF6-DBED-43E3-A7D2-7D22C03EA2B3}"/>
    <cellStyle name="Berechnung 4 4 2 12" xfId="2830" xr:uid="{24E84D69-4582-4E7A-B760-BE979526B9DA}"/>
    <cellStyle name="Berechnung 4 4 2 13" xfId="2831" xr:uid="{3F5BAA22-1570-424B-9887-877979DF98BA}"/>
    <cellStyle name="Berechnung 4 4 2 14" xfId="2832" xr:uid="{D10D42CC-09CB-4D0A-B099-DA428C2B6F18}"/>
    <cellStyle name="Berechnung 4 4 2 15" xfId="2833" xr:uid="{CF73F1B6-BCC5-4994-983B-125F49D812D5}"/>
    <cellStyle name="Berechnung 4 4 2 16" xfId="2834" xr:uid="{F9C6674E-59ED-41AE-B772-8367BE001EC0}"/>
    <cellStyle name="Berechnung 4 4 2 17" xfId="2835" xr:uid="{9CEEFC4B-CE94-40EB-837A-C0E9AE768CC7}"/>
    <cellStyle name="Berechnung 4 4 2 18" xfId="2836" xr:uid="{E7C475C4-D547-4E42-85D2-A80ADD78E4CB}"/>
    <cellStyle name="Berechnung 4 4 2 18 2" xfId="2837" xr:uid="{A8EB210B-3C56-4F01-A11C-CDE9C11CFB01}"/>
    <cellStyle name="Berechnung 4 4 2 19" xfId="2838" xr:uid="{66712630-4320-448F-B4AD-BB3290E13F85}"/>
    <cellStyle name="Berechnung 4 4 2 2" xfId="2839" xr:uid="{FEB87878-CAF3-4D0C-8706-7430C343248B}"/>
    <cellStyle name="Berechnung 4 4 2 3" xfId="2840" xr:uid="{9D5754E2-1F83-44A4-AD93-F6D020DCE1EF}"/>
    <cellStyle name="Berechnung 4 4 2 4" xfId="2841" xr:uid="{84B2CA9E-C80C-46F4-AF62-8D329B3DC90E}"/>
    <cellStyle name="Berechnung 4 4 2 5" xfId="2842" xr:uid="{C4A57A0D-52A0-4823-8348-F589DAF7C8A2}"/>
    <cellStyle name="Berechnung 4 4 2 6" xfId="2843" xr:uid="{D8B1DDA3-8656-4B96-9A0F-F0FE7845F12B}"/>
    <cellStyle name="Berechnung 4 4 2 7" xfId="2844" xr:uid="{574A97C6-F692-4A84-A79C-B7A8D341F9A9}"/>
    <cellStyle name="Berechnung 4 4 2 8" xfId="2845" xr:uid="{2C51D30F-D1EC-4B55-8934-5D13A5A44560}"/>
    <cellStyle name="Berechnung 4 4 2 9" xfId="2846" xr:uid="{89BB6DEF-8221-493A-AE7D-1FA53C82D81E}"/>
    <cellStyle name="Berechnung 4 4 20" xfId="2847" xr:uid="{00162402-4848-46D4-B981-70C7E2A8160C}"/>
    <cellStyle name="Berechnung 4 4 3" xfId="2848" xr:uid="{9650D5E2-6C2E-4C8B-A70A-4CB26084B8BF}"/>
    <cellStyle name="Berechnung 4 4 4" xfId="2849" xr:uid="{96CA9FBA-F24C-4482-88A0-5802C6E46D2B}"/>
    <cellStyle name="Berechnung 4 4 5" xfId="2850" xr:uid="{B88C75BE-EC25-460D-A253-4C250F03EA82}"/>
    <cellStyle name="Berechnung 4 4 6" xfId="2851" xr:uid="{F1C3363B-0E9A-470B-8AF4-2B465DABFA9D}"/>
    <cellStyle name="Berechnung 4 4 7" xfId="2852" xr:uid="{AEC61E98-EEE2-4B3F-8860-DC3268DBA808}"/>
    <cellStyle name="Berechnung 4 4 8" xfId="2853" xr:uid="{B4F4F2A5-998F-4815-BB43-5116609D9596}"/>
    <cellStyle name="Berechnung 4 4 9" xfId="2854" xr:uid="{9DD2643C-0033-491A-9DA5-D69A8002DDF5}"/>
    <cellStyle name="Berechnung 4 5" xfId="2855" xr:uid="{6A7E9AAC-1B19-4E5E-AF8C-94EAB043ED0D}"/>
    <cellStyle name="Berechnung 4 5 10" xfId="2856" xr:uid="{055013A9-682D-4656-AD7E-CB52E81CA22C}"/>
    <cellStyle name="Berechnung 4 5 11" xfId="2857" xr:uid="{EB7F175E-1599-46E2-8D14-9CBC5FB4D0C8}"/>
    <cellStyle name="Berechnung 4 5 12" xfId="2858" xr:uid="{BC7E834C-D82E-43AD-9A87-44BFC80E94CA}"/>
    <cellStyle name="Berechnung 4 5 13" xfId="2859" xr:uid="{73F4C2D4-0452-4A3C-8E1C-756F33F8B7EE}"/>
    <cellStyle name="Berechnung 4 5 14" xfId="2860" xr:uid="{9FEFA3A8-BE70-43FF-A57F-078C8A98D9C5}"/>
    <cellStyle name="Berechnung 4 5 15" xfId="2861" xr:uid="{0A5CC7F4-5B78-4BDB-B15C-27963E3BD417}"/>
    <cellStyle name="Berechnung 4 5 16" xfId="2862" xr:uid="{D7F35E0D-F8EA-414C-91DD-E1712E71A399}"/>
    <cellStyle name="Berechnung 4 5 17" xfId="2863" xr:uid="{2EF7D3A7-6CA7-493D-AC5C-B8E7573ABC29}"/>
    <cellStyle name="Berechnung 4 5 18" xfId="2864" xr:uid="{2B3E345D-B786-4684-8B53-E538496B7C13}"/>
    <cellStyle name="Berechnung 4 5 18 2" xfId="2865" xr:uid="{DA00DF12-D4E5-4462-A1ED-E422DB8CDA81}"/>
    <cellStyle name="Berechnung 4 5 19" xfId="2866" xr:uid="{2EFBBAD1-1C58-427F-92D8-6181129F0413}"/>
    <cellStyle name="Berechnung 4 5 2" xfId="2867" xr:uid="{F6062174-1349-4B0C-8DF3-D2B25F2D9222}"/>
    <cellStyle name="Berechnung 4 5 3" xfId="2868" xr:uid="{55EF394A-B1A5-4FFB-9D7E-6EB0C83F71CC}"/>
    <cellStyle name="Berechnung 4 5 4" xfId="2869" xr:uid="{71DFD576-C2DD-4EEE-BF48-79B28B6529DB}"/>
    <cellStyle name="Berechnung 4 5 5" xfId="2870" xr:uid="{63F3F4EB-8C76-48E0-85DA-A43E7018E2E5}"/>
    <cellStyle name="Berechnung 4 5 6" xfId="2871" xr:uid="{8B7AC84A-047F-4EE1-9129-CF53EE39ED22}"/>
    <cellStyle name="Berechnung 4 5 7" xfId="2872" xr:uid="{AEAE4CCF-60FA-4669-840F-F4116CFF7154}"/>
    <cellStyle name="Berechnung 4 5 8" xfId="2873" xr:uid="{C364B6F0-8004-46DA-AB36-89C90A837BD7}"/>
    <cellStyle name="Berechnung 4 5 9" xfId="2874" xr:uid="{DD5E29DA-F6F2-4202-9075-3984EB6CED57}"/>
    <cellStyle name="Berechnung 4 6" xfId="2875" xr:uid="{EE7F7E8D-EE21-4B4E-A133-ED7D75EB5C69}"/>
    <cellStyle name="Berechnung 4 7" xfId="2876" xr:uid="{517B5BBC-0BEB-4E8D-9C8F-6A1708DF37FE}"/>
    <cellStyle name="Berechnung 4 8" xfId="2877" xr:uid="{2558B4B4-07DE-478B-8CF0-F7FE801479F7}"/>
    <cellStyle name="Berechnung 4 9" xfId="2878" xr:uid="{B198442E-94E6-4364-88E0-C7899379C0DA}"/>
    <cellStyle name="Berechnung 5" xfId="2879" xr:uid="{3ECF46F6-0ADF-4EE9-AD5D-00223C4D241C}"/>
    <cellStyle name="Berechnung 5 10" xfId="2880" xr:uid="{CA21DD5D-CB57-405C-AC11-75F802CA9F79}"/>
    <cellStyle name="Berechnung 5 11" xfId="2881" xr:uid="{1061C62A-9D73-452F-B414-CDE217781D0E}"/>
    <cellStyle name="Berechnung 5 12" xfId="2882" xr:uid="{B53F06AB-6B40-4BE6-9745-1DA58A5D7D6E}"/>
    <cellStyle name="Berechnung 5 13" xfId="2883" xr:uid="{F2A140F0-8BA8-42CE-8188-A63853F1F053}"/>
    <cellStyle name="Berechnung 5 14" xfId="2884" xr:uid="{FB043F04-E116-46B6-B846-9665595FE9FE}"/>
    <cellStyle name="Berechnung 5 15" xfId="2885" xr:uid="{8A9392C6-7364-446E-AFE0-5A046D979A26}"/>
    <cellStyle name="Berechnung 5 16" xfId="2886" xr:uid="{E4847661-9DE8-49F1-A8CC-87615EB307C4}"/>
    <cellStyle name="Berechnung 5 17" xfId="2887" xr:uid="{A318956C-CA9A-4DD7-9380-6D96098B07AB}"/>
    <cellStyle name="Berechnung 5 18" xfId="2888" xr:uid="{07AEA293-487E-44AE-ADBB-C380DE10D305}"/>
    <cellStyle name="Berechnung 5 19" xfId="2889" xr:uid="{491DBF1C-D1C5-4C8D-B68A-B86DC21596DE}"/>
    <cellStyle name="Berechnung 5 19 2" xfId="2890" xr:uid="{42FB74A7-B47B-4C59-A7B6-5EAF0CE4650D}"/>
    <cellStyle name="Berechnung 5 2" xfId="2891" xr:uid="{518C7E5C-1A84-4CC3-B390-F2A60C949112}"/>
    <cellStyle name="Berechnung 5 2 10" xfId="2892" xr:uid="{C6C82313-4B73-4458-8B9B-FD89A8ED5837}"/>
    <cellStyle name="Berechnung 5 2 11" xfId="2893" xr:uid="{241D90E2-51A1-4CCC-B9A9-9EBB21F2D7E3}"/>
    <cellStyle name="Berechnung 5 2 12" xfId="2894" xr:uid="{AAD027D7-B664-42EF-AF05-46CA0FDED340}"/>
    <cellStyle name="Berechnung 5 2 13" xfId="2895" xr:uid="{20C3D136-E1C7-48BF-808F-99A3455EFF7F}"/>
    <cellStyle name="Berechnung 5 2 14" xfId="2896" xr:uid="{3F9B5E1C-14A8-4885-B410-7DF2A49975C8}"/>
    <cellStyle name="Berechnung 5 2 15" xfId="2897" xr:uid="{F180E4C9-C538-4968-A71D-8F1AC5ED9D50}"/>
    <cellStyle name="Berechnung 5 2 16" xfId="2898" xr:uid="{24003316-519F-4725-AB6C-944D6E0B0767}"/>
    <cellStyle name="Berechnung 5 2 17" xfId="2899" xr:uid="{BA62EC95-3718-4717-AE61-CDE338664983}"/>
    <cellStyle name="Berechnung 5 2 18" xfId="2900" xr:uid="{29AE03C4-3E49-44FB-8125-C5734C8F2C89}"/>
    <cellStyle name="Berechnung 5 2 18 2" xfId="2901" xr:uid="{402F8B46-99C0-4D0D-BA95-2269F93DCC77}"/>
    <cellStyle name="Berechnung 5 2 19" xfId="2902" xr:uid="{A069451C-407D-434D-8092-4D0D83604652}"/>
    <cellStyle name="Berechnung 5 2 2" xfId="2903" xr:uid="{9B1BE0DE-08BB-4822-80D4-651E63406318}"/>
    <cellStyle name="Berechnung 5 2 3" xfId="2904" xr:uid="{73102BE2-2351-48B5-9559-5493382F00F4}"/>
    <cellStyle name="Berechnung 5 2 4" xfId="2905" xr:uid="{5FBA3D08-B60A-4002-A224-5333D4521DB1}"/>
    <cellStyle name="Berechnung 5 2 5" xfId="2906" xr:uid="{7C3ED409-F880-4483-A524-06AAADBB1B85}"/>
    <cellStyle name="Berechnung 5 2 6" xfId="2907" xr:uid="{D22D6927-5F41-4521-820B-3C1C0F4D1F86}"/>
    <cellStyle name="Berechnung 5 2 7" xfId="2908" xr:uid="{36C32106-6E8D-40DE-A845-8B0186080B14}"/>
    <cellStyle name="Berechnung 5 2 8" xfId="2909" xr:uid="{A0638F33-6F89-427D-A77D-C48E6F1BA802}"/>
    <cellStyle name="Berechnung 5 2 9" xfId="2910" xr:uid="{A4AAA188-248A-4F34-89B0-C2C9030A2F19}"/>
    <cellStyle name="Berechnung 5 20" xfId="2911" xr:uid="{ED7CD90A-14AB-4210-957D-405A2B8909AB}"/>
    <cellStyle name="Berechnung 5 3" xfId="2912" xr:uid="{D49EC4F9-A180-4C99-92C2-F0233921881C}"/>
    <cellStyle name="Berechnung 5 4" xfId="2913" xr:uid="{1B8970E2-F36E-44BD-B7C1-A66D3DF5AD87}"/>
    <cellStyle name="Berechnung 5 5" xfId="2914" xr:uid="{56970735-B440-4595-84E6-347F418631DB}"/>
    <cellStyle name="Berechnung 5 6" xfId="2915" xr:uid="{FB9C4CFC-F062-4D78-B0A0-436D6DAF572C}"/>
    <cellStyle name="Berechnung 5 7" xfId="2916" xr:uid="{D31A777D-067D-437C-B748-2210EC442B3C}"/>
    <cellStyle name="Berechnung 5 8" xfId="2917" xr:uid="{8E58720C-3157-4A19-8DCF-0CB89FCA04E6}"/>
    <cellStyle name="Berechnung 5 9" xfId="2918" xr:uid="{93EB8260-EA33-426D-B7F4-F5E1F00808E1}"/>
    <cellStyle name="Berechnung 6" xfId="2919" xr:uid="{8DD28AF3-CC6B-43CC-8A1F-C4D793943BD0}"/>
    <cellStyle name="Berechnung 6 10" xfId="2920" xr:uid="{1DDC72AB-050F-492C-B894-31474310A54A}"/>
    <cellStyle name="Berechnung 6 11" xfId="2921" xr:uid="{41321F17-BB90-4617-ABFD-B8A3DFB621AB}"/>
    <cellStyle name="Berechnung 6 12" xfId="2922" xr:uid="{F089E69D-FC1B-473D-A2D6-7D3CE8114D93}"/>
    <cellStyle name="Berechnung 6 13" xfId="2923" xr:uid="{5A6EFF95-EC4C-4681-A12C-22F9AE356F26}"/>
    <cellStyle name="Berechnung 6 14" xfId="2924" xr:uid="{107E2D0A-EC59-4A6B-B11E-1D30F4BD175E}"/>
    <cellStyle name="Berechnung 6 15" xfId="2925" xr:uid="{B86A120E-0404-4291-9830-7721062EC998}"/>
    <cellStyle name="Berechnung 6 16" xfId="2926" xr:uid="{FA21C57E-DAD3-4D81-BC16-2C4A1B422B58}"/>
    <cellStyle name="Berechnung 6 17" xfId="2927" xr:uid="{736797E6-26D8-41AE-BA41-1800D4C8188B}"/>
    <cellStyle name="Berechnung 6 18" xfId="2928" xr:uid="{0B4E16E9-1C98-4BE8-A821-A7011A3A89DA}"/>
    <cellStyle name="Berechnung 6 19" xfId="2929" xr:uid="{D04B100C-A040-4ADD-B049-B5D3718621BA}"/>
    <cellStyle name="Berechnung 6 19 2" xfId="2930" xr:uid="{F3A65C38-9DAF-4EE2-9AB0-68D32DF3C96F}"/>
    <cellStyle name="Berechnung 6 2" xfId="2931" xr:uid="{88518755-D397-45AF-9644-52FB3A986668}"/>
    <cellStyle name="Berechnung 6 2 10" xfId="2932" xr:uid="{6A20248A-A9CA-4C71-ACD9-89C0901E39EE}"/>
    <cellStyle name="Berechnung 6 2 11" xfId="2933" xr:uid="{7FE07DC8-2433-47F9-ACDF-8CEBB10ED956}"/>
    <cellStyle name="Berechnung 6 2 12" xfId="2934" xr:uid="{14D4374C-19CA-4CAA-8DFD-C654F7C06CB9}"/>
    <cellStyle name="Berechnung 6 2 13" xfId="2935" xr:uid="{72490843-8D7D-464D-9FDB-9BCA202F9222}"/>
    <cellStyle name="Berechnung 6 2 14" xfId="2936" xr:uid="{20DAF89D-7085-49FF-BED7-77E0C209A8AA}"/>
    <cellStyle name="Berechnung 6 2 15" xfId="2937" xr:uid="{D96A25DE-E81E-4A09-9083-4961773E8AAF}"/>
    <cellStyle name="Berechnung 6 2 16" xfId="2938" xr:uid="{43FEE411-7946-4B1E-8CFC-474AF7680408}"/>
    <cellStyle name="Berechnung 6 2 17" xfId="2939" xr:uid="{69DD52B4-8B0A-4085-ACC2-A89CC3A0AF58}"/>
    <cellStyle name="Berechnung 6 2 18" xfId="2940" xr:uid="{4BC3A4BA-AFCC-4D7C-9BA6-34017FF6AF43}"/>
    <cellStyle name="Berechnung 6 2 18 2" xfId="2941" xr:uid="{52FA5251-88A1-4E1E-A1C6-DFEC4328C7BF}"/>
    <cellStyle name="Berechnung 6 2 19" xfId="2942" xr:uid="{DCA0832C-3C9F-4896-98D8-756A3E415812}"/>
    <cellStyle name="Berechnung 6 2 2" xfId="2943" xr:uid="{559786B5-65BF-4703-BA91-7112615D0FB9}"/>
    <cellStyle name="Berechnung 6 2 3" xfId="2944" xr:uid="{CAA9BE25-9A50-47BC-B0BA-490719EC410C}"/>
    <cellStyle name="Berechnung 6 2 4" xfId="2945" xr:uid="{66804A09-76A8-4859-B94C-E7D92711BD44}"/>
    <cellStyle name="Berechnung 6 2 5" xfId="2946" xr:uid="{A97AA22B-60A9-4D61-94BD-22BAA3EC300C}"/>
    <cellStyle name="Berechnung 6 2 6" xfId="2947" xr:uid="{F3047E1F-4410-4FBC-8DD0-BBEF5A7F29D4}"/>
    <cellStyle name="Berechnung 6 2 7" xfId="2948" xr:uid="{914486B5-76D4-4350-A02E-C4D3EC8D868F}"/>
    <cellStyle name="Berechnung 6 2 8" xfId="2949" xr:uid="{9375FF4B-594F-43BC-B4B3-D065AD2ACF26}"/>
    <cellStyle name="Berechnung 6 2 9" xfId="2950" xr:uid="{F0FF249A-16CB-49E0-9D72-B50877366BF9}"/>
    <cellStyle name="Berechnung 6 20" xfId="2951" xr:uid="{79E90D44-A341-4832-8CC3-1266C47DF8FB}"/>
    <cellStyle name="Berechnung 6 3" xfId="2952" xr:uid="{2127696E-01AB-4992-8EF5-0AEE4A33B883}"/>
    <cellStyle name="Berechnung 6 4" xfId="2953" xr:uid="{F51C9E18-093C-44E9-9AA2-507C576F8DDB}"/>
    <cellStyle name="Berechnung 6 5" xfId="2954" xr:uid="{5D83E86E-196A-45BC-B9A7-AC54646A578C}"/>
    <cellStyle name="Berechnung 6 6" xfId="2955" xr:uid="{C98C1861-52A1-4E09-9747-C546DEA16335}"/>
    <cellStyle name="Berechnung 6 7" xfId="2956" xr:uid="{5A547CDF-89FD-4711-AC10-C16AAD7F86FB}"/>
    <cellStyle name="Berechnung 6 8" xfId="2957" xr:uid="{D69C9E99-A6B5-49FD-AB2F-664FFC038D7C}"/>
    <cellStyle name="Berechnung 6 9" xfId="2958" xr:uid="{AE5AE22F-FFD9-4D8F-B39C-6406CF11AB85}"/>
    <cellStyle name="Berechnung 7" xfId="2959" xr:uid="{64DA2675-729B-4A49-A95D-FD8DE959CCF4}"/>
    <cellStyle name="Berechnung 7 10" xfId="2960" xr:uid="{226995DF-F00F-4D8C-B0F1-C946707BF210}"/>
    <cellStyle name="Berechnung 7 11" xfId="2961" xr:uid="{624EB9BB-DFB1-4599-B1DD-1321AA5E3A0A}"/>
    <cellStyle name="Berechnung 7 12" xfId="2962" xr:uid="{87F7C872-7CDC-4A90-BBA3-DD90FBB0EABD}"/>
    <cellStyle name="Berechnung 7 13" xfId="2963" xr:uid="{AAD69698-7B48-478C-A8F6-2130310C0767}"/>
    <cellStyle name="Berechnung 7 14" xfId="2964" xr:uid="{57733876-5032-4AED-A3C3-D1DAF14E3194}"/>
    <cellStyle name="Berechnung 7 15" xfId="2965" xr:uid="{7796686E-0613-44A0-A58E-B53156A45755}"/>
    <cellStyle name="Berechnung 7 16" xfId="2966" xr:uid="{73DC5939-6E14-4B83-9CB7-AEB62FBCD7FE}"/>
    <cellStyle name="Berechnung 7 17" xfId="2967" xr:uid="{07CE8C70-B676-446C-9F84-41ADAB2AF94E}"/>
    <cellStyle name="Berechnung 7 18" xfId="2968" xr:uid="{62F187BE-A49B-42D3-9169-91BAD75B5E5E}"/>
    <cellStyle name="Berechnung 7 19" xfId="2969" xr:uid="{A3AF82CA-9521-41CF-90FA-84D50DFEC741}"/>
    <cellStyle name="Berechnung 7 19 2" xfId="2970" xr:uid="{87438C07-A024-4EE0-8C6A-B0F3AD9ABCE9}"/>
    <cellStyle name="Berechnung 7 2" xfId="2971" xr:uid="{CC2AAFA5-9C8B-4D59-BB24-9299B0EFA145}"/>
    <cellStyle name="Berechnung 7 2 10" xfId="2972" xr:uid="{7914E9A0-C1A2-4951-AE81-56633DCDF485}"/>
    <cellStyle name="Berechnung 7 2 11" xfId="2973" xr:uid="{29D46CEC-6999-46F4-B972-70D6365A4814}"/>
    <cellStyle name="Berechnung 7 2 12" xfId="2974" xr:uid="{C504656D-9372-4A9A-9CB7-61BA30972D79}"/>
    <cellStyle name="Berechnung 7 2 13" xfId="2975" xr:uid="{44E4AAF7-489D-4860-A4EF-2EFB3D279E2B}"/>
    <cellStyle name="Berechnung 7 2 14" xfId="2976" xr:uid="{F7A19FC3-AA0B-49D3-A7D6-215DD69AAD00}"/>
    <cellStyle name="Berechnung 7 2 15" xfId="2977" xr:uid="{31E1E8FE-64E4-4F35-91B8-F0341AF00D71}"/>
    <cellStyle name="Berechnung 7 2 16" xfId="2978" xr:uid="{035986AE-C74D-4121-A4E9-3FC85DFC38F4}"/>
    <cellStyle name="Berechnung 7 2 17" xfId="2979" xr:uid="{0C1A9D4A-2DE8-4C59-ABBA-3BAEEF4A0E65}"/>
    <cellStyle name="Berechnung 7 2 18" xfId="2980" xr:uid="{377FF604-9B77-47B6-9710-1958F2ED18FF}"/>
    <cellStyle name="Berechnung 7 2 18 2" xfId="2981" xr:uid="{A8678BD6-262E-4609-8763-C36DD97595A6}"/>
    <cellStyle name="Berechnung 7 2 19" xfId="2982" xr:uid="{F2396790-8AEE-45FB-9FA7-D527B4007650}"/>
    <cellStyle name="Berechnung 7 2 2" xfId="2983" xr:uid="{64683B75-F1FC-4B26-8D84-186D8F06AB7A}"/>
    <cellStyle name="Berechnung 7 2 3" xfId="2984" xr:uid="{AF3CBE53-5B21-4DED-A418-72C0A9147AB3}"/>
    <cellStyle name="Berechnung 7 2 4" xfId="2985" xr:uid="{4C086DA6-0630-4B52-A23C-BA8684268369}"/>
    <cellStyle name="Berechnung 7 2 5" xfId="2986" xr:uid="{E3EA3ABE-4F3B-4494-930A-E1B561B675B0}"/>
    <cellStyle name="Berechnung 7 2 6" xfId="2987" xr:uid="{76336DF0-C2EB-4BDE-AF03-0EC25114FFB2}"/>
    <cellStyle name="Berechnung 7 2 7" xfId="2988" xr:uid="{DBEA2696-EAF4-47DD-823D-6B69DF1A0D1E}"/>
    <cellStyle name="Berechnung 7 2 8" xfId="2989" xr:uid="{04DDBCDB-ADE5-4D1D-AAD6-74054CA4B5E0}"/>
    <cellStyle name="Berechnung 7 2 9" xfId="2990" xr:uid="{9BFC4577-0080-4B2E-A835-CE8DCAC0EE76}"/>
    <cellStyle name="Berechnung 7 20" xfId="2991" xr:uid="{EC97A1E5-9384-4F03-B0E7-A96A6261266A}"/>
    <cellStyle name="Berechnung 7 3" xfId="2992" xr:uid="{8E1AD324-3286-4F40-9B03-50244A70EED6}"/>
    <cellStyle name="Berechnung 7 4" xfId="2993" xr:uid="{C7A575F2-0F4F-4B95-ADB3-B07B03311C1C}"/>
    <cellStyle name="Berechnung 7 5" xfId="2994" xr:uid="{A059B64A-A307-428E-9C08-1277EE1AD629}"/>
    <cellStyle name="Berechnung 7 6" xfId="2995" xr:uid="{2CE19419-8899-4E15-87C6-2423239BB60E}"/>
    <cellStyle name="Berechnung 7 7" xfId="2996" xr:uid="{4F14B25A-4A52-4343-871A-AFACD4F38D68}"/>
    <cellStyle name="Berechnung 7 8" xfId="2997" xr:uid="{FB01394F-36A9-4F2C-9705-A508DA2F2D21}"/>
    <cellStyle name="Berechnung 7 9" xfId="2998" xr:uid="{6648DB7A-9DDB-496C-BBF8-4BED773E572C}"/>
    <cellStyle name="Berechnung 8" xfId="2999" xr:uid="{F7C3F658-1B1B-4B6F-8B40-55429EB8A1D0}"/>
    <cellStyle name="Berechnung 8 10" xfId="3000" xr:uid="{E97607BC-5AFE-4796-9A70-4356C2369A51}"/>
    <cellStyle name="Berechnung 8 11" xfId="3001" xr:uid="{0CC72F49-482A-4368-B911-27823EDD9124}"/>
    <cellStyle name="Berechnung 8 12" xfId="3002" xr:uid="{290D5FC9-5FDB-4597-80F1-3F2003516FA7}"/>
    <cellStyle name="Berechnung 8 13" xfId="3003" xr:uid="{E481127C-4B96-47C1-BFAE-C6121C9E155F}"/>
    <cellStyle name="Berechnung 8 14" xfId="3004" xr:uid="{36E5B13F-7609-49FA-956D-CF1BC2FAE2D3}"/>
    <cellStyle name="Berechnung 8 15" xfId="3005" xr:uid="{50B3B404-201E-41C9-85DB-5991D966640A}"/>
    <cellStyle name="Berechnung 8 16" xfId="3006" xr:uid="{89EEE6FC-5207-4A0E-9F05-90E642415010}"/>
    <cellStyle name="Berechnung 8 17" xfId="3007" xr:uid="{EDB2A4CC-47B1-4575-A690-7BBE4989FC44}"/>
    <cellStyle name="Berechnung 8 18" xfId="3008" xr:uid="{6F445239-93E4-4B64-B666-692FBFDFF2CD}"/>
    <cellStyle name="Berechnung 8 18 2" xfId="3009" xr:uid="{84C6EB44-80C0-4A9B-8CBA-7F8D9FE83E7C}"/>
    <cellStyle name="Berechnung 8 19" xfId="3010" xr:uid="{3F22B7C9-F1A6-4ACA-8C89-C6EE60C15A2A}"/>
    <cellStyle name="Berechnung 8 2" xfId="3011" xr:uid="{C1AAF407-8565-4DCD-A7CC-0CCF065F2BB6}"/>
    <cellStyle name="Berechnung 8 3" xfId="3012" xr:uid="{04441767-2F31-4881-B15B-E637EEC751A0}"/>
    <cellStyle name="Berechnung 8 4" xfId="3013" xr:uid="{2FA52008-1D91-4A1E-86C2-FEB94A88036E}"/>
    <cellStyle name="Berechnung 8 5" xfId="3014" xr:uid="{3094748E-DA27-4B5B-9A22-FD6A0955B3F5}"/>
    <cellStyle name="Berechnung 8 6" xfId="3015" xr:uid="{602CE700-BBFC-4B4A-85C1-823D2FBBDC0B}"/>
    <cellStyle name="Berechnung 8 7" xfId="3016" xr:uid="{7798C0DC-6AD1-49F7-9122-471D56193E0B}"/>
    <cellStyle name="Berechnung 8 8" xfId="3017" xr:uid="{6AD0EB21-933C-4482-B732-877A71614833}"/>
    <cellStyle name="Berechnung 8 9" xfId="3018" xr:uid="{DA8F728D-506D-485B-B2F3-D36C70AFC2D9}"/>
    <cellStyle name="Berechnung 9" xfId="3019" xr:uid="{33676BCF-3F54-4B0C-A1B7-1CC42BCB3CD1}"/>
    <cellStyle name="bill" xfId="3020" xr:uid="{E1763432-0D91-4080-BC14-4D8BF064B427}"/>
    <cellStyle name="Bold 10" xfId="3021" xr:uid="{2176FE0F-9680-416A-A112-0FD6371DAD7F}"/>
    <cellStyle name="Bold 12" xfId="3022" xr:uid="{D096C350-8494-4275-9383-4F59AF290227}"/>
    <cellStyle name="Bold 8" xfId="3023" xr:uid="{DC0C5B5F-163E-4F0D-80FF-40ADC268482A}"/>
    <cellStyle name="Bold Italic 10" xfId="3024" xr:uid="{2387769D-A446-449D-8C2B-5E466F6E55A3}"/>
    <cellStyle name="Bold Italic 12" xfId="3025" xr:uid="{CA9C40CC-B0FD-4651-81C9-154897D45E1B}"/>
    <cellStyle name="Bold Italic 8" xfId="3026" xr:uid="{75A48208-3D39-410B-86E3-C62D26AC682F}"/>
    <cellStyle name="Cabeçalho 1" xfId="3027" xr:uid="{AD1AF67E-2F9F-40FB-8905-99DE11DAF9C0}"/>
    <cellStyle name="Cabeçalho 1 2" xfId="3028" xr:uid="{41B1D296-2883-4F44-AC03-B8309D02B7BB}"/>
    <cellStyle name="Cabeçalho 2" xfId="3029" xr:uid="{DEE3130F-F111-474B-875D-A7D733DCF4BC}"/>
    <cellStyle name="Cabeçalho 2 2" xfId="3030" xr:uid="{A25ED8DA-64DA-4A34-A9AF-EFC1A185258A}"/>
    <cellStyle name="Cabeçalho 3" xfId="3031" xr:uid="{AE8BEA98-036D-4F63-9D19-C72A5AB4AA15}"/>
    <cellStyle name="Cabeçalho 3 2" xfId="3032" xr:uid="{3CA9288E-1F97-42A2-8DBF-20952C239BD1}"/>
    <cellStyle name="Cabeçalho 4" xfId="3033" xr:uid="{61510D3D-D914-4595-8CFB-77EEEEB487CA}"/>
    <cellStyle name="Cabeçalho 4 2" xfId="3034" xr:uid="{EC0DAE3A-88FE-4578-BEC3-0369EA06D39A}"/>
    <cellStyle name="Calcolo" xfId="3035" xr:uid="{417FAEEE-6E85-4D88-AF0B-7BDDD5CBFE64}"/>
    <cellStyle name="Calculation 10" xfId="3036" xr:uid="{78B682E4-654E-4668-A568-110DB16FE713}"/>
    <cellStyle name="Calculation 2" xfId="3037" xr:uid="{71D60A20-5EF3-4B5B-A178-A112440D53B6}"/>
    <cellStyle name="Calculation 2 10" xfId="3038" xr:uid="{66E00106-5F58-4C67-B7E0-F9CC3C07DE99}"/>
    <cellStyle name="Calculation 2 11" xfId="3039" xr:uid="{2DB2A3FE-9A61-4BBB-8BF6-D8E1C4085AC0}"/>
    <cellStyle name="Calculation 2 12" xfId="3040" xr:uid="{68499486-CB01-43C0-987D-6F5E72C5607D}"/>
    <cellStyle name="Calculation 2 13" xfId="3041" xr:uid="{19B1DCFC-1B74-42E5-95F5-40982E8FF679}"/>
    <cellStyle name="Calculation 2 14" xfId="3042" xr:uid="{A956B54D-9EAF-4F5C-8918-40BD5CA13D4E}"/>
    <cellStyle name="Calculation 2 15" xfId="3043" xr:uid="{D7FC8381-B8BD-48AD-9769-1CBBA9FFCC3F}"/>
    <cellStyle name="Calculation 2 16" xfId="3044" xr:uid="{147DB800-3E59-478A-8F38-CF0BA18C48D4}"/>
    <cellStyle name="Calculation 2 17" xfId="3045" xr:uid="{270B02D7-E9F9-490E-A0A0-D93EA78CD9DB}"/>
    <cellStyle name="Calculation 2 18" xfId="3046" xr:uid="{B0E5F12B-28E9-4E9F-8613-5F2CCAA043BA}"/>
    <cellStyle name="Calculation 2 19" xfId="3047" xr:uid="{4D266D9F-FAE3-4DA5-A9CC-8B45B18810BF}"/>
    <cellStyle name="Calculation 2 2" xfId="3048" xr:uid="{A69C26B4-8EF9-49C8-8905-CA40F89696E1}"/>
    <cellStyle name="Calculation 2 2 10" xfId="3049" xr:uid="{324C98AD-E170-45E2-9A73-16FF536E8451}"/>
    <cellStyle name="Calculation 2 2 11" xfId="3050" xr:uid="{F6CB4130-A84B-43D8-8646-F145B1AFC366}"/>
    <cellStyle name="Calculation 2 2 12" xfId="3051" xr:uid="{CBBBCD56-F867-4A39-8E70-42E23C39CF10}"/>
    <cellStyle name="Calculation 2 2 13" xfId="3052" xr:uid="{F31E9E71-C752-41D9-95FA-AA470C48C354}"/>
    <cellStyle name="Calculation 2 2 14" xfId="3053" xr:uid="{452CADC9-C374-443D-8C1D-D1EB38AAA397}"/>
    <cellStyle name="Calculation 2 2 15" xfId="3054" xr:uid="{2B2F1EE8-E139-4E73-B1F2-FBBCE4934F25}"/>
    <cellStyle name="Calculation 2 2 16" xfId="3055" xr:uid="{844AF791-E23A-431C-8195-49562A122C5A}"/>
    <cellStyle name="Calculation 2 2 17" xfId="3056" xr:uid="{7EDA009C-9954-4C0A-A666-3796CF4789DF}"/>
    <cellStyle name="Calculation 2 2 18" xfId="3057" xr:uid="{F6BF53B7-627A-458B-9CA6-46DA3B5C0FFB}"/>
    <cellStyle name="Calculation 2 2 19" xfId="3058" xr:uid="{BA161F60-33D3-415C-A4AA-CB4A2EAA5EA8}"/>
    <cellStyle name="Calculation 2 2 2" xfId="3059" xr:uid="{C7619811-8F9B-40FE-9DE9-87AF10D99905}"/>
    <cellStyle name="Calculation 2 2 2 10" xfId="3060" xr:uid="{DD2F6793-0696-44B2-86FB-3ED575F76997}"/>
    <cellStyle name="Calculation 2 2 2 11" xfId="3061" xr:uid="{73D1C94D-09D4-4656-8175-BD96E706F5E5}"/>
    <cellStyle name="Calculation 2 2 2 12" xfId="3062" xr:uid="{1B32884B-1E0E-4031-8433-6B6A91AA0875}"/>
    <cellStyle name="Calculation 2 2 2 13" xfId="3063" xr:uid="{ABBFD35D-E24E-4203-99A8-689C1E78D272}"/>
    <cellStyle name="Calculation 2 2 2 14" xfId="3064" xr:uid="{123C5E6D-04BF-469A-BADF-5211C967B16A}"/>
    <cellStyle name="Calculation 2 2 2 15" xfId="3065" xr:uid="{341C1EB6-18AB-4BF5-A158-AF00E7634304}"/>
    <cellStyle name="Calculation 2 2 2 16" xfId="3066" xr:uid="{26423C31-0AED-4015-8F66-625FB186B843}"/>
    <cellStyle name="Calculation 2 2 2 17" xfId="3067" xr:uid="{4A431B25-13A8-4226-B359-64EFB866C578}"/>
    <cellStyle name="Calculation 2 2 2 18" xfId="3068" xr:uid="{4621ACF4-712B-4FE5-9E82-BEC01DBF8234}"/>
    <cellStyle name="Calculation 2 2 2 19" xfId="3069" xr:uid="{14755A99-4D61-4223-8802-16358A213D6F}"/>
    <cellStyle name="Calculation 2 2 2 19 2" xfId="3070" xr:uid="{228020CB-8CAA-497D-8B53-B763CD47EA82}"/>
    <cellStyle name="Calculation 2 2 2 2" xfId="3071" xr:uid="{BAB728CD-4048-46FB-ADE0-013E0D1FB3D0}"/>
    <cellStyle name="Calculation 2 2 2 2 10" xfId="3072" xr:uid="{D5853B20-E894-4524-8A4C-05FD80D6C07F}"/>
    <cellStyle name="Calculation 2 2 2 2 11" xfId="3073" xr:uid="{D4F1687F-6BAB-4296-AFCD-0C7549716A55}"/>
    <cellStyle name="Calculation 2 2 2 2 12" xfId="3074" xr:uid="{AEE30734-CBC4-4532-BE8C-EBAD592913D0}"/>
    <cellStyle name="Calculation 2 2 2 2 13" xfId="3075" xr:uid="{C5978F77-CC81-40DB-9FA5-E3CC02A6F149}"/>
    <cellStyle name="Calculation 2 2 2 2 14" xfId="3076" xr:uid="{2117898B-2D26-407A-8227-7D2CBEEF1AF0}"/>
    <cellStyle name="Calculation 2 2 2 2 15" xfId="3077" xr:uid="{7B388DBA-2509-402E-8128-0E33F9A54F18}"/>
    <cellStyle name="Calculation 2 2 2 2 16" xfId="3078" xr:uid="{4357BC40-BB42-4941-A9D7-C2B659CCB6D7}"/>
    <cellStyle name="Calculation 2 2 2 2 17" xfId="3079" xr:uid="{BD9D074F-B28B-43B4-9411-B32A6BE70C24}"/>
    <cellStyle name="Calculation 2 2 2 2 18" xfId="3080" xr:uid="{C6B919EC-895B-4E16-99E5-E8BAB649DA6C}"/>
    <cellStyle name="Calculation 2 2 2 2 18 2" xfId="3081" xr:uid="{8450624A-8D9A-40BF-B28A-A96F869B289D}"/>
    <cellStyle name="Calculation 2 2 2 2 19" xfId="3082" xr:uid="{A6C237D1-A88E-4FCE-B5FA-DDF5B5AE4475}"/>
    <cellStyle name="Calculation 2 2 2 2 2" xfId="3083" xr:uid="{8F9971FF-8EBE-40B3-B633-2BFDCA841594}"/>
    <cellStyle name="Calculation 2 2 2 2 3" xfId="3084" xr:uid="{9B9CFFFC-7276-49CC-8127-71B9DB3D0306}"/>
    <cellStyle name="Calculation 2 2 2 2 4" xfId="3085" xr:uid="{65028E7C-8116-4C79-9879-CF2190919B47}"/>
    <cellStyle name="Calculation 2 2 2 2 5" xfId="3086" xr:uid="{4D8572C6-7A9E-465F-BD70-4CB17FDEE13D}"/>
    <cellStyle name="Calculation 2 2 2 2 6" xfId="3087" xr:uid="{5B3850AB-D3F5-4299-9F4D-6F6112DEDC3B}"/>
    <cellStyle name="Calculation 2 2 2 2 7" xfId="3088" xr:uid="{1D9E658B-5101-4BFA-8902-3641BBAA5EFB}"/>
    <cellStyle name="Calculation 2 2 2 2 8" xfId="3089" xr:uid="{A1CF24CA-21BD-45C9-948F-A568D2FE100C}"/>
    <cellStyle name="Calculation 2 2 2 2 9" xfId="3090" xr:uid="{A1379543-D465-4FBA-9971-62ECE4F7F9F6}"/>
    <cellStyle name="Calculation 2 2 2 20" xfId="3091" xr:uid="{78FECD14-273B-412A-ABE7-58FF7C55DDC4}"/>
    <cellStyle name="Calculation 2 2 2 3" xfId="3092" xr:uid="{3500B8DD-6B9F-49C2-AE81-2DC4B8C9356B}"/>
    <cellStyle name="Calculation 2 2 2 4" xfId="3093" xr:uid="{3BB28316-24D6-4070-B994-CD16CC247640}"/>
    <cellStyle name="Calculation 2 2 2 5" xfId="3094" xr:uid="{661397E5-D716-4098-A61F-E870C7A26237}"/>
    <cellStyle name="Calculation 2 2 2 6" xfId="3095" xr:uid="{41A3455E-D451-4D15-9596-39564E91F8EC}"/>
    <cellStyle name="Calculation 2 2 2 7" xfId="3096" xr:uid="{BDB1C459-FD0D-4014-8B81-0BA0AA0B895A}"/>
    <cellStyle name="Calculation 2 2 2 8" xfId="3097" xr:uid="{49ACF922-19D6-4FF3-BD4D-F71052A9EE4E}"/>
    <cellStyle name="Calculation 2 2 2 9" xfId="3098" xr:uid="{1C81EC64-4AFE-49C7-9F5D-C75CEE682E09}"/>
    <cellStyle name="Calculation 2 2 20" xfId="3099" xr:uid="{2A6DB3BA-2377-40E9-9723-39A894F58C8A}"/>
    <cellStyle name="Calculation 2 2 21" xfId="3100" xr:uid="{2D730DE8-7713-47A2-A278-C240C8F52B20}"/>
    <cellStyle name="Calculation 2 2 22" xfId="3101" xr:uid="{F102F0B8-7F42-4631-9DDB-59329525CB74}"/>
    <cellStyle name="Calculation 2 2 22 2" xfId="3102" xr:uid="{181BEE77-DA75-4F1F-AF73-2EC7AB298CDE}"/>
    <cellStyle name="Calculation 2 2 23" xfId="3103" xr:uid="{2459E256-34BC-40AB-A7AA-7A147E059ACA}"/>
    <cellStyle name="Calculation 2 2 24" xfId="3104" xr:uid="{55677E6C-5342-422C-B729-B7A3BBB6A3B6}"/>
    <cellStyle name="Calculation 2 2 3" xfId="3105" xr:uid="{B1FF62CB-42D6-4AA6-8540-FC61B1A63CE5}"/>
    <cellStyle name="Calculation 2 2 3 10" xfId="3106" xr:uid="{885866EA-0C1C-468D-A21A-A0A1B965DA51}"/>
    <cellStyle name="Calculation 2 2 3 11" xfId="3107" xr:uid="{E6F212DA-E627-4FF7-8549-69F3D321DDF8}"/>
    <cellStyle name="Calculation 2 2 3 12" xfId="3108" xr:uid="{CB34C08F-C345-4518-B6F4-685D25AEB39A}"/>
    <cellStyle name="Calculation 2 2 3 13" xfId="3109" xr:uid="{D3FB96E9-8508-4ADC-83D2-F32672101C8A}"/>
    <cellStyle name="Calculation 2 2 3 14" xfId="3110" xr:uid="{F40B52CC-F2A8-42F7-B473-C7FFDAD3FEE6}"/>
    <cellStyle name="Calculation 2 2 3 15" xfId="3111" xr:uid="{5634A8C9-D147-4AD5-B4B7-709368234438}"/>
    <cellStyle name="Calculation 2 2 3 16" xfId="3112" xr:uid="{CEF3E9AF-1ADF-45D1-98C5-5599DBEF522F}"/>
    <cellStyle name="Calculation 2 2 3 17" xfId="3113" xr:uid="{367DB027-67BF-49B0-970A-B4F96BF9BA9C}"/>
    <cellStyle name="Calculation 2 2 3 18" xfId="3114" xr:uid="{5584AD09-21F6-4B10-A4CD-21FB872F635B}"/>
    <cellStyle name="Calculation 2 2 3 19" xfId="3115" xr:uid="{B1A60582-D201-4379-A276-1A2812C05F72}"/>
    <cellStyle name="Calculation 2 2 3 19 2" xfId="3116" xr:uid="{C14C4FD3-B4CF-43F9-A23C-414054B63D7D}"/>
    <cellStyle name="Calculation 2 2 3 2" xfId="3117" xr:uid="{77AE0D7C-393B-46F4-9BD9-7FF8BA1E3269}"/>
    <cellStyle name="Calculation 2 2 3 2 10" xfId="3118" xr:uid="{ABF547E8-C773-4E61-B42E-9198C10F89C0}"/>
    <cellStyle name="Calculation 2 2 3 2 11" xfId="3119" xr:uid="{3939E3DF-0AD9-451E-AB9D-68ABA504A898}"/>
    <cellStyle name="Calculation 2 2 3 2 12" xfId="3120" xr:uid="{468EACA9-CFF5-49B5-9B43-EFA845D35D2D}"/>
    <cellStyle name="Calculation 2 2 3 2 13" xfId="3121" xr:uid="{EA77F503-8FFC-4BA0-8DFB-DE8927BC94B8}"/>
    <cellStyle name="Calculation 2 2 3 2 14" xfId="3122" xr:uid="{27ACEB0F-7FF8-4C44-A868-54B2D4810853}"/>
    <cellStyle name="Calculation 2 2 3 2 15" xfId="3123" xr:uid="{B5872428-2AE7-4477-8CA7-99EEEEB83792}"/>
    <cellStyle name="Calculation 2 2 3 2 16" xfId="3124" xr:uid="{61E9E2AD-4EDE-4A3A-AEC2-2EDC5DFC9BCF}"/>
    <cellStyle name="Calculation 2 2 3 2 17" xfId="3125" xr:uid="{2A8B9F58-4DF0-4B0C-AEA6-8388752A0445}"/>
    <cellStyle name="Calculation 2 2 3 2 18" xfId="3126" xr:uid="{62159B09-5F43-42AE-9346-5A0E4ECAF7EC}"/>
    <cellStyle name="Calculation 2 2 3 2 18 2" xfId="3127" xr:uid="{D138E39D-9993-4711-A5DE-617ECF6BDC71}"/>
    <cellStyle name="Calculation 2 2 3 2 19" xfId="3128" xr:uid="{AB5CC398-6ADA-4724-B7B0-A86D19D6A8C6}"/>
    <cellStyle name="Calculation 2 2 3 2 2" xfId="3129" xr:uid="{AEF65B31-4E7B-414D-91AC-45CA669EE490}"/>
    <cellStyle name="Calculation 2 2 3 2 3" xfId="3130" xr:uid="{3960FCF3-757A-452D-87A5-A627EE80A60D}"/>
    <cellStyle name="Calculation 2 2 3 2 4" xfId="3131" xr:uid="{529B07F4-53A8-466C-96E4-64171AF3B6E6}"/>
    <cellStyle name="Calculation 2 2 3 2 5" xfId="3132" xr:uid="{BFC67CC8-EF46-444C-B870-561C23515E74}"/>
    <cellStyle name="Calculation 2 2 3 2 6" xfId="3133" xr:uid="{0F72D424-D62E-4F5B-B02C-75E63C8910ED}"/>
    <cellStyle name="Calculation 2 2 3 2 7" xfId="3134" xr:uid="{F67D000A-3DAF-4769-A5B6-B22F809CA890}"/>
    <cellStyle name="Calculation 2 2 3 2 8" xfId="3135" xr:uid="{733338CE-BF55-4152-96F1-C317139C50EB}"/>
    <cellStyle name="Calculation 2 2 3 2 9" xfId="3136" xr:uid="{100C6BAE-D394-4BF3-B019-E6E7C37A4F6D}"/>
    <cellStyle name="Calculation 2 2 3 20" xfId="3137" xr:uid="{861A7FAF-2660-4AE9-AF0A-05891FFD327B}"/>
    <cellStyle name="Calculation 2 2 3 3" xfId="3138" xr:uid="{272AFBB6-F214-4A98-9ED8-50DF18D09F10}"/>
    <cellStyle name="Calculation 2 2 3 4" xfId="3139" xr:uid="{B29D70A5-2FCF-47D6-B644-C774C4CDC3D0}"/>
    <cellStyle name="Calculation 2 2 3 5" xfId="3140" xr:uid="{D99BD9D6-8FB8-4CAD-9D77-91FB0B4138FE}"/>
    <cellStyle name="Calculation 2 2 3 6" xfId="3141" xr:uid="{0E277052-5847-42BE-95C2-7E2C79119B5C}"/>
    <cellStyle name="Calculation 2 2 3 7" xfId="3142" xr:uid="{40E493FC-47E4-4CD6-95C6-20148098A2C7}"/>
    <cellStyle name="Calculation 2 2 3 8" xfId="3143" xr:uid="{7B1F240E-E973-4152-8D7F-D0286BCE6E40}"/>
    <cellStyle name="Calculation 2 2 3 9" xfId="3144" xr:uid="{6B153863-96C0-448C-A4B6-9E376B1C614F}"/>
    <cellStyle name="Calculation 2 2 4" xfId="3145" xr:uid="{1036E6D2-06C7-49C7-B43A-F1E8434DD55F}"/>
    <cellStyle name="Calculation 2 2 4 10" xfId="3146" xr:uid="{C22A9BDC-1668-459D-AEAC-7304B7120D8C}"/>
    <cellStyle name="Calculation 2 2 4 11" xfId="3147" xr:uid="{56B0B50E-C1FF-4D4D-8334-0BE7C5004324}"/>
    <cellStyle name="Calculation 2 2 4 12" xfId="3148" xr:uid="{C9674D27-5577-4A22-9528-BD485D67D31F}"/>
    <cellStyle name="Calculation 2 2 4 13" xfId="3149" xr:uid="{DA866A04-A14F-43AC-B55E-71DD1D019F67}"/>
    <cellStyle name="Calculation 2 2 4 14" xfId="3150" xr:uid="{58AB4F6C-5E11-4B0A-B410-6C150507155E}"/>
    <cellStyle name="Calculation 2 2 4 15" xfId="3151" xr:uid="{B6F22E88-6EF7-44C0-A0EC-1C1BEB1968AE}"/>
    <cellStyle name="Calculation 2 2 4 16" xfId="3152" xr:uid="{064C7B62-DBD5-4DA2-9841-D78A1FBEC7B5}"/>
    <cellStyle name="Calculation 2 2 4 17" xfId="3153" xr:uid="{2789AD16-D9DE-44E0-B2C1-BCDF255DAFA1}"/>
    <cellStyle name="Calculation 2 2 4 18" xfId="3154" xr:uid="{21812E17-7679-40E6-93FF-920AA92493EE}"/>
    <cellStyle name="Calculation 2 2 4 19" xfId="3155" xr:uid="{EE4F582A-CD68-4364-AB04-CC6F691E5F9D}"/>
    <cellStyle name="Calculation 2 2 4 19 2" xfId="3156" xr:uid="{B17A9F80-E1B4-429F-9149-805462D39BB1}"/>
    <cellStyle name="Calculation 2 2 4 2" xfId="3157" xr:uid="{8E83738C-F2F6-4526-AE34-1A7EA4AE912C}"/>
    <cellStyle name="Calculation 2 2 4 2 10" xfId="3158" xr:uid="{D2506E81-091C-4E17-B791-D1FEFC045E27}"/>
    <cellStyle name="Calculation 2 2 4 2 11" xfId="3159" xr:uid="{0038FAD9-3147-47F1-A05E-60ACE9541179}"/>
    <cellStyle name="Calculation 2 2 4 2 12" xfId="3160" xr:uid="{7CC4193C-2465-4318-BC1F-DF9B2C821AAC}"/>
    <cellStyle name="Calculation 2 2 4 2 13" xfId="3161" xr:uid="{D6BAA787-9696-43A8-A1CD-7757816989C8}"/>
    <cellStyle name="Calculation 2 2 4 2 14" xfId="3162" xr:uid="{67ABAB53-6332-4E7B-B80E-AD4CCEC50C6A}"/>
    <cellStyle name="Calculation 2 2 4 2 15" xfId="3163" xr:uid="{C65422F1-143B-4FCC-9ADA-0BD8085A8B8D}"/>
    <cellStyle name="Calculation 2 2 4 2 16" xfId="3164" xr:uid="{E288429B-B4D7-4295-BB68-F059BAEBAF35}"/>
    <cellStyle name="Calculation 2 2 4 2 17" xfId="3165" xr:uid="{3B92F1A7-7FE3-4664-A67C-86D9CD40F319}"/>
    <cellStyle name="Calculation 2 2 4 2 18" xfId="3166" xr:uid="{09624CC0-6527-440C-BDCD-3030182BF1E6}"/>
    <cellStyle name="Calculation 2 2 4 2 18 2" xfId="3167" xr:uid="{08114B4A-587C-467C-B87E-E9714E0696F2}"/>
    <cellStyle name="Calculation 2 2 4 2 19" xfId="3168" xr:uid="{67592725-80CD-4ED0-A971-2E55A52BE178}"/>
    <cellStyle name="Calculation 2 2 4 2 2" xfId="3169" xr:uid="{09AB750C-99FF-4842-9DCE-D8AB65227E01}"/>
    <cellStyle name="Calculation 2 2 4 2 3" xfId="3170" xr:uid="{9BDCBDF6-0066-43A3-AC15-A8B0E8DBF682}"/>
    <cellStyle name="Calculation 2 2 4 2 4" xfId="3171" xr:uid="{88DD4D00-411A-4E03-9613-0D12FAAB87B3}"/>
    <cellStyle name="Calculation 2 2 4 2 5" xfId="3172" xr:uid="{5DE8879D-820B-4584-8E65-ABAB2B936468}"/>
    <cellStyle name="Calculation 2 2 4 2 6" xfId="3173" xr:uid="{B78C8E00-C9E7-4BB7-842E-1A8A716BD947}"/>
    <cellStyle name="Calculation 2 2 4 2 7" xfId="3174" xr:uid="{FB00C5E6-4094-431C-A31F-C2BA255B9CC2}"/>
    <cellStyle name="Calculation 2 2 4 2 8" xfId="3175" xr:uid="{DED6AB16-956B-4DBF-B0E8-429B06E6DE67}"/>
    <cellStyle name="Calculation 2 2 4 2 9" xfId="3176" xr:uid="{DF5C3EB7-90E0-4A04-9836-54FE66A81BEE}"/>
    <cellStyle name="Calculation 2 2 4 20" xfId="3177" xr:uid="{306AF14E-E450-489E-8729-99EE6283A5F6}"/>
    <cellStyle name="Calculation 2 2 4 3" xfId="3178" xr:uid="{9413BFC6-3484-450A-9993-A62759A9F8B6}"/>
    <cellStyle name="Calculation 2 2 4 4" xfId="3179" xr:uid="{E311E365-78D2-4DD1-947C-FD555FFC3BF1}"/>
    <cellStyle name="Calculation 2 2 4 5" xfId="3180" xr:uid="{64428E71-F5DF-4E56-B9B3-D7352DC6C7DC}"/>
    <cellStyle name="Calculation 2 2 4 6" xfId="3181" xr:uid="{5A5AEB62-71DC-4D35-98C1-4F9C6C5C4468}"/>
    <cellStyle name="Calculation 2 2 4 7" xfId="3182" xr:uid="{712F261A-68DD-415A-A23C-7E8EDB34B9CF}"/>
    <cellStyle name="Calculation 2 2 4 8" xfId="3183" xr:uid="{93706CAF-72C7-45F2-A2D5-C3A6E49AEE21}"/>
    <cellStyle name="Calculation 2 2 4 9" xfId="3184" xr:uid="{B875D489-709A-4480-BEBF-3DE9E3164D65}"/>
    <cellStyle name="Calculation 2 2 5" xfId="3185" xr:uid="{4DB580CF-5744-4FAC-99C2-636632617F73}"/>
    <cellStyle name="Calculation 2 2 5 10" xfId="3186" xr:uid="{21AFC443-BFBA-4149-B8D2-B14ED6B07FB1}"/>
    <cellStyle name="Calculation 2 2 5 11" xfId="3187" xr:uid="{F224D91D-B4F8-47E4-81FA-2ED223B14219}"/>
    <cellStyle name="Calculation 2 2 5 12" xfId="3188" xr:uid="{7C1A064D-8CC0-4989-951B-9E40A839D494}"/>
    <cellStyle name="Calculation 2 2 5 13" xfId="3189" xr:uid="{D80A6835-1C84-4E9E-B289-132B8A913991}"/>
    <cellStyle name="Calculation 2 2 5 14" xfId="3190" xr:uid="{42DEBC0E-E734-4EBC-9E03-6534CB9CDCBD}"/>
    <cellStyle name="Calculation 2 2 5 15" xfId="3191" xr:uid="{64E1E003-6182-4FCC-BA04-2EAB30EB2B65}"/>
    <cellStyle name="Calculation 2 2 5 16" xfId="3192" xr:uid="{18836B6B-96F6-48E9-AB73-9598072EC976}"/>
    <cellStyle name="Calculation 2 2 5 17" xfId="3193" xr:uid="{5D4FB0BD-E66B-40EA-A94E-9C16F95B4831}"/>
    <cellStyle name="Calculation 2 2 5 18" xfId="3194" xr:uid="{9D2D718C-F336-4750-A4E7-6415A3992B8A}"/>
    <cellStyle name="Calculation 2 2 5 18 2" xfId="3195" xr:uid="{4ECE5823-F1F9-4140-AAD5-825C8404D41E}"/>
    <cellStyle name="Calculation 2 2 5 19" xfId="3196" xr:uid="{D107C4E9-C4D2-4419-9E39-F60DB2E9F010}"/>
    <cellStyle name="Calculation 2 2 5 2" xfId="3197" xr:uid="{F236DB1E-B1C0-48A7-ABDF-E91EA396A3BC}"/>
    <cellStyle name="Calculation 2 2 5 3" xfId="3198" xr:uid="{7069D900-F776-41F5-BE13-5F448F49879D}"/>
    <cellStyle name="Calculation 2 2 5 4" xfId="3199" xr:uid="{9AD56CF3-E432-464C-97B5-2102CD25CDDA}"/>
    <cellStyle name="Calculation 2 2 5 5" xfId="3200" xr:uid="{33339B62-352A-4A29-B3B8-6159900DFCC2}"/>
    <cellStyle name="Calculation 2 2 5 6" xfId="3201" xr:uid="{8C5CDD09-6777-455D-9119-D170FB84C1EF}"/>
    <cellStyle name="Calculation 2 2 5 7" xfId="3202" xr:uid="{758ABAA3-41BD-461F-A723-04CBEC70F7C5}"/>
    <cellStyle name="Calculation 2 2 5 8" xfId="3203" xr:uid="{66306C66-42AD-4F25-BA6A-4A3D4660B3CA}"/>
    <cellStyle name="Calculation 2 2 5 9" xfId="3204" xr:uid="{F3579A50-A523-4B12-982E-7CCE5FACB765}"/>
    <cellStyle name="Calculation 2 2 6" xfId="3205" xr:uid="{283B56C8-415F-4AAC-BC85-F5654B653263}"/>
    <cellStyle name="Calculation 2 2 7" xfId="3206" xr:uid="{59684DF1-6E56-4525-8657-331607F18CD6}"/>
    <cellStyle name="Calculation 2 2 8" xfId="3207" xr:uid="{B9E2067D-113E-4698-92B1-B1234C91EB18}"/>
    <cellStyle name="Calculation 2 2 9" xfId="3208" xr:uid="{6B4F2C94-4453-4D14-9523-11983EBF4984}"/>
    <cellStyle name="Calculation 2 2_Menu" xfId="3209" xr:uid="{AAA19E7F-ED6F-4B5C-84F4-DAB7DFB51EDF}"/>
    <cellStyle name="Calculation 2 20" xfId="3210" xr:uid="{5E84D760-C621-4C4D-894F-E8B81BD1F6B4}"/>
    <cellStyle name="Calculation 2 21" xfId="3211" xr:uid="{3ED9520A-81AE-4129-9990-2F896C5CEC2A}"/>
    <cellStyle name="Calculation 2 22" xfId="3212" xr:uid="{3B8BF9A0-D223-49DF-8372-88909BDB62A4}"/>
    <cellStyle name="Calculation 2 23" xfId="3213" xr:uid="{D939499C-36E8-48E1-9D9D-75525EEDA2DB}"/>
    <cellStyle name="Calculation 2 24" xfId="3214" xr:uid="{CB0D9724-679A-4131-B9C7-87BB4A49B5CB}"/>
    <cellStyle name="Calculation 2 25" xfId="3215" xr:uid="{08F516A1-50D6-4C62-97AC-FCAAA2D69D52}"/>
    <cellStyle name="Calculation 2 26" xfId="3216" xr:uid="{813C374A-E387-4D05-A149-F20A17790A4D}"/>
    <cellStyle name="Calculation 2 27" xfId="3217" xr:uid="{67D03376-6652-4258-96DC-E4C80E162D99}"/>
    <cellStyle name="Calculation 2 28" xfId="3218" xr:uid="{D9436890-559B-4651-B28C-1438AAF5978C}"/>
    <cellStyle name="Calculation 2 3" xfId="3219" xr:uid="{20737664-39BD-4C9F-B03C-8521C464B2B8}"/>
    <cellStyle name="Calculation 2 3 10" xfId="3220" xr:uid="{160192D7-CC63-4160-A499-FC705A99C613}"/>
    <cellStyle name="Calculation 2 3 11" xfId="3221" xr:uid="{7B1DC05C-369C-4DF4-81DA-D2D0FF968528}"/>
    <cellStyle name="Calculation 2 3 12" xfId="3222" xr:uid="{C1F6657A-4561-401C-AD95-0EC290EB6715}"/>
    <cellStyle name="Calculation 2 3 13" xfId="3223" xr:uid="{1B57BDA5-24E2-428A-A573-AB341F5B3FB1}"/>
    <cellStyle name="Calculation 2 3 14" xfId="3224" xr:uid="{F5C13FB7-36AB-4B7D-9BBA-F194432DF2D9}"/>
    <cellStyle name="Calculation 2 3 15" xfId="3225" xr:uid="{3E75F453-89A7-4E10-8F0C-DA5592F23E5C}"/>
    <cellStyle name="Calculation 2 3 16" xfId="3226" xr:uid="{6575F804-73AF-474F-9341-706E7DA43F0A}"/>
    <cellStyle name="Calculation 2 3 17" xfId="3227" xr:uid="{15A0D5C7-BEBA-4CCE-A1D8-94CA0FFCCDDD}"/>
    <cellStyle name="Calculation 2 3 18" xfId="3228" xr:uid="{F132718E-481F-4E63-BE2E-10201EFB70FC}"/>
    <cellStyle name="Calculation 2 3 19" xfId="3229" xr:uid="{EE09C5CD-5F1B-4802-9F44-C70D1CD2AFE2}"/>
    <cellStyle name="Calculation 2 3 2" xfId="3230" xr:uid="{E31207BF-F89D-41F8-994C-A723A0279F9C}"/>
    <cellStyle name="Calculation 2 3 2 10" xfId="3231" xr:uid="{A0929DB8-41A0-43D2-BAAF-C05F672622A1}"/>
    <cellStyle name="Calculation 2 3 2 11" xfId="3232" xr:uid="{B77D3A2C-BE0D-4BB3-8D35-78FFEA6C508C}"/>
    <cellStyle name="Calculation 2 3 2 12" xfId="3233" xr:uid="{2CC79BB7-5268-4AEE-9F57-5DE6785FCD56}"/>
    <cellStyle name="Calculation 2 3 2 13" xfId="3234" xr:uid="{772EA1BB-ECBF-4A04-8C74-5C93326B95A4}"/>
    <cellStyle name="Calculation 2 3 2 14" xfId="3235" xr:uid="{DF05AA19-03FD-4B15-9334-9FA7A14113CF}"/>
    <cellStyle name="Calculation 2 3 2 15" xfId="3236" xr:uid="{20F37706-22B1-4CFF-AF56-5DF1E815EF79}"/>
    <cellStyle name="Calculation 2 3 2 16" xfId="3237" xr:uid="{61E8D788-CAB6-486A-B122-FADBDCB9A764}"/>
    <cellStyle name="Calculation 2 3 2 17" xfId="3238" xr:uid="{94AD631E-B9F2-4173-B3B4-7225A01E2D03}"/>
    <cellStyle name="Calculation 2 3 2 18" xfId="3239" xr:uid="{CA0FA5A4-87E6-466B-9A9F-1703B992226C}"/>
    <cellStyle name="Calculation 2 3 2 19" xfId="3240" xr:uid="{5DE8CA00-91EF-4998-9DAD-B1EFC618190B}"/>
    <cellStyle name="Calculation 2 3 2 19 2" xfId="3241" xr:uid="{25F6F7B0-FA4D-42E6-A98B-F1B412979739}"/>
    <cellStyle name="Calculation 2 3 2 2" xfId="3242" xr:uid="{224529B5-0884-4539-985B-88E4A21DCB1E}"/>
    <cellStyle name="Calculation 2 3 2 2 10" xfId="3243" xr:uid="{D71F4CE8-9D12-4192-B586-5F0AA85EC818}"/>
    <cellStyle name="Calculation 2 3 2 2 11" xfId="3244" xr:uid="{1846BAA8-26F2-44E9-A482-69BB0C62BA31}"/>
    <cellStyle name="Calculation 2 3 2 2 12" xfId="3245" xr:uid="{45164D88-05AB-4E50-82C5-2929A56C59F8}"/>
    <cellStyle name="Calculation 2 3 2 2 13" xfId="3246" xr:uid="{48E0B172-7750-45F0-BFC6-7A5C1AE1F98A}"/>
    <cellStyle name="Calculation 2 3 2 2 14" xfId="3247" xr:uid="{74F5F2EB-098C-43E2-8191-4AD337053144}"/>
    <cellStyle name="Calculation 2 3 2 2 15" xfId="3248" xr:uid="{D9764820-3300-47EC-9DB1-82FBBB446C3E}"/>
    <cellStyle name="Calculation 2 3 2 2 16" xfId="3249" xr:uid="{F2FCE5DC-9240-441B-8DB6-AE691A03FACD}"/>
    <cellStyle name="Calculation 2 3 2 2 17" xfId="3250" xr:uid="{9BC8DC40-2DC0-4867-B857-2CECD4B1205D}"/>
    <cellStyle name="Calculation 2 3 2 2 18" xfId="3251" xr:uid="{F08EB8C2-3455-4DEA-8E0D-17CEB8B06C29}"/>
    <cellStyle name="Calculation 2 3 2 2 18 2" xfId="3252" xr:uid="{BE7AE537-1565-4471-871F-E76E06455965}"/>
    <cellStyle name="Calculation 2 3 2 2 19" xfId="3253" xr:uid="{29DC13E4-24C6-4B57-AA2D-4B928349D563}"/>
    <cellStyle name="Calculation 2 3 2 2 2" xfId="3254" xr:uid="{55DC6AEA-7312-44D6-93C0-8033EBF5288D}"/>
    <cellStyle name="Calculation 2 3 2 2 3" xfId="3255" xr:uid="{4E7B3981-E3CF-4138-A621-181512755953}"/>
    <cellStyle name="Calculation 2 3 2 2 4" xfId="3256" xr:uid="{5243C028-C375-46A4-8EB1-F2D0F8294F71}"/>
    <cellStyle name="Calculation 2 3 2 2 5" xfId="3257" xr:uid="{1035EED6-1080-4555-8058-B6F9EE216CB1}"/>
    <cellStyle name="Calculation 2 3 2 2 6" xfId="3258" xr:uid="{643A35A4-0C12-4D4B-9279-0C45B353B91B}"/>
    <cellStyle name="Calculation 2 3 2 2 7" xfId="3259" xr:uid="{81EEA4C8-B5BA-42B4-AD91-10F969773216}"/>
    <cellStyle name="Calculation 2 3 2 2 8" xfId="3260" xr:uid="{8CA4F8F0-4D15-46B0-B572-2F23A8F3982C}"/>
    <cellStyle name="Calculation 2 3 2 2 9" xfId="3261" xr:uid="{FBADB65C-78DA-4950-8B56-5A9CF208B52F}"/>
    <cellStyle name="Calculation 2 3 2 20" xfId="3262" xr:uid="{92E36FC6-CD9E-4460-9F03-D2BA8D452D7B}"/>
    <cellStyle name="Calculation 2 3 2 3" xfId="3263" xr:uid="{3F0EBC49-6251-401B-A6D9-72061F323DA7}"/>
    <cellStyle name="Calculation 2 3 2 4" xfId="3264" xr:uid="{F2B4927D-2DA8-4025-A584-533C529611C4}"/>
    <cellStyle name="Calculation 2 3 2 5" xfId="3265" xr:uid="{25939240-349C-441B-8298-40F249713C25}"/>
    <cellStyle name="Calculation 2 3 2 6" xfId="3266" xr:uid="{39427747-4D2B-49F9-A9E1-4B9F63B5E83E}"/>
    <cellStyle name="Calculation 2 3 2 7" xfId="3267" xr:uid="{6CD9F578-BE42-46F4-8804-6715EF23B029}"/>
    <cellStyle name="Calculation 2 3 2 8" xfId="3268" xr:uid="{C578B751-1080-4EC5-85C5-0E89242D12C7}"/>
    <cellStyle name="Calculation 2 3 2 9" xfId="3269" xr:uid="{C8C62DD7-70ED-4323-95CE-4CDD5ADFBE58}"/>
    <cellStyle name="Calculation 2 3 20" xfId="3270" xr:uid="{D0CC82C1-D8DD-4C13-B23A-6FD20CC73EDE}"/>
    <cellStyle name="Calculation 2 3 21" xfId="3271" xr:uid="{E6FFD70A-98C3-4E51-B4B8-4302C3A7651E}"/>
    <cellStyle name="Calculation 2 3 22" xfId="3272" xr:uid="{6E241FF5-E3C3-4EAE-BC2C-15ED6050F1D0}"/>
    <cellStyle name="Calculation 2 3 22 2" xfId="3273" xr:uid="{DE56D59D-AE64-4B6D-85B1-29E7CAF181DF}"/>
    <cellStyle name="Calculation 2 3 23" xfId="3274" xr:uid="{7DC290D3-75F3-4AEA-A552-193FEA6B310E}"/>
    <cellStyle name="Calculation 2 3 3" xfId="3275" xr:uid="{B72022C7-C225-4B50-98D3-D68EF4319590}"/>
    <cellStyle name="Calculation 2 3 3 10" xfId="3276" xr:uid="{905A2EF1-BD7C-44BD-8CD4-038ED8915DE8}"/>
    <cellStyle name="Calculation 2 3 3 11" xfId="3277" xr:uid="{ADBF4020-5961-4C30-9DDB-4878CAF4AE31}"/>
    <cellStyle name="Calculation 2 3 3 12" xfId="3278" xr:uid="{819BD303-433A-4708-B08B-17CDB37CA1D3}"/>
    <cellStyle name="Calculation 2 3 3 13" xfId="3279" xr:uid="{C87D4FB6-078B-4EDF-AF8A-3F890F512CEE}"/>
    <cellStyle name="Calculation 2 3 3 14" xfId="3280" xr:uid="{3CD1D9CC-2E2B-4115-9363-4830EBBBC13A}"/>
    <cellStyle name="Calculation 2 3 3 15" xfId="3281" xr:uid="{542770FC-929F-48BD-BDB6-EE128A92DEA8}"/>
    <cellStyle name="Calculation 2 3 3 16" xfId="3282" xr:uid="{7BA86C85-73EF-41CD-B223-55D24A042032}"/>
    <cellStyle name="Calculation 2 3 3 17" xfId="3283" xr:uid="{2F40029C-DEB5-4F23-A8A4-48145FB2988E}"/>
    <cellStyle name="Calculation 2 3 3 18" xfId="3284" xr:uid="{4C9E4F33-7150-4734-9125-494E4B9FA218}"/>
    <cellStyle name="Calculation 2 3 3 19" xfId="3285" xr:uid="{F1A8A7FF-A581-4DF8-BC92-F1D104FD2C24}"/>
    <cellStyle name="Calculation 2 3 3 19 2" xfId="3286" xr:uid="{E6931571-DC33-416A-8E4B-5562A0DEAE73}"/>
    <cellStyle name="Calculation 2 3 3 2" xfId="3287" xr:uid="{3545F23E-6DB6-464C-BE45-141DE82395CF}"/>
    <cellStyle name="Calculation 2 3 3 2 10" xfId="3288" xr:uid="{5D5B4E6B-B57A-4C08-AAB4-B7F7D9B99F55}"/>
    <cellStyle name="Calculation 2 3 3 2 11" xfId="3289" xr:uid="{05129053-2F30-4B63-BB62-AF1E97A74B5B}"/>
    <cellStyle name="Calculation 2 3 3 2 12" xfId="3290" xr:uid="{B0CBF0B2-85E1-4FE8-A8EC-F4E83D95DD86}"/>
    <cellStyle name="Calculation 2 3 3 2 13" xfId="3291" xr:uid="{B884AAFF-8FEB-4172-9F59-788BD5601B54}"/>
    <cellStyle name="Calculation 2 3 3 2 14" xfId="3292" xr:uid="{4A6BE541-F5B4-4DA9-ACEE-28D2F7F183F7}"/>
    <cellStyle name="Calculation 2 3 3 2 15" xfId="3293" xr:uid="{0556DF32-304B-411F-B346-2C1C0E582433}"/>
    <cellStyle name="Calculation 2 3 3 2 16" xfId="3294" xr:uid="{8AC669B1-899C-47A7-AFBD-2C8292A193F3}"/>
    <cellStyle name="Calculation 2 3 3 2 17" xfId="3295" xr:uid="{9D00E646-3FA2-415F-86CF-E1903F5A477A}"/>
    <cellStyle name="Calculation 2 3 3 2 18" xfId="3296" xr:uid="{E3866E30-FB58-4188-B6D8-EF0209535AA1}"/>
    <cellStyle name="Calculation 2 3 3 2 18 2" xfId="3297" xr:uid="{86F158AD-2484-4ED7-875C-834778E12E2D}"/>
    <cellStyle name="Calculation 2 3 3 2 19" xfId="3298" xr:uid="{3C2CF20E-8C26-4763-B08D-90AA17D4B819}"/>
    <cellStyle name="Calculation 2 3 3 2 2" xfId="3299" xr:uid="{8C0CD8E2-459C-4638-84A8-1111C827CB56}"/>
    <cellStyle name="Calculation 2 3 3 2 3" xfId="3300" xr:uid="{4A3A51EC-50A2-4488-A9B7-7C0273D3BB6D}"/>
    <cellStyle name="Calculation 2 3 3 2 4" xfId="3301" xr:uid="{CB5541EA-F41B-4E8C-BDA7-7A49EEACB309}"/>
    <cellStyle name="Calculation 2 3 3 2 5" xfId="3302" xr:uid="{6D1D768A-9D73-4D83-B455-64974800B821}"/>
    <cellStyle name="Calculation 2 3 3 2 6" xfId="3303" xr:uid="{925FC443-5EC6-4E91-ACDB-FE1830437597}"/>
    <cellStyle name="Calculation 2 3 3 2 7" xfId="3304" xr:uid="{8D7503B4-34DA-4F15-B331-9C497823E59E}"/>
    <cellStyle name="Calculation 2 3 3 2 8" xfId="3305" xr:uid="{6547E70E-BA3C-42AF-9F76-A0791A8F161A}"/>
    <cellStyle name="Calculation 2 3 3 2 9" xfId="3306" xr:uid="{AC7E5B83-6A65-4694-A9AC-2D5C0C578FC4}"/>
    <cellStyle name="Calculation 2 3 3 20" xfId="3307" xr:uid="{0239B7BB-6B61-46B1-AA95-0239DE7B1645}"/>
    <cellStyle name="Calculation 2 3 3 3" xfId="3308" xr:uid="{CC80016E-3BDE-4A07-9706-98AE2EF2DED6}"/>
    <cellStyle name="Calculation 2 3 3 4" xfId="3309" xr:uid="{3AB024F3-33AD-49D5-8CC9-7DB15C41FDE6}"/>
    <cellStyle name="Calculation 2 3 3 5" xfId="3310" xr:uid="{78A3F3DF-4986-44A4-BDD0-4E5CB0CD5174}"/>
    <cellStyle name="Calculation 2 3 3 6" xfId="3311" xr:uid="{3C089612-FA71-4DA1-B0A5-0C55FFFA87DB}"/>
    <cellStyle name="Calculation 2 3 3 7" xfId="3312" xr:uid="{D7487237-1F1C-40FE-A912-09644CCDAD8A}"/>
    <cellStyle name="Calculation 2 3 3 8" xfId="3313" xr:uid="{09426E22-2F13-4469-A2FB-FE7B40485BFA}"/>
    <cellStyle name="Calculation 2 3 3 9" xfId="3314" xr:uid="{039BC029-2998-4BFB-B39F-A60B44B783ED}"/>
    <cellStyle name="Calculation 2 3 4" xfId="3315" xr:uid="{4BAC4061-2C21-4C14-BE8F-F3BC90DB1912}"/>
    <cellStyle name="Calculation 2 3 4 10" xfId="3316" xr:uid="{8F95AE4B-6C29-4F24-9F95-B50CF5CB8B1A}"/>
    <cellStyle name="Calculation 2 3 4 11" xfId="3317" xr:uid="{07F8E338-28A5-4FFC-9473-F81E121629AE}"/>
    <cellStyle name="Calculation 2 3 4 12" xfId="3318" xr:uid="{68BC3944-3229-4E1E-9FFF-76D2532B6D49}"/>
    <cellStyle name="Calculation 2 3 4 13" xfId="3319" xr:uid="{4CE0C164-C424-47A8-9EC1-D72FF08E26DD}"/>
    <cellStyle name="Calculation 2 3 4 14" xfId="3320" xr:uid="{A945CCC1-A89E-4A91-B529-90518786A385}"/>
    <cellStyle name="Calculation 2 3 4 15" xfId="3321" xr:uid="{753BDEC7-3FB7-4E7E-8BB0-AD5BCD01C10F}"/>
    <cellStyle name="Calculation 2 3 4 16" xfId="3322" xr:uid="{C11C6815-6996-46C2-BC70-1240C5A5F860}"/>
    <cellStyle name="Calculation 2 3 4 17" xfId="3323" xr:uid="{A5F27312-86ED-41AA-88EB-65650FB55021}"/>
    <cellStyle name="Calculation 2 3 4 18" xfId="3324" xr:uid="{2F4E1E99-8127-45C3-8444-ABDFB1A694C1}"/>
    <cellStyle name="Calculation 2 3 4 19" xfId="3325" xr:uid="{5ABA1963-0A85-4969-B036-A2E26B4E87C7}"/>
    <cellStyle name="Calculation 2 3 4 19 2" xfId="3326" xr:uid="{46560E32-D816-4500-8DA4-A13163545CA6}"/>
    <cellStyle name="Calculation 2 3 4 2" xfId="3327" xr:uid="{A3970432-5601-4CD0-B0C9-43F34DC31DE2}"/>
    <cellStyle name="Calculation 2 3 4 2 10" xfId="3328" xr:uid="{638EAE1B-9F24-41B4-9AA5-01AB2A6A4782}"/>
    <cellStyle name="Calculation 2 3 4 2 11" xfId="3329" xr:uid="{5B2605A4-A59E-40A9-B8D2-075933C97B82}"/>
    <cellStyle name="Calculation 2 3 4 2 12" xfId="3330" xr:uid="{F5F35AD6-AE09-4ABA-9999-01308AC6536D}"/>
    <cellStyle name="Calculation 2 3 4 2 13" xfId="3331" xr:uid="{AB4E6794-1A16-4E97-9D7F-69E2F4217A3B}"/>
    <cellStyle name="Calculation 2 3 4 2 14" xfId="3332" xr:uid="{79AABD41-39A7-4CB6-8EB0-E7EB30680B58}"/>
    <cellStyle name="Calculation 2 3 4 2 15" xfId="3333" xr:uid="{CC56EFFA-DAD7-4234-9834-ED49B5650200}"/>
    <cellStyle name="Calculation 2 3 4 2 16" xfId="3334" xr:uid="{7CB434B7-DE96-4E31-9C80-6B9A0065D861}"/>
    <cellStyle name="Calculation 2 3 4 2 17" xfId="3335" xr:uid="{03191104-0461-4306-A24A-3A0B4DBDDD1B}"/>
    <cellStyle name="Calculation 2 3 4 2 18" xfId="3336" xr:uid="{BE055650-7C57-4666-96B1-2B8C41AFD5D3}"/>
    <cellStyle name="Calculation 2 3 4 2 18 2" xfId="3337" xr:uid="{7C868A78-1C98-4A12-91BD-673053009F80}"/>
    <cellStyle name="Calculation 2 3 4 2 19" xfId="3338" xr:uid="{7E296190-81A2-4D3C-BCE8-B9AAB8943247}"/>
    <cellStyle name="Calculation 2 3 4 2 2" xfId="3339" xr:uid="{8A8192FE-907E-42F3-8417-9AE9C2C75E3A}"/>
    <cellStyle name="Calculation 2 3 4 2 3" xfId="3340" xr:uid="{30AF99ED-E0E7-4E29-B559-D1781C4C480A}"/>
    <cellStyle name="Calculation 2 3 4 2 4" xfId="3341" xr:uid="{A5973440-DAC1-445D-BFC1-92038499582C}"/>
    <cellStyle name="Calculation 2 3 4 2 5" xfId="3342" xr:uid="{EF5EF5CA-B6AB-465B-868D-F1794E16634C}"/>
    <cellStyle name="Calculation 2 3 4 2 6" xfId="3343" xr:uid="{26E93AE8-73EA-459B-A588-9B9195854CE1}"/>
    <cellStyle name="Calculation 2 3 4 2 7" xfId="3344" xr:uid="{CBEACA37-D39C-4ADB-95B2-32E704C177A0}"/>
    <cellStyle name="Calculation 2 3 4 2 8" xfId="3345" xr:uid="{7D0FE79D-D198-4390-954D-2C2E9E6A360A}"/>
    <cellStyle name="Calculation 2 3 4 2 9" xfId="3346" xr:uid="{3204D8F2-178E-4285-881A-72C768A5B499}"/>
    <cellStyle name="Calculation 2 3 4 20" xfId="3347" xr:uid="{F1E657BC-A2C8-4522-8ED7-A25B826B5D88}"/>
    <cellStyle name="Calculation 2 3 4 3" xfId="3348" xr:uid="{6241E453-28B5-40C5-83EB-1690DD52E104}"/>
    <cellStyle name="Calculation 2 3 4 4" xfId="3349" xr:uid="{3A185647-1501-48F1-AD37-30FAC38524B4}"/>
    <cellStyle name="Calculation 2 3 4 5" xfId="3350" xr:uid="{939169BB-2F12-450A-982E-A2D333335B74}"/>
    <cellStyle name="Calculation 2 3 4 6" xfId="3351" xr:uid="{521C28A9-B2D0-423C-A86C-0648DEE33045}"/>
    <cellStyle name="Calculation 2 3 4 7" xfId="3352" xr:uid="{5D6632E4-D0A4-4B8A-BA85-5967292D321B}"/>
    <cellStyle name="Calculation 2 3 4 8" xfId="3353" xr:uid="{D8016BC6-EF24-4196-A604-C9957A781A88}"/>
    <cellStyle name="Calculation 2 3 4 9" xfId="3354" xr:uid="{7B2C0046-F6EB-4099-8BA0-16D29FA31706}"/>
    <cellStyle name="Calculation 2 3 5" xfId="3355" xr:uid="{71EFB483-D3D3-4DBB-A285-B2DD105BDBBB}"/>
    <cellStyle name="Calculation 2 3 5 10" xfId="3356" xr:uid="{D53CECCE-DFE2-418B-807A-922A03D40A4B}"/>
    <cellStyle name="Calculation 2 3 5 11" xfId="3357" xr:uid="{13377DD3-DA62-469C-8111-218D219EE1A9}"/>
    <cellStyle name="Calculation 2 3 5 12" xfId="3358" xr:uid="{EF01B743-DD76-4427-8F53-6A131B2CBE1F}"/>
    <cellStyle name="Calculation 2 3 5 13" xfId="3359" xr:uid="{02FFE165-A1FF-4F48-9FAD-E80B76970C5C}"/>
    <cellStyle name="Calculation 2 3 5 14" xfId="3360" xr:uid="{CCAC9788-A2B5-46F4-A091-7115CFB7C931}"/>
    <cellStyle name="Calculation 2 3 5 15" xfId="3361" xr:uid="{1F6FA7F3-E489-4ED5-B73E-FCCC9C28B897}"/>
    <cellStyle name="Calculation 2 3 5 16" xfId="3362" xr:uid="{7EC9ABC5-AF3A-4F25-90E6-7AEE59F07810}"/>
    <cellStyle name="Calculation 2 3 5 17" xfId="3363" xr:uid="{2D76C55D-19CE-483A-AF7C-5FD252A9FD68}"/>
    <cellStyle name="Calculation 2 3 5 18" xfId="3364" xr:uid="{0D16A170-F7BD-4141-9A99-0B2CADF9155B}"/>
    <cellStyle name="Calculation 2 3 5 18 2" xfId="3365" xr:uid="{8FD2AF61-DEB6-44D5-A3A1-7B2194801CDF}"/>
    <cellStyle name="Calculation 2 3 5 19" xfId="3366" xr:uid="{8CC2CEF4-1D6C-4955-AFF2-4343DC317F22}"/>
    <cellStyle name="Calculation 2 3 5 2" xfId="3367" xr:uid="{287016E0-2DB1-4CCD-8DCA-66CCAD1FE3FC}"/>
    <cellStyle name="Calculation 2 3 5 3" xfId="3368" xr:uid="{2E3B7084-9B4E-4FE7-8266-0F43F53CA91E}"/>
    <cellStyle name="Calculation 2 3 5 4" xfId="3369" xr:uid="{FC6EABAD-3032-4744-92BD-0A5104047E3B}"/>
    <cellStyle name="Calculation 2 3 5 5" xfId="3370" xr:uid="{1853A111-0C49-4DF6-A4FF-57BBD669EFAD}"/>
    <cellStyle name="Calculation 2 3 5 6" xfId="3371" xr:uid="{81464689-7DEF-47C7-B0EA-8EED9ECC650E}"/>
    <cellStyle name="Calculation 2 3 5 7" xfId="3372" xr:uid="{16E2AFAA-18C0-4BB2-BDCA-0254666FF786}"/>
    <cellStyle name="Calculation 2 3 5 8" xfId="3373" xr:uid="{6DA5F00C-7727-490E-8504-3C00B592EC39}"/>
    <cellStyle name="Calculation 2 3 5 9" xfId="3374" xr:uid="{9C15AED8-7DA1-4FC5-B82E-66156ECCB40D}"/>
    <cellStyle name="Calculation 2 3 6" xfId="3375" xr:uid="{DB72C080-DE8F-4B4E-9DF3-8784DD99768A}"/>
    <cellStyle name="Calculation 2 3 7" xfId="3376" xr:uid="{AA716813-A646-4D40-B060-8667B620FD24}"/>
    <cellStyle name="Calculation 2 3 8" xfId="3377" xr:uid="{755BA913-3439-4F2C-9C12-29CF840B3DF3}"/>
    <cellStyle name="Calculation 2 3 9" xfId="3378" xr:uid="{9964FC65-3854-4C91-AD09-D3FCCC06F596}"/>
    <cellStyle name="Calculation 2 4" xfId="3379" xr:uid="{EC4BF0D7-A6FB-4062-AB35-9C16DED97E28}"/>
    <cellStyle name="Calculation 2 4 10" xfId="3380" xr:uid="{3FB5C602-03D6-45EB-910F-33203A6733E6}"/>
    <cellStyle name="Calculation 2 4 11" xfId="3381" xr:uid="{3160DB79-4493-4C63-A77C-F2149E4624B4}"/>
    <cellStyle name="Calculation 2 4 12" xfId="3382" xr:uid="{0E7ADB03-C6DC-4851-A5C1-89F0B5997E0C}"/>
    <cellStyle name="Calculation 2 4 13" xfId="3383" xr:uid="{5BF66E97-0EC3-4453-8AE3-DF903484F25D}"/>
    <cellStyle name="Calculation 2 4 14" xfId="3384" xr:uid="{3C37A54F-25C1-49D2-BE64-2FC07B511E6D}"/>
    <cellStyle name="Calculation 2 4 15" xfId="3385" xr:uid="{C1946C01-6D6D-45A4-BC81-85FD87E04691}"/>
    <cellStyle name="Calculation 2 4 16" xfId="3386" xr:uid="{1FAA8FA9-08D4-4331-9697-FF9A420FD2A5}"/>
    <cellStyle name="Calculation 2 4 17" xfId="3387" xr:uid="{9F48D5A3-D819-4815-BD1D-8EE5A9030317}"/>
    <cellStyle name="Calculation 2 4 18" xfId="3388" xr:uid="{D641AAD7-FAAF-4B74-8A2E-BA45CD5EEF34}"/>
    <cellStyle name="Calculation 2 4 19" xfId="3389" xr:uid="{3797CF5A-681F-457B-8B2D-E4D283C2C76B}"/>
    <cellStyle name="Calculation 2 4 2" xfId="3390" xr:uid="{88D066D5-FDE9-4BE4-8AE9-A61FEFCC822A}"/>
    <cellStyle name="Calculation 2 4 2 10" xfId="3391" xr:uid="{07A07603-43F9-4B6F-9AD1-5A866DEB9F03}"/>
    <cellStyle name="Calculation 2 4 2 11" xfId="3392" xr:uid="{710045BA-E8A8-4ACA-8E45-98957635D99C}"/>
    <cellStyle name="Calculation 2 4 2 12" xfId="3393" xr:uid="{315954FE-A9A6-4967-AF36-F33CBDBB2C23}"/>
    <cellStyle name="Calculation 2 4 2 13" xfId="3394" xr:uid="{9B8401CD-43E3-472C-8779-A9BE5932B230}"/>
    <cellStyle name="Calculation 2 4 2 14" xfId="3395" xr:uid="{560D2D2A-D9CA-4ABA-9A55-69A3400C1CAC}"/>
    <cellStyle name="Calculation 2 4 2 15" xfId="3396" xr:uid="{0688E757-C464-4DBC-8CA0-772C68C4DDFA}"/>
    <cellStyle name="Calculation 2 4 2 16" xfId="3397" xr:uid="{CD9FCED8-2C9F-467B-98EE-91C5149A1341}"/>
    <cellStyle name="Calculation 2 4 2 17" xfId="3398" xr:uid="{676F1BA1-90D9-4623-B4BD-693A4E99A948}"/>
    <cellStyle name="Calculation 2 4 2 18" xfId="3399" xr:uid="{3B86C372-30FE-4D96-9CA0-653889BC80F8}"/>
    <cellStyle name="Calculation 2 4 2 19" xfId="3400" xr:uid="{CA28C5ED-23C4-4333-B52F-C26BF8DA178D}"/>
    <cellStyle name="Calculation 2 4 2 19 2" xfId="3401" xr:uid="{138DD241-5EF6-4E88-BDEA-7F78D62840BD}"/>
    <cellStyle name="Calculation 2 4 2 2" xfId="3402" xr:uid="{C3C31ACC-5F26-447F-858E-AC47ABD8F7EF}"/>
    <cellStyle name="Calculation 2 4 2 2 10" xfId="3403" xr:uid="{8A2345CE-3BF0-4362-A3DC-5A47789D9CEC}"/>
    <cellStyle name="Calculation 2 4 2 2 11" xfId="3404" xr:uid="{8BB0356E-6EC3-4D2A-B171-12366A4A6C66}"/>
    <cellStyle name="Calculation 2 4 2 2 12" xfId="3405" xr:uid="{E3BF97C9-6041-4990-8EFF-07F4093E959D}"/>
    <cellStyle name="Calculation 2 4 2 2 13" xfId="3406" xr:uid="{77ACD3B3-8604-4A5D-B502-E23945163694}"/>
    <cellStyle name="Calculation 2 4 2 2 14" xfId="3407" xr:uid="{EBE42E5F-374C-4072-8B53-044DB5C2560D}"/>
    <cellStyle name="Calculation 2 4 2 2 15" xfId="3408" xr:uid="{A2D5F31C-D0E6-4FEE-8EBF-119C270F9C4A}"/>
    <cellStyle name="Calculation 2 4 2 2 16" xfId="3409" xr:uid="{E408FD9D-B901-4C2A-8AC7-36E07D153AC8}"/>
    <cellStyle name="Calculation 2 4 2 2 17" xfId="3410" xr:uid="{1DE13741-2084-4BBA-B707-FD9C3C139FCA}"/>
    <cellStyle name="Calculation 2 4 2 2 18" xfId="3411" xr:uid="{E2B29058-1FF0-4326-89C6-A9BD5E842A90}"/>
    <cellStyle name="Calculation 2 4 2 2 18 2" xfId="3412" xr:uid="{5A8FFE71-D255-40B9-BF51-4BC74EB29CD8}"/>
    <cellStyle name="Calculation 2 4 2 2 19" xfId="3413" xr:uid="{71C138A6-C547-4E64-AE86-5E6A424DBC02}"/>
    <cellStyle name="Calculation 2 4 2 2 2" xfId="3414" xr:uid="{E79ABBC3-A69C-4B52-8397-2994071B191E}"/>
    <cellStyle name="Calculation 2 4 2 2 3" xfId="3415" xr:uid="{65CAB681-1ECA-41A9-9BA4-08087EDEC167}"/>
    <cellStyle name="Calculation 2 4 2 2 4" xfId="3416" xr:uid="{D8CC3FA2-8F97-4B72-9DE2-CD9B1D8AD976}"/>
    <cellStyle name="Calculation 2 4 2 2 5" xfId="3417" xr:uid="{00D93DF7-7724-4465-A843-8BB7353EFAB7}"/>
    <cellStyle name="Calculation 2 4 2 2 6" xfId="3418" xr:uid="{F2447455-9D7F-410C-85C7-21B5DE9FB94F}"/>
    <cellStyle name="Calculation 2 4 2 2 7" xfId="3419" xr:uid="{B88F4D9D-C9E9-4B4D-A42C-106EFFDEBA0C}"/>
    <cellStyle name="Calculation 2 4 2 2 8" xfId="3420" xr:uid="{3A36DCFA-D454-4476-A9A9-F1797A16ED50}"/>
    <cellStyle name="Calculation 2 4 2 2 9" xfId="3421" xr:uid="{B2F53C0A-C20E-4C8F-9C8A-CA6291A69CAB}"/>
    <cellStyle name="Calculation 2 4 2 20" xfId="3422" xr:uid="{9907412E-68BD-466C-BB12-301B317B734F}"/>
    <cellStyle name="Calculation 2 4 2 3" xfId="3423" xr:uid="{60F5C5C2-8A4F-4A32-B89C-885FB8D11761}"/>
    <cellStyle name="Calculation 2 4 2 4" xfId="3424" xr:uid="{F5972CFC-425C-442C-AB9D-5602584EA5FD}"/>
    <cellStyle name="Calculation 2 4 2 5" xfId="3425" xr:uid="{FE77BF6D-CBAB-4FA6-869C-5887C17107AB}"/>
    <cellStyle name="Calculation 2 4 2 6" xfId="3426" xr:uid="{949C3392-7D31-4365-96E5-A0B8B847D7FE}"/>
    <cellStyle name="Calculation 2 4 2 7" xfId="3427" xr:uid="{EA2BBC94-C886-4980-AA2E-E8DE4185610A}"/>
    <cellStyle name="Calculation 2 4 2 8" xfId="3428" xr:uid="{F3321C63-8BE5-4A28-AE16-42976AF51C0D}"/>
    <cellStyle name="Calculation 2 4 2 9" xfId="3429" xr:uid="{5D9FC252-746E-4CA1-A633-FEFF283D5774}"/>
    <cellStyle name="Calculation 2 4 20" xfId="3430" xr:uid="{5E666CB3-12CF-43AE-BEC9-222AF9A837B3}"/>
    <cellStyle name="Calculation 2 4 21" xfId="3431" xr:uid="{93A1DA3D-994B-4BF4-898F-62875B2CD63A}"/>
    <cellStyle name="Calculation 2 4 21 2" xfId="3432" xr:uid="{024BD621-6A0A-43B0-9A77-A6DEAA694606}"/>
    <cellStyle name="Calculation 2 4 22" xfId="3433" xr:uid="{7DA82258-FF20-48A7-94D7-1298951FA0FB}"/>
    <cellStyle name="Calculation 2 4 3" xfId="3434" xr:uid="{DA9BEE88-BFE4-4547-B164-5EA81CE6D326}"/>
    <cellStyle name="Calculation 2 4 3 10" xfId="3435" xr:uid="{BE18AB73-423D-49CA-95D1-97FA1E8AF22E}"/>
    <cellStyle name="Calculation 2 4 3 11" xfId="3436" xr:uid="{47A14C0F-D18F-4D1C-8CC3-F42EDAC2468C}"/>
    <cellStyle name="Calculation 2 4 3 12" xfId="3437" xr:uid="{C50FD209-92F9-4857-B6B1-08F8E5E8E84B}"/>
    <cellStyle name="Calculation 2 4 3 13" xfId="3438" xr:uid="{E6F0114D-9814-4E9C-9069-890D303835C9}"/>
    <cellStyle name="Calculation 2 4 3 14" xfId="3439" xr:uid="{63E17D3E-2965-42BA-8CB4-83168348F8D5}"/>
    <cellStyle name="Calculation 2 4 3 15" xfId="3440" xr:uid="{EAB0ECE1-6299-4BE4-8ACD-F545C72000DD}"/>
    <cellStyle name="Calculation 2 4 3 16" xfId="3441" xr:uid="{794DBAF9-049B-43E7-A554-082444C361FB}"/>
    <cellStyle name="Calculation 2 4 3 17" xfId="3442" xr:uid="{EF887EEA-5D55-4C2B-932D-7BF58DC003E6}"/>
    <cellStyle name="Calculation 2 4 3 18" xfId="3443" xr:uid="{0336F673-D6B5-4DA1-BC4A-9B78EA0BA469}"/>
    <cellStyle name="Calculation 2 4 3 19" xfId="3444" xr:uid="{E624E187-8FC4-4907-BCEC-CF5F903E196E}"/>
    <cellStyle name="Calculation 2 4 3 19 2" xfId="3445" xr:uid="{043E36EE-C647-4E40-B1BF-7966E0C44352}"/>
    <cellStyle name="Calculation 2 4 3 2" xfId="3446" xr:uid="{975FC453-9134-4F1C-9867-A75338CB6C60}"/>
    <cellStyle name="Calculation 2 4 3 2 10" xfId="3447" xr:uid="{434B215C-CD74-498A-93F0-4E27E4A01A49}"/>
    <cellStyle name="Calculation 2 4 3 2 11" xfId="3448" xr:uid="{7605B774-12AE-4343-8A71-B916EDA2FAA8}"/>
    <cellStyle name="Calculation 2 4 3 2 12" xfId="3449" xr:uid="{FF1D6E4F-7B62-4C80-B78D-A65DD3C5FE36}"/>
    <cellStyle name="Calculation 2 4 3 2 13" xfId="3450" xr:uid="{054AB108-D0F8-4BC8-81AA-EB9D4091F3D2}"/>
    <cellStyle name="Calculation 2 4 3 2 14" xfId="3451" xr:uid="{062997C9-D74B-461E-B8E4-E37ADF876C09}"/>
    <cellStyle name="Calculation 2 4 3 2 15" xfId="3452" xr:uid="{8300BB43-DF89-45A5-9A0B-8F8AB1AA7A61}"/>
    <cellStyle name="Calculation 2 4 3 2 16" xfId="3453" xr:uid="{F24FBA2C-9210-44D0-AA45-A4E8EA656FB7}"/>
    <cellStyle name="Calculation 2 4 3 2 17" xfId="3454" xr:uid="{7912F68E-0912-4347-A2C7-BC72C24F9D8C}"/>
    <cellStyle name="Calculation 2 4 3 2 18" xfId="3455" xr:uid="{1D68BEF2-73A4-4177-91AE-017AC002B0B0}"/>
    <cellStyle name="Calculation 2 4 3 2 18 2" xfId="3456" xr:uid="{18D17164-46CA-4A9A-A190-DD090FABA1C9}"/>
    <cellStyle name="Calculation 2 4 3 2 19" xfId="3457" xr:uid="{763958F6-3CE7-44AA-967D-F0C4873AEF71}"/>
    <cellStyle name="Calculation 2 4 3 2 2" xfId="3458" xr:uid="{3CCBFBF6-5E4C-45E6-B112-066D429A10F5}"/>
    <cellStyle name="Calculation 2 4 3 2 3" xfId="3459" xr:uid="{9CA8A177-16B6-4A30-B96F-3DFCDF0CE7E9}"/>
    <cellStyle name="Calculation 2 4 3 2 4" xfId="3460" xr:uid="{6D1AE382-E611-430E-BE22-EA90567799B2}"/>
    <cellStyle name="Calculation 2 4 3 2 5" xfId="3461" xr:uid="{83F8461A-25B4-45FA-BAE7-C3824772B35A}"/>
    <cellStyle name="Calculation 2 4 3 2 6" xfId="3462" xr:uid="{36799341-C8FB-46DE-AFAC-7EA32C5635A7}"/>
    <cellStyle name="Calculation 2 4 3 2 7" xfId="3463" xr:uid="{B2FD3E70-64AE-416B-BA04-A7106F9B575C}"/>
    <cellStyle name="Calculation 2 4 3 2 8" xfId="3464" xr:uid="{4F93502A-CBEC-477D-A2C3-C0620FD1DA8C}"/>
    <cellStyle name="Calculation 2 4 3 2 9" xfId="3465" xr:uid="{C21532D1-9FC0-408A-B2AA-D8D9D830D70E}"/>
    <cellStyle name="Calculation 2 4 3 20" xfId="3466" xr:uid="{00F7A5D3-41C0-4104-A6EF-487BF7B9765C}"/>
    <cellStyle name="Calculation 2 4 3 3" xfId="3467" xr:uid="{C3276688-C836-466B-9602-78C2847C2472}"/>
    <cellStyle name="Calculation 2 4 3 4" xfId="3468" xr:uid="{54B59621-11DF-4D1E-9B45-72AC8F007282}"/>
    <cellStyle name="Calculation 2 4 3 5" xfId="3469" xr:uid="{07D1445A-8901-4C1E-A318-B2CDC2B1EB6E}"/>
    <cellStyle name="Calculation 2 4 3 6" xfId="3470" xr:uid="{365E9A4D-CDAF-4849-97D5-AE512F087CB1}"/>
    <cellStyle name="Calculation 2 4 3 7" xfId="3471" xr:uid="{F398EA94-C348-4E47-AFC4-EFD69679A1A9}"/>
    <cellStyle name="Calculation 2 4 3 8" xfId="3472" xr:uid="{19B9629D-4F93-4351-94C5-BA67E999B6D0}"/>
    <cellStyle name="Calculation 2 4 3 9" xfId="3473" xr:uid="{F452E714-5D19-4BE2-9558-BC79F99F05E2}"/>
    <cellStyle name="Calculation 2 4 4" xfId="3474" xr:uid="{1C810B8E-D402-45BB-AB50-D9A5F4769D6A}"/>
    <cellStyle name="Calculation 2 4 4 10" xfId="3475" xr:uid="{D5B42E4F-8C3D-428F-BA6E-3464B81E15D4}"/>
    <cellStyle name="Calculation 2 4 4 11" xfId="3476" xr:uid="{6CB3A3E2-F413-4022-BDAD-43732D335464}"/>
    <cellStyle name="Calculation 2 4 4 12" xfId="3477" xr:uid="{6103994E-3F44-4977-9730-3F2A35489456}"/>
    <cellStyle name="Calculation 2 4 4 13" xfId="3478" xr:uid="{8EA749E2-6D9D-4A79-8DD1-12DCEE2E6ED1}"/>
    <cellStyle name="Calculation 2 4 4 14" xfId="3479" xr:uid="{BF41A38E-04A3-478C-87B7-BE75AB15EB20}"/>
    <cellStyle name="Calculation 2 4 4 15" xfId="3480" xr:uid="{5F154E98-3904-4817-97A7-302C95C933AE}"/>
    <cellStyle name="Calculation 2 4 4 16" xfId="3481" xr:uid="{F36AD598-991D-4DD8-9465-15993143A02F}"/>
    <cellStyle name="Calculation 2 4 4 17" xfId="3482" xr:uid="{4C91AD46-3E55-4CF0-A4A3-B0856F513C48}"/>
    <cellStyle name="Calculation 2 4 4 18" xfId="3483" xr:uid="{9181A598-7157-4E6A-B230-9C3592D42681}"/>
    <cellStyle name="Calculation 2 4 4 18 2" xfId="3484" xr:uid="{983A60A7-F45F-4DC6-9044-88004ECB0D5E}"/>
    <cellStyle name="Calculation 2 4 4 19" xfId="3485" xr:uid="{A29A10C7-AAB4-48C1-97A6-2FD7B58665F5}"/>
    <cellStyle name="Calculation 2 4 4 2" xfId="3486" xr:uid="{22088BAB-B2A4-41DA-BA8E-00ADE65211D5}"/>
    <cellStyle name="Calculation 2 4 4 3" xfId="3487" xr:uid="{959DA648-2D12-4940-90D0-C443F1175AB9}"/>
    <cellStyle name="Calculation 2 4 4 4" xfId="3488" xr:uid="{6DFF791E-E206-4560-B04E-9AE92C6EEECD}"/>
    <cellStyle name="Calculation 2 4 4 5" xfId="3489" xr:uid="{CAFEC827-2CD4-435A-935C-0CD747836C27}"/>
    <cellStyle name="Calculation 2 4 4 6" xfId="3490" xr:uid="{C46CDC26-B2D6-4ADF-94C8-2EB7D8365A72}"/>
    <cellStyle name="Calculation 2 4 4 7" xfId="3491" xr:uid="{17382715-D0A3-4E47-9F6F-02EE0E1F0391}"/>
    <cellStyle name="Calculation 2 4 4 8" xfId="3492" xr:uid="{17615DD6-54EB-43D2-ABBF-46DCADF30522}"/>
    <cellStyle name="Calculation 2 4 4 9" xfId="3493" xr:uid="{C3763541-807E-434C-8BB0-8F948AC28658}"/>
    <cellStyle name="Calculation 2 4 5" xfId="3494" xr:uid="{AACFF79F-EF1B-4188-815B-A9B0A18A315F}"/>
    <cellStyle name="Calculation 2 4 6" xfId="3495" xr:uid="{35DF4B1F-5CA4-4A52-9EB3-BFCE39A5CB33}"/>
    <cellStyle name="Calculation 2 4 7" xfId="3496" xr:uid="{A51FD64D-F934-4A88-A605-38A1D00D2964}"/>
    <cellStyle name="Calculation 2 4 8" xfId="3497" xr:uid="{E0FEC3CD-3F84-40A7-8E33-F9D1A09256FA}"/>
    <cellStyle name="Calculation 2 4 9" xfId="3498" xr:uid="{F106A5B9-3BB9-4D0B-8EFE-A0D4449B95E9}"/>
    <cellStyle name="Calculation 2 5" xfId="3499" xr:uid="{682D7BFD-56C6-412B-AB69-C271B4FFA5C6}"/>
    <cellStyle name="Calculation 2 5 10" xfId="3500" xr:uid="{45E7992F-0256-4253-B292-9B64C4BAE2FA}"/>
    <cellStyle name="Calculation 2 5 11" xfId="3501" xr:uid="{A7329069-F705-45D1-9404-39FF73958EB1}"/>
    <cellStyle name="Calculation 2 5 12" xfId="3502" xr:uid="{B60E3878-4597-4462-A8FF-5E1CAEDE0112}"/>
    <cellStyle name="Calculation 2 5 13" xfId="3503" xr:uid="{10FE8430-8ED0-4EA7-AC7A-6D04EB85CBBE}"/>
    <cellStyle name="Calculation 2 5 14" xfId="3504" xr:uid="{BD8B4080-8808-423D-9990-60D31C811783}"/>
    <cellStyle name="Calculation 2 5 15" xfId="3505" xr:uid="{B624FABD-BD32-45DB-9103-BFAA15AF6E30}"/>
    <cellStyle name="Calculation 2 5 16" xfId="3506" xr:uid="{BB631759-E91B-48A3-A2A5-6DFAB66A979F}"/>
    <cellStyle name="Calculation 2 5 17" xfId="3507" xr:uid="{D7EE6389-3BD1-4123-A34A-DBB6BE14CF6E}"/>
    <cellStyle name="Calculation 2 5 18" xfId="3508" xr:uid="{0A8AA66E-C2BA-4D65-B161-7CC430A6465E}"/>
    <cellStyle name="Calculation 2 5 19" xfId="3509" xr:uid="{4427CF34-1837-4912-89DC-B87E3AE3E478}"/>
    <cellStyle name="Calculation 2 5 19 2" xfId="3510" xr:uid="{452FF738-F160-4BB6-B4D0-B74A658E2099}"/>
    <cellStyle name="Calculation 2 5 2" xfId="3511" xr:uid="{163ECD8B-DC9F-4DFC-AFD3-E055FA52EB4D}"/>
    <cellStyle name="Calculation 2 5 2 10" xfId="3512" xr:uid="{61BFAC86-A571-4D36-8558-3E2D8A4C179F}"/>
    <cellStyle name="Calculation 2 5 2 11" xfId="3513" xr:uid="{0A18C567-8A37-458F-9FB8-4BF1CD4F3F31}"/>
    <cellStyle name="Calculation 2 5 2 12" xfId="3514" xr:uid="{E3AE2965-ADF9-4F1B-8E8D-A1097BDFCECB}"/>
    <cellStyle name="Calculation 2 5 2 13" xfId="3515" xr:uid="{8655B89E-F1C9-4944-BCCA-1BBFC27F2250}"/>
    <cellStyle name="Calculation 2 5 2 14" xfId="3516" xr:uid="{3BCF248E-237E-45DF-A46B-ABA5F2964542}"/>
    <cellStyle name="Calculation 2 5 2 15" xfId="3517" xr:uid="{E18D74EB-D3F0-4688-94CE-D0230B82EEDB}"/>
    <cellStyle name="Calculation 2 5 2 16" xfId="3518" xr:uid="{5530DD02-B800-4A9C-962C-60D4D2CD372D}"/>
    <cellStyle name="Calculation 2 5 2 17" xfId="3519" xr:uid="{7D2791DE-9913-415A-ABB6-B79EA1197284}"/>
    <cellStyle name="Calculation 2 5 2 18" xfId="3520" xr:uid="{16B1340C-956C-4626-9884-E33445AFE2C1}"/>
    <cellStyle name="Calculation 2 5 2 18 2" xfId="3521" xr:uid="{60C3B5A0-B6F1-4C8C-9A39-8F072E765C4B}"/>
    <cellStyle name="Calculation 2 5 2 19" xfId="3522" xr:uid="{4ACA6BD9-7B4E-4C9A-9EBF-0B07A94B7135}"/>
    <cellStyle name="Calculation 2 5 2 2" xfId="3523" xr:uid="{6D085F91-C13A-4B3D-8718-FBFFF2E7E844}"/>
    <cellStyle name="Calculation 2 5 2 3" xfId="3524" xr:uid="{E3DF2035-A0BC-45A4-BB4B-F311BC8E757E}"/>
    <cellStyle name="Calculation 2 5 2 4" xfId="3525" xr:uid="{B752B9F0-0691-4F82-901B-DE6656CA0139}"/>
    <cellStyle name="Calculation 2 5 2 5" xfId="3526" xr:uid="{13839208-C9D7-4434-9651-D4A059AA632D}"/>
    <cellStyle name="Calculation 2 5 2 6" xfId="3527" xr:uid="{00DC04AF-79C8-4ACD-9EDA-E68F08D5390B}"/>
    <cellStyle name="Calculation 2 5 2 7" xfId="3528" xr:uid="{54837BED-91AE-4216-926A-3928A5E965D2}"/>
    <cellStyle name="Calculation 2 5 2 8" xfId="3529" xr:uid="{930937E7-AA96-4065-8170-44725B775FE7}"/>
    <cellStyle name="Calculation 2 5 2 9" xfId="3530" xr:uid="{4F6DC0A0-02D5-4F2F-8E90-81E1B62A0985}"/>
    <cellStyle name="Calculation 2 5 20" xfId="3531" xr:uid="{6A746468-779A-4BDC-8053-6ACB77AE6DA2}"/>
    <cellStyle name="Calculation 2 5 3" xfId="3532" xr:uid="{305592F1-E936-48F1-9178-F585D1BE62E5}"/>
    <cellStyle name="Calculation 2 5 4" xfId="3533" xr:uid="{18E10517-7855-4D89-9EC8-E041871AA408}"/>
    <cellStyle name="Calculation 2 5 5" xfId="3534" xr:uid="{6A42D60F-4645-4817-99DB-A4CC664A7CDD}"/>
    <cellStyle name="Calculation 2 5 6" xfId="3535" xr:uid="{FBA99B31-C779-4A30-9C0A-4C234618DE6F}"/>
    <cellStyle name="Calculation 2 5 7" xfId="3536" xr:uid="{3A768B5B-73C5-4DCD-BD2C-D124FB23C1B4}"/>
    <cellStyle name="Calculation 2 5 8" xfId="3537" xr:uid="{E28FC04E-7BEB-46C5-830D-C061BFB68CB3}"/>
    <cellStyle name="Calculation 2 5 9" xfId="3538" xr:uid="{E5DC4A6E-0C23-4073-939F-6609A5349101}"/>
    <cellStyle name="Calculation 2 6" xfId="3539" xr:uid="{F40338D0-786D-4762-A2F7-B85BA4440A7B}"/>
    <cellStyle name="Calculation 2 6 10" xfId="3540" xr:uid="{6C6090CC-B5A9-4DF7-9362-65F4C4CD80BB}"/>
    <cellStyle name="Calculation 2 6 11" xfId="3541" xr:uid="{AFA75B67-74C0-496C-B3EE-E4073A7A0047}"/>
    <cellStyle name="Calculation 2 6 12" xfId="3542" xr:uid="{1FBF5DB2-9C45-4736-8CA3-21300690CA02}"/>
    <cellStyle name="Calculation 2 6 13" xfId="3543" xr:uid="{9E1CDAFF-165A-40F7-ABB5-FC15BAF79A64}"/>
    <cellStyle name="Calculation 2 6 14" xfId="3544" xr:uid="{FFEC7336-B88A-4FE5-A970-10264900D37F}"/>
    <cellStyle name="Calculation 2 6 15" xfId="3545" xr:uid="{13488617-DD71-47DF-8E43-80DE615FC664}"/>
    <cellStyle name="Calculation 2 6 16" xfId="3546" xr:uid="{1E4A7B67-CFE2-4FEA-93BA-58DB7BF04830}"/>
    <cellStyle name="Calculation 2 6 17" xfId="3547" xr:uid="{2FB93932-08ED-4349-A3B9-CF9223E0759A}"/>
    <cellStyle name="Calculation 2 6 18" xfId="3548" xr:uid="{9F3E69C5-CCA3-476B-A611-6AAB3E150026}"/>
    <cellStyle name="Calculation 2 6 19" xfId="3549" xr:uid="{5961BE0F-C62E-42E5-B1D9-3DC5D28E9FC2}"/>
    <cellStyle name="Calculation 2 6 19 2" xfId="3550" xr:uid="{0E6E16EC-61D9-417A-BEB0-EFB4BB456006}"/>
    <cellStyle name="Calculation 2 6 2" xfId="3551" xr:uid="{C74B841D-FB9D-48D2-A4B2-D9B81C8CC280}"/>
    <cellStyle name="Calculation 2 6 2 10" xfId="3552" xr:uid="{21643068-A2C1-4D78-B2C3-82438C5CA29D}"/>
    <cellStyle name="Calculation 2 6 2 11" xfId="3553" xr:uid="{E3F2D581-25BE-4111-B436-08A6C7CE4E67}"/>
    <cellStyle name="Calculation 2 6 2 12" xfId="3554" xr:uid="{3D04D22B-B045-46E0-BC31-9BF9B58098AD}"/>
    <cellStyle name="Calculation 2 6 2 13" xfId="3555" xr:uid="{85B61853-8FA5-44F5-9BDD-8D59A9FABFBC}"/>
    <cellStyle name="Calculation 2 6 2 14" xfId="3556" xr:uid="{34169B8E-269F-49CD-ACB4-CE6556A9819B}"/>
    <cellStyle name="Calculation 2 6 2 15" xfId="3557" xr:uid="{33F3C324-BE49-49CE-93BE-A8ED77999D71}"/>
    <cellStyle name="Calculation 2 6 2 16" xfId="3558" xr:uid="{CC928727-913E-4202-9B3D-958A387CCB65}"/>
    <cellStyle name="Calculation 2 6 2 17" xfId="3559" xr:uid="{02606188-45AA-4AF4-A850-E1F997E6F74C}"/>
    <cellStyle name="Calculation 2 6 2 18" xfId="3560" xr:uid="{A1C61D52-DCBF-4464-B491-79467250FBCF}"/>
    <cellStyle name="Calculation 2 6 2 18 2" xfId="3561" xr:uid="{A22199C3-5BD2-48D0-9215-22A62863837E}"/>
    <cellStyle name="Calculation 2 6 2 19" xfId="3562" xr:uid="{CD9990D8-CA02-488D-9CA9-4DE6DD8748D2}"/>
    <cellStyle name="Calculation 2 6 2 2" xfId="3563" xr:uid="{831EBE04-9099-4C2E-B0EC-92AEE16AC8F0}"/>
    <cellStyle name="Calculation 2 6 2 3" xfId="3564" xr:uid="{8CF21FB0-F04F-49D1-821F-80A2A659246C}"/>
    <cellStyle name="Calculation 2 6 2 4" xfId="3565" xr:uid="{0B9AD20B-222A-498F-89FB-20B7C762CA0D}"/>
    <cellStyle name="Calculation 2 6 2 5" xfId="3566" xr:uid="{B463D47D-1227-4CC3-B055-C1493DDA8190}"/>
    <cellStyle name="Calculation 2 6 2 6" xfId="3567" xr:uid="{A0F20850-F1FA-4C16-ACD6-C656376ED301}"/>
    <cellStyle name="Calculation 2 6 2 7" xfId="3568" xr:uid="{CBAF3213-1621-422B-BD7B-602C0DAE892C}"/>
    <cellStyle name="Calculation 2 6 2 8" xfId="3569" xr:uid="{A8365751-9A61-4508-98FE-74860CEF8FD6}"/>
    <cellStyle name="Calculation 2 6 2 9" xfId="3570" xr:uid="{EA889DF0-D085-4F92-9F33-7A6840175EE9}"/>
    <cellStyle name="Calculation 2 6 20" xfId="3571" xr:uid="{4227B0A1-DED8-4059-ACAC-D5F3A8CBF10A}"/>
    <cellStyle name="Calculation 2 6 3" xfId="3572" xr:uid="{8196CBB6-5BE9-46F0-B24F-C78B5F16F834}"/>
    <cellStyle name="Calculation 2 6 4" xfId="3573" xr:uid="{881A80D0-6C05-42BB-AB32-C91616A35969}"/>
    <cellStyle name="Calculation 2 6 5" xfId="3574" xr:uid="{DEA55E97-5084-4C5E-8BC7-4CE82D88CE97}"/>
    <cellStyle name="Calculation 2 6 6" xfId="3575" xr:uid="{90944BAE-59B5-4D35-9255-16CCDA149F2B}"/>
    <cellStyle name="Calculation 2 6 7" xfId="3576" xr:uid="{74BC8C9C-871D-419D-A129-4A1D12C0199B}"/>
    <cellStyle name="Calculation 2 6 8" xfId="3577" xr:uid="{53A41972-375D-4CEF-B857-1D2E9947A6FB}"/>
    <cellStyle name="Calculation 2 6 9" xfId="3578" xr:uid="{95AB41B7-0625-4A99-B3BD-E2E28D9F3B2C}"/>
    <cellStyle name="Calculation 2 7" xfId="3579" xr:uid="{70BE1167-3441-4D97-8BE9-35B62D9D46A8}"/>
    <cellStyle name="Calculation 2 7 10" xfId="3580" xr:uid="{5A18782A-7951-4D60-8FA3-63F44552CF0C}"/>
    <cellStyle name="Calculation 2 7 11" xfId="3581" xr:uid="{8D6027C5-4EC1-467B-B4DF-75D98EC2F261}"/>
    <cellStyle name="Calculation 2 7 12" xfId="3582" xr:uid="{57740D16-FEC7-4FD4-B857-8BCDD05DB659}"/>
    <cellStyle name="Calculation 2 7 13" xfId="3583" xr:uid="{B26205B0-9ABE-4715-8D35-B4F2B3FA33FF}"/>
    <cellStyle name="Calculation 2 7 14" xfId="3584" xr:uid="{918F7CE7-68BB-49DE-95B2-68B486624C0E}"/>
    <cellStyle name="Calculation 2 7 15" xfId="3585" xr:uid="{DC1D8582-D149-4837-9181-D2DA19C1A598}"/>
    <cellStyle name="Calculation 2 7 16" xfId="3586" xr:uid="{AE262270-18BC-49D2-9FB0-DEA1DD261E82}"/>
    <cellStyle name="Calculation 2 7 17" xfId="3587" xr:uid="{89D154E0-0F3F-41AD-98B2-7CDD72DDBE96}"/>
    <cellStyle name="Calculation 2 7 18" xfId="3588" xr:uid="{E386ECA0-9C48-4198-B6DB-DA40D1333B72}"/>
    <cellStyle name="Calculation 2 7 19" xfId="3589" xr:uid="{CF1F2F1A-76C7-461D-8383-6260868ABC8A}"/>
    <cellStyle name="Calculation 2 7 19 2" xfId="3590" xr:uid="{118AE3F0-DE46-4538-B12B-4D4EC242607C}"/>
    <cellStyle name="Calculation 2 7 2" xfId="3591" xr:uid="{96D9D3E4-CDDA-47C9-86D3-D4AF1C90E1E6}"/>
    <cellStyle name="Calculation 2 7 2 10" xfId="3592" xr:uid="{41D3F242-341B-46B7-AD15-12CA6EF50D9E}"/>
    <cellStyle name="Calculation 2 7 2 11" xfId="3593" xr:uid="{509C2A71-DBE3-4739-8F18-1771502060D4}"/>
    <cellStyle name="Calculation 2 7 2 12" xfId="3594" xr:uid="{06806459-AB9C-40EA-8755-43DAFAD863E0}"/>
    <cellStyle name="Calculation 2 7 2 13" xfId="3595" xr:uid="{01EB824E-3CD9-46B0-A829-C9DA816E9E99}"/>
    <cellStyle name="Calculation 2 7 2 14" xfId="3596" xr:uid="{DFBE9999-8E85-49F3-B26C-2AC0EFCB6CAD}"/>
    <cellStyle name="Calculation 2 7 2 15" xfId="3597" xr:uid="{3A47A2A1-9CC1-44BD-90B3-ADA38A0FCCE7}"/>
    <cellStyle name="Calculation 2 7 2 16" xfId="3598" xr:uid="{B6B15467-EC20-46C0-AB5A-D7DCB078A724}"/>
    <cellStyle name="Calculation 2 7 2 17" xfId="3599" xr:uid="{E60A869B-5434-4367-A60B-6747F497CC87}"/>
    <cellStyle name="Calculation 2 7 2 18" xfId="3600" xr:uid="{81ADEE07-4F6E-480D-8467-97700A9D7A8E}"/>
    <cellStyle name="Calculation 2 7 2 18 2" xfId="3601" xr:uid="{72C07E3F-0E37-4455-81C9-553B5D0D71DD}"/>
    <cellStyle name="Calculation 2 7 2 19" xfId="3602" xr:uid="{D7725B54-9DBB-4DB2-95F6-B2646CCA165D}"/>
    <cellStyle name="Calculation 2 7 2 2" xfId="3603" xr:uid="{F683F61D-0121-41F9-8CE2-106CEEF29549}"/>
    <cellStyle name="Calculation 2 7 2 3" xfId="3604" xr:uid="{239F38DE-625F-43F1-8054-370464A1C958}"/>
    <cellStyle name="Calculation 2 7 2 4" xfId="3605" xr:uid="{3B7001B2-BE23-45FE-BB33-F9D778953CB4}"/>
    <cellStyle name="Calculation 2 7 2 5" xfId="3606" xr:uid="{64A8AEE5-BA4F-401F-AE74-5EEBCEFC1E57}"/>
    <cellStyle name="Calculation 2 7 2 6" xfId="3607" xr:uid="{02A5A912-8CA4-4DFB-98CB-764A8597ABC0}"/>
    <cellStyle name="Calculation 2 7 2 7" xfId="3608" xr:uid="{41994E91-79C7-4D62-8148-8481D8B8F497}"/>
    <cellStyle name="Calculation 2 7 2 8" xfId="3609" xr:uid="{4DB8DE6A-4984-441A-AB4C-A16F61CD6D61}"/>
    <cellStyle name="Calculation 2 7 2 9" xfId="3610" xr:uid="{AB58AA4E-3175-4DBB-8B96-EE4DE8796C17}"/>
    <cellStyle name="Calculation 2 7 20" xfId="3611" xr:uid="{DE823569-4C1B-4CA5-99C4-9767E550E990}"/>
    <cellStyle name="Calculation 2 7 3" xfId="3612" xr:uid="{EFB5DEE8-7B22-468C-B99F-B3E96465F722}"/>
    <cellStyle name="Calculation 2 7 4" xfId="3613" xr:uid="{59CFFD54-8157-4286-AE98-2DE0A33F4121}"/>
    <cellStyle name="Calculation 2 7 5" xfId="3614" xr:uid="{282DA02F-EE22-4061-9F51-45523EF7C38E}"/>
    <cellStyle name="Calculation 2 7 6" xfId="3615" xr:uid="{B097CDC8-23E7-4599-A63D-0F09AC4BC196}"/>
    <cellStyle name="Calculation 2 7 7" xfId="3616" xr:uid="{A46A695F-8D2C-40A5-A62D-6B1F311EA50A}"/>
    <cellStyle name="Calculation 2 7 8" xfId="3617" xr:uid="{2669FF2D-B1CD-4EB7-8F6A-199F16530715}"/>
    <cellStyle name="Calculation 2 7 9" xfId="3618" xr:uid="{2F8D3E4C-ABE3-46E1-AA19-307B008FD6B3}"/>
    <cellStyle name="Calculation 2 8" xfId="3619" xr:uid="{BE6007C5-1368-49BD-8A38-5FC88F124657}"/>
    <cellStyle name="Calculation 2 8 10" xfId="3620" xr:uid="{8E451DF6-54EC-49F3-8797-2CBACD304BCC}"/>
    <cellStyle name="Calculation 2 8 11" xfId="3621" xr:uid="{122CB471-9617-4186-A610-463D3270E78D}"/>
    <cellStyle name="Calculation 2 8 12" xfId="3622" xr:uid="{82D9C5DF-28DB-4DAC-826B-8772C0A2015A}"/>
    <cellStyle name="Calculation 2 8 13" xfId="3623" xr:uid="{FE2A9AD1-989B-41F6-AAE3-6EC31482BF3B}"/>
    <cellStyle name="Calculation 2 8 14" xfId="3624" xr:uid="{D9A701FA-86DB-4328-A277-35B040DF3529}"/>
    <cellStyle name="Calculation 2 8 15" xfId="3625" xr:uid="{AC397CA3-D225-4A32-926E-AA4758ABC1E3}"/>
    <cellStyle name="Calculation 2 8 16" xfId="3626" xr:uid="{9D2F054D-054F-4730-B8C5-F9C15E55FFF1}"/>
    <cellStyle name="Calculation 2 8 17" xfId="3627" xr:uid="{80B3390F-48F7-4581-BAAB-FD893E4960CF}"/>
    <cellStyle name="Calculation 2 8 18" xfId="3628" xr:uid="{F12381BE-661B-4840-8CBF-0550D0119EFE}"/>
    <cellStyle name="Calculation 2 8 18 2" xfId="3629" xr:uid="{03CC63B5-4DEF-4E75-BE13-3BFCAB6DA448}"/>
    <cellStyle name="Calculation 2 8 19" xfId="3630" xr:uid="{BB36EFDA-4E41-409E-8D76-56B2C55AC85D}"/>
    <cellStyle name="Calculation 2 8 2" xfId="3631" xr:uid="{344C665B-B3B9-4828-B89D-4C64D8A9A954}"/>
    <cellStyle name="Calculation 2 8 3" xfId="3632" xr:uid="{FD6DF550-1D3A-4376-A5F7-D1CDB34A4B4A}"/>
    <cellStyle name="Calculation 2 8 4" xfId="3633" xr:uid="{B55D3191-1EB8-4961-B547-6AF6E39ED9A2}"/>
    <cellStyle name="Calculation 2 8 5" xfId="3634" xr:uid="{6AF8E286-01C3-446D-89E5-D19508253CE8}"/>
    <cellStyle name="Calculation 2 8 6" xfId="3635" xr:uid="{920AFAA8-9556-4488-886A-EE411A5E7403}"/>
    <cellStyle name="Calculation 2 8 7" xfId="3636" xr:uid="{85352CA8-4061-4E39-BDD6-D1BC6A2D5E1A}"/>
    <cellStyle name="Calculation 2 8 8" xfId="3637" xr:uid="{2CFF683B-B2F8-47EC-A9D1-95A3B0D7ACEB}"/>
    <cellStyle name="Calculation 2 8 9" xfId="3638" xr:uid="{1CB8EE9C-D700-4724-9301-FCA4DF58C1A2}"/>
    <cellStyle name="Calculation 2 9" xfId="3639" xr:uid="{9D720CCC-840A-421A-8218-91743B2F5123}"/>
    <cellStyle name="Calculation 2_2013" xfId="3640" xr:uid="{70AFB9DF-5319-4E75-8C73-1BD8184E76D7}"/>
    <cellStyle name="Calculation 3" xfId="3641" xr:uid="{046D629D-6C8E-4E53-BF28-C682649294EF}"/>
    <cellStyle name="Calculation 3 10" xfId="3642" xr:uid="{4CB4278D-B768-48F1-A2CB-0B6C546CE118}"/>
    <cellStyle name="Calculation 3 11" xfId="3643" xr:uid="{BE88718B-FF7A-4D8B-B39A-8CD738399C3E}"/>
    <cellStyle name="Calculation 3 12" xfId="3644" xr:uid="{C2BA5C9F-538B-4AB5-A34F-DBC121336A3B}"/>
    <cellStyle name="Calculation 3 13" xfId="3645" xr:uid="{86128FDC-88E4-48F4-93FA-8A16536E4BDE}"/>
    <cellStyle name="Calculation 3 14" xfId="3646" xr:uid="{8977C8E8-A90B-4878-9516-14ADE015792B}"/>
    <cellStyle name="Calculation 3 15" xfId="3647" xr:uid="{9706B520-0A00-4618-B6B4-FBFF212FAA37}"/>
    <cellStyle name="Calculation 3 16" xfId="3648" xr:uid="{65BE28E0-2039-4CCB-92B7-D8101DAC3E49}"/>
    <cellStyle name="Calculation 3 17" xfId="3649" xr:uid="{FAD96557-B289-4D45-9C92-ADAD32E2E731}"/>
    <cellStyle name="Calculation 3 18" xfId="3650" xr:uid="{5052CD11-76D8-4A20-BF02-D359629091D8}"/>
    <cellStyle name="Calculation 3 19" xfId="3651" xr:uid="{4EFF4681-A18C-44FC-86F0-FDA9CEEA5050}"/>
    <cellStyle name="Calculation 3 2" xfId="3652" xr:uid="{18F3700E-4AC6-4754-8570-CE8E65B85E21}"/>
    <cellStyle name="Calculation 3 2 10" xfId="3653" xr:uid="{4227AFDD-EB63-4215-824F-3EB1FB98973F}"/>
    <cellStyle name="Calculation 3 2 11" xfId="3654" xr:uid="{069AB7D3-C0EB-440D-B416-B0DFFDEF5751}"/>
    <cellStyle name="Calculation 3 2 12" xfId="3655" xr:uid="{DA7AF6A6-FBF3-435B-8E1A-F688A65E8C7D}"/>
    <cellStyle name="Calculation 3 2 13" xfId="3656" xr:uid="{DA4B3853-FBF3-464C-8428-9AF09E5C496E}"/>
    <cellStyle name="Calculation 3 2 14" xfId="3657" xr:uid="{10AF0C29-A17A-4081-A47E-5799D7855D85}"/>
    <cellStyle name="Calculation 3 2 15" xfId="3658" xr:uid="{7B7FBD7B-7CC0-4558-AA49-29F9AA3FB4DC}"/>
    <cellStyle name="Calculation 3 2 16" xfId="3659" xr:uid="{C0489CA1-5005-4CE3-A03D-3C2A00A0E67D}"/>
    <cellStyle name="Calculation 3 2 17" xfId="3660" xr:uid="{2B27CF45-67BF-46E1-8E18-BAB5DC0A4B44}"/>
    <cellStyle name="Calculation 3 2 18" xfId="3661" xr:uid="{D5B3116E-3E73-47F6-937B-6096B8C10B3D}"/>
    <cellStyle name="Calculation 3 2 19" xfId="3662" xr:uid="{8074A4F4-57A5-47E7-B6CB-9ACC09C1439E}"/>
    <cellStyle name="Calculation 3 2 2" xfId="3663" xr:uid="{D416DF3A-466C-4797-8A3D-5382208C4F13}"/>
    <cellStyle name="Calculation 3 2 2 10" xfId="3664" xr:uid="{A3DB0D1C-3FA9-4435-B8C5-7F357158CB59}"/>
    <cellStyle name="Calculation 3 2 2 11" xfId="3665" xr:uid="{51508FEF-FA85-4A7F-ABAE-5D15762EF55F}"/>
    <cellStyle name="Calculation 3 2 2 12" xfId="3666" xr:uid="{FC6895F3-E532-4647-A944-69B2E1DB2D5B}"/>
    <cellStyle name="Calculation 3 2 2 13" xfId="3667" xr:uid="{24B8C788-55ED-4BB3-AAB7-59852DFB6F9E}"/>
    <cellStyle name="Calculation 3 2 2 14" xfId="3668" xr:uid="{AEACE120-B198-4869-ACCD-9345CB0D784E}"/>
    <cellStyle name="Calculation 3 2 2 15" xfId="3669" xr:uid="{B26F9BBA-784C-46CE-A1C9-3A5A0B64729A}"/>
    <cellStyle name="Calculation 3 2 2 16" xfId="3670" xr:uid="{97EAC347-9581-4E06-A66C-78BB7F45D383}"/>
    <cellStyle name="Calculation 3 2 2 17" xfId="3671" xr:uid="{2EB78ADD-DFA4-4FB4-8962-8E1621F11130}"/>
    <cellStyle name="Calculation 3 2 2 18" xfId="3672" xr:uid="{EE6B443B-847B-494A-A8F1-DFCA45584381}"/>
    <cellStyle name="Calculation 3 2 2 19" xfId="3673" xr:uid="{E8597381-D45E-4189-8521-14D2989FBAD7}"/>
    <cellStyle name="Calculation 3 2 2 19 2" xfId="3674" xr:uid="{5F460B56-D0D6-43A9-BD91-E2FFB43F65A9}"/>
    <cellStyle name="Calculation 3 2 2 2" xfId="3675" xr:uid="{1C0A0FD9-213F-4708-91D1-2E06E7AEFE12}"/>
    <cellStyle name="Calculation 3 2 2 2 10" xfId="3676" xr:uid="{FD288528-2D52-4492-8080-0A08E5DA1C1F}"/>
    <cellStyle name="Calculation 3 2 2 2 11" xfId="3677" xr:uid="{2A348423-C069-43EB-90B6-A869BAF144B7}"/>
    <cellStyle name="Calculation 3 2 2 2 12" xfId="3678" xr:uid="{9ADF54F1-604B-44A7-9B9E-CF8438DBAD4F}"/>
    <cellStyle name="Calculation 3 2 2 2 13" xfId="3679" xr:uid="{EA585CAE-F9ED-458A-ADFA-053AD00F88E6}"/>
    <cellStyle name="Calculation 3 2 2 2 14" xfId="3680" xr:uid="{850682A3-96F8-416D-9384-6B32A3798222}"/>
    <cellStyle name="Calculation 3 2 2 2 15" xfId="3681" xr:uid="{97B57994-D11C-4941-A753-F8425C546672}"/>
    <cellStyle name="Calculation 3 2 2 2 16" xfId="3682" xr:uid="{E2B7C55B-0D4C-454A-A7D4-1DC4730F94BC}"/>
    <cellStyle name="Calculation 3 2 2 2 17" xfId="3683" xr:uid="{940F00B4-79A9-4EFE-9435-6F78DA849C22}"/>
    <cellStyle name="Calculation 3 2 2 2 18" xfId="3684" xr:uid="{2D67B794-599C-4BB0-9CEC-52B7F81351E4}"/>
    <cellStyle name="Calculation 3 2 2 2 18 2" xfId="3685" xr:uid="{9BC13983-C320-417C-9129-86302EA0A21A}"/>
    <cellStyle name="Calculation 3 2 2 2 19" xfId="3686" xr:uid="{EE897621-4B5B-4A74-A4E4-D242BDCE8B72}"/>
    <cellStyle name="Calculation 3 2 2 2 2" xfId="3687" xr:uid="{0A4FBD3F-4CAF-49B6-8302-892B39E6A440}"/>
    <cellStyle name="Calculation 3 2 2 2 3" xfId="3688" xr:uid="{6238E445-62B7-4CAA-BB60-1316407F38C5}"/>
    <cellStyle name="Calculation 3 2 2 2 4" xfId="3689" xr:uid="{6FF16F8C-40C2-4EE2-BD7F-EC55510AB3CB}"/>
    <cellStyle name="Calculation 3 2 2 2 5" xfId="3690" xr:uid="{428F8630-D230-4829-8DE1-314555BF3AF2}"/>
    <cellStyle name="Calculation 3 2 2 2 6" xfId="3691" xr:uid="{26199F56-23F1-4B9D-85AF-601BC0155C3E}"/>
    <cellStyle name="Calculation 3 2 2 2 7" xfId="3692" xr:uid="{0A28E506-633F-4FF9-BF0B-7D694FE50321}"/>
    <cellStyle name="Calculation 3 2 2 2 8" xfId="3693" xr:uid="{D375C077-F44A-4662-A001-157617F06BC6}"/>
    <cellStyle name="Calculation 3 2 2 2 9" xfId="3694" xr:uid="{3469A8CC-9DA1-4D43-B26F-045BCA9913AD}"/>
    <cellStyle name="Calculation 3 2 2 20" xfId="3695" xr:uid="{1A2F5E00-8ED7-4264-85FD-F60AFAFB1F78}"/>
    <cellStyle name="Calculation 3 2 2 3" xfId="3696" xr:uid="{F5D91D0C-959B-41AD-8386-80A0C7166502}"/>
    <cellStyle name="Calculation 3 2 2 4" xfId="3697" xr:uid="{308D9635-FF2C-408D-8389-1A80603BDFCE}"/>
    <cellStyle name="Calculation 3 2 2 5" xfId="3698" xr:uid="{C4DB9378-40C0-44C0-9C57-FFB4B176C459}"/>
    <cellStyle name="Calculation 3 2 2 6" xfId="3699" xr:uid="{4090C125-F300-47BD-A8B7-E1605A196EAF}"/>
    <cellStyle name="Calculation 3 2 2 7" xfId="3700" xr:uid="{ACF532C3-3409-49C9-8471-BB593729DDC5}"/>
    <cellStyle name="Calculation 3 2 2 8" xfId="3701" xr:uid="{C0595E69-F206-47FA-ADAA-B04225978402}"/>
    <cellStyle name="Calculation 3 2 2 9" xfId="3702" xr:uid="{534951F5-0BE8-4EA0-B4FF-2BF20DDD8B76}"/>
    <cellStyle name="Calculation 3 2 20" xfId="3703" xr:uid="{9E09E0AA-38C6-4B24-B223-0308994F1013}"/>
    <cellStyle name="Calculation 3 2 21" xfId="3704" xr:uid="{6B92A8EC-178D-455A-B9BA-D6F6906C0925}"/>
    <cellStyle name="Calculation 3 2 21 2" xfId="3705" xr:uid="{54527E2A-7869-42AF-B9FB-AF05FB228C8C}"/>
    <cellStyle name="Calculation 3 2 22" xfId="3706" xr:uid="{3953F75E-C7F5-428A-A407-F73FD1BBF40A}"/>
    <cellStyle name="Calculation 3 2 3" xfId="3707" xr:uid="{14048795-751A-4F04-B4A1-52E29ECAFB1D}"/>
    <cellStyle name="Calculation 3 2 3 10" xfId="3708" xr:uid="{3BBD2E90-7E9D-4A3C-8966-C76E65A2E6F7}"/>
    <cellStyle name="Calculation 3 2 3 11" xfId="3709" xr:uid="{B74A1AE5-13ED-49A8-B9FB-8B8F60D667E9}"/>
    <cellStyle name="Calculation 3 2 3 12" xfId="3710" xr:uid="{AE3FA1F5-EA36-4080-B10F-D990368A1913}"/>
    <cellStyle name="Calculation 3 2 3 13" xfId="3711" xr:uid="{7563964D-CDF1-439B-8AD9-FAD1DE6ECC9A}"/>
    <cellStyle name="Calculation 3 2 3 14" xfId="3712" xr:uid="{5D7D5398-36B0-4D60-A493-AF193326C649}"/>
    <cellStyle name="Calculation 3 2 3 15" xfId="3713" xr:uid="{9A0992BF-C9E1-4D6A-A8F2-3C30F4964285}"/>
    <cellStyle name="Calculation 3 2 3 16" xfId="3714" xr:uid="{180F5610-62DD-4E25-A654-7367CE4599DD}"/>
    <cellStyle name="Calculation 3 2 3 17" xfId="3715" xr:uid="{CB3F6649-A307-4D39-A80D-D69218D9A1E2}"/>
    <cellStyle name="Calculation 3 2 3 18" xfId="3716" xr:uid="{7F925E3B-F241-43B1-ADC1-8AB864644A83}"/>
    <cellStyle name="Calculation 3 2 3 19" xfId="3717" xr:uid="{5D68F79B-36F7-43A9-BEFF-EAB73D264144}"/>
    <cellStyle name="Calculation 3 2 3 19 2" xfId="3718" xr:uid="{98E2B50D-947E-47A9-9085-AEF2C55453C2}"/>
    <cellStyle name="Calculation 3 2 3 2" xfId="3719" xr:uid="{58548770-0B84-4C22-8275-EE1EB4C19113}"/>
    <cellStyle name="Calculation 3 2 3 2 10" xfId="3720" xr:uid="{6D1CC8DD-AB52-4B69-BC8A-F8FF3CC03402}"/>
    <cellStyle name="Calculation 3 2 3 2 11" xfId="3721" xr:uid="{4D7497FE-9403-4944-8829-AEA24B8C84BB}"/>
    <cellStyle name="Calculation 3 2 3 2 12" xfId="3722" xr:uid="{3A484265-C46D-4DA0-B291-3131120A5953}"/>
    <cellStyle name="Calculation 3 2 3 2 13" xfId="3723" xr:uid="{1886C0C9-FB9F-44D1-99BD-07BD6788267C}"/>
    <cellStyle name="Calculation 3 2 3 2 14" xfId="3724" xr:uid="{6711A43F-B022-4BB3-BB98-5BEE66D4EB97}"/>
    <cellStyle name="Calculation 3 2 3 2 15" xfId="3725" xr:uid="{BAF1B71B-5E9F-4350-B569-F9FEBFEB40D4}"/>
    <cellStyle name="Calculation 3 2 3 2 16" xfId="3726" xr:uid="{27EFB7CF-65E3-4044-A843-4E5F5DB495B5}"/>
    <cellStyle name="Calculation 3 2 3 2 17" xfId="3727" xr:uid="{002A9FC5-B58A-4FEA-931F-661C936B6135}"/>
    <cellStyle name="Calculation 3 2 3 2 18" xfId="3728" xr:uid="{888EC6D0-25C0-4E13-BF4B-209DEDAEDA8D}"/>
    <cellStyle name="Calculation 3 2 3 2 18 2" xfId="3729" xr:uid="{24147B84-A07A-4D4A-88B2-043CE90B6865}"/>
    <cellStyle name="Calculation 3 2 3 2 19" xfId="3730" xr:uid="{687F449D-37C9-470F-AFE0-4926D3E9D1D6}"/>
    <cellStyle name="Calculation 3 2 3 2 2" xfId="3731" xr:uid="{AD51C26E-45EB-49A0-9819-4926706B2C61}"/>
    <cellStyle name="Calculation 3 2 3 2 3" xfId="3732" xr:uid="{AD44808D-AF2C-485F-AE7A-9E164DAD0D2A}"/>
    <cellStyle name="Calculation 3 2 3 2 4" xfId="3733" xr:uid="{01601F4F-3A5E-43ED-9524-EE75E807DCF4}"/>
    <cellStyle name="Calculation 3 2 3 2 5" xfId="3734" xr:uid="{C9D3EFC3-E375-468B-8DC7-71CEC50B5A5D}"/>
    <cellStyle name="Calculation 3 2 3 2 6" xfId="3735" xr:uid="{15B1A838-3A5E-4D3B-821C-2750DBBC39F5}"/>
    <cellStyle name="Calculation 3 2 3 2 7" xfId="3736" xr:uid="{67B287FC-9B52-41D5-B124-87A7F77DC46D}"/>
    <cellStyle name="Calculation 3 2 3 2 8" xfId="3737" xr:uid="{735CA6FD-27B9-46F2-A108-E1468B5BE839}"/>
    <cellStyle name="Calculation 3 2 3 2 9" xfId="3738" xr:uid="{9748F448-6CB9-4BED-830C-2A9C49326174}"/>
    <cellStyle name="Calculation 3 2 3 20" xfId="3739" xr:uid="{59426603-E052-4029-ABC1-7AAB9FE77134}"/>
    <cellStyle name="Calculation 3 2 3 3" xfId="3740" xr:uid="{6066A898-DB30-4339-BE69-51E9071A3D29}"/>
    <cellStyle name="Calculation 3 2 3 4" xfId="3741" xr:uid="{F4A8DD29-A5FB-4268-A33A-597439D36C63}"/>
    <cellStyle name="Calculation 3 2 3 5" xfId="3742" xr:uid="{A95C77CF-383A-44A9-B9F5-E386B7420ECE}"/>
    <cellStyle name="Calculation 3 2 3 6" xfId="3743" xr:uid="{BCCEC10B-92CB-4324-8A2C-B3E0911DEECE}"/>
    <cellStyle name="Calculation 3 2 3 7" xfId="3744" xr:uid="{C3182962-9180-4EF6-AFDF-46D790BECF30}"/>
    <cellStyle name="Calculation 3 2 3 8" xfId="3745" xr:uid="{6C00F833-559B-4058-810D-8F73CF0E1247}"/>
    <cellStyle name="Calculation 3 2 3 9" xfId="3746" xr:uid="{7086630D-A550-4D74-8FEF-BA677EC8D350}"/>
    <cellStyle name="Calculation 3 2 4" xfId="3747" xr:uid="{55744E23-B075-4A92-97DE-B75645B1A17C}"/>
    <cellStyle name="Calculation 3 2 4 10" xfId="3748" xr:uid="{BE8C4B57-32EF-4573-94FF-88ABB0C90CDE}"/>
    <cellStyle name="Calculation 3 2 4 11" xfId="3749" xr:uid="{81C08B5D-A282-420B-97AA-BA30A40B5556}"/>
    <cellStyle name="Calculation 3 2 4 12" xfId="3750" xr:uid="{315B00D2-19D8-456A-81B3-3AE7ADBC31B1}"/>
    <cellStyle name="Calculation 3 2 4 13" xfId="3751" xr:uid="{007A1624-E417-4FA4-BA78-9CEC5FD4FAA4}"/>
    <cellStyle name="Calculation 3 2 4 14" xfId="3752" xr:uid="{4A133683-340B-4E53-A4A3-C10EBF28896F}"/>
    <cellStyle name="Calculation 3 2 4 15" xfId="3753" xr:uid="{6CEEB1AA-6683-470F-9CC8-394AAEA39005}"/>
    <cellStyle name="Calculation 3 2 4 16" xfId="3754" xr:uid="{9CFDF815-9485-470F-ACE1-A474E17C49FF}"/>
    <cellStyle name="Calculation 3 2 4 17" xfId="3755" xr:uid="{09E40C53-7ED4-4CA0-B4F2-1AA3524D758C}"/>
    <cellStyle name="Calculation 3 2 4 18" xfId="3756" xr:uid="{1F30FCAA-0F83-4A95-B84D-16EF5690E39B}"/>
    <cellStyle name="Calculation 3 2 4 18 2" xfId="3757" xr:uid="{7811BC92-2121-4D15-A330-3D8EE306E692}"/>
    <cellStyle name="Calculation 3 2 4 19" xfId="3758" xr:uid="{30F53B31-C5DB-43F4-886C-715D218041C2}"/>
    <cellStyle name="Calculation 3 2 4 2" xfId="3759" xr:uid="{6428046D-B483-4C61-87F7-EF29A7C299D8}"/>
    <cellStyle name="Calculation 3 2 4 3" xfId="3760" xr:uid="{5B9A67A4-CD9B-47A1-9F4D-3BA46EB6427D}"/>
    <cellStyle name="Calculation 3 2 4 4" xfId="3761" xr:uid="{473FE497-DE95-4925-8322-50E14FA6DA3C}"/>
    <cellStyle name="Calculation 3 2 4 5" xfId="3762" xr:uid="{61C30F99-F68E-46AD-B273-4A001291E1C0}"/>
    <cellStyle name="Calculation 3 2 4 6" xfId="3763" xr:uid="{3362F2DE-FBE6-4F01-999F-0D95EC8A6CF2}"/>
    <cellStyle name="Calculation 3 2 4 7" xfId="3764" xr:uid="{366DEEAD-0CE0-4F63-88D1-99EE142F16C5}"/>
    <cellStyle name="Calculation 3 2 4 8" xfId="3765" xr:uid="{4460F964-18A2-447E-8D12-225545AED72E}"/>
    <cellStyle name="Calculation 3 2 4 9" xfId="3766" xr:uid="{AFA67BF7-2D3B-4AF0-BD65-C1CFFE02D2A7}"/>
    <cellStyle name="Calculation 3 2 5" xfId="3767" xr:uid="{725B4818-492B-4F1B-8BEC-5626766EB5F5}"/>
    <cellStyle name="Calculation 3 2 6" xfId="3768" xr:uid="{32B7CE47-A6FF-4897-AA36-44E297CCE1D1}"/>
    <cellStyle name="Calculation 3 2 7" xfId="3769" xr:uid="{D380D52E-6671-4CA1-AE2F-28031F6D5FB8}"/>
    <cellStyle name="Calculation 3 2 8" xfId="3770" xr:uid="{70B1F9DA-9417-4C73-8E45-C4E1B7A8F8A8}"/>
    <cellStyle name="Calculation 3 2 9" xfId="3771" xr:uid="{B4458297-CD58-4E09-A745-DE3E11676D90}"/>
    <cellStyle name="Calculation 3 20" xfId="3772" xr:uid="{121D3F95-6A81-4B5E-AC01-3DB1C7237FA5}"/>
    <cellStyle name="Calculation 3 21" xfId="3773" xr:uid="{C83EEAFC-0F29-4F83-AC42-1DAB825C3C10}"/>
    <cellStyle name="Calculation 3 22" xfId="3774" xr:uid="{C09ADC4C-4AA4-4E46-9DC2-1A13C2632E8E}"/>
    <cellStyle name="Calculation 3 23" xfId="3775" xr:uid="{50B8095A-44C9-4CDD-86FE-520F8E68EA67}"/>
    <cellStyle name="Calculation 3 23 2" xfId="3776" xr:uid="{E442AB93-FE7C-411F-A127-15CEA87A4E64}"/>
    <cellStyle name="Calculation 3 24" xfId="3777" xr:uid="{19D3D709-79FE-4C4F-8AB6-76B4D593CB56}"/>
    <cellStyle name="Calculation 3 25" xfId="3778" xr:uid="{1F416ABC-B018-4261-8A81-A539B0305E0B}"/>
    <cellStyle name="Calculation 3 3" xfId="3779" xr:uid="{3DD6129A-7CDA-4BDD-B460-BA68C4614D52}"/>
    <cellStyle name="Calculation 3 3 10" xfId="3780" xr:uid="{FACCA71C-E883-4FD7-A2BA-0B3299014A88}"/>
    <cellStyle name="Calculation 3 3 11" xfId="3781" xr:uid="{6E019919-5BC6-4474-9085-E59EE4590F38}"/>
    <cellStyle name="Calculation 3 3 12" xfId="3782" xr:uid="{2BCAFE8D-6223-489D-BE0C-1884724E577D}"/>
    <cellStyle name="Calculation 3 3 13" xfId="3783" xr:uid="{5B20888C-EDEE-41E4-9634-3C07BEDECEFD}"/>
    <cellStyle name="Calculation 3 3 14" xfId="3784" xr:uid="{67FBB32B-7519-4D36-B287-6F291ECBA52C}"/>
    <cellStyle name="Calculation 3 3 15" xfId="3785" xr:uid="{2C42346B-B3F6-4982-8493-3B7D4EB7B052}"/>
    <cellStyle name="Calculation 3 3 16" xfId="3786" xr:uid="{59993D89-5DC6-46DB-8124-1260403A1816}"/>
    <cellStyle name="Calculation 3 3 17" xfId="3787" xr:uid="{F15B78CF-A1B1-486B-A86D-E5F824191808}"/>
    <cellStyle name="Calculation 3 3 18" xfId="3788" xr:uid="{3A498F8D-B47D-45D9-8004-C7291B491701}"/>
    <cellStyle name="Calculation 3 3 19" xfId="3789" xr:uid="{08FE5599-1D76-46A8-B33A-D4CCFBADCD99}"/>
    <cellStyle name="Calculation 3 3 2" xfId="3790" xr:uid="{2DB0FD4F-FB29-441F-BAB4-9EF400B6095E}"/>
    <cellStyle name="Calculation 3 3 2 10" xfId="3791" xr:uid="{861EFB20-6AA3-4A49-AB90-E7A0C10C1BFC}"/>
    <cellStyle name="Calculation 3 3 2 11" xfId="3792" xr:uid="{DBD99E90-9468-453C-829B-EA6CCE0BEF99}"/>
    <cellStyle name="Calculation 3 3 2 12" xfId="3793" xr:uid="{8F58722B-D344-439A-8F30-A6100A7D32B8}"/>
    <cellStyle name="Calculation 3 3 2 13" xfId="3794" xr:uid="{A0C346E9-F553-47B4-9F9F-639C262EE32A}"/>
    <cellStyle name="Calculation 3 3 2 14" xfId="3795" xr:uid="{6555D466-4A8D-43C8-8855-4C9A8C559826}"/>
    <cellStyle name="Calculation 3 3 2 15" xfId="3796" xr:uid="{4E98F2AB-0EE7-4B5D-ABB0-E423DE72CB4E}"/>
    <cellStyle name="Calculation 3 3 2 16" xfId="3797" xr:uid="{E253EFF8-7AAB-4AD8-BCA4-BAD8F57F867A}"/>
    <cellStyle name="Calculation 3 3 2 17" xfId="3798" xr:uid="{50B60FA7-B83A-4A64-9DC8-0FBEB8351082}"/>
    <cellStyle name="Calculation 3 3 2 18" xfId="3799" xr:uid="{BBAA77DE-9BA8-4AB3-92D3-8FE90866D944}"/>
    <cellStyle name="Calculation 3 3 2 19" xfId="3800" xr:uid="{31BB832E-C581-4C99-A1B2-D48B4598FFCA}"/>
    <cellStyle name="Calculation 3 3 2 19 2" xfId="3801" xr:uid="{1D486392-A3F9-428A-8621-EBC9B57EB38B}"/>
    <cellStyle name="Calculation 3 3 2 2" xfId="3802" xr:uid="{A3692594-266A-45B3-B0CE-6F56F84407C6}"/>
    <cellStyle name="Calculation 3 3 2 2 10" xfId="3803" xr:uid="{30DE0905-EF6A-49EB-A454-47B13817E1C7}"/>
    <cellStyle name="Calculation 3 3 2 2 11" xfId="3804" xr:uid="{457001F9-4AFD-4BE6-AD56-EEA00D289E75}"/>
    <cellStyle name="Calculation 3 3 2 2 12" xfId="3805" xr:uid="{471C5DB1-32D4-471C-B0A4-559C73F75ABC}"/>
    <cellStyle name="Calculation 3 3 2 2 13" xfId="3806" xr:uid="{5FB1EFD7-5664-4BF9-A714-784F25C72D9D}"/>
    <cellStyle name="Calculation 3 3 2 2 14" xfId="3807" xr:uid="{8B231B5B-CA80-4427-A5EE-0329F852813E}"/>
    <cellStyle name="Calculation 3 3 2 2 15" xfId="3808" xr:uid="{3CF3428C-C1DB-44D5-AF08-1213C158EEFC}"/>
    <cellStyle name="Calculation 3 3 2 2 16" xfId="3809" xr:uid="{ECDFD3FF-7155-421E-9C9A-534660EF037A}"/>
    <cellStyle name="Calculation 3 3 2 2 17" xfId="3810" xr:uid="{43E5CB8E-AFF4-4BA0-BD72-C1468C9DFF7E}"/>
    <cellStyle name="Calculation 3 3 2 2 18" xfId="3811" xr:uid="{6980FC26-2A4B-41C8-819D-306F7602682A}"/>
    <cellStyle name="Calculation 3 3 2 2 18 2" xfId="3812" xr:uid="{2DFDB5C8-F164-4926-8757-A6EDC9EC95DA}"/>
    <cellStyle name="Calculation 3 3 2 2 19" xfId="3813" xr:uid="{2C106DF5-2DCD-4ADC-A197-DB695A8967D4}"/>
    <cellStyle name="Calculation 3 3 2 2 2" xfId="3814" xr:uid="{030F4864-65A5-47EA-8024-1B0002289F61}"/>
    <cellStyle name="Calculation 3 3 2 2 3" xfId="3815" xr:uid="{5C413380-69EC-4B02-8879-BB16C1D3AE0C}"/>
    <cellStyle name="Calculation 3 3 2 2 4" xfId="3816" xr:uid="{3B3530F0-E789-480C-B832-C3D2F8F423C5}"/>
    <cellStyle name="Calculation 3 3 2 2 5" xfId="3817" xr:uid="{1739E73F-E4D4-4493-8848-57089DCAA939}"/>
    <cellStyle name="Calculation 3 3 2 2 6" xfId="3818" xr:uid="{C34F768C-9681-4AF1-B1AF-E5B944F6C017}"/>
    <cellStyle name="Calculation 3 3 2 2 7" xfId="3819" xr:uid="{9BFAA233-8B52-4B5E-BA4E-EA6679E58103}"/>
    <cellStyle name="Calculation 3 3 2 2 8" xfId="3820" xr:uid="{0F459DBD-1854-4133-A142-3AFADB2DA565}"/>
    <cellStyle name="Calculation 3 3 2 2 9" xfId="3821" xr:uid="{E9CAD473-6BB6-4CFD-A6EB-424DCE85C508}"/>
    <cellStyle name="Calculation 3 3 2 20" xfId="3822" xr:uid="{1E5744D7-E49C-4998-A227-4AE583FCD76D}"/>
    <cellStyle name="Calculation 3 3 2 3" xfId="3823" xr:uid="{5F1C7869-C998-450D-9CA1-A3ACBE01CF08}"/>
    <cellStyle name="Calculation 3 3 2 4" xfId="3824" xr:uid="{192BAE5E-C68E-4642-A0C4-003D571EE0E6}"/>
    <cellStyle name="Calculation 3 3 2 5" xfId="3825" xr:uid="{B16AF692-69BA-4CCD-8BC0-AE048376CA4D}"/>
    <cellStyle name="Calculation 3 3 2 6" xfId="3826" xr:uid="{9D2C19A1-E64C-471F-AEA9-24C70919D6DB}"/>
    <cellStyle name="Calculation 3 3 2 7" xfId="3827" xr:uid="{6F0B17E5-6AE1-46BA-A404-A1B19F3F762A}"/>
    <cellStyle name="Calculation 3 3 2 8" xfId="3828" xr:uid="{4EFF6A62-042F-479C-9EB9-35FCDD797BCE}"/>
    <cellStyle name="Calculation 3 3 2 9" xfId="3829" xr:uid="{1E513C5B-FDB1-4AC3-B9C4-82DB002F4AF9}"/>
    <cellStyle name="Calculation 3 3 20" xfId="3830" xr:uid="{B5A8EFD4-1EF4-461B-B616-B609F4007513}"/>
    <cellStyle name="Calculation 3 3 21" xfId="3831" xr:uid="{193E1AEF-E310-4393-84D7-B6F44DD030E1}"/>
    <cellStyle name="Calculation 3 3 21 2" xfId="3832" xr:uid="{1AF78ED0-EDC9-4BC8-BB63-94A8467EF7C8}"/>
    <cellStyle name="Calculation 3 3 22" xfId="3833" xr:uid="{006A94E1-07FE-4E7C-8154-3D7FD33B7F4B}"/>
    <cellStyle name="Calculation 3 3 3" xfId="3834" xr:uid="{B112A0C7-D4FB-4895-AB13-AF303EB8080D}"/>
    <cellStyle name="Calculation 3 3 3 10" xfId="3835" xr:uid="{C67F9BA8-2C9B-4A80-9FE0-A37BBB96010B}"/>
    <cellStyle name="Calculation 3 3 3 11" xfId="3836" xr:uid="{AC0E585A-6F29-40DA-8599-B9898B828517}"/>
    <cellStyle name="Calculation 3 3 3 12" xfId="3837" xr:uid="{3A901797-EC36-4A93-9DC7-F66F044350E0}"/>
    <cellStyle name="Calculation 3 3 3 13" xfId="3838" xr:uid="{4598C196-4B81-4D1C-B80B-6B9786F60853}"/>
    <cellStyle name="Calculation 3 3 3 14" xfId="3839" xr:uid="{60D13CBB-2C09-4FB7-90B8-20875C61A0AE}"/>
    <cellStyle name="Calculation 3 3 3 15" xfId="3840" xr:uid="{78163BB9-32EB-4AD2-A120-791C6ABCE119}"/>
    <cellStyle name="Calculation 3 3 3 16" xfId="3841" xr:uid="{42EB220F-0CA4-45EE-BFBB-F547A45F3443}"/>
    <cellStyle name="Calculation 3 3 3 17" xfId="3842" xr:uid="{3B8B0CEC-2FBB-4160-B6B1-ED660BC7D52F}"/>
    <cellStyle name="Calculation 3 3 3 18" xfId="3843" xr:uid="{DF45CD34-E6F6-4D08-BEAA-32BC90DCAE1A}"/>
    <cellStyle name="Calculation 3 3 3 19" xfId="3844" xr:uid="{A111CDD1-A22F-4F19-805B-F02482C36E34}"/>
    <cellStyle name="Calculation 3 3 3 19 2" xfId="3845" xr:uid="{8F0A6AD5-662E-4E27-8AEF-9C32DAA2AFA9}"/>
    <cellStyle name="Calculation 3 3 3 2" xfId="3846" xr:uid="{B50AEE43-D74C-41C1-9364-D914F41B6425}"/>
    <cellStyle name="Calculation 3 3 3 2 10" xfId="3847" xr:uid="{9CAA4F33-15EF-497E-83E6-1BE50EAB930C}"/>
    <cellStyle name="Calculation 3 3 3 2 11" xfId="3848" xr:uid="{D857CFB0-0BAA-4D37-B190-3CC78452E052}"/>
    <cellStyle name="Calculation 3 3 3 2 12" xfId="3849" xr:uid="{E84A614D-3C11-400F-8973-47F5E6F8341F}"/>
    <cellStyle name="Calculation 3 3 3 2 13" xfId="3850" xr:uid="{6FA5264B-C2A4-4F84-8B41-97BEB676EC34}"/>
    <cellStyle name="Calculation 3 3 3 2 14" xfId="3851" xr:uid="{8A4FAC0D-EC7C-4191-B6BF-B059DEE03891}"/>
    <cellStyle name="Calculation 3 3 3 2 15" xfId="3852" xr:uid="{C17374C5-A022-4522-96F2-88A1EC986ECF}"/>
    <cellStyle name="Calculation 3 3 3 2 16" xfId="3853" xr:uid="{0FDA764C-D37E-48A0-9F62-118E1FAD4A0C}"/>
    <cellStyle name="Calculation 3 3 3 2 17" xfId="3854" xr:uid="{3004D413-2029-4C61-A364-974E5FD153C0}"/>
    <cellStyle name="Calculation 3 3 3 2 18" xfId="3855" xr:uid="{D22347E7-B96A-4A79-8A8D-5EB316AEB51E}"/>
    <cellStyle name="Calculation 3 3 3 2 18 2" xfId="3856" xr:uid="{C10B57C4-800F-4EF3-A625-9555B29934ED}"/>
    <cellStyle name="Calculation 3 3 3 2 19" xfId="3857" xr:uid="{AA0B058F-EFC1-456C-A6CA-13A701B711C3}"/>
    <cellStyle name="Calculation 3 3 3 2 2" xfId="3858" xr:uid="{DC63E407-AF49-4FEF-BE83-D203C3C0734E}"/>
    <cellStyle name="Calculation 3 3 3 2 3" xfId="3859" xr:uid="{8F71D197-D255-486D-B904-CE1A8510E036}"/>
    <cellStyle name="Calculation 3 3 3 2 4" xfId="3860" xr:uid="{EB743F84-43DD-4479-B9CA-A1C677D433C4}"/>
    <cellStyle name="Calculation 3 3 3 2 5" xfId="3861" xr:uid="{5996D543-EDC2-4AF9-B953-D5B18E615EF6}"/>
    <cellStyle name="Calculation 3 3 3 2 6" xfId="3862" xr:uid="{332B1470-B5C5-4ABD-A497-7E3144C3B7E9}"/>
    <cellStyle name="Calculation 3 3 3 2 7" xfId="3863" xr:uid="{5C34C22D-433E-48FF-AF4C-6A706381B243}"/>
    <cellStyle name="Calculation 3 3 3 2 8" xfId="3864" xr:uid="{2650A2DB-B799-4394-A511-9A8DF2AAB432}"/>
    <cellStyle name="Calculation 3 3 3 2 9" xfId="3865" xr:uid="{45322C2F-4C27-455B-BECF-7A83F23F0C91}"/>
    <cellStyle name="Calculation 3 3 3 20" xfId="3866" xr:uid="{5C68215B-A396-4C74-B00B-F4228CF286F7}"/>
    <cellStyle name="Calculation 3 3 3 3" xfId="3867" xr:uid="{F4065ABC-E5EE-4158-8698-A67C4230AD67}"/>
    <cellStyle name="Calculation 3 3 3 4" xfId="3868" xr:uid="{FB46A306-342A-4FF1-B435-D18FFBBA85D3}"/>
    <cellStyle name="Calculation 3 3 3 5" xfId="3869" xr:uid="{CAF67960-0575-4D44-ABE4-667D491EA6BB}"/>
    <cellStyle name="Calculation 3 3 3 6" xfId="3870" xr:uid="{3FADF5E0-6EC0-4D17-B74D-D87B1B06B738}"/>
    <cellStyle name="Calculation 3 3 3 7" xfId="3871" xr:uid="{1E4B3879-3243-4339-94C2-4D702125A22F}"/>
    <cellStyle name="Calculation 3 3 3 8" xfId="3872" xr:uid="{BFD8B488-56C8-492F-BE43-AADAD0CACEA5}"/>
    <cellStyle name="Calculation 3 3 3 9" xfId="3873" xr:uid="{383110B0-AE61-43C9-9C9B-B0F9C0A43073}"/>
    <cellStyle name="Calculation 3 3 4" xfId="3874" xr:uid="{E67C4DC4-CA62-4F7F-8CF4-DD4656243F25}"/>
    <cellStyle name="Calculation 3 3 4 10" xfId="3875" xr:uid="{E100DA26-2E5E-4D1B-A92B-A1D52ACABA15}"/>
    <cellStyle name="Calculation 3 3 4 11" xfId="3876" xr:uid="{2E993C9C-595B-42B5-A64E-DCB5B71ABF82}"/>
    <cellStyle name="Calculation 3 3 4 12" xfId="3877" xr:uid="{9D754CD8-9B5D-4AF4-AC61-930D5CD41561}"/>
    <cellStyle name="Calculation 3 3 4 13" xfId="3878" xr:uid="{60C8268C-7323-4A18-9AD6-F7C8160E34CC}"/>
    <cellStyle name="Calculation 3 3 4 14" xfId="3879" xr:uid="{EEEC83FB-F2E9-4FF4-B717-4D4716FC15C8}"/>
    <cellStyle name="Calculation 3 3 4 15" xfId="3880" xr:uid="{0B8C5F79-A7BF-4CA4-9E30-C9B280D701D6}"/>
    <cellStyle name="Calculation 3 3 4 16" xfId="3881" xr:uid="{B156E0AF-E93C-4799-B6C8-142C747087B3}"/>
    <cellStyle name="Calculation 3 3 4 17" xfId="3882" xr:uid="{0FFCE8A7-9B4B-4EB1-B178-2721DD0E1F97}"/>
    <cellStyle name="Calculation 3 3 4 18" xfId="3883" xr:uid="{4334A175-E50C-4FD3-BEF1-15C91F30CE55}"/>
    <cellStyle name="Calculation 3 3 4 18 2" xfId="3884" xr:uid="{53A72462-AA50-46FC-B10C-82CE232D9B02}"/>
    <cellStyle name="Calculation 3 3 4 19" xfId="3885" xr:uid="{C4D9EC47-5D0A-40B1-9708-331D06EDA269}"/>
    <cellStyle name="Calculation 3 3 4 2" xfId="3886" xr:uid="{212D5B55-3763-4043-9450-C7DC6486978B}"/>
    <cellStyle name="Calculation 3 3 4 3" xfId="3887" xr:uid="{D534AFCD-19E2-40B4-9677-74C2EB52648B}"/>
    <cellStyle name="Calculation 3 3 4 4" xfId="3888" xr:uid="{72494513-FCB3-4E6C-8C36-C704DD213567}"/>
    <cellStyle name="Calculation 3 3 4 5" xfId="3889" xr:uid="{7C976BC6-EA47-491A-A408-81FB7DF4253D}"/>
    <cellStyle name="Calculation 3 3 4 6" xfId="3890" xr:uid="{E4213CE1-146D-4FFB-BE64-9A884FDD8E4B}"/>
    <cellStyle name="Calculation 3 3 4 7" xfId="3891" xr:uid="{7D5C482D-43E9-453C-8893-F5C6436387AF}"/>
    <cellStyle name="Calculation 3 3 4 8" xfId="3892" xr:uid="{A512F143-FD2B-4242-B461-63E39EA28DB8}"/>
    <cellStyle name="Calculation 3 3 4 9" xfId="3893" xr:uid="{FBCBBD2C-94D1-44D4-B3AF-DA9821E72220}"/>
    <cellStyle name="Calculation 3 3 5" xfId="3894" xr:uid="{74E49AD3-480F-4F6F-B3BA-45BFD4515320}"/>
    <cellStyle name="Calculation 3 3 6" xfId="3895" xr:uid="{0F4B6BDA-A377-4905-A1A2-14CFBFDACDDB}"/>
    <cellStyle name="Calculation 3 3 7" xfId="3896" xr:uid="{5AD9E642-9B55-4DFB-AA41-B0EFAEA24521}"/>
    <cellStyle name="Calculation 3 3 8" xfId="3897" xr:uid="{8409CEBE-EC7F-4EF8-ACCB-AF62FD50CCEC}"/>
    <cellStyle name="Calculation 3 3 9" xfId="3898" xr:uid="{4D853865-2100-43FA-9541-BC29D5E7E021}"/>
    <cellStyle name="Calculation 3 4" xfId="3899" xr:uid="{1590D19B-45CB-4B49-940F-0322B1D25E59}"/>
    <cellStyle name="Calculation 3 4 10" xfId="3900" xr:uid="{C179B9CC-02EA-48A6-B44B-3D3EF0DED787}"/>
    <cellStyle name="Calculation 3 4 11" xfId="3901" xr:uid="{31C1AA9F-179B-45E6-9283-186D61EA2797}"/>
    <cellStyle name="Calculation 3 4 12" xfId="3902" xr:uid="{607FB37C-9222-4022-AEAE-5B29091E4D1B}"/>
    <cellStyle name="Calculation 3 4 13" xfId="3903" xr:uid="{9BCA7B69-420B-4155-834C-B64F960BA43E}"/>
    <cellStyle name="Calculation 3 4 14" xfId="3904" xr:uid="{4A8BF53A-44C5-4CBB-862D-81DB1187802D}"/>
    <cellStyle name="Calculation 3 4 15" xfId="3905" xr:uid="{EEC85A86-54C5-435D-8800-7201308BA89F}"/>
    <cellStyle name="Calculation 3 4 16" xfId="3906" xr:uid="{8B652ED5-B386-4546-A2D7-10CA4BAA0388}"/>
    <cellStyle name="Calculation 3 4 17" xfId="3907" xr:uid="{DB5B683F-7467-42E5-B0E2-BCA22D59761F}"/>
    <cellStyle name="Calculation 3 4 18" xfId="3908" xr:uid="{21EEE6D7-A89A-4CED-A061-102A5EB7B7C0}"/>
    <cellStyle name="Calculation 3 4 19" xfId="3909" xr:uid="{592CF0C0-D760-48B2-8A99-1B242530B1B3}"/>
    <cellStyle name="Calculation 3 4 19 2" xfId="3910" xr:uid="{2F81FF0E-F0AC-4AF6-99E6-47D5B4915E29}"/>
    <cellStyle name="Calculation 3 4 2" xfId="3911" xr:uid="{7131BFB8-29FE-42FA-BB06-2FAD8FE03F65}"/>
    <cellStyle name="Calculation 3 4 2 10" xfId="3912" xr:uid="{E3057A09-7DD4-403F-8FF7-0CC652EFD8C6}"/>
    <cellStyle name="Calculation 3 4 2 11" xfId="3913" xr:uid="{83A9165B-49C2-4615-89AA-AFAE425B024D}"/>
    <cellStyle name="Calculation 3 4 2 12" xfId="3914" xr:uid="{6BBED42F-FFA2-409F-AD5A-87A66EA382D9}"/>
    <cellStyle name="Calculation 3 4 2 13" xfId="3915" xr:uid="{8845F9A8-57B8-447E-A88A-E919390017A1}"/>
    <cellStyle name="Calculation 3 4 2 14" xfId="3916" xr:uid="{CFD5F847-CBEC-4CD6-8AA3-A1B634CB436E}"/>
    <cellStyle name="Calculation 3 4 2 15" xfId="3917" xr:uid="{16E7C560-EA26-46AC-8854-E52802AA61A5}"/>
    <cellStyle name="Calculation 3 4 2 16" xfId="3918" xr:uid="{9146DFD4-A64F-4D1F-9A62-4B4102234877}"/>
    <cellStyle name="Calculation 3 4 2 17" xfId="3919" xr:uid="{A60A11E7-8F0E-4DE4-8305-AA0F6178BF04}"/>
    <cellStyle name="Calculation 3 4 2 18" xfId="3920" xr:uid="{45264ED0-63DD-42F2-9334-15F60B98A51D}"/>
    <cellStyle name="Calculation 3 4 2 18 2" xfId="3921" xr:uid="{1D81064E-51D3-490B-8372-CB53581C6F90}"/>
    <cellStyle name="Calculation 3 4 2 19" xfId="3922" xr:uid="{E46F2D1D-102D-4936-BAD7-B196260680E9}"/>
    <cellStyle name="Calculation 3 4 2 2" xfId="3923" xr:uid="{55046F71-9B77-4B81-ACC0-FD5567B8B5AE}"/>
    <cellStyle name="Calculation 3 4 2 3" xfId="3924" xr:uid="{5BF9FD4E-DB29-4B23-9AB9-47B361A6878D}"/>
    <cellStyle name="Calculation 3 4 2 4" xfId="3925" xr:uid="{46DBDCE9-7CEE-4AE4-8D2E-4991BE480E93}"/>
    <cellStyle name="Calculation 3 4 2 5" xfId="3926" xr:uid="{63BB05F2-B950-41D9-81E7-E5A19EC4A678}"/>
    <cellStyle name="Calculation 3 4 2 6" xfId="3927" xr:uid="{7CA34B8B-7EA8-4331-951B-5696DBC7CCB5}"/>
    <cellStyle name="Calculation 3 4 2 7" xfId="3928" xr:uid="{3C1204F5-4963-45CF-BDFF-539A15AE2EBF}"/>
    <cellStyle name="Calculation 3 4 2 8" xfId="3929" xr:uid="{97AF0525-0F6B-44CC-B465-3BE07DDB4616}"/>
    <cellStyle name="Calculation 3 4 2 9" xfId="3930" xr:uid="{418E686E-0A01-46DD-8FF8-824B76C216CA}"/>
    <cellStyle name="Calculation 3 4 20" xfId="3931" xr:uid="{595354F2-22E6-4C09-97CD-0E2000A530E5}"/>
    <cellStyle name="Calculation 3 4 3" xfId="3932" xr:uid="{15D4AC85-79F1-4520-80A0-2258D9C6B29A}"/>
    <cellStyle name="Calculation 3 4 4" xfId="3933" xr:uid="{8301B8B8-4693-411D-8C3D-F0BA2C9B0434}"/>
    <cellStyle name="Calculation 3 4 5" xfId="3934" xr:uid="{E2DAAE7D-40EF-4C29-8D3E-7D5AF90B1818}"/>
    <cellStyle name="Calculation 3 4 6" xfId="3935" xr:uid="{374F77BB-96F2-47DF-837E-1B0FEDFA34C8}"/>
    <cellStyle name="Calculation 3 4 7" xfId="3936" xr:uid="{1578BD8C-5402-4BAD-B45F-C9C37F04614D}"/>
    <cellStyle name="Calculation 3 4 8" xfId="3937" xr:uid="{A4CCD9AE-E5FD-4BCC-AB7A-61DF9F8EDF3F}"/>
    <cellStyle name="Calculation 3 4 9" xfId="3938" xr:uid="{5197A850-DC90-4317-8EDE-5547C9C84249}"/>
    <cellStyle name="Calculation 3 5" xfId="3939" xr:uid="{91703F11-6BFA-4A49-AFA2-867C0677F875}"/>
    <cellStyle name="Calculation 3 5 10" xfId="3940" xr:uid="{5EAE53C1-C03D-4661-882B-2E820ED3E71A}"/>
    <cellStyle name="Calculation 3 5 11" xfId="3941" xr:uid="{26A074CD-6E52-437B-AE89-BDA0A455642A}"/>
    <cellStyle name="Calculation 3 5 12" xfId="3942" xr:uid="{68DDE015-D8B3-467A-8A5C-13F047536358}"/>
    <cellStyle name="Calculation 3 5 13" xfId="3943" xr:uid="{E4380A5F-E472-4298-8F28-2C9131176854}"/>
    <cellStyle name="Calculation 3 5 14" xfId="3944" xr:uid="{4E4B1AA7-2233-45E5-AFF3-8C555DC7FEE4}"/>
    <cellStyle name="Calculation 3 5 15" xfId="3945" xr:uid="{C4D8A67B-C9B1-4F58-A58B-620926E62EC9}"/>
    <cellStyle name="Calculation 3 5 16" xfId="3946" xr:uid="{1E96EA69-D10C-47BA-8604-DFAF08C5067A}"/>
    <cellStyle name="Calculation 3 5 17" xfId="3947" xr:uid="{419452CD-E6AE-4FA8-8E25-C5D87E4B6ECC}"/>
    <cellStyle name="Calculation 3 5 18" xfId="3948" xr:uid="{60F728D8-6518-4A85-B336-B2193605858F}"/>
    <cellStyle name="Calculation 3 5 19" xfId="3949" xr:uid="{95595689-CC2F-49B1-8C7E-855ABFF51DA0}"/>
    <cellStyle name="Calculation 3 5 19 2" xfId="3950" xr:uid="{D11A550F-2747-418A-83F7-0413D97160E6}"/>
    <cellStyle name="Calculation 3 5 2" xfId="3951" xr:uid="{781F0749-718F-445C-B5C9-D278ECE092A8}"/>
    <cellStyle name="Calculation 3 5 2 10" xfId="3952" xr:uid="{90981B62-FA0B-4FFC-97AF-0BC0D8B378C6}"/>
    <cellStyle name="Calculation 3 5 2 11" xfId="3953" xr:uid="{69159C77-F565-4486-AC33-1D402A8B4935}"/>
    <cellStyle name="Calculation 3 5 2 12" xfId="3954" xr:uid="{527C33BE-1D24-4842-AF80-4A0C55C2781A}"/>
    <cellStyle name="Calculation 3 5 2 13" xfId="3955" xr:uid="{85DE4C05-363D-40CF-9428-8AAFE7729B6B}"/>
    <cellStyle name="Calculation 3 5 2 14" xfId="3956" xr:uid="{6B001E64-1B48-4787-BAF9-77FDCE8AB00E}"/>
    <cellStyle name="Calculation 3 5 2 15" xfId="3957" xr:uid="{F43D73D6-CBDA-466F-979D-0AAAC713422E}"/>
    <cellStyle name="Calculation 3 5 2 16" xfId="3958" xr:uid="{F9D51493-004D-49E3-8E85-ACA3D6610AD4}"/>
    <cellStyle name="Calculation 3 5 2 17" xfId="3959" xr:uid="{F6474F9D-35FD-46D3-8BC6-AE52F33732CB}"/>
    <cellStyle name="Calculation 3 5 2 18" xfId="3960" xr:uid="{B70319BF-1D3B-4422-8944-C9E80169FFD3}"/>
    <cellStyle name="Calculation 3 5 2 18 2" xfId="3961" xr:uid="{CECC27EC-50B3-4379-B0F9-64C10018318A}"/>
    <cellStyle name="Calculation 3 5 2 19" xfId="3962" xr:uid="{0D5538E3-A01D-4E30-90CA-3502B6882F9C}"/>
    <cellStyle name="Calculation 3 5 2 2" xfId="3963" xr:uid="{C6B2E4D8-6DC9-4ACB-B0D0-A83890B93466}"/>
    <cellStyle name="Calculation 3 5 2 3" xfId="3964" xr:uid="{2468A8F1-8A92-47C0-9CDF-3E850FB69822}"/>
    <cellStyle name="Calculation 3 5 2 4" xfId="3965" xr:uid="{E2EE1349-8B91-40E3-9AD3-439FA0109E1C}"/>
    <cellStyle name="Calculation 3 5 2 5" xfId="3966" xr:uid="{9687FE07-F89D-42B0-9845-07602953C5F8}"/>
    <cellStyle name="Calculation 3 5 2 6" xfId="3967" xr:uid="{FFE82BA3-48EC-4AFD-B84E-DED5EC044823}"/>
    <cellStyle name="Calculation 3 5 2 7" xfId="3968" xr:uid="{89069467-06D0-4A02-BE6F-3C1C66A58BF0}"/>
    <cellStyle name="Calculation 3 5 2 8" xfId="3969" xr:uid="{E20CB2C1-7C83-48A6-BF08-00F2446A3C23}"/>
    <cellStyle name="Calculation 3 5 2 9" xfId="3970" xr:uid="{FA39FF8B-CD3D-43F7-8A66-22C6C19EEF7A}"/>
    <cellStyle name="Calculation 3 5 20" xfId="3971" xr:uid="{E79DF56E-0C1B-4E8B-B61B-95E850B4A929}"/>
    <cellStyle name="Calculation 3 5 3" xfId="3972" xr:uid="{0FA5C057-E827-4385-A6A5-FA2C1C2BEC41}"/>
    <cellStyle name="Calculation 3 5 4" xfId="3973" xr:uid="{5BB2EB8C-7EE2-4B31-909B-FD38614C11A1}"/>
    <cellStyle name="Calculation 3 5 5" xfId="3974" xr:uid="{380758A3-B347-4BEF-B29F-5BD05E333610}"/>
    <cellStyle name="Calculation 3 5 6" xfId="3975" xr:uid="{A097D72C-D780-4795-AF38-41FE3CCE30C3}"/>
    <cellStyle name="Calculation 3 5 7" xfId="3976" xr:uid="{CCF1747D-ADFC-4DBD-9258-827559AEA682}"/>
    <cellStyle name="Calculation 3 5 8" xfId="3977" xr:uid="{4169578A-42C4-4970-BD4D-40A541D476C2}"/>
    <cellStyle name="Calculation 3 5 9" xfId="3978" xr:uid="{D40D514D-AB46-47A1-A18B-2A0C4B77DCC2}"/>
    <cellStyle name="Calculation 3 6" xfId="3979" xr:uid="{50FCEF39-9CB5-4E3D-82F6-0D52EC4F0B15}"/>
    <cellStyle name="Calculation 3 6 10" xfId="3980" xr:uid="{47F18C5D-F773-485A-90F6-7B37F7B4BA76}"/>
    <cellStyle name="Calculation 3 6 11" xfId="3981" xr:uid="{68A05F7D-51F4-4180-9331-46E6B401922A}"/>
    <cellStyle name="Calculation 3 6 12" xfId="3982" xr:uid="{9FA45D28-D886-4E2B-9F1D-13B206D1AFE6}"/>
    <cellStyle name="Calculation 3 6 13" xfId="3983" xr:uid="{282BF7A5-0327-482D-B1F0-01EE2E1A121E}"/>
    <cellStyle name="Calculation 3 6 14" xfId="3984" xr:uid="{C01C1278-CD9E-4E24-A66F-968D9A92B602}"/>
    <cellStyle name="Calculation 3 6 15" xfId="3985" xr:uid="{F8E486C4-C712-4654-B910-CFB8D03960EE}"/>
    <cellStyle name="Calculation 3 6 16" xfId="3986" xr:uid="{98DAE156-42EC-46CE-968C-C4402F89DA25}"/>
    <cellStyle name="Calculation 3 6 17" xfId="3987" xr:uid="{0EA735D6-5D7C-4909-A3AE-C4F3D2E95859}"/>
    <cellStyle name="Calculation 3 6 18" xfId="3988" xr:uid="{2C7245B9-3140-4183-8EDF-685CEBD37554}"/>
    <cellStyle name="Calculation 3 6 18 2" xfId="3989" xr:uid="{47899108-9B8D-4CCC-9213-D7643837221C}"/>
    <cellStyle name="Calculation 3 6 19" xfId="3990" xr:uid="{4A5EC568-D6AB-43A9-8FAF-A3F07148704D}"/>
    <cellStyle name="Calculation 3 6 2" xfId="3991" xr:uid="{0D1A5F36-69C1-41C2-A483-65E2D1EE6E0F}"/>
    <cellStyle name="Calculation 3 6 3" xfId="3992" xr:uid="{4C361350-7287-49CD-9D26-8D5299C716C0}"/>
    <cellStyle name="Calculation 3 6 4" xfId="3993" xr:uid="{96C6B154-44BD-4510-AC4A-6D4EF2D0046E}"/>
    <cellStyle name="Calculation 3 6 5" xfId="3994" xr:uid="{E8F9B654-D0AB-4EB6-85C1-A48997D086F3}"/>
    <cellStyle name="Calculation 3 6 6" xfId="3995" xr:uid="{AE264837-E1E5-4DDC-8D65-FE648DC2B4D0}"/>
    <cellStyle name="Calculation 3 6 7" xfId="3996" xr:uid="{E8170116-F2E7-4CE8-ACD3-D25C11BAD4D6}"/>
    <cellStyle name="Calculation 3 6 8" xfId="3997" xr:uid="{721FCC21-0D6C-4D32-A765-B8AC7398A183}"/>
    <cellStyle name="Calculation 3 6 9" xfId="3998" xr:uid="{17CA4568-C505-4783-A3E7-8A5FBA882872}"/>
    <cellStyle name="Calculation 3 7" xfId="3999" xr:uid="{C0E3EEF2-84A6-4E77-A7E6-70E752AE7D1E}"/>
    <cellStyle name="Calculation 3 8" xfId="4000" xr:uid="{6967C8F1-813D-44B4-80C6-BF012C4E074F}"/>
    <cellStyle name="Calculation 3 9" xfId="4001" xr:uid="{816DFB86-BE05-4CD7-9C68-CD5D13EADAE3}"/>
    <cellStyle name="Calculation 4" xfId="4002" xr:uid="{2906D601-3575-43F8-9A4E-0D5AB48F19E3}"/>
    <cellStyle name="Calculation 4 10" xfId="4003" xr:uid="{084D83F0-3190-4F42-AF64-FF39352CFC65}"/>
    <cellStyle name="Calculation 4 11" xfId="4004" xr:uid="{1725E37A-96DA-4B0D-9627-5306230E11E7}"/>
    <cellStyle name="Calculation 4 12" xfId="4005" xr:uid="{84881AFD-687E-4308-8293-26F0569404A5}"/>
    <cellStyle name="Calculation 4 13" xfId="4006" xr:uid="{97FAB133-F3A4-4743-9F75-C4FF003AA0A6}"/>
    <cellStyle name="Calculation 4 14" xfId="4007" xr:uid="{53927683-3DD4-40EA-8C86-33768C6E03B2}"/>
    <cellStyle name="Calculation 4 15" xfId="4008" xr:uid="{3BD5B413-AF62-43E0-AC42-36974537B6BA}"/>
    <cellStyle name="Calculation 4 16" xfId="4009" xr:uid="{B0AE3876-948D-4C57-915B-D5F3A2E36B36}"/>
    <cellStyle name="Calculation 4 17" xfId="4010" xr:uid="{2D14F32D-C9B7-4775-ABDF-F7E5AF482A98}"/>
    <cellStyle name="Calculation 4 18" xfId="4011" xr:uid="{FB0C117B-5D81-4284-99A3-3DA8C1DCCDB4}"/>
    <cellStyle name="Calculation 4 19" xfId="4012" xr:uid="{F542C584-67D1-4B30-97A0-BAA8219813EE}"/>
    <cellStyle name="Calculation 4 2" xfId="4013" xr:uid="{F8E5DBBC-91D7-4F82-A4C4-B9A393A788D6}"/>
    <cellStyle name="Calculation 4 2 10" xfId="4014" xr:uid="{6246018B-7E52-4916-BFCE-BEF55B1F2DE6}"/>
    <cellStyle name="Calculation 4 2 11" xfId="4015" xr:uid="{3B0282F8-C9A4-436B-9BB7-A62037DF7BE9}"/>
    <cellStyle name="Calculation 4 2 12" xfId="4016" xr:uid="{D79A418F-B29A-4E38-B5FA-062901DA6698}"/>
    <cellStyle name="Calculation 4 2 13" xfId="4017" xr:uid="{F85CB07B-1894-4B77-964C-D93D66EB79F0}"/>
    <cellStyle name="Calculation 4 2 14" xfId="4018" xr:uid="{7CCAB72A-C7CE-49CF-B391-329184AB2445}"/>
    <cellStyle name="Calculation 4 2 15" xfId="4019" xr:uid="{1B595069-E4DC-4D7D-B28E-B5321D1BFBA1}"/>
    <cellStyle name="Calculation 4 2 16" xfId="4020" xr:uid="{6FBA04A0-7FB0-4E72-A40C-09D7348F769F}"/>
    <cellStyle name="Calculation 4 2 17" xfId="4021" xr:uid="{9B0F8B98-F89A-4574-882D-788EB8CC8F83}"/>
    <cellStyle name="Calculation 4 2 18" xfId="4022" xr:uid="{146B1549-8D2B-441C-BC8C-D2F529B90301}"/>
    <cellStyle name="Calculation 4 2 19" xfId="4023" xr:uid="{4DEA87F4-4C42-48FB-BA88-B9831ADAB5E4}"/>
    <cellStyle name="Calculation 4 2 2" xfId="4024" xr:uid="{2F04C268-2181-4ADC-BB1E-97ED1EDCA6BA}"/>
    <cellStyle name="Calculation 4 2 2 10" xfId="4025" xr:uid="{AF43A280-AA63-4CD6-9D95-38FD698A82E3}"/>
    <cellStyle name="Calculation 4 2 2 11" xfId="4026" xr:uid="{F0457ABB-586A-4059-9F82-509BF8045FB1}"/>
    <cellStyle name="Calculation 4 2 2 12" xfId="4027" xr:uid="{CFCF4C04-F75B-4A07-A39E-A72E33368208}"/>
    <cellStyle name="Calculation 4 2 2 13" xfId="4028" xr:uid="{C197AA51-B270-47D2-B245-58D9812F81BD}"/>
    <cellStyle name="Calculation 4 2 2 14" xfId="4029" xr:uid="{0D944899-09BA-4B35-B0C5-3A0104684A82}"/>
    <cellStyle name="Calculation 4 2 2 15" xfId="4030" xr:uid="{C254F6EB-756A-4294-9336-77B518147FBA}"/>
    <cellStyle name="Calculation 4 2 2 16" xfId="4031" xr:uid="{172EBD27-C7E1-459E-9ACF-2ADD6460DD22}"/>
    <cellStyle name="Calculation 4 2 2 17" xfId="4032" xr:uid="{A9E2801D-88CB-4D28-9A57-8CF85E8606D7}"/>
    <cellStyle name="Calculation 4 2 2 18" xfId="4033" xr:uid="{0CCA0CE0-2CEB-4655-920B-650E95AD9F75}"/>
    <cellStyle name="Calculation 4 2 2 19" xfId="4034" xr:uid="{6A2C7FD4-030E-4EE9-AFB3-5C058CDD18A6}"/>
    <cellStyle name="Calculation 4 2 2 19 2" xfId="4035" xr:uid="{DF24AD01-709E-4BAA-B05B-F01BDA5F3500}"/>
    <cellStyle name="Calculation 4 2 2 2" xfId="4036" xr:uid="{BF612C39-7414-4B21-8A91-462B0E411B0E}"/>
    <cellStyle name="Calculation 4 2 2 2 10" xfId="4037" xr:uid="{DDA88DF8-F96F-46BD-BCD0-849106BB5B84}"/>
    <cellStyle name="Calculation 4 2 2 2 11" xfId="4038" xr:uid="{B9089257-6784-4A1D-B802-F2AE4E9C2272}"/>
    <cellStyle name="Calculation 4 2 2 2 12" xfId="4039" xr:uid="{FBE8A989-A6A1-47BF-BF01-D7D6511DDA05}"/>
    <cellStyle name="Calculation 4 2 2 2 13" xfId="4040" xr:uid="{2F64F859-2FF2-4CF4-8773-8B0385093CB4}"/>
    <cellStyle name="Calculation 4 2 2 2 14" xfId="4041" xr:uid="{032A8EFB-094E-49AF-8299-079046A472B9}"/>
    <cellStyle name="Calculation 4 2 2 2 15" xfId="4042" xr:uid="{B8474241-B9CA-489B-937F-3852DE7FC377}"/>
    <cellStyle name="Calculation 4 2 2 2 16" xfId="4043" xr:uid="{9847B069-34D9-4000-8757-DEEF447F0216}"/>
    <cellStyle name="Calculation 4 2 2 2 17" xfId="4044" xr:uid="{AD97A1B5-2E86-4C67-9358-51B79B373D42}"/>
    <cellStyle name="Calculation 4 2 2 2 18" xfId="4045" xr:uid="{B6248B45-C24B-4E70-8100-BAC25C50945A}"/>
    <cellStyle name="Calculation 4 2 2 2 18 2" xfId="4046" xr:uid="{EF9C11B5-0D4B-4BB1-B0B5-9B044996DAB7}"/>
    <cellStyle name="Calculation 4 2 2 2 19" xfId="4047" xr:uid="{6F8323AD-232B-44DB-BD9B-2D5EC5A5462E}"/>
    <cellStyle name="Calculation 4 2 2 2 2" xfId="4048" xr:uid="{7A3A101F-0642-4D03-BECB-63446EB065CB}"/>
    <cellStyle name="Calculation 4 2 2 2 3" xfId="4049" xr:uid="{11D4CEE9-9EAB-4B91-9BA9-D020A3A4D05A}"/>
    <cellStyle name="Calculation 4 2 2 2 4" xfId="4050" xr:uid="{19D41000-55C2-4057-A843-EE59A02A797A}"/>
    <cellStyle name="Calculation 4 2 2 2 5" xfId="4051" xr:uid="{545CF721-F6C1-47A8-B471-C2A9145F0C8D}"/>
    <cellStyle name="Calculation 4 2 2 2 6" xfId="4052" xr:uid="{7E29B3C1-7C38-4347-8EEC-B8A35C81B119}"/>
    <cellStyle name="Calculation 4 2 2 2 7" xfId="4053" xr:uid="{FB56A779-5591-4AD9-B6E2-C852D83AA671}"/>
    <cellStyle name="Calculation 4 2 2 2 8" xfId="4054" xr:uid="{F81D4B26-EA23-49C6-9E55-0C1CA2EB552F}"/>
    <cellStyle name="Calculation 4 2 2 2 9" xfId="4055" xr:uid="{3E2668B6-FFEF-4338-A4B6-54573F1589BA}"/>
    <cellStyle name="Calculation 4 2 2 20" xfId="4056" xr:uid="{A5A316C3-2FA4-4CA7-8CE9-37BB1908F2EE}"/>
    <cellStyle name="Calculation 4 2 2 3" xfId="4057" xr:uid="{E8E9B911-8A2A-43C6-B050-FBC9F38A1469}"/>
    <cellStyle name="Calculation 4 2 2 4" xfId="4058" xr:uid="{FC845753-41C8-45CC-9AD9-5A1068D5D07A}"/>
    <cellStyle name="Calculation 4 2 2 5" xfId="4059" xr:uid="{9E990CFA-3A74-4A7F-8C4C-0353453E1F5A}"/>
    <cellStyle name="Calculation 4 2 2 6" xfId="4060" xr:uid="{69E0627D-86D0-42E9-B6AF-83D743023ACB}"/>
    <cellStyle name="Calculation 4 2 2 7" xfId="4061" xr:uid="{B4935E75-1C18-4F7F-A357-459F899E6F06}"/>
    <cellStyle name="Calculation 4 2 2 8" xfId="4062" xr:uid="{7456CAF2-FBF8-4FE8-AD08-7DB06ED34ED7}"/>
    <cellStyle name="Calculation 4 2 2 9" xfId="4063" xr:uid="{2F382133-96EF-475E-90FD-D5F2D8C7AFFB}"/>
    <cellStyle name="Calculation 4 2 20" xfId="4064" xr:uid="{0918B686-C521-4A2F-8CCD-DC3E72607476}"/>
    <cellStyle name="Calculation 4 2 21" xfId="4065" xr:uid="{C00D33B1-F9B8-40C2-BAF8-F4D14F03D2B3}"/>
    <cellStyle name="Calculation 4 2 21 2" xfId="4066" xr:uid="{CD6037D5-E848-463D-999E-DBB12FE51F37}"/>
    <cellStyle name="Calculation 4 2 22" xfId="4067" xr:uid="{30A45A04-B66B-4707-844C-021CE0EFDDF6}"/>
    <cellStyle name="Calculation 4 2 3" xfId="4068" xr:uid="{F5965108-5FFC-4835-9A24-7172EB9CD34F}"/>
    <cellStyle name="Calculation 4 2 3 10" xfId="4069" xr:uid="{9276BAD6-E66B-4C26-95EE-63254E8F7786}"/>
    <cellStyle name="Calculation 4 2 3 11" xfId="4070" xr:uid="{6B40A644-3EDB-4A48-AA99-5B0BA3A4BAE0}"/>
    <cellStyle name="Calculation 4 2 3 12" xfId="4071" xr:uid="{346E9F5B-9CD3-43BE-8A5C-869556F5512B}"/>
    <cellStyle name="Calculation 4 2 3 13" xfId="4072" xr:uid="{4897F1F9-9200-476C-BC92-3A0B2887F7E0}"/>
    <cellStyle name="Calculation 4 2 3 14" xfId="4073" xr:uid="{5B95AB9C-ADAB-4F2A-92B3-B83098D6C9D9}"/>
    <cellStyle name="Calculation 4 2 3 15" xfId="4074" xr:uid="{6491FCA0-8FC1-40AC-BFE3-E3F63AB4049E}"/>
    <cellStyle name="Calculation 4 2 3 16" xfId="4075" xr:uid="{2E8242EF-ECCD-45E3-9A4B-2DB319050DAC}"/>
    <cellStyle name="Calculation 4 2 3 17" xfId="4076" xr:uid="{C4F9E087-5381-4ADB-88CF-979544CC9EA4}"/>
    <cellStyle name="Calculation 4 2 3 18" xfId="4077" xr:uid="{71A39135-45FE-420C-98EC-B63FD662F968}"/>
    <cellStyle name="Calculation 4 2 3 19" xfId="4078" xr:uid="{D3C82E54-FFA0-4CAE-9622-DCCA1D1FD1F9}"/>
    <cellStyle name="Calculation 4 2 3 19 2" xfId="4079" xr:uid="{9EBA83FC-A63C-4217-A135-2A530FA0718B}"/>
    <cellStyle name="Calculation 4 2 3 19_Admissions" xfId="4080" xr:uid="{188E9C4D-22EA-4627-9C82-CFF7E428503A}"/>
    <cellStyle name="Calculation 4 2 3 2" xfId="4081" xr:uid="{BF792136-A1A1-4AD8-B7BB-89AAB5770D51}"/>
    <cellStyle name="Calculation 4 2 3 2 10" xfId="4082" xr:uid="{A51E8F06-9DA6-41CB-8C95-F040FC92A865}"/>
    <cellStyle name="Calculation 4 2 3 2 11" xfId="4083" xr:uid="{5EC8BB68-C867-4A1B-A2D8-54AA1E6FAEF8}"/>
    <cellStyle name="Calculation 4 2 3 2 12" xfId="4084" xr:uid="{E82BA6C1-DFCF-4F72-8202-F26DBFBFCC1B}"/>
    <cellStyle name="Calculation 4 2 3 2 13" xfId="4085" xr:uid="{662AFFC5-F83F-4588-87B8-B2D425A85244}"/>
    <cellStyle name="Calculation 4 2 3 2 14" xfId="4086" xr:uid="{EE2AD73E-4420-4736-801B-7FCF865F7CEC}"/>
    <cellStyle name="Calculation 4 2 3 2 15" xfId="4087" xr:uid="{E20C69C1-316C-433D-9D87-7E118FCF51B7}"/>
    <cellStyle name="Calculation 4 2 3 2 16" xfId="4088" xr:uid="{22AD2404-648B-4403-8E14-189FF352BAC6}"/>
    <cellStyle name="Calculation 4 2 3 2 17" xfId="4089" xr:uid="{938966FC-7EBD-4DDA-B865-5AAC7E8E13BE}"/>
    <cellStyle name="Calculation 4 2 3 2 18" xfId="4090" xr:uid="{9C03C32D-9B31-4D68-BAF7-9208BF8EC821}"/>
    <cellStyle name="Calculation 4 2 3 2 18 2" xfId="4091" xr:uid="{3F5E25A8-D676-4999-A60D-67580D3E0386}"/>
    <cellStyle name="Calculation 4 2 3 2 18_Admissions" xfId="4092" xr:uid="{9F8F8280-2D2A-46E9-83AF-7C18459821DF}"/>
    <cellStyle name="Calculation 4 2 3 2 19" xfId="4093" xr:uid="{87120CBD-D30D-4D14-A3A1-BCDE399E3E0E}"/>
    <cellStyle name="Calculation 4 2 3 2 2" xfId="4094" xr:uid="{199771DE-AF5A-4974-9A2B-511D46C9AFE5}"/>
    <cellStyle name="Calculation 4 2 3 2 3" xfId="4095" xr:uid="{4819E279-E01E-492A-8B90-4C52B3CAAA1F}"/>
    <cellStyle name="Calculation 4 2 3 2 4" xfId="4096" xr:uid="{4E2BF3C8-3C33-4C12-A1FF-80802ECB72F0}"/>
    <cellStyle name="Calculation 4 2 3 2 5" xfId="4097" xr:uid="{9814887E-6328-468E-BB1B-8A945AFF33DC}"/>
    <cellStyle name="Calculation 4 2 3 2 6" xfId="4098" xr:uid="{9DC31226-C419-4B1E-8AE2-B01E07F15995}"/>
    <cellStyle name="Calculation 4 2 3 2 7" xfId="4099" xr:uid="{CBF87230-4765-418F-A0C8-725766A52A43}"/>
    <cellStyle name="Calculation 4 2 3 2 8" xfId="4100" xr:uid="{69AC109E-E8AA-41D5-8AC9-8D34E72BF540}"/>
    <cellStyle name="Calculation 4 2 3 2 9" xfId="4101" xr:uid="{2FF59937-3CD1-4D34-BFA3-650E30D4E011}"/>
    <cellStyle name="Calculation 4 2 3 2_Admissions" xfId="4102" xr:uid="{8F433C12-F96D-480C-9CB7-CF976BAC4240}"/>
    <cellStyle name="Calculation 4 2 3 20" xfId="4103" xr:uid="{0DECB778-FD1B-414D-99F4-3D6B22B103F2}"/>
    <cellStyle name="Calculation 4 2 3 3" xfId="4104" xr:uid="{95AB4ADF-603B-43ED-8528-6BCEEF48DB76}"/>
    <cellStyle name="Calculation 4 2 3 4" xfId="4105" xr:uid="{93EDC564-6A0C-4A91-B2B3-313F3CD1169C}"/>
    <cellStyle name="Calculation 4 2 3 5" xfId="4106" xr:uid="{E3329401-4B5F-4CA5-A052-B433D7198771}"/>
    <cellStyle name="Calculation 4 2 3 6" xfId="4107" xr:uid="{B36FEF98-E70A-4999-8B49-0272BB06A442}"/>
    <cellStyle name="Calculation 4 2 3 7" xfId="4108" xr:uid="{DC74EAA6-CAC5-4C48-8D38-B06A636E8B9D}"/>
    <cellStyle name="Calculation 4 2 3 8" xfId="4109" xr:uid="{FA2BD6F4-4E59-4537-AA6B-235DA1C8875E}"/>
    <cellStyle name="Calculation 4 2 3 9" xfId="4110" xr:uid="{3FC5DC29-9F5D-4C1C-8F57-7A28ECB1923A}"/>
    <cellStyle name="Calculation 4 2 4" xfId="4111" xr:uid="{09D35DC4-0003-415F-9051-DE594A09D4B3}"/>
    <cellStyle name="Calculation 4 2 4 10" xfId="4112" xr:uid="{4D453E85-3C45-4BFE-BEC3-C7C4D96E7C08}"/>
    <cellStyle name="Calculation 4 2 4 11" xfId="4113" xr:uid="{0BE84498-5AD4-42C1-A2F4-703FE7F01E88}"/>
    <cellStyle name="Calculation 4 2 4 12" xfId="4114" xr:uid="{713BA4CF-A32F-48B0-90B1-76B83CB3C252}"/>
    <cellStyle name="Calculation 4 2 4 13" xfId="4115" xr:uid="{29914C00-5145-41A4-AB71-EE4676426366}"/>
    <cellStyle name="Calculation 4 2 4 14" xfId="4116" xr:uid="{2AB69837-D55B-4012-89C9-83C238B56B5E}"/>
    <cellStyle name="Calculation 4 2 4 15" xfId="4117" xr:uid="{9F5C1AE0-D848-4FDB-B7A8-3E465777C190}"/>
    <cellStyle name="Calculation 4 2 4 16" xfId="4118" xr:uid="{38CB030D-6FE6-42A0-8D2F-55CBFA02CF70}"/>
    <cellStyle name="Calculation 4 2 4 17" xfId="4119" xr:uid="{D73D61BF-BF80-4FBB-9F3F-3EA7AA462557}"/>
    <cellStyle name="Calculation 4 2 4 18" xfId="4120" xr:uid="{9D859E59-76AF-43C0-A5D4-A54C8B216D18}"/>
    <cellStyle name="Calculation 4 2 4 18 2" xfId="4121" xr:uid="{95A2FCD5-0A16-43DD-BE4E-6C67FD9AF096}"/>
    <cellStyle name="Calculation 4 2 4 18_Admissions" xfId="4122" xr:uid="{B9574634-0BF8-4934-90DB-2FAB797DDCAC}"/>
    <cellStyle name="Calculation 4 2 4 19" xfId="4123" xr:uid="{A79AA6C9-89EA-4F70-AF68-15C1831EAE0B}"/>
    <cellStyle name="Calculation 4 2 4 2" xfId="4124" xr:uid="{0AF8AFFF-4C42-45DB-A19A-1ABC6D146368}"/>
    <cellStyle name="Calculation 4 2 4 3" xfId="4125" xr:uid="{115697EB-F936-49F8-A3E9-B2B1130299BB}"/>
    <cellStyle name="Calculation 4 2 4 4" xfId="4126" xr:uid="{FE792940-6405-4488-AEB4-06C492461B7D}"/>
    <cellStyle name="Calculation 4 2 4 5" xfId="4127" xr:uid="{3747A90E-1DD5-4492-B79C-4A88C0A4DA5B}"/>
    <cellStyle name="Calculation 4 2 4 6" xfId="4128" xr:uid="{B4446DC8-0282-4BE8-8975-C465AB2E79F3}"/>
    <cellStyle name="Calculation 4 2 4 7" xfId="4129" xr:uid="{09D6B78A-23AF-4C4E-A806-22E4531FD774}"/>
    <cellStyle name="Calculation 4 2 4 8" xfId="4130" xr:uid="{BDD52965-54C0-47F1-94B4-0AB3D70AD388}"/>
    <cellStyle name="Calculation 4 2 4 9" xfId="4131" xr:uid="{F399678A-C325-4FBA-80B1-565C011C3DA2}"/>
    <cellStyle name="Calculation 4 2 4_Admissions" xfId="4132" xr:uid="{67916647-C9C5-4E0A-9A05-EACC6351BEE4}"/>
    <cellStyle name="Calculation 4 2 5" xfId="4133" xr:uid="{9429B09E-981F-4872-9D56-D938E59D9844}"/>
    <cellStyle name="Calculation 4 2 6" xfId="4134" xr:uid="{48ADEAE3-732B-41BA-83B5-8C093D8B784B}"/>
    <cellStyle name="Calculation 4 2 7" xfId="4135" xr:uid="{7D1037A6-780F-48F1-993B-180DCD7AEFED}"/>
    <cellStyle name="Calculation 4 2 8" xfId="4136" xr:uid="{BF749006-5697-4380-A489-1A303AFE9824}"/>
    <cellStyle name="Calculation 4 2 9" xfId="4137" xr:uid="{D9ACF7EB-DE86-4C58-B248-ADAB776E05E4}"/>
    <cellStyle name="Calculation 4 20" xfId="4138" xr:uid="{CF87D9B7-8BCB-42D6-A7A0-524CB34A7933}"/>
    <cellStyle name="Calculation 4 21" xfId="4139" xr:uid="{CF5DB048-8B74-435E-8F55-47F2B26825D8}"/>
    <cellStyle name="Calculation 4 22" xfId="4140" xr:uid="{C82824D1-D7AA-4128-ADB6-D67A6D2032CB}"/>
    <cellStyle name="Calculation 4 22 2" xfId="4141" xr:uid="{C4D55694-D1AA-438A-9B0C-4ABDE83261A1}"/>
    <cellStyle name="Calculation 4 22_Admissions" xfId="4142" xr:uid="{06A258E5-ED89-44B8-A9EC-6D4B4DAEC120}"/>
    <cellStyle name="Calculation 4 23" xfId="4143" xr:uid="{8477DFF6-AF7F-437F-A6E3-C53BC476A8E3}"/>
    <cellStyle name="Calculation 4 24" xfId="4144" xr:uid="{07A6E0DA-0F8C-4FCC-ADE7-A8300C274DE3}"/>
    <cellStyle name="Calculation 4 25" xfId="4145" xr:uid="{9FDB6C3E-F826-46BF-B606-8E4C557E53E5}"/>
    <cellStyle name="Calculation 4 26" xfId="4146" xr:uid="{EAF0BEB9-7D6F-469C-8773-96760E392C04}"/>
    <cellStyle name="Calculation 4 3" xfId="4147" xr:uid="{A92A6CC6-3D6D-4085-9183-21305BC1BD89}"/>
    <cellStyle name="Calculation 4 3 10" xfId="4148" xr:uid="{38100DDD-A276-4D5D-9463-C232088FA679}"/>
    <cellStyle name="Calculation 4 3 11" xfId="4149" xr:uid="{F7256082-C6CC-4A8A-8354-E24FB4D7123A}"/>
    <cellStyle name="Calculation 4 3 12" xfId="4150" xr:uid="{66B9B1C1-0442-4BDF-A2B6-E92B1E58D69E}"/>
    <cellStyle name="Calculation 4 3 13" xfId="4151" xr:uid="{CBC68DAF-3805-4158-B65F-522C655A939E}"/>
    <cellStyle name="Calculation 4 3 14" xfId="4152" xr:uid="{0CC0D297-0FB8-4D6D-8A37-CDAFA584E19A}"/>
    <cellStyle name="Calculation 4 3 15" xfId="4153" xr:uid="{0F76CDBE-9C5A-4A50-8AE3-37DA729760A0}"/>
    <cellStyle name="Calculation 4 3 16" xfId="4154" xr:uid="{5BFA3772-B577-4C96-8557-4EBA8A5EC97A}"/>
    <cellStyle name="Calculation 4 3 17" xfId="4155" xr:uid="{BC41F1A7-1185-4D6D-8F24-DC614B114D50}"/>
    <cellStyle name="Calculation 4 3 18" xfId="4156" xr:uid="{7AAEB4B2-5BF2-459E-B9E5-FF621CD03B09}"/>
    <cellStyle name="Calculation 4 3 19" xfId="4157" xr:uid="{B81FE8DB-25F0-4A35-986B-9D281364BFA9}"/>
    <cellStyle name="Calculation 4 3 19 2" xfId="4158" xr:uid="{14AA8984-1951-46F8-8DEC-4922E76B1010}"/>
    <cellStyle name="Calculation 4 3 19_Admissions" xfId="4159" xr:uid="{47C8E2B2-BED9-4B36-9008-A99D1442884D}"/>
    <cellStyle name="Calculation 4 3 2" xfId="4160" xr:uid="{20E231AD-D99A-4174-8918-8FA29197D422}"/>
    <cellStyle name="Calculation 4 3 2 10" xfId="4161" xr:uid="{90F4FA11-30E9-43F5-B996-2552464CBE27}"/>
    <cellStyle name="Calculation 4 3 2 11" xfId="4162" xr:uid="{E02686AB-E16A-45C6-B79F-5A6B55B08C70}"/>
    <cellStyle name="Calculation 4 3 2 12" xfId="4163" xr:uid="{24E0475B-EDB0-47C9-988A-7EE966AA7B8E}"/>
    <cellStyle name="Calculation 4 3 2 13" xfId="4164" xr:uid="{51D387B0-9EFB-4D55-AEF8-DEF194309C31}"/>
    <cellStyle name="Calculation 4 3 2 14" xfId="4165" xr:uid="{E54B40FD-155F-484F-9355-5EB65B1B0DA2}"/>
    <cellStyle name="Calculation 4 3 2 15" xfId="4166" xr:uid="{886EAC82-8E6B-4225-B12A-62A6FF94FCD5}"/>
    <cellStyle name="Calculation 4 3 2 16" xfId="4167" xr:uid="{D0D37FD5-DC72-4713-B187-A3D683CE2CF8}"/>
    <cellStyle name="Calculation 4 3 2 17" xfId="4168" xr:uid="{8CD0C816-23FE-44BC-AA9C-CB3C0CCE081A}"/>
    <cellStyle name="Calculation 4 3 2 18" xfId="4169" xr:uid="{45CB3BF1-CD08-410A-83A6-E329623A679C}"/>
    <cellStyle name="Calculation 4 3 2 18 2" xfId="4170" xr:uid="{9E307B1F-A3CB-47A0-9172-341E01B55612}"/>
    <cellStyle name="Calculation 4 3 2 18_Admissions" xfId="4171" xr:uid="{0FDA1A5D-F1A9-4708-B28C-BE86B2247509}"/>
    <cellStyle name="Calculation 4 3 2 19" xfId="4172" xr:uid="{4B59C4EA-6B8E-4F7E-8DF8-FB1F9C620605}"/>
    <cellStyle name="Calculation 4 3 2 2" xfId="4173" xr:uid="{B19C0D88-7DEC-40B7-91BE-946618C1467F}"/>
    <cellStyle name="Calculation 4 3 2 3" xfId="4174" xr:uid="{353EBC39-75D3-4AAF-9CC4-3CA84D955BDB}"/>
    <cellStyle name="Calculation 4 3 2 4" xfId="4175" xr:uid="{A173E52A-389B-4F7E-B45E-2121977A4736}"/>
    <cellStyle name="Calculation 4 3 2 5" xfId="4176" xr:uid="{280655DD-A65F-4F2F-BE88-7726BBCE63F6}"/>
    <cellStyle name="Calculation 4 3 2 6" xfId="4177" xr:uid="{154DFD5E-F236-4165-80E4-B064AF37298C}"/>
    <cellStyle name="Calculation 4 3 2 7" xfId="4178" xr:uid="{E4BB24D4-7A42-485E-A909-DE8605667F3F}"/>
    <cellStyle name="Calculation 4 3 2 8" xfId="4179" xr:uid="{7038F595-9E12-437F-8B0E-CFFB0365A748}"/>
    <cellStyle name="Calculation 4 3 2 9" xfId="4180" xr:uid="{416CE536-EAE7-4F64-AD9C-88D8B4D2D371}"/>
    <cellStyle name="Calculation 4 3 2_Admissions" xfId="4181" xr:uid="{115BF94A-608A-42E9-943D-183E26268067}"/>
    <cellStyle name="Calculation 4 3 20" xfId="4182" xr:uid="{2535227D-66A3-4648-9B62-2E3BF0FB66BD}"/>
    <cellStyle name="Calculation 4 3 3" xfId="4183" xr:uid="{A498B6FE-6FDA-4982-AF84-51ED5D1A348E}"/>
    <cellStyle name="Calculation 4 3 4" xfId="4184" xr:uid="{52139EC6-8966-4654-AD0A-C39B761D688F}"/>
    <cellStyle name="Calculation 4 3 5" xfId="4185" xr:uid="{1BF44B5D-635A-4254-8F20-7D578F3049BD}"/>
    <cellStyle name="Calculation 4 3 6" xfId="4186" xr:uid="{C6E5C5A0-3D51-47AE-A73D-7B2854CCD7CC}"/>
    <cellStyle name="Calculation 4 3 7" xfId="4187" xr:uid="{1BB62A1E-E2CB-4AC2-87CF-24A009357D6F}"/>
    <cellStyle name="Calculation 4 3 8" xfId="4188" xr:uid="{39E19FC1-B821-4F76-945C-036733FB9758}"/>
    <cellStyle name="Calculation 4 3 9" xfId="4189" xr:uid="{9FD8C038-A417-4042-9895-7456455FFDB1}"/>
    <cellStyle name="Calculation 4 3_Admissions" xfId="4190" xr:uid="{A503ED9A-582E-4A2D-ADE7-F31F6EB1B3BD}"/>
    <cellStyle name="Calculation 4 4" xfId="4191" xr:uid="{B64CDF89-9E12-4185-993A-041916C19ACA}"/>
    <cellStyle name="Calculation 4 4 10" xfId="4192" xr:uid="{F91CC4F8-FD3B-4670-85AB-71C30317DFB2}"/>
    <cellStyle name="Calculation 4 4 11" xfId="4193" xr:uid="{DA793109-7D62-4431-99B6-1D53754AE3E5}"/>
    <cellStyle name="Calculation 4 4 12" xfId="4194" xr:uid="{8620C081-1AAB-450A-A7C3-58510782A97D}"/>
    <cellStyle name="Calculation 4 4 13" xfId="4195" xr:uid="{F6AF1D34-53EA-47E6-ACAC-3F488233277C}"/>
    <cellStyle name="Calculation 4 4 14" xfId="4196" xr:uid="{7452963C-0C75-4D9D-A238-E90EFE942985}"/>
    <cellStyle name="Calculation 4 4 15" xfId="4197" xr:uid="{4988E23A-3C36-445F-A30C-DBD7E894847D}"/>
    <cellStyle name="Calculation 4 4 16" xfId="4198" xr:uid="{20404DD4-E9E6-44C4-B099-B27E180EA580}"/>
    <cellStyle name="Calculation 4 4 17" xfId="4199" xr:uid="{B28524FA-70A5-4CA6-8533-0ED5C59C6182}"/>
    <cellStyle name="Calculation 4 4 18" xfId="4200" xr:uid="{4BC3270E-EE5C-4862-ADC9-2117E4007307}"/>
    <cellStyle name="Calculation 4 4 19" xfId="4201" xr:uid="{9D37A394-9011-47B4-9001-986EC7514DC2}"/>
    <cellStyle name="Calculation 4 4 19 2" xfId="4202" xr:uid="{10FE5E31-EFBB-4FB2-ADCB-B01C1EA69BF5}"/>
    <cellStyle name="Calculation 4 4 19_2013" xfId="4203" xr:uid="{B12F922C-AE03-4C04-82DF-0872673B1BA5}"/>
    <cellStyle name="Calculation 4 4 2" xfId="4204" xr:uid="{AE9BBB9E-A403-41C6-88AA-26BBF24F39AF}"/>
    <cellStyle name="Calculation 4 4 2 10" xfId="4205" xr:uid="{3E4474BC-A1EC-4B12-BBBB-D9018678CAB4}"/>
    <cellStyle name="Calculation 4 4 2 11" xfId="4206" xr:uid="{C6F005CC-DA67-4F24-BE45-1BAC5ED80350}"/>
    <cellStyle name="Calculation 4 4 2 12" xfId="4207" xr:uid="{FB6D94C0-1E33-4E5A-9FFB-4542FCAA50ED}"/>
    <cellStyle name="Calculation 4 4 2 13" xfId="4208" xr:uid="{1FE1681E-D1A9-4A58-A911-7B0B24CFFD76}"/>
    <cellStyle name="Calculation 4 4 2 14" xfId="4209" xr:uid="{CCC9D031-4F5D-40DA-835B-D0791796BDB1}"/>
    <cellStyle name="Calculation 4 4 2 15" xfId="4210" xr:uid="{2E9C85A6-8B2B-4C41-B0C4-4F58B818DE10}"/>
    <cellStyle name="Calculation 4 4 2 16" xfId="4211" xr:uid="{3BC18DEE-F27C-4507-8521-A71012FDCF08}"/>
    <cellStyle name="Calculation 4 4 2 17" xfId="4212" xr:uid="{9827D463-8A6B-434B-9EB8-4361BBC21613}"/>
    <cellStyle name="Calculation 4 4 2 18" xfId="4213" xr:uid="{BF9A3BD5-781F-4373-BCAD-9D063B2DE9A5}"/>
    <cellStyle name="Calculation 4 4 2 18 2" xfId="4214" xr:uid="{DF435503-64E9-444B-A4CD-A34FA20CFC11}"/>
    <cellStyle name="Calculation 4 4 2 18_2013" xfId="4215" xr:uid="{CF9FBDD3-889B-4690-A727-2B71092DF7B9}"/>
    <cellStyle name="Calculation 4 4 2 19" xfId="4216" xr:uid="{698048C1-CDC7-4628-ABBB-19FECA1CC6BE}"/>
    <cellStyle name="Calculation 4 4 2 2" xfId="4217" xr:uid="{FFF9AA43-9A88-4378-8CD9-1A61AA04F65F}"/>
    <cellStyle name="Calculation 4 4 2 3" xfId="4218" xr:uid="{4123A70D-BCFB-405C-8E88-DF6B31000DAC}"/>
    <cellStyle name="Calculation 4 4 2 4" xfId="4219" xr:uid="{92A3D71D-57CE-41DF-A0D0-D21B7A32463B}"/>
    <cellStyle name="Calculation 4 4 2 5" xfId="4220" xr:uid="{74015B58-D436-45B4-8735-50E58C957E09}"/>
    <cellStyle name="Calculation 4 4 2 6" xfId="4221" xr:uid="{4CE9D476-1656-4CED-B9C1-465154112166}"/>
    <cellStyle name="Calculation 4 4 2 7" xfId="4222" xr:uid="{D8C082CD-7D94-47CC-8A4B-CEB230F8C9A2}"/>
    <cellStyle name="Calculation 4 4 2 8" xfId="4223" xr:uid="{9B700239-8599-4907-9676-B3F632889B32}"/>
    <cellStyle name="Calculation 4 4 2 9" xfId="4224" xr:uid="{430702C0-A268-47A8-907B-B3C0C4B0A715}"/>
    <cellStyle name="Calculation 4 4 2_2013" xfId="4225" xr:uid="{C85C3306-91E3-4CDD-ADC3-6FC0DE176B11}"/>
    <cellStyle name="Calculation 4 4 20" xfId="4226" xr:uid="{55A53F40-9C77-4280-ABCC-E78C02FE4CF3}"/>
    <cellStyle name="Calculation 4 4 3" xfId="4227" xr:uid="{CDE2790D-63C7-4B1C-AEDE-20DEC4203A95}"/>
    <cellStyle name="Calculation 4 4 4" xfId="4228" xr:uid="{B5231A24-3FD8-416E-8FEB-F9C6BB135A54}"/>
    <cellStyle name="Calculation 4 4 5" xfId="4229" xr:uid="{7D1E477D-A3B2-43BC-9E4A-A85A75F6F7BB}"/>
    <cellStyle name="Calculation 4 4 6" xfId="4230" xr:uid="{D988FDB3-89F1-4B8D-9CDF-E34F65216702}"/>
    <cellStyle name="Calculation 4 4 7" xfId="4231" xr:uid="{9E87040E-E2F3-442E-BE5A-B5E969F0BBCB}"/>
    <cellStyle name="Calculation 4 4 8" xfId="4232" xr:uid="{30D117E9-474D-40FC-8B6F-119E0EF01BE9}"/>
    <cellStyle name="Calculation 4 4 9" xfId="4233" xr:uid="{BD133415-4EEE-4D0B-B745-C6403092ED71}"/>
    <cellStyle name="Calculation 4 4_2013" xfId="4234" xr:uid="{31EB9B57-63FB-4F26-B09C-A1FB5B78A4AF}"/>
    <cellStyle name="Calculation 4 5" xfId="4235" xr:uid="{90B0A629-A512-43B9-9457-7C77B1A516F6}"/>
    <cellStyle name="Calculation 4 5 10" xfId="4236" xr:uid="{3ED5147B-4394-4237-93B2-33D975FED426}"/>
    <cellStyle name="Calculation 4 5 11" xfId="4237" xr:uid="{FC382399-E428-4168-B2B1-9968A5136057}"/>
    <cellStyle name="Calculation 4 5 12" xfId="4238" xr:uid="{713CF438-AD0F-4C6C-9314-63689631156D}"/>
    <cellStyle name="Calculation 4 5 13" xfId="4239" xr:uid="{491FCB9E-4EF0-4395-93E0-B83F5D7DE512}"/>
    <cellStyle name="Calculation 4 5 14" xfId="4240" xr:uid="{D25315ED-45D6-493A-B456-E6E487BFE3F9}"/>
    <cellStyle name="Calculation 4 5 15" xfId="4241" xr:uid="{A132BEFC-FD9C-4A8B-BD6F-E0BB7C38FF6E}"/>
    <cellStyle name="Calculation 4 5 16" xfId="4242" xr:uid="{A36ADFEA-012D-47FB-A24B-1B733E20D2A5}"/>
    <cellStyle name="Calculation 4 5 17" xfId="4243" xr:uid="{52A4EBC6-806E-4903-B942-369E29C5C16A}"/>
    <cellStyle name="Calculation 4 5 18" xfId="4244" xr:uid="{C7B1405E-8F19-4362-A766-F1C8825F5FA1}"/>
    <cellStyle name="Calculation 4 5 18 2" xfId="4245" xr:uid="{AEDA6C60-0BD2-4C0F-9D33-4C7416ACCB25}"/>
    <cellStyle name="Calculation 4 5 18_2013" xfId="4246" xr:uid="{E63B4138-0586-493D-B276-2E9D9215FDEA}"/>
    <cellStyle name="Calculation 4 5 19" xfId="4247" xr:uid="{BB1D24D7-CA49-4FE0-880D-9E7DEDF174B4}"/>
    <cellStyle name="Calculation 4 5 2" xfId="4248" xr:uid="{FBBBF2BB-3044-46F8-89AB-1D996DAC99F4}"/>
    <cellStyle name="Calculation 4 5 3" xfId="4249" xr:uid="{5C93C012-43FE-4CA2-9EB9-69E62F62A65B}"/>
    <cellStyle name="Calculation 4 5 4" xfId="4250" xr:uid="{0953B97E-4768-4653-BC0F-EA8453E91077}"/>
    <cellStyle name="Calculation 4 5 5" xfId="4251" xr:uid="{1EAD090B-9B11-4571-A7CF-1702707DC44D}"/>
    <cellStyle name="Calculation 4 5 6" xfId="4252" xr:uid="{16E308DE-2D6A-443F-ADB8-0D483E807704}"/>
    <cellStyle name="Calculation 4 5 7" xfId="4253" xr:uid="{7265066E-3D58-4473-8677-D44DCBFB067B}"/>
    <cellStyle name="Calculation 4 5 8" xfId="4254" xr:uid="{7BCA8D3D-3B26-41A5-8453-5ED16E8E9F59}"/>
    <cellStyle name="Calculation 4 5 9" xfId="4255" xr:uid="{08D338F5-0C53-48AC-848B-10783FB6E44C}"/>
    <cellStyle name="Calculation 4 5_2013" xfId="4256" xr:uid="{86C6C6B6-27C3-41B3-934B-F9370F2E7518}"/>
    <cellStyle name="Calculation 4 6" xfId="4257" xr:uid="{D58EC009-5A02-43A2-8B24-08D7B1DB6B31}"/>
    <cellStyle name="Calculation 4 7" xfId="4258" xr:uid="{C1136651-5E5F-458B-BEBB-5CDE85D21253}"/>
    <cellStyle name="Calculation 4 8" xfId="4259" xr:uid="{CF0CBF18-92B7-4F03-9121-424024F6AF51}"/>
    <cellStyle name="Calculation 4 9" xfId="4260" xr:uid="{C89B9D22-E267-4305-B79B-C193B9F12A48}"/>
    <cellStyle name="Calculation 4_2013" xfId="4261" xr:uid="{683A26F5-11D0-4371-879F-D1018FBFBDEA}"/>
    <cellStyle name="Calculation 5" xfId="4262" xr:uid="{568D0E55-4972-4AFD-B3B8-275AA365AF94}"/>
    <cellStyle name="Calculation 5 10" xfId="4263" xr:uid="{FDBC7E0C-9D4E-4AB0-9034-16944ECF1509}"/>
    <cellStyle name="Calculation 5 11" xfId="4264" xr:uid="{E1615401-A526-4466-99DC-7DD43C0FE9BE}"/>
    <cellStyle name="Calculation 5 12" xfId="4265" xr:uid="{0263EB2B-5D0B-4153-9282-974350EFBEC8}"/>
    <cellStyle name="Calculation 5 13" xfId="4266" xr:uid="{020E6155-BE82-4D93-B8CE-27C0A368B43B}"/>
    <cellStyle name="Calculation 5 14" xfId="4267" xr:uid="{CB9EAB0F-E27B-4FF7-A6CC-33BB52FA6E29}"/>
    <cellStyle name="Calculation 5 15" xfId="4268" xr:uid="{6C7DCDC6-AF58-4A25-918F-7272D686A984}"/>
    <cellStyle name="Calculation 5 16" xfId="4269" xr:uid="{094CCDAF-9A69-4631-8FC6-6F4FCF08258C}"/>
    <cellStyle name="Calculation 5 17" xfId="4270" xr:uid="{1DDEA554-F9FA-43FC-91DC-2C1C2F80B260}"/>
    <cellStyle name="Calculation 5 18" xfId="4271" xr:uid="{01DAED15-6914-4CDE-9350-5BB90EB1BD26}"/>
    <cellStyle name="Calculation 5 18 2" xfId="4272" xr:uid="{D81CBDEA-4CFB-4779-8D0E-929019856D29}"/>
    <cellStyle name="Calculation 5 18_2013" xfId="4273" xr:uid="{165476A6-44AD-4E89-876F-4CF7E47B6405}"/>
    <cellStyle name="Calculation 5 19" xfId="4274" xr:uid="{FE7616CB-DAD7-4995-987D-834BFC7F8885}"/>
    <cellStyle name="Calculation 5 2" xfId="4275" xr:uid="{4632FEA9-6B94-4D10-B721-59EA824D62AD}"/>
    <cellStyle name="Calculation 5 3" xfId="4276" xr:uid="{CC68BCE6-97AC-41E2-9224-B0A1786E27CD}"/>
    <cellStyle name="Calculation 5 4" xfId="4277" xr:uid="{43C83E4A-FE57-443B-9ECC-D1F77E03F938}"/>
    <cellStyle name="Calculation 5 5" xfId="4278" xr:uid="{63AD6C3C-7FD6-434E-A3D4-091754D97DDD}"/>
    <cellStyle name="Calculation 5 6" xfId="4279" xr:uid="{3D95690E-A245-4BBF-88F5-90B98A6086FB}"/>
    <cellStyle name="Calculation 5 7" xfId="4280" xr:uid="{FAC68B16-51EF-48FE-A7B4-9F67502D5400}"/>
    <cellStyle name="Calculation 5 8" xfId="4281" xr:uid="{6394CED2-E21A-4A6C-BA4F-1307763F433F}"/>
    <cellStyle name="Calculation 5 9" xfId="4282" xr:uid="{1D752971-2931-4BFD-B55B-85DFDB4ECC2A}"/>
    <cellStyle name="Calculation 5_2013" xfId="4283" xr:uid="{0789A33A-A642-4E3B-AA9D-FACB59B91293}"/>
    <cellStyle name="Calculation 6" xfId="4284" xr:uid="{658185C1-18BD-4182-8C71-E1CCF0E3572C}"/>
    <cellStyle name="Calculation 7" xfId="4285" xr:uid="{74C826CC-CE48-4A67-9FCA-03773343428B}"/>
    <cellStyle name="Calculation 8" xfId="4286" xr:uid="{AEE28BA3-E132-4134-A1C2-2362D3C68B3E}"/>
    <cellStyle name="Calculation 9" xfId="4287" xr:uid="{0BD1DCAA-BFD1-452B-A51A-AB0F79DFC51D}"/>
    <cellStyle name="Cálculo" xfId="4288" xr:uid="{42FA88BA-4E4D-4BC4-9087-73AA4B72254B}"/>
    <cellStyle name="Cálculo 10" xfId="4289" xr:uid="{41C9044A-659E-4F57-8AD6-AC1491F8F0C9}"/>
    <cellStyle name="Cálculo 11" xfId="4290" xr:uid="{8C71ABF4-4ECB-46BE-AD8E-E6A5EABD8102}"/>
    <cellStyle name="Cálculo 12" xfId="4291" xr:uid="{9577BB2C-904E-4D4B-8F93-1FEDF9CA6646}"/>
    <cellStyle name="Cálculo 13" xfId="4292" xr:uid="{9D6EE1D5-42D2-43CA-B14A-3C93DF591F10}"/>
    <cellStyle name="Cálculo 14" xfId="4293" xr:uid="{6A9FDDE3-7A9A-48ED-AFFB-713078D5C756}"/>
    <cellStyle name="Cálculo 15" xfId="4294" xr:uid="{6AB09238-69CC-458B-AB6B-B4002467E094}"/>
    <cellStyle name="Cálculo 16" xfId="4295" xr:uid="{0004697C-8B0F-4DA6-A020-A96EAA378C77}"/>
    <cellStyle name="Cálculo 17" xfId="4296" xr:uid="{985115EB-B813-4197-84F2-5CDD59B0BFE3}"/>
    <cellStyle name="Cálculo 18" xfId="4297" xr:uid="{8D9B46F2-EF8F-4449-8A5B-650DE5DFED1D}"/>
    <cellStyle name="Cálculo 19" xfId="4298" xr:uid="{EF7A6578-6E0D-4CB6-82AD-E54E620EF29D}"/>
    <cellStyle name="Cálculo 2" xfId="4299" xr:uid="{5713CE24-0134-4076-89A9-0D0D91591250}"/>
    <cellStyle name="Cálculo 2 10" xfId="4300" xr:uid="{F20A6F07-A423-4665-87A3-B518E27F94D4}"/>
    <cellStyle name="Cálculo 2 11" xfId="4301" xr:uid="{5B673EE5-60B3-42E1-A6C7-35FD70DDDE7A}"/>
    <cellStyle name="Cálculo 2 12" xfId="4302" xr:uid="{5510FB93-93BF-43B6-8EFF-DD6F618E5448}"/>
    <cellStyle name="Cálculo 2 13" xfId="4303" xr:uid="{4F1A5048-44FA-448A-84BF-D6D9B0C20C54}"/>
    <cellStyle name="Cálculo 2 14" xfId="4304" xr:uid="{04AC68D0-6FE4-4345-8AB3-26B4085ABD5E}"/>
    <cellStyle name="Cálculo 2 15" xfId="4305" xr:uid="{6994F81E-FC5B-4C91-BFE6-DB6F4CAFB7E3}"/>
    <cellStyle name="Cálculo 2 16" xfId="4306" xr:uid="{C9285277-43D2-4679-9D93-8F8EBA53D89A}"/>
    <cellStyle name="Cálculo 2 17" xfId="4307" xr:uid="{8F01FBFC-D4C6-4296-BCAE-74188351ACCC}"/>
    <cellStyle name="Cálculo 2 18" xfId="4308" xr:uid="{775A0323-30DF-4D5A-A705-D16F7389277F}"/>
    <cellStyle name="Cálculo 2 19" xfId="4309" xr:uid="{ADF488C7-3613-4DDC-BE35-F03D1196DFA6}"/>
    <cellStyle name="Cálculo 2 2" xfId="4310" xr:uid="{22CBA5A0-6E55-446A-97E7-5027B4AAC1FD}"/>
    <cellStyle name="Cálculo 2 2 10" xfId="4311" xr:uid="{659723E6-BFA5-4464-81D6-A4AEB723BE14}"/>
    <cellStyle name="Cálculo 2 2 11" xfId="4312" xr:uid="{E32FD5C5-F2B4-45D8-9E55-88B22BAB60FB}"/>
    <cellStyle name="Cálculo 2 2 12" xfId="4313" xr:uid="{79A5CCB2-B4AE-4A09-8D9E-DE56EC8F5624}"/>
    <cellStyle name="Cálculo 2 2 13" xfId="4314" xr:uid="{D8C27B80-754A-4334-BB9C-60F96756B052}"/>
    <cellStyle name="Cálculo 2 2 14" xfId="4315" xr:uid="{9FFD5AB2-7314-4D6C-8317-4F010E64F0DC}"/>
    <cellStyle name="Cálculo 2 2 15" xfId="4316" xr:uid="{9EFF93CB-67C0-42B5-A448-F6F91B35417A}"/>
    <cellStyle name="Cálculo 2 2 16" xfId="4317" xr:uid="{E373067A-800D-4B3E-9656-6269F41931EA}"/>
    <cellStyle name="Cálculo 2 2 17" xfId="4318" xr:uid="{3E4FF20C-5BF0-424B-9390-DF6A02D32B14}"/>
    <cellStyle name="Cálculo 2 2 18" xfId="4319" xr:uid="{CA6BD9BE-A47D-43B0-93AB-310326408F5A}"/>
    <cellStyle name="Cálculo 2 2 19" xfId="4320" xr:uid="{E4540449-C40F-4810-8D6D-B740718FEFB1}"/>
    <cellStyle name="Cálculo 2 2 2" xfId="4321" xr:uid="{0A6EFAD3-3C87-4714-B434-4D311550983C}"/>
    <cellStyle name="Cálculo 2 2 2 10" xfId="4322" xr:uid="{79A3C9AC-623A-483C-A46F-CED903E95481}"/>
    <cellStyle name="Cálculo 2 2 2 11" xfId="4323" xr:uid="{C7B9B93F-6BEC-4226-ADF7-D5E38004F8BB}"/>
    <cellStyle name="Cálculo 2 2 2 12" xfId="4324" xr:uid="{E105423D-6B98-4B84-A0A2-B9170468311B}"/>
    <cellStyle name="Cálculo 2 2 2 13" xfId="4325" xr:uid="{90FF859F-C33C-41CC-ACF9-1D47785DFEFD}"/>
    <cellStyle name="Cálculo 2 2 2 14" xfId="4326" xr:uid="{ED8EB608-97B6-4922-97E8-CF04EAFB5D63}"/>
    <cellStyle name="Cálculo 2 2 2 15" xfId="4327" xr:uid="{86831DA0-61F9-4EF5-A4A3-070A28E3E315}"/>
    <cellStyle name="Cálculo 2 2 2 16" xfId="4328" xr:uid="{4799C2EA-001D-4226-8A78-C967943D80C2}"/>
    <cellStyle name="Cálculo 2 2 2 17" xfId="4329" xr:uid="{2FBFA193-C28E-4608-9AF0-2E34AF1D4682}"/>
    <cellStyle name="Cálculo 2 2 2 18" xfId="4330" xr:uid="{4504B438-EC8F-4401-8CDA-1F8ACC1C6296}"/>
    <cellStyle name="Cálculo 2 2 2 19" xfId="4331" xr:uid="{C6F2D08A-A41E-4F60-8AF3-A0C0C50A4CF1}"/>
    <cellStyle name="Cálculo 2 2 2 19 2" xfId="4332" xr:uid="{53F6BABB-ECCF-4EA3-8D63-6611AE70F26A}"/>
    <cellStyle name="Cálculo 2 2 2 19_2013" xfId="4333" xr:uid="{0B93BF07-E272-4825-98B5-FD42405CA2C8}"/>
    <cellStyle name="Cálculo 2 2 2 2" xfId="4334" xr:uid="{4AC4A88F-FA36-4C3A-BFD3-DE602AC98D91}"/>
    <cellStyle name="Cálculo 2 2 2 2 10" xfId="4335" xr:uid="{8B1701DD-CA98-4765-B87C-108553D6A612}"/>
    <cellStyle name="Cálculo 2 2 2 2 11" xfId="4336" xr:uid="{CACDD0CA-4DFB-419B-A673-EC8A45936F82}"/>
    <cellStyle name="Cálculo 2 2 2 2 12" xfId="4337" xr:uid="{20DCCD4B-D036-4750-B345-3B9BA4FE151E}"/>
    <cellStyle name="Cálculo 2 2 2 2 13" xfId="4338" xr:uid="{76EA4629-B60A-4DEC-8098-D8DE2706DE85}"/>
    <cellStyle name="Cálculo 2 2 2 2 14" xfId="4339" xr:uid="{5460C08C-BFF1-4565-9F3D-D7731B135D53}"/>
    <cellStyle name="Cálculo 2 2 2 2 15" xfId="4340" xr:uid="{EDEBBEEA-5EE1-4533-BC63-1B64814AE420}"/>
    <cellStyle name="Cálculo 2 2 2 2 16" xfId="4341" xr:uid="{02CA8AA1-2E4A-451E-BA43-DF364522AF22}"/>
    <cellStyle name="Cálculo 2 2 2 2 17" xfId="4342" xr:uid="{B95A7EC0-04E3-4806-BDCA-0FD979EECE5B}"/>
    <cellStyle name="Cálculo 2 2 2 2 18" xfId="4343" xr:uid="{A46F1AD9-5FB1-4E75-9FC4-F3434C2FD79E}"/>
    <cellStyle name="Cálculo 2 2 2 2 18 2" xfId="4344" xr:uid="{AD19E35C-1573-427A-9ED8-2F360AFB7487}"/>
    <cellStyle name="Cálculo 2 2 2 2 18_2013" xfId="4345" xr:uid="{1099E726-C8F5-496B-99B6-4E69A3A3859A}"/>
    <cellStyle name="Cálculo 2 2 2 2 19" xfId="4346" xr:uid="{7649D92A-1F54-4B4D-88EC-53F11136BF1A}"/>
    <cellStyle name="Cálculo 2 2 2 2 2" xfId="4347" xr:uid="{35CB0DD1-DE09-4C56-B92C-AAC43A5B09B3}"/>
    <cellStyle name="Cálculo 2 2 2 2 3" xfId="4348" xr:uid="{E3949FB9-A033-4C08-8F59-07AFC7FE1EB4}"/>
    <cellStyle name="Cálculo 2 2 2 2 4" xfId="4349" xr:uid="{1F49710C-0A1E-458E-8632-AF35A14A7DF0}"/>
    <cellStyle name="Cálculo 2 2 2 2 5" xfId="4350" xr:uid="{BADDBC73-711E-4E84-A313-31A2981D6D29}"/>
    <cellStyle name="Cálculo 2 2 2 2 6" xfId="4351" xr:uid="{6E320FF6-DBAF-46C2-9901-7837F268787F}"/>
    <cellStyle name="Cálculo 2 2 2 2 7" xfId="4352" xr:uid="{AA8D144E-37AC-49EE-AFF9-FDC19F09D482}"/>
    <cellStyle name="Cálculo 2 2 2 2 8" xfId="4353" xr:uid="{333AF101-3125-45BE-BF96-FDC699FC444D}"/>
    <cellStyle name="Cálculo 2 2 2 2 9" xfId="4354" xr:uid="{794F2310-E60E-447B-90A0-BE7B35D55CAD}"/>
    <cellStyle name="Cálculo 2 2 2 2_2013" xfId="4355" xr:uid="{5AB4EFD8-1163-40D7-843B-9D153A0D9389}"/>
    <cellStyle name="Cálculo 2 2 2 20" xfId="4356" xr:uid="{ECC40434-5379-4B0E-87EC-3728F94BF75D}"/>
    <cellStyle name="Cálculo 2 2 2 3" xfId="4357" xr:uid="{82E0409B-2BAE-4EDA-9D91-F342863EC887}"/>
    <cellStyle name="Cálculo 2 2 2 4" xfId="4358" xr:uid="{FC7250E4-7CB1-466E-B7D5-7EC1C251FD10}"/>
    <cellStyle name="Cálculo 2 2 2 5" xfId="4359" xr:uid="{D9AE26F2-3C2E-47EA-A733-604AA75C761B}"/>
    <cellStyle name="Cálculo 2 2 2 6" xfId="4360" xr:uid="{78B3EE17-1987-4417-A3EC-9C49D4AB0FC7}"/>
    <cellStyle name="Cálculo 2 2 2 7" xfId="4361" xr:uid="{E99B6F8D-1A8E-4DCD-B9F2-F721FFFFE37A}"/>
    <cellStyle name="Cálculo 2 2 2 8" xfId="4362" xr:uid="{68716E22-7DB0-4077-8C35-C2BE968DDFD5}"/>
    <cellStyle name="Cálculo 2 2 2 9" xfId="4363" xr:uid="{93E42C79-EA0B-41D5-BEE6-F3E8EEB316F5}"/>
    <cellStyle name="Cálculo 2 2 2_2013" xfId="4364" xr:uid="{54538863-355B-4072-998D-58F91A80482A}"/>
    <cellStyle name="Cálculo 2 2 20" xfId="4365" xr:uid="{DD3664BA-E4A9-4C72-B766-BF7FD693FE67}"/>
    <cellStyle name="Cálculo 2 2 21" xfId="4366" xr:uid="{8C4A5F75-B6CC-407E-99B6-7551042A97D7}"/>
    <cellStyle name="Cálculo 2 2 22" xfId="4367" xr:uid="{0BE2098D-DBDA-4548-9534-32795245874B}"/>
    <cellStyle name="Cálculo 2 2 22 2" xfId="4368" xr:uid="{0DCE0D98-8959-4319-B559-BAB00352DA47}"/>
    <cellStyle name="Cálculo 2 2 22_2013" xfId="4369" xr:uid="{B80DDB95-39DC-4D76-87DF-57AD7CAB26E7}"/>
    <cellStyle name="Cálculo 2 2 23" xfId="4370" xr:uid="{277AEC1E-51E4-4C89-9121-D9E5078B8EDD}"/>
    <cellStyle name="Cálculo 2 2 3" xfId="4371" xr:uid="{74FC7E63-3EAE-4CF1-B1A7-2BA6F86314E7}"/>
    <cellStyle name="Cálculo 2 2 3 10" xfId="4372" xr:uid="{6538E4C4-8515-4127-830E-12CA49B413D0}"/>
    <cellStyle name="Cálculo 2 2 3 11" xfId="4373" xr:uid="{F2AC39E3-03F3-466F-93D0-35E3DBE16200}"/>
    <cellStyle name="Cálculo 2 2 3 12" xfId="4374" xr:uid="{B5175730-082A-48D2-A59F-4270FBE37188}"/>
    <cellStyle name="Cálculo 2 2 3 13" xfId="4375" xr:uid="{4A9F8268-D78F-497A-9F27-C30C7D9B0948}"/>
    <cellStyle name="Cálculo 2 2 3 14" xfId="4376" xr:uid="{52EA459C-5A24-40AE-AAE3-7C37F01D7EE1}"/>
    <cellStyle name="Cálculo 2 2 3 15" xfId="4377" xr:uid="{265898EB-078A-41C2-B535-99A35A0BA434}"/>
    <cellStyle name="Cálculo 2 2 3 16" xfId="4378" xr:uid="{DC3ECB10-EDD6-48E6-B7B8-527D58436D38}"/>
    <cellStyle name="Cálculo 2 2 3 17" xfId="4379" xr:uid="{CF7BD08F-B96F-4B89-9E06-2B07E8B42B69}"/>
    <cellStyle name="Cálculo 2 2 3 18" xfId="4380" xr:uid="{15BA99AA-8F49-4B88-A5FE-FFD562C1415A}"/>
    <cellStyle name="Cálculo 2 2 3 19" xfId="4381" xr:uid="{F9DCA883-7BB2-4983-8B8E-AB13F17A8E35}"/>
    <cellStyle name="Cálculo 2 2 3 19 2" xfId="4382" xr:uid="{08D8E51A-CDF2-41F3-AB05-9A3CC8FAA26D}"/>
    <cellStyle name="Cálculo 2 2 3 19_2013" xfId="4383" xr:uid="{E0EA7749-E8FB-4F3A-9C8B-AADA9FEFCC8B}"/>
    <cellStyle name="Cálculo 2 2 3 2" xfId="4384" xr:uid="{8CE789B3-B9DE-4F77-AE79-CD822023B420}"/>
    <cellStyle name="Cálculo 2 2 3 2 10" xfId="4385" xr:uid="{EBDAB87E-3E28-4F89-BF36-FEE1212D8A97}"/>
    <cellStyle name="Cálculo 2 2 3 2 11" xfId="4386" xr:uid="{604544B1-F4F9-444F-929B-051D01290BAB}"/>
    <cellStyle name="Cálculo 2 2 3 2 12" xfId="4387" xr:uid="{54255426-80E9-4CCA-92EC-9499FB1E813C}"/>
    <cellStyle name="Cálculo 2 2 3 2 13" xfId="4388" xr:uid="{F75F27B3-F14F-442A-AB13-2C2E39BAFA9A}"/>
    <cellStyle name="Cálculo 2 2 3 2 14" xfId="4389" xr:uid="{45E38C23-0E5E-4C63-974D-E87FFD0E412F}"/>
    <cellStyle name="Cálculo 2 2 3 2 15" xfId="4390" xr:uid="{BE8806A5-6898-47D2-8ED5-862F5FC29050}"/>
    <cellStyle name="Cálculo 2 2 3 2 16" xfId="4391" xr:uid="{D60D3FFE-F658-41A4-AA34-3EA33E222882}"/>
    <cellStyle name="Cálculo 2 2 3 2 17" xfId="4392" xr:uid="{D6E16CC7-D082-42C9-9943-2134DE7E7BB9}"/>
    <cellStyle name="Cálculo 2 2 3 2 18" xfId="4393" xr:uid="{B9E5D6AD-C3F9-4718-93DD-958E9FFE9936}"/>
    <cellStyle name="Cálculo 2 2 3 2 18 2" xfId="4394" xr:uid="{33CFE92B-9962-4A70-9410-1D1A32170271}"/>
    <cellStyle name="Cálculo 2 2 3 2 18_2013" xfId="4395" xr:uid="{CD57869A-0C04-49C9-A140-E4B24D0D794B}"/>
    <cellStyle name="Cálculo 2 2 3 2 19" xfId="4396" xr:uid="{2C55B979-86F1-4057-9444-31DF70D9DFC6}"/>
    <cellStyle name="Cálculo 2 2 3 2 2" xfId="4397" xr:uid="{2EBAC83D-3FCE-443A-8031-F8410B4081A5}"/>
    <cellStyle name="Cálculo 2 2 3 2 3" xfId="4398" xr:uid="{44FAA998-2BFF-429B-8562-3B7C95A0F571}"/>
    <cellStyle name="Cálculo 2 2 3 2 4" xfId="4399" xr:uid="{38A7AB2C-9528-4D66-8830-6F599DCA0B58}"/>
    <cellStyle name="Cálculo 2 2 3 2 5" xfId="4400" xr:uid="{55607387-E425-4AA9-80C9-B524ED720AF7}"/>
    <cellStyle name="Cálculo 2 2 3 2 6" xfId="4401" xr:uid="{3BA4E1E8-9064-4CD8-BFF8-C73A71AE4C1A}"/>
    <cellStyle name="Cálculo 2 2 3 2 7" xfId="4402" xr:uid="{B5FA6955-BF03-4F95-820C-EA3F907D52C2}"/>
    <cellStyle name="Cálculo 2 2 3 2 8" xfId="4403" xr:uid="{FD3B85CC-4918-423C-B4A1-DFBFC2777A5F}"/>
    <cellStyle name="Cálculo 2 2 3 2 9" xfId="4404" xr:uid="{9637BD4D-A176-4C20-8775-22441EDB0C40}"/>
    <cellStyle name="Cálculo 2 2 3 2_2013" xfId="4405" xr:uid="{177C8C4F-3698-4D15-8499-075702FBE993}"/>
    <cellStyle name="Cálculo 2 2 3 20" xfId="4406" xr:uid="{AF80B958-6628-4B6E-9C08-C7EB8ED1334A}"/>
    <cellStyle name="Cálculo 2 2 3 3" xfId="4407" xr:uid="{FA539C8C-1039-4118-B445-73B09E34644E}"/>
    <cellStyle name="Cálculo 2 2 3 4" xfId="4408" xr:uid="{49D23850-F09D-417D-80FA-C187F0278040}"/>
    <cellStyle name="Cálculo 2 2 3 5" xfId="4409" xr:uid="{388A10E3-C1EF-4D3C-AEA8-DF318267F36C}"/>
    <cellStyle name="Cálculo 2 2 3 6" xfId="4410" xr:uid="{07F17220-3F93-4E28-9DA9-A51676E1A889}"/>
    <cellStyle name="Cálculo 2 2 3 7" xfId="4411" xr:uid="{21D3850F-18B2-4987-BDC7-19CE5CC02BE2}"/>
    <cellStyle name="Cálculo 2 2 3 8" xfId="4412" xr:uid="{86C9DDCB-2003-4DD5-B151-7D2210C16A29}"/>
    <cellStyle name="Cálculo 2 2 3 9" xfId="4413" xr:uid="{248A1371-6A30-43C1-A2CD-C062697E3ED0}"/>
    <cellStyle name="Cálculo 2 2 3_2013" xfId="4414" xr:uid="{675EF831-B232-47DB-92B2-B67E4BC1C5D9}"/>
    <cellStyle name="Cálculo 2 2 4" xfId="4415" xr:uid="{AD101BBF-E571-4B32-ADC9-C39279C44F5D}"/>
    <cellStyle name="Cálculo 2 2 4 10" xfId="4416" xr:uid="{4DCDDFE2-44B9-4821-A15A-A2559D4B489A}"/>
    <cellStyle name="Cálculo 2 2 4 11" xfId="4417" xr:uid="{E9BFE1C6-6869-46B7-813E-94525095E369}"/>
    <cellStyle name="Cálculo 2 2 4 12" xfId="4418" xr:uid="{2A2610B9-484F-49BB-A37C-1E5F80DA4B3E}"/>
    <cellStyle name="Cálculo 2 2 4 13" xfId="4419" xr:uid="{FCDD3AB9-C683-4E2E-92B1-586F3405AC89}"/>
    <cellStyle name="Cálculo 2 2 4 14" xfId="4420" xr:uid="{F92709C0-7C6F-489F-8987-147B7A29FC6F}"/>
    <cellStyle name="Cálculo 2 2 4 15" xfId="4421" xr:uid="{DB9582F9-6C15-4AC6-B257-B1FA655E8170}"/>
    <cellStyle name="Cálculo 2 2 4 16" xfId="4422" xr:uid="{DD557C16-18AD-4102-9212-ED7FB74A4BAE}"/>
    <cellStyle name="Cálculo 2 2 4 17" xfId="4423" xr:uid="{395081EA-A7E7-40C8-BE86-8297FD247C90}"/>
    <cellStyle name="Cálculo 2 2 4 18" xfId="4424" xr:uid="{325A7030-460A-434B-A57B-2449845C5A24}"/>
    <cellStyle name="Cálculo 2 2 4 19" xfId="4425" xr:uid="{0F514BD4-6B38-4AAB-B658-356E71859D8C}"/>
    <cellStyle name="Cálculo 2 2 4 19 2" xfId="4426" xr:uid="{DBAE83C3-45A2-425A-BD1B-8A8B54BA99A7}"/>
    <cellStyle name="Cálculo 2 2 4 19_2013" xfId="4427" xr:uid="{8FB7EE17-525C-453A-B899-28203B773FC7}"/>
    <cellStyle name="Cálculo 2 2 4 2" xfId="4428" xr:uid="{87DC6301-ACE2-4678-A712-6865361F816F}"/>
    <cellStyle name="Cálculo 2 2 4 2 10" xfId="4429" xr:uid="{9176AAFC-BD3C-4B9C-9D73-3EC1CC62BEDB}"/>
    <cellStyle name="Cálculo 2 2 4 2 11" xfId="4430" xr:uid="{98989894-2434-4C7E-B707-F46164CD0275}"/>
    <cellStyle name="Cálculo 2 2 4 2 12" xfId="4431" xr:uid="{52880FAE-3F27-4034-8485-583005C3FA4C}"/>
    <cellStyle name="Cálculo 2 2 4 2 13" xfId="4432" xr:uid="{B26F439B-1E90-4372-B8F2-82B87AC78E33}"/>
    <cellStyle name="Cálculo 2 2 4 2 14" xfId="4433" xr:uid="{B12C9E10-F6E2-43FC-A56B-DD4F1256DD75}"/>
    <cellStyle name="Cálculo 2 2 4 2 15" xfId="4434" xr:uid="{E74F473A-C05E-46E7-8CA1-82DB5BAB0196}"/>
    <cellStyle name="Cálculo 2 2 4 2 16" xfId="4435" xr:uid="{CA17AD43-2F1C-4970-B7EC-7067DEC7925B}"/>
    <cellStyle name="Cálculo 2 2 4 2 17" xfId="4436" xr:uid="{8C8AF310-6F39-4468-AB22-A78DA5DA9EB8}"/>
    <cellStyle name="Cálculo 2 2 4 2 18" xfId="4437" xr:uid="{C1459765-FE33-4517-AD14-B5183035EFD5}"/>
    <cellStyle name="Cálculo 2 2 4 2 18 2" xfId="4438" xr:uid="{ADC6F8A6-70E7-4616-A26C-D723D99D76D1}"/>
    <cellStyle name="Cálculo 2 2 4 2 18_2013" xfId="4439" xr:uid="{F6B458BF-2231-426D-8E3E-4CD8C6905267}"/>
    <cellStyle name="Cálculo 2 2 4 2 19" xfId="4440" xr:uid="{E938D285-D833-4F6B-871D-F92EE14D1A69}"/>
    <cellStyle name="Cálculo 2 2 4 2 2" xfId="4441" xr:uid="{9D247691-0A6F-42A6-951E-4BA1171D625E}"/>
    <cellStyle name="Cálculo 2 2 4 2 3" xfId="4442" xr:uid="{3CFD9B22-AE61-45FA-BBE3-F808FC195244}"/>
    <cellStyle name="Cálculo 2 2 4 2 4" xfId="4443" xr:uid="{EA050C90-EBE0-4ABA-AAF4-4D3D918FE67B}"/>
    <cellStyle name="Cálculo 2 2 4 2 5" xfId="4444" xr:uid="{7E709D36-C603-487D-AC19-9037B994A4C5}"/>
    <cellStyle name="Cálculo 2 2 4 2 6" xfId="4445" xr:uid="{1F4158BD-CA47-4195-BDFE-654CFD791004}"/>
    <cellStyle name="Cálculo 2 2 4 2 7" xfId="4446" xr:uid="{BAED6F43-721A-4759-BD47-884C82374CA8}"/>
    <cellStyle name="Cálculo 2 2 4 2 8" xfId="4447" xr:uid="{50FD1F0E-4DD2-4320-8798-17A46A9392FC}"/>
    <cellStyle name="Cálculo 2 2 4 2 9" xfId="4448" xr:uid="{8C0732A3-BB7C-49BD-AF60-D1146B0B5B54}"/>
    <cellStyle name="Cálculo 2 2 4 2_2013" xfId="4449" xr:uid="{39896CF4-C274-48F9-B575-235F1EEA78C9}"/>
    <cellStyle name="Cálculo 2 2 4 20" xfId="4450" xr:uid="{96E21A4A-236E-4A69-908D-C2526E8792C7}"/>
    <cellStyle name="Cálculo 2 2 4 3" xfId="4451" xr:uid="{83A195BE-121F-4BD7-AD6D-BA6E2EBD4EBC}"/>
    <cellStyle name="Cálculo 2 2 4 4" xfId="4452" xr:uid="{45FAEDEB-ACC8-4811-9CC0-4E49426029BD}"/>
    <cellStyle name="Cálculo 2 2 4 5" xfId="4453" xr:uid="{E2D15D72-F3EC-4CD9-B1BB-50C0B2BC2C85}"/>
    <cellStyle name="Cálculo 2 2 4 6" xfId="4454" xr:uid="{0B17C7ED-A3F4-4E07-8159-05F5636A34C1}"/>
    <cellStyle name="Cálculo 2 2 4 7" xfId="4455" xr:uid="{C787114A-2608-4CDC-821F-C3807EB684F6}"/>
    <cellStyle name="Cálculo 2 2 4 8" xfId="4456" xr:uid="{3105AF55-739C-45BE-AC3B-9CDB4FF3E02C}"/>
    <cellStyle name="Cálculo 2 2 4 9" xfId="4457" xr:uid="{79EE8DAD-67F9-4B4A-A9B4-60B35451F433}"/>
    <cellStyle name="Cálculo 2 2 4_2013" xfId="4458" xr:uid="{2A077A09-998A-4557-934A-8D53322F60C7}"/>
    <cellStyle name="Cálculo 2 2 5" xfId="4459" xr:uid="{5644AADA-32EE-4183-BD99-92F8CE7CBE0E}"/>
    <cellStyle name="Cálculo 2 2 5 10" xfId="4460" xr:uid="{CCE3FA76-4C79-4254-8442-F685BCE86F14}"/>
    <cellStyle name="Cálculo 2 2 5 11" xfId="4461" xr:uid="{6BA78990-B9A3-4A27-B213-9EBF06B46D8F}"/>
    <cellStyle name="Cálculo 2 2 5 12" xfId="4462" xr:uid="{C54C7354-D571-4DCB-A292-4885AC74DC98}"/>
    <cellStyle name="Cálculo 2 2 5 13" xfId="4463" xr:uid="{15765D16-6D19-4235-AFE3-F2F54E8BCC01}"/>
    <cellStyle name="Cálculo 2 2 5 14" xfId="4464" xr:uid="{0281C544-82EE-4F7F-BDD9-FEAA0C544C64}"/>
    <cellStyle name="Cálculo 2 2 5 15" xfId="4465" xr:uid="{F0DD59D7-83F4-48C2-8082-D5C3D7E3C21A}"/>
    <cellStyle name="Cálculo 2 2 5 16" xfId="4466" xr:uid="{9B7CAB0E-E31F-4CFE-A781-78121CDAC4E3}"/>
    <cellStyle name="Cálculo 2 2 5 17" xfId="4467" xr:uid="{B92997B2-0F9D-4524-ACBC-2D31F5CFDA0E}"/>
    <cellStyle name="Cálculo 2 2 5 18" xfId="4468" xr:uid="{50E4AE47-810B-4709-A4C3-11AD5D1C4150}"/>
    <cellStyle name="Cálculo 2 2 5 18 2" xfId="4469" xr:uid="{DEF6C745-972E-4756-A5EE-29E98BCA5EF8}"/>
    <cellStyle name="Cálculo 2 2 5 18_2013" xfId="4470" xr:uid="{5361DAEB-7D75-4570-8584-5172BFD19ADB}"/>
    <cellStyle name="Cálculo 2 2 5 19" xfId="4471" xr:uid="{CAC9DE52-719A-45F0-983E-8415BE7ED72A}"/>
    <cellStyle name="Cálculo 2 2 5 2" xfId="4472" xr:uid="{2B3B7BC4-4066-47B2-9B4D-5A40C8D2AD0B}"/>
    <cellStyle name="Cálculo 2 2 5 3" xfId="4473" xr:uid="{3181D6D0-6B08-45EA-814B-B0DC419AA4D2}"/>
    <cellStyle name="Cálculo 2 2 5 4" xfId="4474" xr:uid="{D9C9F3FB-302D-4442-A65E-DFCADFD1D1AA}"/>
    <cellStyle name="Cálculo 2 2 5 5" xfId="4475" xr:uid="{4F17021B-39CC-4B71-8F11-7651EDC96CE1}"/>
    <cellStyle name="Cálculo 2 2 5 6" xfId="4476" xr:uid="{72B0F270-D9D1-49BA-AA79-61401CEF3901}"/>
    <cellStyle name="Cálculo 2 2 5 7" xfId="4477" xr:uid="{9B52CBA7-9070-4546-81F2-2CB1B84EFB21}"/>
    <cellStyle name="Cálculo 2 2 5 8" xfId="4478" xr:uid="{DE34D4FF-0C44-4E4F-AF13-F31C58229C5B}"/>
    <cellStyle name="Cálculo 2 2 5 9" xfId="4479" xr:uid="{57883270-A6B6-4648-A4B2-02583B670B2B}"/>
    <cellStyle name="Cálculo 2 2 5_2013" xfId="4480" xr:uid="{A5BDE3EC-4993-468F-93F5-FF40C518C643}"/>
    <cellStyle name="Cálculo 2 2 6" xfId="4481" xr:uid="{FD084186-EEE9-471A-89D8-0750322D740B}"/>
    <cellStyle name="Cálculo 2 2 7" xfId="4482" xr:uid="{436067F4-AFFF-4E72-9662-F4759728CF9E}"/>
    <cellStyle name="Cálculo 2 2 8" xfId="4483" xr:uid="{228C0E33-0952-48A9-9C53-2C83D54B38F2}"/>
    <cellStyle name="Cálculo 2 2 9" xfId="4484" xr:uid="{C354331F-DFC8-49C1-94EC-358C8FFB41BE}"/>
    <cellStyle name="Cálculo 2 2_2013" xfId="4485" xr:uid="{8FD83378-7428-417A-8E94-6C93617952CE}"/>
    <cellStyle name="Cálculo 2 20" xfId="4486" xr:uid="{C9D025F1-D1A8-46CF-8624-2869E29F38F4}"/>
    <cellStyle name="Cálculo 2 21" xfId="4487" xr:uid="{EFA0998B-8A67-459F-86FD-8F64071B5D79}"/>
    <cellStyle name="Cálculo 2 22" xfId="4488" xr:uid="{9ABE5977-31D6-435D-ABC0-C2E22EE8A020}"/>
    <cellStyle name="Cálculo 2 23" xfId="4489" xr:uid="{3F4BD23F-FE53-4CD3-A4F1-BC23739933FC}"/>
    <cellStyle name="Cálculo 2 23 2" xfId="4490" xr:uid="{565C250D-195D-4619-89CA-57D8CEE6DE39}"/>
    <cellStyle name="Cálculo 2 23_2013" xfId="4491" xr:uid="{FD915907-FFEC-4B5D-B135-09E599149CD3}"/>
    <cellStyle name="Cálculo 2 24" xfId="4492" xr:uid="{5FE6B472-6CC2-410C-ABB3-788A4D56A4E9}"/>
    <cellStyle name="Cálculo 2 3" xfId="4493" xr:uid="{80C46591-82B7-4380-AD0B-F4A2EEE0B6C9}"/>
    <cellStyle name="Cálculo 2 3 10" xfId="4494" xr:uid="{AE306E3D-DC20-4E29-9C98-D69943B2F174}"/>
    <cellStyle name="Cálculo 2 3 11" xfId="4495" xr:uid="{D6E0E24C-1A32-46DE-87F9-C8CE7C4ACC58}"/>
    <cellStyle name="Cálculo 2 3 12" xfId="4496" xr:uid="{7DF0A4E8-0B22-418B-BC0B-88483F00C794}"/>
    <cellStyle name="Cálculo 2 3 13" xfId="4497" xr:uid="{E2A8A377-DE0A-4274-A921-AD21E2948C73}"/>
    <cellStyle name="Cálculo 2 3 14" xfId="4498" xr:uid="{2901B69D-8998-4C3F-9119-B08708063529}"/>
    <cellStyle name="Cálculo 2 3 15" xfId="4499" xr:uid="{A3C456A7-7118-452B-A584-C3FB28348978}"/>
    <cellStyle name="Cálculo 2 3 16" xfId="4500" xr:uid="{14F3071D-9EC5-4D88-BEF5-C325EA6D9AF8}"/>
    <cellStyle name="Cálculo 2 3 17" xfId="4501" xr:uid="{F5D77916-0073-45D5-8978-26CC03908FD9}"/>
    <cellStyle name="Cálculo 2 3 18" xfId="4502" xr:uid="{AD48A92B-F6C5-4BE8-A316-CF926520701E}"/>
    <cellStyle name="Cálculo 2 3 19" xfId="4503" xr:uid="{2C1D1801-C0AA-48B6-8AF9-C8A6A6C4821F}"/>
    <cellStyle name="Cálculo 2 3 19 2" xfId="4504" xr:uid="{8A4C8E06-D9C1-479D-9745-1B64669B89D4}"/>
    <cellStyle name="Cálculo 2 3 19_2013" xfId="4505" xr:uid="{EE34B1C4-32C8-4AF2-B40A-6AB307A96A46}"/>
    <cellStyle name="Cálculo 2 3 2" xfId="4506" xr:uid="{830878DD-86E8-4817-967E-A2A2EB283E6C}"/>
    <cellStyle name="Cálculo 2 3 2 10" xfId="4507" xr:uid="{4103AFB5-ED29-4CD1-8146-A52AD292ED85}"/>
    <cellStyle name="Cálculo 2 3 2 11" xfId="4508" xr:uid="{E20F28F5-983A-4833-B1B4-457D9B0E8240}"/>
    <cellStyle name="Cálculo 2 3 2 12" xfId="4509" xr:uid="{FB07D604-904C-45C1-A53F-E4D329262050}"/>
    <cellStyle name="Cálculo 2 3 2 13" xfId="4510" xr:uid="{975D44A1-98ED-4125-B638-A94D0302F7B4}"/>
    <cellStyle name="Cálculo 2 3 2 14" xfId="4511" xr:uid="{BB41AE27-3D2D-408B-9424-3B5499E027AF}"/>
    <cellStyle name="Cálculo 2 3 2 15" xfId="4512" xr:uid="{196D792F-2DDD-4EBB-8F05-CEF73D009BA7}"/>
    <cellStyle name="Cálculo 2 3 2 16" xfId="4513" xr:uid="{61CE0AB3-7BBB-40C6-938F-6CA217CF3FFD}"/>
    <cellStyle name="Cálculo 2 3 2 17" xfId="4514" xr:uid="{6E608CC4-5FDE-4D1B-A112-C6C345D14E49}"/>
    <cellStyle name="Cálculo 2 3 2 18" xfId="4515" xr:uid="{60D3FE75-2FB8-4AE1-A88E-13B53ED47CB0}"/>
    <cellStyle name="Cálculo 2 3 2 18 2" xfId="4516" xr:uid="{338B517E-5BE6-4675-B402-792F1FA400DB}"/>
    <cellStyle name="Cálculo 2 3 2 18_2013" xfId="4517" xr:uid="{866AAD8C-9EB5-438C-9D53-270B65166B2E}"/>
    <cellStyle name="Cálculo 2 3 2 19" xfId="4518" xr:uid="{16761D4D-1C41-4E1E-9758-9D7ABF79863F}"/>
    <cellStyle name="Cálculo 2 3 2 2" xfId="4519" xr:uid="{3250B3D6-5F02-4298-ACB0-996886FDD86A}"/>
    <cellStyle name="Cálculo 2 3 2 3" xfId="4520" xr:uid="{CD311997-E3F5-4B80-834B-B6EAADEA83FE}"/>
    <cellStyle name="Cálculo 2 3 2 4" xfId="4521" xr:uid="{CDD27D11-3A65-4C2F-BC1D-4F9663BF89B9}"/>
    <cellStyle name="Cálculo 2 3 2 5" xfId="4522" xr:uid="{F7BCB11A-C9BA-496F-A8BF-B0C07260E12A}"/>
    <cellStyle name="Cálculo 2 3 2 6" xfId="4523" xr:uid="{85B1FD9D-F1E4-44DE-AA59-956E4BE356CF}"/>
    <cellStyle name="Cálculo 2 3 2 7" xfId="4524" xr:uid="{678F3DF7-CDC3-466E-AF3B-EC60C54B1A7E}"/>
    <cellStyle name="Cálculo 2 3 2 8" xfId="4525" xr:uid="{F17D4868-21D2-4D9C-98C2-84D0BFD7EB70}"/>
    <cellStyle name="Cálculo 2 3 2 9" xfId="4526" xr:uid="{28CE8A64-CE1B-4BF6-9A47-DB3AAF79DB43}"/>
    <cellStyle name="Cálculo 2 3 2_2013" xfId="4527" xr:uid="{F13D1A33-5EE7-41B5-8CA4-9D8BDEBEA537}"/>
    <cellStyle name="Cálculo 2 3 20" xfId="4528" xr:uid="{8F3B8A96-CC9E-4DE6-8E4B-7FDF72D482A6}"/>
    <cellStyle name="Cálculo 2 3 3" xfId="4529" xr:uid="{E5571A71-0732-4A6F-BA4B-CAA4C7934FF3}"/>
    <cellStyle name="Cálculo 2 3 4" xfId="4530" xr:uid="{E721C1A1-5C7B-417F-8C22-AC2C348BCB2B}"/>
    <cellStyle name="Cálculo 2 3 5" xfId="4531" xr:uid="{22384236-2774-4FB6-B43C-9D9C6AE2441D}"/>
    <cellStyle name="Cálculo 2 3 6" xfId="4532" xr:uid="{CC19365F-8FD4-4758-BD50-3FB2B52EA768}"/>
    <cellStyle name="Cálculo 2 3 7" xfId="4533" xr:uid="{691F13EF-5E86-41E6-B5D5-144F6B68F5DE}"/>
    <cellStyle name="Cálculo 2 3 8" xfId="4534" xr:uid="{3D75DCF0-EA5A-4551-B53D-BB941EC0FD4F}"/>
    <cellStyle name="Cálculo 2 3 9" xfId="4535" xr:uid="{15A92F25-57B2-4C51-9626-531D28387E7A}"/>
    <cellStyle name="Cálculo 2 3_2013" xfId="4536" xr:uid="{DACF83B7-D06A-40DA-9B18-FCF78BFCED2C}"/>
    <cellStyle name="Cálculo 2 4" xfId="4537" xr:uid="{C272DB10-A73C-479A-BD32-06DE1C7C1EE2}"/>
    <cellStyle name="Cálculo 2 4 10" xfId="4538" xr:uid="{0EA24A0D-F143-4C87-89FD-495EB782620D}"/>
    <cellStyle name="Cálculo 2 4 11" xfId="4539" xr:uid="{4BAE190C-7939-466D-AC53-ED48287249F9}"/>
    <cellStyle name="Cálculo 2 4 12" xfId="4540" xr:uid="{8A152B73-6A2C-4605-BAF8-F04AA516B9DD}"/>
    <cellStyle name="Cálculo 2 4 13" xfId="4541" xr:uid="{303A8FF8-515E-4146-806E-211851AC8269}"/>
    <cellStyle name="Cálculo 2 4 14" xfId="4542" xr:uid="{AED889BC-E36B-491B-BCD7-C2919BD47EF4}"/>
    <cellStyle name="Cálculo 2 4 15" xfId="4543" xr:uid="{5DA6B528-D807-40F3-87DD-33534F96A121}"/>
    <cellStyle name="Cálculo 2 4 16" xfId="4544" xr:uid="{D367CAC8-39BD-4B53-8D1A-159C78FD19A7}"/>
    <cellStyle name="Cálculo 2 4 17" xfId="4545" xr:uid="{01762E71-BC6E-42D3-8F8F-900A6E014481}"/>
    <cellStyle name="Cálculo 2 4 18" xfId="4546" xr:uid="{AE497AAA-67D7-4471-9BB4-071E54FB4CA6}"/>
    <cellStyle name="Cálculo 2 4 19" xfId="4547" xr:uid="{472EE218-6D14-47ED-982E-FEE17D840A84}"/>
    <cellStyle name="Cálculo 2 4 19 2" xfId="4548" xr:uid="{20051951-F6FA-4D1C-8A14-F0F027BFA76C}"/>
    <cellStyle name="Cálculo 2 4 19_2013" xfId="4549" xr:uid="{849FA031-3643-4D97-8A6D-74D7F2EC0DB0}"/>
    <cellStyle name="Cálculo 2 4 2" xfId="4550" xr:uid="{A9590AF8-B828-48F8-899B-5063B94BA596}"/>
    <cellStyle name="Cálculo 2 4 2 10" xfId="4551" xr:uid="{3565BC15-C88D-48F0-ACEE-9659C2442E50}"/>
    <cellStyle name="Cálculo 2 4 2 11" xfId="4552" xr:uid="{FFF9B93B-7E67-4DE2-9AE2-3A744069D23B}"/>
    <cellStyle name="Cálculo 2 4 2 12" xfId="4553" xr:uid="{4A0A4727-5818-4FC4-B273-F022F9E523C8}"/>
    <cellStyle name="Cálculo 2 4 2 13" xfId="4554" xr:uid="{2487D52F-F00A-4E94-B5C8-9920B6A4C5B7}"/>
    <cellStyle name="Cálculo 2 4 2 14" xfId="4555" xr:uid="{C49993C5-9FCA-4555-A714-DF0103807430}"/>
    <cellStyle name="Cálculo 2 4 2 15" xfId="4556" xr:uid="{DDD22F28-4B1B-4704-8848-385CE88827B4}"/>
    <cellStyle name="Cálculo 2 4 2 16" xfId="4557" xr:uid="{BC6F9EE2-A009-450D-BF81-8FFCEE62453F}"/>
    <cellStyle name="Cálculo 2 4 2 17" xfId="4558" xr:uid="{1DCA9D2F-B560-4434-B0D8-82F845E17DD1}"/>
    <cellStyle name="Cálculo 2 4 2 18" xfId="4559" xr:uid="{E0BF931D-253D-4291-B4C4-6B27D6DCA080}"/>
    <cellStyle name="Cálculo 2 4 2 18 2" xfId="4560" xr:uid="{B53B04A5-5BB8-4334-B5CB-7509EE6110A1}"/>
    <cellStyle name="Cálculo 2 4 2 18_2013" xfId="4561" xr:uid="{14CA8686-F4A0-4686-A8FF-2C16447029B9}"/>
    <cellStyle name="Cálculo 2 4 2 19" xfId="4562" xr:uid="{B88EDAE6-1168-4705-AB19-39275F13AC4F}"/>
    <cellStyle name="Cálculo 2 4 2 2" xfId="4563" xr:uid="{43EC956D-CA84-4496-8999-5EC0EA0F875F}"/>
    <cellStyle name="Cálculo 2 4 2 3" xfId="4564" xr:uid="{F876CECC-325E-46E5-A37D-7116331A9429}"/>
    <cellStyle name="Cálculo 2 4 2 4" xfId="4565" xr:uid="{FC68611B-CBED-4F4E-BDF0-9AFBC360C406}"/>
    <cellStyle name="Cálculo 2 4 2 5" xfId="4566" xr:uid="{6FF545F6-8791-4602-8B62-7E099B7F61D6}"/>
    <cellStyle name="Cálculo 2 4 2 6" xfId="4567" xr:uid="{2A840DD8-BD54-447F-8AFE-30150EA7E45D}"/>
    <cellStyle name="Cálculo 2 4 2 7" xfId="4568" xr:uid="{EA6342E3-CA42-4F7C-A052-F473665612D2}"/>
    <cellStyle name="Cálculo 2 4 2 8" xfId="4569" xr:uid="{DA5AAC8F-2C49-44FA-A129-640BC5B7C40D}"/>
    <cellStyle name="Cálculo 2 4 2 9" xfId="4570" xr:uid="{F8A16282-52E9-48FD-8289-DC9663E379F4}"/>
    <cellStyle name="Cálculo 2 4 2_2013" xfId="4571" xr:uid="{C8F4685B-8DDA-4A13-89A8-87EF02053849}"/>
    <cellStyle name="Cálculo 2 4 20" xfId="4572" xr:uid="{DB1D0EA9-58F1-4D32-A499-3A563404A93D}"/>
    <cellStyle name="Cálculo 2 4 3" xfId="4573" xr:uid="{5C59C6B6-92E1-4CFB-9379-D960DE260976}"/>
    <cellStyle name="Cálculo 2 4 4" xfId="4574" xr:uid="{BA0A9240-8FBA-43CE-88E3-9B66FBD3639A}"/>
    <cellStyle name="Cálculo 2 4 5" xfId="4575" xr:uid="{F8BA5009-E3B1-44DD-98DF-63D729D0949B}"/>
    <cellStyle name="Cálculo 2 4 6" xfId="4576" xr:uid="{D7F602F8-4D89-47F1-B584-D69970EF7FDE}"/>
    <cellStyle name="Cálculo 2 4 7" xfId="4577" xr:uid="{9D7BDF99-CE2C-4038-93F5-0AF298A863EA}"/>
    <cellStyle name="Cálculo 2 4 8" xfId="4578" xr:uid="{2CC0EA3C-85A3-4175-9B98-B866F3768E59}"/>
    <cellStyle name="Cálculo 2 4 9" xfId="4579" xr:uid="{4D46661F-D306-4C20-8C3F-3F45EC81D885}"/>
    <cellStyle name="Cálculo 2 4_2013" xfId="4580" xr:uid="{BEEF8A18-C108-4DFF-B6AA-35559CD9FE29}"/>
    <cellStyle name="Cálculo 2 5" xfId="4581" xr:uid="{C2ADEDA6-363A-4EEF-81D9-CF971AF0C445}"/>
    <cellStyle name="Cálculo 2 5 10" xfId="4582" xr:uid="{617A4EA7-2D3A-4BA5-A5F3-C28B667FAD15}"/>
    <cellStyle name="Cálculo 2 5 11" xfId="4583" xr:uid="{7E4A1951-0B52-4E81-888E-641DD85C418F}"/>
    <cellStyle name="Cálculo 2 5 12" xfId="4584" xr:uid="{6CF1035F-C540-42A9-90CC-2BFC8FF185C1}"/>
    <cellStyle name="Cálculo 2 5 13" xfId="4585" xr:uid="{FD4B1243-3519-4EE0-9C00-F37D9BA5F280}"/>
    <cellStyle name="Cálculo 2 5 14" xfId="4586" xr:uid="{14ED4F78-FE2B-4B2C-B70D-0DFA98779F3B}"/>
    <cellStyle name="Cálculo 2 5 15" xfId="4587" xr:uid="{A0338103-E3F1-41C3-9A61-3FB302A9B139}"/>
    <cellStyle name="Cálculo 2 5 16" xfId="4588" xr:uid="{C5E9DE75-165A-4F11-97D0-2CAC577E6010}"/>
    <cellStyle name="Cálculo 2 5 17" xfId="4589" xr:uid="{2599A7D8-D286-4037-A32A-E1382D2E1841}"/>
    <cellStyle name="Cálculo 2 5 18" xfId="4590" xr:uid="{D81E7596-F3BF-41DE-9CAE-933087D8C777}"/>
    <cellStyle name="Cálculo 2 5 19" xfId="4591" xr:uid="{4ED2EB0E-7A23-4AE1-8847-1FA37B56B2E8}"/>
    <cellStyle name="Cálculo 2 5 19 2" xfId="4592" xr:uid="{1F787697-9E18-4534-AF0F-21C67F2D01DD}"/>
    <cellStyle name="Cálculo 2 5 19_2013" xfId="4593" xr:uid="{4A269AB5-6473-4E3B-A6B9-0DCC4176B86A}"/>
    <cellStyle name="Cálculo 2 5 2" xfId="4594" xr:uid="{496630B7-D8C5-47DC-8645-C3EBA96B1E7B}"/>
    <cellStyle name="Cálculo 2 5 2 10" xfId="4595" xr:uid="{7F8C9FBC-31DC-4585-BEB4-9B7C21F7A850}"/>
    <cellStyle name="Cálculo 2 5 2 11" xfId="4596" xr:uid="{E163FA62-9398-4EAA-A8B8-344E43A91751}"/>
    <cellStyle name="Cálculo 2 5 2 12" xfId="4597" xr:uid="{03B86ABB-344D-4EF7-A26C-0D6B4E6893C1}"/>
    <cellStyle name="Cálculo 2 5 2 13" xfId="4598" xr:uid="{87F9B203-31A3-460F-938F-9CA6AF4BFFF2}"/>
    <cellStyle name="Cálculo 2 5 2 14" xfId="4599" xr:uid="{7B448FE1-8EB4-46AB-8149-C4145C45177B}"/>
    <cellStyle name="Cálculo 2 5 2 15" xfId="4600" xr:uid="{ED41CC59-3EDD-47C4-8C7B-21C4721441F7}"/>
    <cellStyle name="Cálculo 2 5 2 16" xfId="4601" xr:uid="{BD74E5D1-088B-465B-B77C-2750DBA4E112}"/>
    <cellStyle name="Cálculo 2 5 2 17" xfId="4602" xr:uid="{91AC8274-F825-45C8-A090-CD29F2718E1D}"/>
    <cellStyle name="Cálculo 2 5 2 18" xfId="4603" xr:uid="{297E9DEC-B8CB-4A64-AB00-D66ACF4C3619}"/>
    <cellStyle name="Cálculo 2 5 2 18 2" xfId="4604" xr:uid="{A4C5DD6C-A908-4797-A3A6-22CB2A5C250F}"/>
    <cellStyle name="Cálculo 2 5 2 18_2013" xfId="4605" xr:uid="{C166C7B4-31CF-437B-A669-79FAE7A210EF}"/>
    <cellStyle name="Cálculo 2 5 2 19" xfId="4606" xr:uid="{019FD672-D382-4C94-BA40-19C795BFE975}"/>
    <cellStyle name="Cálculo 2 5 2 2" xfId="4607" xr:uid="{58E77223-ABD8-4629-BC68-CA6784994E3B}"/>
    <cellStyle name="Cálculo 2 5 2 3" xfId="4608" xr:uid="{208DF6F8-9CEE-4850-8871-C277AAE6DB99}"/>
    <cellStyle name="Cálculo 2 5 2 4" xfId="4609" xr:uid="{E5659418-F24E-4583-B181-CDC7D5E7681B}"/>
    <cellStyle name="Cálculo 2 5 2 5" xfId="4610" xr:uid="{42C31BEA-9245-4975-AAA9-C82C6E7F6EC0}"/>
    <cellStyle name="Cálculo 2 5 2 6" xfId="4611" xr:uid="{1CE7BC4E-5803-4E19-A036-9CD280CD17A1}"/>
    <cellStyle name="Cálculo 2 5 2 7" xfId="4612" xr:uid="{5C1DFEBC-77AD-4D5B-B1FF-6116AF80BC33}"/>
    <cellStyle name="Cálculo 2 5 2 8" xfId="4613" xr:uid="{7EE777D3-285D-43E0-80C4-3023C5B23A0A}"/>
    <cellStyle name="Cálculo 2 5 2 9" xfId="4614" xr:uid="{3DB37C84-AD08-4CD3-84C6-9E38A651A460}"/>
    <cellStyle name="Cálculo 2 5 2_2013" xfId="4615" xr:uid="{56860F59-C1B6-46DC-9765-C5196A3A4B0F}"/>
    <cellStyle name="Cálculo 2 5 20" xfId="4616" xr:uid="{5947506D-86EC-45B9-BF49-A80F2FFB2258}"/>
    <cellStyle name="Cálculo 2 5 3" xfId="4617" xr:uid="{7121D678-C84E-447C-89C9-098B1F5A45E7}"/>
    <cellStyle name="Cálculo 2 5 4" xfId="4618" xr:uid="{8022A6E3-531D-4467-B892-6A9095AE1067}"/>
    <cellStyle name="Cálculo 2 5 5" xfId="4619" xr:uid="{7C2C60D4-C263-4628-8F2A-0B6E00CDE237}"/>
    <cellStyle name="Cálculo 2 5 6" xfId="4620" xr:uid="{1A128733-86CD-4EE4-943C-AA8551E5F6E4}"/>
    <cellStyle name="Cálculo 2 5 7" xfId="4621" xr:uid="{80A4A7C9-E71A-4122-BD3F-B86D0E3D9965}"/>
    <cellStyle name="Cálculo 2 5 8" xfId="4622" xr:uid="{AB3F1142-65DD-4C01-8EBA-8E10EAA82510}"/>
    <cellStyle name="Cálculo 2 5 9" xfId="4623" xr:uid="{7F72CBF6-C3BF-450F-BB33-813C75E785F9}"/>
    <cellStyle name="Cálculo 2 5_2013" xfId="4624" xr:uid="{BE33BEEE-D17F-4D23-8FE7-569047ABAA7A}"/>
    <cellStyle name="Cálculo 2 6" xfId="4625" xr:uid="{4BC50E33-047A-496B-9F08-57A40B3484FE}"/>
    <cellStyle name="Cálculo 2 6 10" xfId="4626" xr:uid="{379249BF-DC34-448E-952E-FDBC30650751}"/>
    <cellStyle name="Cálculo 2 6 11" xfId="4627" xr:uid="{CD5C710D-832F-44A3-8AB5-718B66CAF59C}"/>
    <cellStyle name="Cálculo 2 6 12" xfId="4628" xr:uid="{F1DDFE42-1C22-4206-B398-D844E43C82A4}"/>
    <cellStyle name="Cálculo 2 6 13" xfId="4629" xr:uid="{3C14684D-8258-44B6-B25A-DAE30B9A75ED}"/>
    <cellStyle name="Cálculo 2 6 14" xfId="4630" xr:uid="{CA2E7082-52E0-401F-9D99-85A9EE2C085B}"/>
    <cellStyle name="Cálculo 2 6 15" xfId="4631" xr:uid="{23D45BF7-0088-457B-81F5-28407A010C68}"/>
    <cellStyle name="Cálculo 2 6 16" xfId="4632" xr:uid="{2C68431A-96AE-436D-8BB9-394DC5B10F29}"/>
    <cellStyle name="Cálculo 2 6 17" xfId="4633" xr:uid="{43D43255-8535-459C-915C-D7022CA3755A}"/>
    <cellStyle name="Cálculo 2 6 18" xfId="4634" xr:uid="{1BEB6340-0CA1-489E-807A-11791217935E}"/>
    <cellStyle name="Cálculo 2 6 18 2" xfId="4635" xr:uid="{74C8825C-8E2A-4A0F-AC6A-8A860ABF188B}"/>
    <cellStyle name="Cálculo 2 6 18_2013" xfId="4636" xr:uid="{A5568712-D3D2-48A1-8AAD-FEB296B664B9}"/>
    <cellStyle name="Cálculo 2 6 19" xfId="4637" xr:uid="{AB2BDC94-B75B-47B7-BA9E-3C25BDD6DC14}"/>
    <cellStyle name="Cálculo 2 6 2" xfId="4638" xr:uid="{5ACBE243-14E8-493F-8CB3-969B37AE1FB1}"/>
    <cellStyle name="Cálculo 2 6 3" xfId="4639" xr:uid="{6B3BB4DB-3A7E-4797-A8C3-5968F90E8037}"/>
    <cellStyle name="Cálculo 2 6 4" xfId="4640" xr:uid="{E5A4E55D-B106-4CE3-BEC9-D0CA9944FCE4}"/>
    <cellStyle name="Cálculo 2 6 5" xfId="4641" xr:uid="{26FAE9C8-12E1-43F8-AB89-9B0322107F46}"/>
    <cellStyle name="Cálculo 2 6 6" xfId="4642" xr:uid="{F4D50678-519A-41F1-A121-65F53E0E5B92}"/>
    <cellStyle name="Cálculo 2 6 7" xfId="4643" xr:uid="{DB5A7591-522D-4571-ADD2-8B1F054E94EC}"/>
    <cellStyle name="Cálculo 2 6 8" xfId="4644" xr:uid="{1C985ADB-4CFB-4474-A73F-6E4CA1B763E1}"/>
    <cellStyle name="Cálculo 2 6 9" xfId="4645" xr:uid="{BD1AD07C-738E-49B0-82F3-E7AD4A4D1FE5}"/>
    <cellStyle name="Cálculo 2 6_2013" xfId="4646" xr:uid="{115C3894-2A21-469F-9D3D-A2A966404709}"/>
    <cellStyle name="Cálculo 2 7" xfId="4647" xr:uid="{3CF1B483-01DF-42C3-947F-38D435FBC9FA}"/>
    <cellStyle name="Cálculo 2 8" xfId="4648" xr:uid="{87F7409D-BDD2-43D8-8BBB-1138525E0279}"/>
    <cellStyle name="Cálculo 2 9" xfId="4649" xr:uid="{6C44FBC1-E149-4341-90E8-E4E7EB40BCC5}"/>
    <cellStyle name="Cálculo 2_2013" xfId="4650" xr:uid="{D6471AF9-10A1-4E35-961B-6765EB0D10E6}"/>
    <cellStyle name="Cálculo 20" xfId="4651" xr:uid="{6CE323C4-D251-4075-A566-C34B6A63DA4B}"/>
    <cellStyle name="Cálculo 21" xfId="4652" xr:uid="{80AD4FFC-9217-4FBA-A845-5F0C6572EA78}"/>
    <cellStyle name="Cálculo 22" xfId="4653" xr:uid="{4D3720DB-58AE-402B-AEE4-1C23E572858F}"/>
    <cellStyle name="Cálculo 23" xfId="4654" xr:uid="{C89499E8-E561-45CE-B8B8-FB88772AC767}"/>
    <cellStyle name="Cálculo 24" xfId="4655" xr:uid="{73E47437-6B91-4579-9F19-2DC2978EED06}"/>
    <cellStyle name="Cálculo 25" xfId="4656" xr:uid="{E8EFB46A-B103-4D95-9912-1DBA8D822976}"/>
    <cellStyle name="Cálculo 26" xfId="4657" xr:uid="{0591306C-E029-49E8-B32D-734373F08C4B}"/>
    <cellStyle name="Cálculo 27" xfId="4658" xr:uid="{AFA6BDC5-8814-4DFF-84C3-7245DD6F4751}"/>
    <cellStyle name="Cálculo 3" xfId="4659" xr:uid="{928301C1-295D-45CA-93A3-7553003985B2}"/>
    <cellStyle name="Cálculo 3 10" xfId="4660" xr:uid="{1B1B0E06-92DF-4DFD-8DD2-99C534D5E110}"/>
    <cellStyle name="Cálculo 3 11" xfId="4661" xr:uid="{009C5152-8005-4A23-AA6D-9C7C89E8F81F}"/>
    <cellStyle name="Cálculo 3 12" xfId="4662" xr:uid="{3B605404-6FD3-4566-8C15-188B368524DE}"/>
    <cellStyle name="Cálculo 3 13" xfId="4663" xr:uid="{403840AD-1709-4AC6-B0F1-521DDC415B2B}"/>
    <cellStyle name="Cálculo 3 14" xfId="4664" xr:uid="{F1043912-1DAA-45CC-BA22-2E5B9C28A3CC}"/>
    <cellStyle name="Cálculo 3 15" xfId="4665" xr:uid="{F6D7A219-BBC1-4ED4-B16D-AA8C7170DA33}"/>
    <cellStyle name="Cálculo 3 16" xfId="4666" xr:uid="{1EC7E147-C5C2-4368-8B02-528B370AFC0F}"/>
    <cellStyle name="Cálculo 3 17" xfId="4667" xr:uid="{5BD23501-28A9-44A8-AD2F-4540351835AF}"/>
    <cellStyle name="Cálculo 3 18" xfId="4668" xr:uid="{EEDD598D-A1CF-4D27-8D56-2702AC4666C2}"/>
    <cellStyle name="Cálculo 3 19" xfId="4669" xr:uid="{C1AD0495-1A2C-4F20-AE71-0F4569692E45}"/>
    <cellStyle name="Cálculo 3 2" xfId="4670" xr:uid="{8FAF360D-D6C8-446C-AAAC-BCBFF80F6DAC}"/>
    <cellStyle name="Cálculo 3 2 10" xfId="4671" xr:uid="{351D8A57-0906-486D-831F-D08172C3722E}"/>
    <cellStyle name="Cálculo 3 2 11" xfId="4672" xr:uid="{3D845B36-EB1C-405A-BAC4-5DBB3D3B552E}"/>
    <cellStyle name="Cálculo 3 2 12" xfId="4673" xr:uid="{FA903B5B-0685-49DF-AD1D-22E13F645AFF}"/>
    <cellStyle name="Cálculo 3 2 13" xfId="4674" xr:uid="{F79D59FA-67DE-412E-A61B-9F1CDE7A0624}"/>
    <cellStyle name="Cálculo 3 2 14" xfId="4675" xr:uid="{7E0BF449-3515-474C-895B-7E7F226AF016}"/>
    <cellStyle name="Cálculo 3 2 15" xfId="4676" xr:uid="{74C278BE-B6C0-416A-A5FD-04C79C4EECC0}"/>
    <cellStyle name="Cálculo 3 2 16" xfId="4677" xr:uid="{814788F5-40B5-459E-8EAA-3FA6B03F38BA}"/>
    <cellStyle name="Cálculo 3 2 17" xfId="4678" xr:uid="{19BC148D-A64F-4A40-94A0-CACF977A12BE}"/>
    <cellStyle name="Cálculo 3 2 18" xfId="4679" xr:uid="{C216949F-BD98-4E27-82BB-719868F58D58}"/>
    <cellStyle name="Cálculo 3 2 19" xfId="4680" xr:uid="{190F4461-4146-4E4D-A8D2-8AA63C411AE9}"/>
    <cellStyle name="Cálculo 3 2 2" xfId="4681" xr:uid="{12D7A481-678E-4531-AC49-F90C70AEC52E}"/>
    <cellStyle name="Cálculo 3 2 2 10" xfId="4682" xr:uid="{51102772-7EB0-49DF-A92F-467D989A7CF5}"/>
    <cellStyle name="Cálculo 3 2 2 11" xfId="4683" xr:uid="{9EE59630-3B00-464E-80D2-98566755D8F6}"/>
    <cellStyle name="Cálculo 3 2 2 12" xfId="4684" xr:uid="{724347C1-9374-4704-80F2-1EE5D2664ECC}"/>
    <cellStyle name="Cálculo 3 2 2 13" xfId="4685" xr:uid="{344B0B62-46C7-4104-A75B-1E33FA420A55}"/>
    <cellStyle name="Cálculo 3 2 2 14" xfId="4686" xr:uid="{DC988143-8C8B-4317-9855-57A1BD1E7BC0}"/>
    <cellStyle name="Cálculo 3 2 2 15" xfId="4687" xr:uid="{A88283E3-C413-4CF1-931C-FFFD4378FED1}"/>
    <cellStyle name="Cálculo 3 2 2 16" xfId="4688" xr:uid="{57C780D9-885E-45CE-AEA1-75781B830F95}"/>
    <cellStyle name="Cálculo 3 2 2 17" xfId="4689" xr:uid="{7EF113B1-34D4-431B-BCA0-F4098BD275B5}"/>
    <cellStyle name="Cálculo 3 2 2 18" xfId="4690" xr:uid="{DBF48924-6F0D-4C54-B546-030813973506}"/>
    <cellStyle name="Cálculo 3 2 2 19" xfId="4691" xr:uid="{BCD6FDFB-4615-443E-8E45-2045FC6E9CFD}"/>
    <cellStyle name="Cálculo 3 2 2 19 2" xfId="4692" xr:uid="{0595081D-F362-450F-A509-F83BF2066AD4}"/>
    <cellStyle name="Cálculo 3 2 2 19_2013" xfId="4693" xr:uid="{CDDCC0DF-25DA-46ED-8281-55701E5F253D}"/>
    <cellStyle name="Cálculo 3 2 2 2" xfId="4694" xr:uid="{527AB42B-F0FF-48AA-8EF4-D18DAE077A48}"/>
    <cellStyle name="Cálculo 3 2 2 2 10" xfId="4695" xr:uid="{0E2D481C-3C7B-44FB-A637-8D3BADA0F4FF}"/>
    <cellStyle name="Cálculo 3 2 2 2 11" xfId="4696" xr:uid="{322A9F42-6CC2-4E63-9F08-DD30A252354E}"/>
    <cellStyle name="Cálculo 3 2 2 2 12" xfId="4697" xr:uid="{274CCF96-BE3D-4F2B-9F0B-DC8B0FC3260A}"/>
    <cellStyle name="Cálculo 3 2 2 2 13" xfId="4698" xr:uid="{0CC3B887-B2C8-40EB-9680-E37F81D143AF}"/>
    <cellStyle name="Cálculo 3 2 2 2 14" xfId="4699" xr:uid="{6F8437B4-E1AA-46B6-9250-478467496A43}"/>
    <cellStyle name="Cálculo 3 2 2 2 15" xfId="4700" xr:uid="{4948FDAC-441B-4F9D-B369-C79DDC085071}"/>
    <cellStyle name="Cálculo 3 2 2 2 16" xfId="4701" xr:uid="{1EB0392A-B625-4640-BC03-43323DDAC7FF}"/>
    <cellStyle name="Cálculo 3 2 2 2 17" xfId="4702" xr:uid="{1D26D918-FBA6-47EE-B971-E7E0F12E129E}"/>
    <cellStyle name="Cálculo 3 2 2 2 18" xfId="4703" xr:uid="{E8BFEC39-3FFC-424B-A3A7-DA913227E04F}"/>
    <cellStyle name="Cálculo 3 2 2 2 18 2" xfId="4704" xr:uid="{31743D42-4EDF-4917-AADB-CD0B706E01A0}"/>
    <cellStyle name="Cálculo 3 2 2 2 18_2013" xfId="4705" xr:uid="{E4CA6764-3BB2-44D2-AD8B-DD35FC5E3EE6}"/>
    <cellStyle name="Cálculo 3 2 2 2 19" xfId="4706" xr:uid="{C2A1425D-A4A4-479A-9881-C0B63EB1A455}"/>
    <cellStyle name="Cálculo 3 2 2 2 2" xfId="4707" xr:uid="{8AC3E26B-3A64-4B3C-BE21-51BB3533EE42}"/>
    <cellStyle name="Cálculo 3 2 2 2 3" xfId="4708" xr:uid="{C46F627C-4BD6-489C-8EFD-D6D7B4A89535}"/>
    <cellStyle name="Cálculo 3 2 2 2 4" xfId="4709" xr:uid="{FF12A3CD-2622-44D4-BFD4-2EF1F3DD7B39}"/>
    <cellStyle name="Cálculo 3 2 2 2 5" xfId="4710" xr:uid="{61F2BFBA-6DE1-459A-B1F5-C3085AA1E6FD}"/>
    <cellStyle name="Cálculo 3 2 2 2 6" xfId="4711" xr:uid="{1D3149C5-56AA-43F1-8374-21A8A56D78C5}"/>
    <cellStyle name="Cálculo 3 2 2 2 7" xfId="4712" xr:uid="{B045EFEC-828F-4E31-A0C9-F55EB26D73F7}"/>
    <cellStyle name="Cálculo 3 2 2 2 8" xfId="4713" xr:uid="{ACAB5D18-B2D9-42FE-8481-DD3E9982498E}"/>
    <cellStyle name="Cálculo 3 2 2 2 9" xfId="4714" xr:uid="{1785F9E6-8482-439B-BFB3-C01596B19B00}"/>
    <cellStyle name="Cálculo 3 2 2 2_2013" xfId="4715" xr:uid="{633C4D5A-C8E5-4D5D-BE4C-CA4280EA59A3}"/>
    <cellStyle name="Cálculo 3 2 2 20" xfId="4716" xr:uid="{00FFAC09-BB83-4F63-B768-1B7DF39AEC5B}"/>
    <cellStyle name="Cálculo 3 2 2 3" xfId="4717" xr:uid="{E8B60436-5AC9-4F05-BF8B-98AB2F1EC1D7}"/>
    <cellStyle name="Cálculo 3 2 2 4" xfId="4718" xr:uid="{52623412-371D-48FA-A3E9-3309E9D084D4}"/>
    <cellStyle name="Cálculo 3 2 2 5" xfId="4719" xr:uid="{CED61E4D-9537-4CEA-81FB-5302B0B5D568}"/>
    <cellStyle name="Cálculo 3 2 2 6" xfId="4720" xr:uid="{F38838CC-8FCA-43BB-9596-5EBE53F18427}"/>
    <cellStyle name="Cálculo 3 2 2 7" xfId="4721" xr:uid="{255A8EC1-FE97-43A3-8DF0-4F0FF72D28FC}"/>
    <cellStyle name="Cálculo 3 2 2 8" xfId="4722" xr:uid="{64A147E3-F116-4710-9BBE-24441DA0A19C}"/>
    <cellStyle name="Cálculo 3 2 2 9" xfId="4723" xr:uid="{BDB6AC5A-1396-47CE-BF0B-0CED7572768D}"/>
    <cellStyle name="Cálculo 3 2 2_2013" xfId="4724" xr:uid="{07ED489A-59C8-434E-8F47-D18557946425}"/>
    <cellStyle name="Cálculo 3 2 20" xfId="4725" xr:uid="{2401F727-5F82-4928-A5F2-D42E23849EEE}"/>
    <cellStyle name="Cálculo 3 2 21" xfId="4726" xr:uid="{B74A42C3-F2D8-4DFE-A499-4A728F661BA6}"/>
    <cellStyle name="Cálculo 3 2 22" xfId="4727" xr:uid="{32135850-F674-4AD0-9929-8EC191648BBF}"/>
    <cellStyle name="Cálculo 3 2 22 2" xfId="4728" xr:uid="{F0165E99-269F-4C5A-9A0E-AD53D5D61F5F}"/>
    <cellStyle name="Cálculo 3 2 22_2013" xfId="4729" xr:uid="{5A350477-0EFD-4AA3-A289-125A75A3B9F5}"/>
    <cellStyle name="Cálculo 3 2 23" xfId="4730" xr:uid="{F9752D65-6A86-4311-AD5E-C5689724FCFC}"/>
    <cellStyle name="Cálculo 3 2 3" xfId="4731" xr:uid="{DC38E6E3-95D8-48CB-8478-6B77772C20EA}"/>
    <cellStyle name="Cálculo 3 2 3 10" xfId="4732" xr:uid="{B9DDE4BA-40DA-43F3-9EC5-907BD34ADE5D}"/>
    <cellStyle name="Cálculo 3 2 3 11" xfId="4733" xr:uid="{253649DC-64D1-49BB-B25D-3C2828E56ACD}"/>
    <cellStyle name="Cálculo 3 2 3 12" xfId="4734" xr:uid="{67122960-4284-4F7F-AD8C-072BD25B268F}"/>
    <cellStyle name="Cálculo 3 2 3 13" xfId="4735" xr:uid="{69ABFA8E-31C6-49CA-AB29-0A5168B3F4AC}"/>
    <cellStyle name="Cálculo 3 2 3 14" xfId="4736" xr:uid="{D03046FA-02DD-4ED4-A358-9A2F403D1527}"/>
    <cellStyle name="Cálculo 3 2 3 15" xfId="4737" xr:uid="{B494F816-68A0-4309-9E01-C597E9571376}"/>
    <cellStyle name="Cálculo 3 2 3 16" xfId="4738" xr:uid="{6C172C61-D2A4-482A-BD4D-967B5F49A4D2}"/>
    <cellStyle name="Cálculo 3 2 3 17" xfId="4739" xr:uid="{E16066C2-1B8B-4138-9B04-5211B7E671CF}"/>
    <cellStyle name="Cálculo 3 2 3 18" xfId="4740" xr:uid="{29AFFF99-8021-4DF6-9823-097FED3A1D94}"/>
    <cellStyle name="Cálculo 3 2 3 19" xfId="4741" xr:uid="{2852F507-84D7-4317-8A11-321EA098873E}"/>
    <cellStyle name="Cálculo 3 2 3 19 2" xfId="4742" xr:uid="{30886CB6-0231-40FB-A5F6-4296230C1B31}"/>
    <cellStyle name="Cálculo 3 2 3 19_2013" xfId="4743" xr:uid="{9A813847-026B-42BC-A54D-89A4C7675E1D}"/>
    <cellStyle name="Cálculo 3 2 3 2" xfId="4744" xr:uid="{1140B837-508A-404B-98AA-B6B06A5CDC4C}"/>
    <cellStyle name="Cálculo 3 2 3 2 10" xfId="4745" xr:uid="{D213639B-6CE2-4CAC-971C-80EC1164B364}"/>
    <cellStyle name="Cálculo 3 2 3 2 11" xfId="4746" xr:uid="{D4BE3DA6-BD75-4FE1-869A-0490C7B56475}"/>
    <cellStyle name="Cálculo 3 2 3 2 12" xfId="4747" xr:uid="{7320430A-D256-4DF5-9EEC-AD13FF4BA108}"/>
    <cellStyle name="Cálculo 3 2 3 2 13" xfId="4748" xr:uid="{E8D2B954-6AC8-4500-AEA5-FC9F2143050D}"/>
    <cellStyle name="Cálculo 3 2 3 2 14" xfId="4749" xr:uid="{3ABCB6D0-2E20-44A2-8D3F-5657BDC518A5}"/>
    <cellStyle name="Cálculo 3 2 3 2 15" xfId="4750" xr:uid="{6BDB1B69-5FCD-48DA-8BD3-B058D9FC6331}"/>
    <cellStyle name="Cálculo 3 2 3 2 16" xfId="4751" xr:uid="{3B1F229A-685E-462C-AC59-A49384D59AEC}"/>
    <cellStyle name="Cálculo 3 2 3 2 17" xfId="4752" xr:uid="{0F7721FD-1B04-4CF6-B623-51603ACF90B3}"/>
    <cellStyle name="Cálculo 3 2 3 2 18" xfId="4753" xr:uid="{8406209F-24EB-46A7-86FD-936BE4B481BC}"/>
    <cellStyle name="Cálculo 3 2 3 2 18 2" xfId="4754" xr:uid="{787F8CDB-D64B-4D34-8E08-4C0D85F71BF4}"/>
    <cellStyle name="Cálculo 3 2 3 2 18_2013" xfId="4755" xr:uid="{1D42AE48-2659-4F65-B981-E358485D0AAE}"/>
    <cellStyle name="Cálculo 3 2 3 2 19" xfId="4756" xr:uid="{136086C7-80CB-4C8E-8C4F-24BE3347855D}"/>
    <cellStyle name="Cálculo 3 2 3 2 2" xfId="4757" xr:uid="{289EB6DB-AB59-4FFB-B6CA-BE54DC5C7902}"/>
    <cellStyle name="Cálculo 3 2 3 2 3" xfId="4758" xr:uid="{D8D3CCFB-E9A9-4E3E-8FAD-872E91934FB4}"/>
    <cellStyle name="Cálculo 3 2 3 2 4" xfId="4759" xr:uid="{5BB04BF9-7171-4A16-90F5-3F399C9DCA6D}"/>
    <cellStyle name="Cálculo 3 2 3 2 5" xfId="4760" xr:uid="{DCA30FFD-1745-4E59-810A-E5398D600A94}"/>
    <cellStyle name="Cálculo 3 2 3 2 6" xfId="4761" xr:uid="{F7A758D8-A4F7-4C03-8426-DD0E18A74338}"/>
    <cellStyle name="Cálculo 3 2 3 2 7" xfId="4762" xr:uid="{5B67C26F-9737-4707-B0DA-4FCCE8AC1E86}"/>
    <cellStyle name="Cálculo 3 2 3 2 8" xfId="4763" xr:uid="{EFBA7003-4097-4618-B216-5C455A92A82B}"/>
    <cellStyle name="Cálculo 3 2 3 2 9" xfId="4764" xr:uid="{38E17095-D3B4-4976-9275-150AD9358DCE}"/>
    <cellStyle name="Cálculo 3 2 3 2_2013" xfId="4765" xr:uid="{99E586CC-C343-4417-AC5F-BE71F9DE2DC4}"/>
    <cellStyle name="Cálculo 3 2 3 20" xfId="4766" xr:uid="{C9713302-79A3-4511-B064-2660AC6CA004}"/>
    <cellStyle name="Cálculo 3 2 3 3" xfId="4767" xr:uid="{A7BDF806-FDEA-466F-A6FF-991178E7664A}"/>
    <cellStyle name="Cálculo 3 2 3 4" xfId="4768" xr:uid="{C950D3BE-082B-4F50-B192-41ED90ABD361}"/>
    <cellStyle name="Cálculo 3 2 3 5" xfId="4769" xr:uid="{F3693C64-5178-40C9-83BA-B71E7D78E396}"/>
    <cellStyle name="Cálculo 3 2 3 6" xfId="4770" xr:uid="{A35308F8-C599-497E-970D-FAA56CC99A42}"/>
    <cellStyle name="Cálculo 3 2 3 7" xfId="4771" xr:uid="{00BBA5C2-4BE9-4F7E-AD1B-DEA875616958}"/>
    <cellStyle name="Cálculo 3 2 3 8" xfId="4772" xr:uid="{9C4B84B7-9117-433F-A8BB-7B36A4BA2607}"/>
    <cellStyle name="Cálculo 3 2 3 9" xfId="4773" xr:uid="{E9700317-9D32-41DE-BDEF-EBBB3DEE8314}"/>
    <cellStyle name="Cálculo 3 2 3_2013" xfId="4774" xr:uid="{769D536D-1F00-4D8C-9BD5-29B54BD6796A}"/>
    <cellStyle name="Cálculo 3 2 4" xfId="4775" xr:uid="{1E765F39-A769-4312-B53F-120A7F169C11}"/>
    <cellStyle name="Cálculo 3 2 4 10" xfId="4776" xr:uid="{E4BF4B55-BB84-4DF2-B984-2C3394A3DF99}"/>
    <cellStyle name="Cálculo 3 2 4 11" xfId="4777" xr:uid="{F0346031-ABEB-45F7-8058-50CD2250A696}"/>
    <cellStyle name="Cálculo 3 2 4 12" xfId="4778" xr:uid="{937C78E6-66E3-40B0-AEB7-648BDE3BD557}"/>
    <cellStyle name="Cálculo 3 2 4 13" xfId="4779" xr:uid="{993E531E-1D87-48BA-8D83-0BF6184C597D}"/>
    <cellStyle name="Cálculo 3 2 4 14" xfId="4780" xr:uid="{FE7A03F3-F6B0-4FED-B7A4-C5C4968717BC}"/>
    <cellStyle name="Cálculo 3 2 4 15" xfId="4781" xr:uid="{6AF322BC-9516-42A3-A43A-30CB6425A749}"/>
    <cellStyle name="Cálculo 3 2 4 16" xfId="4782" xr:uid="{1F3C8FBD-121A-4351-A687-94DD60A3FF92}"/>
    <cellStyle name="Cálculo 3 2 4 17" xfId="4783" xr:uid="{ADB3BB73-BABB-4F2F-B8C9-103D5FDD27BA}"/>
    <cellStyle name="Cálculo 3 2 4 18" xfId="4784" xr:uid="{674EF983-1817-4D88-B458-563427820E26}"/>
    <cellStyle name="Cálculo 3 2 4 19" xfId="4785" xr:uid="{FB436EC8-8692-4D6F-AD04-9CF146BA6181}"/>
    <cellStyle name="Cálculo 3 2 4 19 2" xfId="4786" xr:uid="{F95BB62C-B22F-4E3C-AD4B-C2B3081796E0}"/>
    <cellStyle name="Cálculo 3 2 4 19_2013" xfId="4787" xr:uid="{1F5579B1-B065-43FF-9F91-4F9307AC9F93}"/>
    <cellStyle name="Cálculo 3 2 4 2" xfId="4788" xr:uid="{D2B19682-2371-4D7B-964B-11A08FAAEBA2}"/>
    <cellStyle name="Cálculo 3 2 4 2 10" xfId="4789" xr:uid="{664FB4A3-6692-4D7B-AF00-C7D6C667F764}"/>
    <cellStyle name="Cálculo 3 2 4 2 11" xfId="4790" xr:uid="{AFBB630D-78C5-4329-A357-ABC12470A86F}"/>
    <cellStyle name="Cálculo 3 2 4 2 12" xfId="4791" xr:uid="{4FE9AD52-8770-4548-8D96-A83189C8F651}"/>
    <cellStyle name="Cálculo 3 2 4 2 13" xfId="4792" xr:uid="{4208D258-CB34-491D-B3E5-F4658D9BBABD}"/>
    <cellStyle name="Cálculo 3 2 4 2 14" xfId="4793" xr:uid="{76AF4CFF-7FC9-441F-85B4-0687841A65A8}"/>
    <cellStyle name="Cálculo 3 2 4 2 15" xfId="4794" xr:uid="{67525705-20E8-420F-9555-82488BDD7AE8}"/>
    <cellStyle name="Cálculo 3 2 4 2 16" xfId="4795" xr:uid="{88DEB9FC-C3FF-45EB-A976-D8AE996C6965}"/>
    <cellStyle name="Cálculo 3 2 4 2 17" xfId="4796" xr:uid="{53E2F3CF-06E3-4745-A37E-82F21EA42284}"/>
    <cellStyle name="Cálculo 3 2 4 2 18" xfId="4797" xr:uid="{02763810-9471-46CC-83E5-C8FA6BE343D7}"/>
    <cellStyle name="Cálculo 3 2 4 2 18 2" xfId="4798" xr:uid="{8EA69640-3336-475F-9E8B-FCBDB41FFCBB}"/>
    <cellStyle name="Cálculo 3 2 4 2 18_2013" xfId="4799" xr:uid="{A7EDDCCB-7C7F-48C2-962A-F45108558307}"/>
    <cellStyle name="Cálculo 3 2 4 2 19" xfId="4800" xr:uid="{CC73FAA8-6085-4EA8-B9E0-B7F22C695329}"/>
    <cellStyle name="Cálculo 3 2 4 2 2" xfId="4801" xr:uid="{248739EA-E176-4F81-A3B4-4644F2715AD1}"/>
    <cellStyle name="Cálculo 3 2 4 2 3" xfId="4802" xr:uid="{3004A71F-06BB-42EA-A717-BDD5C5151978}"/>
    <cellStyle name="Cálculo 3 2 4 2 4" xfId="4803" xr:uid="{6851E18A-BB1D-4A7B-99C5-FE7642CC7EEF}"/>
    <cellStyle name="Cálculo 3 2 4 2 5" xfId="4804" xr:uid="{A1C8E73D-BE5D-4713-9BFE-492FAE5BFD40}"/>
    <cellStyle name="Cálculo 3 2 4 2 6" xfId="4805" xr:uid="{2663EACA-8EE7-456A-8162-EA6CC524880F}"/>
    <cellStyle name="Cálculo 3 2 4 2 7" xfId="4806" xr:uid="{91BC0391-7FAC-45B1-9B8F-A6873154623C}"/>
    <cellStyle name="Cálculo 3 2 4 2 8" xfId="4807" xr:uid="{42F8C1A2-76B2-4299-ABA5-418E9D7CDB76}"/>
    <cellStyle name="Cálculo 3 2 4 2 9" xfId="4808" xr:uid="{149AD25C-2888-4B72-BB59-B90F6D93ABD0}"/>
    <cellStyle name="Cálculo 3 2 4 2_2013" xfId="4809" xr:uid="{67581B46-4938-41B2-BAFE-A45F693A23E6}"/>
    <cellStyle name="Cálculo 3 2 4 20" xfId="4810" xr:uid="{8FF66140-413D-4DD2-AB63-E886F2120A3C}"/>
    <cellStyle name="Cálculo 3 2 4 3" xfId="4811" xr:uid="{33493561-4EEC-413E-9789-81CF76414BC2}"/>
    <cellStyle name="Cálculo 3 2 4 4" xfId="4812" xr:uid="{C07D4E4D-2732-403C-89CD-B779D78B05BA}"/>
    <cellStyle name="Cálculo 3 2 4 5" xfId="4813" xr:uid="{75E0F701-CE3A-4CBE-AE4D-200B5760002E}"/>
    <cellStyle name="Cálculo 3 2 4 6" xfId="4814" xr:uid="{B70A36B9-CCC3-452B-B84D-082E61596D2F}"/>
    <cellStyle name="Cálculo 3 2 4 7" xfId="4815" xr:uid="{D958CCE2-95FF-4539-B7AF-8BDAAE6FC2BC}"/>
    <cellStyle name="Cálculo 3 2 4 8" xfId="4816" xr:uid="{56AACFD9-BE17-4321-AED8-9DF7F7E7D368}"/>
    <cellStyle name="Cálculo 3 2 4 9" xfId="4817" xr:uid="{3A95BC2F-2BD6-449C-B4C6-97EF341D28F2}"/>
    <cellStyle name="Cálculo 3 2 4_2013" xfId="4818" xr:uid="{D3174136-1C21-4042-B956-2454BEE95E72}"/>
    <cellStyle name="Cálculo 3 2 5" xfId="4819" xr:uid="{1311D16E-C4E3-4936-98FE-87049B87C082}"/>
    <cellStyle name="Cálculo 3 2 5 10" xfId="4820" xr:uid="{0C69F2F2-5319-42A3-91AB-B5D4E23E5278}"/>
    <cellStyle name="Cálculo 3 2 5 11" xfId="4821" xr:uid="{51A758DC-7EC7-4E16-876E-B075C7449343}"/>
    <cellStyle name="Cálculo 3 2 5 12" xfId="4822" xr:uid="{6F96A8A2-3420-42D4-BF58-897ABB3FD786}"/>
    <cellStyle name="Cálculo 3 2 5 13" xfId="4823" xr:uid="{AF3EE84D-2837-408F-96B0-C826E355FAB5}"/>
    <cellStyle name="Cálculo 3 2 5 14" xfId="4824" xr:uid="{EE65EF34-6457-43CA-9794-FCC36EB8A865}"/>
    <cellStyle name="Cálculo 3 2 5 15" xfId="4825" xr:uid="{0AA4BCB6-34E2-4DFD-B562-20C5559FE9F7}"/>
    <cellStyle name="Cálculo 3 2 5 16" xfId="4826" xr:uid="{638274F3-65D9-4EBD-9583-46141CA1C39D}"/>
    <cellStyle name="Cálculo 3 2 5 17" xfId="4827" xr:uid="{2B4CF6BF-DA80-4DEE-9EFC-061BFC57A898}"/>
    <cellStyle name="Cálculo 3 2 5 18" xfId="4828" xr:uid="{7D4ABD93-35FF-4B00-970D-C938C376F563}"/>
    <cellStyle name="Cálculo 3 2 5 18 2" xfId="4829" xr:uid="{5C20E3BE-C990-4EEC-9AF3-D310B79B703E}"/>
    <cellStyle name="Cálculo 3 2 5 18_2013" xfId="4830" xr:uid="{CB3DD2C5-740D-4290-BF23-5184DF981419}"/>
    <cellStyle name="Cálculo 3 2 5 19" xfId="4831" xr:uid="{0B9DA219-8D79-48A4-AAA4-E0FC3DBD998A}"/>
    <cellStyle name="Cálculo 3 2 5 2" xfId="4832" xr:uid="{6FD5F753-7F29-4665-BE23-54A2473CCF33}"/>
    <cellStyle name="Cálculo 3 2 5 3" xfId="4833" xr:uid="{C0F266AF-D702-4F81-8D33-305195FC7565}"/>
    <cellStyle name="Cálculo 3 2 5 4" xfId="4834" xr:uid="{9E199E2B-50CD-4A80-89F3-DD60B81C1205}"/>
    <cellStyle name="Cálculo 3 2 5 5" xfId="4835" xr:uid="{DCA749A7-D66A-45C3-A124-A1BDB409F82F}"/>
    <cellStyle name="Cálculo 3 2 5 6" xfId="4836" xr:uid="{62DE1B4F-7234-4226-8DDF-0DE80E08AB0F}"/>
    <cellStyle name="Cálculo 3 2 5 7" xfId="4837" xr:uid="{CD178DAC-FF47-4A16-B4CB-25B28A3B4FAF}"/>
    <cellStyle name="Cálculo 3 2 5 8" xfId="4838" xr:uid="{7FCEDC17-64D7-46CD-9857-1CA34B6E9779}"/>
    <cellStyle name="Cálculo 3 2 5 9" xfId="4839" xr:uid="{207BDD59-E787-465B-9A3B-A258246DD638}"/>
    <cellStyle name="Cálculo 3 2 5_2013" xfId="4840" xr:uid="{2405B3E0-B1DE-436D-88BB-0E91BDABECE1}"/>
    <cellStyle name="Cálculo 3 2 6" xfId="4841" xr:uid="{7818DCBF-1205-47AD-AC3F-8723FE3E29AA}"/>
    <cellStyle name="Cálculo 3 2 7" xfId="4842" xr:uid="{106389F1-B4E0-4896-86F7-D5173D760C70}"/>
    <cellStyle name="Cálculo 3 2 8" xfId="4843" xr:uid="{EE8D5553-700C-485E-8D7D-F6EE24464B86}"/>
    <cellStyle name="Cálculo 3 2 9" xfId="4844" xr:uid="{837D4CFB-6691-4408-B6D0-268B4FFDF384}"/>
    <cellStyle name="Cálculo 3 2_2013" xfId="4845" xr:uid="{0CFFA475-CDCF-4363-A4E8-6EF0EC2192D3}"/>
    <cellStyle name="Cálculo 3 20" xfId="4846" xr:uid="{F4008858-4126-4C0E-AC9A-FFE0CA076D8F}"/>
    <cellStyle name="Cálculo 3 21" xfId="4847" xr:uid="{14BE6ED2-D705-48BD-BD4A-787DB61CBC73}"/>
    <cellStyle name="Cálculo 3 22" xfId="4848" xr:uid="{B59E8A3D-C0E8-4724-B994-06E01B53148E}"/>
    <cellStyle name="Cálculo 3 23" xfId="4849" xr:uid="{3E327516-E52D-40B8-B065-8931C5FB294A}"/>
    <cellStyle name="Cálculo 3 23 2" xfId="4850" xr:uid="{3DF257F8-D5A8-42F1-B8D9-3E7BA2A5F5B1}"/>
    <cellStyle name="Cálculo 3 23_2013" xfId="4851" xr:uid="{BE1E8D15-AB4A-473C-890E-194D55CE87DC}"/>
    <cellStyle name="Cálculo 3 24" xfId="4852" xr:uid="{555C10A7-0A1A-446A-A8BA-380057FF6B6F}"/>
    <cellStyle name="Cálculo 3 3" xfId="4853" xr:uid="{3E997B26-96F6-4ED0-8941-3DE3894AD61F}"/>
    <cellStyle name="Cálculo 3 3 10" xfId="4854" xr:uid="{ADD02C10-07CB-456D-92AA-02A3383DD906}"/>
    <cellStyle name="Cálculo 3 3 11" xfId="4855" xr:uid="{4040BDA3-8581-4C39-83A8-A7AB7769044D}"/>
    <cellStyle name="Cálculo 3 3 12" xfId="4856" xr:uid="{F91A6AC9-092C-4021-B818-60640FE9B657}"/>
    <cellStyle name="Cálculo 3 3 13" xfId="4857" xr:uid="{32D88DF1-CF6F-4048-9FF7-C1EB84F03B4F}"/>
    <cellStyle name="Cálculo 3 3 14" xfId="4858" xr:uid="{F9CFC6D4-7D0D-49E7-BAB5-B6CA62264A96}"/>
    <cellStyle name="Cálculo 3 3 15" xfId="4859" xr:uid="{81D5126F-C169-4B02-9BF3-6B0BE93B07F8}"/>
    <cellStyle name="Cálculo 3 3 16" xfId="4860" xr:uid="{49D4A9F4-9362-49F2-83DF-E83EF2AD5EAF}"/>
    <cellStyle name="Cálculo 3 3 17" xfId="4861" xr:uid="{4D2F34E6-F89E-41E2-861D-ED39A25C3B4B}"/>
    <cellStyle name="Cálculo 3 3 18" xfId="4862" xr:uid="{E615129E-F945-4F9C-8265-A1E0FB9AB1BA}"/>
    <cellStyle name="Cálculo 3 3 19" xfId="4863" xr:uid="{53F5013C-EFB5-450A-B5E3-D0737CE0F8B4}"/>
    <cellStyle name="Cálculo 3 3 19 2" xfId="4864" xr:uid="{4989343B-ED38-4B87-8C25-6174BAA42A27}"/>
    <cellStyle name="Cálculo 3 3 19_2013" xfId="4865" xr:uid="{15FC78CA-F411-4D98-82E1-E4FBAE078656}"/>
    <cellStyle name="Cálculo 3 3 2" xfId="4866" xr:uid="{77F0B35B-3008-4591-9EE6-13F0E92C8268}"/>
    <cellStyle name="Cálculo 3 3 2 10" xfId="4867" xr:uid="{AB2EDB83-F286-4D1F-BDAF-EBB21D4418E9}"/>
    <cellStyle name="Cálculo 3 3 2 11" xfId="4868" xr:uid="{051A4876-0483-4552-A455-DBC7D01B493C}"/>
    <cellStyle name="Cálculo 3 3 2 12" xfId="4869" xr:uid="{D3ACC758-F8F5-4094-B97C-FCEBB521B9D6}"/>
    <cellStyle name="Cálculo 3 3 2 13" xfId="4870" xr:uid="{79D45E4C-CCD4-47BA-8F93-6F1563643DD4}"/>
    <cellStyle name="Cálculo 3 3 2 14" xfId="4871" xr:uid="{E42488EF-091E-4ADC-932F-75AF3CAD5C52}"/>
    <cellStyle name="Cálculo 3 3 2 15" xfId="4872" xr:uid="{B5FA30CD-52A3-4B2E-ADAA-AA22040FE733}"/>
    <cellStyle name="Cálculo 3 3 2 16" xfId="4873" xr:uid="{DFC63330-D3D6-421A-81AD-5F9B1011F7BF}"/>
    <cellStyle name="Cálculo 3 3 2 17" xfId="4874" xr:uid="{2C5D00B4-8339-49A1-B855-26A328B4C26F}"/>
    <cellStyle name="Cálculo 3 3 2 18" xfId="4875" xr:uid="{2A313806-0232-4071-B6BD-7E57C3C02832}"/>
    <cellStyle name="Cálculo 3 3 2 18 2" xfId="4876" xr:uid="{28D6065A-D4BE-403C-8D20-F88953C8721E}"/>
    <cellStyle name="Cálculo 3 3 2 18_2013" xfId="4877" xr:uid="{4A4E4D65-DBE5-41F2-B7D1-5B9C1C7214E5}"/>
    <cellStyle name="Cálculo 3 3 2 19" xfId="4878" xr:uid="{B2BB2537-DA44-4F96-989F-9E35A372715B}"/>
    <cellStyle name="Cálculo 3 3 2 2" xfId="4879" xr:uid="{EB721E37-83BC-431A-8BA7-56E746A1C904}"/>
    <cellStyle name="Cálculo 3 3 2 3" xfId="4880" xr:uid="{6D3795F0-50AA-472B-A393-8452653C8403}"/>
    <cellStyle name="Cálculo 3 3 2 4" xfId="4881" xr:uid="{A59646B8-F5B5-49BE-9906-00FADBE20F51}"/>
    <cellStyle name="Cálculo 3 3 2 5" xfId="4882" xr:uid="{65477256-01A1-4BC2-9AED-50ADA774E39A}"/>
    <cellStyle name="Cálculo 3 3 2 6" xfId="4883" xr:uid="{60051597-E4C7-4658-8189-42BB06ADBA6A}"/>
    <cellStyle name="Cálculo 3 3 2 7" xfId="4884" xr:uid="{B5640A01-D936-4C7A-95B8-A82AAC680C8C}"/>
    <cellStyle name="Cálculo 3 3 2 8" xfId="4885" xr:uid="{38286381-552F-46B8-8A9E-BBFD13BB4871}"/>
    <cellStyle name="Cálculo 3 3 2 9" xfId="4886" xr:uid="{B84AE5B6-3EB0-46C8-BA6A-A69CCDEB8ED6}"/>
    <cellStyle name="Cálculo 3 3 2_2013" xfId="4887" xr:uid="{89E68A02-6B44-4007-BD66-066E5D84082E}"/>
    <cellStyle name="Cálculo 3 3 20" xfId="4888" xr:uid="{BB13E130-217D-4D29-9FC7-6946D23D6E00}"/>
    <cellStyle name="Cálculo 3 3 3" xfId="4889" xr:uid="{D2041C25-B990-4D2A-BC03-5AFAC7B9EB70}"/>
    <cellStyle name="Cálculo 3 3 4" xfId="4890" xr:uid="{9C99D1E9-8491-404C-B8DD-24BCD5F14125}"/>
    <cellStyle name="Cálculo 3 3 5" xfId="4891" xr:uid="{3EE9FBF6-A8E9-4ABD-9AD8-9885E17F9719}"/>
    <cellStyle name="Cálculo 3 3 6" xfId="4892" xr:uid="{8CB41914-3898-4516-B9DC-77B5212DCAF3}"/>
    <cellStyle name="Cálculo 3 3 7" xfId="4893" xr:uid="{A5E69CF7-FD90-4E4F-8D89-13BCB3280307}"/>
    <cellStyle name="Cálculo 3 3 8" xfId="4894" xr:uid="{79623F6F-3A7E-428B-8D62-E6C9BCDAEACA}"/>
    <cellStyle name="Cálculo 3 3 9" xfId="4895" xr:uid="{D63726F5-9EAB-47F3-82DF-11FC33F158A3}"/>
    <cellStyle name="Cálculo 3 3_2013" xfId="4896" xr:uid="{DDB85DCD-85A8-4FCB-9073-6CCE330038DD}"/>
    <cellStyle name="Cálculo 3 4" xfId="4897" xr:uid="{23956FB0-47F9-4D88-A769-BFBD0AA84879}"/>
    <cellStyle name="Cálculo 3 4 10" xfId="4898" xr:uid="{F2950E87-7E6D-431E-B544-95C158E3F22E}"/>
    <cellStyle name="Cálculo 3 4 11" xfId="4899" xr:uid="{1298145B-1843-440B-990D-28898A40658F}"/>
    <cellStyle name="Cálculo 3 4 12" xfId="4900" xr:uid="{A705A82F-9051-4675-9AE4-9688D7158F3F}"/>
    <cellStyle name="Cálculo 3 4 13" xfId="4901" xr:uid="{7EAA070F-4B5C-4611-B7E8-B25D2469B2B8}"/>
    <cellStyle name="Cálculo 3 4 14" xfId="4902" xr:uid="{6E529A2B-FF02-4B0C-AC7D-CA7938E36B97}"/>
    <cellStyle name="Cálculo 3 4 15" xfId="4903" xr:uid="{FD6F2287-5E72-4166-B6FD-A2AE1C7D8866}"/>
    <cellStyle name="Cálculo 3 4 16" xfId="4904" xr:uid="{C6D439C5-1717-4A5F-9A21-3CB22B8D5E9D}"/>
    <cellStyle name="Cálculo 3 4 17" xfId="4905" xr:uid="{7074F22A-9C34-49A4-9BFB-4CCF23C90E1C}"/>
    <cellStyle name="Cálculo 3 4 18" xfId="4906" xr:uid="{E11203A1-83C6-4754-B4F0-221F0D11462A}"/>
    <cellStyle name="Cálculo 3 4 19" xfId="4907" xr:uid="{77C8BC27-E4CF-40F1-8860-7ABB05C2782D}"/>
    <cellStyle name="Cálculo 3 4 19 2" xfId="4908" xr:uid="{6C257292-97A1-45C0-B95B-08A385C3203A}"/>
    <cellStyle name="Cálculo 3 4 19_2013" xfId="4909" xr:uid="{7BDBDDA2-F7AE-4086-8F40-D84A506460A3}"/>
    <cellStyle name="Cálculo 3 4 2" xfId="4910" xr:uid="{6940E3BA-8970-4CB5-9839-5DC869E72E05}"/>
    <cellStyle name="Cálculo 3 4 2 10" xfId="4911" xr:uid="{609F6A9F-0000-4CA6-BC7A-D70E6588190A}"/>
    <cellStyle name="Cálculo 3 4 2 11" xfId="4912" xr:uid="{937160AC-23EE-436A-BC64-16DE83A6176D}"/>
    <cellStyle name="Cálculo 3 4 2 12" xfId="4913" xr:uid="{9195BC9C-6235-4B29-90C9-4C77D1F99FDF}"/>
    <cellStyle name="Cálculo 3 4 2 13" xfId="4914" xr:uid="{65AE8A63-81DD-4605-A577-88903526FB99}"/>
    <cellStyle name="Cálculo 3 4 2 14" xfId="4915" xr:uid="{E26E5260-663E-4A6D-9B14-2FDEF82B71FD}"/>
    <cellStyle name="Cálculo 3 4 2 15" xfId="4916" xr:uid="{460DFA2D-D258-4EE4-8313-C3E33DC84ECB}"/>
    <cellStyle name="Cálculo 3 4 2 16" xfId="4917" xr:uid="{B7C0E003-B527-4243-8D1E-988229E7803E}"/>
    <cellStyle name="Cálculo 3 4 2 17" xfId="4918" xr:uid="{D9CD3790-BA81-4A0E-990B-B23420677B3C}"/>
    <cellStyle name="Cálculo 3 4 2 18" xfId="4919" xr:uid="{602ED530-EC45-4D5F-A340-43E3AC883AAB}"/>
    <cellStyle name="Cálculo 3 4 2 18 2" xfId="4920" xr:uid="{639189D7-59B6-4897-B86D-0A260C474BD2}"/>
    <cellStyle name="Cálculo 3 4 2 18_2013" xfId="4921" xr:uid="{30D9ADF5-B2AE-4D3A-AD2D-C454650F0523}"/>
    <cellStyle name="Cálculo 3 4 2 19" xfId="4922" xr:uid="{0DF7DF97-88FC-4062-95EA-5D5D199C46AB}"/>
    <cellStyle name="Cálculo 3 4 2 2" xfId="4923" xr:uid="{EC6D3DFD-3A18-4306-A007-00916AE194A2}"/>
    <cellStyle name="Cálculo 3 4 2 3" xfId="4924" xr:uid="{53F3816C-0667-43BE-B8B6-E1C15CD5F3A8}"/>
    <cellStyle name="Cálculo 3 4 2 4" xfId="4925" xr:uid="{92A1E6B9-60B8-47BD-A223-DECD4EBDAF30}"/>
    <cellStyle name="Cálculo 3 4 2 5" xfId="4926" xr:uid="{3B1D99DA-7327-4DCF-9D98-55CCEB98DF68}"/>
    <cellStyle name="Cálculo 3 4 2 6" xfId="4927" xr:uid="{905DFC58-65B9-4202-8C09-AB009D70324F}"/>
    <cellStyle name="Cálculo 3 4 2 7" xfId="4928" xr:uid="{5F605B39-A382-454F-8D5A-142E50059324}"/>
    <cellStyle name="Cálculo 3 4 2 8" xfId="4929" xr:uid="{4C7F3AA2-525D-4E98-9287-3688C5B70100}"/>
    <cellStyle name="Cálculo 3 4 2 9" xfId="4930" xr:uid="{9E89BA88-D2E6-4808-A98E-5FB13AE9DB90}"/>
    <cellStyle name="Cálculo 3 4 2_2013" xfId="4931" xr:uid="{ED205D35-5666-4AF4-99D0-C56340E18090}"/>
    <cellStyle name="Cálculo 3 4 20" xfId="4932" xr:uid="{86807A60-0F97-4F01-96D1-25B228C84C6D}"/>
    <cellStyle name="Cálculo 3 4 3" xfId="4933" xr:uid="{BEA43A9E-9A53-4926-9714-172D7DE2C13D}"/>
    <cellStyle name="Cálculo 3 4 4" xfId="4934" xr:uid="{782C5CC1-1516-448E-B1BC-8A52C7AB5CEF}"/>
    <cellStyle name="Cálculo 3 4 5" xfId="4935" xr:uid="{735B1AB7-188C-4C7A-A784-88C7997A34F7}"/>
    <cellStyle name="Cálculo 3 4 6" xfId="4936" xr:uid="{79E6DE5D-4835-4F41-8485-2D04223518DF}"/>
    <cellStyle name="Cálculo 3 4 7" xfId="4937" xr:uid="{7D0D00FF-8F8B-4A34-91F3-494CA7A3CC61}"/>
    <cellStyle name="Cálculo 3 4 8" xfId="4938" xr:uid="{2E9FC2EB-FB14-4F93-9160-52F9DF76CF84}"/>
    <cellStyle name="Cálculo 3 4 9" xfId="4939" xr:uid="{99D2DF73-9116-4DCB-A6D1-E54A540B7D25}"/>
    <cellStyle name="Cálculo 3 4_2013" xfId="4940" xr:uid="{4DDCC9FF-22FD-4504-8AF6-171A57C348D9}"/>
    <cellStyle name="Cálculo 3 5" xfId="4941" xr:uid="{7ABEC699-949F-443B-B033-B400BA01B62E}"/>
    <cellStyle name="Cálculo 3 5 10" xfId="4942" xr:uid="{E6EB1FDD-4474-447E-B181-8B1D5BF69258}"/>
    <cellStyle name="Cálculo 3 5 11" xfId="4943" xr:uid="{E471A74A-EB8B-44E3-A865-4017EA7118A8}"/>
    <cellStyle name="Cálculo 3 5 12" xfId="4944" xr:uid="{35A3C906-B7E7-4FEF-ADF2-83742BB0F8FC}"/>
    <cellStyle name="Cálculo 3 5 13" xfId="4945" xr:uid="{91E2AEB4-CF09-48EE-A798-D7BE52A80F10}"/>
    <cellStyle name="Cálculo 3 5 14" xfId="4946" xr:uid="{294B5A4D-3E16-4827-9B6B-439EEB27C125}"/>
    <cellStyle name="Cálculo 3 5 15" xfId="4947" xr:uid="{E24BF042-6094-4198-85C8-1410C5DF128B}"/>
    <cellStyle name="Cálculo 3 5 16" xfId="4948" xr:uid="{77FF720E-37F9-4EC9-8CB6-5F97DE2F3F55}"/>
    <cellStyle name="Cálculo 3 5 17" xfId="4949" xr:uid="{5A889C8E-BC22-4CB5-8B83-D787935B1406}"/>
    <cellStyle name="Cálculo 3 5 18" xfId="4950" xr:uid="{8D90CE4B-8CF4-4A30-B218-C51769613A9F}"/>
    <cellStyle name="Cálculo 3 5 19" xfId="4951" xr:uid="{F2670B81-A3E1-4EE8-B92C-CB457F352249}"/>
    <cellStyle name="Cálculo 3 5 19 2" xfId="4952" xr:uid="{E0974C5C-3AD3-45E9-9307-C929670BE6BB}"/>
    <cellStyle name="Cálculo 3 5 19_2013" xfId="4953" xr:uid="{7CFC1613-23A9-4F6C-AF45-8D3D24B981B8}"/>
    <cellStyle name="Cálculo 3 5 2" xfId="4954" xr:uid="{75D2777E-DD67-4071-B039-AAB2866A9A46}"/>
    <cellStyle name="Cálculo 3 5 2 10" xfId="4955" xr:uid="{3B400DAE-9581-4975-8BCB-F2B9878D681A}"/>
    <cellStyle name="Cálculo 3 5 2 11" xfId="4956" xr:uid="{6733B07C-E636-43B0-9A07-116E95E1BF5A}"/>
    <cellStyle name="Cálculo 3 5 2 12" xfId="4957" xr:uid="{E10D118F-4992-418F-B307-D697E0B92F17}"/>
    <cellStyle name="Cálculo 3 5 2 13" xfId="4958" xr:uid="{EC4EFD0C-40CA-498A-BD77-2F863178D9DE}"/>
    <cellStyle name="Cálculo 3 5 2 14" xfId="4959" xr:uid="{E22E23E0-2354-4DDB-A036-A5409600771A}"/>
    <cellStyle name="Cálculo 3 5 2 15" xfId="4960" xr:uid="{5862359B-D7EB-4F22-B162-35BDE5E7DC73}"/>
    <cellStyle name="Cálculo 3 5 2 16" xfId="4961" xr:uid="{A0A5EC77-7293-404B-9608-460CE6E716C3}"/>
    <cellStyle name="Cálculo 3 5 2 17" xfId="4962" xr:uid="{2DAEE68E-B0C0-4A00-BD88-827A27CD213E}"/>
    <cellStyle name="Cálculo 3 5 2 18" xfId="4963" xr:uid="{30E43745-9689-4A04-8A75-14B11926CD9F}"/>
    <cellStyle name="Cálculo 3 5 2 18 2" xfId="4964" xr:uid="{5034329F-CDB4-4AF6-B0A0-C7E4F98FD1EE}"/>
    <cellStyle name="Cálculo 3 5 2 18_2013" xfId="4965" xr:uid="{1D618BCD-A833-4B70-8625-149218CC26FF}"/>
    <cellStyle name="Cálculo 3 5 2 19" xfId="4966" xr:uid="{639D0ADB-163C-4EDD-A9AC-20CB9AD64586}"/>
    <cellStyle name="Cálculo 3 5 2 2" xfId="4967" xr:uid="{D33A33C7-ABFB-4B36-9805-FBB6F1F9371C}"/>
    <cellStyle name="Cálculo 3 5 2 3" xfId="4968" xr:uid="{F1713869-A567-459C-815E-AE9A77AC78E1}"/>
    <cellStyle name="Cálculo 3 5 2 4" xfId="4969" xr:uid="{A020CA33-0723-4CD5-ACB6-88CECD050BFD}"/>
    <cellStyle name="Cálculo 3 5 2 5" xfId="4970" xr:uid="{C0BF9308-9437-4701-89B5-7AF60170EB9C}"/>
    <cellStyle name="Cálculo 3 5 2 6" xfId="4971" xr:uid="{8573B2B9-53E7-48F7-BA3B-C528C9EF59C4}"/>
    <cellStyle name="Cálculo 3 5 2 7" xfId="4972" xr:uid="{E43A216B-09DC-4917-930B-C50ED15CE193}"/>
    <cellStyle name="Cálculo 3 5 2 8" xfId="4973" xr:uid="{50C2B087-D180-480E-95F3-93F146A44007}"/>
    <cellStyle name="Cálculo 3 5 2 9" xfId="4974" xr:uid="{D7DE96B2-693B-45B4-9709-CB3DC73197F8}"/>
    <cellStyle name="Cálculo 3 5 2_2013" xfId="4975" xr:uid="{221B0AA4-0DF8-457A-B7D8-A02127E12E5A}"/>
    <cellStyle name="Cálculo 3 5 20" xfId="4976" xr:uid="{FCC8B9D3-791E-409F-9A56-2368F3332CA2}"/>
    <cellStyle name="Cálculo 3 5 3" xfId="4977" xr:uid="{D90C3677-DEA3-4293-94FB-003AF4340A74}"/>
    <cellStyle name="Cálculo 3 5 4" xfId="4978" xr:uid="{05F12CCF-F3F8-467C-82AF-DE324CCAF407}"/>
    <cellStyle name="Cálculo 3 5 5" xfId="4979" xr:uid="{07DE406C-5CB5-40B2-A58A-46273C574BE7}"/>
    <cellStyle name="Cálculo 3 5 6" xfId="4980" xr:uid="{67ECE0B8-9512-4504-BC5D-E7EE81709047}"/>
    <cellStyle name="Cálculo 3 5 7" xfId="4981" xr:uid="{F3631FBD-0184-4273-8DEA-903FDAC91C57}"/>
    <cellStyle name="Cálculo 3 5 8" xfId="4982" xr:uid="{D9FE49ED-9936-41F8-AF4C-CC01D009FA3A}"/>
    <cellStyle name="Cálculo 3 5 9" xfId="4983" xr:uid="{868E1FDF-85DB-4D5C-8497-FBDD17AF1933}"/>
    <cellStyle name="Cálculo 3 5_2013" xfId="4984" xr:uid="{71219C47-645D-4A43-B067-41F19CE24D09}"/>
    <cellStyle name="Cálculo 3 6" xfId="4985" xr:uid="{B4608D2F-9ED7-4D08-923B-384041C0747A}"/>
    <cellStyle name="Cálculo 3 6 10" xfId="4986" xr:uid="{D008C700-9013-4C6C-85B2-A05A0E541711}"/>
    <cellStyle name="Cálculo 3 6 11" xfId="4987" xr:uid="{C041C3CC-CED5-46F8-96CD-E082ACE1BA4F}"/>
    <cellStyle name="Cálculo 3 6 12" xfId="4988" xr:uid="{033726BB-ED20-4D03-8207-23C1CB1B54CE}"/>
    <cellStyle name="Cálculo 3 6 13" xfId="4989" xr:uid="{3B623049-0612-4B1F-8E69-B032BC693EFF}"/>
    <cellStyle name="Cálculo 3 6 14" xfId="4990" xr:uid="{0488480F-4348-44F6-933B-64A1C34D5963}"/>
    <cellStyle name="Cálculo 3 6 15" xfId="4991" xr:uid="{B29A5406-20A6-4029-AF2C-22A534893634}"/>
    <cellStyle name="Cálculo 3 6 16" xfId="4992" xr:uid="{37697DC3-DAD2-40E7-91A6-8F636940F1A6}"/>
    <cellStyle name="Cálculo 3 6 17" xfId="4993" xr:uid="{96A88840-461F-4AB0-A1E5-2E37301D38A7}"/>
    <cellStyle name="Cálculo 3 6 18" xfId="4994" xr:uid="{3B18594E-101B-4350-982E-7A984DA92DB8}"/>
    <cellStyle name="Cálculo 3 6 18 2" xfId="4995" xr:uid="{A202E767-FBFB-4FDA-A7A7-1930B55DB621}"/>
    <cellStyle name="Cálculo 3 6 18_2013" xfId="4996" xr:uid="{2D113665-607B-4A8A-9CAB-760F4AABD67F}"/>
    <cellStyle name="Cálculo 3 6 19" xfId="4997" xr:uid="{4AEBC360-3715-49E4-B05C-4FE3FECF7B00}"/>
    <cellStyle name="Cálculo 3 6 2" xfId="4998" xr:uid="{94983287-16C0-4C91-9B0A-AC2977236AE2}"/>
    <cellStyle name="Cálculo 3 6 3" xfId="4999" xr:uid="{F5B4197F-A751-48B6-BA06-6A4FC822971F}"/>
    <cellStyle name="Cálculo 3 6 4" xfId="5000" xr:uid="{4B21F47E-9972-4254-B8E1-DC055C52DF96}"/>
    <cellStyle name="Cálculo 3 6 5" xfId="5001" xr:uid="{68B663B8-4976-4A06-B060-C522D481C506}"/>
    <cellStyle name="Cálculo 3 6 6" xfId="5002" xr:uid="{8448D18F-9814-45D1-AC3D-0F104DEDE8BA}"/>
    <cellStyle name="Cálculo 3 6 7" xfId="5003" xr:uid="{4033253D-CB50-4355-81E2-6550245756C7}"/>
    <cellStyle name="Cálculo 3 6 8" xfId="5004" xr:uid="{1080C6A0-95E5-437A-B65F-916D794C4CBB}"/>
    <cellStyle name="Cálculo 3 6 9" xfId="5005" xr:uid="{272E7C47-A2B2-47EC-BBA1-F642770384D9}"/>
    <cellStyle name="Cálculo 3 6_2013" xfId="5006" xr:uid="{DD20E034-7E21-44AD-BAE7-C62DB2494A1D}"/>
    <cellStyle name="Cálculo 3 7" xfId="5007" xr:uid="{A7F0DCFD-8724-4766-8427-9B5F993CA39E}"/>
    <cellStyle name="Cálculo 3 8" xfId="5008" xr:uid="{18C077AF-59C3-43C5-B928-18E59209E6A0}"/>
    <cellStyle name="Cálculo 3 9" xfId="5009" xr:uid="{10C86887-516E-4401-8769-22382C8037B0}"/>
    <cellStyle name="Cálculo 3_2013" xfId="5010" xr:uid="{33831719-4A3A-4FFD-ABE8-53944C5B5B86}"/>
    <cellStyle name="Cálculo 4" xfId="5011" xr:uid="{A43FA2F3-199B-453E-85D4-5BDFBCE8EEB3}"/>
    <cellStyle name="Cálculo 4 10" xfId="5012" xr:uid="{4EDEF446-BDFA-40DF-8AEC-3673ACA2F530}"/>
    <cellStyle name="Cálculo 4 11" xfId="5013" xr:uid="{EA84A1BA-EBFF-4164-9EF3-E229308B030B}"/>
    <cellStyle name="Cálculo 4 12" xfId="5014" xr:uid="{5F5243CF-F629-4F6B-B5AB-D18CB103AF8B}"/>
    <cellStyle name="Cálculo 4 13" xfId="5015" xr:uid="{CD33A4D3-890D-4CF4-B865-B9B11A2364D8}"/>
    <cellStyle name="Cálculo 4 14" xfId="5016" xr:uid="{19F9380F-BFAA-48DA-B35D-0C76D1E08760}"/>
    <cellStyle name="Cálculo 4 15" xfId="5017" xr:uid="{1BF38BE7-4090-4A1B-AC5D-F955899B5837}"/>
    <cellStyle name="Cálculo 4 16" xfId="5018" xr:uid="{D70068EE-57D2-4B0A-A908-F7663F589237}"/>
    <cellStyle name="Cálculo 4 17" xfId="5019" xr:uid="{76372D0A-15AB-4C1C-8753-8816666B2DE0}"/>
    <cellStyle name="Cálculo 4 18" xfId="5020" xr:uid="{37044FD0-C188-4DB7-AA37-A4E65309177B}"/>
    <cellStyle name="Cálculo 4 19" xfId="5021" xr:uid="{561673A1-4E94-49AA-A842-62B0EA8B5C3D}"/>
    <cellStyle name="Cálculo 4 2" xfId="5022" xr:uid="{65F68F8F-4E9D-4910-AF6E-5D33577E4ED7}"/>
    <cellStyle name="Cálculo 4 2 10" xfId="5023" xr:uid="{4434AD35-E0DC-4FF0-87C3-F17F74A144CC}"/>
    <cellStyle name="Cálculo 4 2 11" xfId="5024" xr:uid="{F7516671-EBF1-48CA-8D46-24BF0E25E531}"/>
    <cellStyle name="Cálculo 4 2 12" xfId="5025" xr:uid="{A3E2AA4A-157C-4E76-AC5A-4A939666DEF6}"/>
    <cellStyle name="Cálculo 4 2 13" xfId="5026" xr:uid="{44607565-775C-4C57-8074-1C7AD102EE92}"/>
    <cellStyle name="Cálculo 4 2 14" xfId="5027" xr:uid="{9604F9B9-80F2-40FA-9834-218DE745AD08}"/>
    <cellStyle name="Cálculo 4 2 15" xfId="5028" xr:uid="{3575EAC4-B3AE-4A1B-BAEA-7D700A072F26}"/>
    <cellStyle name="Cálculo 4 2 16" xfId="5029" xr:uid="{E530D1C9-BCBF-4545-9280-A2498005FFA1}"/>
    <cellStyle name="Cálculo 4 2 17" xfId="5030" xr:uid="{EF7A828B-2197-410D-B177-622B9A4FCF74}"/>
    <cellStyle name="Cálculo 4 2 18" xfId="5031" xr:uid="{AFEC26E8-5A0F-406E-8793-86ED8C73D621}"/>
    <cellStyle name="Cálculo 4 2 19" xfId="5032" xr:uid="{9BEF3317-3721-4A63-BFCB-259D1FB4B251}"/>
    <cellStyle name="Cálculo 4 2 19 2" xfId="5033" xr:uid="{09EBA0EB-7862-4BFE-908C-3DD3D03CAA0F}"/>
    <cellStyle name="Cálculo 4 2 19_2013" xfId="5034" xr:uid="{5FA3605C-E14C-4521-B975-9F7E12A693EC}"/>
    <cellStyle name="Cálculo 4 2 2" xfId="5035" xr:uid="{9F92CDAE-5326-44FC-98E8-FEE4CE13BDFC}"/>
    <cellStyle name="Cálculo 4 2 2 10" xfId="5036" xr:uid="{5B91D7A6-EADD-4FB5-9961-459F971498CF}"/>
    <cellStyle name="Cálculo 4 2 2 11" xfId="5037" xr:uid="{EBA5A14A-55F8-4D15-B80C-9960F4AA6CF6}"/>
    <cellStyle name="Cálculo 4 2 2 12" xfId="5038" xr:uid="{38425366-278D-4504-B713-FD1C3F41076D}"/>
    <cellStyle name="Cálculo 4 2 2 13" xfId="5039" xr:uid="{B9DBEC0B-E1D6-4673-9C59-2ED825CF0305}"/>
    <cellStyle name="Cálculo 4 2 2 14" xfId="5040" xr:uid="{1C73DD8E-416E-44FD-986C-0BC96CCCBC51}"/>
    <cellStyle name="Cálculo 4 2 2 15" xfId="5041" xr:uid="{F2F4A267-2942-4988-9193-4DF8CC4FCC9F}"/>
    <cellStyle name="Cálculo 4 2 2 16" xfId="5042" xr:uid="{C18AF320-580A-43F3-A178-7A2AD958D4ED}"/>
    <cellStyle name="Cálculo 4 2 2 17" xfId="5043" xr:uid="{882B19EE-F3C2-453A-8F44-8AF7D814F6B0}"/>
    <cellStyle name="Cálculo 4 2 2 18" xfId="5044" xr:uid="{0F457FB8-9FA4-4D4B-9A26-013AA92E33E1}"/>
    <cellStyle name="Cálculo 4 2 2 18 2" xfId="5045" xr:uid="{87C75419-2705-479D-9FEE-EB55691F82F3}"/>
    <cellStyle name="Cálculo 4 2 2 18_2013" xfId="5046" xr:uid="{3DC3D015-88CA-44E0-94BD-5139C3DF2A2D}"/>
    <cellStyle name="Cálculo 4 2 2 19" xfId="5047" xr:uid="{33802D1B-DE0C-4255-92FA-8EB32DBC1F13}"/>
    <cellStyle name="Cálculo 4 2 2 2" xfId="5048" xr:uid="{7CFAD7D3-9C96-4A4E-B4DE-829362ECA685}"/>
    <cellStyle name="Cálculo 4 2 2 3" xfId="5049" xr:uid="{C5015598-FD59-4354-A0F0-118C0CAE1667}"/>
    <cellStyle name="Cálculo 4 2 2 4" xfId="5050" xr:uid="{A1BAA50F-E48C-458F-A608-17DDF7964E78}"/>
    <cellStyle name="Cálculo 4 2 2 5" xfId="5051" xr:uid="{D42CD6BB-4321-4566-94F1-78BA4DBF1DD0}"/>
    <cellStyle name="Cálculo 4 2 2 6" xfId="5052" xr:uid="{5CE349C7-62BE-48C5-905C-5898D5EE04EC}"/>
    <cellStyle name="Cálculo 4 2 2 7" xfId="5053" xr:uid="{DCA15D9C-1D77-4D42-B9EF-8FCFC0804001}"/>
    <cellStyle name="Cálculo 4 2 2 8" xfId="5054" xr:uid="{ED3C6285-BE13-40F2-BD05-37A90DDF873E}"/>
    <cellStyle name="Cálculo 4 2 2 9" xfId="5055" xr:uid="{A4484E15-A64B-4737-9379-16A643A99EE6}"/>
    <cellStyle name="Cálculo 4 2 2_2013" xfId="5056" xr:uid="{DC181B1A-CBD4-4317-A61F-FECB85EE5821}"/>
    <cellStyle name="Cálculo 4 2 20" xfId="5057" xr:uid="{CC47B25E-FCB5-4698-AF96-3590D6524372}"/>
    <cellStyle name="Cálculo 4 2 3" xfId="5058" xr:uid="{A04AF5D2-B364-4B6B-99E6-784E6A1A00C1}"/>
    <cellStyle name="Cálculo 4 2 4" xfId="5059" xr:uid="{BED18EC8-81A2-45CA-9C4D-41F4DD83E0D3}"/>
    <cellStyle name="Cálculo 4 2 5" xfId="5060" xr:uid="{F10887E9-A737-4D63-960C-4732C2566752}"/>
    <cellStyle name="Cálculo 4 2 6" xfId="5061" xr:uid="{9148104C-7D27-493D-AC44-4B2FADD62681}"/>
    <cellStyle name="Cálculo 4 2 7" xfId="5062" xr:uid="{64B001E2-ADFA-4732-BB7E-3D7D4E7AD32E}"/>
    <cellStyle name="Cálculo 4 2 8" xfId="5063" xr:uid="{C1198D18-B450-4743-96D1-7159FA78082C}"/>
    <cellStyle name="Cálculo 4 2 9" xfId="5064" xr:uid="{B373C13E-D816-43E9-AED6-1FD46A064595}"/>
    <cellStyle name="Cálculo 4 2_2013" xfId="5065" xr:uid="{DB044CDF-7EA3-4A08-9C27-3E0D05B616EE}"/>
    <cellStyle name="Cálculo 4 20" xfId="5066" xr:uid="{B37251F4-58F8-443D-907B-002692BD3765}"/>
    <cellStyle name="Cálculo 4 21" xfId="5067" xr:uid="{35C598DF-B781-4B23-A081-2D5AB2E6C145}"/>
    <cellStyle name="Cálculo 4 22" xfId="5068" xr:uid="{526BCE05-E98F-4693-9765-C929CD0F33A4}"/>
    <cellStyle name="Cálculo 4 22 2" xfId="5069" xr:uid="{93B8AD08-DE77-4B03-9977-5ACFADEACD5B}"/>
    <cellStyle name="Cálculo 4 22_2013" xfId="5070" xr:uid="{BF854848-3C00-485F-B3EE-C37802796537}"/>
    <cellStyle name="Cálculo 4 23" xfId="5071" xr:uid="{C956AA37-F251-4262-8E0A-9D48623ADF3B}"/>
    <cellStyle name="Cálculo 4 3" xfId="5072" xr:uid="{4471A665-C609-4739-8019-384410F90844}"/>
    <cellStyle name="Cálculo 4 3 10" xfId="5073" xr:uid="{3804F481-E001-427D-BC84-4BAFF50212CC}"/>
    <cellStyle name="Cálculo 4 3 11" xfId="5074" xr:uid="{2E854836-AE58-44CB-A3FA-2F2F3AB82D64}"/>
    <cellStyle name="Cálculo 4 3 12" xfId="5075" xr:uid="{96BB1847-85B2-43F3-867E-7292F36E5AD1}"/>
    <cellStyle name="Cálculo 4 3 13" xfId="5076" xr:uid="{782246DD-79B8-4C86-A517-3AD37CD2C595}"/>
    <cellStyle name="Cálculo 4 3 14" xfId="5077" xr:uid="{6BA90013-43C7-456E-A86C-1602443670C1}"/>
    <cellStyle name="Cálculo 4 3 15" xfId="5078" xr:uid="{6AAE9FD0-4D92-41B5-A58D-28EE3A16ADDB}"/>
    <cellStyle name="Cálculo 4 3 16" xfId="5079" xr:uid="{7940FF35-2EFA-4D35-A239-6AECF52FFB1F}"/>
    <cellStyle name="Cálculo 4 3 17" xfId="5080" xr:uid="{7E9BEAB8-86FF-40F3-B49D-6FD731E5C006}"/>
    <cellStyle name="Cálculo 4 3 18" xfId="5081" xr:uid="{20CCE7DF-596D-453F-A35D-D7D8C3891F9A}"/>
    <cellStyle name="Cálculo 4 3 19" xfId="5082" xr:uid="{DDF505D1-D4AD-492B-990C-6A6E276A6418}"/>
    <cellStyle name="Cálculo 4 3 19 2" xfId="5083" xr:uid="{8D290F94-5241-4E2C-9C56-B196F6880B2F}"/>
    <cellStyle name="Cálculo 4 3 19_2013" xfId="5084" xr:uid="{0562BB4F-82A7-4E5B-BC6C-C44EBFA6E78C}"/>
    <cellStyle name="Cálculo 4 3 2" xfId="5085" xr:uid="{6386F7B8-7435-4DE0-813D-0134856C70F6}"/>
    <cellStyle name="Cálculo 4 3 2 10" xfId="5086" xr:uid="{E658CA84-CEBE-4A2E-9CD6-17557C2426F2}"/>
    <cellStyle name="Cálculo 4 3 2 11" xfId="5087" xr:uid="{B20C6F11-61B0-4154-9FBC-42F77BC3D3B3}"/>
    <cellStyle name="Cálculo 4 3 2 12" xfId="5088" xr:uid="{FF113AF6-DFF3-4F5D-B2B6-6F28BCCA0219}"/>
    <cellStyle name="Cálculo 4 3 2 13" xfId="5089" xr:uid="{97EAAEDF-38E8-4A35-9BC0-5195F7BDAFDA}"/>
    <cellStyle name="Cálculo 4 3 2 14" xfId="5090" xr:uid="{DE97CD56-E467-48B7-97FE-5741B8220997}"/>
    <cellStyle name="Cálculo 4 3 2 15" xfId="5091" xr:uid="{6195C5B3-3916-4D97-B653-56CADC1A9620}"/>
    <cellStyle name="Cálculo 4 3 2 16" xfId="5092" xr:uid="{02FEC36C-9063-4650-B5F1-76E1C0774E8E}"/>
    <cellStyle name="Cálculo 4 3 2 17" xfId="5093" xr:uid="{82A1587D-C601-4223-942F-B61A26AE6B59}"/>
    <cellStyle name="Cálculo 4 3 2 18" xfId="5094" xr:uid="{DDB79AE8-B3F9-4557-80E8-3EC6720DDE8C}"/>
    <cellStyle name="Cálculo 4 3 2 18 2" xfId="5095" xr:uid="{266BF7C9-18BA-4CC6-B272-1511F699C7DC}"/>
    <cellStyle name="Cálculo 4 3 2 18_2013" xfId="5096" xr:uid="{1E8FAF8B-6077-49C2-A238-9568B3166D06}"/>
    <cellStyle name="Cálculo 4 3 2 19" xfId="5097" xr:uid="{57F44D39-8CFA-4FB8-8EE9-29FEAB725E9E}"/>
    <cellStyle name="Cálculo 4 3 2 2" xfId="5098" xr:uid="{31052F65-8059-4F62-8808-4FEAC7D413AE}"/>
    <cellStyle name="Cálculo 4 3 2 3" xfId="5099" xr:uid="{E264D4A5-76B2-41F2-8DDD-FD32DA6882AD}"/>
    <cellStyle name="Cálculo 4 3 2 4" xfId="5100" xr:uid="{AD70B04E-F5C7-4533-A032-B96AEFC07050}"/>
    <cellStyle name="Cálculo 4 3 2 5" xfId="5101" xr:uid="{27C454C2-2B5F-4BCB-A4C3-26470D37EF23}"/>
    <cellStyle name="Cálculo 4 3 2 6" xfId="5102" xr:uid="{31C47677-E862-4E6A-B1BE-4699A377B285}"/>
    <cellStyle name="Cálculo 4 3 2 7" xfId="5103" xr:uid="{3D615F48-DD19-4315-A4FD-0A8A963B5CBE}"/>
    <cellStyle name="Cálculo 4 3 2 8" xfId="5104" xr:uid="{39CF9F7D-D9C6-40CB-ABA2-AE069C05B891}"/>
    <cellStyle name="Cálculo 4 3 2 9" xfId="5105" xr:uid="{4D42BFC9-62A8-40A9-9AF1-C9E7E72BA1B1}"/>
    <cellStyle name="Cálculo 4 3 2_2013" xfId="5106" xr:uid="{E05EA7F0-0D14-45D6-80CB-DD27266A7C1F}"/>
    <cellStyle name="Cálculo 4 3 20" xfId="5107" xr:uid="{56B933D6-BF8E-43C2-BB8B-09F64ED96BE5}"/>
    <cellStyle name="Cálculo 4 3 3" xfId="5108" xr:uid="{5734872D-D351-4A10-ADA3-CCEB46EB8664}"/>
    <cellStyle name="Cálculo 4 3 4" xfId="5109" xr:uid="{49506F57-CB85-47EB-8AA4-8C8E4654DC9E}"/>
    <cellStyle name="Cálculo 4 3 5" xfId="5110" xr:uid="{62D14D71-9122-4951-8822-74B19AA2D517}"/>
    <cellStyle name="Cálculo 4 3 6" xfId="5111" xr:uid="{BECE6541-F00D-4C29-BA7C-E353055BDD90}"/>
    <cellStyle name="Cálculo 4 3 7" xfId="5112" xr:uid="{E11C2F5D-3871-4AF4-8726-10271555C758}"/>
    <cellStyle name="Cálculo 4 3 8" xfId="5113" xr:uid="{3CF24F37-554B-419E-8C02-15ACA0146A15}"/>
    <cellStyle name="Cálculo 4 3 9" xfId="5114" xr:uid="{68492A8F-74D9-417D-B594-9449CCDF5912}"/>
    <cellStyle name="Cálculo 4 3_2013" xfId="5115" xr:uid="{BE1FECCF-3580-4D39-8C0D-7DCC48EBF6E4}"/>
    <cellStyle name="Cálculo 4 4" xfId="5116" xr:uid="{93DB05E7-8ABB-4210-A45A-02175FCAB4F2}"/>
    <cellStyle name="Cálculo 4 4 10" xfId="5117" xr:uid="{C9C72B4A-B2E0-4410-B702-7E1FFED0C380}"/>
    <cellStyle name="Cálculo 4 4 11" xfId="5118" xr:uid="{FCB26994-230B-4D5F-AB81-373E08BE7E98}"/>
    <cellStyle name="Cálculo 4 4 12" xfId="5119" xr:uid="{D0BE564F-73E3-4251-9822-F49805B10E70}"/>
    <cellStyle name="Cálculo 4 4 13" xfId="5120" xr:uid="{903C50CB-969F-4898-9FBC-654B4D31F2F6}"/>
    <cellStyle name="Cálculo 4 4 14" xfId="5121" xr:uid="{2D71DDD0-4197-4069-8169-24DEE0733730}"/>
    <cellStyle name="Cálculo 4 4 15" xfId="5122" xr:uid="{6099CF1B-83CD-4612-AB07-D033A1716CDF}"/>
    <cellStyle name="Cálculo 4 4 16" xfId="5123" xr:uid="{CDDCDF94-6F1F-4894-BCD9-9B0F06303B0C}"/>
    <cellStyle name="Cálculo 4 4 17" xfId="5124" xr:uid="{72D5AA81-BDDC-40DC-837A-8DDD21041E4C}"/>
    <cellStyle name="Cálculo 4 4 18" xfId="5125" xr:uid="{975C1CBB-E634-43C5-95CD-140193CDF603}"/>
    <cellStyle name="Cálculo 4 4 19" xfId="5126" xr:uid="{1BF01774-F43E-4A57-8E09-D6C29BC9119C}"/>
    <cellStyle name="Cálculo 4 4 19 2" xfId="5127" xr:uid="{84C1C96C-6EBC-4498-B6AA-A5DA610CC194}"/>
    <cellStyle name="Cálculo 4 4 19_2013" xfId="5128" xr:uid="{49CAC4CF-3A90-4340-846D-DC08FE37245E}"/>
    <cellStyle name="Cálculo 4 4 2" xfId="5129" xr:uid="{89E04D5A-E4B8-4C06-AB95-E02CB1D321E1}"/>
    <cellStyle name="Cálculo 4 4 2 10" xfId="5130" xr:uid="{2DED8D0F-480E-41FE-8C85-65A277964155}"/>
    <cellStyle name="Cálculo 4 4 2 11" xfId="5131" xr:uid="{3DD94727-5EA5-4F7D-B156-A1D2B116DAE5}"/>
    <cellStyle name="Cálculo 4 4 2 12" xfId="5132" xr:uid="{E4D7C784-F106-4AAA-88E9-404BDB14CE84}"/>
    <cellStyle name="Cálculo 4 4 2 13" xfId="5133" xr:uid="{6A7533C5-99E5-4044-A789-139A8ACF6500}"/>
    <cellStyle name="Cálculo 4 4 2 14" xfId="5134" xr:uid="{22452C86-C137-4ED2-883A-B78814C3530C}"/>
    <cellStyle name="Cálculo 4 4 2 15" xfId="5135" xr:uid="{3B4AB6DD-85CB-4891-916F-092721CF9D9F}"/>
    <cellStyle name="Cálculo 4 4 2 16" xfId="5136" xr:uid="{689D898C-E5E3-4010-AE93-137886727567}"/>
    <cellStyle name="Cálculo 4 4 2 17" xfId="5137" xr:uid="{33D56D48-F5A3-4B99-B17D-EEE0F96F14E4}"/>
    <cellStyle name="Cálculo 4 4 2 18" xfId="5138" xr:uid="{4407FC2A-00D1-4EB4-9225-39AD62538EF4}"/>
    <cellStyle name="Cálculo 4 4 2 18 2" xfId="5139" xr:uid="{97A7F4FC-F2CD-4559-B276-3F3429E71D24}"/>
    <cellStyle name="Cálculo 4 4 2 18_2013" xfId="5140" xr:uid="{72BF9D78-BF9E-4E22-9A9D-C588D089AF98}"/>
    <cellStyle name="Cálculo 4 4 2 19" xfId="5141" xr:uid="{756024D7-87C6-455E-B524-E98F98A67F8A}"/>
    <cellStyle name="Cálculo 4 4 2 2" xfId="5142" xr:uid="{F1F5307A-EAF9-4AFA-8DCD-F7E7C5D61A1E}"/>
    <cellStyle name="Cálculo 4 4 2 3" xfId="5143" xr:uid="{B80E143D-7711-4CD3-9543-F5140DC3639A}"/>
    <cellStyle name="Cálculo 4 4 2 4" xfId="5144" xr:uid="{AE277A70-60AA-4588-930B-D53E91F3FAF3}"/>
    <cellStyle name="Cálculo 4 4 2 5" xfId="5145" xr:uid="{39DFFD48-8219-4183-A7B4-BBB57A9C9907}"/>
    <cellStyle name="Cálculo 4 4 2 6" xfId="5146" xr:uid="{D1832CC1-E1F2-4082-A71C-39EF18ED4390}"/>
    <cellStyle name="Cálculo 4 4 2 7" xfId="5147" xr:uid="{F1A47433-412B-45AD-8D5F-B8B7B31C45CC}"/>
    <cellStyle name="Cálculo 4 4 2 8" xfId="5148" xr:uid="{D474CD2A-E6F1-4B97-888B-B89020917E32}"/>
    <cellStyle name="Cálculo 4 4 2 9" xfId="5149" xr:uid="{435ACD3E-ED97-437E-BE6E-335E1AE97B6E}"/>
    <cellStyle name="Cálculo 4 4 2_2013" xfId="5150" xr:uid="{F87EB386-2713-4C15-B9A1-0CDE407702B9}"/>
    <cellStyle name="Cálculo 4 4 20" xfId="5151" xr:uid="{B8DB73F1-DD28-447A-A9E2-89BE532630EB}"/>
    <cellStyle name="Cálculo 4 4 3" xfId="5152" xr:uid="{0F326291-A31D-4A39-A946-95E487373556}"/>
    <cellStyle name="Cálculo 4 4 4" xfId="5153" xr:uid="{DEF464D9-AC39-4E69-8123-73699B8C671C}"/>
    <cellStyle name="Cálculo 4 4 5" xfId="5154" xr:uid="{3F1D154F-1961-408C-888A-D0632BF5F03B}"/>
    <cellStyle name="Cálculo 4 4 6" xfId="5155" xr:uid="{0E0A64AE-5A06-455A-94E9-954530CA0C39}"/>
    <cellStyle name="Cálculo 4 4 7" xfId="5156" xr:uid="{8DB87EF9-BA27-47F1-AE83-C95C15AC8AA7}"/>
    <cellStyle name="Cálculo 4 4 8" xfId="5157" xr:uid="{07ECECB7-F3A0-433B-A3B2-A5B76E5F5809}"/>
    <cellStyle name="Cálculo 4 4 9" xfId="5158" xr:uid="{540DA38E-C8F0-42A0-A3F8-63BFA55FE34E}"/>
    <cellStyle name="Cálculo 4 4_2013" xfId="5159" xr:uid="{25C967FD-9C96-4BC1-920A-D0FAD71C56A2}"/>
    <cellStyle name="Cálculo 4 5" xfId="5160" xr:uid="{B55A83D7-0558-4D9B-959E-C73B2F002210}"/>
    <cellStyle name="Cálculo 4 5 10" xfId="5161" xr:uid="{788E56CA-599F-4595-87CD-9EBADFA70B06}"/>
    <cellStyle name="Cálculo 4 5 11" xfId="5162" xr:uid="{7F1AB4C0-E935-461B-92FD-0F3BAB470483}"/>
    <cellStyle name="Cálculo 4 5 12" xfId="5163" xr:uid="{A62DB484-B197-476F-AF41-C6C56F322E46}"/>
    <cellStyle name="Cálculo 4 5 13" xfId="5164" xr:uid="{8D7FCD5A-81F0-4495-BC76-FBF9A2F5B32C}"/>
    <cellStyle name="Cálculo 4 5 14" xfId="5165" xr:uid="{139251F8-E973-4405-9B39-8DB20EB9E947}"/>
    <cellStyle name="Cálculo 4 5 15" xfId="5166" xr:uid="{9589DA37-3C88-4393-AF38-A8FBB755BE37}"/>
    <cellStyle name="Cálculo 4 5 16" xfId="5167" xr:uid="{5F04E170-72BF-4B0C-B577-53E48DF8428F}"/>
    <cellStyle name="Cálculo 4 5 17" xfId="5168" xr:uid="{3F9FE2DF-CD4C-47BE-A7EF-551B8FFA7A72}"/>
    <cellStyle name="Cálculo 4 5 18" xfId="5169" xr:uid="{327DED8C-A6C3-4893-9580-E68D3A7C4E2E}"/>
    <cellStyle name="Cálculo 4 5 18 2" xfId="5170" xr:uid="{186A61EA-C0E9-4D85-A1C0-A015E5DF0356}"/>
    <cellStyle name="Cálculo 4 5 18_2013" xfId="5171" xr:uid="{053790B4-10FE-4B79-9415-44366F87E2DE}"/>
    <cellStyle name="Cálculo 4 5 19" xfId="5172" xr:uid="{25290C6A-E70B-404D-8C42-2BC988A9E657}"/>
    <cellStyle name="Cálculo 4 5 2" xfId="5173" xr:uid="{2F34BCFB-6332-4B63-A3CF-F40276AE738D}"/>
    <cellStyle name="Cálculo 4 5 3" xfId="5174" xr:uid="{EEFD3BA9-6BC5-4A45-A86D-3441B993D935}"/>
    <cellStyle name="Cálculo 4 5 4" xfId="5175" xr:uid="{D4E8C148-9C42-4329-A4A3-647C93CB9920}"/>
    <cellStyle name="Cálculo 4 5 5" xfId="5176" xr:uid="{90EE6150-9F57-4E56-9C58-7A3319756EAB}"/>
    <cellStyle name="Cálculo 4 5 6" xfId="5177" xr:uid="{6BAF713B-4189-448D-997B-7E2F4909BDE9}"/>
    <cellStyle name="Cálculo 4 5 7" xfId="5178" xr:uid="{D2CF0796-8F53-4481-8C44-D2F0E2DE3825}"/>
    <cellStyle name="Cálculo 4 5 8" xfId="5179" xr:uid="{224C01AD-3BC7-45EB-9426-12A7B81BE11C}"/>
    <cellStyle name="Cálculo 4 5 9" xfId="5180" xr:uid="{3A1F7828-0FE6-444D-AF0C-F21487CD37C5}"/>
    <cellStyle name="Cálculo 4 5_2013" xfId="5181" xr:uid="{EA64CA8F-5ABA-4420-8C7E-CDD861122CB9}"/>
    <cellStyle name="Cálculo 4 6" xfId="5182" xr:uid="{15771A40-6DF6-4F69-8F91-9171BC8C3B2F}"/>
    <cellStyle name="Cálculo 4 7" xfId="5183" xr:uid="{DDD7E9E6-1AB4-456F-B5F7-071F878D027E}"/>
    <cellStyle name="Cálculo 4 8" xfId="5184" xr:uid="{824F43B7-7033-408F-AB49-0B3B15459302}"/>
    <cellStyle name="Cálculo 4 9" xfId="5185" xr:uid="{2E4E8048-F19C-4C68-BE68-BBA3091BC934}"/>
    <cellStyle name="Cálculo 4_2013" xfId="5186" xr:uid="{A655F90C-F089-4D63-9376-813F7E41E90E}"/>
    <cellStyle name="Cálculo 5" xfId="5187" xr:uid="{FD32491A-B0D0-46CF-A746-57538670F87C}"/>
    <cellStyle name="Cálculo 5 10" xfId="5188" xr:uid="{E568097D-F219-44BB-9F5E-AEB62ACDAF3E}"/>
    <cellStyle name="Cálculo 5 11" xfId="5189" xr:uid="{040B1D57-50EA-4672-9386-CDDC9B165219}"/>
    <cellStyle name="Cálculo 5 12" xfId="5190" xr:uid="{599ED11E-F9EF-400D-8F44-361A5927B8A8}"/>
    <cellStyle name="Cálculo 5 13" xfId="5191" xr:uid="{3178F1C5-6A34-4842-99E9-75AF79075516}"/>
    <cellStyle name="Cálculo 5 14" xfId="5192" xr:uid="{D16DC74D-E64C-4258-8103-1ED6AE93DC5B}"/>
    <cellStyle name="Cálculo 5 15" xfId="5193" xr:uid="{ADF3E9D9-ABF5-490B-8BA8-983102E717D2}"/>
    <cellStyle name="Cálculo 5 16" xfId="5194" xr:uid="{D343EF1B-0980-42BB-BD7F-05FB5E1CD80D}"/>
    <cellStyle name="Cálculo 5 17" xfId="5195" xr:uid="{C2A58012-E544-48A7-877E-93DEE171DCA7}"/>
    <cellStyle name="Cálculo 5 18" xfId="5196" xr:uid="{31415142-9B22-41E3-BA34-2E8563C7BA43}"/>
    <cellStyle name="Cálculo 5 19" xfId="5197" xr:uid="{7B3867E1-D9C4-44F2-905D-0393D07D4E98}"/>
    <cellStyle name="Cálculo 5 19 2" xfId="5198" xr:uid="{033B052A-75D3-43B7-8BBB-FBAA7D485C03}"/>
    <cellStyle name="Cálculo 5 19_2013" xfId="5199" xr:uid="{53A4042E-E49F-4987-A13E-0182414E0047}"/>
    <cellStyle name="Cálculo 5 2" xfId="5200" xr:uid="{53075021-2D26-48B1-92DB-2AA28245C9C4}"/>
    <cellStyle name="Cálculo 5 2 10" xfId="5201" xr:uid="{168D12F3-3C23-434C-A6B1-74B9DFA5C1C6}"/>
    <cellStyle name="Cálculo 5 2 11" xfId="5202" xr:uid="{2730A876-A2BA-4ADA-8939-26358087C148}"/>
    <cellStyle name="Cálculo 5 2 12" xfId="5203" xr:uid="{973F1331-E776-4465-970B-E8468A2311BE}"/>
    <cellStyle name="Cálculo 5 2 13" xfId="5204" xr:uid="{2C369D00-D76A-4382-8EEB-41BB163C3DE2}"/>
    <cellStyle name="Cálculo 5 2 14" xfId="5205" xr:uid="{503197DE-C4FF-4D95-B138-BC671A588A83}"/>
    <cellStyle name="Cálculo 5 2 15" xfId="5206" xr:uid="{13276A12-7421-4091-A415-5B7359005336}"/>
    <cellStyle name="Cálculo 5 2 16" xfId="5207" xr:uid="{7AE910E7-F7E9-4859-9EF2-48C506FE3D0E}"/>
    <cellStyle name="Cálculo 5 2 17" xfId="5208" xr:uid="{2298F834-5F3F-4B41-A255-9326C9BA5A80}"/>
    <cellStyle name="Cálculo 5 2 18" xfId="5209" xr:uid="{07A47905-AF4C-4A50-90D7-5839D8F3D303}"/>
    <cellStyle name="Cálculo 5 2 18 2" xfId="5210" xr:uid="{D83C78E6-2C2E-483C-8C0A-00C291D6208C}"/>
    <cellStyle name="Cálculo 5 2 18_2013" xfId="5211" xr:uid="{EBC7D762-B309-4F33-976C-0871DD5DED0C}"/>
    <cellStyle name="Cálculo 5 2 19" xfId="5212" xr:uid="{E749C61B-0691-49BE-B419-0905CFE6BCAB}"/>
    <cellStyle name="Cálculo 5 2 2" xfId="5213" xr:uid="{69E14097-0646-4384-8859-12042F83B231}"/>
    <cellStyle name="Cálculo 5 2 3" xfId="5214" xr:uid="{3BA5522D-ED09-4F8A-88A0-C556325C1D19}"/>
    <cellStyle name="Cálculo 5 2 4" xfId="5215" xr:uid="{64E3A4A9-7A10-4D1E-B688-867959AC7E14}"/>
    <cellStyle name="Cálculo 5 2 5" xfId="5216" xr:uid="{01AECF89-5AB1-4FF8-977B-5257DBB97F57}"/>
    <cellStyle name="Cálculo 5 2 6" xfId="5217" xr:uid="{62848CE8-A28E-4885-B2A4-EB70D432BFD2}"/>
    <cellStyle name="Cálculo 5 2 7" xfId="5218" xr:uid="{5EFC8E93-7CF2-4685-9F69-AEB309192134}"/>
    <cellStyle name="Cálculo 5 2 8" xfId="5219" xr:uid="{BFD8F7F9-4EE2-48D4-805F-9C4DDCAFC80B}"/>
    <cellStyle name="Cálculo 5 2 9" xfId="5220" xr:uid="{698A5B20-94F5-4F5D-A68B-4A7D55B1833A}"/>
    <cellStyle name="Cálculo 5 2_2013" xfId="5221" xr:uid="{03F434EE-0D37-4011-B7FB-37483534A95D}"/>
    <cellStyle name="Cálculo 5 20" xfId="5222" xr:uid="{F45537AE-A542-4091-8B00-A872FFB48E10}"/>
    <cellStyle name="Cálculo 5 3" xfId="5223" xr:uid="{243BA944-A3DE-4B3D-B18A-64209C5D9155}"/>
    <cellStyle name="Cálculo 5 4" xfId="5224" xr:uid="{495E604E-79EA-45A7-B79C-688A7A26C09F}"/>
    <cellStyle name="Cálculo 5 5" xfId="5225" xr:uid="{BEB115B1-585D-46B7-A2D9-335BB23CE43C}"/>
    <cellStyle name="Cálculo 5 6" xfId="5226" xr:uid="{818E93A7-6358-4B65-A35F-47D7A6769D1C}"/>
    <cellStyle name="Cálculo 5 7" xfId="5227" xr:uid="{73F15392-FE08-49FA-B9D6-E468EAA3C9F2}"/>
    <cellStyle name="Cálculo 5 8" xfId="5228" xr:uid="{1E679A21-7C44-4308-9E0C-E1CDABE8B7AD}"/>
    <cellStyle name="Cálculo 5 9" xfId="5229" xr:uid="{E0A0F75C-AFAC-43FB-8D56-82AD786C964F}"/>
    <cellStyle name="Cálculo 5_2013" xfId="5230" xr:uid="{344B2B84-2C6E-471F-B798-3C890BD4726B}"/>
    <cellStyle name="Cálculo 6" xfId="5231" xr:uid="{861AB954-714D-47DA-9823-DCFC3ECB5042}"/>
    <cellStyle name="Cálculo 6 10" xfId="5232" xr:uid="{99D6067F-596C-4CB3-B763-6FC74128103E}"/>
    <cellStyle name="Cálculo 6 11" xfId="5233" xr:uid="{0CCA7EAA-22DC-40AE-B05F-CEAFF89A0F74}"/>
    <cellStyle name="Cálculo 6 12" xfId="5234" xr:uid="{988A33E9-24CF-4C51-B29A-857D34B7E84B}"/>
    <cellStyle name="Cálculo 6 13" xfId="5235" xr:uid="{0A48DBFB-1E7B-4769-983E-30DF85137AF5}"/>
    <cellStyle name="Cálculo 6 14" xfId="5236" xr:uid="{CC36646B-38BB-4466-AFDF-11ECC9396267}"/>
    <cellStyle name="Cálculo 6 15" xfId="5237" xr:uid="{A96BCEF4-EC5B-4506-A114-9CD0242AC190}"/>
    <cellStyle name="Cálculo 6 16" xfId="5238" xr:uid="{C525B6C1-5635-4299-8C47-8B0D356661B2}"/>
    <cellStyle name="Cálculo 6 17" xfId="5239" xr:uid="{3183E7EA-B97F-4BD5-852D-AE5B4CAC6057}"/>
    <cellStyle name="Cálculo 6 18" xfId="5240" xr:uid="{F2DAE835-BE45-4025-A935-79AFD6780B4A}"/>
    <cellStyle name="Cálculo 6 19" xfId="5241" xr:uid="{E9C7B9F0-149E-41FB-9A45-734808BDA42B}"/>
    <cellStyle name="Cálculo 6 19 2" xfId="5242" xr:uid="{5CC211B0-2C3D-42B6-BDEB-9261ECD071C0}"/>
    <cellStyle name="Cálculo 6 19_2013" xfId="5243" xr:uid="{5DC8983A-6AAF-4EB9-BFEE-727B53117DA6}"/>
    <cellStyle name="Cálculo 6 2" xfId="5244" xr:uid="{295969D3-F35A-4023-B87B-E18EF2A8C6CD}"/>
    <cellStyle name="Cálculo 6 2 10" xfId="5245" xr:uid="{70E7EB7E-EC6D-4A43-A1DB-EF78656F6490}"/>
    <cellStyle name="Cálculo 6 2 11" xfId="5246" xr:uid="{8631E03D-8E3A-4A1F-8938-8527929F95E9}"/>
    <cellStyle name="Cálculo 6 2 12" xfId="5247" xr:uid="{32B1264E-2256-4AB0-939E-00D3B49BDFA3}"/>
    <cellStyle name="Cálculo 6 2 13" xfId="5248" xr:uid="{119D9029-8498-4DC9-B108-A3D3CE79F251}"/>
    <cellStyle name="Cálculo 6 2 14" xfId="5249" xr:uid="{DBC9901D-9DCC-429C-8443-EA291E41DB90}"/>
    <cellStyle name="Cálculo 6 2 15" xfId="5250" xr:uid="{70B26E3B-1480-4267-BF2E-65FAB645D677}"/>
    <cellStyle name="Cálculo 6 2 16" xfId="5251" xr:uid="{C3A82ADD-9BDB-4F79-B690-BD5469DB40B5}"/>
    <cellStyle name="Cálculo 6 2 17" xfId="5252" xr:uid="{DC2CBDD4-6C83-4881-A228-09C13F5E8B52}"/>
    <cellStyle name="Cálculo 6 2 18" xfId="5253" xr:uid="{0EBCA55F-8986-4F80-995C-6B5B20531D3D}"/>
    <cellStyle name="Cálculo 6 2 18 2" xfId="5254" xr:uid="{43D03616-E626-40A0-A007-DC74BA882898}"/>
    <cellStyle name="Cálculo 6 2 18_2013" xfId="5255" xr:uid="{19F40215-E6E8-485B-A0F8-A233B3765918}"/>
    <cellStyle name="Cálculo 6 2 19" xfId="5256" xr:uid="{301929A6-D0A8-40F6-8DD1-2B2F0C7DD498}"/>
    <cellStyle name="Cálculo 6 2 2" xfId="5257" xr:uid="{A2292130-19EE-495C-91C5-3A95D9839692}"/>
    <cellStyle name="Cálculo 6 2 3" xfId="5258" xr:uid="{0D2BD11B-9454-4A05-AC42-A0EB0BE8AD38}"/>
    <cellStyle name="Cálculo 6 2 4" xfId="5259" xr:uid="{55DE451F-E790-47E2-8900-3C7F264DBDBE}"/>
    <cellStyle name="Cálculo 6 2 5" xfId="5260" xr:uid="{08ECDCBE-963E-44EA-AD80-720D3B7F3457}"/>
    <cellStyle name="Cálculo 6 2 6" xfId="5261" xr:uid="{1AD35746-4A22-4B81-9980-2A467E8E1040}"/>
    <cellStyle name="Cálculo 6 2 7" xfId="5262" xr:uid="{0E282D6F-9A8D-4DB1-B655-AA792D24422E}"/>
    <cellStyle name="Cálculo 6 2 8" xfId="5263" xr:uid="{B53032D4-11D5-4721-A8DF-A781D98D48A3}"/>
    <cellStyle name="Cálculo 6 2 9" xfId="5264" xr:uid="{AAE86FAA-B6CB-4E83-95C2-01169493706C}"/>
    <cellStyle name="Cálculo 6 2_2013" xfId="5265" xr:uid="{A068A3A6-3EE0-462A-9260-960F5A8FBA35}"/>
    <cellStyle name="Cálculo 6 20" xfId="5266" xr:uid="{5A2144B7-90B2-42CC-824C-86135365CDCA}"/>
    <cellStyle name="Cálculo 6 3" xfId="5267" xr:uid="{370C7B5C-D905-4B45-B4D5-09C91B907871}"/>
    <cellStyle name="Cálculo 6 4" xfId="5268" xr:uid="{F28FFBCE-7C90-478D-AD92-C6A081C75EDD}"/>
    <cellStyle name="Cálculo 6 5" xfId="5269" xr:uid="{F721C875-4838-4155-8054-212EA904E6C6}"/>
    <cellStyle name="Cálculo 6 6" xfId="5270" xr:uid="{85C6FF52-E40A-417A-BBD3-82CDD73597E1}"/>
    <cellStyle name="Cálculo 6 7" xfId="5271" xr:uid="{4F8E9E2D-55B6-4896-B36F-36AE693D2E93}"/>
    <cellStyle name="Cálculo 6 8" xfId="5272" xr:uid="{4939543F-71F9-4A07-B773-A03834D7BD36}"/>
    <cellStyle name="Cálculo 6 9" xfId="5273" xr:uid="{C70A5AB0-19CE-480A-9CDE-2177B6FE1E41}"/>
    <cellStyle name="Cálculo 6_2013" xfId="5274" xr:uid="{723C8DCF-C9A8-4B37-8AF9-366B884A5B4C}"/>
    <cellStyle name="Cálculo 7" xfId="5275" xr:uid="{62E697BE-2BDF-4B75-B3E6-ADF9CB1F7B44}"/>
    <cellStyle name="Cálculo 7 10" xfId="5276" xr:uid="{80F97220-D7FF-44E1-9FCE-28A3DEE9437A}"/>
    <cellStyle name="Cálculo 7 11" xfId="5277" xr:uid="{9DFF7798-B637-4F2C-AAFD-422C4204ABE1}"/>
    <cellStyle name="Cálculo 7 12" xfId="5278" xr:uid="{6B317714-FDE2-49F7-BD92-0E2F539903E1}"/>
    <cellStyle name="Cálculo 7 13" xfId="5279" xr:uid="{FE8BA50B-3C75-465A-A048-8DE67A60A3D4}"/>
    <cellStyle name="Cálculo 7 14" xfId="5280" xr:uid="{C5FFD34C-B973-4002-9BDA-614C4B2E7AEA}"/>
    <cellStyle name="Cálculo 7 15" xfId="5281" xr:uid="{A8900DC2-53D6-43D7-96FD-98A2DA2A6976}"/>
    <cellStyle name="Cálculo 7 16" xfId="5282" xr:uid="{F8575FA4-3128-45F2-8279-3CA1ECF8F9CA}"/>
    <cellStyle name="Cálculo 7 17" xfId="5283" xr:uid="{75BB4FC1-4032-4329-869E-E974A2AA8B51}"/>
    <cellStyle name="Cálculo 7 18" xfId="5284" xr:uid="{7AEE1387-7DC4-49F8-8F67-F42BE1D1D626}"/>
    <cellStyle name="Cálculo 7 19" xfId="5285" xr:uid="{F112F11B-197A-479B-BD67-7F3C12A165CF}"/>
    <cellStyle name="Cálculo 7 19 2" xfId="5286" xr:uid="{68124CE1-77AE-4512-8DAB-2C4B4B7466A3}"/>
    <cellStyle name="Cálculo 7 19_2013" xfId="5287" xr:uid="{01CE324D-B248-44C1-8BCC-76B95F45ABA7}"/>
    <cellStyle name="Cálculo 7 2" xfId="5288" xr:uid="{C5294851-989A-4A67-AF3E-2CA0CE227341}"/>
    <cellStyle name="Cálculo 7 2 10" xfId="5289" xr:uid="{254B9A08-7947-4117-9A29-38B2650AC2B8}"/>
    <cellStyle name="Cálculo 7 2 11" xfId="5290" xr:uid="{B454DAF2-F0FB-474D-864F-32A536CBBD80}"/>
    <cellStyle name="Cálculo 7 2 12" xfId="5291" xr:uid="{DEFEED53-903B-4611-A9C1-05D0A9142088}"/>
    <cellStyle name="Cálculo 7 2 13" xfId="5292" xr:uid="{D71E23EF-3D2F-4C9D-B88F-253D18A8AE96}"/>
    <cellStyle name="Cálculo 7 2 14" xfId="5293" xr:uid="{5A1CBEC9-0214-4847-90D6-5ECA940E95C1}"/>
    <cellStyle name="Cálculo 7 2 15" xfId="5294" xr:uid="{1882A7C2-F76F-4F75-86CA-3FFA2F9D1EDA}"/>
    <cellStyle name="Cálculo 7 2 16" xfId="5295" xr:uid="{E3F8D7B8-054F-4A30-B53D-A1627EAB39AE}"/>
    <cellStyle name="Cálculo 7 2 17" xfId="5296" xr:uid="{04471A71-FD85-4057-BE89-65FFB015EFED}"/>
    <cellStyle name="Cálculo 7 2 18" xfId="5297" xr:uid="{2D796CAD-B82C-42CB-877A-450940F4E418}"/>
    <cellStyle name="Cálculo 7 2 18 2" xfId="5298" xr:uid="{B3139C63-B254-4893-910E-C2784F7995AA}"/>
    <cellStyle name="Cálculo 7 2 18_2013" xfId="5299" xr:uid="{C6A22227-B0C8-4B97-999A-D592D6679C26}"/>
    <cellStyle name="Cálculo 7 2 19" xfId="5300" xr:uid="{1C3049B3-95A9-4A65-AA1D-F735E5A6AC9B}"/>
    <cellStyle name="Cálculo 7 2 2" xfId="5301" xr:uid="{7D8E6BEA-317D-44F3-9EC2-87A83D0017CB}"/>
    <cellStyle name="Cálculo 7 2 3" xfId="5302" xr:uid="{E242CC43-7BDF-4EB1-AE49-CF3DDAF9DAC7}"/>
    <cellStyle name="Cálculo 7 2 4" xfId="5303" xr:uid="{B66DD502-4881-4E9C-82F2-6E087536A9EE}"/>
    <cellStyle name="Cálculo 7 2 5" xfId="5304" xr:uid="{70DDF8E4-5864-40C8-9C6D-3CFBB2BFA3E8}"/>
    <cellStyle name="Cálculo 7 2 6" xfId="5305" xr:uid="{C41B4B5F-D2C2-4D8A-915F-512E9C2CE8C0}"/>
    <cellStyle name="Cálculo 7 2 7" xfId="5306" xr:uid="{D2092732-1719-4A99-A78B-7C043F1F01D7}"/>
    <cellStyle name="Cálculo 7 2 8" xfId="5307" xr:uid="{E1C3FB56-FA58-4610-B345-0259A8800D9E}"/>
    <cellStyle name="Cálculo 7 2 9" xfId="5308" xr:uid="{D5095308-B14E-4840-A1C2-965FA17AE8AA}"/>
    <cellStyle name="Cálculo 7 2_2013" xfId="5309" xr:uid="{D50C2F12-E5AD-48A7-AC43-FCA748BAC352}"/>
    <cellStyle name="Cálculo 7 20" xfId="5310" xr:uid="{AD429BA7-CA59-4CA3-A60A-5284BE5D20C7}"/>
    <cellStyle name="Cálculo 7 3" xfId="5311" xr:uid="{2BFA2F1C-FD85-4E5D-9EA7-26168CBF09CA}"/>
    <cellStyle name="Cálculo 7 4" xfId="5312" xr:uid="{00E4C6DC-56EB-4743-920F-67AC3EDF0BB5}"/>
    <cellStyle name="Cálculo 7 5" xfId="5313" xr:uid="{9DD3CBC7-38AF-43AC-8BA1-9E13EA003F16}"/>
    <cellStyle name="Cálculo 7 6" xfId="5314" xr:uid="{402AB1F5-BD4A-49C6-8266-BDC5C509891A}"/>
    <cellStyle name="Cálculo 7 7" xfId="5315" xr:uid="{6AA0D6AA-47A1-41F8-85BE-EFB6F950C228}"/>
    <cellStyle name="Cálculo 7 8" xfId="5316" xr:uid="{C176E73D-72D7-432A-9E2D-2BD5D614A5ED}"/>
    <cellStyle name="Cálculo 7 9" xfId="5317" xr:uid="{C432D7AF-272B-44EC-87B6-3BDA552EBB5C}"/>
    <cellStyle name="Cálculo 7_2013" xfId="5318" xr:uid="{EB59BC94-45B5-471A-9010-BBB1802CC606}"/>
    <cellStyle name="Cálculo 8" xfId="5319" xr:uid="{093A8E0F-CD73-45F9-9FEC-9FA6F195ABB9}"/>
    <cellStyle name="Cálculo 8 10" xfId="5320" xr:uid="{5EA3F0D5-A207-4457-9651-30A7317789C7}"/>
    <cellStyle name="Cálculo 8 11" xfId="5321" xr:uid="{C40464DD-AA55-4305-94C2-3D8DCC24693D}"/>
    <cellStyle name="Cálculo 8 12" xfId="5322" xr:uid="{F4662BE2-875A-402C-8041-57F9232A4886}"/>
    <cellStyle name="Cálculo 8 13" xfId="5323" xr:uid="{13FDD93C-D488-401F-8F40-BEA05373F945}"/>
    <cellStyle name="Cálculo 8 14" xfId="5324" xr:uid="{148CC96A-41E4-48D2-961F-58A5D43925EA}"/>
    <cellStyle name="Cálculo 8 15" xfId="5325" xr:uid="{AF218C90-24FC-4AF5-AB34-4336DE6DAA55}"/>
    <cellStyle name="Cálculo 8 16" xfId="5326" xr:uid="{10298325-E665-42B9-8C6D-9CAFFCDFA59D}"/>
    <cellStyle name="Cálculo 8 17" xfId="5327" xr:uid="{64623901-B853-4AE7-8644-EAA1AEDAA9B2}"/>
    <cellStyle name="Cálculo 8 18" xfId="5328" xr:uid="{825BFAD4-C8B7-4084-8733-856EFEB663B1}"/>
    <cellStyle name="Cálculo 8 18 2" xfId="5329" xr:uid="{7DAD4DC6-4A4F-47EE-BB9B-B767B889AF63}"/>
    <cellStyle name="Cálculo 8 18_2013" xfId="5330" xr:uid="{A38055CF-40B8-489A-9FA5-A121C9EDEA75}"/>
    <cellStyle name="Cálculo 8 19" xfId="5331" xr:uid="{F4A086BC-57E2-4EDE-B081-AA458799166E}"/>
    <cellStyle name="Cálculo 8 2" xfId="5332" xr:uid="{F72CE86C-354C-4803-804B-CD574490A6E4}"/>
    <cellStyle name="Cálculo 8 3" xfId="5333" xr:uid="{8C51E957-D80D-448A-9AB8-FAC9E4197932}"/>
    <cellStyle name="Cálculo 8 4" xfId="5334" xr:uid="{A680CEA4-D911-4D52-9801-745E166BB592}"/>
    <cellStyle name="Cálculo 8 5" xfId="5335" xr:uid="{F2C162F2-E691-466A-B272-9EF4BDBE92E8}"/>
    <cellStyle name="Cálculo 8 6" xfId="5336" xr:uid="{988928CF-AFEA-4785-B779-470435A37A3B}"/>
    <cellStyle name="Cálculo 8 7" xfId="5337" xr:uid="{5BBD1AB5-84B0-4DB1-BA6F-295FC3AEFE9F}"/>
    <cellStyle name="Cálculo 8 8" xfId="5338" xr:uid="{2E4C78D0-6A21-4850-A5CD-60502EFF3076}"/>
    <cellStyle name="Cálculo 8 9" xfId="5339" xr:uid="{75BD0577-BC50-4935-B5C6-43680A7F8FB8}"/>
    <cellStyle name="Cálculo 8_2013" xfId="5340" xr:uid="{B7C3886E-60D2-4500-BF67-16CD8248D67D}"/>
    <cellStyle name="Cálculo 9" xfId="5341" xr:uid="{23F4A1A4-3D23-45E2-A7CC-F7E23EE31013}"/>
    <cellStyle name="Cálculo_2013" xfId="5342" xr:uid="{EB430CEF-1254-4462-8ACA-02366550E01D}"/>
    <cellStyle name="Cella collegata" xfId="5343" xr:uid="{5908A28D-0611-4F7B-80A1-1A6ABBCCA4F7}"/>
    <cellStyle name="Cella da controllare" xfId="5344" xr:uid="{CCCAF84E-BD22-43E3-9430-046F764FA4D2}"/>
    <cellStyle name="Célula Ligada" xfId="5345" xr:uid="{75EC55CE-7DB7-4C17-93E5-57100C1BD1A8}"/>
    <cellStyle name="Célula Ligada 2" xfId="5346" xr:uid="{6F66EEF4-F616-4881-84FC-4E9E987458E9}"/>
    <cellStyle name="Célula Ligada_2013" xfId="5347" xr:uid="{59B6B0CD-F451-4AB4-97BA-CD6C29A4B6B2}"/>
    <cellStyle name="Check Cell 2" xfId="5348" xr:uid="{C0928CF9-3A7A-43B6-80A7-F2C47F1FE0C8}"/>
    <cellStyle name="Check Cell 2 2" xfId="5349" xr:uid="{5B806A0B-6153-4F16-A34A-56BEFADBAFB6}"/>
    <cellStyle name="Check Cell 2_2013" xfId="5350" xr:uid="{9D1A298E-FF03-4351-9ADB-7A380307F155}"/>
    <cellStyle name="Check Cell 3" xfId="5351" xr:uid="{6A739AA9-CFD2-48AA-B082-7898ED5D9EEF}"/>
    <cellStyle name="Check Cell 3 2" xfId="5352" xr:uid="{335B7270-31A1-4F96-A49C-71F009BCC813}"/>
    <cellStyle name="Check Cell 3 2 2" xfId="5353" xr:uid="{C1D0495A-20B2-4329-8691-869741F86C82}"/>
    <cellStyle name="Check Cell 3 2_2013" xfId="5354" xr:uid="{3357E2F7-AF2B-482F-9FB5-A001285EC7BF}"/>
    <cellStyle name="Check Cell 3 3" xfId="5355" xr:uid="{C33D66ED-996B-438F-A9FB-1957529881A8}"/>
    <cellStyle name="Check Cell 3_2013" xfId="5356" xr:uid="{BAE22DCB-CB2E-4650-83A1-7E1CC065E577}"/>
    <cellStyle name="Check Cell 4" xfId="5357" xr:uid="{14E96E4B-E326-4EE5-9B0B-E88056217405}"/>
    <cellStyle name="Check Cell 4 2" xfId="5358" xr:uid="{FAF20FCF-90FD-4E63-82E3-35C0754F23E5}"/>
    <cellStyle name="Check Cell 4_2013" xfId="5359" xr:uid="{FE75EF03-442E-4270-8339-A0763B312336}"/>
    <cellStyle name="Colore 1" xfId="5360" xr:uid="{86D46063-1D61-4E16-A26F-B1E2269EF200}"/>
    <cellStyle name="Colore 2" xfId="5361" xr:uid="{39C28C85-4656-4715-A2F4-C930DB0141D3}"/>
    <cellStyle name="Colore 3" xfId="5362" xr:uid="{814D1721-22AD-4EB1-8B09-594974401C29}"/>
    <cellStyle name="Colore 4" xfId="5363" xr:uid="{E11DEB16-DE30-4EFD-9081-F087DFB481BC}"/>
    <cellStyle name="Colore 5" xfId="5364" xr:uid="{3ABA2D92-8DA2-442E-9E4F-818A6D507852}"/>
    <cellStyle name="Colore 6" xfId="5365" xr:uid="{F844DB6F-A9BA-42FA-91D2-10081B730606}"/>
    <cellStyle name="Column headings" xfId="5366" xr:uid="{1A55EC49-B2FB-43B5-AE44-D7E7643E2C78}"/>
    <cellStyle name="Comma 10" xfId="5367" xr:uid="{E68C95A9-BC46-473B-ACF8-967FBF27026C}"/>
    <cellStyle name="Comma 10 2" xfId="5368" xr:uid="{7233EDB5-E0CC-4FC2-BA71-0C769F37602D}"/>
    <cellStyle name="Comma 10 2 2" xfId="5369" xr:uid="{0CA60B86-BDAD-4BAB-84B4-6FEDAD5D15CF}"/>
    <cellStyle name="Comma 10 2_2013" xfId="5370" xr:uid="{3EDF07A8-7F2D-468A-A8A2-F1C0CD1A05DA}"/>
    <cellStyle name="Comma 10 3" xfId="5371" xr:uid="{A5424254-D7E0-4B07-B1CA-DE97EE13411B}"/>
    <cellStyle name="Comma 10 4" xfId="5372" xr:uid="{D101EC28-891B-4A21-8A6D-32011119711D}"/>
    <cellStyle name="Comma 10 5" xfId="5373" xr:uid="{F24F1E07-77F4-4427-B2CA-A04526C67EB0}"/>
    <cellStyle name="Comma 10_2013" xfId="5374" xr:uid="{8AA3FFAF-6220-4CDA-8B56-92817D23B378}"/>
    <cellStyle name="Comma 11" xfId="5375" xr:uid="{223C326E-D08B-4DD8-AA0C-AEE4AD9C76E0}"/>
    <cellStyle name="Comma 11 2" xfId="5376" xr:uid="{40D0E93C-E272-421F-94E2-9055919DA8EF}"/>
    <cellStyle name="Comma 11 2 2" xfId="5377" xr:uid="{B90872EA-FA9E-4F54-B41A-AC9F957CE4C1}"/>
    <cellStyle name="Comma 11 2_2013" xfId="5378" xr:uid="{857DDE1C-A35C-466B-AC4F-254EB09B115B}"/>
    <cellStyle name="Comma 11 3" xfId="5379" xr:uid="{30B9C395-DFA2-4C99-A64B-A0AA8F8E00AE}"/>
    <cellStyle name="Comma 11 4" xfId="5380" xr:uid="{7C43A469-EF68-42E1-A819-070BA8FCA4C0}"/>
    <cellStyle name="Comma 11 5" xfId="5381" xr:uid="{C34A6FA2-FC0C-432A-A02F-AF34F1738EA2}"/>
    <cellStyle name="Comma 11_2013" xfId="5382" xr:uid="{4671BC36-F137-426D-804A-09357CEA5B01}"/>
    <cellStyle name="Comma 12" xfId="5383" xr:uid="{6E70DFF7-7A9E-4C1B-A3EE-B27A35FDC326}"/>
    <cellStyle name="Comma 12 2" xfId="5384" xr:uid="{F50E921C-38EB-40CD-9637-6D1F0DF45E5B}"/>
    <cellStyle name="Comma 12 3" xfId="5385" xr:uid="{3E3AF8CF-A4FD-4D4E-837F-ECD17454394B}"/>
    <cellStyle name="Comma 12_2013" xfId="5386" xr:uid="{BB8A9A74-E5B8-4ED6-8CFA-EC08FB14BF90}"/>
    <cellStyle name="Comma 13" xfId="5387" xr:uid="{24EB1EF2-E4A3-4A36-A46D-BADFEA63DA6B}"/>
    <cellStyle name="Comma 13 2" xfId="5388" xr:uid="{1FDEDE30-576E-496C-AA28-3967376CF1B8}"/>
    <cellStyle name="Comma 13 2 2" xfId="5389" xr:uid="{942FCA33-F8BF-4151-A6DA-4EAD5672B642}"/>
    <cellStyle name="Comma 13 2_2013" xfId="5390" xr:uid="{4E4FAA38-B84D-4977-A1D6-7E7A9A8C01D1}"/>
    <cellStyle name="Comma 13 3" xfId="5391" xr:uid="{88A4A179-1A9E-4EF3-BCF2-2FB6BD5F7D65}"/>
    <cellStyle name="Comma 13 4" xfId="5392" xr:uid="{CC53D652-DAED-4C87-A2C8-115699F3D3B1}"/>
    <cellStyle name="Comma 13_2013" xfId="5393" xr:uid="{5A802913-67C4-47CF-BD1A-CB9AE5D48B6C}"/>
    <cellStyle name="Comma 14" xfId="5394" xr:uid="{6D2051D7-7501-48BD-8D52-5AC91645CB1B}"/>
    <cellStyle name="Comma 14 2" xfId="5395" xr:uid="{434C1EFC-4D82-4410-8356-88AF2246E7E7}"/>
    <cellStyle name="Comma 14 2 2" xfId="5396" xr:uid="{2D672F2B-3D77-4AD2-9523-35DA0702355C}"/>
    <cellStyle name="Comma 14 2_2013" xfId="5397" xr:uid="{F6B14257-018A-4459-8C12-1795C0E90B5B}"/>
    <cellStyle name="Comma 14 3" xfId="5398" xr:uid="{365427AF-B0FF-4B00-B7B7-F36172875223}"/>
    <cellStyle name="Comma 14 4" xfId="5399" xr:uid="{120F7D5C-724B-4927-8A60-2229DAEFDE5B}"/>
    <cellStyle name="Comma 14_2013" xfId="5400" xr:uid="{B517B29F-8981-4042-A9D2-CA4115C9B88C}"/>
    <cellStyle name="Comma 15" xfId="5401" xr:uid="{CC9460AB-EB09-426F-AAD1-A434576EDEC7}"/>
    <cellStyle name="Comma 15 2" xfId="5402" xr:uid="{D1EE5C88-859B-48AA-A2AE-462399982548}"/>
    <cellStyle name="Comma 15 3" xfId="5403" xr:uid="{B657A6E7-539C-4162-827F-A39BC108B8F3}"/>
    <cellStyle name="Comma 15 4" xfId="5404" xr:uid="{2F65383F-FCDF-4F4B-91E5-8CCC64612F59}"/>
    <cellStyle name="Comma 15_2013" xfId="5405" xr:uid="{173173FA-170A-4119-917D-05DC5209D444}"/>
    <cellStyle name="Comma 16" xfId="5406" xr:uid="{2C921CA8-61F3-4B36-8321-1058B4FA04F5}"/>
    <cellStyle name="Comma 17" xfId="5407" xr:uid="{BCEB548C-41FE-4AEF-BD9A-DBDF9934CC2A}"/>
    <cellStyle name="Comma 18" xfId="5408" xr:uid="{1D9C007C-8CB2-401F-8B8F-13703EC39170}"/>
    <cellStyle name="Comma 19" xfId="5409" xr:uid="{985F9437-76EA-4709-950E-0D329F7130E5}"/>
    <cellStyle name="Comma 2" xfId="5410" xr:uid="{7CBF5805-0740-4450-BC2C-E3BFC5580DB3}"/>
    <cellStyle name="Comma 2 2" xfId="5411" xr:uid="{68D49D61-6DC2-4A35-B5A3-41636114AFB9}"/>
    <cellStyle name="Comma 2 2 2" xfId="5412" xr:uid="{431D3712-AE08-4A01-B7EC-D2E4EB143440}"/>
    <cellStyle name="Comma 2 2 2 2" xfId="5413" xr:uid="{FB4BC360-103F-40F0-83C2-24A71357F8FB}"/>
    <cellStyle name="Comma 2 2 2 3" xfId="5414" xr:uid="{EB91BE99-7EF6-4E5A-80B8-DEEDFDBC4C7F}"/>
    <cellStyle name="Comma 2 2 2_2013" xfId="5415" xr:uid="{7B836793-1424-4A56-AD8D-67F6533E4A8F}"/>
    <cellStyle name="Comma 2 2 3" xfId="5416" xr:uid="{5A6F9885-A2EE-40A7-8EB2-224A8957C40A}"/>
    <cellStyle name="Comma 2 2 4" xfId="5417" xr:uid="{1F9F2931-54C5-47FA-BD5A-083504704406}"/>
    <cellStyle name="Comma 2 2 5" xfId="5418" xr:uid="{ABBB0CAB-9A57-4ACD-BA20-8B84A34039E8}"/>
    <cellStyle name="Comma 2 2_2013" xfId="5419" xr:uid="{2B381860-2769-493E-B010-7F88EBEF1182}"/>
    <cellStyle name="Comma 2 3" xfId="5420" xr:uid="{044AFBA3-218C-4E31-955C-E6C2BE0E9158}"/>
    <cellStyle name="Comma 2 4" xfId="5421" xr:uid="{BEBAB53B-C293-4291-94BD-05694A939A57}"/>
    <cellStyle name="Comma 2 4 2" xfId="5422" xr:uid="{AA2652D3-FDA8-4BEE-A580-667EE7530B37}"/>
    <cellStyle name="Comma 2 4_2013" xfId="5423" xr:uid="{34D1D088-553D-43A9-9690-053C71E91123}"/>
    <cellStyle name="Comma 2 5" xfId="5424" xr:uid="{A2A25933-D9C1-4A41-BBA1-091F9C45BC32}"/>
    <cellStyle name="Comma 2 5 2" xfId="5425" xr:uid="{530213EB-A95C-414C-B9EF-9E50A279A9D7}"/>
    <cellStyle name="Comma 2 5_2013" xfId="5426" xr:uid="{4B42F4E4-8333-479D-99BD-9FC510878E20}"/>
    <cellStyle name="Comma 2 6" xfId="5427" xr:uid="{B3670B28-F832-4DBF-BB89-942D42F19879}"/>
    <cellStyle name="Comma 2 7" xfId="5428" xr:uid="{3E454CBE-2183-43D2-A84F-C1A30B0DA838}"/>
    <cellStyle name="Comma 2 8" xfId="5429" xr:uid="{DDD7C9EE-A1C3-4DE5-8026-4604DED643B1}"/>
    <cellStyle name="Comma 2_2013" xfId="5430" xr:uid="{95CA8CF0-3E40-4F43-B80A-BC9E46CB0F21}"/>
    <cellStyle name="Comma 20" xfId="5431" xr:uid="{B751B109-394A-4314-943B-F08018627D69}"/>
    <cellStyle name="Comma 21" xfId="5432" xr:uid="{46F26BEF-92FE-479A-946D-0C94DF70A0A9}"/>
    <cellStyle name="Comma 22" xfId="5433" xr:uid="{AE32BE10-89AC-4F75-BA98-FD57C11BDC2C}"/>
    <cellStyle name="Comma 23" xfId="5434" xr:uid="{2353F2B5-7167-41C8-8079-52B5BB8F84EA}"/>
    <cellStyle name="Comma 24" xfId="5435" xr:uid="{F0933684-4237-4F2C-BA0F-D61907F4A325}"/>
    <cellStyle name="Comma 25" xfId="5436" xr:uid="{CEDDED45-082F-43EA-89FD-6AAE5F227B5D}"/>
    <cellStyle name="Comma 26" xfId="5437" xr:uid="{37988767-9523-4CBC-A0EB-EBED498BD3FE}"/>
    <cellStyle name="Comma 27" xfId="5438" xr:uid="{03C32E01-7931-48EC-AF1A-23A774D18B8E}"/>
    <cellStyle name="Comma 28" xfId="2" xr:uid="{68431713-D391-4B09-8EE9-9C04C0402A77}"/>
    <cellStyle name="Comma 3" xfId="5439" xr:uid="{968D776E-9C67-42F0-B919-10A6EC15A75C}"/>
    <cellStyle name="Comma 3 2" xfId="5440" xr:uid="{B2B6028C-8CC8-4488-AEE1-D53306141798}"/>
    <cellStyle name="Comma 3 2 2" xfId="5441" xr:uid="{1EBDF297-9586-463F-A7DA-78D22D220F4F}"/>
    <cellStyle name="Comma 3 2_2013" xfId="5442" xr:uid="{4BC6CB7F-F27B-46C1-A6AA-34079C71AE65}"/>
    <cellStyle name="Comma 3 3" xfId="5443" xr:uid="{6B9260BC-CCB7-4F93-8255-BA3E533B8CAB}"/>
    <cellStyle name="Comma 3 3 2" xfId="5444" xr:uid="{42EEB94A-363B-4075-B176-C09745FB415F}"/>
    <cellStyle name="Comma 3 3 3" xfId="5445" xr:uid="{BF53CB60-B84C-4A37-B8A2-E55521BD1EAE}"/>
    <cellStyle name="Comma 3 3 4" xfId="5446" xr:uid="{46B25CA2-5597-45CF-BF25-973C87E6929C}"/>
    <cellStyle name="Comma 3 3_2013" xfId="5447" xr:uid="{E62D57CF-1387-48AD-9CF8-037D62A1FD45}"/>
    <cellStyle name="Comma 3 4" xfId="5448" xr:uid="{7798F833-DFA5-4C56-A5F9-246E5A53C684}"/>
    <cellStyle name="Comma 3 4 2" xfId="5449" xr:uid="{E15E1351-7FF0-49BE-9E65-40996A30200E}"/>
    <cellStyle name="Comma 3 4_2013" xfId="5450" xr:uid="{B6581C70-D068-4691-9953-8475BF07B098}"/>
    <cellStyle name="Comma 3 5" xfId="5451" xr:uid="{0204B8C4-51AE-4B29-A3FC-09A8D77991FA}"/>
    <cellStyle name="Comma 3_2013" xfId="5452" xr:uid="{804B20D2-52B8-463C-9877-B56A7CABCE99}"/>
    <cellStyle name="Comma 4" xfId="5453" xr:uid="{D45D95BE-CA2F-41F5-A705-CAE25404C87A}"/>
    <cellStyle name="Comma 4 2" xfId="5454" xr:uid="{BFD49E3E-BB50-48F9-9589-A51C6063AA6E}"/>
    <cellStyle name="Comma 4 2 2" xfId="5455" xr:uid="{12E04030-FC70-40D6-B032-683FBD18A537}"/>
    <cellStyle name="Comma 4 2_2013" xfId="5456" xr:uid="{761ABF00-4E03-465B-94C6-7AD5F7F9B122}"/>
    <cellStyle name="Comma 4 3" xfId="5457" xr:uid="{EAB7FC5B-1C90-48CD-9290-AEFB0142EB31}"/>
    <cellStyle name="Comma 4 3 2" xfId="5458" xr:uid="{F8848468-7B7D-401E-93B7-C046481465C2}"/>
    <cellStyle name="Comma 4 3 3" xfId="5459" xr:uid="{DEDA8DEC-10A0-47FD-A9BA-755373B8C7AE}"/>
    <cellStyle name="Comma 4 3_2013" xfId="5460" xr:uid="{1A3502FB-C991-4E4C-8F1F-B1C1FA75AC84}"/>
    <cellStyle name="Comma 4 4" xfId="5461" xr:uid="{2B32A989-ECE9-4824-919D-F5DA138482C7}"/>
    <cellStyle name="Comma 4 4 2" xfId="5462" xr:uid="{41C0F228-B034-4568-93B1-DC64DF6AF152}"/>
    <cellStyle name="Comma 4 4_2013" xfId="5463" xr:uid="{AF435B3E-EC85-4E80-8107-95C1C8BC9832}"/>
    <cellStyle name="Comma 4_2013" xfId="5464" xr:uid="{89DCCEFF-2F71-4890-88F2-E7F5EF178E27}"/>
    <cellStyle name="Comma 5" xfId="5465" xr:uid="{9E911DC2-B6AF-47F5-9F52-25DE47556532}"/>
    <cellStyle name="Comma 5 2" xfId="5466" xr:uid="{9546879A-8307-469C-A4F6-63C9A8A604C8}"/>
    <cellStyle name="Comma 5 2 2" xfId="5467" xr:uid="{97B94838-3A03-4B71-9A92-67AE14BF3158}"/>
    <cellStyle name="Comma 5 2_2013" xfId="5468" xr:uid="{0B4D4F31-CD7B-43B8-99AC-755EAB386915}"/>
    <cellStyle name="Comma 5 3" xfId="5469" xr:uid="{1AFD8C01-CA6B-4250-9573-A4F86230FF09}"/>
    <cellStyle name="Comma 5 3 2" xfId="5470" xr:uid="{B51CA2A1-4732-4F5B-98D2-F4CD08E77CEC}"/>
    <cellStyle name="Comma 5 3 3" xfId="5471" xr:uid="{337735A1-DB03-4A49-B8BB-A292FA772B7E}"/>
    <cellStyle name="Comma 5 3 3 2" xfId="5472" xr:uid="{30533D44-D93F-40E5-81EE-21ABA36C13FB}"/>
    <cellStyle name="Comma 5 3 3_2013" xfId="5473" xr:uid="{4B1C7077-EE60-40D9-825B-7A54BDD3453E}"/>
    <cellStyle name="Comma 5 3 4" xfId="5474" xr:uid="{4689E69A-A7B4-40E8-89EC-64DCDB8DFA77}"/>
    <cellStyle name="Comma 5 3_2013" xfId="5475" xr:uid="{06646138-9A13-47C0-B69D-1A77AB9FEE3E}"/>
    <cellStyle name="Comma 5 4" xfId="5476" xr:uid="{01080DBF-3A9B-4FAF-BE74-62094469EF02}"/>
    <cellStyle name="Comma 5 5" xfId="5477" xr:uid="{7A93E3C3-516F-4A63-9650-24E829821BB7}"/>
    <cellStyle name="Comma 5 5 2" xfId="5478" xr:uid="{DE6EDB26-D259-4DEA-A790-A415C17E3000}"/>
    <cellStyle name="Comma 5 5_2013" xfId="5479" xr:uid="{E9D7A2E5-75F3-41C0-BD2A-3F518B8B748E}"/>
    <cellStyle name="Comma 5 6" xfId="5480" xr:uid="{8FB13D1E-DEE3-488D-AFCC-1AF4EDCCE9F0}"/>
    <cellStyle name="Comma 5_2013" xfId="5481" xr:uid="{B49DE5E1-EFBB-4D42-9F44-48180428D6C9}"/>
    <cellStyle name="Comma 6" xfId="5482" xr:uid="{B0ED4EC6-1157-400B-82CD-0FA7F2243AAB}"/>
    <cellStyle name="Comma 6 2" xfId="5483" xr:uid="{9D4CE035-FDD2-44F1-91A7-4E15DD0BDBA1}"/>
    <cellStyle name="Comma 6 3" xfId="5484" xr:uid="{21277213-7BC4-4CE9-8FFD-7645B34D985B}"/>
    <cellStyle name="Comma 6 3 2" xfId="5485" xr:uid="{6D8C42FE-C3BD-4B3B-828F-B0D093A2F5F6}"/>
    <cellStyle name="Comma 6 3_2013" xfId="5486" xr:uid="{6AD7723B-B53F-4BAD-83EC-E47CD6A4FC4A}"/>
    <cellStyle name="Comma 6 4" xfId="5487" xr:uid="{3C172116-6342-438E-8603-CCBC00A19990}"/>
    <cellStyle name="Comma 6 4 2" xfId="5488" xr:uid="{C4E358B1-09E2-4AC7-89F1-C7D07892467C}"/>
    <cellStyle name="Comma 6 4 3" xfId="5489" xr:uid="{0D71E70A-7279-4D0D-9716-C7D43D4CB437}"/>
    <cellStyle name="Comma 6 4 3 2" xfId="5490" xr:uid="{6E725D8B-7C47-42D5-996A-F8C9EF1F8B5C}"/>
    <cellStyle name="Comma 6 4 3_2013" xfId="5491" xr:uid="{DE7A8746-FD75-48A3-A3C9-95552A3A8C78}"/>
    <cellStyle name="Comma 6 4 4" xfId="5492" xr:uid="{555104B5-8049-4AD4-9D39-14C9138F84FE}"/>
    <cellStyle name="Comma 6 4 5" xfId="5493" xr:uid="{610A4318-EEA1-4E7C-8980-14B6593EC78F}"/>
    <cellStyle name="Comma 6 4_2013" xfId="5494" xr:uid="{1F29472D-9EE5-4CE3-BB04-466C32C6CB4D}"/>
    <cellStyle name="Comma 6 5" xfId="5495" xr:uid="{3D9C024D-091A-49AF-AB65-B1A5F62481A9}"/>
    <cellStyle name="Comma 6 6" xfId="5496" xr:uid="{8B1806F7-DAF8-4EB7-A368-F4636AD3DAFE}"/>
    <cellStyle name="Comma 6 7" xfId="5497" xr:uid="{8D13E5F4-4090-4E70-BD56-262F86DD4DF1}"/>
    <cellStyle name="Comma 6_2013" xfId="5498" xr:uid="{7CFE0B96-7450-4226-B647-23FCB380D633}"/>
    <cellStyle name="Comma 7" xfId="5499" xr:uid="{3A50E33E-F747-4A54-8FB5-587BFBB1D051}"/>
    <cellStyle name="Comma 7 2" xfId="5500" xr:uid="{9D484D4A-1032-4055-ADCF-256F8EEE57B1}"/>
    <cellStyle name="Comma 7 3" xfId="5501" xr:uid="{3446C169-288B-4F73-9E8E-2D8ECE338CDF}"/>
    <cellStyle name="Comma 7 4" xfId="5502" xr:uid="{D1F5610D-0B33-4DDC-BB80-2FF736747AA6}"/>
    <cellStyle name="Comma 7 5" xfId="5503" xr:uid="{50C4BEC7-0D38-45A1-959B-BAF462BD06D2}"/>
    <cellStyle name="Comma 7 6" xfId="5504" xr:uid="{C14388E9-F100-4B16-B1B0-8B2554D33DF7}"/>
    <cellStyle name="Comma 7_2013" xfId="5505" xr:uid="{AF563236-8AB1-4931-A5CA-A9815C1A3BB9}"/>
    <cellStyle name="Comma 8" xfId="5506" xr:uid="{7009230B-3573-429A-9216-EBDC9852A056}"/>
    <cellStyle name="Comma 8 2" xfId="5507" xr:uid="{0FD7635E-34D7-45A2-BB6B-31E625A54CAE}"/>
    <cellStyle name="Comma 8 2 2" xfId="5508" xr:uid="{DED6F95E-8058-449F-980C-83F5181B9AE5}"/>
    <cellStyle name="Comma 8 2_2013" xfId="5509" xr:uid="{590DD721-A78D-4B0A-B440-D26683D897C7}"/>
    <cellStyle name="Comma 8 3" xfId="5510" xr:uid="{62E093B4-441F-4F0C-AF85-8D3EC25D7156}"/>
    <cellStyle name="Comma 8 4" xfId="5511" xr:uid="{C3DF52BD-3747-43E5-A968-2AE975EA1199}"/>
    <cellStyle name="Comma 8_2013" xfId="5512" xr:uid="{8E109C70-EF19-41D9-AED1-5243933D6CF4}"/>
    <cellStyle name="Comma 9" xfId="5513" xr:uid="{1CE2B1E9-C894-4245-8F2A-680100515660}"/>
    <cellStyle name="Comma 9 2" xfId="5514" xr:uid="{4AFA1B74-D597-4B95-A29E-099430BC96AD}"/>
    <cellStyle name="Comma 9 2 2" xfId="5515" xr:uid="{60E4D980-5C63-4CBB-9E96-34A01C544110}"/>
    <cellStyle name="Comma 9 2 3" xfId="5516" xr:uid="{4B0669EE-7D4A-479C-8EDF-E0E1A8394DC7}"/>
    <cellStyle name="Comma 9 2 4" xfId="5517" xr:uid="{69CF9FCE-F69B-4ADA-962C-78D4D247322B}"/>
    <cellStyle name="Comma 9 2_2013" xfId="5518" xr:uid="{75BE7D5E-D17D-46A5-8DA0-B22A6F6B67AF}"/>
    <cellStyle name="Comma 9 3" xfId="5519" xr:uid="{79413723-870C-4415-A978-1925CDF9C65B}"/>
    <cellStyle name="Comma 9 3 2" xfId="5520" xr:uid="{CED239D8-37CC-42EE-B048-B1EC1C56E40F}"/>
    <cellStyle name="Comma 9 3 3" xfId="5521" xr:uid="{D935ECBD-CA31-4D2D-BADF-60A03A28792C}"/>
    <cellStyle name="Comma 9 3_2013" xfId="5522" xr:uid="{3F8E13E8-64CF-4A3B-AA1A-03F394DDF987}"/>
    <cellStyle name="Comma 9 4" xfId="5523" xr:uid="{F89FA72C-B4A8-41C9-9618-E242526CDD1C}"/>
    <cellStyle name="Comma 9 4 2" xfId="5524" xr:uid="{87EF8BAA-FE96-4095-A357-B062A58EEE7C}"/>
    <cellStyle name="Comma 9 4_2013" xfId="5525" xr:uid="{F42A44EC-E904-475E-AD63-698A9115DBFE}"/>
    <cellStyle name="Comma 9 5" xfId="5526" xr:uid="{BCBB82C8-E646-4959-98B6-F41D6C0EADB6}"/>
    <cellStyle name="Comma 9_2013" xfId="5527" xr:uid="{4BCEAF8B-4676-491C-BF7F-E61684D86E52}"/>
    <cellStyle name="comma zerodec" xfId="5528" xr:uid="{C6349557-A91C-4A1B-999E-62D7301B511A}"/>
    <cellStyle name="Comma0 - Style3" xfId="5529" xr:uid="{6D536DE2-142A-4996-8C52-3B8259E7156B}"/>
    <cellStyle name="Comma0 - Style3 2" xfId="5530" xr:uid="{32E1E3EB-D3B4-4864-A0DC-2FD40156AA21}"/>
    <cellStyle name="Comma0 - Style3 2 2" xfId="5531" xr:uid="{AF95F104-F168-403F-A9C0-16A9C8E212ED}"/>
    <cellStyle name="Comma0 - Style3 2_2013" xfId="5532" xr:uid="{A2016F64-6B34-4801-9202-BA57666B3030}"/>
    <cellStyle name="Comma0 - Style3 3" xfId="5533" xr:uid="{64E87DDC-FF75-41C8-927B-35930872598A}"/>
    <cellStyle name="Comma0 - Style3_2013" xfId="5534" xr:uid="{1F02A90E-F7BC-403C-AC59-FE0A97855BCE}"/>
    <cellStyle name="Comma1 - Style1" xfId="5535" xr:uid="{F5977121-060B-4EA3-9EEB-ACA93B2C4255}"/>
    <cellStyle name="Comma1 - Style1 2" xfId="5536" xr:uid="{2EA8447D-3FEC-461D-90B4-4E1EB3A1F75A}"/>
    <cellStyle name="Comma1 - Style1 2 2" xfId="5537" xr:uid="{36BA9ACE-17FA-48ED-AE3D-1700FE88F981}"/>
    <cellStyle name="Comma1 - Style1 2_2013" xfId="5538" xr:uid="{D3E44951-5449-44F9-A20D-8DF45F625A8D}"/>
    <cellStyle name="Comma1 - Style1 3" xfId="5539" xr:uid="{99B022EE-816C-42A9-85D6-15CF913A816C}"/>
    <cellStyle name="Comma1 - Style1_2013" xfId="5540" xr:uid="{B7A81E41-AD43-4073-A5F7-BE81AD6FB049}"/>
    <cellStyle name="Cor1" xfId="5541" xr:uid="{E8743088-648D-48F5-8D34-8399847EEFAF}"/>
    <cellStyle name="Cor1 2" xfId="5542" xr:uid="{F8A0E937-0369-40D8-A00C-3EE45DA367AC}"/>
    <cellStyle name="Cor1_2013" xfId="5543" xr:uid="{8E3FC40B-89E7-4C2C-9DE0-81FF788A3F1D}"/>
    <cellStyle name="Cor2" xfId="5544" xr:uid="{3A8876C6-384D-48E2-98C2-AB3DDCFCAE9B}"/>
    <cellStyle name="Cor2 2" xfId="5545" xr:uid="{377DCDA2-6587-481A-9B29-A2CE5B77C9FF}"/>
    <cellStyle name="Cor2_2013" xfId="5546" xr:uid="{BF45A0BC-5A78-4223-9A60-8CFAD482EC8E}"/>
    <cellStyle name="Cor3" xfId="5547" xr:uid="{C8426E63-6F48-43FA-B27F-D4E125F6BBB7}"/>
    <cellStyle name="Cor3 2" xfId="5548" xr:uid="{BA2F997D-09DF-494E-8664-43C02A6B4F9E}"/>
    <cellStyle name="Cor3_2013" xfId="5549" xr:uid="{F5EA4780-F073-4520-A8C9-22333C987285}"/>
    <cellStyle name="Cor4" xfId="5550" xr:uid="{A3EC4935-0F72-4503-8DDB-8BBCEE7C6050}"/>
    <cellStyle name="Cor4 2" xfId="5551" xr:uid="{80C13445-5DE6-440F-8237-17141622833B}"/>
    <cellStyle name="Cor4_2013" xfId="5552" xr:uid="{DE4C02B9-9721-4674-AF9E-449F6245DB78}"/>
    <cellStyle name="Cor5" xfId="5553" xr:uid="{FAA776C3-C55E-407C-A80E-E49B930E1508}"/>
    <cellStyle name="Cor5 2" xfId="5554" xr:uid="{F06C38BD-475C-43C1-BDCC-980E7D03123F}"/>
    <cellStyle name="Cor5_2013" xfId="5555" xr:uid="{FC71AFE4-DE35-4661-BA06-489A1645EAB1}"/>
    <cellStyle name="Cor6" xfId="5556" xr:uid="{8D044676-9E1A-4DF1-AD77-ED79B4120DAA}"/>
    <cellStyle name="Cor6 2" xfId="5557" xr:uid="{F54E8A1A-25B2-4A4A-9B9D-7B711FCF6B7C}"/>
    <cellStyle name="Cor6_2013" xfId="5558" xr:uid="{1B377AA2-9050-493E-B0E2-0F7A8BD0B7A5}"/>
    <cellStyle name="Correcto" xfId="5559" xr:uid="{040651DE-B9EE-4663-B61C-816D9CC80976}"/>
    <cellStyle name="Correcto 2" xfId="5560" xr:uid="{A09AA4B1-024B-4858-ABA7-9F5B09797F37}"/>
    <cellStyle name="Correcto_2013" xfId="5561" xr:uid="{B532206E-B6BC-4B1E-A848-DF2EEA3C24F5}"/>
    <cellStyle name="Cost plan body" xfId="5562" xr:uid="{EC193DCE-1633-4A39-81CB-44E1EA4F414C}"/>
    <cellStyle name="Cost plan sub heading" xfId="5563" xr:uid="{02866116-AD46-42B8-AE47-2C971CB4568F}"/>
    <cellStyle name="Cost plan sub total" xfId="5564" xr:uid="{C11FD60D-DBF5-4BF4-B04B-57C3D48212B8}"/>
    <cellStyle name="Curren - Style2" xfId="5565" xr:uid="{7FC10ADA-831F-4DA9-B19F-494316F354C5}"/>
    <cellStyle name="Curren - Style2 2" xfId="5566" xr:uid="{DFD3B8DB-AD9F-491D-B9CC-F6BA43CBF40E}"/>
    <cellStyle name="Curren - Style2 2 2" xfId="5567" xr:uid="{B9A09F02-AAA3-40FD-835F-EDFBBDF7803C}"/>
    <cellStyle name="Curren - Style2 2_2013" xfId="5568" xr:uid="{4F7B03E8-D0BD-4B2B-8355-24A66F23E2BF}"/>
    <cellStyle name="Curren - Style2 3" xfId="5569" xr:uid="{8D185B83-F576-4E60-B538-F613E93587F4}"/>
    <cellStyle name="Curren - Style2_2013" xfId="5570" xr:uid="{847E3096-DEE7-4966-8C96-C1C7BF6E3DDB}"/>
    <cellStyle name="Currency" xfId="19640" builtinId="4"/>
    <cellStyle name="Currency 0.00" xfId="5571" xr:uid="{F3E84AA2-B14C-4720-A416-D90C2C819128}"/>
    <cellStyle name="Currency 0.00 2" xfId="5572" xr:uid="{3A88D669-8D8E-489A-8670-28A89BA86141}"/>
    <cellStyle name="Currency 0.00 2 2" xfId="5573" xr:uid="{087C4F3B-864C-45DA-BF4A-36349BB28709}"/>
    <cellStyle name="Currency 0.00 2_2013" xfId="5574" xr:uid="{374CE52A-27CC-43DC-AF0F-078A17101E29}"/>
    <cellStyle name="Currency 0.00 3" xfId="5575" xr:uid="{2DE81F85-1609-438A-AACE-2473FEFC246F}"/>
    <cellStyle name="Currency 0.00_2013" xfId="5576" xr:uid="{4BD0DF89-C116-4408-BA07-76522917F0B9}"/>
    <cellStyle name="Currency 10" xfId="5577" xr:uid="{411FFC9D-4C12-4359-A6A3-DA40D2A9FE52}"/>
    <cellStyle name="Currency 10 2" xfId="5578" xr:uid="{E358DF84-5C84-41C5-9F05-1994698B9EE3}"/>
    <cellStyle name="Currency 10_2013" xfId="5579" xr:uid="{B534284C-A1D7-4929-9006-B373F4BF85A5}"/>
    <cellStyle name="Currency 11" xfId="5580" xr:uid="{B925DF20-1E46-4A4F-932E-FB5B18D249BD}"/>
    <cellStyle name="Currency 11 2" xfId="5581" xr:uid="{2DC82032-B0F2-4CAF-9D97-E1974DF29475}"/>
    <cellStyle name="Currency 11_2013" xfId="5582" xr:uid="{8FEBF953-EE1D-4E97-8576-FB046CA2E153}"/>
    <cellStyle name="Currency 12" xfId="5583" xr:uid="{FAC42D96-5A25-4C2E-9FCC-640460105407}"/>
    <cellStyle name="Currency 12 2" xfId="5584" xr:uid="{3629D176-5478-4D2E-9A80-636494B21519}"/>
    <cellStyle name="Currency 12_2013" xfId="5585" xr:uid="{0587F23D-B0DB-4E21-9819-F2D1FD627CEA}"/>
    <cellStyle name="Currency 13" xfId="5586" xr:uid="{E6670FAC-C188-4754-8AD5-C60686E785A2}"/>
    <cellStyle name="Currency 13 2" xfId="5587" xr:uid="{016A4558-3697-403C-8B75-189FD9988865}"/>
    <cellStyle name="Currency 13_2013" xfId="5588" xr:uid="{70A5818B-B31D-4FAA-82E0-AF9ABADFC4EA}"/>
    <cellStyle name="Currency 14" xfId="5589" xr:uid="{2D996E2E-BAC3-4601-AB32-4400BFCAC473}"/>
    <cellStyle name="Currency 14 2" xfId="5590" xr:uid="{F5B7F742-3C55-44DC-BF47-D24FB89256D2}"/>
    <cellStyle name="Currency 14 2 2" xfId="5591" xr:uid="{D3B4E3B4-6A30-40B2-83FF-48AB5228A2AB}"/>
    <cellStyle name="Currency 14 2_2013" xfId="5592" xr:uid="{EDAA978F-BB9E-4D4B-AD37-BBFE8197E464}"/>
    <cellStyle name="Currency 14 3" xfId="5593" xr:uid="{252041F7-CB4F-42D8-9793-9196F139106D}"/>
    <cellStyle name="Currency 14 4" xfId="5594" xr:uid="{BDD2E26C-7802-4377-95E0-FC57C542EC19}"/>
    <cellStyle name="Currency 14 5" xfId="5595" xr:uid="{6738917C-2933-4833-BEAF-44185CFBA619}"/>
    <cellStyle name="Currency 14_2013" xfId="5596" xr:uid="{F2E5C313-CE07-45F2-9C6D-A9FFFBC22E12}"/>
    <cellStyle name="Currency 15" xfId="5597" xr:uid="{354A265D-AF52-435A-8B04-51A898606C0C}"/>
    <cellStyle name="Currency 15 2" xfId="5598" xr:uid="{A702155E-F546-4940-8A42-522645244C16}"/>
    <cellStyle name="Currency 15 3" xfId="5599" xr:uid="{CD2BE82E-8AFF-4742-A469-4227B9432DD6}"/>
    <cellStyle name="Currency 15_2013" xfId="5600" xr:uid="{38F68B25-5896-45DB-8887-7DE1AD3A050F}"/>
    <cellStyle name="Currency 16" xfId="5601" xr:uid="{8A998D0F-9F4E-4830-A2A9-EA8D383840B6}"/>
    <cellStyle name="Currency 17" xfId="5602" xr:uid="{F02AFAA6-B716-40C9-AAEA-9CD652C7B353}"/>
    <cellStyle name="Currency 18" xfId="5603" xr:uid="{6DE34CD8-26E0-41A4-B075-C45634265582}"/>
    <cellStyle name="Currency 19" xfId="19638" xr:uid="{4090D10E-7277-4848-A703-0FE3807E0FA7}"/>
    <cellStyle name="Currency 2" xfId="5604" xr:uid="{4D392648-6C68-4958-B7F7-BD0C107B5594}"/>
    <cellStyle name="Currency 2 2" xfId="5605" xr:uid="{7E0B7DFB-376D-4184-BEE2-1282A1FD90AF}"/>
    <cellStyle name="Currency 2 3" xfId="5606" xr:uid="{A301C890-A08C-4C0D-A0EF-40C35CECA169}"/>
    <cellStyle name="Currency 2_2013" xfId="5607" xr:uid="{AB228CC4-0093-41BA-82C2-9FB4E38D33CE}"/>
    <cellStyle name="Currency 20" xfId="19639" xr:uid="{7EF0AA8F-74B3-4E86-B478-30A98F2F42B8}"/>
    <cellStyle name="Currency 3" xfId="5608" xr:uid="{92F53193-08FC-4F71-8527-8268C14ED863}"/>
    <cellStyle name="Currency 3 2" xfId="5609" xr:uid="{B3E759B5-567B-4129-8B24-B2DDAE7E557E}"/>
    <cellStyle name="Currency 3_2013" xfId="5610" xr:uid="{C0CBBB1E-109E-49B0-998D-A12C56ADA3CA}"/>
    <cellStyle name="Currency 4" xfId="5611" xr:uid="{820AEC1B-0DB7-4F59-8DA0-4C9B7475866A}"/>
    <cellStyle name="Currency 4 2" xfId="5612" xr:uid="{2FACE081-A489-4FAF-A81A-4127D589E777}"/>
    <cellStyle name="Currency 4_2013" xfId="5613" xr:uid="{73BA1EF5-45BB-4ECF-805C-EDD25E1D4035}"/>
    <cellStyle name="Currency 5" xfId="5614" xr:uid="{650D5D8D-0F44-4FAF-9788-2DCBD9E1F540}"/>
    <cellStyle name="Currency 5 2" xfId="5615" xr:uid="{FA4B2222-1421-4AB6-A0B8-5E2EB022A64C}"/>
    <cellStyle name="Currency 5_2013" xfId="5616" xr:uid="{BA706925-EB96-4EF9-ABF7-CADA6B8822E5}"/>
    <cellStyle name="Currency 6" xfId="5617" xr:uid="{4014F682-69EF-4600-9C6B-827C15EBBCCC}"/>
    <cellStyle name="Currency 6 2" xfId="5618" xr:uid="{1760A9B9-3859-4347-AF89-DBC7B52E6B2A}"/>
    <cellStyle name="Currency 6_2013" xfId="5619" xr:uid="{8C68E402-E3AA-4F76-9F50-1BA0DE2047E7}"/>
    <cellStyle name="Currency 7" xfId="5620" xr:uid="{19A42CAD-26F7-47F1-AFE8-E4B03C66542A}"/>
    <cellStyle name="Currency 7 2" xfId="5621" xr:uid="{791D6ED4-1710-4D54-BEA9-7DA0A8CAE23F}"/>
    <cellStyle name="Currency 7_2013" xfId="5622" xr:uid="{8BA56CA3-A7A9-4C40-B36F-E0DC9A8778B4}"/>
    <cellStyle name="Currency 8" xfId="5623" xr:uid="{6E6A0B64-BA97-4F47-8554-6FE4A137BA95}"/>
    <cellStyle name="Currency 8 2" xfId="5624" xr:uid="{633110D6-1986-439D-90F9-DECE12D6C64A}"/>
    <cellStyle name="Currency 8_2013" xfId="5625" xr:uid="{3F30C0D2-5A14-48E7-AD26-B4ABF21C39A5}"/>
    <cellStyle name="Currency 9" xfId="5626" xr:uid="{C25ABAE7-AEBE-4FAC-A4E2-EAC807927BCD}"/>
    <cellStyle name="Currency 9 2" xfId="5627" xr:uid="{3378DAB7-0332-4299-951C-17F2CE4F2433}"/>
    <cellStyle name="Currency 9_2013" xfId="5628" xr:uid="{8280B70E-F850-4250-9A01-01FFDF829ADA}"/>
    <cellStyle name="Currency1" xfId="5629" xr:uid="{F7392183-49AF-457F-9BA1-DEC05D08FFDA}"/>
    <cellStyle name="DataEntry" xfId="5630" xr:uid="{D8C8076E-2D55-48C0-86A4-389B23983C28}"/>
    <cellStyle name="DataPilot Category" xfId="5631" xr:uid="{239F3913-0216-4731-AC34-35B3BD97FCE1}"/>
    <cellStyle name="DataPilot Corner" xfId="5632" xr:uid="{49D1CBE5-59B2-4430-99FC-0426AE843F3B}"/>
    <cellStyle name="DataPilot Field" xfId="5633" xr:uid="{7E6E0E00-975B-468F-B96F-50FA8B0CD381}"/>
    <cellStyle name="DataPilot Result" xfId="5634" xr:uid="{4E5F98B8-6277-40F7-9A80-CB7F5D2073B9}"/>
    <cellStyle name="DataPilot Title" xfId="5635" xr:uid="{AD243681-F227-4674-8A60-CE250095F846}"/>
    <cellStyle name="DataPilot Value" xfId="5636" xr:uid="{0813D590-033F-44B5-9211-9AAC73928690}"/>
    <cellStyle name="Date" xfId="5637" xr:uid="{C9265F4C-4D9F-4B06-ACA7-429827BA9454}"/>
    <cellStyle name="Date 2" xfId="5638" xr:uid="{66E1418E-3A76-4A71-83DD-AC11A1260DAB}"/>
    <cellStyle name="Date 2 2" xfId="5639" xr:uid="{BA279C54-DF08-499B-B727-F159E6D74E07}"/>
    <cellStyle name="Date 2_2013" xfId="5640" xr:uid="{3B62CF6E-B683-404C-8ECD-519C9DDBF6F4}"/>
    <cellStyle name="Date 3" xfId="5641" xr:uid="{0003A5E0-8638-492D-92BE-06881D0C937D}"/>
    <cellStyle name="Date_2013" xfId="5642" xr:uid="{A1BA0159-FB54-4419-99F4-BE4DA80C3D24}"/>
    <cellStyle name="Date2" xfId="5643" xr:uid="{B888C196-9413-4004-ABF4-8FE9CBA1D39D}"/>
    <cellStyle name="Date2 2" xfId="5644" xr:uid="{17823702-B1E4-4AEA-A3A4-6654688A917A}"/>
    <cellStyle name="Date2 2 2" xfId="5645" xr:uid="{BCEA61F3-739A-4EEC-84D6-2BF7C1733707}"/>
    <cellStyle name="Date2 2_2013" xfId="5646" xr:uid="{602F3C82-51B4-4F41-B063-83A312EC1456}"/>
    <cellStyle name="Date2 3" xfId="5647" xr:uid="{DB69D9DD-DC42-40B8-B417-33A5B526E5E1}"/>
    <cellStyle name="Date2_2013" xfId="5648" xr:uid="{25E29B9B-46AD-4122-8DF3-949546C0A1F6}"/>
    <cellStyle name="Description" xfId="5649" xr:uid="{1C184968-B8C5-4A81-87EF-7D67077217FD}"/>
    <cellStyle name="detail" xfId="5650" xr:uid="{D19BD52B-F08E-44FE-8984-DA0CED30A9D9}"/>
    <cellStyle name="Dezimal_Cross Sales Format for Heide Park" xfId="5651" xr:uid="{AD7FAB1C-AC12-49E5-967E-7C90440C4122}"/>
    <cellStyle name="Distribution" xfId="5652" xr:uid="{CEDE7FB5-468E-46CA-AD47-6B3DD6AEECB4}"/>
    <cellStyle name="Dollar" xfId="5653" xr:uid="{8F941046-AE6E-47A7-94C3-F22EA7F8E6F4}"/>
    <cellStyle name="Dollar (zero dec)" xfId="5654" xr:uid="{66119F5B-DDC4-4998-A472-6CA3A4202570}"/>
    <cellStyle name="Dollar_2013" xfId="5655" xr:uid="{2CB040CB-E147-4918-9AAD-40172B3BFA91}"/>
    <cellStyle name="Edit field" xfId="5656" xr:uid="{654DEA92-B0BB-4302-A200-E6776ACE3326}"/>
    <cellStyle name="Edit field 2" xfId="5657" xr:uid="{750DE281-D69B-4BEA-8390-736E9891F4A1}"/>
    <cellStyle name="Edit field 2 2" xfId="5658" xr:uid="{9B40B8FE-1084-4D55-B53D-4C139FDE71E9}"/>
    <cellStyle name="Edit field 2_2013" xfId="5659" xr:uid="{9C698A45-1928-4BC2-B6E4-D6319F521F0B}"/>
    <cellStyle name="Edit field 3" xfId="5660" xr:uid="{2776246D-C6DA-4633-A586-9FF12BA21AC8}"/>
    <cellStyle name="Edit field_2013" xfId="5661" xr:uid="{C88545AC-7050-48B8-927F-0BBFCFA98127}"/>
    <cellStyle name="Eingabe" xfId="5662" xr:uid="{0B71B79F-5DEC-45B0-9A00-886E8F3863D5}"/>
    <cellStyle name="Eingabe 10" xfId="5663" xr:uid="{EB127629-F508-4832-9EAB-2CC07659618E}"/>
    <cellStyle name="Eingabe 11" xfId="5664" xr:uid="{9106FC9D-2EFD-4C9E-BFF4-768FE008AC28}"/>
    <cellStyle name="Eingabe 12" xfId="5665" xr:uid="{55D882FB-B2E8-4CE8-B425-53BAA0639411}"/>
    <cellStyle name="Eingabe 13" xfId="5666" xr:uid="{317AAA5C-C20F-49C5-B124-6A3AB7BBE61A}"/>
    <cellStyle name="Eingabe 14" xfId="5667" xr:uid="{E2238210-51E3-46E4-A86D-1D3A1FA793FE}"/>
    <cellStyle name="Eingabe 15" xfId="5668" xr:uid="{C6D7B51F-DA72-41CD-8E33-A6E52B146B3A}"/>
    <cellStyle name="Eingabe 16" xfId="5669" xr:uid="{E8E0D421-09B8-4773-A4A3-C53842BB0935}"/>
    <cellStyle name="Eingabe 17" xfId="5670" xr:uid="{FFCA99FF-B7C0-4855-BCD0-7E5588DD17F2}"/>
    <cellStyle name="Eingabe 18" xfId="5671" xr:uid="{65772C3F-84E8-463B-9773-4259065BD790}"/>
    <cellStyle name="Eingabe 19" xfId="5672" xr:uid="{EA5DD6F9-B4A7-47DF-98A8-B3AC1762BD14}"/>
    <cellStyle name="Eingabe 2" xfId="5673" xr:uid="{241D7275-1C97-4C09-93EA-757CA13471AD}"/>
    <cellStyle name="Eingabe 2 10" xfId="5674" xr:uid="{2615445F-C208-405E-BE2D-3AF63938DAE0}"/>
    <cellStyle name="Eingabe 2 11" xfId="5675" xr:uid="{0951DAA5-5AB7-4A35-9846-2628B68AB73E}"/>
    <cellStyle name="Eingabe 2 12" xfId="5676" xr:uid="{7CE02DCA-8B9F-4A67-8F9E-6D9488FF0F3B}"/>
    <cellStyle name="Eingabe 2 13" xfId="5677" xr:uid="{BE82DE05-51FB-42B2-91D0-3281CE7357EE}"/>
    <cellStyle name="Eingabe 2 14" xfId="5678" xr:uid="{7B822680-D235-43D6-9320-7B196E94B88E}"/>
    <cellStyle name="Eingabe 2 15" xfId="5679" xr:uid="{E03E3158-56C9-49FC-9F49-87B0314E1111}"/>
    <cellStyle name="Eingabe 2 16" xfId="5680" xr:uid="{097F33D3-81FD-4068-8227-823B74529126}"/>
    <cellStyle name="Eingabe 2 17" xfId="5681" xr:uid="{39A604E6-2307-48F2-80EB-4BB96E1F1F36}"/>
    <cellStyle name="Eingabe 2 18" xfId="5682" xr:uid="{DA2E5515-6B80-452D-913D-FA74A0E0FEBF}"/>
    <cellStyle name="Eingabe 2 19" xfId="5683" xr:uid="{48A198C0-FC53-40FB-B5E1-956D716596DF}"/>
    <cellStyle name="Eingabe 2 2" xfId="5684" xr:uid="{F104093B-8727-4B65-A369-6C25102DBE67}"/>
    <cellStyle name="Eingabe 2 2 10" xfId="5685" xr:uid="{C651F8FD-ADAE-46C4-A4F1-4756D8548FFF}"/>
    <cellStyle name="Eingabe 2 2 11" xfId="5686" xr:uid="{0F13E6EA-F2EA-4A4F-8522-A021DAA4F87B}"/>
    <cellStyle name="Eingabe 2 2 12" xfId="5687" xr:uid="{3040F7E8-8765-47AB-9FDD-27C39EDAC649}"/>
    <cellStyle name="Eingabe 2 2 13" xfId="5688" xr:uid="{537E6822-5DF0-4152-8FE1-8AA6755B96B9}"/>
    <cellStyle name="Eingabe 2 2 14" xfId="5689" xr:uid="{E0A949F8-DDA1-4E66-88A3-3BA485FB8E40}"/>
    <cellStyle name="Eingabe 2 2 15" xfId="5690" xr:uid="{45E7B434-D2B3-4DF6-9758-4E8355BD7D7E}"/>
    <cellStyle name="Eingabe 2 2 16" xfId="5691" xr:uid="{DD8560A8-B125-4722-959E-F1C3D33E9ACA}"/>
    <cellStyle name="Eingabe 2 2 17" xfId="5692" xr:uid="{BCC04CE0-A0E9-4021-A626-D600DC88EBEB}"/>
    <cellStyle name="Eingabe 2 2 18" xfId="5693" xr:uid="{E8DB6E59-58C1-4E35-A533-C2B59615D32D}"/>
    <cellStyle name="Eingabe 2 2 19" xfId="5694" xr:uid="{5E437492-B826-4C1D-BE3B-B3EDD9BC6625}"/>
    <cellStyle name="Eingabe 2 2 2" xfId="5695" xr:uid="{BBECEFBF-2D5B-43AC-9BBD-26E37095C781}"/>
    <cellStyle name="Eingabe 2 2 2 10" xfId="5696" xr:uid="{295C3A32-785E-44FE-B9C3-5F586961332E}"/>
    <cellStyle name="Eingabe 2 2 2 11" xfId="5697" xr:uid="{4311FB6C-1C57-40BF-B5DB-B5DA48794B21}"/>
    <cellStyle name="Eingabe 2 2 2 12" xfId="5698" xr:uid="{C571D00D-9996-43B6-850D-12887E2D787A}"/>
    <cellStyle name="Eingabe 2 2 2 13" xfId="5699" xr:uid="{7A40C535-EB7A-41BB-8A2C-D4D816543926}"/>
    <cellStyle name="Eingabe 2 2 2 14" xfId="5700" xr:uid="{97FCBCD4-ECC5-49CE-B9BB-4E4A12A00D4E}"/>
    <cellStyle name="Eingabe 2 2 2 15" xfId="5701" xr:uid="{E172F6EC-C554-4722-886F-74EF9A4F0C82}"/>
    <cellStyle name="Eingabe 2 2 2 16" xfId="5702" xr:uid="{A5DBEA7C-087B-46BF-B618-27CBBFB40363}"/>
    <cellStyle name="Eingabe 2 2 2 17" xfId="5703" xr:uid="{8641C106-2C5D-43FD-9481-EAA7FC672F64}"/>
    <cellStyle name="Eingabe 2 2 2 18" xfId="5704" xr:uid="{D8D8F415-7EB2-4B06-AE76-683E7C39F6BA}"/>
    <cellStyle name="Eingabe 2 2 2 19" xfId="5705" xr:uid="{C0BE47C5-C058-46D8-89B5-8F3BD3F16D0D}"/>
    <cellStyle name="Eingabe 2 2 2 19 2" xfId="5706" xr:uid="{8DDE5E75-7DBA-4CB5-A706-418FD86BB18C}"/>
    <cellStyle name="Eingabe 2 2 2 19_2013" xfId="5707" xr:uid="{E5EF3DA4-4138-4C92-963E-9EAFD380B20A}"/>
    <cellStyle name="Eingabe 2 2 2 2" xfId="5708" xr:uid="{7ABACB6B-41D2-4272-A643-5F6758815FC0}"/>
    <cellStyle name="Eingabe 2 2 2 2 10" xfId="5709" xr:uid="{C841D6BC-F148-4302-A5FE-325069EA4F24}"/>
    <cellStyle name="Eingabe 2 2 2 2 11" xfId="5710" xr:uid="{14338034-F514-4CC4-9190-5F1D20FA9993}"/>
    <cellStyle name="Eingabe 2 2 2 2 12" xfId="5711" xr:uid="{770E1548-E31C-4CAE-8E59-93B651EF66F5}"/>
    <cellStyle name="Eingabe 2 2 2 2 13" xfId="5712" xr:uid="{1982FC20-5971-4ED5-B37C-535C96B89252}"/>
    <cellStyle name="Eingabe 2 2 2 2 14" xfId="5713" xr:uid="{6A1BDF8A-B50C-4C4E-84E3-3CE085541F04}"/>
    <cellStyle name="Eingabe 2 2 2 2 15" xfId="5714" xr:uid="{9B75FE84-4D9E-41D6-88EC-83383468B583}"/>
    <cellStyle name="Eingabe 2 2 2 2 16" xfId="5715" xr:uid="{49909D7A-4B7D-4FE9-B07C-38751C6014FC}"/>
    <cellStyle name="Eingabe 2 2 2 2 17" xfId="5716" xr:uid="{3263F9FB-E266-40D4-A27D-6517E787FB7E}"/>
    <cellStyle name="Eingabe 2 2 2 2 18" xfId="5717" xr:uid="{153CE638-D131-4F76-BD84-21247C2321D8}"/>
    <cellStyle name="Eingabe 2 2 2 2 18 2" xfId="5718" xr:uid="{FC1078C9-915D-49AA-B93D-C502AAEE23E7}"/>
    <cellStyle name="Eingabe 2 2 2 2 18_2013" xfId="5719" xr:uid="{2E2D529A-9A1C-4ED0-8BE3-E237EF9EB7CC}"/>
    <cellStyle name="Eingabe 2 2 2 2 19" xfId="5720" xr:uid="{243B66D4-4B98-41C0-90EC-CB1D2D3EB245}"/>
    <cellStyle name="Eingabe 2 2 2 2 2" xfId="5721" xr:uid="{F019EAFC-4351-437A-A3A4-002861747042}"/>
    <cellStyle name="Eingabe 2 2 2 2 3" xfId="5722" xr:uid="{8AAD6CCD-D885-48DC-93F3-801B4E7818E8}"/>
    <cellStyle name="Eingabe 2 2 2 2 4" xfId="5723" xr:uid="{1867E22A-5FD8-4092-B24E-29D20588F932}"/>
    <cellStyle name="Eingabe 2 2 2 2 5" xfId="5724" xr:uid="{67A46DD2-A6DB-4DB4-9A95-F8A1C2E1F87D}"/>
    <cellStyle name="Eingabe 2 2 2 2 6" xfId="5725" xr:uid="{376F8F15-15C9-456F-95FD-F4FCB0A50D5E}"/>
    <cellStyle name="Eingabe 2 2 2 2 7" xfId="5726" xr:uid="{814C6BCB-DC16-40CF-84B5-F199DCD603B2}"/>
    <cellStyle name="Eingabe 2 2 2 2 8" xfId="5727" xr:uid="{48FEFF79-D900-4D0C-8D6B-9BA3B36F056A}"/>
    <cellStyle name="Eingabe 2 2 2 2 9" xfId="5728" xr:uid="{BF04453D-D4AF-4122-B7C0-8F3D8F2AD490}"/>
    <cellStyle name="Eingabe 2 2 2 2_2013" xfId="5729" xr:uid="{D4BF0335-5CE1-4584-992E-C8F9D272275E}"/>
    <cellStyle name="Eingabe 2 2 2 20" xfId="5730" xr:uid="{D4962433-9AF6-420C-9890-1B7136056791}"/>
    <cellStyle name="Eingabe 2 2 2 3" xfId="5731" xr:uid="{3370C4D4-CCC9-4ED5-AA3A-D054CD5096F0}"/>
    <cellStyle name="Eingabe 2 2 2 4" xfId="5732" xr:uid="{693AB632-E12E-4448-BCEC-5F7D382CD705}"/>
    <cellStyle name="Eingabe 2 2 2 5" xfId="5733" xr:uid="{03BBD4E6-C211-4FF6-A7A0-1BB0F6D93E05}"/>
    <cellStyle name="Eingabe 2 2 2 6" xfId="5734" xr:uid="{FA8B3697-CF56-46C5-8BC1-40836E74B09A}"/>
    <cellStyle name="Eingabe 2 2 2 7" xfId="5735" xr:uid="{2509D88D-F4FA-466A-888B-D5C4DC8285C8}"/>
    <cellStyle name="Eingabe 2 2 2 8" xfId="5736" xr:uid="{7CBB9D75-23A4-48CB-AEB6-B61A4772A976}"/>
    <cellStyle name="Eingabe 2 2 2 9" xfId="5737" xr:uid="{391829FA-EDFD-4C90-BB32-578E366B105A}"/>
    <cellStyle name="Eingabe 2 2 2_2013" xfId="5738" xr:uid="{B4A3DA54-5FE9-4231-8049-E3424207A64C}"/>
    <cellStyle name="Eingabe 2 2 20" xfId="5739" xr:uid="{8FD3C96B-8369-4DDD-A037-855836238832}"/>
    <cellStyle name="Eingabe 2 2 21" xfId="5740" xr:uid="{DC4623CB-AD8D-4F29-8DFA-AF4DFCE9E9A7}"/>
    <cellStyle name="Eingabe 2 2 22" xfId="5741" xr:uid="{1B0CBC06-B641-4A09-94C8-46A8BCB2865B}"/>
    <cellStyle name="Eingabe 2 2 22 2" xfId="5742" xr:uid="{174CEED2-5DC7-418F-B333-1A924A8052E8}"/>
    <cellStyle name="Eingabe 2 2 22_2013" xfId="5743" xr:uid="{FFB824E1-72A3-4D17-9F3C-16CFE19A9426}"/>
    <cellStyle name="Eingabe 2 2 23" xfId="5744" xr:uid="{95E53D39-3C41-48D9-8BDE-98EEFEDB7E99}"/>
    <cellStyle name="Eingabe 2 2 3" xfId="5745" xr:uid="{41B09972-6870-4F59-BF39-50D3BCEEABBC}"/>
    <cellStyle name="Eingabe 2 2 3 10" xfId="5746" xr:uid="{969A23E0-DFBC-4933-A604-705E703155FA}"/>
    <cellStyle name="Eingabe 2 2 3 11" xfId="5747" xr:uid="{F02CBF5C-B066-45B0-93D3-3CA8150C4983}"/>
    <cellStyle name="Eingabe 2 2 3 12" xfId="5748" xr:uid="{F83691F2-DAC7-4353-BEBB-6879B04BDF11}"/>
    <cellStyle name="Eingabe 2 2 3 13" xfId="5749" xr:uid="{0D260AD9-3BB8-4CB6-BB9A-2AC9A65D4001}"/>
    <cellStyle name="Eingabe 2 2 3 14" xfId="5750" xr:uid="{AB49B125-6078-482B-9500-0CF25399CE60}"/>
    <cellStyle name="Eingabe 2 2 3 15" xfId="5751" xr:uid="{1CFD4E60-AD1E-4FCE-B0A8-188F6D04A2A9}"/>
    <cellStyle name="Eingabe 2 2 3 16" xfId="5752" xr:uid="{6FAC1946-8CDD-4194-90AA-3BCCE5E6900A}"/>
    <cellStyle name="Eingabe 2 2 3 17" xfId="5753" xr:uid="{34469CE0-342D-4EE9-8E72-862CB448144F}"/>
    <cellStyle name="Eingabe 2 2 3 18" xfId="5754" xr:uid="{B00EDDF9-D6E2-460C-8FBA-F2E2159DA22E}"/>
    <cellStyle name="Eingabe 2 2 3 19" xfId="5755" xr:uid="{54B1C477-8D0A-444D-A42D-0B66EB7E2B47}"/>
    <cellStyle name="Eingabe 2 2 3 19 2" xfId="5756" xr:uid="{4EF5F8D4-43B6-4FEC-84C5-23A0A8F88F77}"/>
    <cellStyle name="Eingabe 2 2 3 19_2013" xfId="5757" xr:uid="{3C83AE37-1467-4E6C-9AED-F1A0FE092EC9}"/>
    <cellStyle name="Eingabe 2 2 3 2" xfId="5758" xr:uid="{BEB2A456-3240-45E1-A3D7-E7B4144E5ECA}"/>
    <cellStyle name="Eingabe 2 2 3 2 10" xfId="5759" xr:uid="{436654AF-5115-4077-BC14-6890EC4BC7CA}"/>
    <cellStyle name="Eingabe 2 2 3 2 11" xfId="5760" xr:uid="{CE8010E7-62A8-4740-93F1-CEC1C0A346DF}"/>
    <cellStyle name="Eingabe 2 2 3 2 12" xfId="5761" xr:uid="{16814040-19E7-4C4B-B1C3-C6E98FB6F56C}"/>
    <cellStyle name="Eingabe 2 2 3 2 13" xfId="5762" xr:uid="{AA0C514B-BDB7-4C38-B32A-4678C8590AEE}"/>
    <cellStyle name="Eingabe 2 2 3 2 14" xfId="5763" xr:uid="{03322744-AA16-4068-8F0C-3880778A77AB}"/>
    <cellStyle name="Eingabe 2 2 3 2 15" xfId="5764" xr:uid="{BD0A982D-7314-4E3E-8CAB-289E9C8ED7AD}"/>
    <cellStyle name="Eingabe 2 2 3 2 16" xfId="5765" xr:uid="{D14224C4-7D0E-4C1A-99FA-822797ECD9AA}"/>
    <cellStyle name="Eingabe 2 2 3 2 17" xfId="5766" xr:uid="{450DB97F-597D-480A-88A7-52E2D8CB5DDA}"/>
    <cellStyle name="Eingabe 2 2 3 2 18" xfId="5767" xr:uid="{1E3AA40C-2FA6-4F2E-91DF-1CFDB200E7C9}"/>
    <cellStyle name="Eingabe 2 2 3 2 18 2" xfId="5768" xr:uid="{7F9B70B3-440B-428B-83E2-32349512C388}"/>
    <cellStyle name="Eingabe 2 2 3 2 18_2013" xfId="5769" xr:uid="{25B48592-92BC-4CA8-8BEB-806C7ACCCA7D}"/>
    <cellStyle name="Eingabe 2 2 3 2 19" xfId="5770" xr:uid="{CF685446-0E62-4B79-9E5B-6CD6AE960ACE}"/>
    <cellStyle name="Eingabe 2 2 3 2 2" xfId="5771" xr:uid="{BB2C900F-017A-4CC4-A4E5-6475687C9C47}"/>
    <cellStyle name="Eingabe 2 2 3 2 3" xfId="5772" xr:uid="{D8EA31CE-1A1C-4636-ADB9-E1937F7533B7}"/>
    <cellStyle name="Eingabe 2 2 3 2 4" xfId="5773" xr:uid="{0DCF3E05-D08F-47CC-8D70-98A185BC5E58}"/>
    <cellStyle name="Eingabe 2 2 3 2 5" xfId="5774" xr:uid="{463F2980-E6BE-41C5-9343-6860970EF006}"/>
    <cellStyle name="Eingabe 2 2 3 2 6" xfId="5775" xr:uid="{F0008868-7DEE-4EB3-803F-0652735C7F9F}"/>
    <cellStyle name="Eingabe 2 2 3 2 7" xfId="5776" xr:uid="{493B22EF-859F-4FF2-9875-4A6E6E5D988E}"/>
    <cellStyle name="Eingabe 2 2 3 2 8" xfId="5777" xr:uid="{3A2BCED5-275F-4D84-9FC3-31D9DE1DEC18}"/>
    <cellStyle name="Eingabe 2 2 3 2 9" xfId="5778" xr:uid="{368CF950-CDD8-48C3-A294-A2AD75B943E3}"/>
    <cellStyle name="Eingabe 2 2 3 2_2013" xfId="5779" xr:uid="{80CDA833-F7D5-43B2-9C39-E287AAAB4A19}"/>
    <cellStyle name="Eingabe 2 2 3 20" xfId="5780" xr:uid="{6232E26A-F2A3-4108-8F4D-17CE770755F6}"/>
    <cellStyle name="Eingabe 2 2 3 3" xfId="5781" xr:uid="{C0046513-DEDE-49FF-8E3B-A30A8659BF8D}"/>
    <cellStyle name="Eingabe 2 2 3 4" xfId="5782" xr:uid="{31FFBBA0-4F8B-4D85-A034-805CDCA30915}"/>
    <cellStyle name="Eingabe 2 2 3 5" xfId="5783" xr:uid="{ABA9A494-FC1D-4EDF-87BB-D82EF4246F88}"/>
    <cellStyle name="Eingabe 2 2 3 6" xfId="5784" xr:uid="{EE521433-EAC4-468C-BCB9-C1967E4C32BE}"/>
    <cellStyle name="Eingabe 2 2 3 7" xfId="5785" xr:uid="{5D96286C-F3C9-49BD-9942-C2E186A62E88}"/>
    <cellStyle name="Eingabe 2 2 3 8" xfId="5786" xr:uid="{1CEC8D91-F721-4C67-BEFD-881D85E42F44}"/>
    <cellStyle name="Eingabe 2 2 3 9" xfId="5787" xr:uid="{5AA0A1FA-CB20-48E0-9051-76CE05EAB9C8}"/>
    <cellStyle name="Eingabe 2 2 3_2013" xfId="5788" xr:uid="{65406346-0586-4DE2-BD1B-5958D38E978B}"/>
    <cellStyle name="Eingabe 2 2 4" xfId="5789" xr:uid="{8F42A816-34EE-4202-85C0-F7C0BC110295}"/>
    <cellStyle name="Eingabe 2 2 4 10" xfId="5790" xr:uid="{2AC47113-F8AD-4AD4-8379-74A3D65BD628}"/>
    <cellStyle name="Eingabe 2 2 4 11" xfId="5791" xr:uid="{7A41049E-8E98-4858-9646-C8CC72601BCE}"/>
    <cellStyle name="Eingabe 2 2 4 12" xfId="5792" xr:uid="{994B69A6-9708-4CDF-A985-2A0D187D979B}"/>
    <cellStyle name="Eingabe 2 2 4 13" xfId="5793" xr:uid="{88FA177E-3DD9-41AD-BD63-07B5E774EA3E}"/>
    <cellStyle name="Eingabe 2 2 4 14" xfId="5794" xr:uid="{D3AC385E-F36E-4078-9D88-470E74BA17DF}"/>
    <cellStyle name="Eingabe 2 2 4 15" xfId="5795" xr:uid="{DD17ECA6-B479-4D71-B042-FC00971FCE7E}"/>
    <cellStyle name="Eingabe 2 2 4 16" xfId="5796" xr:uid="{FF19950A-BA20-4C5B-99F5-93BE04D4EBF1}"/>
    <cellStyle name="Eingabe 2 2 4 17" xfId="5797" xr:uid="{2402D2FE-DCE2-4EB4-9E7B-D19D817D2E91}"/>
    <cellStyle name="Eingabe 2 2 4 18" xfId="5798" xr:uid="{ECFCC93B-AD1D-4B43-9219-9542F407E749}"/>
    <cellStyle name="Eingabe 2 2 4 19" xfId="5799" xr:uid="{975CB6FB-03F2-469D-92EA-4B907F9D81D7}"/>
    <cellStyle name="Eingabe 2 2 4 19 2" xfId="5800" xr:uid="{9A2CC827-5FAE-4E1D-AF27-F880A70E755B}"/>
    <cellStyle name="Eingabe 2 2 4 19_2013" xfId="5801" xr:uid="{7FDD6391-250F-4838-ABD2-3761C5807FAF}"/>
    <cellStyle name="Eingabe 2 2 4 2" xfId="5802" xr:uid="{52BF3A6E-ADEC-4818-8702-984FC4C3114F}"/>
    <cellStyle name="Eingabe 2 2 4 2 10" xfId="5803" xr:uid="{17FD6B0F-F88D-4478-959F-B7D74B4A85F2}"/>
    <cellStyle name="Eingabe 2 2 4 2 11" xfId="5804" xr:uid="{4C5B460C-42CA-4C94-A0D8-9624E804895A}"/>
    <cellStyle name="Eingabe 2 2 4 2 12" xfId="5805" xr:uid="{0C619A96-B50E-4F25-97DA-ABC9E6473657}"/>
    <cellStyle name="Eingabe 2 2 4 2 13" xfId="5806" xr:uid="{BDFECACC-18E0-4F1A-BAE6-2DC5F73E5786}"/>
    <cellStyle name="Eingabe 2 2 4 2 14" xfId="5807" xr:uid="{AC625DF6-26AF-443D-8196-CFCEBCC8A074}"/>
    <cellStyle name="Eingabe 2 2 4 2 15" xfId="5808" xr:uid="{4B6071EB-0549-4CD4-8DD8-A07BB337C199}"/>
    <cellStyle name="Eingabe 2 2 4 2 16" xfId="5809" xr:uid="{6427A5A4-0836-4F94-B586-8CFAD977224E}"/>
    <cellStyle name="Eingabe 2 2 4 2 17" xfId="5810" xr:uid="{F93C2D49-3CE3-443D-A0E9-E14FFD1C1569}"/>
    <cellStyle name="Eingabe 2 2 4 2 18" xfId="5811" xr:uid="{DD78EB04-43C8-439E-A87E-4925B146B587}"/>
    <cellStyle name="Eingabe 2 2 4 2 18 2" xfId="5812" xr:uid="{C3F75860-0BD2-453C-93F9-A3C231CFBC3C}"/>
    <cellStyle name="Eingabe 2 2 4 2 18_2013" xfId="5813" xr:uid="{29B375CE-E80C-41F2-BA81-74E60431951D}"/>
    <cellStyle name="Eingabe 2 2 4 2 19" xfId="5814" xr:uid="{80372268-48FC-43BA-9F0E-48F47A5222E1}"/>
    <cellStyle name="Eingabe 2 2 4 2 2" xfId="5815" xr:uid="{A47DD424-234E-4F4E-B9EF-D5126DF79BB1}"/>
    <cellStyle name="Eingabe 2 2 4 2 3" xfId="5816" xr:uid="{E67C2870-3AC1-429C-B106-3D07AD9F9390}"/>
    <cellStyle name="Eingabe 2 2 4 2 4" xfId="5817" xr:uid="{428624B0-13CA-4DAA-83B5-E347C3FC4E5D}"/>
    <cellStyle name="Eingabe 2 2 4 2 5" xfId="5818" xr:uid="{88547079-D028-41F0-A4E7-818A186B077A}"/>
    <cellStyle name="Eingabe 2 2 4 2 6" xfId="5819" xr:uid="{36E2D28B-37B5-463B-897B-91674B61D5DF}"/>
    <cellStyle name="Eingabe 2 2 4 2 7" xfId="5820" xr:uid="{8DB4A0F5-802D-4C7F-B266-6E89A1310241}"/>
    <cellStyle name="Eingabe 2 2 4 2 8" xfId="5821" xr:uid="{2AD8E7C4-1DC7-4EDE-8941-C8546C2516B1}"/>
    <cellStyle name="Eingabe 2 2 4 2 9" xfId="5822" xr:uid="{BCEA5A5D-D7F8-451B-BBA7-576CB4EDCDA1}"/>
    <cellStyle name="Eingabe 2 2 4 2_2013" xfId="5823" xr:uid="{D0428840-19D9-4D4B-B71E-1DEC18C8E3D6}"/>
    <cellStyle name="Eingabe 2 2 4 20" xfId="5824" xr:uid="{1826B514-4B24-4BE7-802B-4B4AA3B69C83}"/>
    <cellStyle name="Eingabe 2 2 4 3" xfId="5825" xr:uid="{FDED9A0A-BBE8-4278-BAF4-B6F43A2056DF}"/>
    <cellStyle name="Eingabe 2 2 4 4" xfId="5826" xr:uid="{540D1403-DA80-425F-8A7E-9688D1F76713}"/>
    <cellStyle name="Eingabe 2 2 4 5" xfId="5827" xr:uid="{5C2A0209-7D27-4933-B102-E4E130CB6A72}"/>
    <cellStyle name="Eingabe 2 2 4 6" xfId="5828" xr:uid="{3423D7FC-B61B-486D-8D81-46411832B2B8}"/>
    <cellStyle name="Eingabe 2 2 4 7" xfId="5829" xr:uid="{4003EFEC-7B7B-405D-89B3-EEF54B65BBD2}"/>
    <cellStyle name="Eingabe 2 2 4 8" xfId="5830" xr:uid="{CC53D834-A16A-44E7-9EB5-0E98BE6DE4FE}"/>
    <cellStyle name="Eingabe 2 2 4 9" xfId="5831" xr:uid="{9AE807CC-2C58-4835-A60E-C7BEDF3BC99A}"/>
    <cellStyle name="Eingabe 2 2 4_2013" xfId="5832" xr:uid="{9DB162F3-47D7-42F1-AE10-FAEFB220F1F2}"/>
    <cellStyle name="Eingabe 2 2 5" xfId="5833" xr:uid="{98B3D122-9FB6-4A61-A0DF-5C4C00205E32}"/>
    <cellStyle name="Eingabe 2 2 5 10" xfId="5834" xr:uid="{DB5C54D8-657B-4F57-A5FD-CF5A0CDF4357}"/>
    <cellStyle name="Eingabe 2 2 5 11" xfId="5835" xr:uid="{8F0A7986-5C34-400C-9593-37D003EB36CF}"/>
    <cellStyle name="Eingabe 2 2 5 12" xfId="5836" xr:uid="{90E0EDBA-4436-40F7-8952-5D561AFB25D1}"/>
    <cellStyle name="Eingabe 2 2 5 13" xfId="5837" xr:uid="{B51BF9D7-60F0-4CD7-9E71-80DFB0DE7D41}"/>
    <cellStyle name="Eingabe 2 2 5 14" xfId="5838" xr:uid="{EB1596E3-BAF0-46D7-8860-4118F1036F25}"/>
    <cellStyle name="Eingabe 2 2 5 15" xfId="5839" xr:uid="{197D33F5-6BBF-4B86-BB73-190207BA2CFE}"/>
    <cellStyle name="Eingabe 2 2 5 16" xfId="5840" xr:uid="{FD462130-E892-4B84-BD0C-24855E1297E2}"/>
    <cellStyle name="Eingabe 2 2 5 17" xfId="5841" xr:uid="{2CBDCE02-FE09-4FEA-9CBD-2770B2777820}"/>
    <cellStyle name="Eingabe 2 2 5 18" xfId="5842" xr:uid="{91DF148A-EB88-4BFB-AF4A-A51754566877}"/>
    <cellStyle name="Eingabe 2 2 5 18 2" xfId="5843" xr:uid="{CA21EC48-0014-4A9A-8773-FFB5ECD108D7}"/>
    <cellStyle name="Eingabe 2 2 5 18_2013" xfId="5844" xr:uid="{B1A4ACC8-D04B-4A7C-9D1B-DA20F97E396B}"/>
    <cellStyle name="Eingabe 2 2 5 19" xfId="5845" xr:uid="{FB7C6EFE-354E-4913-8D66-E1B4CE49B113}"/>
    <cellStyle name="Eingabe 2 2 5 2" xfId="5846" xr:uid="{C6A02090-292C-41DE-9D9C-21DCAD4223D2}"/>
    <cellStyle name="Eingabe 2 2 5 3" xfId="5847" xr:uid="{84248D83-8E9D-47DB-AE77-8A7303684579}"/>
    <cellStyle name="Eingabe 2 2 5 4" xfId="5848" xr:uid="{0F4B3078-C79F-420E-B235-06E9E945EA61}"/>
    <cellStyle name="Eingabe 2 2 5 5" xfId="5849" xr:uid="{EF211C3C-8D59-47D1-9095-764A569DEF66}"/>
    <cellStyle name="Eingabe 2 2 5 6" xfId="5850" xr:uid="{542E4721-AACB-409A-9710-FEC44E6DF47E}"/>
    <cellStyle name="Eingabe 2 2 5 7" xfId="5851" xr:uid="{0C2BD20C-B424-48DF-AE12-F34FD1DDEBC9}"/>
    <cellStyle name="Eingabe 2 2 5 8" xfId="5852" xr:uid="{CBA5D727-7D36-4CAA-B4F9-F0688BC117DD}"/>
    <cellStyle name="Eingabe 2 2 5 9" xfId="5853" xr:uid="{83B2A10D-981C-4B5B-80A7-0980BB7E7597}"/>
    <cellStyle name="Eingabe 2 2 5_2013" xfId="5854" xr:uid="{6BFD910E-7FDA-4D02-AF96-371AB5E01018}"/>
    <cellStyle name="Eingabe 2 2 6" xfId="5855" xr:uid="{F2FAA77D-FBDC-48C8-A2E8-3BB5886974B2}"/>
    <cellStyle name="Eingabe 2 2 7" xfId="5856" xr:uid="{2914949B-7364-4EB3-8D72-994BF6A7A91B}"/>
    <cellStyle name="Eingabe 2 2 8" xfId="5857" xr:uid="{3FAC5AD8-BB34-4224-8D6E-71D9580E44D5}"/>
    <cellStyle name="Eingabe 2 2 9" xfId="5858" xr:uid="{5DB57C3B-A2C8-4D62-8BE0-E9052E19F774}"/>
    <cellStyle name="Eingabe 2 2_2013" xfId="5859" xr:uid="{83B2C2B7-DCA2-43CA-A027-4178878953ED}"/>
    <cellStyle name="Eingabe 2 20" xfId="5860" xr:uid="{FFF14818-DB4F-4357-8007-582CBDE0A98C}"/>
    <cellStyle name="Eingabe 2 21" xfId="5861" xr:uid="{46C4F795-E446-4989-988B-580C0474B576}"/>
    <cellStyle name="Eingabe 2 22" xfId="5862" xr:uid="{316C37AD-D82A-4363-A4E7-B455EB389F90}"/>
    <cellStyle name="Eingabe 2 23" xfId="5863" xr:uid="{CFF2228C-F189-41EA-BEB9-9EA37535024A}"/>
    <cellStyle name="Eingabe 2 23 2" xfId="5864" xr:uid="{F34727B2-F025-48AD-968A-DE5E1E966B27}"/>
    <cellStyle name="Eingabe 2 23_2013" xfId="5865" xr:uid="{19DE75E6-B4CE-4F07-AF75-3A37F47FE13C}"/>
    <cellStyle name="Eingabe 2 24" xfId="5866" xr:uid="{9431EBEE-1871-4F47-8BAA-3D266A6BB82E}"/>
    <cellStyle name="Eingabe 2 3" xfId="5867" xr:uid="{FE6E0109-DC58-40AA-982D-DAF6F0473C8A}"/>
    <cellStyle name="Eingabe 2 3 10" xfId="5868" xr:uid="{A20664D6-BBBA-4258-9B62-DEEC2088F4DC}"/>
    <cellStyle name="Eingabe 2 3 11" xfId="5869" xr:uid="{CADDDD26-E28F-4086-8C85-ADDFC9E69F45}"/>
    <cellStyle name="Eingabe 2 3 12" xfId="5870" xr:uid="{0762912C-0997-4ACA-8BD1-A0F024109C90}"/>
    <cellStyle name="Eingabe 2 3 13" xfId="5871" xr:uid="{DCA2E38F-2637-467F-9C0B-168C7749C0BD}"/>
    <cellStyle name="Eingabe 2 3 14" xfId="5872" xr:uid="{756F2839-2C35-46B7-9B80-B2E747226488}"/>
    <cellStyle name="Eingabe 2 3 15" xfId="5873" xr:uid="{9E81AED6-83B3-4CB2-BA03-CE902AE5A0D6}"/>
    <cellStyle name="Eingabe 2 3 16" xfId="5874" xr:uid="{1BD62E9E-43F5-4095-9EA6-CF592AF61474}"/>
    <cellStyle name="Eingabe 2 3 17" xfId="5875" xr:uid="{C0BCF8E7-757E-40B8-A79E-6E30F74EDEB5}"/>
    <cellStyle name="Eingabe 2 3 18" xfId="5876" xr:uid="{84338968-4BFC-4937-A89F-0DD920671C06}"/>
    <cellStyle name="Eingabe 2 3 19" xfId="5877" xr:uid="{AB0CB8EE-0E72-4FA2-99C9-DDCA030FA900}"/>
    <cellStyle name="Eingabe 2 3 19 2" xfId="5878" xr:uid="{1CE92054-5002-48EA-863D-25501E67FCBC}"/>
    <cellStyle name="Eingabe 2 3 19_2013" xfId="5879" xr:uid="{5EF5C223-E97E-4865-B741-725B97576F8D}"/>
    <cellStyle name="Eingabe 2 3 2" xfId="5880" xr:uid="{54DED89F-9DE7-4AD3-8BF4-DAF8FF8FEA89}"/>
    <cellStyle name="Eingabe 2 3 2 10" xfId="5881" xr:uid="{BBF855B5-12EC-4EFF-AD81-9FC10777BED6}"/>
    <cellStyle name="Eingabe 2 3 2 11" xfId="5882" xr:uid="{79B3C931-CF00-4800-B50E-39461B501C6F}"/>
    <cellStyle name="Eingabe 2 3 2 12" xfId="5883" xr:uid="{258CF358-96D2-4CB8-AF1E-5B896638F423}"/>
    <cellStyle name="Eingabe 2 3 2 13" xfId="5884" xr:uid="{1FB096E5-CA77-4C60-BE75-7C38260158AD}"/>
    <cellStyle name="Eingabe 2 3 2 14" xfId="5885" xr:uid="{D86EF9D7-CF9D-4C82-AD44-92F17B3770C9}"/>
    <cellStyle name="Eingabe 2 3 2 15" xfId="5886" xr:uid="{87A60BF7-2258-45B4-BE45-368A334B4B2C}"/>
    <cellStyle name="Eingabe 2 3 2 16" xfId="5887" xr:uid="{2A7D156A-578A-4091-AD9B-C57825B71569}"/>
    <cellStyle name="Eingabe 2 3 2 17" xfId="5888" xr:uid="{8A8DD490-E835-4033-8673-9399CEFAE0F2}"/>
    <cellStyle name="Eingabe 2 3 2 18" xfId="5889" xr:uid="{3918088E-3459-4B7A-A779-F81B4488E045}"/>
    <cellStyle name="Eingabe 2 3 2 18 2" xfId="5890" xr:uid="{ABF5E060-439E-4A8E-9975-A2746161550C}"/>
    <cellStyle name="Eingabe 2 3 2 18_2013" xfId="5891" xr:uid="{8C948344-4A33-4910-9405-C5AA8549B926}"/>
    <cellStyle name="Eingabe 2 3 2 19" xfId="5892" xr:uid="{2928506D-CFB2-474A-BF27-C1F2227799BE}"/>
    <cellStyle name="Eingabe 2 3 2 2" xfId="5893" xr:uid="{FC49AB87-E75F-4AEE-9805-B6BBC931CDCD}"/>
    <cellStyle name="Eingabe 2 3 2 3" xfId="5894" xr:uid="{00411273-F11B-4C5C-86B2-84AC5FAECF80}"/>
    <cellStyle name="Eingabe 2 3 2 4" xfId="5895" xr:uid="{80DCD7DF-BF92-41C3-A8A3-5CF6118E0FBA}"/>
    <cellStyle name="Eingabe 2 3 2 5" xfId="5896" xr:uid="{9CC7BBA9-12A0-46A4-B4CF-50153689221A}"/>
    <cellStyle name="Eingabe 2 3 2 6" xfId="5897" xr:uid="{EA703D62-885C-4946-A5EA-9706C8210E17}"/>
    <cellStyle name="Eingabe 2 3 2 7" xfId="5898" xr:uid="{F1C98C2A-A762-4436-9EAC-14DFD65AA882}"/>
    <cellStyle name="Eingabe 2 3 2 8" xfId="5899" xr:uid="{9FF63295-CB75-43FD-A94E-FC82AFFADD32}"/>
    <cellStyle name="Eingabe 2 3 2 9" xfId="5900" xr:uid="{5A2B5DE7-B40E-425A-97EA-3905F9CC1245}"/>
    <cellStyle name="Eingabe 2 3 2_2013" xfId="5901" xr:uid="{FA4B2537-D3D7-49CF-B266-C411A0AEA876}"/>
    <cellStyle name="Eingabe 2 3 20" xfId="5902" xr:uid="{1D8E6CD4-A363-4229-91DA-EB07B8F235B4}"/>
    <cellStyle name="Eingabe 2 3 3" xfId="5903" xr:uid="{5C918066-2F67-4A94-B6D5-B56928508EEB}"/>
    <cellStyle name="Eingabe 2 3 4" xfId="5904" xr:uid="{0AF4E1B6-9B4E-491A-BFD1-A1093058C786}"/>
    <cellStyle name="Eingabe 2 3 5" xfId="5905" xr:uid="{59B07C65-3A4A-46D7-A9E8-549528DF55B7}"/>
    <cellStyle name="Eingabe 2 3 6" xfId="5906" xr:uid="{92F6D65C-E53E-452C-978B-58A91758E516}"/>
    <cellStyle name="Eingabe 2 3 7" xfId="5907" xr:uid="{E212500F-9BEE-48EF-9E35-5C91B28085B9}"/>
    <cellStyle name="Eingabe 2 3 8" xfId="5908" xr:uid="{B9801BC4-EE72-4AC9-84FC-113E2D8B6571}"/>
    <cellStyle name="Eingabe 2 3 9" xfId="5909" xr:uid="{7EE9C17D-1A23-4F1B-B4D5-5BA432B5EDBF}"/>
    <cellStyle name="Eingabe 2 3_2013" xfId="5910" xr:uid="{89103598-A1CB-4C1A-8372-23FDE3B40FC6}"/>
    <cellStyle name="Eingabe 2 4" xfId="5911" xr:uid="{76D8D7F8-D1FE-4007-B178-4B7C6A79AF4D}"/>
    <cellStyle name="Eingabe 2 4 10" xfId="5912" xr:uid="{B50090F6-66A0-4F40-BF0E-310A1EE68719}"/>
    <cellStyle name="Eingabe 2 4 11" xfId="5913" xr:uid="{B039917A-5C35-4DF8-951E-DEE0388C04F1}"/>
    <cellStyle name="Eingabe 2 4 12" xfId="5914" xr:uid="{F3018274-781F-40CC-935E-F1F00D5D3064}"/>
    <cellStyle name="Eingabe 2 4 13" xfId="5915" xr:uid="{B59CF236-7568-43E3-A2DE-96EC45145122}"/>
    <cellStyle name="Eingabe 2 4 14" xfId="5916" xr:uid="{F4666F69-5006-41B6-8AE0-6D7B54894C05}"/>
    <cellStyle name="Eingabe 2 4 15" xfId="5917" xr:uid="{D215938F-C08F-410F-A540-F7F9211F2C2F}"/>
    <cellStyle name="Eingabe 2 4 16" xfId="5918" xr:uid="{D2AE7F67-FA01-4B82-8104-5CBA38DDBA77}"/>
    <cellStyle name="Eingabe 2 4 17" xfId="5919" xr:uid="{DEBDC7AC-2868-48F8-8B07-ADEED63A1FBB}"/>
    <cellStyle name="Eingabe 2 4 18" xfId="5920" xr:uid="{CA01267A-D9E5-4226-B66A-41519060DAAF}"/>
    <cellStyle name="Eingabe 2 4 19" xfId="5921" xr:uid="{00E1A232-929B-46F2-8CCD-87EA59D463EA}"/>
    <cellStyle name="Eingabe 2 4 19 2" xfId="5922" xr:uid="{CD75D6DB-93CC-447A-A257-EFB8136F7F51}"/>
    <cellStyle name="Eingabe 2 4 19_2013" xfId="5923" xr:uid="{EB3094AD-6E48-47FC-BA0A-31D75BA82443}"/>
    <cellStyle name="Eingabe 2 4 2" xfId="5924" xr:uid="{B19FCE2A-EA95-4942-B418-D3CC6C2F5EBB}"/>
    <cellStyle name="Eingabe 2 4 2 10" xfId="5925" xr:uid="{42E8F36D-6CFA-4B83-8181-E4D8513BD5CF}"/>
    <cellStyle name="Eingabe 2 4 2 11" xfId="5926" xr:uid="{2C36CDB6-7D0A-4BC3-978F-980F9B97750B}"/>
    <cellStyle name="Eingabe 2 4 2 12" xfId="5927" xr:uid="{A751481E-6CB3-428B-9AEE-23E937682C86}"/>
    <cellStyle name="Eingabe 2 4 2 13" xfId="5928" xr:uid="{FC5689D4-26F6-45FF-886D-76F48E85904C}"/>
    <cellStyle name="Eingabe 2 4 2 14" xfId="5929" xr:uid="{EA820CBA-3316-45C1-A3FA-26CA66B87BB1}"/>
    <cellStyle name="Eingabe 2 4 2 15" xfId="5930" xr:uid="{9E44C5AD-7258-47E6-A13C-C328FDA7CBCE}"/>
    <cellStyle name="Eingabe 2 4 2 16" xfId="5931" xr:uid="{FA182927-5CD0-4435-9575-03A7D2601F41}"/>
    <cellStyle name="Eingabe 2 4 2 17" xfId="5932" xr:uid="{78E44EF8-53AB-4543-9F55-F623A0D71E09}"/>
    <cellStyle name="Eingabe 2 4 2 18" xfId="5933" xr:uid="{D751B5EF-6E14-4A1D-9102-EB889C51CD09}"/>
    <cellStyle name="Eingabe 2 4 2 18 2" xfId="5934" xr:uid="{4C2846B8-4417-4852-8323-0928BEBBD28F}"/>
    <cellStyle name="Eingabe 2 4 2 18_2013" xfId="5935" xr:uid="{AFC708AB-868D-4BDC-BAE7-A291934290F2}"/>
    <cellStyle name="Eingabe 2 4 2 19" xfId="5936" xr:uid="{A574C08D-38EE-40B8-9140-0AF81C4C738A}"/>
    <cellStyle name="Eingabe 2 4 2 2" xfId="5937" xr:uid="{7A983BAD-C8DF-42DA-A743-E00296C21BE1}"/>
    <cellStyle name="Eingabe 2 4 2 3" xfId="5938" xr:uid="{0C904F6B-ACC8-4753-9CC3-876D4AC6E4FC}"/>
    <cellStyle name="Eingabe 2 4 2 4" xfId="5939" xr:uid="{1A839909-D0FD-402D-99AB-E058559AC7E2}"/>
    <cellStyle name="Eingabe 2 4 2 5" xfId="5940" xr:uid="{462F32C6-8799-473E-84F6-AC4837D2ADC1}"/>
    <cellStyle name="Eingabe 2 4 2 6" xfId="5941" xr:uid="{34EE7734-8AE1-445D-9D68-B0762F43BD77}"/>
    <cellStyle name="Eingabe 2 4 2 7" xfId="5942" xr:uid="{89D0443B-3706-438A-AAFC-E4EA4279F397}"/>
    <cellStyle name="Eingabe 2 4 2 8" xfId="5943" xr:uid="{35F46070-E99A-4D54-B398-D68A144552FC}"/>
    <cellStyle name="Eingabe 2 4 2 9" xfId="5944" xr:uid="{32269FA1-6F8E-4601-B6D8-01A6771EDA6B}"/>
    <cellStyle name="Eingabe 2 4 2_2013" xfId="5945" xr:uid="{81F6DD49-4C44-475A-A55E-5287B2E2EBBA}"/>
    <cellStyle name="Eingabe 2 4 20" xfId="5946" xr:uid="{3307EC45-56F5-48A6-BD96-BE4AD80B01BE}"/>
    <cellStyle name="Eingabe 2 4 3" xfId="5947" xr:uid="{4C60B948-9AFD-40E6-A03E-60FEC19F3A4D}"/>
    <cellStyle name="Eingabe 2 4 4" xfId="5948" xr:uid="{2D406E86-64B9-46F6-90E3-9FA85F6E2CB3}"/>
    <cellStyle name="Eingabe 2 4 5" xfId="5949" xr:uid="{E0A8B213-7395-48E4-93E8-8014BA6EC926}"/>
    <cellStyle name="Eingabe 2 4 6" xfId="5950" xr:uid="{95FB9EA3-E626-4417-9170-318798B9F588}"/>
    <cellStyle name="Eingabe 2 4 7" xfId="5951" xr:uid="{622986CE-AA82-4C12-89F8-AD70DE2C3E31}"/>
    <cellStyle name="Eingabe 2 4 8" xfId="5952" xr:uid="{279D78F8-9D61-4C1A-A2AB-617DB3BE5834}"/>
    <cellStyle name="Eingabe 2 4 9" xfId="5953" xr:uid="{BB6C524A-0613-4F84-A6EE-AF4127909CA2}"/>
    <cellStyle name="Eingabe 2 4_2013" xfId="5954" xr:uid="{37BA8DCA-7CED-49A9-B4B7-0AB72BD3689A}"/>
    <cellStyle name="Eingabe 2 5" xfId="5955" xr:uid="{D5A68F0B-440B-4607-8FCB-46F5064CAECF}"/>
    <cellStyle name="Eingabe 2 5 10" xfId="5956" xr:uid="{A95B5F6B-CDD5-481D-ABE8-5A4D286FAF57}"/>
    <cellStyle name="Eingabe 2 5 11" xfId="5957" xr:uid="{01066A61-A5DE-43AF-B7B6-BC9ECBD7FD7A}"/>
    <cellStyle name="Eingabe 2 5 12" xfId="5958" xr:uid="{27C2E40A-B510-4CCD-819E-7ABD784BA54B}"/>
    <cellStyle name="Eingabe 2 5 13" xfId="5959" xr:uid="{E3C9AB19-F639-46E3-AAB1-336FBF349B75}"/>
    <cellStyle name="Eingabe 2 5 14" xfId="5960" xr:uid="{ED09FBC0-EA6A-4262-A8AD-D5585A141008}"/>
    <cellStyle name="Eingabe 2 5 15" xfId="5961" xr:uid="{42CFA0F3-1E73-49B1-8AD1-A8FE994D0A95}"/>
    <cellStyle name="Eingabe 2 5 16" xfId="5962" xr:uid="{425F06CC-BE21-4F16-A678-2DAC7CD63114}"/>
    <cellStyle name="Eingabe 2 5 17" xfId="5963" xr:uid="{DD8B1BC0-8A37-4381-B111-C9A1B38FEC9D}"/>
    <cellStyle name="Eingabe 2 5 18" xfId="5964" xr:uid="{384E96D1-EE15-4472-9085-963296919278}"/>
    <cellStyle name="Eingabe 2 5 19" xfId="5965" xr:uid="{DAD940F1-7793-49B9-B41D-5856F42D97BA}"/>
    <cellStyle name="Eingabe 2 5 19 2" xfId="5966" xr:uid="{5D4A98BB-9DC3-4B31-97EC-89D502D2932F}"/>
    <cellStyle name="Eingabe 2 5 19_2013" xfId="5967" xr:uid="{FC39B487-9BCA-48A7-8651-0635BC823329}"/>
    <cellStyle name="Eingabe 2 5 2" xfId="5968" xr:uid="{EC9D6481-30A3-42CE-8056-08FB1ED79288}"/>
    <cellStyle name="Eingabe 2 5 2 10" xfId="5969" xr:uid="{8D308C1A-8F4E-49D4-90B8-F3FB960504E0}"/>
    <cellStyle name="Eingabe 2 5 2 11" xfId="5970" xr:uid="{550DF654-81D6-49DB-96BC-0873B23E0F40}"/>
    <cellStyle name="Eingabe 2 5 2 12" xfId="5971" xr:uid="{9E1176E3-115C-426E-871F-1FF90BEA40AA}"/>
    <cellStyle name="Eingabe 2 5 2 13" xfId="5972" xr:uid="{1DFEB7F0-1D03-4FF2-B5B2-56F53524EFD5}"/>
    <cellStyle name="Eingabe 2 5 2 14" xfId="5973" xr:uid="{9D95CFEB-BAC3-4DD4-9E5D-8C9DD4916F0A}"/>
    <cellStyle name="Eingabe 2 5 2 15" xfId="5974" xr:uid="{43ED18C0-C352-45BE-8D46-C968FF29B335}"/>
    <cellStyle name="Eingabe 2 5 2 16" xfId="5975" xr:uid="{5C5DE916-A377-4439-B40A-CB689C6F7EFA}"/>
    <cellStyle name="Eingabe 2 5 2 17" xfId="5976" xr:uid="{7BB6B06B-74FA-4E81-8720-8B0287370C9E}"/>
    <cellStyle name="Eingabe 2 5 2 18" xfId="5977" xr:uid="{B42817CD-D6F7-4445-A278-93BF12713C69}"/>
    <cellStyle name="Eingabe 2 5 2 18 2" xfId="5978" xr:uid="{7F6CCFDD-1551-43B6-AFE2-7498972A1CF4}"/>
    <cellStyle name="Eingabe 2 5 2 18_2013" xfId="5979" xr:uid="{7692A082-CF34-460B-9F4A-8E3113BE06E2}"/>
    <cellStyle name="Eingabe 2 5 2 19" xfId="5980" xr:uid="{8B526229-A156-4222-B700-F33FB29BB964}"/>
    <cellStyle name="Eingabe 2 5 2 2" xfId="5981" xr:uid="{B1EB3ECE-57BF-47CB-B4C5-0D9BCF7E65B8}"/>
    <cellStyle name="Eingabe 2 5 2 3" xfId="5982" xr:uid="{9F9CFBF6-DBC5-44A2-A868-4C196618EED8}"/>
    <cellStyle name="Eingabe 2 5 2 4" xfId="5983" xr:uid="{607C1E6A-252A-46D2-8F89-051D7FAE5D60}"/>
    <cellStyle name="Eingabe 2 5 2 5" xfId="5984" xr:uid="{7295C499-895C-4AB1-A983-700FB0EE9F44}"/>
    <cellStyle name="Eingabe 2 5 2 6" xfId="5985" xr:uid="{B9473485-AD6F-417A-87BA-1E38F6F0AEAB}"/>
    <cellStyle name="Eingabe 2 5 2 7" xfId="5986" xr:uid="{785C90BB-D0AB-457C-8F3A-E37735BA2B5C}"/>
    <cellStyle name="Eingabe 2 5 2 8" xfId="5987" xr:uid="{4ECC2792-75F9-4F9A-B2BB-AFF8AC975AFC}"/>
    <cellStyle name="Eingabe 2 5 2 9" xfId="5988" xr:uid="{8F76FD77-54BB-498F-BCB3-C98B7FB13544}"/>
    <cellStyle name="Eingabe 2 5 2_2013" xfId="5989" xr:uid="{1AB09B17-79F7-4274-93DC-7FA44CC09C8F}"/>
    <cellStyle name="Eingabe 2 5 20" xfId="5990" xr:uid="{D77387D0-78D8-4B2A-BBF4-E857B36F720C}"/>
    <cellStyle name="Eingabe 2 5 3" xfId="5991" xr:uid="{9D23BC54-80D3-4478-A4D0-564C93994AFF}"/>
    <cellStyle name="Eingabe 2 5 4" xfId="5992" xr:uid="{49CA3B7E-FE0C-496F-9CB5-7B61A8F65A3A}"/>
    <cellStyle name="Eingabe 2 5 5" xfId="5993" xr:uid="{251B8BCA-ACC9-47E3-90AD-C99E82EFFC08}"/>
    <cellStyle name="Eingabe 2 5 6" xfId="5994" xr:uid="{0E4E8CD5-4457-42C0-B34F-A9F67CB0EB42}"/>
    <cellStyle name="Eingabe 2 5 7" xfId="5995" xr:uid="{18CA03C4-61F7-41FF-8656-9E92313894EF}"/>
    <cellStyle name="Eingabe 2 5 8" xfId="5996" xr:uid="{EAD798DA-8726-414B-81D5-47BBC0FA46A9}"/>
    <cellStyle name="Eingabe 2 5 9" xfId="5997" xr:uid="{0A309142-00FC-4733-949C-4F0D6BE81A6F}"/>
    <cellStyle name="Eingabe 2 5_2013" xfId="5998" xr:uid="{43C1EAA9-C0E3-4E8C-9FF1-46A5A1C59C39}"/>
    <cellStyle name="Eingabe 2 6" xfId="5999" xr:uid="{38EA6741-14E4-4E9E-A289-65912496A6C7}"/>
    <cellStyle name="Eingabe 2 6 10" xfId="6000" xr:uid="{D15A30A2-8845-4126-8C53-BB8EF4A4878B}"/>
    <cellStyle name="Eingabe 2 6 11" xfId="6001" xr:uid="{010F0D83-A6C4-49E7-97D3-AF3BA7271FAD}"/>
    <cellStyle name="Eingabe 2 6 12" xfId="6002" xr:uid="{CEFA1264-D5DC-44D3-BBDA-ACB893DD0459}"/>
    <cellStyle name="Eingabe 2 6 13" xfId="6003" xr:uid="{426AF244-1A74-4CA3-A7C7-ED4B5478C5CA}"/>
    <cellStyle name="Eingabe 2 6 14" xfId="6004" xr:uid="{757A2F23-AAAD-4501-8A51-0E461AAB8FA7}"/>
    <cellStyle name="Eingabe 2 6 15" xfId="6005" xr:uid="{F2B7DFA3-B43B-4047-AD14-B5883FA97F37}"/>
    <cellStyle name="Eingabe 2 6 16" xfId="6006" xr:uid="{EE4259A9-C7B2-4A28-A797-DD91765AF60B}"/>
    <cellStyle name="Eingabe 2 6 17" xfId="6007" xr:uid="{A6903687-F76C-49A4-905C-C19E67A7205B}"/>
    <cellStyle name="Eingabe 2 6 18" xfId="6008" xr:uid="{96AE86B7-33F3-4E59-8ED9-84BEF4584682}"/>
    <cellStyle name="Eingabe 2 6 18 2" xfId="6009" xr:uid="{CDE9328F-2984-4EC3-AA8C-F25B4C171DE1}"/>
    <cellStyle name="Eingabe 2 6 18_2013" xfId="6010" xr:uid="{DB66AB24-5770-42DC-B769-FE2E9B45151E}"/>
    <cellStyle name="Eingabe 2 6 19" xfId="6011" xr:uid="{36BF30AA-F623-4485-A5D0-64E3A2A78E3D}"/>
    <cellStyle name="Eingabe 2 6 2" xfId="6012" xr:uid="{036DBBA6-EF6B-4CC5-8E56-46F63C68658E}"/>
    <cellStyle name="Eingabe 2 6 3" xfId="6013" xr:uid="{5EF378B9-0C33-46A1-B1F3-B147A4096F1A}"/>
    <cellStyle name="Eingabe 2 6 4" xfId="6014" xr:uid="{4009E039-9076-4C4A-AAA5-1908B1DB042A}"/>
    <cellStyle name="Eingabe 2 6 5" xfId="6015" xr:uid="{2CACA343-EC93-4DA5-8938-0A176A8040D9}"/>
    <cellStyle name="Eingabe 2 6 6" xfId="6016" xr:uid="{0C6E9967-4D0F-42B9-8C6C-E19116B35053}"/>
    <cellStyle name="Eingabe 2 6 7" xfId="6017" xr:uid="{9CEF3B34-2F70-48EE-BB47-1EA9DD7F76F1}"/>
    <cellStyle name="Eingabe 2 6 8" xfId="6018" xr:uid="{A22F19BB-A332-4301-9CE6-78B113F9B40A}"/>
    <cellStyle name="Eingabe 2 6 9" xfId="6019" xr:uid="{12C01C12-AAA4-45FC-9BC4-7B20E833FF03}"/>
    <cellStyle name="Eingabe 2 6_2013" xfId="6020" xr:uid="{664EACD9-CEB2-4807-9CFC-A7FC341E459C}"/>
    <cellStyle name="Eingabe 2 7" xfId="6021" xr:uid="{298EB0BD-939A-4C51-90C0-F3A44CB72DC2}"/>
    <cellStyle name="Eingabe 2 8" xfId="6022" xr:uid="{61A10FA4-B9DD-49C2-8581-F5DA43803D9A}"/>
    <cellStyle name="Eingabe 2 9" xfId="6023" xr:uid="{BF6370E7-077E-488A-9652-EA94122418F1}"/>
    <cellStyle name="Eingabe 2_2013" xfId="6024" xr:uid="{FA5C2445-34A0-4AAE-A136-D314FAF511A9}"/>
    <cellStyle name="Eingabe 20" xfId="6025" xr:uid="{1696C2D6-92B2-41BC-B41D-9D2ADB033ED8}"/>
    <cellStyle name="Eingabe 21" xfId="6026" xr:uid="{D7366D95-273D-4AA2-9BE8-D91FF53399F7}"/>
    <cellStyle name="Eingabe 22" xfId="6027" xr:uid="{568BD568-0B7E-4C40-ABD9-FFF13AF9E600}"/>
    <cellStyle name="Eingabe 23" xfId="6028" xr:uid="{0146F173-632F-4CB5-A572-775A092F834F}"/>
    <cellStyle name="Eingabe 24" xfId="6029" xr:uid="{C057814D-66FC-41DD-8141-579C35F648FB}"/>
    <cellStyle name="Eingabe 25" xfId="6030" xr:uid="{9832C0EA-350C-4A69-9EAE-B41A464BB3B4}"/>
    <cellStyle name="Eingabe 26" xfId="6031" xr:uid="{60057F69-802C-467C-B413-951F9F5D33EC}"/>
    <cellStyle name="Eingabe 27" xfId="6032" xr:uid="{695288A4-3BC8-4F2B-915A-A371FCEE01E4}"/>
    <cellStyle name="Eingabe 3" xfId="6033" xr:uid="{6456FCB6-2C43-4DE7-A7FD-DF69A3CC8E72}"/>
    <cellStyle name="Eingabe 3 10" xfId="6034" xr:uid="{68C99EE5-6C6D-484F-834B-9E21632D20A6}"/>
    <cellStyle name="Eingabe 3 11" xfId="6035" xr:uid="{DADADB8B-12D8-42C9-BB20-7C81A2727A2C}"/>
    <cellStyle name="Eingabe 3 12" xfId="6036" xr:uid="{3EB5AEDF-FDAC-4ECD-BEC6-5C116F2C545F}"/>
    <cellStyle name="Eingabe 3 13" xfId="6037" xr:uid="{D8894E37-D8C9-49BC-BB2D-A16E3A1072A3}"/>
    <cellStyle name="Eingabe 3 14" xfId="6038" xr:uid="{383D4AF0-01B7-4DE6-B6CC-EB839F423091}"/>
    <cellStyle name="Eingabe 3 15" xfId="6039" xr:uid="{27598950-06DC-468B-8716-138AD727DC1D}"/>
    <cellStyle name="Eingabe 3 16" xfId="6040" xr:uid="{7D0096D3-CFCF-4F45-83D0-BAD24632CEF5}"/>
    <cellStyle name="Eingabe 3 17" xfId="6041" xr:uid="{7AF3A50E-E411-4AF8-A439-E7AE9A099EF8}"/>
    <cellStyle name="Eingabe 3 18" xfId="6042" xr:uid="{10B895DE-89B1-4DAF-B11C-13D111AB9722}"/>
    <cellStyle name="Eingabe 3 19" xfId="6043" xr:uid="{70C29829-4CA0-4178-BEDE-609FDDC1C71F}"/>
    <cellStyle name="Eingabe 3 2" xfId="6044" xr:uid="{CB020523-6D05-41A0-A54F-F213A18E1B01}"/>
    <cellStyle name="Eingabe 3 2 10" xfId="6045" xr:uid="{F17BD90D-D1E7-421A-843F-8CB768D15311}"/>
    <cellStyle name="Eingabe 3 2 11" xfId="6046" xr:uid="{4B5607DD-527F-4AC2-976A-28D1DC9C49C4}"/>
    <cellStyle name="Eingabe 3 2 12" xfId="6047" xr:uid="{20515644-4298-4739-9341-AA51935654BD}"/>
    <cellStyle name="Eingabe 3 2 13" xfId="6048" xr:uid="{37B4AF7E-A02E-4E80-8926-30EE9AC12C6B}"/>
    <cellStyle name="Eingabe 3 2 14" xfId="6049" xr:uid="{0CBB043C-8803-4A36-AEE9-D593CF1E199A}"/>
    <cellStyle name="Eingabe 3 2 15" xfId="6050" xr:uid="{8E59C365-ADD4-44B5-8ECA-81620EDF1549}"/>
    <cellStyle name="Eingabe 3 2 16" xfId="6051" xr:uid="{4FC11C2D-F574-4E08-85E3-3BE1526CE3C6}"/>
    <cellStyle name="Eingabe 3 2 17" xfId="6052" xr:uid="{41AC4699-16CE-4BDE-9CFD-EC8D6ADEE65E}"/>
    <cellStyle name="Eingabe 3 2 18" xfId="6053" xr:uid="{66A4506A-DA00-4AE3-8F5A-6432FBC915E8}"/>
    <cellStyle name="Eingabe 3 2 19" xfId="6054" xr:uid="{2B77295C-8C1F-444C-8B6C-9E8B8184F0E8}"/>
    <cellStyle name="Eingabe 3 2 2" xfId="6055" xr:uid="{2BA4544A-C571-4129-BA7B-AB935142C579}"/>
    <cellStyle name="Eingabe 3 2 2 10" xfId="6056" xr:uid="{957B7F7C-6BFF-4C6A-AE64-173DCA659E4E}"/>
    <cellStyle name="Eingabe 3 2 2 11" xfId="6057" xr:uid="{17C45B77-FFC1-460B-9BD3-192D5ECA2895}"/>
    <cellStyle name="Eingabe 3 2 2 12" xfId="6058" xr:uid="{27E3013C-08CF-48F0-9D25-F5C275B36EED}"/>
    <cellStyle name="Eingabe 3 2 2 13" xfId="6059" xr:uid="{C4402F1A-36F8-4A29-BCAF-F3211BDEE9C6}"/>
    <cellStyle name="Eingabe 3 2 2 14" xfId="6060" xr:uid="{D77B019A-3948-4108-8B42-06B3D567D00B}"/>
    <cellStyle name="Eingabe 3 2 2 15" xfId="6061" xr:uid="{240EFD24-1319-4106-A13B-F18210528E23}"/>
    <cellStyle name="Eingabe 3 2 2 16" xfId="6062" xr:uid="{5043E45F-D840-420A-820C-3465BBED03EE}"/>
    <cellStyle name="Eingabe 3 2 2 17" xfId="6063" xr:uid="{FE7E2080-AFE7-42CE-948E-2F6D084070DD}"/>
    <cellStyle name="Eingabe 3 2 2 18" xfId="6064" xr:uid="{B083CE8D-451E-449D-A091-C8269C4841F1}"/>
    <cellStyle name="Eingabe 3 2 2 19" xfId="6065" xr:uid="{4C562D3F-7439-4D98-B624-2FC91BB205E5}"/>
    <cellStyle name="Eingabe 3 2 2 19 2" xfId="6066" xr:uid="{F1F28055-248E-40DC-9EB7-ECAF0BEEA626}"/>
    <cellStyle name="Eingabe 3 2 2 19_2013" xfId="6067" xr:uid="{FABA8137-4CDE-4E3D-BFF8-A9301D53A997}"/>
    <cellStyle name="Eingabe 3 2 2 2" xfId="6068" xr:uid="{5D73013C-369F-43C6-A7AD-6CD864A380E5}"/>
    <cellStyle name="Eingabe 3 2 2 2 10" xfId="6069" xr:uid="{F80A0D1A-EA26-4AB2-A5FE-1D9AF80931DE}"/>
    <cellStyle name="Eingabe 3 2 2 2 11" xfId="6070" xr:uid="{5014E7FC-7C44-44C5-8923-C09667BEDFD3}"/>
    <cellStyle name="Eingabe 3 2 2 2 12" xfId="6071" xr:uid="{1E0C2CC1-75DD-43B5-A502-C027477083C6}"/>
    <cellStyle name="Eingabe 3 2 2 2 13" xfId="6072" xr:uid="{6BEF92C4-6105-4082-B807-977E79BF99E2}"/>
    <cellStyle name="Eingabe 3 2 2 2 14" xfId="6073" xr:uid="{2C5D2FC4-A798-4EC5-9E8B-25B8C3DFBED6}"/>
    <cellStyle name="Eingabe 3 2 2 2 15" xfId="6074" xr:uid="{335194D6-51EA-4594-AE73-FD227C25886B}"/>
    <cellStyle name="Eingabe 3 2 2 2 16" xfId="6075" xr:uid="{BAC8F97D-AC8E-47FC-B171-40998595B860}"/>
    <cellStyle name="Eingabe 3 2 2 2 17" xfId="6076" xr:uid="{4B59EFE1-A8DA-4F1D-BCF0-76F113C081E0}"/>
    <cellStyle name="Eingabe 3 2 2 2 18" xfId="6077" xr:uid="{2886E35A-5E1C-4018-86B5-5901227F7F2F}"/>
    <cellStyle name="Eingabe 3 2 2 2 18 2" xfId="6078" xr:uid="{538C2BD2-2B8D-4C44-A366-F0A93AF393AA}"/>
    <cellStyle name="Eingabe 3 2 2 2 18_2013" xfId="6079" xr:uid="{39E918A5-9929-4EA7-823B-F9603DD01B1C}"/>
    <cellStyle name="Eingabe 3 2 2 2 19" xfId="6080" xr:uid="{34788A24-E990-4011-BB7E-CFAEFB302534}"/>
    <cellStyle name="Eingabe 3 2 2 2 2" xfId="6081" xr:uid="{231A95D4-8C45-45DB-9F5F-419C1C5438EC}"/>
    <cellStyle name="Eingabe 3 2 2 2 3" xfId="6082" xr:uid="{8C1F3807-4984-43A9-BC5F-59E9E7D07D82}"/>
    <cellStyle name="Eingabe 3 2 2 2 4" xfId="6083" xr:uid="{2209F4A2-BEB4-4927-883D-397FA9FB42C5}"/>
    <cellStyle name="Eingabe 3 2 2 2 5" xfId="6084" xr:uid="{1C4A81BE-FDD7-4EF7-899E-30C2F4844002}"/>
    <cellStyle name="Eingabe 3 2 2 2 6" xfId="6085" xr:uid="{0A49518A-89E6-4F3D-825D-7DF512FE6893}"/>
    <cellStyle name="Eingabe 3 2 2 2 7" xfId="6086" xr:uid="{3D4261DE-B39D-4C2E-AE19-91E30C7F8604}"/>
    <cellStyle name="Eingabe 3 2 2 2 8" xfId="6087" xr:uid="{D260E0EC-6036-49DB-99A6-713A1AA3AC32}"/>
    <cellStyle name="Eingabe 3 2 2 2 9" xfId="6088" xr:uid="{74392AB7-F58B-4BE4-8C89-A307DEEEB933}"/>
    <cellStyle name="Eingabe 3 2 2 2_2013" xfId="6089" xr:uid="{9487C9C9-C29A-4CFB-BF25-1756291FA689}"/>
    <cellStyle name="Eingabe 3 2 2 20" xfId="6090" xr:uid="{B9A080BC-66C6-4D51-B4C3-DE12267F2304}"/>
    <cellStyle name="Eingabe 3 2 2 3" xfId="6091" xr:uid="{E1E141E1-29D5-4BC7-891C-B5EF0AA5BC53}"/>
    <cellStyle name="Eingabe 3 2 2 4" xfId="6092" xr:uid="{504C3268-D780-47A0-84C7-E65BC69447D3}"/>
    <cellStyle name="Eingabe 3 2 2 5" xfId="6093" xr:uid="{7801669E-5176-4287-AA9F-111AC7270600}"/>
    <cellStyle name="Eingabe 3 2 2 6" xfId="6094" xr:uid="{AEDB4AB4-E5D1-436E-82C1-C9C5A5964D05}"/>
    <cellStyle name="Eingabe 3 2 2 7" xfId="6095" xr:uid="{FF53CB2B-E1EC-48C4-89A0-932011A2BA47}"/>
    <cellStyle name="Eingabe 3 2 2 8" xfId="6096" xr:uid="{CCC6F795-75AC-4DF0-98CE-471433859400}"/>
    <cellStyle name="Eingabe 3 2 2 9" xfId="6097" xr:uid="{10C6B49B-2468-4B42-8022-30E96D90DCD2}"/>
    <cellStyle name="Eingabe 3 2 2_2013" xfId="6098" xr:uid="{09F7CF9F-0B73-4F48-96DE-F145758AB140}"/>
    <cellStyle name="Eingabe 3 2 20" xfId="6099" xr:uid="{68954981-B842-475A-A99F-BA700E3F5C73}"/>
    <cellStyle name="Eingabe 3 2 21" xfId="6100" xr:uid="{19B63EC1-F83E-4538-BBFE-9C821947E914}"/>
    <cellStyle name="Eingabe 3 2 22" xfId="6101" xr:uid="{E09C11EC-E9E6-4B27-9DFA-DE849EDCF14A}"/>
    <cellStyle name="Eingabe 3 2 22 2" xfId="6102" xr:uid="{7561BA3D-09CC-4A05-8DE2-57231E024EA0}"/>
    <cellStyle name="Eingabe 3 2 22_2013" xfId="6103" xr:uid="{0CC734BE-9370-48AC-AE25-B216C88783DF}"/>
    <cellStyle name="Eingabe 3 2 23" xfId="6104" xr:uid="{5CEB4FC2-553B-4338-9A73-24060555BE07}"/>
    <cellStyle name="Eingabe 3 2 3" xfId="6105" xr:uid="{6EA58A2C-574A-4DA8-B7A5-BE10E07857BF}"/>
    <cellStyle name="Eingabe 3 2 3 10" xfId="6106" xr:uid="{A0ED531B-261D-44C2-85E2-853B35EB1E4E}"/>
    <cellStyle name="Eingabe 3 2 3 11" xfId="6107" xr:uid="{F703F357-7AD6-437F-BEE3-C617D58E855B}"/>
    <cellStyle name="Eingabe 3 2 3 12" xfId="6108" xr:uid="{D2158337-2567-4924-AC41-D1158DB3F2DA}"/>
    <cellStyle name="Eingabe 3 2 3 13" xfId="6109" xr:uid="{B5E91446-FD2A-4A6E-995F-AA1D74906C27}"/>
    <cellStyle name="Eingabe 3 2 3 14" xfId="6110" xr:uid="{80DE8762-D044-4621-A93B-71DAE78CDF60}"/>
    <cellStyle name="Eingabe 3 2 3 15" xfId="6111" xr:uid="{F2369A68-1255-4AAB-BBC0-4584888110F0}"/>
    <cellStyle name="Eingabe 3 2 3 16" xfId="6112" xr:uid="{DCE1395B-F94C-41A1-B686-90498FEF1622}"/>
    <cellStyle name="Eingabe 3 2 3 17" xfId="6113" xr:uid="{AC18B2FF-98D2-48BF-B4C1-889B013FB91E}"/>
    <cellStyle name="Eingabe 3 2 3 18" xfId="6114" xr:uid="{D8BB657B-0CA3-4099-A444-904738BB9FCB}"/>
    <cellStyle name="Eingabe 3 2 3 19" xfId="6115" xr:uid="{1F1B2D84-CC08-4996-8414-38F31C7D79C0}"/>
    <cellStyle name="Eingabe 3 2 3 19 2" xfId="6116" xr:uid="{AC5AB805-2BB5-4ABB-87F8-5F0506BF8EC4}"/>
    <cellStyle name="Eingabe 3 2 3 19_2013" xfId="6117" xr:uid="{F09DB4C7-F9DA-49BA-B924-511875142C22}"/>
    <cellStyle name="Eingabe 3 2 3 2" xfId="6118" xr:uid="{057C8E88-9394-4398-BEEF-61F952A941B2}"/>
    <cellStyle name="Eingabe 3 2 3 2 10" xfId="6119" xr:uid="{63F40D6F-47A2-4E1C-94E9-FA98E5193224}"/>
    <cellStyle name="Eingabe 3 2 3 2 11" xfId="6120" xr:uid="{5985A268-23F8-4536-B4A7-203A827FD39F}"/>
    <cellStyle name="Eingabe 3 2 3 2 12" xfId="6121" xr:uid="{5DF5645B-5FF4-4285-A166-B0C26F5D5FBD}"/>
    <cellStyle name="Eingabe 3 2 3 2 13" xfId="6122" xr:uid="{B8C9AA46-AD55-43AB-8997-EB4F82CBD93A}"/>
    <cellStyle name="Eingabe 3 2 3 2 14" xfId="6123" xr:uid="{B035F475-2342-4720-9FF0-1EF05B71F199}"/>
    <cellStyle name="Eingabe 3 2 3 2 15" xfId="6124" xr:uid="{799AEADF-8F6C-4B72-834C-355E9336F5A9}"/>
    <cellStyle name="Eingabe 3 2 3 2 16" xfId="6125" xr:uid="{20B32796-D868-4B3C-85A6-C98E1FD38B03}"/>
    <cellStyle name="Eingabe 3 2 3 2 17" xfId="6126" xr:uid="{5692C1CE-9D48-4486-9EE9-F97BCB40FA40}"/>
    <cellStyle name="Eingabe 3 2 3 2 18" xfId="6127" xr:uid="{2EE9B541-D55A-4A63-A400-92F77D201940}"/>
    <cellStyle name="Eingabe 3 2 3 2 18 2" xfId="6128" xr:uid="{BBDFED23-29DB-4603-85E4-BDE586572615}"/>
    <cellStyle name="Eingabe 3 2 3 2 18_2013" xfId="6129" xr:uid="{1726F88F-FA5D-4B65-A622-2B46CC57E5FA}"/>
    <cellStyle name="Eingabe 3 2 3 2 19" xfId="6130" xr:uid="{44810D4C-EF14-4C17-88B5-02B8A9285157}"/>
    <cellStyle name="Eingabe 3 2 3 2 2" xfId="6131" xr:uid="{72DB4FA1-69F4-47CA-8000-A74A355D961F}"/>
    <cellStyle name="Eingabe 3 2 3 2 3" xfId="6132" xr:uid="{90052169-B364-40D8-973E-C9422E789CF5}"/>
    <cellStyle name="Eingabe 3 2 3 2 4" xfId="6133" xr:uid="{9FBFB520-1E06-4657-A605-F134A8950243}"/>
    <cellStyle name="Eingabe 3 2 3 2 5" xfId="6134" xr:uid="{8C2287AA-5FAD-4BA1-8BC4-C1E0C9632EE5}"/>
    <cellStyle name="Eingabe 3 2 3 2 6" xfId="6135" xr:uid="{32F2D5CF-66A2-4830-8CAF-AEAF01D8D0EB}"/>
    <cellStyle name="Eingabe 3 2 3 2 7" xfId="6136" xr:uid="{A745ED82-40DF-4888-BB05-251E5CE2C3D8}"/>
    <cellStyle name="Eingabe 3 2 3 2 8" xfId="6137" xr:uid="{837E8906-7C26-43DF-BCA5-8B3C1D270C48}"/>
    <cellStyle name="Eingabe 3 2 3 2 9" xfId="6138" xr:uid="{4213D8FF-18BC-4E3D-94F1-187483638C10}"/>
    <cellStyle name="Eingabe 3 2 3 2_2013" xfId="6139" xr:uid="{2D2C074B-7A91-4F21-BB11-1DE8AE2E9AAB}"/>
    <cellStyle name="Eingabe 3 2 3 20" xfId="6140" xr:uid="{8BFF069F-B14C-429B-AE16-F8655B2C2882}"/>
    <cellStyle name="Eingabe 3 2 3 3" xfId="6141" xr:uid="{982835E5-221F-4CF8-BF72-37DEA87898CA}"/>
    <cellStyle name="Eingabe 3 2 3 4" xfId="6142" xr:uid="{6C8F3977-7B66-45E2-B51B-BC8E4248ABEA}"/>
    <cellStyle name="Eingabe 3 2 3 5" xfId="6143" xr:uid="{8FB8F705-0EAF-46C4-928A-29BCA1793F8F}"/>
    <cellStyle name="Eingabe 3 2 3 6" xfId="6144" xr:uid="{6DBBB50C-C269-4A20-9B48-73FDC36A6D1B}"/>
    <cellStyle name="Eingabe 3 2 3 7" xfId="6145" xr:uid="{348AF17D-FCFA-45C2-90F7-AC41FFB9C822}"/>
    <cellStyle name="Eingabe 3 2 3 8" xfId="6146" xr:uid="{870CC074-D438-4CAF-81DD-A1B6F7F07491}"/>
    <cellStyle name="Eingabe 3 2 3 9" xfId="6147" xr:uid="{2BB475A3-54D0-4B6F-8072-05727F9AE0BA}"/>
    <cellStyle name="Eingabe 3 2 3_2013" xfId="6148" xr:uid="{CDEA28C1-B9F1-4FD0-BD08-0BD9A83039F1}"/>
    <cellStyle name="Eingabe 3 2 4" xfId="6149" xr:uid="{5EEFA6FC-202D-4E78-B836-4935A8E41FE5}"/>
    <cellStyle name="Eingabe 3 2 4 10" xfId="6150" xr:uid="{9B157A10-8D08-43CF-A37F-EBEC20B60563}"/>
    <cellStyle name="Eingabe 3 2 4 11" xfId="6151" xr:uid="{63280898-4F18-4849-85DA-1C92C419AE47}"/>
    <cellStyle name="Eingabe 3 2 4 12" xfId="6152" xr:uid="{E2109368-801C-42A6-A79C-11A1E164D5F3}"/>
    <cellStyle name="Eingabe 3 2 4 13" xfId="6153" xr:uid="{F8CB8CB9-A207-476B-A500-AB6C91F1A521}"/>
    <cellStyle name="Eingabe 3 2 4 14" xfId="6154" xr:uid="{AB671662-21DB-44D7-A039-2E903E0E35F8}"/>
    <cellStyle name="Eingabe 3 2 4 15" xfId="6155" xr:uid="{59766EA7-E8E2-471C-9EDA-56B20D394936}"/>
    <cellStyle name="Eingabe 3 2 4 16" xfId="6156" xr:uid="{06497402-AD77-4343-9816-4813D8A75E9B}"/>
    <cellStyle name="Eingabe 3 2 4 17" xfId="6157" xr:uid="{C9FC30B0-E462-49C3-B58F-CBCD4ECA207D}"/>
    <cellStyle name="Eingabe 3 2 4 18" xfId="6158" xr:uid="{FC1F1830-E0F5-4C4B-A011-0A43ACB07580}"/>
    <cellStyle name="Eingabe 3 2 4 19" xfId="6159" xr:uid="{1C757C99-48E6-4B11-86AD-169F04281E94}"/>
    <cellStyle name="Eingabe 3 2 4 19 2" xfId="6160" xr:uid="{78362923-5DD2-4748-A3E7-AA26E4709A04}"/>
    <cellStyle name="Eingabe 3 2 4 19_2013" xfId="6161" xr:uid="{7BFFA251-B6BA-4386-9A23-90CD95E476D4}"/>
    <cellStyle name="Eingabe 3 2 4 2" xfId="6162" xr:uid="{53F3FC6F-21A9-4853-9E23-3A996FC39740}"/>
    <cellStyle name="Eingabe 3 2 4 2 10" xfId="6163" xr:uid="{5E45708C-6687-4287-BF5B-72E0B0A0DCB6}"/>
    <cellStyle name="Eingabe 3 2 4 2 11" xfId="6164" xr:uid="{4AD24F6A-3158-43B5-9FDF-C91A45691C6A}"/>
    <cellStyle name="Eingabe 3 2 4 2 12" xfId="6165" xr:uid="{DA94202F-FC62-403E-A84B-CFDEE65CEC5A}"/>
    <cellStyle name="Eingabe 3 2 4 2 13" xfId="6166" xr:uid="{6BD3E064-6735-4881-841F-6C0EBEC2ADBF}"/>
    <cellStyle name="Eingabe 3 2 4 2 14" xfId="6167" xr:uid="{3F61DE6C-42AB-418D-ACCD-79FE64D42B8C}"/>
    <cellStyle name="Eingabe 3 2 4 2 15" xfId="6168" xr:uid="{5EF72251-144D-45E6-82F9-6C0721D8A7AD}"/>
    <cellStyle name="Eingabe 3 2 4 2 16" xfId="6169" xr:uid="{10802803-35BD-434C-AF60-ED783D3BF737}"/>
    <cellStyle name="Eingabe 3 2 4 2 17" xfId="6170" xr:uid="{A59540EA-D08F-43EA-AD67-A6D96801F604}"/>
    <cellStyle name="Eingabe 3 2 4 2 18" xfId="6171" xr:uid="{87CFE870-7861-4A4F-A7A8-4A2AD712E338}"/>
    <cellStyle name="Eingabe 3 2 4 2 18 2" xfId="6172" xr:uid="{573837D7-2382-45B0-BE05-1973F32722FA}"/>
    <cellStyle name="Eingabe 3 2 4 2 18_2013" xfId="6173" xr:uid="{76F54DFA-A18C-467D-B19E-00E0F72F4534}"/>
    <cellStyle name="Eingabe 3 2 4 2 19" xfId="6174" xr:uid="{423A32A9-13B9-4BCE-AC88-E6A16926FFB7}"/>
    <cellStyle name="Eingabe 3 2 4 2 2" xfId="6175" xr:uid="{66D8BAD1-A0ED-4DF4-8FD7-6275CFE8F1B5}"/>
    <cellStyle name="Eingabe 3 2 4 2 3" xfId="6176" xr:uid="{8FEF2756-AF0C-4B77-9E19-36D308DA4F13}"/>
    <cellStyle name="Eingabe 3 2 4 2 4" xfId="6177" xr:uid="{78034467-6213-49F3-96BD-02B3E61A79A7}"/>
    <cellStyle name="Eingabe 3 2 4 2 5" xfId="6178" xr:uid="{32E6BE15-52B8-4D98-8FEF-5B016F0ACA15}"/>
    <cellStyle name="Eingabe 3 2 4 2 6" xfId="6179" xr:uid="{4FDA6D98-A912-4D58-BBEF-3E29AE64103D}"/>
    <cellStyle name="Eingabe 3 2 4 2 7" xfId="6180" xr:uid="{08C4CDC0-9B97-4D19-82D4-CCF74F6F0D51}"/>
    <cellStyle name="Eingabe 3 2 4 2 8" xfId="6181" xr:uid="{CF836036-445A-4418-88B2-5DBFA0DD516C}"/>
    <cellStyle name="Eingabe 3 2 4 2 9" xfId="6182" xr:uid="{21976040-8B2E-4192-96CD-C4B5F51E9539}"/>
    <cellStyle name="Eingabe 3 2 4 2_2013" xfId="6183" xr:uid="{B5AE8B10-1EB1-4D98-A0C3-DB39425431D3}"/>
    <cellStyle name="Eingabe 3 2 4 20" xfId="6184" xr:uid="{8E4FBBF3-0A0C-4895-9162-7B160EA39ACD}"/>
    <cellStyle name="Eingabe 3 2 4 3" xfId="6185" xr:uid="{200AE55D-F228-45F6-8551-D441EE138735}"/>
    <cellStyle name="Eingabe 3 2 4 4" xfId="6186" xr:uid="{BF59BEEF-BB8B-4DBD-BE47-D3966C25C130}"/>
    <cellStyle name="Eingabe 3 2 4 5" xfId="6187" xr:uid="{5A8D08F6-1438-4B1E-A0D7-F1A6FAE602A7}"/>
    <cellStyle name="Eingabe 3 2 4 6" xfId="6188" xr:uid="{D98F286C-CEE1-4FBE-8BCF-C56956684A23}"/>
    <cellStyle name="Eingabe 3 2 4 7" xfId="6189" xr:uid="{D543B5CF-3B8A-4E0D-8A75-5BD21CD27800}"/>
    <cellStyle name="Eingabe 3 2 4 8" xfId="6190" xr:uid="{DA9434D3-4F0B-4663-B2F1-AE64F5A7FA88}"/>
    <cellStyle name="Eingabe 3 2 4 9" xfId="6191" xr:uid="{AF170AD0-BADA-4D8E-8BF3-53FD0328FA15}"/>
    <cellStyle name="Eingabe 3 2 4_2013" xfId="6192" xr:uid="{51D5B45F-13EE-47AB-80E7-04FE49A24E9F}"/>
    <cellStyle name="Eingabe 3 2 5" xfId="6193" xr:uid="{CB01961D-5D59-4E6C-B53B-599EA12D1D03}"/>
    <cellStyle name="Eingabe 3 2 5 10" xfId="6194" xr:uid="{966C016F-2147-4077-BF31-26C4CA1A93EA}"/>
    <cellStyle name="Eingabe 3 2 5 11" xfId="6195" xr:uid="{EC395644-9CDA-4A9D-91F0-3739EC69BACA}"/>
    <cellStyle name="Eingabe 3 2 5 12" xfId="6196" xr:uid="{95B9B5A8-4460-445F-A48C-4E5712F774DC}"/>
    <cellStyle name="Eingabe 3 2 5 13" xfId="6197" xr:uid="{0CD0F277-1356-43C5-99DE-85F8CA0E1451}"/>
    <cellStyle name="Eingabe 3 2 5 14" xfId="6198" xr:uid="{7FA8F8B6-DE26-4C45-9412-2DDEB0A29B80}"/>
    <cellStyle name="Eingabe 3 2 5 15" xfId="6199" xr:uid="{B23A53D7-C9D0-47DB-A980-B10BCFA920BA}"/>
    <cellStyle name="Eingabe 3 2 5 16" xfId="6200" xr:uid="{8810AC3C-A95E-4A52-835B-5436044E2380}"/>
    <cellStyle name="Eingabe 3 2 5 17" xfId="6201" xr:uid="{B83BD6E4-DAC1-49F8-8386-9EC2761203CD}"/>
    <cellStyle name="Eingabe 3 2 5 18" xfId="6202" xr:uid="{1C86F600-3198-4AA4-9E30-91C64279E892}"/>
    <cellStyle name="Eingabe 3 2 5 18 2" xfId="6203" xr:uid="{11DD4DB8-AA03-426F-8759-438AD34A75AD}"/>
    <cellStyle name="Eingabe 3 2 5 18_2013" xfId="6204" xr:uid="{677FCDB6-636A-4278-997D-85B0A56EDD08}"/>
    <cellStyle name="Eingabe 3 2 5 19" xfId="6205" xr:uid="{6B226AA9-2577-4F34-A1B9-2674BC09DCB8}"/>
    <cellStyle name="Eingabe 3 2 5 2" xfId="6206" xr:uid="{7BFF279D-9F1F-45C8-B502-1A17642AF0C3}"/>
    <cellStyle name="Eingabe 3 2 5 3" xfId="6207" xr:uid="{8CACC500-48EF-4255-A02A-468ED0363E34}"/>
    <cellStyle name="Eingabe 3 2 5 4" xfId="6208" xr:uid="{87FAA13F-972D-4AF7-B5B3-32999ED510B3}"/>
    <cellStyle name="Eingabe 3 2 5 5" xfId="6209" xr:uid="{20C9C8D2-888A-42A3-A954-7A99ED9E4BE3}"/>
    <cellStyle name="Eingabe 3 2 5 6" xfId="6210" xr:uid="{74230032-8869-423E-ACE7-2ED7BDA90CE8}"/>
    <cellStyle name="Eingabe 3 2 5 7" xfId="6211" xr:uid="{0BA8812D-E228-467C-B338-6E76BEC3411E}"/>
    <cellStyle name="Eingabe 3 2 5 8" xfId="6212" xr:uid="{BB2C24B9-FE19-4714-90BD-D873947CA497}"/>
    <cellStyle name="Eingabe 3 2 5 9" xfId="6213" xr:uid="{231FD262-4190-4C9F-98E4-7D31C98A25B8}"/>
    <cellStyle name="Eingabe 3 2 5_2013" xfId="6214" xr:uid="{130459FB-E3DE-48B3-93D2-949FE1951366}"/>
    <cellStyle name="Eingabe 3 2 6" xfId="6215" xr:uid="{A0A3521E-1C81-4A15-975E-40BC66A0626F}"/>
    <cellStyle name="Eingabe 3 2 7" xfId="6216" xr:uid="{7A13FA58-D8EC-45A6-8B0D-537466C920E3}"/>
    <cellStyle name="Eingabe 3 2 8" xfId="6217" xr:uid="{63B020A5-9B98-4835-9E68-257A0A64CE18}"/>
    <cellStyle name="Eingabe 3 2 9" xfId="6218" xr:uid="{70554875-A681-4787-8D21-E777E9E3CC33}"/>
    <cellStyle name="Eingabe 3 2_2013" xfId="6219" xr:uid="{EFAEEC67-5F4B-4401-A6ED-C44E5CCEFE01}"/>
    <cellStyle name="Eingabe 3 20" xfId="6220" xr:uid="{9E7D448F-23D2-471A-8607-A5A77E6D7564}"/>
    <cellStyle name="Eingabe 3 21" xfId="6221" xr:uid="{F2290784-7472-4197-B232-AFBDBA71FB8F}"/>
    <cellStyle name="Eingabe 3 22" xfId="6222" xr:uid="{78BC6BA7-02C1-40F5-8745-485E8312B56E}"/>
    <cellStyle name="Eingabe 3 23" xfId="6223" xr:uid="{FD370624-80FA-4C56-8E2C-DD4285780176}"/>
    <cellStyle name="Eingabe 3 23 2" xfId="6224" xr:uid="{B92ED86D-1D83-47E4-9B25-C8E50721A68E}"/>
    <cellStyle name="Eingabe 3 23_2013" xfId="6225" xr:uid="{0F9E0E8D-4F46-472A-ABC1-B6D1B4B72605}"/>
    <cellStyle name="Eingabe 3 24" xfId="6226" xr:uid="{FDC76A65-7A0A-4581-8244-37B682CF03D9}"/>
    <cellStyle name="Eingabe 3 3" xfId="6227" xr:uid="{73F8ACC6-6B2F-472B-B6AF-018C7BBBE5CB}"/>
    <cellStyle name="Eingabe 3 3 10" xfId="6228" xr:uid="{AAC8DDD2-F4E3-4418-83AE-2D3AFC88EA3F}"/>
    <cellStyle name="Eingabe 3 3 11" xfId="6229" xr:uid="{9524AEAD-A7F4-4589-A779-4DB6DAF8493F}"/>
    <cellStyle name="Eingabe 3 3 12" xfId="6230" xr:uid="{7AC5DF10-4C74-40E3-9424-B52180C60649}"/>
    <cellStyle name="Eingabe 3 3 13" xfId="6231" xr:uid="{0015D412-B98B-4135-BAA0-1C47B51F8B67}"/>
    <cellStyle name="Eingabe 3 3 14" xfId="6232" xr:uid="{621B242B-510C-406B-ADA1-DCCF4B593A44}"/>
    <cellStyle name="Eingabe 3 3 15" xfId="6233" xr:uid="{C720476C-278E-4716-94B3-400DE8D8231E}"/>
    <cellStyle name="Eingabe 3 3 16" xfId="6234" xr:uid="{BF6AD26C-B48B-49EB-8146-6A62D8EC7E54}"/>
    <cellStyle name="Eingabe 3 3 17" xfId="6235" xr:uid="{D873764B-4CD8-4ACA-BE27-3D2055681A7B}"/>
    <cellStyle name="Eingabe 3 3 18" xfId="6236" xr:uid="{5F96794D-E982-4A35-BDFF-3B4580469C92}"/>
    <cellStyle name="Eingabe 3 3 19" xfId="6237" xr:uid="{5CD2E93D-BD72-47A5-80B4-973E8C115E68}"/>
    <cellStyle name="Eingabe 3 3 19 2" xfId="6238" xr:uid="{03CE5861-5493-4FB6-A35B-D72FF30EB156}"/>
    <cellStyle name="Eingabe 3 3 19_2013" xfId="6239" xr:uid="{06D8400D-B10A-4FFF-85EB-9C326747254E}"/>
    <cellStyle name="Eingabe 3 3 2" xfId="6240" xr:uid="{90BA2E4C-CA32-4E2C-8A5F-128F92822751}"/>
    <cellStyle name="Eingabe 3 3 2 10" xfId="6241" xr:uid="{B42CA531-EDBF-4D8D-9677-180A94F7FC69}"/>
    <cellStyle name="Eingabe 3 3 2 11" xfId="6242" xr:uid="{66C7A482-9717-4128-83CB-D59367DB82B7}"/>
    <cellStyle name="Eingabe 3 3 2 12" xfId="6243" xr:uid="{6490C736-49BA-4F75-8E00-D0DAA7BD0ADE}"/>
    <cellStyle name="Eingabe 3 3 2 13" xfId="6244" xr:uid="{ADB81C43-6F75-4163-BE75-82666502C7DA}"/>
    <cellStyle name="Eingabe 3 3 2 14" xfId="6245" xr:uid="{65175EDB-1176-4B94-93E2-666A8897978D}"/>
    <cellStyle name="Eingabe 3 3 2 15" xfId="6246" xr:uid="{A85F31E3-EE35-47B2-A941-AAF67E500AEB}"/>
    <cellStyle name="Eingabe 3 3 2 16" xfId="6247" xr:uid="{FAAE3317-A4F4-4FD9-B832-9A93C005931F}"/>
    <cellStyle name="Eingabe 3 3 2 17" xfId="6248" xr:uid="{3AD4A858-2100-48C2-9BED-E123A4610CDB}"/>
    <cellStyle name="Eingabe 3 3 2 18" xfId="6249" xr:uid="{0375A715-F0A4-42E2-8B33-05310EB9B3FD}"/>
    <cellStyle name="Eingabe 3 3 2 18 2" xfId="6250" xr:uid="{AD8856B2-1CE8-4AAA-94C3-8E2AD33FA8BB}"/>
    <cellStyle name="Eingabe 3 3 2 18_2013" xfId="6251" xr:uid="{B3DC6F5E-EB1D-4E5F-B7DE-A747C877E84F}"/>
    <cellStyle name="Eingabe 3 3 2 19" xfId="6252" xr:uid="{65DAFEB5-4B42-4E3E-A671-5351258CB3EA}"/>
    <cellStyle name="Eingabe 3 3 2 2" xfId="6253" xr:uid="{EE4D2633-4E2E-47A1-954A-91C238221111}"/>
    <cellStyle name="Eingabe 3 3 2 3" xfId="6254" xr:uid="{E73303E1-E2A2-406F-84B4-443891CFCC9E}"/>
    <cellStyle name="Eingabe 3 3 2 4" xfId="6255" xr:uid="{121EBA4B-246B-4167-AC31-4385ED32A9CC}"/>
    <cellStyle name="Eingabe 3 3 2 5" xfId="6256" xr:uid="{B5E07DAA-BA33-4805-9E7C-915B99ACEC3D}"/>
    <cellStyle name="Eingabe 3 3 2 6" xfId="6257" xr:uid="{FE49A558-51B2-4292-B561-8FF70225CCE4}"/>
    <cellStyle name="Eingabe 3 3 2 7" xfId="6258" xr:uid="{47E89F87-1146-4638-9D47-A0A57E57206F}"/>
    <cellStyle name="Eingabe 3 3 2 8" xfId="6259" xr:uid="{CABCE276-270E-438B-8C48-B50C274D8491}"/>
    <cellStyle name="Eingabe 3 3 2 9" xfId="6260" xr:uid="{84193F04-B661-4B5C-AEFE-6E15011BCCC3}"/>
    <cellStyle name="Eingabe 3 3 2_2013" xfId="6261" xr:uid="{E2558D85-C75B-4460-9A12-6C59E3D017D9}"/>
    <cellStyle name="Eingabe 3 3 20" xfId="6262" xr:uid="{D4027F27-B2E9-4598-82D1-72EF8E4F1A75}"/>
    <cellStyle name="Eingabe 3 3 3" xfId="6263" xr:uid="{4906335C-404C-404A-94F7-1AC9D9DEDAE3}"/>
    <cellStyle name="Eingabe 3 3 4" xfId="6264" xr:uid="{A2CF6D92-7116-4898-877F-93EB3450999B}"/>
    <cellStyle name="Eingabe 3 3 5" xfId="6265" xr:uid="{FC9774AB-4AA6-4845-944B-6AF44EB7CB69}"/>
    <cellStyle name="Eingabe 3 3 6" xfId="6266" xr:uid="{635B3C9E-1B04-4D12-B5EB-B5922538B204}"/>
    <cellStyle name="Eingabe 3 3 7" xfId="6267" xr:uid="{46A56211-AEDA-4E3C-8E44-063B21D4B560}"/>
    <cellStyle name="Eingabe 3 3 8" xfId="6268" xr:uid="{28C0F656-4BF2-41C9-930D-CFD9702BC244}"/>
    <cellStyle name="Eingabe 3 3 9" xfId="6269" xr:uid="{E829CAA6-1BD7-47F9-AF05-AD24061F19D7}"/>
    <cellStyle name="Eingabe 3 3_2013" xfId="6270" xr:uid="{AD408B11-3252-4C8A-A5B4-802B74E25F39}"/>
    <cellStyle name="Eingabe 3 4" xfId="6271" xr:uid="{05EF3C59-2328-4D31-907E-C7CFF8425E44}"/>
    <cellStyle name="Eingabe 3 4 10" xfId="6272" xr:uid="{667C5878-D27A-479B-A11D-22D3F9C314CA}"/>
    <cellStyle name="Eingabe 3 4 11" xfId="6273" xr:uid="{D3DF218D-AB69-45A2-9D5A-8FC7EA7950AD}"/>
    <cellStyle name="Eingabe 3 4 12" xfId="6274" xr:uid="{A5BB721D-B1A3-41E8-99F8-826B1A03AF09}"/>
    <cellStyle name="Eingabe 3 4 13" xfId="6275" xr:uid="{CDAD4A89-CC0A-4A2B-B636-EEA559703510}"/>
    <cellStyle name="Eingabe 3 4 14" xfId="6276" xr:uid="{7B62C9DF-D1AA-4C3F-8F5F-9B238BDE706A}"/>
    <cellStyle name="Eingabe 3 4 15" xfId="6277" xr:uid="{00DF0F74-A23F-4A7C-88C3-662E4D48C38D}"/>
    <cellStyle name="Eingabe 3 4 16" xfId="6278" xr:uid="{F0B5239C-6C98-4DE0-B6F8-2100AB76B4B4}"/>
    <cellStyle name="Eingabe 3 4 17" xfId="6279" xr:uid="{1B9497FD-4DCC-4680-AE01-6B513D1F8E6D}"/>
    <cellStyle name="Eingabe 3 4 18" xfId="6280" xr:uid="{B680819A-9052-4385-9C23-879D373A1582}"/>
    <cellStyle name="Eingabe 3 4 19" xfId="6281" xr:uid="{EFF7D907-E99F-405E-8BC0-2F541A150451}"/>
    <cellStyle name="Eingabe 3 4 19 2" xfId="6282" xr:uid="{F9F11402-A8F5-4219-BED2-1CBA1777EE22}"/>
    <cellStyle name="Eingabe 3 4 19_2013" xfId="6283" xr:uid="{52DF78B2-FB9A-4D34-8F59-B5D46FCED67C}"/>
    <cellStyle name="Eingabe 3 4 2" xfId="6284" xr:uid="{7E8105F5-9FE6-499B-87F3-B1FC38ED61BD}"/>
    <cellStyle name="Eingabe 3 4 2 10" xfId="6285" xr:uid="{9160DFA0-52BE-4740-B91F-F395F5B27B6C}"/>
    <cellStyle name="Eingabe 3 4 2 11" xfId="6286" xr:uid="{C91DF047-1A0A-4BE7-8D11-90913E296412}"/>
    <cellStyle name="Eingabe 3 4 2 12" xfId="6287" xr:uid="{9967C7CF-E8BF-4D1A-8CD1-2DE68DCBBC37}"/>
    <cellStyle name="Eingabe 3 4 2 13" xfId="6288" xr:uid="{60013C5D-F7B0-481A-8472-C7DEDBE74F04}"/>
    <cellStyle name="Eingabe 3 4 2 14" xfId="6289" xr:uid="{6CBDCDB8-E85F-4B65-B1D5-925F04DB0426}"/>
    <cellStyle name="Eingabe 3 4 2 15" xfId="6290" xr:uid="{5317D303-C0F0-4A28-8126-CE727C8BAFC3}"/>
    <cellStyle name="Eingabe 3 4 2 16" xfId="6291" xr:uid="{41A09EE9-2ADA-4868-8A0F-A5EDE98C2BB4}"/>
    <cellStyle name="Eingabe 3 4 2 17" xfId="6292" xr:uid="{9871AFAE-2BA0-46C9-9148-F3711E63FF85}"/>
    <cellStyle name="Eingabe 3 4 2 18" xfId="6293" xr:uid="{9C5ABC00-5CED-4A75-8E2C-5185FD66A3E4}"/>
    <cellStyle name="Eingabe 3 4 2 18 2" xfId="6294" xr:uid="{2CC4BEF7-0DA5-4E97-A284-3C4C6C1121D4}"/>
    <cellStyle name="Eingabe 3 4 2 18_2013" xfId="6295" xr:uid="{7F70608B-13CB-4DC4-92DC-8C708690FAFD}"/>
    <cellStyle name="Eingabe 3 4 2 19" xfId="6296" xr:uid="{79931225-15E4-431C-B2A2-9F7A7ABC8731}"/>
    <cellStyle name="Eingabe 3 4 2 2" xfId="6297" xr:uid="{2E3B167A-61F2-44B0-9441-524CF3340D0D}"/>
    <cellStyle name="Eingabe 3 4 2 3" xfId="6298" xr:uid="{43E60FDF-CFA2-4F42-B687-FA57701E606B}"/>
    <cellStyle name="Eingabe 3 4 2 4" xfId="6299" xr:uid="{F334FE4D-1B1C-418C-8507-8057A7A7B742}"/>
    <cellStyle name="Eingabe 3 4 2 5" xfId="6300" xr:uid="{F71DA28D-12FA-4153-ADBC-7A4BF03FF65B}"/>
    <cellStyle name="Eingabe 3 4 2 6" xfId="6301" xr:uid="{D79353C8-C01F-4AEB-8024-F4892EAAD740}"/>
    <cellStyle name="Eingabe 3 4 2 7" xfId="6302" xr:uid="{89DC85B3-2BCC-4E52-BF66-9745FCBDF479}"/>
    <cellStyle name="Eingabe 3 4 2 8" xfId="6303" xr:uid="{15FC6151-5C09-4C0E-AF9B-17A83382509E}"/>
    <cellStyle name="Eingabe 3 4 2 9" xfId="6304" xr:uid="{42FD2B40-7C5D-46BC-B9B9-654E15672874}"/>
    <cellStyle name="Eingabe 3 4 2_2013" xfId="6305" xr:uid="{E3F2CDCD-D753-4136-A9F4-5338E07D008C}"/>
    <cellStyle name="Eingabe 3 4 20" xfId="6306" xr:uid="{4F37F750-0A8A-42E3-9738-CEFDF95685A4}"/>
    <cellStyle name="Eingabe 3 4 3" xfId="6307" xr:uid="{1C8856DE-BE12-4940-A6B2-145AF6BE3DBE}"/>
    <cellStyle name="Eingabe 3 4 4" xfId="6308" xr:uid="{F640DFC9-8EE9-4D86-AE0E-3F9DAA7E2DC7}"/>
    <cellStyle name="Eingabe 3 4 5" xfId="6309" xr:uid="{207286EC-29FD-4E72-A68F-64E341714215}"/>
    <cellStyle name="Eingabe 3 4 6" xfId="6310" xr:uid="{9D4D947F-87D0-4BE7-8132-EAED1C8512DE}"/>
    <cellStyle name="Eingabe 3 4 7" xfId="6311" xr:uid="{E309C3BD-DA81-402A-9C11-36C73F07547A}"/>
    <cellStyle name="Eingabe 3 4 8" xfId="6312" xr:uid="{E4EE01C4-5ECF-4464-A50B-7906231C4329}"/>
    <cellStyle name="Eingabe 3 4 9" xfId="6313" xr:uid="{F093185A-C029-4921-B943-A14F5AB57915}"/>
    <cellStyle name="Eingabe 3 4_2013" xfId="6314" xr:uid="{C4930E6C-2A8A-4BE3-AAB0-FE07EF3E3DB9}"/>
    <cellStyle name="Eingabe 3 5" xfId="6315" xr:uid="{E03091A3-7F0E-407F-AEB1-252300621527}"/>
    <cellStyle name="Eingabe 3 5 10" xfId="6316" xr:uid="{9D2CE04C-95BF-4A41-B999-407C3750BBB1}"/>
    <cellStyle name="Eingabe 3 5 11" xfId="6317" xr:uid="{9DEC4C80-D0CC-40FB-8905-A14D931CE020}"/>
    <cellStyle name="Eingabe 3 5 12" xfId="6318" xr:uid="{62D5E622-A73D-48DF-B1CE-B1C8B720CC9D}"/>
    <cellStyle name="Eingabe 3 5 13" xfId="6319" xr:uid="{00574DA3-1D5B-4315-928C-0A11CA755C07}"/>
    <cellStyle name="Eingabe 3 5 14" xfId="6320" xr:uid="{B2D0334C-FF1D-46A4-A912-AD195D8083EB}"/>
    <cellStyle name="Eingabe 3 5 15" xfId="6321" xr:uid="{C588D50F-FBBB-4987-AA18-656F23E5F82B}"/>
    <cellStyle name="Eingabe 3 5 16" xfId="6322" xr:uid="{095CC282-71C9-4E70-82B2-37EC3B384C2B}"/>
    <cellStyle name="Eingabe 3 5 17" xfId="6323" xr:uid="{1E873703-F757-4A1E-8787-1EFA898DEFF0}"/>
    <cellStyle name="Eingabe 3 5 18" xfId="6324" xr:uid="{B45F7C0F-2570-479A-9C91-2E20FEC00010}"/>
    <cellStyle name="Eingabe 3 5 19" xfId="6325" xr:uid="{2F5D2FDC-3EF3-49AC-B5FC-322D2A43676C}"/>
    <cellStyle name="Eingabe 3 5 19 2" xfId="6326" xr:uid="{69ADFAC4-1FA8-415A-9BDB-DF415FF14DCA}"/>
    <cellStyle name="Eingabe 3 5 19_2013" xfId="6327" xr:uid="{83360881-BF20-43B5-8C72-44E7C289AAF6}"/>
    <cellStyle name="Eingabe 3 5 2" xfId="6328" xr:uid="{C5EE55A8-EBC1-4022-9D17-0ECF50C82F8C}"/>
    <cellStyle name="Eingabe 3 5 2 10" xfId="6329" xr:uid="{AF6683EF-8BE2-4AA4-A5AE-95AB8DF05C0E}"/>
    <cellStyle name="Eingabe 3 5 2 11" xfId="6330" xr:uid="{F3651062-7B96-4D3F-9596-5959F3AD76A0}"/>
    <cellStyle name="Eingabe 3 5 2 12" xfId="6331" xr:uid="{31B87325-D5F4-410F-94B5-4DA5ADF1C203}"/>
    <cellStyle name="Eingabe 3 5 2 13" xfId="6332" xr:uid="{F8C0587A-13F3-440C-8A05-C0C621FE3E90}"/>
    <cellStyle name="Eingabe 3 5 2 14" xfId="6333" xr:uid="{37203118-B6FC-49E6-810F-9F35BDCA000B}"/>
    <cellStyle name="Eingabe 3 5 2 15" xfId="6334" xr:uid="{2C3BAF6C-0D7E-43F9-9E92-6D4E48796A84}"/>
    <cellStyle name="Eingabe 3 5 2 16" xfId="6335" xr:uid="{D7AEFBA3-E1A9-41E2-99D8-5D24CA020BF9}"/>
    <cellStyle name="Eingabe 3 5 2 17" xfId="6336" xr:uid="{D65BECB4-891C-401F-9D94-A65DF7C0E0AA}"/>
    <cellStyle name="Eingabe 3 5 2 18" xfId="6337" xr:uid="{D3C7F6A8-346C-4C55-8CEC-9342DC7B52C5}"/>
    <cellStyle name="Eingabe 3 5 2 18 2" xfId="6338" xr:uid="{55F65166-5018-483B-81AF-714C72735713}"/>
    <cellStyle name="Eingabe 3 5 2 18_2013" xfId="6339" xr:uid="{D794777B-AF30-4930-8C63-5E5669AF6A04}"/>
    <cellStyle name="Eingabe 3 5 2 19" xfId="6340" xr:uid="{37AC290B-968A-40C1-B2EE-A6211B1346DD}"/>
    <cellStyle name="Eingabe 3 5 2 2" xfId="6341" xr:uid="{114BD8E1-3448-468A-8129-C80B89DEE06B}"/>
    <cellStyle name="Eingabe 3 5 2 3" xfId="6342" xr:uid="{DDF5D336-22FA-4F41-BA59-7E7B69C95124}"/>
    <cellStyle name="Eingabe 3 5 2 4" xfId="6343" xr:uid="{12110ADB-6E6D-4BB3-ABBD-52011858E6AD}"/>
    <cellStyle name="Eingabe 3 5 2 5" xfId="6344" xr:uid="{57C60121-B3D3-4A5A-9E4A-7DF91852AF7F}"/>
    <cellStyle name="Eingabe 3 5 2 6" xfId="6345" xr:uid="{1FE7C2FB-4CDD-4CB8-906B-0DDDA8610627}"/>
    <cellStyle name="Eingabe 3 5 2 7" xfId="6346" xr:uid="{D27BDF74-E40D-4EF8-9561-164845F7F253}"/>
    <cellStyle name="Eingabe 3 5 2 8" xfId="6347" xr:uid="{37E13F1E-4C75-4CAE-8CE7-25EFA3948074}"/>
    <cellStyle name="Eingabe 3 5 2 9" xfId="6348" xr:uid="{BBE2F851-4294-4342-A11F-28DABFFA964B}"/>
    <cellStyle name="Eingabe 3 5 2_2013" xfId="6349" xr:uid="{AD326F34-BB2A-4880-A6C2-44031C1BE768}"/>
    <cellStyle name="Eingabe 3 5 20" xfId="6350" xr:uid="{66AA48D7-36F7-44D8-A286-8E29B9DB40EC}"/>
    <cellStyle name="Eingabe 3 5 3" xfId="6351" xr:uid="{7E9F17D5-04BA-4853-B910-C7669023BAEF}"/>
    <cellStyle name="Eingabe 3 5 4" xfId="6352" xr:uid="{8C595D04-48CC-41DC-8E9C-1F8D233A5448}"/>
    <cellStyle name="Eingabe 3 5 5" xfId="6353" xr:uid="{88C1D7B2-100E-46EF-B384-071AFE819DB7}"/>
    <cellStyle name="Eingabe 3 5 6" xfId="6354" xr:uid="{B2318114-B0BB-49EB-B7A1-A8F574D72127}"/>
    <cellStyle name="Eingabe 3 5 7" xfId="6355" xr:uid="{D97544CD-8BE6-43B6-93C5-FB98C328CB82}"/>
    <cellStyle name="Eingabe 3 5 8" xfId="6356" xr:uid="{7A5805B3-604D-4EB7-94A7-16138217A518}"/>
    <cellStyle name="Eingabe 3 5 9" xfId="6357" xr:uid="{545C8327-7EB8-40C8-98BD-68977B2CC4CF}"/>
    <cellStyle name="Eingabe 3 5_2013" xfId="6358" xr:uid="{12A1E4CE-4C82-432F-ADDA-0B41183F4945}"/>
    <cellStyle name="Eingabe 3 6" xfId="6359" xr:uid="{0226B397-C906-4780-95E4-D5908F879172}"/>
    <cellStyle name="Eingabe 3 6 10" xfId="6360" xr:uid="{3983CE87-5086-4CCF-86A4-F52C3A7AE915}"/>
    <cellStyle name="Eingabe 3 6 11" xfId="6361" xr:uid="{EB09376D-161E-4FF6-A123-4289620EC97E}"/>
    <cellStyle name="Eingabe 3 6 12" xfId="6362" xr:uid="{4C5EFB82-27A6-42E9-9F14-F43382E1CC1B}"/>
    <cellStyle name="Eingabe 3 6 13" xfId="6363" xr:uid="{5E0009DA-5267-4111-86B5-91F4277F94EF}"/>
    <cellStyle name="Eingabe 3 6 14" xfId="6364" xr:uid="{32EBB778-22F9-45D1-9DAE-61A9D82574FB}"/>
    <cellStyle name="Eingabe 3 6 15" xfId="6365" xr:uid="{F27ED1E6-12A8-47CC-94D6-62F33F081F3E}"/>
    <cellStyle name="Eingabe 3 6 16" xfId="6366" xr:uid="{272294D0-1797-423D-AEB5-7782FEE495CA}"/>
    <cellStyle name="Eingabe 3 6 17" xfId="6367" xr:uid="{759FC27B-41D5-463B-9A35-E0C635DE32B3}"/>
    <cellStyle name="Eingabe 3 6 18" xfId="6368" xr:uid="{90D1AF2B-70E2-49A3-928C-7EF7773FF918}"/>
    <cellStyle name="Eingabe 3 6 18 2" xfId="6369" xr:uid="{992644F4-BE21-41F7-8B5C-418D2C0FF82B}"/>
    <cellStyle name="Eingabe 3 6 18_2013" xfId="6370" xr:uid="{48549677-566C-4266-B55C-734EDD6EA73B}"/>
    <cellStyle name="Eingabe 3 6 19" xfId="6371" xr:uid="{49E4C4FE-A309-4992-8787-6A18D9FAEC9D}"/>
    <cellStyle name="Eingabe 3 6 2" xfId="6372" xr:uid="{1AD8216C-32C1-48A7-869A-E66944ADE3BF}"/>
    <cellStyle name="Eingabe 3 6 3" xfId="6373" xr:uid="{DA035225-5BAB-4394-8C2D-1F1250BD637B}"/>
    <cellStyle name="Eingabe 3 6 4" xfId="6374" xr:uid="{760D97D8-B4BD-44F3-AFBA-EFC3D69730A8}"/>
    <cellStyle name="Eingabe 3 6 5" xfId="6375" xr:uid="{EF92F435-547B-4AAC-AE23-501573087289}"/>
    <cellStyle name="Eingabe 3 6 6" xfId="6376" xr:uid="{9D63E641-EFB1-42C8-8063-EA38000D8E81}"/>
    <cellStyle name="Eingabe 3 6 7" xfId="6377" xr:uid="{53F11A2A-2408-4DC5-837C-6084E32EFDAB}"/>
    <cellStyle name="Eingabe 3 6 8" xfId="6378" xr:uid="{B68B6ACD-1CBA-4A81-8828-826B31D694CB}"/>
    <cellStyle name="Eingabe 3 6 9" xfId="6379" xr:uid="{005E88FA-4AB1-443C-A42C-C9C12F4285A9}"/>
    <cellStyle name="Eingabe 3 6_2013" xfId="6380" xr:uid="{B6ABFFD1-EE81-4B30-8824-742163726F40}"/>
    <cellStyle name="Eingabe 3 7" xfId="6381" xr:uid="{FD752CAD-F1E9-492F-B7FB-1E6BA4E1B267}"/>
    <cellStyle name="Eingabe 3 8" xfId="6382" xr:uid="{080C8485-93F3-452F-9EF3-BD89A3F33D98}"/>
    <cellStyle name="Eingabe 3 9" xfId="6383" xr:uid="{C8FA915D-F1BF-4CBE-ADE6-4D8F3FD8A6B2}"/>
    <cellStyle name="Eingabe 3_2013" xfId="6384" xr:uid="{C2CCDA56-8137-479D-97C7-50CE72388DAE}"/>
    <cellStyle name="Eingabe 4" xfId="6385" xr:uid="{480816AD-5E36-416B-95A0-F9BCB4342842}"/>
    <cellStyle name="Eingabe 4 10" xfId="6386" xr:uid="{AE414535-F380-49F6-A12B-8F93B3903349}"/>
    <cellStyle name="Eingabe 4 11" xfId="6387" xr:uid="{4CF3F7BC-1152-462A-BED1-CB0F51CC408C}"/>
    <cellStyle name="Eingabe 4 12" xfId="6388" xr:uid="{AC4DA586-33F3-4C66-876E-6FC54A337C92}"/>
    <cellStyle name="Eingabe 4 13" xfId="6389" xr:uid="{D87D52FF-8C95-4513-8058-42943055AE53}"/>
    <cellStyle name="Eingabe 4 14" xfId="6390" xr:uid="{B07A1340-E483-42DB-B80A-C01EE32BAAB9}"/>
    <cellStyle name="Eingabe 4 15" xfId="6391" xr:uid="{1C6DBCAC-EA4E-4CAE-8DBF-ACCE16EBB41D}"/>
    <cellStyle name="Eingabe 4 16" xfId="6392" xr:uid="{B10E9E4F-0E03-4B3E-A275-2085E28BEE2F}"/>
    <cellStyle name="Eingabe 4 17" xfId="6393" xr:uid="{16162E1C-7149-42E7-88BC-9DDC0B7853AD}"/>
    <cellStyle name="Eingabe 4 18" xfId="6394" xr:uid="{1043AA13-4B4A-42F7-95F6-C207E6F531DE}"/>
    <cellStyle name="Eingabe 4 19" xfId="6395" xr:uid="{71E8F971-1576-4096-90E2-09F0474EB974}"/>
    <cellStyle name="Eingabe 4 2" xfId="6396" xr:uid="{9A585A81-D39D-46AA-A26A-0C92CF401E6D}"/>
    <cellStyle name="Eingabe 4 2 10" xfId="6397" xr:uid="{14A13408-8839-4307-942F-F7E6873F737B}"/>
    <cellStyle name="Eingabe 4 2 11" xfId="6398" xr:uid="{D0B1C861-326B-472F-B6F4-C378C945466E}"/>
    <cellStyle name="Eingabe 4 2 12" xfId="6399" xr:uid="{B4938FF1-4736-4CD6-A3F5-301AD4566386}"/>
    <cellStyle name="Eingabe 4 2 13" xfId="6400" xr:uid="{421651E1-9BDC-494B-9DD3-B4B7005E37EC}"/>
    <cellStyle name="Eingabe 4 2 14" xfId="6401" xr:uid="{3A78FB38-ABC0-413D-BD0B-5FF0F6265546}"/>
    <cellStyle name="Eingabe 4 2 15" xfId="6402" xr:uid="{4CFB9569-3FC6-4849-9B17-CF553B4FF638}"/>
    <cellStyle name="Eingabe 4 2 16" xfId="6403" xr:uid="{15B58A14-0E2F-4093-B407-F0EA6CBC4380}"/>
    <cellStyle name="Eingabe 4 2 17" xfId="6404" xr:uid="{C6943194-1C66-4308-9D6E-5BDA4627FE7F}"/>
    <cellStyle name="Eingabe 4 2 18" xfId="6405" xr:uid="{C2555E63-82FD-455E-BCF8-049CE62755F4}"/>
    <cellStyle name="Eingabe 4 2 19" xfId="6406" xr:uid="{E10D42A8-0E1F-405B-A234-BE5286B7A87F}"/>
    <cellStyle name="Eingabe 4 2 19 2" xfId="6407" xr:uid="{1A8435F8-FBAF-42EB-9B9C-F3C551EFFC30}"/>
    <cellStyle name="Eingabe 4 2 19_2013" xfId="6408" xr:uid="{22421952-3019-4170-A0A2-0E7F5F9563C0}"/>
    <cellStyle name="Eingabe 4 2 2" xfId="6409" xr:uid="{448EC16A-DED7-4C28-BA7A-60AF69FDB9D9}"/>
    <cellStyle name="Eingabe 4 2 2 10" xfId="6410" xr:uid="{9F47F7B9-4D1D-4806-B941-3C1780796635}"/>
    <cellStyle name="Eingabe 4 2 2 11" xfId="6411" xr:uid="{64F4D785-7CAB-4B54-BED5-FB65F64AC270}"/>
    <cellStyle name="Eingabe 4 2 2 12" xfId="6412" xr:uid="{CF14E785-3B42-446C-A5F4-08011333FFC2}"/>
    <cellStyle name="Eingabe 4 2 2 13" xfId="6413" xr:uid="{6EE2F843-37BC-40E9-9336-7118FBF5108F}"/>
    <cellStyle name="Eingabe 4 2 2 14" xfId="6414" xr:uid="{E17CE06E-7C10-4D4E-B5D3-6EA8B7727638}"/>
    <cellStyle name="Eingabe 4 2 2 15" xfId="6415" xr:uid="{BCB823E5-877A-4E84-84E8-51F22C89A8F4}"/>
    <cellStyle name="Eingabe 4 2 2 16" xfId="6416" xr:uid="{8463E8C4-9E91-44F5-8667-0ECEC9860C33}"/>
    <cellStyle name="Eingabe 4 2 2 17" xfId="6417" xr:uid="{5E94EA31-2FDC-4B40-BE4E-CB9CCD87AA03}"/>
    <cellStyle name="Eingabe 4 2 2 18" xfId="6418" xr:uid="{A39701C3-F2E5-438F-B697-3BB2B357A23C}"/>
    <cellStyle name="Eingabe 4 2 2 18 2" xfId="6419" xr:uid="{DBC15315-67AE-4968-975C-BC84843E88C1}"/>
    <cellStyle name="Eingabe 4 2 2 18_2013" xfId="6420" xr:uid="{11F44AB8-2CD8-45EC-AE68-B807A40E7731}"/>
    <cellStyle name="Eingabe 4 2 2 19" xfId="6421" xr:uid="{4119C02E-EAEB-43D4-BF4D-B4C1C69ED940}"/>
    <cellStyle name="Eingabe 4 2 2 2" xfId="6422" xr:uid="{EC103645-A192-46F9-9A44-037513377AB6}"/>
    <cellStyle name="Eingabe 4 2 2 3" xfId="6423" xr:uid="{160FF248-A00A-4524-AFC6-91613CF2E6F7}"/>
    <cellStyle name="Eingabe 4 2 2 4" xfId="6424" xr:uid="{0BB1105D-F355-479B-80E4-A65AB938CB3A}"/>
    <cellStyle name="Eingabe 4 2 2 5" xfId="6425" xr:uid="{A92C5404-FA22-46B2-9490-F2669523A7DC}"/>
    <cellStyle name="Eingabe 4 2 2 6" xfId="6426" xr:uid="{BBE110B4-22CC-4FDE-95AD-CDD49F14AFCC}"/>
    <cellStyle name="Eingabe 4 2 2 7" xfId="6427" xr:uid="{94969F97-A1F0-4F57-993B-CC1A9A81C9A0}"/>
    <cellStyle name="Eingabe 4 2 2 8" xfId="6428" xr:uid="{5AA8C1B5-928F-4A24-85FC-6E159104F829}"/>
    <cellStyle name="Eingabe 4 2 2 9" xfId="6429" xr:uid="{F0BED113-AB22-460E-B47A-C96A7C937721}"/>
    <cellStyle name="Eingabe 4 2 2_2013" xfId="6430" xr:uid="{D7A7D42D-503D-4A1A-8CAF-B12900E4BE93}"/>
    <cellStyle name="Eingabe 4 2 20" xfId="6431" xr:uid="{915DAE6C-DE4F-43E7-A0EF-2635E6DEEBD8}"/>
    <cellStyle name="Eingabe 4 2 3" xfId="6432" xr:uid="{8ABB8B46-15A9-49EB-97EA-F9CC4E6F5B2E}"/>
    <cellStyle name="Eingabe 4 2 4" xfId="6433" xr:uid="{DD0255BE-C975-4BAE-B4CC-AB17A2203069}"/>
    <cellStyle name="Eingabe 4 2 5" xfId="6434" xr:uid="{7A85D36E-F99B-4BF6-8967-7EB8400E98EF}"/>
    <cellStyle name="Eingabe 4 2 6" xfId="6435" xr:uid="{32003ABF-EBA5-48DD-A25C-0426C5E582ED}"/>
    <cellStyle name="Eingabe 4 2 7" xfId="6436" xr:uid="{FC76CB6F-8EDF-4ABA-9B9D-75F4F9AF610E}"/>
    <cellStyle name="Eingabe 4 2 8" xfId="6437" xr:uid="{46D3159F-52CF-4704-9F5E-5C3A80C5D503}"/>
    <cellStyle name="Eingabe 4 2 9" xfId="6438" xr:uid="{A7B1ECE9-C756-4BAA-9984-792BC757541E}"/>
    <cellStyle name="Eingabe 4 2_2013" xfId="6439" xr:uid="{A0EDC5F6-3ACB-467E-93A2-B0B5E5FA5F17}"/>
    <cellStyle name="Eingabe 4 20" xfId="6440" xr:uid="{C3238A86-0DBA-42E8-827C-5FFB67859942}"/>
    <cellStyle name="Eingabe 4 21" xfId="6441" xr:uid="{9C629DB5-7F60-43EE-84DC-030F49917FD2}"/>
    <cellStyle name="Eingabe 4 22" xfId="6442" xr:uid="{E58BC479-8486-4F36-8898-105456978F93}"/>
    <cellStyle name="Eingabe 4 22 2" xfId="6443" xr:uid="{2C0092D3-AC80-4D1C-8D09-4C48E2476BEE}"/>
    <cellStyle name="Eingabe 4 22_2013" xfId="6444" xr:uid="{6526BBAC-86CC-4709-B5A4-D7AE7411D906}"/>
    <cellStyle name="Eingabe 4 23" xfId="6445" xr:uid="{1F26AC88-A7F4-49CB-B441-B620A95BC31D}"/>
    <cellStyle name="Eingabe 4 3" xfId="6446" xr:uid="{D6D6BDEA-80BD-4643-8185-8E6EF2FCFAB1}"/>
    <cellStyle name="Eingabe 4 3 10" xfId="6447" xr:uid="{E9F3F00E-7066-4042-9889-4F5C9072968A}"/>
    <cellStyle name="Eingabe 4 3 11" xfId="6448" xr:uid="{7CBD9098-2245-4778-AE8E-CFC568F6040B}"/>
    <cellStyle name="Eingabe 4 3 12" xfId="6449" xr:uid="{2D5043D7-42A0-4A15-ABC4-EDC86D012B02}"/>
    <cellStyle name="Eingabe 4 3 13" xfId="6450" xr:uid="{090E0EFE-8EFC-4766-9FD9-C68076A1431B}"/>
    <cellStyle name="Eingabe 4 3 14" xfId="6451" xr:uid="{3D2AFAFF-655D-4643-BBA7-70695972CEF6}"/>
    <cellStyle name="Eingabe 4 3 15" xfId="6452" xr:uid="{88B20EC3-2E02-4AD2-B975-9445F08E6B15}"/>
    <cellStyle name="Eingabe 4 3 16" xfId="6453" xr:uid="{DDC69ECE-67EC-4A67-BC2C-5825C5C92F03}"/>
    <cellStyle name="Eingabe 4 3 17" xfId="6454" xr:uid="{56C872C0-C633-4933-BCF0-F03F77EE9D82}"/>
    <cellStyle name="Eingabe 4 3 18" xfId="6455" xr:uid="{F5036D5F-BD69-46FD-BE59-F186CB16F6C4}"/>
    <cellStyle name="Eingabe 4 3 19" xfId="6456" xr:uid="{415F640E-D22E-4B67-8841-064B3B91FBFC}"/>
    <cellStyle name="Eingabe 4 3 19 2" xfId="6457" xr:uid="{DD9892EF-D140-40D8-B0E9-331F343BE68D}"/>
    <cellStyle name="Eingabe 4 3 19_2013" xfId="6458" xr:uid="{CAE5089C-231C-4B71-9174-9785C7A50982}"/>
    <cellStyle name="Eingabe 4 3 2" xfId="6459" xr:uid="{DB2F3CC7-6EF0-483D-9D74-4483CE0C838E}"/>
    <cellStyle name="Eingabe 4 3 2 10" xfId="6460" xr:uid="{0E6833C7-BB2B-404D-9306-D05F2D8D3460}"/>
    <cellStyle name="Eingabe 4 3 2 11" xfId="6461" xr:uid="{74F71F72-BC46-4AEB-9E08-FC9DB6CD8F4B}"/>
    <cellStyle name="Eingabe 4 3 2 12" xfId="6462" xr:uid="{24308493-551F-4C82-BF69-E5C97126DD0A}"/>
    <cellStyle name="Eingabe 4 3 2 13" xfId="6463" xr:uid="{31C67452-B812-4D20-BDED-84FC9A6A83AD}"/>
    <cellStyle name="Eingabe 4 3 2 14" xfId="6464" xr:uid="{B98BEC12-7B6E-4781-AD0A-8A12B318ADAC}"/>
    <cellStyle name="Eingabe 4 3 2 15" xfId="6465" xr:uid="{7CB806D0-03BA-4247-94D6-7453FC8A0584}"/>
    <cellStyle name="Eingabe 4 3 2 16" xfId="6466" xr:uid="{8A211187-D203-4DC1-AA91-5E3EA4B8A81C}"/>
    <cellStyle name="Eingabe 4 3 2 17" xfId="6467" xr:uid="{458C33C5-B150-40CA-91CA-B0D9B633F309}"/>
    <cellStyle name="Eingabe 4 3 2 18" xfId="6468" xr:uid="{ADA837DF-6451-4B7B-AE83-9F6E61ACEDD4}"/>
    <cellStyle name="Eingabe 4 3 2 18 2" xfId="6469" xr:uid="{121A4FB1-F559-42F8-8751-8906493361A5}"/>
    <cellStyle name="Eingabe 4 3 2 18_2013" xfId="6470" xr:uid="{2E98CCEA-C743-4D60-AAE6-47297AB99C13}"/>
    <cellStyle name="Eingabe 4 3 2 19" xfId="6471" xr:uid="{1AF790E1-5AA4-4D61-B325-490D9A236DAA}"/>
    <cellStyle name="Eingabe 4 3 2 2" xfId="6472" xr:uid="{030F2E66-C094-4077-8B37-230A00232D5B}"/>
    <cellStyle name="Eingabe 4 3 2 3" xfId="6473" xr:uid="{6109DA60-F159-45B5-A6A1-454039E759CC}"/>
    <cellStyle name="Eingabe 4 3 2 4" xfId="6474" xr:uid="{53F9CBE9-FF27-4DC7-9AAC-4AC324F07EDA}"/>
    <cellStyle name="Eingabe 4 3 2 5" xfId="6475" xr:uid="{72856ED0-DD89-4183-A61F-B2C574DD0B8E}"/>
    <cellStyle name="Eingabe 4 3 2 6" xfId="6476" xr:uid="{D1032B30-4ACA-44E0-B3B0-818861C0F0E8}"/>
    <cellStyle name="Eingabe 4 3 2 7" xfId="6477" xr:uid="{FF762B06-0776-4871-8679-227F5678C87D}"/>
    <cellStyle name="Eingabe 4 3 2 8" xfId="6478" xr:uid="{7774FA45-AF4A-405C-8FAE-25C9E9251B79}"/>
    <cellStyle name="Eingabe 4 3 2 9" xfId="6479" xr:uid="{57DE58C1-593F-4BA7-BB10-59A9FB68B699}"/>
    <cellStyle name="Eingabe 4 3 2_2013" xfId="6480" xr:uid="{F9261A27-0A6D-4F28-B891-64B7CF8D5E64}"/>
    <cellStyle name="Eingabe 4 3 20" xfId="6481" xr:uid="{9FA5DDD4-6246-4B8A-9ED7-799BEEC9D178}"/>
    <cellStyle name="Eingabe 4 3 3" xfId="6482" xr:uid="{DE8618DB-457D-41F7-81D3-B4D0E788CF71}"/>
    <cellStyle name="Eingabe 4 3 4" xfId="6483" xr:uid="{F37617DB-A20F-4FA2-A10F-006CC18A7249}"/>
    <cellStyle name="Eingabe 4 3 5" xfId="6484" xr:uid="{EE074400-5F12-4A3C-A66C-B6E1B33DE62A}"/>
    <cellStyle name="Eingabe 4 3 6" xfId="6485" xr:uid="{A9116D83-30AD-42EF-A786-AAD44A48068B}"/>
    <cellStyle name="Eingabe 4 3 7" xfId="6486" xr:uid="{72A14DF0-D7AC-4F14-9659-72B5C614B2DD}"/>
    <cellStyle name="Eingabe 4 3 8" xfId="6487" xr:uid="{F9AD9850-70F3-425D-86D3-AB1CAE1E6626}"/>
    <cellStyle name="Eingabe 4 3 9" xfId="6488" xr:uid="{347604E9-732C-43BF-B5F1-AD1412A788AB}"/>
    <cellStyle name="Eingabe 4 3_2013" xfId="6489" xr:uid="{F6ED0981-6612-441C-B40F-1278547F8E5C}"/>
    <cellStyle name="Eingabe 4 4" xfId="6490" xr:uid="{4621B788-3832-49D1-BD53-ED849C31EC92}"/>
    <cellStyle name="Eingabe 4 4 10" xfId="6491" xr:uid="{64E79D40-01D6-4EAE-AAD8-7F7A1C44FF4C}"/>
    <cellStyle name="Eingabe 4 4 11" xfId="6492" xr:uid="{F62578C7-CB21-4A6F-BD91-D1BED3CE9207}"/>
    <cellStyle name="Eingabe 4 4 12" xfId="6493" xr:uid="{16CCCD1F-A547-4A10-A3C5-8A616581040C}"/>
    <cellStyle name="Eingabe 4 4 13" xfId="6494" xr:uid="{B732D060-D833-43D5-8E16-8D4FF672C373}"/>
    <cellStyle name="Eingabe 4 4 14" xfId="6495" xr:uid="{12249875-5EFD-42CD-AA02-B145F9CFBC36}"/>
    <cellStyle name="Eingabe 4 4 15" xfId="6496" xr:uid="{79978D4D-5FB5-4AFE-B6F9-1ACFDF2D6A87}"/>
    <cellStyle name="Eingabe 4 4 16" xfId="6497" xr:uid="{3FFE2359-C594-4ACE-A00A-81F165D1FE99}"/>
    <cellStyle name="Eingabe 4 4 17" xfId="6498" xr:uid="{2FFA52DE-9A28-406E-9FE4-BFCB8ECBA3AF}"/>
    <cellStyle name="Eingabe 4 4 18" xfId="6499" xr:uid="{297B187F-EBFE-4A7F-A55B-80B5E65A3C4B}"/>
    <cellStyle name="Eingabe 4 4 19" xfId="6500" xr:uid="{49FF85EA-3EFA-464D-A131-EE6969D4AA16}"/>
    <cellStyle name="Eingabe 4 4 19 2" xfId="6501" xr:uid="{21E3B2CE-EFB6-40BE-BC0A-643305AEBB60}"/>
    <cellStyle name="Eingabe 4 4 19_2013" xfId="6502" xr:uid="{B845EA31-3483-4A4C-9C6F-F1711780948A}"/>
    <cellStyle name="Eingabe 4 4 2" xfId="6503" xr:uid="{BFC72725-C992-4920-B3ED-6D19058FA9A7}"/>
    <cellStyle name="Eingabe 4 4 2 10" xfId="6504" xr:uid="{92D08F46-9682-4A9D-B32B-7CAFE2FCD9CE}"/>
    <cellStyle name="Eingabe 4 4 2 11" xfId="6505" xr:uid="{14CDFE61-39DE-4EC1-9DE9-246CC978472C}"/>
    <cellStyle name="Eingabe 4 4 2 12" xfId="6506" xr:uid="{31490731-A49E-46D8-B975-943974ABF32E}"/>
    <cellStyle name="Eingabe 4 4 2 13" xfId="6507" xr:uid="{86BA8E92-6A15-4F5A-88C8-2482D7C0FDCF}"/>
    <cellStyle name="Eingabe 4 4 2 14" xfId="6508" xr:uid="{3848F78A-F8BE-408B-AFF0-AAD530452205}"/>
    <cellStyle name="Eingabe 4 4 2 15" xfId="6509" xr:uid="{5D853428-26B3-4453-8741-24E8D9728576}"/>
    <cellStyle name="Eingabe 4 4 2 16" xfId="6510" xr:uid="{493BF6F5-1D06-45E2-B40E-A8FD9AAEF0AD}"/>
    <cellStyle name="Eingabe 4 4 2 17" xfId="6511" xr:uid="{8AE13229-4A7F-4F7D-AABF-51DA25C172F8}"/>
    <cellStyle name="Eingabe 4 4 2 18" xfId="6512" xr:uid="{DA1A5685-DF45-45F3-9AB9-C247804DA383}"/>
    <cellStyle name="Eingabe 4 4 2 18 2" xfId="6513" xr:uid="{F44476DA-67E1-47D0-B2D8-35FA4BED6FA9}"/>
    <cellStyle name="Eingabe 4 4 2 18_2013" xfId="6514" xr:uid="{D7FF83AB-2385-405D-8F80-1140F101C818}"/>
    <cellStyle name="Eingabe 4 4 2 19" xfId="6515" xr:uid="{436B6BC3-3BAF-4DB3-86E7-D74392E0CAD8}"/>
    <cellStyle name="Eingabe 4 4 2 2" xfId="6516" xr:uid="{7B0DAE77-A859-4E83-97AD-1C696FBE5776}"/>
    <cellStyle name="Eingabe 4 4 2 3" xfId="6517" xr:uid="{27BD24FB-62E7-4D70-9169-EDDDE2685065}"/>
    <cellStyle name="Eingabe 4 4 2 4" xfId="6518" xr:uid="{54F90E77-48BD-402F-BCA1-D5C89DEE8D2A}"/>
    <cellStyle name="Eingabe 4 4 2 5" xfId="6519" xr:uid="{294DB53E-77A3-405B-90BD-B8DAF2B74B1C}"/>
    <cellStyle name="Eingabe 4 4 2 6" xfId="6520" xr:uid="{2D5D238C-1425-4752-AD42-87E78F9DA3EA}"/>
    <cellStyle name="Eingabe 4 4 2 7" xfId="6521" xr:uid="{3A8EF8B8-D847-4EF2-9843-0ABB6964179E}"/>
    <cellStyle name="Eingabe 4 4 2 8" xfId="6522" xr:uid="{0B5B46A4-E71B-4119-A957-EED9AF6121D3}"/>
    <cellStyle name="Eingabe 4 4 2 9" xfId="6523" xr:uid="{89E56D39-A3E3-4852-9C99-C1865C01062B}"/>
    <cellStyle name="Eingabe 4 4 2_2013" xfId="6524" xr:uid="{4767C40C-035D-45AD-87C0-663A2DCBB3C3}"/>
    <cellStyle name="Eingabe 4 4 20" xfId="6525" xr:uid="{A3296750-BECD-4572-B164-CD9DB68292EC}"/>
    <cellStyle name="Eingabe 4 4 3" xfId="6526" xr:uid="{EA20AA83-6260-4167-9A7C-02317635CC73}"/>
    <cellStyle name="Eingabe 4 4 4" xfId="6527" xr:uid="{796DA099-B035-406C-8C67-A8A232CA5089}"/>
    <cellStyle name="Eingabe 4 4 5" xfId="6528" xr:uid="{63D85D25-62B6-4789-9BBE-B461BCD7E5AA}"/>
    <cellStyle name="Eingabe 4 4 6" xfId="6529" xr:uid="{DA9D4E6C-00F3-4B67-9696-ED25CB751980}"/>
    <cellStyle name="Eingabe 4 4 7" xfId="6530" xr:uid="{CF43C8B7-791B-407D-AA69-B983957525F7}"/>
    <cellStyle name="Eingabe 4 4 8" xfId="6531" xr:uid="{48ABBA4C-1D9C-45CC-83E3-631243C4F559}"/>
    <cellStyle name="Eingabe 4 4 9" xfId="6532" xr:uid="{5A1BF6C6-7CA1-40CF-BF99-F53C5020C219}"/>
    <cellStyle name="Eingabe 4 4_2013" xfId="6533" xr:uid="{21EE3C86-0135-48EF-91EF-78482D9F88D3}"/>
    <cellStyle name="Eingabe 4 5" xfId="6534" xr:uid="{E5CC26A4-D327-479F-9DD6-742D89BF4BB6}"/>
    <cellStyle name="Eingabe 4 5 10" xfId="6535" xr:uid="{77E853EC-1D96-41B3-8235-274D5CB37F53}"/>
    <cellStyle name="Eingabe 4 5 11" xfId="6536" xr:uid="{8C7585E0-91D0-4E09-B872-0162AAEA98F6}"/>
    <cellStyle name="Eingabe 4 5 12" xfId="6537" xr:uid="{B508A51E-6704-405C-A41B-AF1D008F03B0}"/>
    <cellStyle name="Eingabe 4 5 13" xfId="6538" xr:uid="{1FEAC6C1-91CE-48A3-BE58-6C1A74BF6DD0}"/>
    <cellStyle name="Eingabe 4 5 14" xfId="6539" xr:uid="{B8F0C883-3903-44F9-AA5E-C0DCC3A84BFD}"/>
    <cellStyle name="Eingabe 4 5 15" xfId="6540" xr:uid="{8DB6F9C0-32A1-4066-9B47-2D5D75DA850E}"/>
    <cellStyle name="Eingabe 4 5 16" xfId="6541" xr:uid="{B8B5D263-2434-441C-97DC-616811D05B0C}"/>
    <cellStyle name="Eingabe 4 5 17" xfId="6542" xr:uid="{7EEF9D5F-18D3-4D15-B06B-A6553CDD4CE4}"/>
    <cellStyle name="Eingabe 4 5 18" xfId="6543" xr:uid="{9CAA37CF-10F3-49AC-87DE-7B8AC791B4DA}"/>
    <cellStyle name="Eingabe 4 5 18 2" xfId="6544" xr:uid="{C6BCEBEB-63E9-47B2-8350-266B0FFA4E27}"/>
    <cellStyle name="Eingabe 4 5 18_2013" xfId="6545" xr:uid="{2FB920C0-5869-44A1-A5C1-D6A27F4F41BD}"/>
    <cellStyle name="Eingabe 4 5 19" xfId="6546" xr:uid="{194E70C3-A545-429E-BC83-8139DF7CB421}"/>
    <cellStyle name="Eingabe 4 5 2" xfId="6547" xr:uid="{CD1ABCA9-B910-43EB-BDC7-B90DDC56EAA7}"/>
    <cellStyle name="Eingabe 4 5 3" xfId="6548" xr:uid="{7BFA75A8-B0D0-4182-8756-97F2288A48F6}"/>
    <cellStyle name="Eingabe 4 5 4" xfId="6549" xr:uid="{C6DBAEFE-938D-4582-A254-7AB01954C128}"/>
    <cellStyle name="Eingabe 4 5 5" xfId="6550" xr:uid="{FCD09D67-9E79-4552-B218-2B95FBB809D6}"/>
    <cellStyle name="Eingabe 4 5 6" xfId="6551" xr:uid="{B714ECD7-79C2-4F9A-86E6-C4BD20B08A94}"/>
    <cellStyle name="Eingabe 4 5 7" xfId="6552" xr:uid="{C3E31663-EB28-4CF3-B330-EA96F2D0B8FF}"/>
    <cellStyle name="Eingabe 4 5 8" xfId="6553" xr:uid="{62205AF7-4F31-4497-9A4A-A96C18278D2A}"/>
    <cellStyle name="Eingabe 4 5 9" xfId="6554" xr:uid="{97BD4BC4-B526-4F6A-9069-179A5743D770}"/>
    <cellStyle name="Eingabe 4 5_2013" xfId="6555" xr:uid="{B098F628-6AF8-4DEA-90E8-221784215327}"/>
    <cellStyle name="Eingabe 4 6" xfId="6556" xr:uid="{F632404E-62B9-4729-B9B7-828509B0929C}"/>
    <cellStyle name="Eingabe 4 7" xfId="6557" xr:uid="{5F624930-8A4E-4517-AC7E-71D2CFE0224D}"/>
    <cellStyle name="Eingabe 4 8" xfId="6558" xr:uid="{32DED035-7E24-418D-A8CE-C0D1BBED2520}"/>
    <cellStyle name="Eingabe 4 9" xfId="6559" xr:uid="{CC024764-6687-477B-9BB0-EBE4DA7A25A8}"/>
    <cellStyle name="Eingabe 4_2013" xfId="6560" xr:uid="{1FBAB007-FCDC-4E68-B49E-63CE9F40A355}"/>
    <cellStyle name="Eingabe 5" xfId="6561" xr:uid="{92B5D428-7C48-4BEA-90A3-EEC37564C01B}"/>
    <cellStyle name="Eingabe 5 10" xfId="6562" xr:uid="{56B34765-C8D1-413E-980C-55270F249CC9}"/>
    <cellStyle name="Eingabe 5 11" xfId="6563" xr:uid="{F764090F-3E6D-409D-94CA-D9D364E97358}"/>
    <cellStyle name="Eingabe 5 12" xfId="6564" xr:uid="{9EFEBB14-D872-42F9-B5C7-D2272F074348}"/>
    <cellStyle name="Eingabe 5 13" xfId="6565" xr:uid="{BCEC5ED3-5655-49CE-ADCA-14567A5CD287}"/>
    <cellStyle name="Eingabe 5 14" xfId="6566" xr:uid="{C6F9E32A-CB9B-4770-A810-72D47F9B00E3}"/>
    <cellStyle name="Eingabe 5 15" xfId="6567" xr:uid="{AF9FC9B5-1B3F-4901-AD7D-DFE0AE722F3A}"/>
    <cellStyle name="Eingabe 5 16" xfId="6568" xr:uid="{DA957F92-0280-474F-9B48-3BC73051DE5C}"/>
    <cellStyle name="Eingabe 5 17" xfId="6569" xr:uid="{1D0CB1CA-0FD2-4291-9649-5B002B0119B8}"/>
    <cellStyle name="Eingabe 5 18" xfId="6570" xr:uid="{DBA7DEB3-5C44-4305-998C-00BF573AF746}"/>
    <cellStyle name="Eingabe 5 19" xfId="6571" xr:uid="{CD9F88C4-5981-4F3C-A44F-9F34B94CB0A7}"/>
    <cellStyle name="Eingabe 5 19 2" xfId="6572" xr:uid="{EF065726-7943-44D1-8D46-74033DF3FC2D}"/>
    <cellStyle name="Eingabe 5 19_2013" xfId="6573" xr:uid="{950574C6-224D-4E77-B61F-134E07E3BF21}"/>
    <cellStyle name="Eingabe 5 2" xfId="6574" xr:uid="{823A67A8-C6DF-48F1-92C2-295BFD7AD6F3}"/>
    <cellStyle name="Eingabe 5 2 10" xfId="6575" xr:uid="{7FFE0CFB-F352-4397-87DF-410713FBDC40}"/>
    <cellStyle name="Eingabe 5 2 11" xfId="6576" xr:uid="{63C37868-DBE8-4E31-ACC8-1AACF7573CED}"/>
    <cellStyle name="Eingabe 5 2 12" xfId="6577" xr:uid="{9DC5E590-63E9-4E06-B5C3-B0308C2B4F53}"/>
    <cellStyle name="Eingabe 5 2 13" xfId="6578" xr:uid="{72631390-6C07-48EF-9FEB-08CAB98EC549}"/>
    <cellStyle name="Eingabe 5 2 14" xfId="6579" xr:uid="{DADFC2F4-005E-4E3F-A6B4-B1F42CB1F083}"/>
    <cellStyle name="Eingabe 5 2 15" xfId="6580" xr:uid="{856FD824-0769-4E3C-8B91-65E19F4F63EF}"/>
    <cellStyle name="Eingabe 5 2 16" xfId="6581" xr:uid="{E0DAA3A4-DDB2-4CAA-89A4-CD97EAF7D6D3}"/>
    <cellStyle name="Eingabe 5 2 17" xfId="6582" xr:uid="{3AF9C253-BA80-43E4-920A-FB1E252FFF1D}"/>
    <cellStyle name="Eingabe 5 2 18" xfId="6583" xr:uid="{DA76AB0E-9705-4224-9187-A465B5B5A9BB}"/>
    <cellStyle name="Eingabe 5 2 18 2" xfId="6584" xr:uid="{79A94FE5-3E93-431A-8945-F4218AB1B65E}"/>
    <cellStyle name="Eingabe 5 2 18_2013" xfId="6585" xr:uid="{AA722B95-2FA9-49A9-94AC-6E658DF01D85}"/>
    <cellStyle name="Eingabe 5 2 19" xfId="6586" xr:uid="{8F6EA999-1490-43BF-95C4-CC4D3394E7AE}"/>
    <cellStyle name="Eingabe 5 2 2" xfId="6587" xr:uid="{8FCC14F3-4EB8-42D6-9ABD-2C0CA0FD7760}"/>
    <cellStyle name="Eingabe 5 2 3" xfId="6588" xr:uid="{68DCAE3C-5F92-4538-AB1E-BD2380AC372A}"/>
    <cellStyle name="Eingabe 5 2 4" xfId="6589" xr:uid="{6802B5BF-ECD0-47AD-9EC6-182D61040453}"/>
    <cellStyle name="Eingabe 5 2 5" xfId="6590" xr:uid="{DF46BC0A-97FA-4123-A2D3-0CA9E725F1D4}"/>
    <cellStyle name="Eingabe 5 2 6" xfId="6591" xr:uid="{DEA8B66D-3FB4-4FB6-BD03-5F964A1A9E1B}"/>
    <cellStyle name="Eingabe 5 2 7" xfId="6592" xr:uid="{A0D34205-9280-433B-8544-255098AE6553}"/>
    <cellStyle name="Eingabe 5 2 8" xfId="6593" xr:uid="{991F01D9-E162-45F6-9029-AE313D7B841E}"/>
    <cellStyle name="Eingabe 5 2 9" xfId="6594" xr:uid="{C8C79108-FA32-48F8-801F-7FEDF4C0D790}"/>
    <cellStyle name="Eingabe 5 2_2013" xfId="6595" xr:uid="{1AE2CC77-67B5-4973-9E8F-0B9DBFB7EEDE}"/>
    <cellStyle name="Eingabe 5 20" xfId="6596" xr:uid="{5CD62E8A-6A76-48A1-B906-C66FFA4805DD}"/>
    <cellStyle name="Eingabe 5 3" xfId="6597" xr:uid="{74B9ED6F-3CEF-4AE6-B868-C051D728DFAD}"/>
    <cellStyle name="Eingabe 5 4" xfId="6598" xr:uid="{6C295A85-95D9-45AD-AC68-F79059134117}"/>
    <cellStyle name="Eingabe 5 5" xfId="6599" xr:uid="{C3BE96DD-4B1A-499F-B41B-A05713B57C77}"/>
    <cellStyle name="Eingabe 5 6" xfId="6600" xr:uid="{5BA5B495-10EB-45DC-9EA5-2E0D25B6BC98}"/>
    <cellStyle name="Eingabe 5 7" xfId="6601" xr:uid="{682CA545-ABF1-4516-ABE3-FACA5808EC44}"/>
    <cellStyle name="Eingabe 5 8" xfId="6602" xr:uid="{73A9813E-430A-4CCF-9589-21E691B95394}"/>
    <cellStyle name="Eingabe 5 9" xfId="6603" xr:uid="{B0C1302E-7B3F-439E-BF06-2879A18DDBCE}"/>
    <cellStyle name="Eingabe 5_2013" xfId="6604" xr:uid="{2A0D2F81-9D23-4C34-8C78-89356C73F07B}"/>
    <cellStyle name="Eingabe 6" xfId="6605" xr:uid="{019C5FE6-4A9F-4306-A145-1EEB355D92DE}"/>
    <cellStyle name="Eingabe 6 10" xfId="6606" xr:uid="{75E51A6A-7EA1-4C68-88A6-7924B6A34349}"/>
    <cellStyle name="Eingabe 6 11" xfId="6607" xr:uid="{4A4FECE0-0F2D-4C48-B2F7-CC0D6BC17257}"/>
    <cellStyle name="Eingabe 6 12" xfId="6608" xr:uid="{DED1F51B-4203-4B7A-9CF2-9969B2A4AF66}"/>
    <cellStyle name="Eingabe 6 13" xfId="6609" xr:uid="{3E3DEE86-B8BD-4840-AA05-8992EC9B8B70}"/>
    <cellStyle name="Eingabe 6 14" xfId="6610" xr:uid="{A5979DBD-FB72-4EF0-AE69-E973E7E1AAB5}"/>
    <cellStyle name="Eingabe 6 15" xfId="6611" xr:uid="{D61823F9-B717-48D8-9F9C-E76D601F2A4B}"/>
    <cellStyle name="Eingabe 6 16" xfId="6612" xr:uid="{8F414C6B-C74C-4CE0-A69F-48AF7D67A3EA}"/>
    <cellStyle name="Eingabe 6 17" xfId="6613" xr:uid="{441EC966-035B-4E17-8AD9-0237AE5A9C6B}"/>
    <cellStyle name="Eingabe 6 18" xfId="6614" xr:uid="{52A465B4-FD27-4DEE-853B-D9E0C6CBCCB3}"/>
    <cellStyle name="Eingabe 6 19" xfId="6615" xr:uid="{0D40FDF6-31E1-4915-A6A4-4396184593E9}"/>
    <cellStyle name="Eingabe 6 19 2" xfId="6616" xr:uid="{CB6C002D-CDE8-4E31-8C53-7F9D62173B25}"/>
    <cellStyle name="Eingabe 6 19_2013" xfId="6617" xr:uid="{15065055-C4F8-4F83-A518-496A6FBC4BEB}"/>
    <cellStyle name="Eingabe 6 2" xfId="6618" xr:uid="{8E8BE7F5-8508-44AA-8921-CCF222A07957}"/>
    <cellStyle name="Eingabe 6 2 10" xfId="6619" xr:uid="{E80C7EB5-0E56-48C2-9056-3360F443C234}"/>
    <cellStyle name="Eingabe 6 2 11" xfId="6620" xr:uid="{40A01160-ADC6-42E6-8F2E-034F3659A2CC}"/>
    <cellStyle name="Eingabe 6 2 12" xfId="6621" xr:uid="{F6432B21-D22A-447E-B362-CBFCB918A52E}"/>
    <cellStyle name="Eingabe 6 2 13" xfId="6622" xr:uid="{E0513481-8C10-4CB8-B18C-5D5F0BD8612A}"/>
    <cellStyle name="Eingabe 6 2 14" xfId="6623" xr:uid="{A8690CBF-206E-4870-ACEE-3BD3985FA531}"/>
    <cellStyle name="Eingabe 6 2 15" xfId="6624" xr:uid="{E571744C-71AF-4036-816E-64B7C89A1EBA}"/>
    <cellStyle name="Eingabe 6 2 16" xfId="6625" xr:uid="{9D9FA9B6-3533-42DE-A856-FFE752D4EDAA}"/>
    <cellStyle name="Eingabe 6 2 17" xfId="6626" xr:uid="{061EBA76-D9E5-40D7-9711-792585201647}"/>
    <cellStyle name="Eingabe 6 2 18" xfId="6627" xr:uid="{8133F57D-C25D-48A7-96CB-5958C90DCE9F}"/>
    <cellStyle name="Eingabe 6 2 18 2" xfId="6628" xr:uid="{91103A0F-7B3E-421C-A5A5-9F639B37BD1B}"/>
    <cellStyle name="Eingabe 6 2 18_2013" xfId="6629" xr:uid="{3DA390F3-E49E-4189-AAD6-2B2DAAA99CB8}"/>
    <cellStyle name="Eingabe 6 2 19" xfId="6630" xr:uid="{73D6EE91-6561-4AE7-B738-FED2013BBC94}"/>
    <cellStyle name="Eingabe 6 2 2" xfId="6631" xr:uid="{4996872C-97CA-479D-A50C-A5789B66B5D9}"/>
    <cellStyle name="Eingabe 6 2 3" xfId="6632" xr:uid="{0E9C24C4-CAFB-4FA7-9F6A-C9FEB682E80E}"/>
    <cellStyle name="Eingabe 6 2 4" xfId="6633" xr:uid="{BA510A24-2B6F-4E4E-BC4F-3F2AE1B7F2E8}"/>
    <cellStyle name="Eingabe 6 2 5" xfId="6634" xr:uid="{E00A9828-171C-49A9-9C70-0829368B4603}"/>
    <cellStyle name="Eingabe 6 2 6" xfId="6635" xr:uid="{F4792567-33C7-4EB3-828F-CCFF0927044A}"/>
    <cellStyle name="Eingabe 6 2 7" xfId="6636" xr:uid="{7CFD2180-BA00-4A76-946C-65D872D00B03}"/>
    <cellStyle name="Eingabe 6 2 8" xfId="6637" xr:uid="{A82116D1-969B-44E4-AE83-6B47000E27F3}"/>
    <cellStyle name="Eingabe 6 2 9" xfId="6638" xr:uid="{E605AD4D-97CB-4FE6-8204-85E62E11EF61}"/>
    <cellStyle name="Eingabe 6 2_2013" xfId="6639" xr:uid="{A98BB28B-2C73-4C5A-B45E-C2AE3438D146}"/>
    <cellStyle name="Eingabe 6 20" xfId="6640" xr:uid="{BE18A2F2-16C6-4AB8-AE74-0B4843D69E44}"/>
    <cellStyle name="Eingabe 6 3" xfId="6641" xr:uid="{430616D5-D02C-4C38-8642-AE80AF80FD99}"/>
    <cellStyle name="Eingabe 6 4" xfId="6642" xr:uid="{89583BDB-FBF5-4A1D-A234-A94EF1193815}"/>
    <cellStyle name="Eingabe 6 5" xfId="6643" xr:uid="{5CA31AAE-A095-45ED-8A11-DC8F91A324D9}"/>
    <cellStyle name="Eingabe 6 6" xfId="6644" xr:uid="{EADC8B3D-B505-43A1-A508-1229A73E8AC7}"/>
    <cellStyle name="Eingabe 6 7" xfId="6645" xr:uid="{5DBE2449-9422-40BA-B0B3-72DF7E168031}"/>
    <cellStyle name="Eingabe 6 8" xfId="6646" xr:uid="{3CD76BA3-F879-40B6-9D0D-A49736BEFB2E}"/>
    <cellStyle name="Eingabe 6 9" xfId="6647" xr:uid="{8C9EF565-4C10-40EC-96F2-45B202EE64C3}"/>
    <cellStyle name="Eingabe 6_2013" xfId="6648" xr:uid="{3DF7814E-4C31-4B0B-9847-0DF22FE982E7}"/>
    <cellStyle name="Eingabe 7" xfId="6649" xr:uid="{9368295F-D7CC-4635-85FE-EEEBD7FC0BC4}"/>
    <cellStyle name="Eingabe 7 10" xfId="6650" xr:uid="{4EF4F509-3DD6-4319-B1DF-2191D7710201}"/>
    <cellStyle name="Eingabe 7 11" xfId="6651" xr:uid="{3DD14246-3410-49AE-A576-923677327570}"/>
    <cellStyle name="Eingabe 7 12" xfId="6652" xr:uid="{DDA2FFF2-08B7-421A-8600-96AC71CAB05F}"/>
    <cellStyle name="Eingabe 7 13" xfId="6653" xr:uid="{6A660321-2DD0-4B2F-99ED-BC6D14231729}"/>
    <cellStyle name="Eingabe 7 14" xfId="6654" xr:uid="{E8D74D60-E6DC-40AA-BB04-944F453916D5}"/>
    <cellStyle name="Eingabe 7 15" xfId="6655" xr:uid="{47CD31B3-9F68-48B9-8E5B-15F0DCBB235D}"/>
    <cellStyle name="Eingabe 7 16" xfId="6656" xr:uid="{87992911-3EF3-447E-914A-C7CEB335B701}"/>
    <cellStyle name="Eingabe 7 17" xfId="6657" xr:uid="{0E681A62-0D2B-48EA-B6C3-4367087065CA}"/>
    <cellStyle name="Eingabe 7 18" xfId="6658" xr:uid="{18738849-51F0-454F-A35A-3DF7C2513ADC}"/>
    <cellStyle name="Eingabe 7 19" xfId="6659" xr:uid="{3AE881D3-72B9-491F-A5B5-915CB88C1E8E}"/>
    <cellStyle name="Eingabe 7 19 2" xfId="6660" xr:uid="{606AFF4B-AF9D-49F4-9C04-2A0D3690A293}"/>
    <cellStyle name="Eingabe 7 19_2013" xfId="6661" xr:uid="{5ABD49E6-F20C-4DEC-9945-7A288AEC6040}"/>
    <cellStyle name="Eingabe 7 2" xfId="6662" xr:uid="{D6E8F39B-E416-4322-92A0-614AB4D689D0}"/>
    <cellStyle name="Eingabe 7 2 10" xfId="6663" xr:uid="{01DCE3FA-C93C-4C9E-B544-D7C76F381FCE}"/>
    <cellStyle name="Eingabe 7 2 11" xfId="6664" xr:uid="{CA9239B3-13B0-4D8A-93E8-59DF4C495E67}"/>
    <cellStyle name="Eingabe 7 2 12" xfId="6665" xr:uid="{92BD0B60-E60F-48AD-8934-E8864EB9AA5D}"/>
    <cellStyle name="Eingabe 7 2 13" xfId="6666" xr:uid="{1E00A0AF-BB1C-4502-8F3E-ECB18BF405EE}"/>
    <cellStyle name="Eingabe 7 2 14" xfId="6667" xr:uid="{6B0E3500-DEA8-435B-BD61-6464C6317650}"/>
    <cellStyle name="Eingabe 7 2 15" xfId="6668" xr:uid="{AD972C73-236D-4931-83AD-5CF133ABF194}"/>
    <cellStyle name="Eingabe 7 2 16" xfId="6669" xr:uid="{7BA88411-C2D9-4929-9B82-18885BAAA0B1}"/>
    <cellStyle name="Eingabe 7 2 17" xfId="6670" xr:uid="{3B32A966-CB0C-48A4-958D-83045463BA1E}"/>
    <cellStyle name="Eingabe 7 2 18" xfId="6671" xr:uid="{5EEBBC28-FF62-4B23-A217-41FF60900717}"/>
    <cellStyle name="Eingabe 7 2 18 2" xfId="6672" xr:uid="{E00671CF-AAD1-487B-B45F-3D66323F8880}"/>
    <cellStyle name="Eingabe 7 2 18_2013" xfId="6673" xr:uid="{083898C7-57E5-4E11-A9CA-490903AE10BB}"/>
    <cellStyle name="Eingabe 7 2 19" xfId="6674" xr:uid="{780A8644-31B2-427F-A05A-6E80DAE62EA5}"/>
    <cellStyle name="Eingabe 7 2 2" xfId="6675" xr:uid="{557CA8BD-09C6-49E4-B894-D31D8170B5A9}"/>
    <cellStyle name="Eingabe 7 2 3" xfId="6676" xr:uid="{504BD295-CAA1-43FC-9F8A-CAEF406C94D0}"/>
    <cellStyle name="Eingabe 7 2 4" xfId="6677" xr:uid="{DEFB2348-A711-4ADF-BEEA-8C523D7A245B}"/>
    <cellStyle name="Eingabe 7 2 5" xfId="6678" xr:uid="{C944C8B9-637E-4B60-9AEB-09439B7BA589}"/>
    <cellStyle name="Eingabe 7 2 6" xfId="6679" xr:uid="{96CCB3EC-590B-47B9-8575-53008C835FC8}"/>
    <cellStyle name="Eingabe 7 2 7" xfId="6680" xr:uid="{8A4A21F0-DB25-4CF2-8C3E-823107607E8E}"/>
    <cellStyle name="Eingabe 7 2 8" xfId="6681" xr:uid="{BECC9350-38C9-4F99-920A-284F22906F36}"/>
    <cellStyle name="Eingabe 7 2 9" xfId="6682" xr:uid="{EAF990FE-CAE7-41C1-83DB-D7CECE3355B9}"/>
    <cellStyle name="Eingabe 7 2_2013" xfId="6683" xr:uid="{3D39AD2C-8B71-48AB-99D0-CC1F1AAA20C7}"/>
    <cellStyle name="Eingabe 7 20" xfId="6684" xr:uid="{D14C305B-F5E5-4775-B5B7-6C69F8937BEC}"/>
    <cellStyle name="Eingabe 7 3" xfId="6685" xr:uid="{23ED0721-F9B3-422B-8A6D-D7EF154BC8FF}"/>
    <cellStyle name="Eingabe 7 4" xfId="6686" xr:uid="{6B0E6DF1-07B2-4B0C-9EC3-D45811A88735}"/>
    <cellStyle name="Eingabe 7 5" xfId="6687" xr:uid="{6AC4C7E9-0823-447A-BFCA-45F038E1DE64}"/>
    <cellStyle name="Eingabe 7 6" xfId="6688" xr:uid="{90258029-160E-40D5-B83A-3F3C9852F9EF}"/>
    <cellStyle name="Eingabe 7 7" xfId="6689" xr:uid="{1402F59B-8067-4900-9926-A486D7F2F3FD}"/>
    <cellStyle name="Eingabe 7 8" xfId="6690" xr:uid="{19D5E32D-BCE0-40D4-AE57-926113A8837A}"/>
    <cellStyle name="Eingabe 7 9" xfId="6691" xr:uid="{035B83BB-3C22-4014-AFED-A0F85F7D4D1A}"/>
    <cellStyle name="Eingabe 7_2013" xfId="6692" xr:uid="{718073D1-AE7E-4C16-AA1E-AF3F4B8C9901}"/>
    <cellStyle name="Eingabe 8" xfId="6693" xr:uid="{8B631F72-1320-4AB6-B16E-BA47D5F876CD}"/>
    <cellStyle name="Eingabe 8 10" xfId="6694" xr:uid="{F5074189-5167-40F7-ADED-3376DF63DB3F}"/>
    <cellStyle name="Eingabe 8 11" xfId="6695" xr:uid="{DFC59F04-F105-4522-9EE0-30BE7C6F020A}"/>
    <cellStyle name="Eingabe 8 12" xfId="6696" xr:uid="{9D7AC9B0-E425-41EC-9D1D-1007D19EF1EA}"/>
    <cellStyle name="Eingabe 8 13" xfId="6697" xr:uid="{5FA6B5F9-B63D-4558-ACEE-5E30862D1567}"/>
    <cellStyle name="Eingabe 8 14" xfId="6698" xr:uid="{8A3E329E-39E8-43C1-AF9F-104EDC3E7428}"/>
    <cellStyle name="Eingabe 8 15" xfId="6699" xr:uid="{5196461C-0990-4C77-A3C2-20B960C090DE}"/>
    <cellStyle name="Eingabe 8 16" xfId="6700" xr:uid="{3A762A0A-2AE1-4753-81B9-4783A35F4B39}"/>
    <cellStyle name="Eingabe 8 17" xfId="6701" xr:uid="{B901D6C3-1EAE-46E4-87AE-202AA90B2896}"/>
    <cellStyle name="Eingabe 8 18" xfId="6702" xr:uid="{723B3B39-6821-4D12-970D-B3D7FBC52E7B}"/>
    <cellStyle name="Eingabe 8 18 2" xfId="6703" xr:uid="{3A45B876-D743-40AF-94B3-9BF50BD4330F}"/>
    <cellStyle name="Eingabe 8 18_2013" xfId="6704" xr:uid="{32C0B415-03B6-4E22-9238-798D7B4A5965}"/>
    <cellStyle name="Eingabe 8 19" xfId="6705" xr:uid="{C57F974F-9650-4197-86F9-0383EDE78D33}"/>
    <cellStyle name="Eingabe 8 2" xfId="6706" xr:uid="{E93A1C1D-3AC9-4AE9-BFDA-7209480FE06A}"/>
    <cellStyle name="Eingabe 8 3" xfId="6707" xr:uid="{55FB5CAC-2809-4870-A644-2632C7FD4D3C}"/>
    <cellStyle name="Eingabe 8 4" xfId="6708" xr:uid="{EB16CEC2-326A-4EF8-931D-44678C556D24}"/>
    <cellStyle name="Eingabe 8 5" xfId="6709" xr:uid="{5B150371-CC5A-469F-B7AB-A621C2DBB1F7}"/>
    <cellStyle name="Eingabe 8 6" xfId="6710" xr:uid="{C7D99D4E-6F3E-4BF7-8B2A-399BDFBA6C55}"/>
    <cellStyle name="Eingabe 8 7" xfId="6711" xr:uid="{D79CE647-1CD5-44E2-ABC6-C6C6C030F89E}"/>
    <cellStyle name="Eingabe 8 8" xfId="6712" xr:uid="{2E5DCB85-1CC7-4977-9942-96D24965E198}"/>
    <cellStyle name="Eingabe 8 9" xfId="6713" xr:uid="{2E68EF1A-2639-414F-8726-EED0113F7A40}"/>
    <cellStyle name="Eingabe 8_2013" xfId="6714" xr:uid="{E62EBF8E-F993-47DC-80B8-C79327BE3A7A}"/>
    <cellStyle name="Eingabe 9" xfId="6715" xr:uid="{09213DEB-7F33-4F9A-B96A-14DFA14E2E0C}"/>
    <cellStyle name="Eingabe_2013" xfId="6716" xr:uid="{55F032CB-260E-407C-92AD-F70D4D188BC5}"/>
    <cellStyle name="English pounds" xfId="6717" xr:uid="{11C3BA6E-C5E4-4B2E-B712-FE4DD203FB20}"/>
    <cellStyle name="Entrada" xfId="6718" xr:uid="{A96E1BD7-F2C8-4122-AA93-4318B788BF27}"/>
    <cellStyle name="Entrada 10" xfId="6719" xr:uid="{B268911F-3ECB-46F3-9F87-5B6AF212BEF9}"/>
    <cellStyle name="Entrada 11" xfId="6720" xr:uid="{D06E13EE-943B-4EA8-9C67-E12E482B11A1}"/>
    <cellStyle name="Entrada 12" xfId="6721" xr:uid="{503CE2A4-FAEC-4789-BCC0-3A4C0EEFDAC2}"/>
    <cellStyle name="Entrada 13" xfId="6722" xr:uid="{CF903692-9A5C-4D24-86DA-02D723D8D5B8}"/>
    <cellStyle name="Entrada 14" xfId="6723" xr:uid="{B7948A45-78BC-4912-B859-AF912926A07A}"/>
    <cellStyle name="Entrada 15" xfId="6724" xr:uid="{AB3084ED-023A-4197-8ED0-83D61390232A}"/>
    <cellStyle name="Entrada 16" xfId="6725" xr:uid="{991552F7-2C55-4911-B94F-AEF4D177D3F9}"/>
    <cellStyle name="Entrada 17" xfId="6726" xr:uid="{54CE768D-C34B-433D-B78E-F2A28E3B94DE}"/>
    <cellStyle name="Entrada 18" xfId="6727" xr:uid="{8C69D080-6FA6-47F9-9771-8AB9A8A070C0}"/>
    <cellStyle name="Entrada 19" xfId="6728" xr:uid="{B7B33B0D-774C-4D50-92DB-51F74F203E6D}"/>
    <cellStyle name="Entrada 2" xfId="6729" xr:uid="{7FCFF726-0295-450F-9A20-C929D2E0F136}"/>
    <cellStyle name="Entrada 2 10" xfId="6730" xr:uid="{F28402CD-5FF1-4C44-9E12-CA89D13A746F}"/>
    <cellStyle name="Entrada 2 11" xfId="6731" xr:uid="{8DEA4633-DCB6-4D19-B6B9-10276F3DD1AA}"/>
    <cellStyle name="Entrada 2 12" xfId="6732" xr:uid="{8AED6BA1-6F72-4BBE-B33A-447DDC8A00A9}"/>
    <cellStyle name="Entrada 2 13" xfId="6733" xr:uid="{9961ABDE-A134-48CD-977D-70D0063253C6}"/>
    <cellStyle name="Entrada 2 14" xfId="6734" xr:uid="{AC3A36AC-3F14-4B40-BE4E-80ED12DB63FC}"/>
    <cellStyle name="Entrada 2 15" xfId="6735" xr:uid="{C63923CE-A553-4583-A242-5BD1A322E263}"/>
    <cellStyle name="Entrada 2 16" xfId="6736" xr:uid="{5686A5A2-0BA1-4680-9D80-714A157B29F1}"/>
    <cellStyle name="Entrada 2 17" xfId="6737" xr:uid="{C1CDD05C-CA35-43B3-BB65-EC455E86B70C}"/>
    <cellStyle name="Entrada 2 18" xfId="6738" xr:uid="{BCB88C93-4D43-4951-8281-BA74AAAED33A}"/>
    <cellStyle name="Entrada 2 19" xfId="6739" xr:uid="{1F58A16D-4E59-4731-BA49-925E26F08C76}"/>
    <cellStyle name="Entrada 2 2" xfId="6740" xr:uid="{9F86C15F-C2C2-4E57-93C4-8EF4F9F77749}"/>
    <cellStyle name="Entrada 2 2 10" xfId="6741" xr:uid="{A602F159-8543-4984-B9C9-6C10D26F91C2}"/>
    <cellStyle name="Entrada 2 2 11" xfId="6742" xr:uid="{8C96E864-D914-4CB6-B762-6803153C23CA}"/>
    <cellStyle name="Entrada 2 2 12" xfId="6743" xr:uid="{FB8447A3-8515-421B-AA75-8578ED2F3DCF}"/>
    <cellStyle name="Entrada 2 2 13" xfId="6744" xr:uid="{FAAEBDDD-0739-47DE-B294-DBDA49DB2A45}"/>
    <cellStyle name="Entrada 2 2 14" xfId="6745" xr:uid="{0773DB94-F325-4F41-983F-5F842E3A2F84}"/>
    <cellStyle name="Entrada 2 2 15" xfId="6746" xr:uid="{48DE3BCC-92B9-477B-AFB4-B17A34BE29D4}"/>
    <cellStyle name="Entrada 2 2 16" xfId="6747" xr:uid="{0BD46DE0-2135-4D51-979A-95115962C2D7}"/>
    <cellStyle name="Entrada 2 2 17" xfId="6748" xr:uid="{F55498CD-6B95-4018-B725-8CF31F70C5EC}"/>
    <cellStyle name="Entrada 2 2 18" xfId="6749" xr:uid="{2AF49814-C829-4382-AD6C-E335AE2FD429}"/>
    <cellStyle name="Entrada 2 2 19" xfId="6750" xr:uid="{F5BA44E6-1E87-4267-92C8-3686E3AE1BB8}"/>
    <cellStyle name="Entrada 2 2 2" xfId="6751" xr:uid="{269EB24C-0FE7-4F0F-98A6-6A26AA1800AB}"/>
    <cellStyle name="Entrada 2 2 2 10" xfId="6752" xr:uid="{984AC4E9-9A13-4FC1-956D-ED041AF7488A}"/>
    <cellStyle name="Entrada 2 2 2 11" xfId="6753" xr:uid="{DC567B1D-F1C7-40AC-962A-D15F80F8C899}"/>
    <cellStyle name="Entrada 2 2 2 12" xfId="6754" xr:uid="{90321A48-839E-4125-8482-BC99B32F9E0E}"/>
    <cellStyle name="Entrada 2 2 2 13" xfId="6755" xr:uid="{D4E2DEBF-7071-4613-929B-D4BAA02171C3}"/>
    <cellStyle name="Entrada 2 2 2 14" xfId="6756" xr:uid="{FFED3549-C77C-47EA-9346-9D8D6DC9C78D}"/>
    <cellStyle name="Entrada 2 2 2 15" xfId="6757" xr:uid="{BF57A7E6-CDAE-4E55-9FF6-592D72B672BA}"/>
    <cellStyle name="Entrada 2 2 2 16" xfId="6758" xr:uid="{615BD259-522D-4F5B-B584-270AA3A04E64}"/>
    <cellStyle name="Entrada 2 2 2 17" xfId="6759" xr:uid="{CA66961C-8F42-4882-A993-EF2A4248C7C0}"/>
    <cellStyle name="Entrada 2 2 2 18" xfId="6760" xr:uid="{3BDD9950-6080-4E0E-A269-967B35D144AE}"/>
    <cellStyle name="Entrada 2 2 2 19" xfId="6761" xr:uid="{2F4F8923-6C9B-4F9D-A6B1-C78839F49B24}"/>
    <cellStyle name="Entrada 2 2 2 19 2" xfId="6762" xr:uid="{58124DAB-FEC8-46FF-A1AC-8C25BE969B2B}"/>
    <cellStyle name="Entrada 2 2 2 19_2013" xfId="6763" xr:uid="{2C5FDFEC-0F03-4DB2-91AE-1914FD2BB796}"/>
    <cellStyle name="Entrada 2 2 2 2" xfId="6764" xr:uid="{EB6ECCA4-5B2C-45D8-8553-38C0DFDCEC5E}"/>
    <cellStyle name="Entrada 2 2 2 2 10" xfId="6765" xr:uid="{E0A134C6-8ABD-4855-ACC1-9FC7B24C2E9D}"/>
    <cellStyle name="Entrada 2 2 2 2 11" xfId="6766" xr:uid="{EE5A3276-E9C0-4445-8708-3ED189F2B6DA}"/>
    <cellStyle name="Entrada 2 2 2 2 12" xfId="6767" xr:uid="{D5D7DC04-634F-46F6-82ED-DE4936726AE9}"/>
    <cellStyle name="Entrada 2 2 2 2 13" xfId="6768" xr:uid="{BBA0EFD4-E13B-482A-8347-01E225B03B72}"/>
    <cellStyle name="Entrada 2 2 2 2 14" xfId="6769" xr:uid="{B0965849-DAE4-4C40-80E2-5799EB8F1D32}"/>
    <cellStyle name="Entrada 2 2 2 2 15" xfId="6770" xr:uid="{DCBDA0EE-557B-4EFE-8472-F30BDA249C6C}"/>
    <cellStyle name="Entrada 2 2 2 2 16" xfId="6771" xr:uid="{8AAF976F-5321-495A-ADEC-067E7F28C6D4}"/>
    <cellStyle name="Entrada 2 2 2 2 17" xfId="6772" xr:uid="{FB8CDC99-005A-4994-A966-9518B5618035}"/>
    <cellStyle name="Entrada 2 2 2 2 18" xfId="6773" xr:uid="{91D07C52-D8EA-43BD-98F0-57BD8E5FC990}"/>
    <cellStyle name="Entrada 2 2 2 2 18 2" xfId="6774" xr:uid="{DE936EAA-6950-4C7A-AE7D-340D149A2045}"/>
    <cellStyle name="Entrada 2 2 2 2 18_2013" xfId="6775" xr:uid="{5751AED1-8F1D-4A2F-9D8A-010C2D7C9CE3}"/>
    <cellStyle name="Entrada 2 2 2 2 19" xfId="6776" xr:uid="{3A3C9E11-F321-4A38-BC26-247D7B10BE07}"/>
    <cellStyle name="Entrada 2 2 2 2 2" xfId="6777" xr:uid="{5BA32068-12C2-4AF6-98A9-8FA2FABEB77E}"/>
    <cellStyle name="Entrada 2 2 2 2 3" xfId="6778" xr:uid="{8A8A2239-1FBB-43D1-A5B0-9A1BDCF32EAF}"/>
    <cellStyle name="Entrada 2 2 2 2 4" xfId="6779" xr:uid="{8C256B86-2B44-46CC-8300-7ACD05215A87}"/>
    <cellStyle name="Entrada 2 2 2 2 5" xfId="6780" xr:uid="{88D1CEC7-C21D-44B6-9680-31D58082B637}"/>
    <cellStyle name="Entrada 2 2 2 2 6" xfId="6781" xr:uid="{3C517EA6-75EF-4D99-9EF5-0ECCA403A59E}"/>
    <cellStyle name="Entrada 2 2 2 2 7" xfId="6782" xr:uid="{AD1DBF85-43CC-4A1E-9E76-5DB8B2FB69EB}"/>
    <cellStyle name="Entrada 2 2 2 2 8" xfId="6783" xr:uid="{284BC17E-F102-41FE-9097-9F9D6ACFE479}"/>
    <cellStyle name="Entrada 2 2 2 2 9" xfId="6784" xr:uid="{E4AE30BA-4F6C-4B7D-B9EB-831A8263CA7A}"/>
    <cellStyle name="Entrada 2 2 2 2_2013" xfId="6785" xr:uid="{FC32F69D-EB7B-4118-B4F4-C86B58646AE8}"/>
    <cellStyle name="Entrada 2 2 2 20" xfId="6786" xr:uid="{56277A43-3E48-4040-AB49-E34D7BFB1E04}"/>
    <cellStyle name="Entrada 2 2 2 3" xfId="6787" xr:uid="{72B366D9-2AA3-4892-9C62-FFC97D9D5510}"/>
    <cellStyle name="Entrada 2 2 2 4" xfId="6788" xr:uid="{D0C4F235-2F23-44C4-8376-EA6951002873}"/>
    <cellStyle name="Entrada 2 2 2 5" xfId="6789" xr:uid="{AFFCDFCB-0466-4B8A-832E-140168018EC9}"/>
    <cellStyle name="Entrada 2 2 2 6" xfId="6790" xr:uid="{3F793755-B2AF-431F-911F-47723497A471}"/>
    <cellStyle name="Entrada 2 2 2 7" xfId="6791" xr:uid="{31396E01-E9BA-447D-95E2-7644EEDEAD31}"/>
    <cellStyle name="Entrada 2 2 2 8" xfId="6792" xr:uid="{B8080CC3-624D-42DC-900F-C19EC2386637}"/>
    <cellStyle name="Entrada 2 2 2 9" xfId="6793" xr:uid="{5A18ACF0-0EB5-4C14-9294-6395CA32301D}"/>
    <cellStyle name="Entrada 2 2 2_2013" xfId="6794" xr:uid="{E818D6B8-DD9F-427C-AAE7-862AA5716316}"/>
    <cellStyle name="Entrada 2 2 20" xfId="6795" xr:uid="{4E5F430C-E15B-4E4E-B6AB-954862D225F8}"/>
    <cellStyle name="Entrada 2 2 21" xfId="6796" xr:uid="{A42E2F7D-5D8A-4A99-A63C-B5F2C70ED03A}"/>
    <cellStyle name="Entrada 2 2 22" xfId="6797" xr:uid="{A5815674-6CC3-408D-80F6-B03A2676A47E}"/>
    <cellStyle name="Entrada 2 2 22 2" xfId="6798" xr:uid="{5A198DC5-E28F-432C-B0C0-5E6F7A80AB63}"/>
    <cellStyle name="Entrada 2 2 22_2013" xfId="6799" xr:uid="{50BF7970-B81E-4758-87B4-5F6F8D05C06C}"/>
    <cellStyle name="Entrada 2 2 23" xfId="6800" xr:uid="{09E9CD9D-055F-4F02-84E5-BA97A5DC6CA7}"/>
    <cellStyle name="Entrada 2 2 3" xfId="6801" xr:uid="{54732FAD-2D4C-4F18-A6E8-BFC5F45B34C8}"/>
    <cellStyle name="Entrada 2 2 3 10" xfId="6802" xr:uid="{7125A3C0-A80D-4F28-B382-9C4E400E068A}"/>
    <cellStyle name="Entrada 2 2 3 11" xfId="6803" xr:uid="{8F472AAB-4FC5-4191-8FC3-80C574B748B8}"/>
    <cellStyle name="Entrada 2 2 3 12" xfId="6804" xr:uid="{B12808B1-13B6-475E-9DFB-1CF743D4AD53}"/>
    <cellStyle name="Entrada 2 2 3 13" xfId="6805" xr:uid="{20611211-2E73-4571-9079-D0BF3275A5B9}"/>
    <cellStyle name="Entrada 2 2 3 14" xfId="6806" xr:uid="{F120B7F6-8807-42AB-86C2-069D884FB41E}"/>
    <cellStyle name="Entrada 2 2 3 15" xfId="6807" xr:uid="{9508331D-8460-4566-A94F-ACD48A1C987A}"/>
    <cellStyle name="Entrada 2 2 3 16" xfId="6808" xr:uid="{298C065E-97C0-4332-B474-CBEA5266622B}"/>
    <cellStyle name="Entrada 2 2 3 17" xfId="6809" xr:uid="{75DE663F-3C23-4E80-A99D-97CA869E4440}"/>
    <cellStyle name="Entrada 2 2 3 18" xfId="6810" xr:uid="{EAA89B45-BEC4-40F3-A94E-51523C271296}"/>
    <cellStyle name="Entrada 2 2 3 19" xfId="6811" xr:uid="{7F9F52EF-25AF-4DFC-A214-5D4DED5610FA}"/>
    <cellStyle name="Entrada 2 2 3 19 2" xfId="6812" xr:uid="{6CA04076-5A25-4DB1-84CE-555229D16299}"/>
    <cellStyle name="Entrada 2 2 3 19_2013" xfId="6813" xr:uid="{1D0F7019-8E40-4D5E-A571-56A01C0343FC}"/>
    <cellStyle name="Entrada 2 2 3 2" xfId="6814" xr:uid="{A2BA5F12-E7B0-4E03-87A2-4188B5DC6162}"/>
    <cellStyle name="Entrada 2 2 3 2 10" xfId="6815" xr:uid="{2A625EC7-677A-40F7-AF19-74AF71EC0890}"/>
    <cellStyle name="Entrada 2 2 3 2 11" xfId="6816" xr:uid="{80E71640-AFD7-4D49-9488-51CF6A2394A4}"/>
    <cellStyle name="Entrada 2 2 3 2 12" xfId="6817" xr:uid="{30A61F9A-95ED-466C-9F63-A65127540532}"/>
    <cellStyle name="Entrada 2 2 3 2 13" xfId="6818" xr:uid="{3339B82B-082B-4CF4-B829-18C8998C068F}"/>
    <cellStyle name="Entrada 2 2 3 2 14" xfId="6819" xr:uid="{15C40B24-6A72-4953-A512-03EADE095FC4}"/>
    <cellStyle name="Entrada 2 2 3 2 15" xfId="6820" xr:uid="{00E14DFA-7B30-4DAD-9A5B-12C744618D25}"/>
    <cellStyle name="Entrada 2 2 3 2 16" xfId="6821" xr:uid="{834315A2-BD43-4F7C-9BC6-537E33F2ABCD}"/>
    <cellStyle name="Entrada 2 2 3 2 17" xfId="6822" xr:uid="{E0D7B3A7-F8B2-4E13-AAB5-46621F6948E4}"/>
    <cellStyle name="Entrada 2 2 3 2 18" xfId="6823" xr:uid="{92CE3D88-F629-4514-8678-77111637AA69}"/>
    <cellStyle name="Entrada 2 2 3 2 18 2" xfId="6824" xr:uid="{7FBB164A-667C-4EEC-8F2D-6667A493B200}"/>
    <cellStyle name="Entrada 2 2 3 2 18_2013" xfId="6825" xr:uid="{7975410F-4655-4487-9AE7-397F446B2BD0}"/>
    <cellStyle name="Entrada 2 2 3 2 19" xfId="6826" xr:uid="{EA139BD9-C2C6-49E6-9070-96D473F16F87}"/>
    <cellStyle name="Entrada 2 2 3 2 2" xfId="6827" xr:uid="{9291AA1F-D29E-4ECD-ABF1-16598A211FBE}"/>
    <cellStyle name="Entrada 2 2 3 2 3" xfId="6828" xr:uid="{CF57F905-C36D-4437-9CC0-0A4BB13EF27E}"/>
    <cellStyle name="Entrada 2 2 3 2 4" xfId="6829" xr:uid="{ED2A0972-D625-4763-9B62-CED2D9DAD4D6}"/>
    <cellStyle name="Entrada 2 2 3 2 5" xfId="6830" xr:uid="{6BA0E57C-C202-496C-A5B2-6EDD4D5437DD}"/>
    <cellStyle name="Entrada 2 2 3 2 6" xfId="6831" xr:uid="{BF9EEA8D-9BD6-4D61-AE23-05ED997944AB}"/>
    <cellStyle name="Entrada 2 2 3 2 7" xfId="6832" xr:uid="{8F54FD76-24B2-4299-8683-B826EF3977A4}"/>
    <cellStyle name="Entrada 2 2 3 2 8" xfId="6833" xr:uid="{2BAED49A-9D9A-4DA9-B619-3A38C7252600}"/>
    <cellStyle name="Entrada 2 2 3 2 9" xfId="6834" xr:uid="{906D59C1-BB9B-4F04-BA3C-012707D6ECA1}"/>
    <cellStyle name="Entrada 2 2 3 2_2013" xfId="6835" xr:uid="{41CB00BC-7C2E-425F-8C14-53A132B7E988}"/>
    <cellStyle name="Entrada 2 2 3 20" xfId="6836" xr:uid="{311B9571-2FEA-4735-A898-19DC281A0398}"/>
    <cellStyle name="Entrada 2 2 3 3" xfId="6837" xr:uid="{AC7A9DC3-45E3-4C86-9A25-0DC142C0CB6B}"/>
    <cellStyle name="Entrada 2 2 3 4" xfId="6838" xr:uid="{926E3BA3-D36B-4243-9E7C-40F03E8E7819}"/>
    <cellStyle name="Entrada 2 2 3 5" xfId="6839" xr:uid="{2746B780-671D-4578-8D4D-E3ACDD3A33E1}"/>
    <cellStyle name="Entrada 2 2 3 6" xfId="6840" xr:uid="{59D673C4-4EF9-43C0-AC87-01E0CD6F3DE9}"/>
    <cellStyle name="Entrada 2 2 3 7" xfId="6841" xr:uid="{9635FD93-5651-4257-9A1D-06D7DD1217CA}"/>
    <cellStyle name="Entrada 2 2 3 8" xfId="6842" xr:uid="{C6857E30-C35C-4FD5-BCDB-84ABA622551D}"/>
    <cellStyle name="Entrada 2 2 3 9" xfId="6843" xr:uid="{31C754A0-AD07-4E38-9C9F-1DA298318DD8}"/>
    <cellStyle name="Entrada 2 2 3_2013" xfId="6844" xr:uid="{C6872120-3D5F-49E5-8CE7-84D9FA477D1F}"/>
    <cellStyle name="Entrada 2 2 4" xfId="6845" xr:uid="{89C036B2-E762-49C6-9ED6-C42F5EE77C64}"/>
    <cellStyle name="Entrada 2 2 4 10" xfId="6846" xr:uid="{587DFE0D-6DCD-4683-8984-AAF7E25C044B}"/>
    <cellStyle name="Entrada 2 2 4 11" xfId="6847" xr:uid="{8A6CDD38-0B76-4606-8958-339D85577F1B}"/>
    <cellStyle name="Entrada 2 2 4 12" xfId="6848" xr:uid="{C3708E4C-B542-4DEE-901A-B04C18EECF9F}"/>
    <cellStyle name="Entrada 2 2 4 13" xfId="6849" xr:uid="{AF7899EA-CB87-4AB2-B63F-32FCE1A29921}"/>
    <cellStyle name="Entrada 2 2 4 14" xfId="6850" xr:uid="{09D87E99-72B5-43EE-B72C-C2B04F58C40F}"/>
    <cellStyle name="Entrada 2 2 4 15" xfId="6851" xr:uid="{44A4344C-7CF9-4166-ACA1-60F152490BFF}"/>
    <cellStyle name="Entrada 2 2 4 16" xfId="6852" xr:uid="{9BBC300D-5BC7-4492-8EDC-261D0D51F693}"/>
    <cellStyle name="Entrada 2 2 4 17" xfId="6853" xr:uid="{F447EB6F-1775-4FC7-94AD-FB3B05FE709F}"/>
    <cellStyle name="Entrada 2 2 4 18" xfId="6854" xr:uid="{E653CA72-D088-4E59-933C-6E06A622E42E}"/>
    <cellStyle name="Entrada 2 2 4 19" xfId="6855" xr:uid="{2636DBB9-D86D-4D74-8DB9-E40777CEF0B3}"/>
    <cellStyle name="Entrada 2 2 4 19 2" xfId="6856" xr:uid="{C50F9E75-1D8B-47D6-8FD1-FD8EB586D465}"/>
    <cellStyle name="Entrada 2 2 4 19_2013" xfId="6857" xr:uid="{A2F46BC1-79A3-46B7-AD22-2475AD9C7DD6}"/>
    <cellStyle name="Entrada 2 2 4 2" xfId="6858" xr:uid="{A5D07F4D-C30D-4FFC-ACDB-A1DC56109275}"/>
    <cellStyle name="Entrada 2 2 4 2 10" xfId="6859" xr:uid="{B46FC3F0-59CB-4309-9F95-352137AB8D76}"/>
    <cellStyle name="Entrada 2 2 4 2 11" xfId="6860" xr:uid="{1F9DBBF2-24B4-433E-B45D-ABB8E3AA948D}"/>
    <cellStyle name="Entrada 2 2 4 2 12" xfId="6861" xr:uid="{4FA2775E-E5B0-4D1D-AD45-49CA6231409C}"/>
    <cellStyle name="Entrada 2 2 4 2 13" xfId="6862" xr:uid="{2472B74B-BF72-4C3E-82E4-FA45592175CC}"/>
    <cellStyle name="Entrada 2 2 4 2 14" xfId="6863" xr:uid="{FBA3E042-C9D1-4ED0-B059-92FC56A7F1E3}"/>
    <cellStyle name="Entrada 2 2 4 2 15" xfId="6864" xr:uid="{AF9499BD-C59D-4056-B13A-66CD5D3D7C8B}"/>
    <cellStyle name="Entrada 2 2 4 2 16" xfId="6865" xr:uid="{11E27680-2A50-499B-88E3-507C8BA109E7}"/>
    <cellStyle name="Entrada 2 2 4 2 17" xfId="6866" xr:uid="{1C517CF9-2555-4935-8E2B-913C3563266C}"/>
    <cellStyle name="Entrada 2 2 4 2 18" xfId="6867" xr:uid="{A0DF6A51-7D35-4F59-B2F4-69453E6051BE}"/>
    <cellStyle name="Entrada 2 2 4 2 18 2" xfId="6868" xr:uid="{CF7BFB7A-B070-4A1C-BEBE-8BE36CD7AD89}"/>
    <cellStyle name="Entrada 2 2 4 2 18_2013" xfId="6869" xr:uid="{B9ADFCF8-94B1-4FA4-9E07-06B3EE8E7096}"/>
    <cellStyle name="Entrada 2 2 4 2 19" xfId="6870" xr:uid="{9E4092C4-3BD4-4640-8BFC-D04663C57477}"/>
    <cellStyle name="Entrada 2 2 4 2 2" xfId="6871" xr:uid="{0B89F2C2-1223-4629-AA79-C4DE0817E8C9}"/>
    <cellStyle name="Entrada 2 2 4 2 3" xfId="6872" xr:uid="{740A9ED2-1A27-42D7-A58B-1251EDB5DD62}"/>
    <cellStyle name="Entrada 2 2 4 2 4" xfId="6873" xr:uid="{5AC5D16D-8FF0-4EA2-A48D-24F594291152}"/>
    <cellStyle name="Entrada 2 2 4 2 5" xfId="6874" xr:uid="{9269DAC6-F7F6-4B0E-A89B-17BD68CF5620}"/>
    <cellStyle name="Entrada 2 2 4 2 6" xfId="6875" xr:uid="{379E1C9C-FE6F-425C-A50C-6F8DFD43A2AF}"/>
    <cellStyle name="Entrada 2 2 4 2 7" xfId="6876" xr:uid="{16E8D162-48DB-4DDE-A461-DE5940282571}"/>
    <cellStyle name="Entrada 2 2 4 2 8" xfId="6877" xr:uid="{37D1AECD-45A8-4912-9B3A-76F1FBA815D7}"/>
    <cellStyle name="Entrada 2 2 4 2 9" xfId="6878" xr:uid="{49EDAAB8-33AA-4B57-8F0D-937DFFB74D0D}"/>
    <cellStyle name="Entrada 2 2 4 2_2013" xfId="6879" xr:uid="{C7450E3C-0E07-4496-A150-77D1EC78BA42}"/>
    <cellStyle name="Entrada 2 2 4 20" xfId="6880" xr:uid="{9244A071-6B32-4ADC-A05E-FEB8F7BE6FAC}"/>
    <cellStyle name="Entrada 2 2 4 3" xfId="6881" xr:uid="{F2801C37-4DE2-4870-97B4-1EE592C4569C}"/>
    <cellStyle name="Entrada 2 2 4 4" xfId="6882" xr:uid="{5DBC0EE9-D134-4DC3-AB03-5C968DECB97A}"/>
    <cellStyle name="Entrada 2 2 4 5" xfId="6883" xr:uid="{BF947BD6-BC7B-450E-9291-936D21ED271D}"/>
    <cellStyle name="Entrada 2 2 4 6" xfId="6884" xr:uid="{C9CB05EC-CE7F-4021-A562-FDBFB57FDF47}"/>
    <cellStyle name="Entrada 2 2 4 7" xfId="6885" xr:uid="{76F32EAE-4E0B-4713-A49E-503ED188AA70}"/>
    <cellStyle name="Entrada 2 2 4 8" xfId="6886" xr:uid="{B76F8805-C346-4578-932F-E5F8002AB3F7}"/>
    <cellStyle name="Entrada 2 2 4 9" xfId="6887" xr:uid="{4EC30E6B-E9F2-4CE8-885E-5B56D2CCBA22}"/>
    <cellStyle name="Entrada 2 2 4_2013" xfId="6888" xr:uid="{2FCA304B-A833-4A9E-B353-EF36A3F70C51}"/>
    <cellStyle name="Entrada 2 2 5" xfId="6889" xr:uid="{271D4812-81C5-4FD8-A480-45DD6BB34654}"/>
    <cellStyle name="Entrada 2 2 5 10" xfId="6890" xr:uid="{8E8B5075-F83F-4E45-885B-8E5CEE41FEBF}"/>
    <cellStyle name="Entrada 2 2 5 11" xfId="6891" xr:uid="{67F15955-39D9-4AF9-8738-9B5C359D918A}"/>
    <cellStyle name="Entrada 2 2 5 12" xfId="6892" xr:uid="{AC52B031-6D7B-46F5-BF6A-3F481F1B7FDB}"/>
    <cellStyle name="Entrada 2 2 5 13" xfId="6893" xr:uid="{AD578197-22DC-4DB0-9E64-889418A2948A}"/>
    <cellStyle name="Entrada 2 2 5 14" xfId="6894" xr:uid="{C6BC7671-6111-447C-93AA-AC1BD887A490}"/>
    <cellStyle name="Entrada 2 2 5 15" xfId="6895" xr:uid="{54A5668E-EF4C-472B-8450-276CBD16F0AB}"/>
    <cellStyle name="Entrada 2 2 5 16" xfId="6896" xr:uid="{C613AF6E-A128-40D2-93ED-0A233C604A63}"/>
    <cellStyle name="Entrada 2 2 5 17" xfId="6897" xr:uid="{BBE45795-39F1-4DEC-810C-C9C3820CFF38}"/>
    <cellStyle name="Entrada 2 2 5 18" xfId="6898" xr:uid="{C26EC926-9290-48F2-B8ED-C99E3B24452A}"/>
    <cellStyle name="Entrada 2 2 5 18 2" xfId="6899" xr:uid="{6F768FC1-1A6B-4841-910A-1FB8E28C4CD4}"/>
    <cellStyle name="Entrada 2 2 5 18_2013" xfId="6900" xr:uid="{2C47CE42-C185-42B0-9661-2F5A9C450E65}"/>
    <cellStyle name="Entrada 2 2 5 19" xfId="6901" xr:uid="{81875748-6771-42C2-A9EC-12F263520701}"/>
    <cellStyle name="Entrada 2 2 5 2" xfId="6902" xr:uid="{961979E3-5061-4C71-AF64-A93666F538A8}"/>
    <cellStyle name="Entrada 2 2 5 3" xfId="6903" xr:uid="{A51D91CE-0F20-4F8C-9657-95F30919F1D8}"/>
    <cellStyle name="Entrada 2 2 5 4" xfId="6904" xr:uid="{93398F2E-5FA4-4CB0-9925-6EC96802760D}"/>
    <cellStyle name="Entrada 2 2 5 5" xfId="6905" xr:uid="{C4E5C28C-D3DD-4302-9918-3A189843C2B2}"/>
    <cellStyle name="Entrada 2 2 5 6" xfId="6906" xr:uid="{6D531AEC-1C0E-451E-BD5E-049982B62519}"/>
    <cellStyle name="Entrada 2 2 5 7" xfId="6907" xr:uid="{FE3F5796-B0F8-4C8E-83D9-D923D738374A}"/>
    <cellStyle name="Entrada 2 2 5 8" xfId="6908" xr:uid="{5DE0E20D-3D13-44B0-AB26-38699319D45A}"/>
    <cellStyle name="Entrada 2 2 5 9" xfId="6909" xr:uid="{68F6B9F0-BAC9-4818-ACDD-E0317748D242}"/>
    <cellStyle name="Entrada 2 2 5_2013" xfId="6910" xr:uid="{61282C72-7407-4C9C-AD20-013C38E9F4F1}"/>
    <cellStyle name="Entrada 2 2 6" xfId="6911" xr:uid="{CF9E7975-1FFB-4D6E-8D08-BEF612E2DF24}"/>
    <cellStyle name="Entrada 2 2 7" xfId="6912" xr:uid="{E3814970-923D-4858-8723-767B33ECA127}"/>
    <cellStyle name="Entrada 2 2 8" xfId="6913" xr:uid="{2414D161-5430-4D4D-BFE0-2862D154CD8F}"/>
    <cellStyle name="Entrada 2 2 9" xfId="6914" xr:uid="{EFAEB7BF-8F52-4E62-B611-8FE8B6608C34}"/>
    <cellStyle name="Entrada 2 2_2013" xfId="6915" xr:uid="{9CF4EFE9-415B-4CDB-90A2-FDE7726F7475}"/>
    <cellStyle name="Entrada 2 20" xfId="6916" xr:uid="{4FC7C5AE-A40D-400A-B07E-2A16D495E8BC}"/>
    <cellStyle name="Entrada 2 21" xfId="6917" xr:uid="{E446FF91-D2C9-4B2B-B636-603DBE54664C}"/>
    <cellStyle name="Entrada 2 22" xfId="6918" xr:uid="{5CB50B40-EE18-4988-99B6-B5102B37DE82}"/>
    <cellStyle name="Entrada 2 23" xfId="6919" xr:uid="{4AFCB8E9-D6F9-4E9F-9461-22512FBD3F14}"/>
    <cellStyle name="Entrada 2 23 2" xfId="6920" xr:uid="{825BFD76-7B07-484C-AF69-957D9F4B70C1}"/>
    <cellStyle name="Entrada 2 23_2013" xfId="6921" xr:uid="{D68EDAE4-395B-45CF-BE91-CCB893FBD03C}"/>
    <cellStyle name="Entrada 2 24" xfId="6922" xr:uid="{B0F070AA-69E6-4F2F-AD78-435642946DEA}"/>
    <cellStyle name="Entrada 2 3" xfId="6923" xr:uid="{C8A22CD6-C066-45A2-9929-387B873445C8}"/>
    <cellStyle name="Entrada 2 3 10" xfId="6924" xr:uid="{6D4D61C9-CCF6-4029-B204-A2164BD90616}"/>
    <cellStyle name="Entrada 2 3 11" xfId="6925" xr:uid="{EDCAD9F0-0AF9-4CC3-B83B-BA6F8445836D}"/>
    <cellStyle name="Entrada 2 3 12" xfId="6926" xr:uid="{B9173A38-BCED-4039-9575-512C1A23D8BA}"/>
    <cellStyle name="Entrada 2 3 13" xfId="6927" xr:uid="{45F7E436-026C-42D8-B421-FCC4B9763657}"/>
    <cellStyle name="Entrada 2 3 14" xfId="6928" xr:uid="{F8FF0426-50CD-473E-97BE-DC79315265C0}"/>
    <cellStyle name="Entrada 2 3 15" xfId="6929" xr:uid="{A3038A3A-2548-4DD8-B449-24A9D90CCE7A}"/>
    <cellStyle name="Entrada 2 3 16" xfId="6930" xr:uid="{6998AF28-43CB-4347-A48E-763D402D61F0}"/>
    <cellStyle name="Entrada 2 3 17" xfId="6931" xr:uid="{F2D45893-2ACB-40F1-BAA3-FA27BCDFD0FB}"/>
    <cellStyle name="Entrada 2 3 18" xfId="6932" xr:uid="{61C4FCF1-FC4A-4A3D-96D6-E1749BB967AB}"/>
    <cellStyle name="Entrada 2 3 19" xfId="6933" xr:uid="{D33306F5-F5CC-42D3-B40E-888279BB4C51}"/>
    <cellStyle name="Entrada 2 3 19 2" xfId="6934" xr:uid="{B58549EC-CD97-4414-B57F-65B5F8D64A95}"/>
    <cellStyle name="Entrada 2 3 19_2013" xfId="6935" xr:uid="{9587836A-D65F-4C2F-9F76-1339B3E21DE9}"/>
    <cellStyle name="Entrada 2 3 2" xfId="6936" xr:uid="{B3B0D34D-3762-4A33-A542-17EA9F16E9FB}"/>
    <cellStyle name="Entrada 2 3 2 10" xfId="6937" xr:uid="{71386341-C248-432C-A0B9-AFC63C1A47DB}"/>
    <cellStyle name="Entrada 2 3 2 11" xfId="6938" xr:uid="{4982EDE4-D4BE-4108-85EB-7C2D20A877FF}"/>
    <cellStyle name="Entrada 2 3 2 12" xfId="6939" xr:uid="{FAA86980-F5E8-4831-BFD1-DA08891EF6BE}"/>
    <cellStyle name="Entrada 2 3 2 13" xfId="6940" xr:uid="{2B8567BE-F430-4E01-82A3-EED420792DC7}"/>
    <cellStyle name="Entrada 2 3 2 14" xfId="6941" xr:uid="{AA0D4F9D-D778-4109-A4B2-EFF396988F2E}"/>
    <cellStyle name="Entrada 2 3 2 15" xfId="6942" xr:uid="{F91E2298-A9FE-4E34-8705-9C235BEA99F2}"/>
    <cellStyle name="Entrada 2 3 2 16" xfId="6943" xr:uid="{07999BC4-A2ED-4A6A-8EA6-B9097AC152CA}"/>
    <cellStyle name="Entrada 2 3 2 17" xfId="6944" xr:uid="{E9836331-B009-44C7-9822-C566535A1070}"/>
    <cellStyle name="Entrada 2 3 2 18" xfId="6945" xr:uid="{ECF89213-E585-4501-B3E9-272048F2631F}"/>
    <cellStyle name="Entrada 2 3 2 18 2" xfId="6946" xr:uid="{8E898A47-FBD7-42CF-BAA1-6A6B8982E951}"/>
    <cellStyle name="Entrada 2 3 2 18_2013" xfId="6947" xr:uid="{16B53B53-0622-43A6-BD45-FB26BD073A5D}"/>
    <cellStyle name="Entrada 2 3 2 19" xfId="6948" xr:uid="{DED144C3-1641-43A7-A210-E112EBC945A8}"/>
    <cellStyle name="Entrada 2 3 2 2" xfId="6949" xr:uid="{3D97F46B-0D08-4036-A4B4-2DC194DE74E7}"/>
    <cellStyle name="Entrada 2 3 2 3" xfId="6950" xr:uid="{71FD5171-DFE0-48F8-B2EA-7FBCB0085E92}"/>
    <cellStyle name="Entrada 2 3 2 4" xfId="6951" xr:uid="{5A90F277-44E3-44BD-BC33-EC80B37E385C}"/>
    <cellStyle name="Entrada 2 3 2 5" xfId="6952" xr:uid="{6F69EE97-217A-472C-A831-18A58C0A5CDC}"/>
    <cellStyle name="Entrada 2 3 2 6" xfId="6953" xr:uid="{A1D2F6EA-AD54-4BAA-A4CE-8C0A51F9C1C5}"/>
    <cellStyle name="Entrada 2 3 2 7" xfId="6954" xr:uid="{689DEEF7-A942-4A40-AFEF-03F8025DD7B3}"/>
    <cellStyle name="Entrada 2 3 2 8" xfId="6955" xr:uid="{70CFAFAF-3152-4725-B505-F9073CE98D9C}"/>
    <cellStyle name="Entrada 2 3 2 9" xfId="6956" xr:uid="{C120E63B-6E01-4485-8FBC-37F2EEB8E185}"/>
    <cellStyle name="Entrada 2 3 2_2013" xfId="6957" xr:uid="{BA038D53-41FC-46B6-B24B-F413C9F63C3B}"/>
    <cellStyle name="Entrada 2 3 20" xfId="6958" xr:uid="{B76C8452-8BEC-4557-BA6D-29B4F2A750CA}"/>
    <cellStyle name="Entrada 2 3 3" xfId="6959" xr:uid="{A3474484-F6B4-4656-B08C-CAC054246EAB}"/>
    <cellStyle name="Entrada 2 3 4" xfId="6960" xr:uid="{03E6B88B-DBB3-40A6-82A5-60B35969E27C}"/>
    <cellStyle name="Entrada 2 3 5" xfId="6961" xr:uid="{EC02275F-33F3-405F-B3D2-BA322C3EC781}"/>
    <cellStyle name="Entrada 2 3 6" xfId="6962" xr:uid="{209D9106-0871-4D24-99C4-22996DA122E6}"/>
    <cellStyle name="Entrada 2 3 7" xfId="6963" xr:uid="{350C821A-1139-4293-AED0-11825AAFE8D2}"/>
    <cellStyle name="Entrada 2 3 8" xfId="6964" xr:uid="{32DFB3BD-CE5A-4FEE-B4EA-8A72EB9E3B4A}"/>
    <cellStyle name="Entrada 2 3 9" xfId="6965" xr:uid="{D63082D6-93E3-49EB-A82F-78A354293BD1}"/>
    <cellStyle name="Entrada 2 3_2013" xfId="6966" xr:uid="{C90BA6F1-7203-412F-B0C5-8B0995CDDDE6}"/>
    <cellStyle name="Entrada 2 4" xfId="6967" xr:uid="{3DAD415B-0818-4E83-9A27-8E3E72DB190E}"/>
    <cellStyle name="Entrada 2 4 10" xfId="6968" xr:uid="{72528206-04F3-4C88-B144-6B127211AE6E}"/>
    <cellStyle name="Entrada 2 4 11" xfId="6969" xr:uid="{71C03442-C565-4783-8AA0-C54722BA15CE}"/>
    <cellStyle name="Entrada 2 4 12" xfId="6970" xr:uid="{F7523E20-596A-4EFD-BA55-8798687896AB}"/>
    <cellStyle name="Entrada 2 4 13" xfId="6971" xr:uid="{E82EB507-65A1-4049-B543-E11A9ED826D6}"/>
    <cellStyle name="Entrada 2 4 14" xfId="6972" xr:uid="{6AC64C70-5094-4A56-9312-6B6B8D922933}"/>
    <cellStyle name="Entrada 2 4 15" xfId="6973" xr:uid="{ED941B91-B0A8-40CA-B8A4-9579C18B91E8}"/>
    <cellStyle name="Entrada 2 4 16" xfId="6974" xr:uid="{5AF130B3-A24D-4EB2-AE1D-D5C0520B63DE}"/>
    <cellStyle name="Entrada 2 4 17" xfId="6975" xr:uid="{E0CD32B3-D749-41D6-BFA2-8D9964EB9F59}"/>
    <cellStyle name="Entrada 2 4 18" xfId="6976" xr:uid="{7CAF3061-7194-436C-8B84-F16D0E7A2E04}"/>
    <cellStyle name="Entrada 2 4 19" xfId="6977" xr:uid="{93888A99-4AB9-4A7D-9AFE-0A0EF0F6362A}"/>
    <cellStyle name="Entrada 2 4 19 2" xfId="6978" xr:uid="{E8321630-DF76-4390-80EA-362BBB2824B8}"/>
    <cellStyle name="Entrada 2 4 19_2013" xfId="6979" xr:uid="{66ADA053-1ED1-4F7B-A4D2-49C96C5F281F}"/>
    <cellStyle name="Entrada 2 4 2" xfId="6980" xr:uid="{E09796FF-C4E4-4BA5-802C-EDDF1AAC6E44}"/>
    <cellStyle name="Entrada 2 4 2 10" xfId="6981" xr:uid="{1ED25B21-62C6-41CA-B39E-1B5692388273}"/>
    <cellStyle name="Entrada 2 4 2 11" xfId="6982" xr:uid="{A942CB13-770A-463D-ABBB-EC9E42246D52}"/>
    <cellStyle name="Entrada 2 4 2 12" xfId="6983" xr:uid="{FC3252D8-3FFE-44B8-B648-F8806E79FBFA}"/>
    <cellStyle name="Entrada 2 4 2 13" xfId="6984" xr:uid="{09058CF5-126E-4D09-9D3C-619F1720042C}"/>
    <cellStyle name="Entrada 2 4 2 14" xfId="6985" xr:uid="{06545780-8E5B-4B1E-BC35-F7D20569CA9D}"/>
    <cellStyle name="Entrada 2 4 2 15" xfId="6986" xr:uid="{5A5CFA29-634A-4BF6-91BF-0E5A5DAF933E}"/>
    <cellStyle name="Entrada 2 4 2 16" xfId="6987" xr:uid="{91B428EB-44EB-43AB-91B2-6171F1F96CD0}"/>
    <cellStyle name="Entrada 2 4 2 17" xfId="6988" xr:uid="{2E272382-C390-4F02-807B-38F7317C5D66}"/>
    <cellStyle name="Entrada 2 4 2 18" xfId="6989" xr:uid="{CE18922F-24EA-4ABF-808C-3DB13F9E5178}"/>
    <cellStyle name="Entrada 2 4 2 18 2" xfId="6990" xr:uid="{A7E1D891-B51A-4D8B-81D2-A7EE2047224F}"/>
    <cellStyle name="Entrada 2 4 2 18_2013" xfId="6991" xr:uid="{91CBE364-FECE-47C3-8FE4-0EE0198EF9C3}"/>
    <cellStyle name="Entrada 2 4 2 19" xfId="6992" xr:uid="{50EB5CDA-A58B-47F1-AABB-9A4F92A144A8}"/>
    <cellStyle name="Entrada 2 4 2 2" xfId="6993" xr:uid="{863CF947-7064-4C2E-9C21-40DBD70D71CF}"/>
    <cellStyle name="Entrada 2 4 2 3" xfId="6994" xr:uid="{67457E80-011D-4525-8D00-0E40CD4D44F1}"/>
    <cellStyle name="Entrada 2 4 2 4" xfId="6995" xr:uid="{570D6422-D9C1-4998-B220-326036A3F657}"/>
    <cellStyle name="Entrada 2 4 2 5" xfId="6996" xr:uid="{09823C80-A220-44EC-A4C4-D7C122E6354C}"/>
    <cellStyle name="Entrada 2 4 2 6" xfId="6997" xr:uid="{EF6349B6-73BE-4E17-8106-480920671EE4}"/>
    <cellStyle name="Entrada 2 4 2 7" xfId="6998" xr:uid="{945E734D-2A60-4313-8DE3-07D35B0F0A56}"/>
    <cellStyle name="Entrada 2 4 2 8" xfId="6999" xr:uid="{B29C7F9B-D36F-4D6A-A01A-79DB53E97E9B}"/>
    <cellStyle name="Entrada 2 4 2 9" xfId="7000" xr:uid="{7A6A0F72-49AD-4663-BBBD-3A1E5E5682FC}"/>
    <cellStyle name="Entrada 2 4 2_2013" xfId="7001" xr:uid="{23885FD9-03DB-4B33-9AB5-FA586942BDA9}"/>
    <cellStyle name="Entrada 2 4 20" xfId="7002" xr:uid="{74978465-3D23-44DE-A8A9-AAC795EB3753}"/>
    <cellStyle name="Entrada 2 4 3" xfId="7003" xr:uid="{D0AB858E-A179-4B03-AF11-F62375100599}"/>
    <cellStyle name="Entrada 2 4 4" xfId="7004" xr:uid="{AF17E461-48EE-4192-808B-0A2341834CF9}"/>
    <cellStyle name="Entrada 2 4 5" xfId="7005" xr:uid="{6F845FE0-4340-4E15-9D6E-2203D8AAC5C1}"/>
    <cellStyle name="Entrada 2 4 6" xfId="7006" xr:uid="{E4F951A7-347F-40EE-AA8A-482DA3B4C739}"/>
    <cellStyle name="Entrada 2 4 7" xfId="7007" xr:uid="{D93002FB-5801-49C3-8CAC-CAFCB8470AA1}"/>
    <cellStyle name="Entrada 2 4 8" xfId="7008" xr:uid="{8E969E1E-BB74-4B96-B8FA-EA0B1C653F5C}"/>
    <cellStyle name="Entrada 2 4 9" xfId="7009" xr:uid="{41B06FAC-E96D-4562-BFF6-9761AE0B9DFF}"/>
    <cellStyle name="Entrada 2 4_2013" xfId="7010" xr:uid="{A42BEE3F-ADD8-4F17-AABE-47FF05A2EA56}"/>
    <cellStyle name="Entrada 2 5" xfId="7011" xr:uid="{A850F746-D7E5-4251-B0A4-E5AE366C3BBE}"/>
    <cellStyle name="Entrada 2 5 10" xfId="7012" xr:uid="{37EF413F-7D88-4F70-B46B-6866FD0D1B78}"/>
    <cellStyle name="Entrada 2 5 11" xfId="7013" xr:uid="{D1211447-2996-499A-80E1-884E75CCABB1}"/>
    <cellStyle name="Entrada 2 5 12" xfId="7014" xr:uid="{F712E13A-3119-4A1C-AE8A-D016319EBA04}"/>
    <cellStyle name="Entrada 2 5 13" xfId="7015" xr:uid="{AA0B59B5-1EF7-4B6D-AD6B-856974CB2457}"/>
    <cellStyle name="Entrada 2 5 14" xfId="7016" xr:uid="{A583EB6D-DDDF-4544-AC9C-50315CB77423}"/>
    <cellStyle name="Entrada 2 5 15" xfId="7017" xr:uid="{32CFF95A-D669-4832-91D9-651D583178FD}"/>
    <cellStyle name="Entrada 2 5 16" xfId="7018" xr:uid="{344A9B2C-49F8-42BF-A869-A9DE7C3EF549}"/>
    <cellStyle name="Entrada 2 5 17" xfId="7019" xr:uid="{2F41DAB6-FB79-4790-AA0A-CB980F8D1375}"/>
    <cellStyle name="Entrada 2 5 18" xfId="7020" xr:uid="{95085B7A-96AD-4E21-A291-0E6FDEA44D17}"/>
    <cellStyle name="Entrada 2 5 19" xfId="7021" xr:uid="{ACB4F35B-FDEF-4302-874B-7F6E1AE3643A}"/>
    <cellStyle name="Entrada 2 5 19 2" xfId="7022" xr:uid="{94D4EE07-D837-4B66-92DC-2A8C65283C26}"/>
    <cellStyle name="Entrada 2 5 19_2013" xfId="7023" xr:uid="{F235C926-8B5F-4590-B482-321ADF605803}"/>
    <cellStyle name="Entrada 2 5 2" xfId="7024" xr:uid="{B5B7D3B5-3F25-434A-99AB-76054ADF6792}"/>
    <cellStyle name="Entrada 2 5 2 10" xfId="7025" xr:uid="{39A1523E-C84E-4838-9887-3AE5E6FCDE07}"/>
    <cellStyle name="Entrada 2 5 2 11" xfId="7026" xr:uid="{941EF7B4-5FF0-4BAF-9867-E4A9C5F9726B}"/>
    <cellStyle name="Entrada 2 5 2 12" xfId="7027" xr:uid="{5D7C125E-5A77-4ED1-A32A-79C01F55A446}"/>
    <cellStyle name="Entrada 2 5 2 13" xfId="7028" xr:uid="{18321BF4-326A-4790-8674-A39D9E6532C7}"/>
    <cellStyle name="Entrada 2 5 2 14" xfId="7029" xr:uid="{587F7B34-C3D5-48A8-87C8-6B425FE1DA61}"/>
    <cellStyle name="Entrada 2 5 2 15" xfId="7030" xr:uid="{A2D61265-6236-43E5-A4D4-3BFD8F0317FA}"/>
    <cellStyle name="Entrada 2 5 2 16" xfId="7031" xr:uid="{5E39E97F-F31A-471E-8259-A94C5C080692}"/>
    <cellStyle name="Entrada 2 5 2 17" xfId="7032" xr:uid="{29445F89-714B-45CE-B26E-CBF3A68BBE44}"/>
    <cellStyle name="Entrada 2 5 2 18" xfId="7033" xr:uid="{9BBDD33F-0FAF-4BD0-B193-9FE348B4F7AC}"/>
    <cellStyle name="Entrada 2 5 2 18 2" xfId="7034" xr:uid="{6AB4B988-4B5F-497B-A976-D178FA91BCBA}"/>
    <cellStyle name="Entrada 2 5 2 18_2013" xfId="7035" xr:uid="{F4B3A853-DAEE-4E7F-AEAE-3D79AF769AF3}"/>
    <cellStyle name="Entrada 2 5 2 19" xfId="7036" xr:uid="{87EAF1FC-1576-49C6-86B8-6E29295FF188}"/>
    <cellStyle name="Entrada 2 5 2 2" xfId="7037" xr:uid="{0FA4D56E-C2ED-4801-960B-9B6668B56C85}"/>
    <cellStyle name="Entrada 2 5 2 3" xfId="7038" xr:uid="{8C06B19B-A1C8-481B-87D7-7E956C34F793}"/>
    <cellStyle name="Entrada 2 5 2 4" xfId="7039" xr:uid="{CDA4F364-2CE2-4A9B-AB34-6D872A77E6DC}"/>
    <cellStyle name="Entrada 2 5 2 5" xfId="7040" xr:uid="{21494096-6BDC-45E7-99C7-B0B149D2ACDF}"/>
    <cellStyle name="Entrada 2 5 2 6" xfId="7041" xr:uid="{C482BD5F-4ABB-44DE-B2CA-F5DA1E13D09D}"/>
    <cellStyle name="Entrada 2 5 2 7" xfId="7042" xr:uid="{8AD45994-F48D-459E-93E7-3631EBD583C3}"/>
    <cellStyle name="Entrada 2 5 2 8" xfId="7043" xr:uid="{D32E9F90-40FD-4AC3-94B0-2009EAA06C60}"/>
    <cellStyle name="Entrada 2 5 2 9" xfId="7044" xr:uid="{C0248CB9-CE37-41C0-AC70-A2882AEF90F6}"/>
    <cellStyle name="Entrada 2 5 2_2013" xfId="7045" xr:uid="{E4883158-DA27-46A5-AD9A-FD373A3CCE6B}"/>
    <cellStyle name="Entrada 2 5 20" xfId="7046" xr:uid="{D3D97247-42AE-4433-9375-76918C318FCA}"/>
    <cellStyle name="Entrada 2 5 3" xfId="7047" xr:uid="{F2354108-1F8F-474D-AA22-F2A6E74981EC}"/>
    <cellStyle name="Entrada 2 5 4" xfId="7048" xr:uid="{EB47C9F9-F7EF-46B7-94C6-B61F08F7B920}"/>
    <cellStyle name="Entrada 2 5 5" xfId="7049" xr:uid="{3244ECCD-CA66-4356-AF4E-5673D88BAFAD}"/>
    <cellStyle name="Entrada 2 5 6" xfId="7050" xr:uid="{48554520-F12B-430E-92C1-4F75A9EDD8A0}"/>
    <cellStyle name="Entrada 2 5 7" xfId="7051" xr:uid="{6F8DBE86-954C-457E-9476-B8A27527E66F}"/>
    <cellStyle name="Entrada 2 5 8" xfId="7052" xr:uid="{84D110BB-AE17-4A89-A514-85688D7A5A1F}"/>
    <cellStyle name="Entrada 2 5 9" xfId="7053" xr:uid="{E4682421-2A7E-4A5C-9EC5-34D3B54396E5}"/>
    <cellStyle name="Entrada 2 5_2013" xfId="7054" xr:uid="{0D3EDA0F-5C05-450F-9DBB-55112C6A123B}"/>
    <cellStyle name="Entrada 2 6" xfId="7055" xr:uid="{A6DD459F-5119-4DDD-BF6D-158D72BAF97C}"/>
    <cellStyle name="Entrada 2 6 10" xfId="7056" xr:uid="{27047E70-E1BD-4672-8C96-B0CE1659CA95}"/>
    <cellStyle name="Entrada 2 6 11" xfId="7057" xr:uid="{CF414BF8-4B48-4903-9A1D-5D5C61CC89F8}"/>
    <cellStyle name="Entrada 2 6 12" xfId="7058" xr:uid="{88720E98-B340-4ACB-9A92-7599351C2D41}"/>
    <cellStyle name="Entrada 2 6 13" xfId="7059" xr:uid="{9D8C0536-A8B5-434C-BD7C-23EAD8BF84ED}"/>
    <cellStyle name="Entrada 2 6 14" xfId="7060" xr:uid="{C82537A8-3065-4928-A8EB-4962E32614BE}"/>
    <cellStyle name="Entrada 2 6 15" xfId="7061" xr:uid="{408833C3-5D14-43F4-90FA-0B22B0D945DF}"/>
    <cellStyle name="Entrada 2 6 16" xfId="7062" xr:uid="{320A2971-49F9-4BFF-9E98-12977E056629}"/>
    <cellStyle name="Entrada 2 6 17" xfId="7063" xr:uid="{B9BD1577-801D-4036-BEB3-C5ED5083EAA2}"/>
    <cellStyle name="Entrada 2 6 18" xfId="7064" xr:uid="{41A74288-9321-4FA9-886A-FF1730E2AA20}"/>
    <cellStyle name="Entrada 2 6 18 2" xfId="7065" xr:uid="{640F917E-CDFD-48D9-9EE9-46FBD7EBDFF6}"/>
    <cellStyle name="Entrada 2 6 18_2013" xfId="7066" xr:uid="{CE84A4A3-4C0D-4E5E-90E7-D2AD4BFBF20E}"/>
    <cellStyle name="Entrada 2 6 19" xfId="7067" xr:uid="{87A2437B-0342-4750-93F9-BBBE033B920B}"/>
    <cellStyle name="Entrada 2 6 2" xfId="7068" xr:uid="{03D632E8-6291-4621-AF34-A11E9ACF3470}"/>
    <cellStyle name="Entrada 2 6 3" xfId="7069" xr:uid="{546F43B8-E15E-4B71-BC84-89B78DDF3B78}"/>
    <cellStyle name="Entrada 2 6 4" xfId="7070" xr:uid="{62A7C1E9-6874-455B-A4DD-4D5F9BB88892}"/>
    <cellStyle name="Entrada 2 6 5" xfId="7071" xr:uid="{DA1C2ED8-453A-46BB-B350-6663E6FA9E51}"/>
    <cellStyle name="Entrada 2 6 6" xfId="7072" xr:uid="{EA123B44-8D85-48C3-97FA-547EF5E94D2E}"/>
    <cellStyle name="Entrada 2 6 7" xfId="7073" xr:uid="{26F62CC9-0CAB-4F8A-9A94-794A18C12B7B}"/>
    <cellStyle name="Entrada 2 6 8" xfId="7074" xr:uid="{1298D9A2-FB68-48FC-930A-B951B3ED18D7}"/>
    <cellStyle name="Entrada 2 6 9" xfId="7075" xr:uid="{019C4D49-8961-4EAA-BEDA-F34AA6B6B48A}"/>
    <cellStyle name="Entrada 2 6_2013" xfId="7076" xr:uid="{9B513076-D6B2-4EED-B1D8-D0E00B1E5492}"/>
    <cellStyle name="Entrada 2 7" xfId="7077" xr:uid="{1FF193A8-E836-4F16-A755-174532AA05FD}"/>
    <cellStyle name="Entrada 2 8" xfId="7078" xr:uid="{10EE578A-2062-4A45-9AAA-CEC2B565ED20}"/>
    <cellStyle name="Entrada 2 9" xfId="7079" xr:uid="{5D62E7DC-B727-4BBA-92A5-810629B2A022}"/>
    <cellStyle name="Entrada 2_2013" xfId="7080" xr:uid="{E14B1B65-3AA3-443C-92F1-4BCD8BA11D1B}"/>
    <cellStyle name="Entrada 20" xfId="7081" xr:uid="{BBF1DDA1-1F46-4C32-8D1A-584CB5B8C43A}"/>
    <cellStyle name="Entrada 21" xfId="7082" xr:uid="{37034B0E-2BF0-4B99-B190-677010A2CB72}"/>
    <cellStyle name="Entrada 22" xfId="7083" xr:uid="{CAB8DC13-CEE6-4EA6-A5D9-81E203413C87}"/>
    <cellStyle name="Entrada 23" xfId="7084" xr:uid="{9940CBFF-BC79-4CF8-A7F9-B4575D99C172}"/>
    <cellStyle name="Entrada 24" xfId="7085" xr:uid="{3D37E5E5-3488-4DD4-9687-B6A75E505104}"/>
    <cellStyle name="Entrada 25" xfId="7086" xr:uid="{312E83B2-D396-422C-8904-C32526B6DA7A}"/>
    <cellStyle name="Entrada 26" xfId="7087" xr:uid="{538A0826-C018-4449-ABCE-6525F7752DB3}"/>
    <cellStyle name="Entrada 27" xfId="7088" xr:uid="{ADE4EECB-67EA-4E21-B707-E5679805938E}"/>
    <cellStyle name="Entrada 3" xfId="7089" xr:uid="{E330F0C3-2132-45B5-B624-215DE2083DFF}"/>
    <cellStyle name="Entrada 3 10" xfId="7090" xr:uid="{A1685546-3541-4127-9BF0-EC6B290F259A}"/>
    <cellStyle name="Entrada 3 11" xfId="7091" xr:uid="{7EEB414F-EF23-431C-A36A-1D16FCA05E26}"/>
    <cellStyle name="Entrada 3 12" xfId="7092" xr:uid="{4674EE69-A1B5-437A-88A9-1B4F070FAF9F}"/>
    <cellStyle name="Entrada 3 13" xfId="7093" xr:uid="{E4872EB0-B56E-45AC-8E84-3613EEA31D54}"/>
    <cellStyle name="Entrada 3 14" xfId="7094" xr:uid="{56EDBEFF-D8A9-48F2-B97C-69EFD3DD87E4}"/>
    <cellStyle name="Entrada 3 15" xfId="7095" xr:uid="{6952A63D-EDB1-4D87-A3F8-93D25E91E504}"/>
    <cellStyle name="Entrada 3 16" xfId="7096" xr:uid="{023A8033-6CC5-4303-92FF-03B600D45BF9}"/>
    <cellStyle name="Entrada 3 17" xfId="7097" xr:uid="{D1CA0B52-27AE-461A-B2E1-676E70E0DA85}"/>
    <cellStyle name="Entrada 3 18" xfId="7098" xr:uid="{C3245031-8F9D-4CEB-9527-8CEDB92C4939}"/>
    <cellStyle name="Entrada 3 19" xfId="7099" xr:uid="{421E5984-E30F-4705-85AC-3A4EB5842230}"/>
    <cellStyle name="Entrada 3 2" xfId="7100" xr:uid="{8BE01497-483F-4351-846E-1CA683B3055A}"/>
    <cellStyle name="Entrada 3 2 10" xfId="7101" xr:uid="{62D51CD0-6393-4E21-BDE1-8F7BF09E66DD}"/>
    <cellStyle name="Entrada 3 2 11" xfId="7102" xr:uid="{985E76E4-E40F-4A21-99E5-3C72ED11DCE1}"/>
    <cellStyle name="Entrada 3 2 12" xfId="7103" xr:uid="{619634C6-C3AE-4920-A4B6-984F29D160E2}"/>
    <cellStyle name="Entrada 3 2 13" xfId="7104" xr:uid="{E3EC6BA6-C448-485F-A164-F4DA7CBCB612}"/>
    <cellStyle name="Entrada 3 2 14" xfId="7105" xr:uid="{FE1667EB-9F64-4ED5-AF50-9C10B0FCA2B5}"/>
    <cellStyle name="Entrada 3 2 15" xfId="7106" xr:uid="{EC7A80F6-AA32-4217-9AFD-F31917D8B3CA}"/>
    <cellStyle name="Entrada 3 2 16" xfId="7107" xr:uid="{78509B53-AC39-48C5-B387-8E87BBFC94CA}"/>
    <cellStyle name="Entrada 3 2 17" xfId="7108" xr:uid="{7D0C9CFC-697F-4D89-BB11-60AAD74EC960}"/>
    <cellStyle name="Entrada 3 2 18" xfId="7109" xr:uid="{CE7FCA65-8C9E-4731-9D1B-3A32E82F9D8F}"/>
    <cellStyle name="Entrada 3 2 19" xfId="7110" xr:uid="{57BE833C-6110-490F-8B6C-CE93AC35E6FA}"/>
    <cellStyle name="Entrada 3 2 2" xfId="7111" xr:uid="{D53BEC4F-0F11-461E-9953-A8FD205A3D91}"/>
    <cellStyle name="Entrada 3 2 2 10" xfId="7112" xr:uid="{29268464-6D5A-4535-B5B6-9A003ED46A10}"/>
    <cellStyle name="Entrada 3 2 2 11" xfId="7113" xr:uid="{8842D8C2-F39C-4DE9-B233-C09B92DFDA60}"/>
    <cellStyle name="Entrada 3 2 2 12" xfId="7114" xr:uid="{D3E750F2-E806-4A9C-8108-8F6F57AD45A2}"/>
    <cellStyle name="Entrada 3 2 2 13" xfId="7115" xr:uid="{A410DA11-112B-4851-ACAC-64640180DD71}"/>
    <cellStyle name="Entrada 3 2 2 14" xfId="7116" xr:uid="{52CEEF21-29BF-4E3A-A302-83C221B1D711}"/>
    <cellStyle name="Entrada 3 2 2 15" xfId="7117" xr:uid="{9A62BC8B-6D55-436F-B399-D675F710F89A}"/>
    <cellStyle name="Entrada 3 2 2 16" xfId="7118" xr:uid="{BA497034-EC35-47A1-8A00-0F92F9A084B0}"/>
    <cellStyle name="Entrada 3 2 2 17" xfId="7119" xr:uid="{E7DCF55E-683B-4A06-A24E-68F1A44D4586}"/>
    <cellStyle name="Entrada 3 2 2 18" xfId="7120" xr:uid="{FAF6B4F4-1C57-4949-9FC8-F2628BF67E53}"/>
    <cellStyle name="Entrada 3 2 2 19" xfId="7121" xr:uid="{F3A0D398-A11A-4C1D-BEFE-C0198FC45C39}"/>
    <cellStyle name="Entrada 3 2 2 19 2" xfId="7122" xr:uid="{FD19EFE5-43C6-4480-B072-7F4940571E90}"/>
    <cellStyle name="Entrada 3 2 2 19_2013" xfId="7123" xr:uid="{04E48E8F-BAD1-4D55-A36F-5743D5EED4A1}"/>
    <cellStyle name="Entrada 3 2 2 2" xfId="7124" xr:uid="{1491B603-2987-429C-B294-4088E17527AD}"/>
    <cellStyle name="Entrada 3 2 2 2 10" xfId="7125" xr:uid="{0047FF3F-9C3D-4D06-8047-FFEEC59C465F}"/>
    <cellStyle name="Entrada 3 2 2 2 11" xfId="7126" xr:uid="{CF4B1F0A-7B65-42D4-AAF3-59CCDDF6EF9B}"/>
    <cellStyle name="Entrada 3 2 2 2 12" xfId="7127" xr:uid="{CA317876-5F0F-4D69-852E-F8EAA68CFBB7}"/>
    <cellStyle name="Entrada 3 2 2 2 13" xfId="7128" xr:uid="{E2D4572D-53A3-4F25-8D4E-93B083600586}"/>
    <cellStyle name="Entrada 3 2 2 2 14" xfId="7129" xr:uid="{0E0E97C0-EF6E-49C9-9AA9-D02CCA660BCF}"/>
    <cellStyle name="Entrada 3 2 2 2 15" xfId="7130" xr:uid="{9346BD1F-6615-4297-9BCB-3500BF1B970B}"/>
    <cellStyle name="Entrada 3 2 2 2 16" xfId="7131" xr:uid="{10C2E12C-1863-4A02-8F76-40999B53C184}"/>
    <cellStyle name="Entrada 3 2 2 2 17" xfId="7132" xr:uid="{0CE70F8E-DE22-4D55-B5AE-ADA7D7EB3016}"/>
    <cellStyle name="Entrada 3 2 2 2 18" xfId="7133" xr:uid="{219E6F22-C9E0-49F9-8733-8FCAAD07BD39}"/>
    <cellStyle name="Entrada 3 2 2 2 18 2" xfId="7134" xr:uid="{AD2C6A9A-2FBA-4EC0-B660-ED27BF520420}"/>
    <cellStyle name="Entrada 3 2 2 2 18_2013" xfId="7135" xr:uid="{14D94558-724F-4DCF-946B-D94899AD8BC1}"/>
    <cellStyle name="Entrada 3 2 2 2 19" xfId="7136" xr:uid="{8F219C10-21D5-42CC-B2D9-4008250738E9}"/>
    <cellStyle name="Entrada 3 2 2 2 2" xfId="7137" xr:uid="{75BDDD90-0193-4EEC-9C6D-A40332DD263E}"/>
    <cellStyle name="Entrada 3 2 2 2 3" xfId="7138" xr:uid="{6D1A9D05-06DB-4B44-B981-E8388FB6722E}"/>
    <cellStyle name="Entrada 3 2 2 2 4" xfId="7139" xr:uid="{AE0C5083-C4B9-4696-A1B5-6D119552FB33}"/>
    <cellStyle name="Entrada 3 2 2 2 5" xfId="7140" xr:uid="{1DCC9EE1-C165-44C5-B138-2E917F576D7F}"/>
    <cellStyle name="Entrada 3 2 2 2 6" xfId="7141" xr:uid="{256DF552-67F5-45F9-9BA9-8D51ECD3746A}"/>
    <cellStyle name="Entrada 3 2 2 2 7" xfId="7142" xr:uid="{DF57BDD0-FB75-4200-BE6D-F66B40B8B121}"/>
    <cellStyle name="Entrada 3 2 2 2 8" xfId="7143" xr:uid="{28912DBE-B477-423A-A1C9-92FB2144E95F}"/>
    <cellStyle name="Entrada 3 2 2 2 9" xfId="7144" xr:uid="{D46A04A4-DC3C-473B-9140-AAB10D775162}"/>
    <cellStyle name="Entrada 3 2 2 2_2013" xfId="7145" xr:uid="{95C8D6B8-90A9-4E3A-92F9-555466B614F3}"/>
    <cellStyle name="Entrada 3 2 2 20" xfId="7146" xr:uid="{6E903D88-0CAC-4FDB-89A0-EEAC3BF1CB18}"/>
    <cellStyle name="Entrada 3 2 2 3" xfId="7147" xr:uid="{68C6D31A-98EB-41AF-95D0-29043E07CB5B}"/>
    <cellStyle name="Entrada 3 2 2 4" xfId="7148" xr:uid="{D77BF639-6B8F-4D3F-8A31-1CB541F40A03}"/>
    <cellStyle name="Entrada 3 2 2 5" xfId="7149" xr:uid="{32B9053F-37FB-462D-ADCE-FF488090B1B5}"/>
    <cellStyle name="Entrada 3 2 2 6" xfId="7150" xr:uid="{0A62A831-8AFD-476A-8668-53EB5ACADF55}"/>
    <cellStyle name="Entrada 3 2 2 7" xfId="7151" xr:uid="{344FFDA8-DEC7-49D7-9D18-F99F53171C4B}"/>
    <cellStyle name="Entrada 3 2 2 8" xfId="7152" xr:uid="{D0C28B6C-5517-45AB-BF9B-6822022C9D4B}"/>
    <cellStyle name="Entrada 3 2 2 9" xfId="7153" xr:uid="{6A76125D-4F67-4C3D-834C-4AE27A5F782C}"/>
    <cellStyle name="Entrada 3 2 2_2013" xfId="7154" xr:uid="{75C27F4E-2EC2-4923-8EA9-81D3624ADBD2}"/>
    <cellStyle name="Entrada 3 2 20" xfId="7155" xr:uid="{8AF9A923-D7DF-4E8D-A221-EEA421D71089}"/>
    <cellStyle name="Entrada 3 2 21" xfId="7156" xr:uid="{BDB3E039-DE6E-41CA-8759-CACE72CD495C}"/>
    <cellStyle name="Entrada 3 2 22" xfId="7157" xr:uid="{55F9A3AF-69C6-4AF2-A7E7-A263FB1E0E8A}"/>
    <cellStyle name="Entrada 3 2 22 2" xfId="7158" xr:uid="{7A288141-FC0A-4669-B296-3748DBE6F0D3}"/>
    <cellStyle name="Entrada 3 2 22_2013" xfId="7159" xr:uid="{342AAC61-5D99-4D83-BE56-21DA28973E39}"/>
    <cellStyle name="Entrada 3 2 23" xfId="7160" xr:uid="{DBCD61AC-F701-43E9-8C87-06195B0EB80F}"/>
    <cellStyle name="Entrada 3 2 3" xfId="7161" xr:uid="{8EA85E0C-DE99-4C85-AEF7-8E5D73F9EAF2}"/>
    <cellStyle name="Entrada 3 2 3 10" xfId="7162" xr:uid="{DD602B75-EC41-4C22-8A68-435CE1131912}"/>
    <cellStyle name="Entrada 3 2 3 11" xfId="7163" xr:uid="{CE0A7891-5B6F-42A4-8666-47CC918F9FEB}"/>
    <cellStyle name="Entrada 3 2 3 12" xfId="7164" xr:uid="{3C0F4646-B1A5-4621-9144-B711C8CF7DC8}"/>
    <cellStyle name="Entrada 3 2 3 13" xfId="7165" xr:uid="{EB12C5A4-27E4-47C2-8678-CC1009A652CA}"/>
    <cellStyle name="Entrada 3 2 3 14" xfId="7166" xr:uid="{ADD79DE2-80BE-45EA-83E8-DD60C24B2D39}"/>
    <cellStyle name="Entrada 3 2 3 15" xfId="7167" xr:uid="{0846CC0B-6844-4F45-A599-2179332E8A27}"/>
    <cellStyle name="Entrada 3 2 3 16" xfId="7168" xr:uid="{6924D8F8-288E-45EE-BD9C-411C256515C8}"/>
    <cellStyle name="Entrada 3 2 3 17" xfId="7169" xr:uid="{D273A719-8E5E-4EA8-B35A-AED463EBAB13}"/>
    <cellStyle name="Entrada 3 2 3 18" xfId="7170" xr:uid="{80905E5F-A2B2-4086-A932-43FC02E7EF4B}"/>
    <cellStyle name="Entrada 3 2 3 19" xfId="7171" xr:uid="{C6B1B49F-DBE5-48A1-B0EC-8D8DC64C421D}"/>
    <cellStyle name="Entrada 3 2 3 19 2" xfId="7172" xr:uid="{4BA84FDA-BC53-4D10-877A-8DF49044599C}"/>
    <cellStyle name="Entrada 3 2 3 19_2013" xfId="7173" xr:uid="{2E3E6B24-B115-4BC0-AF03-072D7CB32342}"/>
    <cellStyle name="Entrada 3 2 3 2" xfId="7174" xr:uid="{240BD13F-EE73-4158-A8E6-BF4D810EC6D7}"/>
    <cellStyle name="Entrada 3 2 3 2 10" xfId="7175" xr:uid="{74F011C5-E8C1-4CD1-9F4F-34E705A5FF28}"/>
    <cellStyle name="Entrada 3 2 3 2 11" xfId="7176" xr:uid="{16871B58-0811-412F-B40D-FE5E58D7013A}"/>
    <cellStyle name="Entrada 3 2 3 2 12" xfId="7177" xr:uid="{E384D99F-478A-4AD2-88B6-4630DD0C464D}"/>
    <cellStyle name="Entrada 3 2 3 2 13" xfId="7178" xr:uid="{0E2F68EA-298F-47A8-997F-5330A0FB15C1}"/>
    <cellStyle name="Entrada 3 2 3 2 14" xfId="7179" xr:uid="{CAACB5A6-B229-4297-8043-7756E357307E}"/>
    <cellStyle name="Entrada 3 2 3 2 15" xfId="7180" xr:uid="{6B78AB3C-8073-45A4-B8B9-61290DD8FD31}"/>
    <cellStyle name="Entrada 3 2 3 2 16" xfId="7181" xr:uid="{EE8584BF-B43E-41DD-BCFC-A3A20BFE998E}"/>
    <cellStyle name="Entrada 3 2 3 2 17" xfId="7182" xr:uid="{D91C3D04-6754-4562-A492-ACD6BA664A73}"/>
    <cellStyle name="Entrada 3 2 3 2 18" xfId="7183" xr:uid="{A9AA26D0-C46F-4C70-AA0A-4E75A390364B}"/>
    <cellStyle name="Entrada 3 2 3 2 18 2" xfId="7184" xr:uid="{E63B24DC-7F11-4221-8BEE-B5378246A4F6}"/>
    <cellStyle name="Entrada 3 2 3 2 18_2013" xfId="7185" xr:uid="{2103C34A-DF9A-4711-90BA-13A0C51E9BEF}"/>
    <cellStyle name="Entrada 3 2 3 2 19" xfId="7186" xr:uid="{B2E3B480-C7C2-49C6-92BC-980BF38A2C56}"/>
    <cellStyle name="Entrada 3 2 3 2 2" xfId="7187" xr:uid="{91B167D2-6C7E-498E-9A52-4138CCD2AB15}"/>
    <cellStyle name="Entrada 3 2 3 2 3" xfId="7188" xr:uid="{ABC3AF8B-7342-4F6F-B2B0-E41BAAAE425A}"/>
    <cellStyle name="Entrada 3 2 3 2 4" xfId="7189" xr:uid="{9E2CE88B-F62F-48BC-9C73-CAB16287317B}"/>
    <cellStyle name="Entrada 3 2 3 2 5" xfId="7190" xr:uid="{CEE64A4C-D2FF-4D4C-AE03-33126B718896}"/>
    <cellStyle name="Entrada 3 2 3 2 6" xfId="7191" xr:uid="{F7E3A48D-B425-4C42-8DB4-82C25E3DC93F}"/>
    <cellStyle name="Entrada 3 2 3 2 7" xfId="7192" xr:uid="{2973F5E4-0AF8-40D4-9C22-9DC3A714AEE3}"/>
    <cellStyle name="Entrada 3 2 3 2 8" xfId="7193" xr:uid="{58C02556-C0C2-4778-92CB-DA61C0EFC3B9}"/>
    <cellStyle name="Entrada 3 2 3 2 9" xfId="7194" xr:uid="{6510918B-1DCF-4E2B-8E22-DFB6112A6690}"/>
    <cellStyle name="Entrada 3 2 3 2_2013" xfId="7195" xr:uid="{7C0BA51A-6C5F-4033-AA47-90FCF0608C97}"/>
    <cellStyle name="Entrada 3 2 3 20" xfId="7196" xr:uid="{18ED590C-A04A-422F-ABA0-7D1E43D93D37}"/>
    <cellStyle name="Entrada 3 2 3 3" xfId="7197" xr:uid="{EE2FD13B-9BDC-4FC4-B1DF-1B53FAB26039}"/>
    <cellStyle name="Entrada 3 2 3 4" xfId="7198" xr:uid="{AD0A2528-627B-4E3B-A730-61D51353B56E}"/>
    <cellStyle name="Entrada 3 2 3 5" xfId="7199" xr:uid="{87B456D2-19CF-418D-A709-994BC00A04FB}"/>
    <cellStyle name="Entrada 3 2 3 6" xfId="7200" xr:uid="{0A553087-77D3-4336-9C40-46F89ACE3E6E}"/>
    <cellStyle name="Entrada 3 2 3 7" xfId="7201" xr:uid="{F325948B-5375-4AF0-8721-CADBEB32979F}"/>
    <cellStyle name="Entrada 3 2 3 8" xfId="7202" xr:uid="{0B83DA25-88C7-49C1-A5AC-87DCBC1D0DAD}"/>
    <cellStyle name="Entrada 3 2 3 9" xfId="7203" xr:uid="{561E6D8F-BC13-4B08-8B27-DF09519A1E44}"/>
    <cellStyle name="Entrada 3 2 3_2013" xfId="7204" xr:uid="{5713BB4A-D9C5-46CD-AC52-70922CF1129B}"/>
    <cellStyle name="Entrada 3 2 4" xfId="7205" xr:uid="{DB3A8E78-4B11-43E4-851E-422BC0D2728C}"/>
    <cellStyle name="Entrada 3 2 4 10" xfId="7206" xr:uid="{0A318DF8-4772-4802-9820-90EFD2A063FF}"/>
    <cellStyle name="Entrada 3 2 4 11" xfId="7207" xr:uid="{EFB312F0-AB00-4695-BE5B-C1295C289AFC}"/>
    <cellStyle name="Entrada 3 2 4 12" xfId="7208" xr:uid="{AFD82AF2-8266-46C0-B99C-1ACC5C2D226F}"/>
    <cellStyle name="Entrada 3 2 4 13" xfId="7209" xr:uid="{7C1E2BCE-10AA-4D9F-A382-7A1F0D1A9EB9}"/>
    <cellStyle name="Entrada 3 2 4 14" xfId="7210" xr:uid="{8E9166DF-4518-4D22-A43F-FA2DE44BF83F}"/>
    <cellStyle name="Entrada 3 2 4 15" xfId="7211" xr:uid="{46D011D2-69B5-472E-9AB8-0BC9618D003F}"/>
    <cellStyle name="Entrada 3 2 4 16" xfId="7212" xr:uid="{44131F41-0125-4369-A6E3-A1261C410F69}"/>
    <cellStyle name="Entrada 3 2 4 17" xfId="7213" xr:uid="{15F277BE-9C95-41AE-8C88-6C82E37D9965}"/>
    <cellStyle name="Entrada 3 2 4 18" xfId="7214" xr:uid="{EE9CB318-C43A-43F0-B5C8-B60117D47377}"/>
    <cellStyle name="Entrada 3 2 4 19" xfId="7215" xr:uid="{B5048038-8EE9-4689-94FB-4B8E2FD00C65}"/>
    <cellStyle name="Entrada 3 2 4 19 2" xfId="7216" xr:uid="{D3CF9F5B-372D-4DB4-809F-4549A6CCF822}"/>
    <cellStyle name="Entrada 3 2 4 19_2013" xfId="7217" xr:uid="{D6ED2E5D-574C-444B-82A6-E63A3114A783}"/>
    <cellStyle name="Entrada 3 2 4 2" xfId="7218" xr:uid="{83BB359A-4F06-44F6-9D11-C62B503AF9F2}"/>
    <cellStyle name="Entrada 3 2 4 2 10" xfId="7219" xr:uid="{945ECC26-59B7-4504-A652-8BAD6C6E0363}"/>
    <cellStyle name="Entrada 3 2 4 2 11" xfId="7220" xr:uid="{6CED3BA7-17C4-454E-BF31-5C3F5E9F3DB3}"/>
    <cellStyle name="Entrada 3 2 4 2 12" xfId="7221" xr:uid="{0B58B21E-2ECC-4702-A14C-BA13D8555A36}"/>
    <cellStyle name="Entrada 3 2 4 2 13" xfId="7222" xr:uid="{49A69E5F-27B2-4AC2-8530-D19ACB4483C5}"/>
    <cellStyle name="Entrada 3 2 4 2 14" xfId="7223" xr:uid="{C77E5F9A-CB21-417C-93FE-DE45787BC14B}"/>
    <cellStyle name="Entrada 3 2 4 2 15" xfId="7224" xr:uid="{96A5E3D5-9D3B-4B49-B68B-57F59E60C97A}"/>
    <cellStyle name="Entrada 3 2 4 2 16" xfId="7225" xr:uid="{E132EED9-7DFE-411F-97F2-DF569E1341CA}"/>
    <cellStyle name="Entrada 3 2 4 2 17" xfId="7226" xr:uid="{EDD8AA69-6994-41FF-A30A-F9FFD3D62151}"/>
    <cellStyle name="Entrada 3 2 4 2 18" xfId="7227" xr:uid="{41B89CDE-01A4-43F0-A227-543BB21DA311}"/>
    <cellStyle name="Entrada 3 2 4 2 18 2" xfId="7228" xr:uid="{8020D21D-C9B1-4FA2-AC24-BD85A0FE550C}"/>
    <cellStyle name="Entrada 3 2 4 2 18_2013" xfId="7229" xr:uid="{C54A68CC-C487-4057-BCC7-2EC7C582474B}"/>
    <cellStyle name="Entrada 3 2 4 2 19" xfId="7230" xr:uid="{6BE9FDFE-ACC2-4E77-A29C-915B1730F66D}"/>
    <cellStyle name="Entrada 3 2 4 2 2" xfId="7231" xr:uid="{E843FDCA-A796-4EAC-9B07-963F4727FC6C}"/>
    <cellStyle name="Entrada 3 2 4 2 3" xfId="7232" xr:uid="{8CFC195D-E54E-4BFF-BF61-219717253C40}"/>
    <cellStyle name="Entrada 3 2 4 2 4" xfId="7233" xr:uid="{AF073BF6-724B-4188-9785-6AE1A7E7C218}"/>
    <cellStyle name="Entrada 3 2 4 2 5" xfId="7234" xr:uid="{0BF377D0-CFDF-477C-A686-DECCC1BBC7D3}"/>
    <cellStyle name="Entrada 3 2 4 2 6" xfId="7235" xr:uid="{A35BC39F-F8DD-438A-914F-B7A1A087D073}"/>
    <cellStyle name="Entrada 3 2 4 2 7" xfId="7236" xr:uid="{4D875ACC-08D0-4BB4-8623-FCA5F7AC601D}"/>
    <cellStyle name="Entrada 3 2 4 2 8" xfId="7237" xr:uid="{4B25835D-412C-4DC0-9E21-1B7932D496EE}"/>
    <cellStyle name="Entrada 3 2 4 2 9" xfId="7238" xr:uid="{219BFFAC-450B-4791-BD4A-56CC56A768D6}"/>
    <cellStyle name="Entrada 3 2 4 2_2013" xfId="7239" xr:uid="{DE5F0BDE-7301-4A45-8BCD-0BBF0C003961}"/>
    <cellStyle name="Entrada 3 2 4 20" xfId="7240" xr:uid="{58EF6EFE-0F3C-47E4-9F41-2B2F1BEC6B9B}"/>
    <cellStyle name="Entrada 3 2 4 3" xfId="7241" xr:uid="{D3F0532B-EC0D-4B7D-9402-4EC5488F81EC}"/>
    <cellStyle name="Entrada 3 2 4 4" xfId="7242" xr:uid="{D4643A3C-7F7E-42A3-B4FD-6F617D37C94B}"/>
    <cellStyle name="Entrada 3 2 4 5" xfId="7243" xr:uid="{43C9080C-74CE-4AC7-BFE9-91610C6793FD}"/>
    <cellStyle name="Entrada 3 2 4 6" xfId="7244" xr:uid="{F6ADFF27-9E6F-402F-A779-3A37EBD37C96}"/>
    <cellStyle name="Entrada 3 2 4 7" xfId="7245" xr:uid="{0FD48B02-846A-4E53-85A8-41D6F35743B3}"/>
    <cellStyle name="Entrada 3 2 4 8" xfId="7246" xr:uid="{AEE989FD-58DE-456B-B26D-A08E16782908}"/>
    <cellStyle name="Entrada 3 2 4 9" xfId="7247" xr:uid="{2E1AF11B-D6E9-47D7-A2A9-C5086D9CE61A}"/>
    <cellStyle name="Entrada 3 2 4_2013" xfId="7248" xr:uid="{B616DEBA-49A8-4858-8A20-E3960260A55A}"/>
    <cellStyle name="Entrada 3 2 5" xfId="7249" xr:uid="{AA68AAAF-50C9-4AB4-9EBF-3E1574FF93F9}"/>
    <cellStyle name="Entrada 3 2 5 10" xfId="7250" xr:uid="{384465AA-31DB-408F-AFDC-8A78D5F870F4}"/>
    <cellStyle name="Entrada 3 2 5 11" xfId="7251" xr:uid="{8B4CAA1D-F744-425C-B97F-3B43D7624A98}"/>
    <cellStyle name="Entrada 3 2 5 12" xfId="7252" xr:uid="{D1739B63-1E71-47CB-B8D5-A1A3D53D5BFD}"/>
    <cellStyle name="Entrada 3 2 5 13" xfId="7253" xr:uid="{B215CCEB-B814-4A8D-BD04-FDD68AB86220}"/>
    <cellStyle name="Entrada 3 2 5 14" xfId="7254" xr:uid="{A96887B2-1022-4E76-9179-5D755B97D3AD}"/>
    <cellStyle name="Entrada 3 2 5 15" xfId="7255" xr:uid="{AD8E3B1E-4EF8-4EB3-BDA0-A661E34FBE2B}"/>
    <cellStyle name="Entrada 3 2 5 16" xfId="7256" xr:uid="{5432CA9E-8612-466E-8F55-6FE8DF295BA3}"/>
    <cellStyle name="Entrada 3 2 5 17" xfId="7257" xr:uid="{17F3E0C3-D2FE-41D1-984E-1A21F214AB92}"/>
    <cellStyle name="Entrada 3 2 5 18" xfId="7258" xr:uid="{61B1A81B-6CF6-4124-A6C5-1E85BD5FC8D8}"/>
    <cellStyle name="Entrada 3 2 5 18 2" xfId="7259" xr:uid="{E6063A09-A0FE-4BA2-A8DC-A3C4960DC346}"/>
    <cellStyle name="Entrada 3 2 5 18_2013" xfId="7260" xr:uid="{8DF68C47-3931-48B5-B61E-34F0DAEE080A}"/>
    <cellStyle name="Entrada 3 2 5 19" xfId="7261" xr:uid="{DEB9AEAF-1EBA-4F30-A1D7-CC56944D1FAF}"/>
    <cellStyle name="Entrada 3 2 5 2" xfId="7262" xr:uid="{177BA774-72BA-4236-93F1-B37BD4143768}"/>
    <cellStyle name="Entrada 3 2 5 3" xfId="7263" xr:uid="{2B308249-8DD9-4516-8F07-4383573BDB16}"/>
    <cellStyle name="Entrada 3 2 5 4" xfId="7264" xr:uid="{8E578D38-0E4E-4C2B-BEF3-EDD1A9C281DC}"/>
    <cellStyle name="Entrada 3 2 5 5" xfId="7265" xr:uid="{A222AD25-801C-4B8A-9191-4777A0A9679E}"/>
    <cellStyle name="Entrada 3 2 5 6" xfId="7266" xr:uid="{41630BFE-21DB-4FD3-A5D1-9C666C311683}"/>
    <cellStyle name="Entrada 3 2 5 7" xfId="7267" xr:uid="{811AF31F-F501-432E-942A-6900C4D25193}"/>
    <cellStyle name="Entrada 3 2 5 8" xfId="7268" xr:uid="{6B99152B-9001-48FA-A38B-1750CBBFEAB8}"/>
    <cellStyle name="Entrada 3 2 5 9" xfId="7269" xr:uid="{AB33D83E-45D2-45DA-8539-8B1A34D085F7}"/>
    <cellStyle name="Entrada 3 2 5_2013" xfId="7270" xr:uid="{CA83FA59-0934-4D61-B5A1-7146ABE22DA3}"/>
    <cellStyle name="Entrada 3 2 6" xfId="7271" xr:uid="{7441F96C-BC06-4C4D-B894-75C6F32520C9}"/>
    <cellStyle name="Entrada 3 2 7" xfId="7272" xr:uid="{B4272A44-5A9B-4C8F-BCCA-3CE16B0E4EE7}"/>
    <cellStyle name="Entrada 3 2 8" xfId="7273" xr:uid="{80EEE634-0A41-4A98-A7EF-8C238BD6BBDB}"/>
    <cellStyle name="Entrada 3 2 9" xfId="7274" xr:uid="{0A80E22E-AD3D-4452-88C5-989137B3F3D8}"/>
    <cellStyle name="Entrada 3 2_2013" xfId="7275" xr:uid="{07A5C29C-4E2B-4CB5-86B0-A70B7DE8BA8D}"/>
    <cellStyle name="Entrada 3 20" xfId="7276" xr:uid="{B9FB77B6-5E8D-4510-BBE8-24BA1FE46594}"/>
    <cellStyle name="Entrada 3 21" xfId="7277" xr:uid="{B4C5FBEB-7B87-4CAE-9AB2-96EAE90EF906}"/>
    <cellStyle name="Entrada 3 22" xfId="7278" xr:uid="{CB0F4FBE-C168-4EDA-B903-9325BC03604D}"/>
    <cellStyle name="Entrada 3 23" xfId="7279" xr:uid="{09F6F23B-4E66-4313-94CE-A8B615A49C33}"/>
    <cellStyle name="Entrada 3 23 2" xfId="7280" xr:uid="{56295FE8-B493-4FBD-93BE-647163CC0911}"/>
    <cellStyle name="Entrada 3 23_2013" xfId="7281" xr:uid="{29E52478-A244-4F22-9294-938BF83F629F}"/>
    <cellStyle name="Entrada 3 24" xfId="7282" xr:uid="{94D34DA0-0807-4423-B0E1-A0D9B406379C}"/>
    <cellStyle name="Entrada 3 3" xfId="7283" xr:uid="{10328888-19BA-4722-8169-D12CAD8C6F8A}"/>
    <cellStyle name="Entrada 3 3 10" xfId="7284" xr:uid="{FFA4D458-E810-4C1C-BC5F-71B50DDDB34E}"/>
    <cellStyle name="Entrada 3 3 11" xfId="7285" xr:uid="{4DD16E73-2804-4C60-B95C-E04C308A8789}"/>
    <cellStyle name="Entrada 3 3 12" xfId="7286" xr:uid="{B9A76569-165E-4D46-A085-EE52A8441BC2}"/>
    <cellStyle name="Entrada 3 3 13" xfId="7287" xr:uid="{4DE677FC-CCE6-46FE-AD19-365132433E37}"/>
    <cellStyle name="Entrada 3 3 14" xfId="7288" xr:uid="{5AFC632B-4ED3-48DC-BBB4-16D7387B7458}"/>
    <cellStyle name="Entrada 3 3 15" xfId="7289" xr:uid="{057EC909-2429-4CD4-A35A-6DB266C3DEE0}"/>
    <cellStyle name="Entrada 3 3 16" xfId="7290" xr:uid="{FF8B9B39-6856-43B2-B7A9-0C9E63F9C9D8}"/>
    <cellStyle name="Entrada 3 3 17" xfId="7291" xr:uid="{F52625F8-035A-45E0-ADC1-ED2D99DB2A6D}"/>
    <cellStyle name="Entrada 3 3 18" xfId="7292" xr:uid="{F6F82D5D-DDB4-49B2-B05F-E8A1AE5B1CCD}"/>
    <cellStyle name="Entrada 3 3 19" xfId="7293" xr:uid="{7A366E42-E503-418D-AA51-FFC81D966A2F}"/>
    <cellStyle name="Entrada 3 3 19 2" xfId="7294" xr:uid="{09BEDCA4-90BC-4CFD-9940-9EC8B0883BE8}"/>
    <cellStyle name="Entrada 3 3 19_2013" xfId="7295" xr:uid="{314B5DEE-CDA4-4C93-B6DE-5A5E5355347D}"/>
    <cellStyle name="Entrada 3 3 2" xfId="7296" xr:uid="{BBD474B4-4353-4408-818E-0F9584184A1C}"/>
    <cellStyle name="Entrada 3 3 2 10" xfId="7297" xr:uid="{FED1DBB7-A38F-450F-97E6-9997490E095F}"/>
    <cellStyle name="Entrada 3 3 2 11" xfId="7298" xr:uid="{C3EAD4B9-573B-421F-A4A0-1657D5CE97D5}"/>
    <cellStyle name="Entrada 3 3 2 12" xfId="7299" xr:uid="{49556782-374F-48A8-BBD4-E7959C720CF1}"/>
    <cellStyle name="Entrada 3 3 2 13" xfId="7300" xr:uid="{EE33CBC9-EBF3-44A0-9972-5FB63976D876}"/>
    <cellStyle name="Entrada 3 3 2 14" xfId="7301" xr:uid="{0DAA96BA-C31A-4393-8488-DED43296926C}"/>
    <cellStyle name="Entrada 3 3 2 15" xfId="7302" xr:uid="{3960DCD7-E0CB-4F07-90A0-05CA62FE10FD}"/>
    <cellStyle name="Entrada 3 3 2 16" xfId="7303" xr:uid="{5DFEA02B-D727-4999-A41B-CD4F9827D4BD}"/>
    <cellStyle name="Entrada 3 3 2 17" xfId="7304" xr:uid="{72BABB4B-2FCA-432C-968B-A6585040B985}"/>
    <cellStyle name="Entrada 3 3 2 18" xfId="7305" xr:uid="{7A55F3D1-10D7-43FD-B379-560A46DEDDE5}"/>
    <cellStyle name="Entrada 3 3 2 18 2" xfId="7306" xr:uid="{17070F5A-8421-437D-81A7-586ACFC568F7}"/>
    <cellStyle name="Entrada 3 3 2 18_2013" xfId="7307" xr:uid="{B0E59350-3E46-4C80-903F-E2310139A2C1}"/>
    <cellStyle name="Entrada 3 3 2 19" xfId="7308" xr:uid="{12531874-59BF-4C56-A076-A7C744F3F3A4}"/>
    <cellStyle name="Entrada 3 3 2 2" xfId="7309" xr:uid="{EFFD0625-57F0-4507-90E8-F3524F6EDCFF}"/>
    <cellStyle name="Entrada 3 3 2 3" xfId="7310" xr:uid="{732DC839-BA45-4FD0-96A4-BBB87312583E}"/>
    <cellStyle name="Entrada 3 3 2 4" xfId="7311" xr:uid="{C318DF8D-C814-48D0-A73A-430BE52C0F71}"/>
    <cellStyle name="Entrada 3 3 2 5" xfId="7312" xr:uid="{CAA54458-2F95-4792-B89F-1287A106D6F9}"/>
    <cellStyle name="Entrada 3 3 2 6" xfId="7313" xr:uid="{32557081-C4D3-4C31-BCD8-F866818F982D}"/>
    <cellStyle name="Entrada 3 3 2 7" xfId="7314" xr:uid="{094EE91D-38DC-4468-9695-2212ED30C796}"/>
    <cellStyle name="Entrada 3 3 2 8" xfId="7315" xr:uid="{AA3FDBCD-7978-46E0-89F5-52A865D3F7AF}"/>
    <cellStyle name="Entrada 3 3 2 9" xfId="7316" xr:uid="{7093EF1E-7CE6-4ABB-BFFC-B72C74847478}"/>
    <cellStyle name="Entrada 3 3 2_2013" xfId="7317" xr:uid="{D50FAABC-B023-4FED-90B5-A773E3777580}"/>
    <cellStyle name="Entrada 3 3 20" xfId="7318" xr:uid="{62FA8AE2-C2FF-492A-903E-C7C114A36466}"/>
    <cellStyle name="Entrada 3 3 3" xfId="7319" xr:uid="{7BFB8257-CFCD-4E86-9216-05653520426F}"/>
    <cellStyle name="Entrada 3 3 4" xfId="7320" xr:uid="{5F8FAC62-6EC5-4B91-AB85-1BAA75681D36}"/>
    <cellStyle name="Entrada 3 3 5" xfId="7321" xr:uid="{7820FFCC-7035-4BB6-A483-282B26EA07CF}"/>
    <cellStyle name="Entrada 3 3 6" xfId="7322" xr:uid="{D48BCBEB-9552-48B2-87B7-BC6AADB60D8B}"/>
    <cellStyle name="Entrada 3 3 7" xfId="7323" xr:uid="{591C9AFD-E757-4175-8C5F-5A07C73CBFAA}"/>
    <cellStyle name="Entrada 3 3 8" xfId="7324" xr:uid="{5BC4BCB7-826E-4455-A58E-0CD4A0EBB406}"/>
    <cellStyle name="Entrada 3 3 9" xfId="7325" xr:uid="{C945F417-99E2-4A1B-BB74-B1A27EE52FB5}"/>
    <cellStyle name="Entrada 3 3_2013" xfId="7326" xr:uid="{EC73AF9D-914D-402B-BE69-F737F2FE908B}"/>
    <cellStyle name="Entrada 3 4" xfId="7327" xr:uid="{B7F08E7B-81F2-4C6E-9578-487EABD86BCC}"/>
    <cellStyle name="Entrada 3 4 10" xfId="7328" xr:uid="{844FFC60-F61A-400E-8C05-91080C0485F3}"/>
    <cellStyle name="Entrada 3 4 11" xfId="7329" xr:uid="{C36B6379-60CB-4AA9-963D-44A80C532F91}"/>
    <cellStyle name="Entrada 3 4 12" xfId="7330" xr:uid="{52D4F9B1-C710-43FF-AC24-F424E7C5AFEC}"/>
    <cellStyle name="Entrada 3 4 13" xfId="7331" xr:uid="{D91E106F-E36A-41B0-81D6-EF80A8603851}"/>
    <cellStyle name="Entrada 3 4 14" xfId="7332" xr:uid="{DE3F2E80-4202-4A89-B910-960B81516770}"/>
    <cellStyle name="Entrada 3 4 15" xfId="7333" xr:uid="{4580A0BE-9650-4A63-9C9F-8BBE6E261374}"/>
    <cellStyle name="Entrada 3 4 16" xfId="7334" xr:uid="{5CA0AD42-B574-49FB-A4EF-297F1370442D}"/>
    <cellStyle name="Entrada 3 4 17" xfId="7335" xr:uid="{4DAB5915-A368-429F-8318-92FE2B6E5CE2}"/>
    <cellStyle name="Entrada 3 4 18" xfId="7336" xr:uid="{F67F44D8-9B5D-4A24-A53F-65DE9A0BE05E}"/>
    <cellStyle name="Entrada 3 4 19" xfId="7337" xr:uid="{8CB9A63C-4877-47B9-8E83-78B6048BA94A}"/>
    <cellStyle name="Entrada 3 4 19 2" xfId="7338" xr:uid="{3E984FD5-AB5D-4DA3-BB0F-51904860D2AF}"/>
    <cellStyle name="Entrada 3 4 19_2013" xfId="7339" xr:uid="{6215DB85-77B9-45B0-8864-B0E4FD84AE33}"/>
    <cellStyle name="Entrada 3 4 2" xfId="7340" xr:uid="{9921995F-89EC-4AB0-9F86-70ED02BBC1AF}"/>
    <cellStyle name="Entrada 3 4 2 10" xfId="7341" xr:uid="{1CAB596C-2841-4F6A-8F82-FDDA80BA0C14}"/>
    <cellStyle name="Entrada 3 4 2 11" xfId="7342" xr:uid="{B2CD5325-56F0-43AA-9FC6-08C67694DAB8}"/>
    <cellStyle name="Entrada 3 4 2 12" xfId="7343" xr:uid="{7593B75E-2355-4E0A-A084-47199FA73CB0}"/>
    <cellStyle name="Entrada 3 4 2 13" xfId="7344" xr:uid="{3054ACEC-9634-49A7-8B47-0030EDAD723F}"/>
    <cellStyle name="Entrada 3 4 2 14" xfId="7345" xr:uid="{4D1D4D6D-197B-4CC0-B6D5-C3BA4AFED561}"/>
    <cellStyle name="Entrada 3 4 2 15" xfId="7346" xr:uid="{1093B6E1-C55B-4BF5-850B-D64248CD3645}"/>
    <cellStyle name="Entrada 3 4 2 16" xfId="7347" xr:uid="{572F8954-7924-4102-B69A-84A535A0F4C3}"/>
    <cellStyle name="Entrada 3 4 2 17" xfId="7348" xr:uid="{7194CB1A-0D2E-4FAB-A2A6-917C268688DA}"/>
    <cellStyle name="Entrada 3 4 2 18" xfId="7349" xr:uid="{FBBDBB1B-CF01-47F6-B119-C581AFFF9C7B}"/>
    <cellStyle name="Entrada 3 4 2 18 2" xfId="7350" xr:uid="{00EAB170-FC08-4979-9AC6-AA37BE39E2F8}"/>
    <cellStyle name="Entrada 3 4 2 18_2013" xfId="7351" xr:uid="{0ED019F5-B8DF-4997-B4E4-4B858745DA8A}"/>
    <cellStyle name="Entrada 3 4 2 19" xfId="7352" xr:uid="{66E760EF-7090-48FF-AE82-9A27AAE0AC65}"/>
    <cellStyle name="Entrada 3 4 2 2" xfId="7353" xr:uid="{A8A885A2-C32C-4F90-946C-219B12F42C28}"/>
    <cellStyle name="Entrada 3 4 2 3" xfId="7354" xr:uid="{82EE31B6-0754-4EE9-AB58-985FC1813E14}"/>
    <cellStyle name="Entrada 3 4 2 4" xfId="7355" xr:uid="{C9E67F7C-B753-4CCA-A12F-59F614784CDD}"/>
    <cellStyle name="Entrada 3 4 2 5" xfId="7356" xr:uid="{93CE52C2-760F-4B1D-8008-456C8A5D9BF5}"/>
    <cellStyle name="Entrada 3 4 2 6" xfId="7357" xr:uid="{20D7CBAD-C035-40B7-B06A-E249D3BA8AF5}"/>
    <cellStyle name="Entrada 3 4 2 7" xfId="7358" xr:uid="{6FAE5744-707F-4BA6-BDC7-68D0E5BBB1D9}"/>
    <cellStyle name="Entrada 3 4 2 8" xfId="7359" xr:uid="{71D5A09C-D4B2-4AB9-97A2-040C3D3B5F7B}"/>
    <cellStyle name="Entrada 3 4 2 9" xfId="7360" xr:uid="{532811B4-E8B7-4300-9FB1-0B0471B175A6}"/>
    <cellStyle name="Entrada 3 4 2_2013" xfId="7361" xr:uid="{ED214198-2061-4A64-84D9-3F986CDBCB7B}"/>
    <cellStyle name="Entrada 3 4 20" xfId="7362" xr:uid="{181D743B-B64C-4F72-B466-CC47B450544D}"/>
    <cellStyle name="Entrada 3 4 3" xfId="7363" xr:uid="{A4F25C79-3E08-4A39-BD28-C8F79302BA5F}"/>
    <cellStyle name="Entrada 3 4 4" xfId="7364" xr:uid="{9B204C17-7258-484A-BD01-29F0D932A55F}"/>
    <cellStyle name="Entrada 3 4 5" xfId="7365" xr:uid="{D1DFBC0A-049A-4222-896A-D677C4177EE2}"/>
    <cellStyle name="Entrada 3 4 6" xfId="7366" xr:uid="{CD9A493E-1F0E-400C-803B-2B6174633FD5}"/>
    <cellStyle name="Entrada 3 4 7" xfId="7367" xr:uid="{C00DDE7F-222C-49B7-94D9-AC08F4A4A3B7}"/>
    <cellStyle name="Entrada 3 4 8" xfId="7368" xr:uid="{21B7F0EB-6DC7-4B94-8F9A-1D1EA7B0DE62}"/>
    <cellStyle name="Entrada 3 4 9" xfId="7369" xr:uid="{5C74C2F8-CF91-41BE-8E6C-2B4AF766F20B}"/>
    <cellStyle name="Entrada 3 4_2013" xfId="7370" xr:uid="{1FF2D98E-054B-47B8-8488-F9C0943946A1}"/>
    <cellStyle name="Entrada 3 5" xfId="7371" xr:uid="{374EC642-5BCE-4409-8326-085EE0BBAC1F}"/>
    <cellStyle name="Entrada 3 5 10" xfId="7372" xr:uid="{19C5458F-941B-41C5-89D3-1537C72C7AE5}"/>
    <cellStyle name="Entrada 3 5 11" xfId="7373" xr:uid="{D638B7AB-49BB-4E80-89BD-9BFB7772E82E}"/>
    <cellStyle name="Entrada 3 5 12" xfId="7374" xr:uid="{EE00DD8C-17D2-408C-B7B9-5A91E92B4907}"/>
    <cellStyle name="Entrada 3 5 13" xfId="7375" xr:uid="{3F278685-509A-49C9-9A70-6408F6FF3CF5}"/>
    <cellStyle name="Entrada 3 5 14" xfId="7376" xr:uid="{3112F7DB-8360-4A5E-9793-CCAE05FDE5D2}"/>
    <cellStyle name="Entrada 3 5 15" xfId="7377" xr:uid="{5652B46F-E58F-4940-94C9-7B360CAF413E}"/>
    <cellStyle name="Entrada 3 5 16" xfId="7378" xr:uid="{4D65E159-787B-4B46-A71D-80C97C12FAF6}"/>
    <cellStyle name="Entrada 3 5 17" xfId="7379" xr:uid="{386866E9-B170-40CD-B555-331A70CC4DBD}"/>
    <cellStyle name="Entrada 3 5 18" xfId="7380" xr:uid="{3EEC96D7-93D2-4B56-9CA2-110334022F67}"/>
    <cellStyle name="Entrada 3 5 19" xfId="7381" xr:uid="{2366287D-C782-4074-B873-52380BF2D69A}"/>
    <cellStyle name="Entrada 3 5 19 2" xfId="7382" xr:uid="{8FC384A4-C679-4691-BABF-14DD59F73EBE}"/>
    <cellStyle name="Entrada 3 5 19_2013" xfId="7383" xr:uid="{4405F719-9EF5-4462-A87F-9FECD932E6A3}"/>
    <cellStyle name="Entrada 3 5 2" xfId="7384" xr:uid="{6F3C68A8-D21C-44CD-B22A-FAF4555917C7}"/>
    <cellStyle name="Entrada 3 5 2 10" xfId="7385" xr:uid="{4BB9D671-85A1-486F-B341-3FA070398C79}"/>
    <cellStyle name="Entrada 3 5 2 11" xfId="7386" xr:uid="{B75A24AC-7B0E-4C2E-A728-DEF1AA34A515}"/>
    <cellStyle name="Entrada 3 5 2 12" xfId="7387" xr:uid="{228F7CB7-197F-4C4A-BA88-746FF1BEE8A0}"/>
    <cellStyle name="Entrada 3 5 2 13" xfId="7388" xr:uid="{179590B1-9DB1-4D68-84A0-ECB5EE4507DD}"/>
    <cellStyle name="Entrada 3 5 2 14" xfId="7389" xr:uid="{067E1B54-DC55-412B-B047-ED67C17CDF40}"/>
    <cellStyle name="Entrada 3 5 2 15" xfId="7390" xr:uid="{59FC6172-E889-4E15-8369-A970A0C38D22}"/>
    <cellStyle name="Entrada 3 5 2 16" xfId="7391" xr:uid="{6C21DCBD-E061-4AD1-B373-CC04E842E743}"/>
    <cellStyle name="Entrada 3 5 2 17" xfId="7392" xr:uid="{8453F6BD-3504-4FCB-AC07-C771CDAE01CD}"/>
    <cellStyle name="Entrada 3 5 2 18" xfId="7393" xr:uid="{55AAE4BB-DBE8-4259-ADDA-F7BE098AFE59}"/>
    <cellStyle name="Entrada 3 5 2 18 2" xfId="7394" xr:uid="{D85A16B1-AFD3-4F57-B28D-2C5BE9F0C1D8}"/>
    <cellStyle name="Entrada 3 5 2 18_2013" xfId="7395" xr:uid="{7BBF845D-6E39-45F0-B56C-FF4CC805E3CB}"/>
    <cellStyle name="Entrada 3 5 2 19" xfId="7396" xr:uid="{2B102850-1D13-4F59-A17E-1613A37AAA89}"/>
    <cellStyle name="Entrada 3 5 2 2" xfId="7397" xr:uid="{D2FD9857-6655-4C74-B7B8-1F7D878A19FB}"/>
    <cellStyle name="Entrada 3 5 2 3" xfId="7398" xr:uid="{3D632C17-13BC-4020-804B-1A2439F55C88}"/>
    <cellStyle name="Entrada 3 5 2 4" xfId="7399" xr:uid="{DB784516-EEEE-4503-A4F1-03D00ADBFBB5}"/>
    <cellStyle name="Entrada 3 5 2 5" xfId="7400" xr:uid="{2F9AF822-9F4E-4F96-928F-3B99BD8A1629}"/>
    <cellStyle name="Entrada 3 5 2 6" xfId="7401" xr:uid="{91360D9D-EB7E-434A-B023-A5D5C185D361}"/>
    <cellStyle name="Entrada 3 5 2 7" xfId="7402" xr:uid="{44A25B54-076D-4446-AD3B-9BDEAAE1EA8D}"/>
    <cellStyle name="Entrada 3 5 2 8" xfId="7403" xr:uid="{BA041BE5-FCC9-4685-904E-EF5A0DB800E6}"/>
    <cellStyle name="Entrada 3 5 2 9" xfId="7404" xr:uid="{0AD57F6C-3EC7-4951-AF0D-82F728374143}"/>
    <cellStyle name="Entrada 3 5 2_2013" xfId="7405" xr:uid="{1B726B69-576E-4F8D-80E7-C20162945358}"/>
    <cellStyle name="Entrada 3 5 20" xfId="7406" xr:uid="{D981D5E1-DBB2-4D90-A431-A982B3603B6D}"/>
    <cellStyle name="Entrada 3 5 3" xfId="7407" xr:uid="{A92863B4-06F5-4260-A017-5A15265F56D9}"/>
    <cellStyle name="Entrada 3 5 4" xfId="7408" xr:uid="{E6865B2B-F92F-4268-894C-D28B492F53F1}"/>
    <cellStyle name="Entrada 3 5 5" xfId="7409" xr:uid="{8C730BA3-D285-4090-A9F3-C4700E6773A3}"/>
    <cellStyle name="Entrada 3 5 6" xfId="7410" xr:uid="{2DFB8DBF-1B7A-4DA7-95C4-0D0ADAE04E0A}"/>
    <cellStyle name="Entrada 3 5 7" xfId="7411" xr:uid="{582F5C7D-6FB8-47C1-B20C-370791BD6F51}"/>
    <cellStyle name="Entrada 3 5 8" xfId="7412" xr:uid="{0BD32407-6EC1-4B90-84AB-AB1963C89268}"/>
    <cellStyle name="Entrada 3 5 9" xfId="7413" xr:uid="{BAE81F3B-161F-4CD2-8393-9E5258403D97}"/>
    <cellStyle name="Entrada 3 5_2013" xfId="7414" xr:uid="{F88D5F14-E991-4D67-A95E-2FA061E8BB18}"/>
    <cellStyle name="Entrada 3 6" xfId="7415" xr:uid="{F8ADBCD2-A76F-4CE9-A74F-5354C46088F0}"/>
    <cellStyle name="Entrada 3 6 10" xfId="7416" xr:uid="{CC388415-96DC-4CAE-9A25-68C80244EA2E}"/>
    <cellStyle name="Entrada 3 6 11" xfId="7417" xr:uid="{A6CBD2A3-F7DD-4F27-A619-2059A809638D}"/>
    <cellStyle name="Entrada 3 6 12" xfId="7418" xr:uid="{4638062B-81E1-4621-98CD-9DFC661EDE3F}"/>
    <cellStyle name="Entrada 3 6 13" xfId="7419" xr:uid="{0247F6D1-496C-472B-BE7A-D2EF5ECCD686}"/>
    <cellStyle name="Entrada 3 6 14" xfId="7420" xr:uid="{C6E00451-33DE-455A-B70E-23CE5A747B34}"/>
    <cellStyle name="Entrada 3 6 15" xfId="7421" xr:uid="{D1FC3956-5CE9-4D53-A896-D574107D81C0}"/>
    <cellStyle name="Entrada 3 6 16" xfId="7422" xr:uid="{6B668235-62E5-44B5-B522-0D5D1F109293}"/>
    <cellStyle name="Entrada 3 6 17" xfId="7423" xr:uid="{20B29067-894C-4627-855B-75F9FDBCB490}"/>
    <cellStyle name="Entrada 3 6 18" xfId="7424" xr:uid="{36CAE0D6-F9BA-4789-8DA3-B7FFA92A69B6}"/>
    <cellStyle name="Entrada 3 6 18 2" xfId="7425" xr:uid="{1940DF5D-1D02-4A42-9CD9-300AB7F12282}"/>
    <cellStyle name="Entrada 3 6 18_2013" xfId="7426" xr:uid="{8E25C001-2A03-4FC5-9962-E10F58C147E8}"/>
    <cellStyle name="Entrada 3 6 19" xfId="7427" xr:uid="{02948C8A-7448-46BB-9A7E-1162CEFB8D2F}"/>
    <cellStyle name="Entrada 3 6 2" xfId="7428" xr:uid="{5162FEB8-68B7-4E9E-ADD8-FEDBAF645EB0}"/>
    <cellStyle name="Entrada 3 6 3" xfId="7429" xr:uid="{0A034FB4-9DF1-451C-9C83-FDC58FFF4E0F}"/>
    <cellStyle name="Entrada 3 6 4" xfId="7430" xr:uid="{0D783249-0BF9-43A8-AEBA-B8B7E5CE68D6}"/>
    <cellStyle name="Entrada 3 6 5" xfId="7431" xr:uid="{D4436519-FFBD-4EDB-8925-52AABD977831}"/>
    <cellStyle name="Entrada 3 6 6" xfId="7432" xr:uid="{FCE26D8E-9587-4BFE-967E-74A07CB67882}"/>
    <cellStyle name="Entrada 3 6 7" xfId="7433" xr:uid="{FC622731-7CCD-4DE2-9497-D5CAC8875A36}"/>
    <cellStyle name="Entrada 3 6 8" xfId="7434" xr:uid="{FE9FA8EE-C04E-472E-92A5-57CCCD29432C}"/>
    <cellStyle name="Entrada 3 6 9" xfId="7435" xr:uid="{16A2C573-01A6-4D4F-9620-8525CF849F9F}"/>
    <cellStyle name="Entrada 3 6_2013" xfId="7436" xr:uid="{4D7748A7-404B-480B-8A42-F2FDF3FBF765}"/>
    <cellStyle name="Entrada 3 7" xfId="7437" xr:uid="{B034C2FB-AD1B-417B-B289-082FE008C414}"/>
    <cellStyle name="Entrada 3 8" xfId="7438" xr:uid="{81094DDE-1CB7-4BD6-A065-439BD5522E1D}"/>
    <cellStyle name="Entrada 3 9" xfId="7439" xr:uid="{EA1F5306-C38D-4625-9240-5B486D018D2D}"/>
    <cellStyle name="Entrada 3_2013" xfId="7440" xr:uid="{AAAEE46E-6CF1-420B-9850-589F1C3A2535}"/>
    <cellStyle name="Entrada 4" xfId="7441" xr:uid="{201D9080-4BC5-4BE9-8B89-5332E9C43A2A}"/>
    <cellStyle name="Entrada 4 10" xfId="7442" xr:uid="{E8DD4988-B524-4D37-B42B-CA53718D7B44}"/>
    <cellStyle name="Entrada 4 11" xfId="7443" xr:uid="{01A87054-E4EB-40F3-8716-4E0201F2AFD4}"/>
    <cellStyle name="Entrada 4 12" xfId="7444" xr:uid="{6F0D2C10-FDD6-4C06-804B-53B24AA095AE}"/>
    <cellStyle name="Entrada 4 13" xfId="7445" xr:uid="{03EC9145-A4B5-46D1-B804-C1B7646DB3AE}"/>
    <cellStyle name="Entrada 4 14" xfId="7446" xr:uid="{842B1A6E-AD46-497D-9F65-666200E48AF1}"/>
    <cellStyle name="Entrada 4 15" xfId="7447" xr:uid="{B846A7A8-9FA9-40AB-8241-450B40E0B9CE}"/>
    <cellStyle name="Entrada 4 16" xfId="7448" xr:uid="{03B0DF09-0A5D-4AA9-B958-FAE523A9C0FD}"/>
    <cellStyle name="Entrada 4 17" xfId="7449" xr:uid="{42504F27-A1E9-4CD9-BC2A-EF1B559EB1F8}"/>
    <cellStyle name="Entrada 4 18" xfId="7450" xr:uid="{83081C45-F179-4235-BA96-DCFB72E2A31C}"/>
    <cellStyle name="Entrada 4 19" xfId="7451" xr:uid="{6E8F959C-CE03-40A2-A7D4-A0A1FDEE7050}"/>
    <cellStyle name="Entrada 4 2" xfId="7452" xr:uid="{37FFF879-D1C8-47FD-81E5-05C09C3A929A}"/>
    <cellStyle name="Entrada 4 2 10" xfId="7453" xr:uid="{0875E4A3-A394-44F2-875C-B1FE4DEBD69D}"/>
    <cellStyle name="Entrada 4 2 11" xfId="7454" xr:uid="{01C2EB10-8E03-4914-9A94-D71C13E49283}"/>
    <cellStyle name="Entrada 4 2 12" xfId="7455" xr:uid="{F764BDC1-5501-42DD-853A-9E42DA357567}"/>
    <cellStyle name="Entrada 4 2 13" xfId="7456" xr:uid="{DA644CA8-38CA-488A-9ABA-100B1FF1CE46}"/>
    <cellStyle name="Entrada 4 2 14" xfId="7457" xr:uid="{7ACBFE67-F3C9-4EA3-AB29-F852BA1B177F}"/>
    <cellStyle name="Entrada 4 2 15" xfId="7458" xr:uid="{FF9C0808-A017-4879-ACE8-9CD3B06AC7E2}"/>
    <cellStyle name="Entrada 4 2 16" xfId="7459" xr:uid="{8518F28E-9D0C-45CB-BF9B-ACF3480965C8}"/>
    <cellStyle name="Entrada 4 2 17" xfId="7460" xr:uid="{31DC0CE4-9D85-401C-99B1-5F36DCEEA692}"/>
    <cellStyle name="Entrada 4 2 18" xfId="7461" xr:uid="{FDEBA1F5-C1BB-4A9A-A115-9585444C5E50}"/>
    <cellStyle name="Entrada 4 2 19" xfId="7462" xr:uid="{51E2E907-5CAA-44F5-8C5C-68BE34A861C4}"/>
    <cellStyle name="Entrada 4 2 19 2" xfId="7463" xr:uid="{B3930ADB-7E81-489F-B22C-4B34C8F4CCB9}"/>
    <cellStyle name="Entrada 4 2 19_2013" xfId="7464" xr:uid="{AEAABA22-EEB8-4912-8DF2-E916D402E771}"/>
    <cellStyle name="Entrada 4 2 2" xfId="7465" xr:uid="{EB791789-6433-4F1F-AEAA-B41B14999FF8}"/>
    <cellStyle name="Entrada 4 2 2 10" xfId="7466" xr:uid="{400AC826-9748-489C-9EFF-F380CF537319}"/>
    <cellStyle name="Entrada 4 2 2 11" xfId="7467" xr:uid="{EA5E0FEE-7655-40C5-AF41-09D7365B5BF7}"/>
    <cellStyle name="Entrada 4 2 2 12" xfId="7468" xr:uid="{99079101-4484-40BF-BA87-AF9D1331A558}"/>
    <cellStyle name="Entrada 4 2 2 13" xfId="7469" xr:uid="{533FE7B2-F242-421F-9776-D17B67CF9A2B}"/>
    <cellStyle name="Entrada 4 2 2 14" xfId="7470" xr:uid="{6ED9E12A-EF80-4C5F-B11E-E1E35B850D06}"/>
    <cellStyle name="Entrada 4 2 2 15" xfId="7471" xr:uid="{9C701733-0842-4666-B98C-518FB054487F}"/>
    <cellStyle name="Entrada 4 2 2 16" xfId="7472" xr:uid="{A1DE1F58-F805-408A-916A-59815C416D24}"/>
    <cellStyle name="Entrada 4 2 2 17" xfId="7473" xr:uid="{5AD3C4BD-BDA6-4C15-9128-DBAF8D966B6E}"/>
    <cellStyle name="Entrada 4 2 2 18" xfId="7474" xr:uid="{A9BE42C2-4984-48D3-BC21-E8CF813E5427}"/>
    <cellStyle name="Entrada 4 2 2 18 2" xfId="7475" xr:uid="{C5AF403E-12AD-4EA2-8F7F-6FC0713CB0B4}"/>
    <cellStyle name="Entrada 4 2 2 18_2013" xfId="7476" xr:uid="{F6420411-500F-4EF6-80B9-18F32BAEB933}"/>
    <cellStyle name="Entrada 4 2 2 19" xfId="7477" xr:uid="{4307E3BC-9BCA-47B0-86D9-1148351FCF00}"/>
    <cellStyle name="Entrada 4 2 2 2" xfId="7478" xr:uid="{ADE9406A-7813-410E-AC2E-33D9B2833C23}"/>
    <cellStyle name="Entrada 4 2 2 3" xfId="7479" xr:uid="{81AC8409-A3B6-4A84-80E0-6986D3B58B6F}"/>
    <cellStyle name="Entrada 4 2 2 4" xfId="7480" xr:uid="{7F074CDA-49C2-41DA-A8EE-A71F88BE17E0}"/>
    <cellStyle name="Entrada 4 2 2 5" xfId="7481" xr:uid="{601C1AFB-78A6-45A3-939D-7F8007471ED4}"/>
    <cellStyle name="Entrada 4 2 2 6" xfId="7482" xr:uid="{4A6990AD-79A4-4550-A0FD-E9F8771C0DE5}"/>
    <cellStyle name="Entrada 4 2 2 7" xfId="7483" xr:uid="{2F29C01A-01EF-4F8B-84F5-D4D31347020F}"/>
    <cellStyle name="Entrada 4 2 2 8" xfId="7484" xr:uid="{66C77CE6-5C5B-4C39-8681-39E16FDFD52B}"/>
    <cellStyle name="Entrada 4 2 2 9" xfId="7485" xr:uid="{251979D6-8A67-4DCB-8138-3167D7923E44}"/>
    <cellStyle name="Entrada 4 2 2_2013" xfId="7486" xr:uid="{360664A8-C2C3-4D67-BCB4-609BA0CB1C93}"/>
    <cellStyle name="Entrada 4 2 20" xfId="7487" xr:uid="{2C4E142A-6A39-4735-810A-08C35AB7B2FA}"/>
    <cellStyle name="Entrada 4 2 3" xfId="7488" xr:uid="{DC2CCAE6-C38A-4F51-AF0E-03B8E1DBDACE}"/>
    <cellStyle name="Entrada 4 2 4" xfId="7489" xr:uid="{7C4C321A-6FA3-4A8B-A603-E2D0BE4B3A6F}"/>
    <cellStyle name="Entrada 4 2 5" xfId="7490" xr:uid="{87177EB4-232D-4C0D-AFF6-6961DA4242F3}"/>
    <cellStyle name="Entrada 4 2 6" xfId="7491" xr:uid="{82702590-6680-4083-8966-FEC4B133C977}"/>
    <cellStyle name="Entrada 4 2 7" xfId="7492" xr:uid="{2F01FD55-926C-43D5-BAFC-46A6150CCB8A}"/>
    <cellStyle name="Entrada 4 2 8" xfId="7493" xr:uid="{289ECE50-F57C-44A8-A18F-3C2889362F3D}"/>
    <cellStyle name="Entrada 4 2 9" xfId="7494" xr:uid="{21876398-98F9-4E42-8546-82AD38AAE8A5}"/>
    <cellStyle name="Entrada 4 2_2013" xfId="7495" xr:uid="{7D38B234-2FF6-428E-9FF9-3CBA02DA71D4}"/>
    <cellStyle name="Entrada 4 20" xfId="7496" xr:uid="{462E545A-7FD3-4145-8AA4-EAE9D633EB02}"/>
    <cellStyle name="Entrada 4 21" xfId="7497" xr:uid="{3432B4A3-01F1-476B-A18E-6113A0F6ADC8}"/>
    <cellStyle name="Entrada 4 22" xfId="7498" xr:uid="{9B1B4E39-7B19-4DA9-801C-BA994FDBD41B}"/>
    <cellStyle name="Entrada 4 22 2" xfId="7499" xr:uid="{63E8CC86-6D8E-42DF-AFF2-65A370E80C4F}"/>
    <cellStyle name="Entrada 4 22_2013" xfId="7500" xr:uid="{131A58C0-08FC-4521-9C74-FE46C3AEA823}"/>
    <cellStyle name="Entrada 4 23" xfId="7501" xr:uid="{A8F388AE-3816-4422-9B53-CEAF4CBA08E1}"/>
    <cellStyle name="Entrada 4 3" xfId="7502" xr:uid="{7E8D6886-4002-4ECC-961E-6EA2AA162549}"/>
    <cellStyle name="Entrada 4 3 10" xfId="7503" xr:uid="{95D9A9DC-C418-4829-95C7-085994ECE0A1}"/>
    <cellStyle name="Entrada 4 3 11" xfId="7504" xr:uid="{6AB1A8F5-9C4B-491F-81B8-C6B9CC42C29F}"/>
    <cellStyle name="Entrada 4 3 12" xfId="7505" xr:uid="{219ED669-D24C-424E-9FA0-EF6BC7BBE652}"/>
    <cellStyle name="Entrada 4 3 13" xfId="7506" xr:uid="{3F7F916F-BCAC-41F8-ABF8-73476DE7FA79}"/>
    <cellStyle name="Entrada 4 3 14" xfId="7507" xr:uid="{3C04F7D5-B863-49DF-A162-19F7D8BF7884}"/>
    <cellStyle name="Entrada 4 3 15" xfId="7508" xr:uid="{27F24D24-1109-4630-BECE-43EEEB4A338F}"/>
    <cellStyle name="Entrada 4 3 16" xfId="7509" xr:uid="{7D7BA20A-8317-402F-8AD4-A431697EF10C}"/>
    <cellStyle name="Entrada 4 3 17" xfId="7510" xr:uid="{CF9736EC-17AA-425E-93FC-F22DC6346601}"/>
    <cellStyle name="Entrada 4 3 18" xfId="7511" xr:uid="{BEBA6895-DC3A-4E0E-B4B5-A3765572226E}"/>
    <cellStyle name="Entrada 4 3 19" xfId="7512" xr:uid="{B85A7A77-40F4-411C-8CB0-2BCB8BC56D13}"/>
    <cellStyle name="Entrada 4 3 19 2" xfId="7513" xr:uid="{11CE7E64-0074-4258-B2E8-E3E7AC43E37A}"/>
    <cellStyle name="Entrada 4 3 19_2013" xfId="7514" xr:uid="{EAC4281E-2DC6-41A4-B812-0073EA6BC441}"/>
    <cellStyle name="Entrada 4 3 2" xfId="7515" xr:uid="{D079100D-6C7E-4ABA-96A1-F6D866C3D144}"/>
    <cellStyle name="Entrada 4 3 2 10" xfId="7516" xr:uid="{192787A3-7E04-45B8-B732-F625279D7FEA}"/>
    <cellStyle name="Entrada 4 3 2 11" xfId="7517" xr:uid="{E6B5071E-E1FA-459F-9431-5F0AC034673F}"/>
    <cellStyle name="Entrada 4 3 2 12" xfId="7518" xr:uid="{BBC52E93-CC87-41E4-B15C-8F2264DDF2DE}"/>
    <cellStyle name="Entrada 4 3 2 13" xfId="7519" xr:uid="{40B5B6C6-A626-4031-B8D0-B773A34F2707}"/>
    <cellStyle name="Entrada 4 3 2 14" xfId="7520" xr:uid="{BD345679-05F4-49DD-915B-B40B448B851C}"/>
    <cellStyle name="Entrada 4 3 2 15" xfId="7521" xr:uid="{AD089B9A-A6E2-4911-85F9-0299F9B3C03B}"/>
    <cellStyle name="Entrada 4 3 2 16" xfId="7522" xr:uid="{E83C004D-C88C-49FB-88C1-6A50FF652FE9}"/>
    <cellStyle name="Entrada 4 3 2 17" xfId="7523" xr:uid="{54F98A8A-14CE-42C1-85C4-2DA7C49FA6DE}"/>
    <cellStyle name="Entrada 4 3 2 18" xfId="7524" xr:uid="{233D264E-D92A-4BA0-B27A-8A793B2C9D77}"/>
    <cellStyle name="Entrada 4 3 2 18 2" xfId="7525" xr:uid="{8E09FA67-A719-4659-BFFE-B09C82C7153B}"/>
    <cellStyle name="Entrada 4 3 2 18_2013" xfId="7526" xr:uid="{FFCE4DF5-8BFE-463A-BF38-983B366001E8}"/>
    <cellStyle name="Entrada 4 3 2 19" xfId="7527" xr:uid="{FDF49ED7-5958-4106-B116-43F8A1855820}"/>
    <cellStyle name="Entrada 4 3 2 2" xfId="7528" xr:uid="{3F11147F-E138-42D6-A88E-AABB6A5A9E94}"/>
    <cellStyle name="Entrada 4 3 2 3" xfId="7529" xr:uid="{77D461DD-ECFA-453D-8199-1E4C378226E3}"/>
    <cellStyle name="Entrada 4 3 2 4" xfId="7530" xr:uid="{C572BCD5-8973-4F04-B5D6-543880A17481}"/>
    <cellStyle name="Entrada 4 3 2 5" xfId="7531" xr:uid="{E7D79885-9ED4-499C-9427-73C055C489C3}"/>
    <cellStyle name="Entrada 4 3 2 6" xfId="7532" xr:uid="{C40617E5-3F43-47BD-AB38-21FEDB5EEDED}"/>
    <cellStyle name="Entrada 4 3 2 7" xfId="7533" xr:uid="{A31279BB-A075-4C08-AF87-C799FD01842E}"/>
    <cellStyle name="Entrada 4 3 2 8" xfId="7534" xr:uid="{23045BC4-1A11-4D9E-B92B-32B035EFE5CA}"/>
    <cellStyle name="Entrada 4 3 2 9" xfId="7535" xr:uid="{E77F1396-008A-483A-9FE1-BAD718285A9C}"/>
    <cellStyle name="Entrada 4 3 2_2013" xfId="7536" xr:uid="{F5C5D2F6-CFBA-4D0B-9740-F26B00BFC093}"/>
    <cellStyle name="Entrada 4 3 20" xfId="7537" xr:uid="{0B5AA953-5062-43DF-B1A7-0B1DA3F08A43}"/>
    <cellStyle name="Entrada 4 3 3" xfId="7538" xr:uid="{1C809D0D-B326-43DE-85B2-88F8FC68958D}"/>
    <cellStyle name="Entrada 4 3 4" xfId="7539" xr:uid="{7199E6B9-A5E9-4C01-89BD-6C4929BDC0F2}"/>
    <cellStyle name="Entrada 4 3 5" xfId="7540" xr:uid="{B1C2AFD8-1CFF-4F0D-80DA-11A37E6D436F}"/>
    <cellStyle name="Entrada 4 3 6" xfId="7541" xr:uid="{202F0014-A6BC-4554-9656-CC6E292479B2}"/>
    <cellStyle name="Entrada 4 3 7" xfId="7542" xr:uid="{15442B5A-575A-4CC7-B9B8-47D019588842}"/>
    <cellStyle name="Entrada 4 3 8" xfId="7543" xr:uid="{A98E9C1B-E248-477C-BBCD-3264074B25EA}"/>
    <cellStyle name="Entrada 4 3 9" xfId="7544" xr:uid="{E5341C33-DCF5-4EB8-819A-69577716041A}"/>
    <cellStyle name="Entrada 4 3_2013" xfId="7545" xr:uid="{C594DB85-DDF0-4454-B7E1-E1D7AA83A463}"/>
    <cellStyle name="Entrada 4 4" xfId="7546" xr:uid="{8629E22B-59AC-49E6-B599-9D6F492B3871}"/>
    <cellStyle name="Entrada 4 4 10" xfId="7547" xr:uid="{1B626BC8-3D3A-433D-9EED-E92997F0B21D}"/>
    <cellStyle name="Entrada 4 4 11" xfId="7548" xr:uid="{5040C486-44C9-4646-BA26-D94D92D3E154}"/>
    <cellStyle name="Entrada 4 4 12" xfId="7549" xr:uid="{70312A1F-2349-4CEE-88A3-DF92D994AB82}"/>
    <cellStyle name="Entrada 4 4 13" xfId="7550" xr:uid="{F6B7B7CE-288C-46EB-87A9-30F26778F1D2}"/>
    <cellStyle name="Entrada 4 4 14" xfId="7551" xr:uid="{E5B75582-98D6-4E93-83D0-6ABFDC15D6D1}"/>
    <cellStyle name="Entrada 4 4 15" xfId="7552" xr:uid="{EBE7A127-5423-40FB-8303-B716F9E133BD}"/>
    <cellStyle name="Entrada 4 4 16" xfId="7553" xr:uid="{93786930-E66A-4277-B6EF-127993DC8C94}"/>
    <cellStyle name="Entrada 4 4 17" xfId="7554" xr:uid="{1D54EC0C-BC70-447A-8EB9-5C1FA0EEB08E}"/>
    <cellStyle name="Entrada 4 4 18" xfId="7555" xr:uid="{4500DBD3-71D3-471A-A375-EC67705D7EAD}"/>
    <cellStyle name="Entrada 4 4 19" xfId="7556" xr:uid="{2D132A8D-EB8A-4AF0-9FA7-BB3DF2148CA2}"/>
    <cellStyle name="Entrada 4 4 19 2" xfId="7557" xr:uid="{08E4A22F-963F-4772-A01D-E91CFC5A6FF3}"/>
    <cellStyle name="Entrada 4 4 19_2013" xfId="7558" xr:uid="{50F7B07B-5B1B-4C6B-85EE-EA9DCEA220C5}"/>
    <cellStyle name="Entrada 4 4 2" xfId="7559" xr:uid="{618D4DB6-0CE0-4B77-815A-5AA080901BAD}"/>
    <cellStyle name="Entrada 4 4 2 10" xfId="7560" xr:uid="{528F0D5E-6569-4E6B-8329-AC822F0530D3}"/>
    <cellStyle name="Entrada 4 4 2 11" xfId="7561" xr:uid="{1739ED70-31DA-46FD-B290-4CCAEB0BFCAC}"/>
    <cellStyle name="Entrada 4 4 2 12" xfId="7562" xr:uid="{EDC9EB80-CE8C-454C-8A73-5DE701EED369}"/>
    <cellStyle name="Entrada 4 4 2 13" xfId="7563" xr:uid="{1EA85FDA-C836-46C5-8BB9-CF17D6B6C7BA}"/>
    <cellStyle name="Entrada 4 4 2 14" xfId="7564" xr:uid="{BCBDD1E7-A4CD-433F-BC20-1CE51472AFD9}"/>
    <cellStyle name="Entrada 4 4 2 15" xfId="7565" xr:uid="{A53735E8-AC92-4D10-B329-7FC47AE19745}"/>
    <cellStyle name="Entrada 4 4 2 16" xfId="7566" xr:uid="{39AC8740-D18E-4009-BB51-206FB6A52E25}"/>
    <cellStyle name="Entrada 4 4 2 17" xfId="7567" xr:uid="{7287FB0A-4D7F-44A2-95A0-BEFA2E9F075C}"/>
    <cellStyle name="Entrada 4 4 2 18" xfId="7568" xr:uid="{66239785-09A8-4AB7-8598-9D7346B0BDF0}"/>
    <cellStyle name="Entrada 4 4 2 18 2" xfId="7569" xr:uid="{3F470C22-B049-4810-A69E-00908CFA1CCA}"/>
    <cellStyle name="Entrada 4 4 2 18_2013" xfId="7570" xr:uid="{903287B5-6010-4ECA-95FC-5CE320A8DE77}"/>
    <cellStyle name="Entrada 4 4 2 19" xfId="7571" xr:uid="{9664A349-0E9C-4090-B884-242F9576BAA0}"/>
    <cellStyle name="Entrada 4 4 2 2" xfId="7572" xr:uid="{974E18EA-8F62-4A87-AABA-6D2CACBE03AB}"/>
    <cellStyle name="Entrada 4 4 2 3" xfId="7573" xr:uid="{6D6E2171-43CC-4524-8EFF-86DC8D297A73}"/>
    <cellStyle name="Entrada 4 4 2 4" xfId="7574" xr:uid="{56544948-EBD4-4BA0-873E-4B583DA65770}"/>
    <cellStyle name="Entrada 4 4 2 5" xfId="7575" xr:uid="{7848EF94-B9ED-41F8-BD52-CAA5C533AB64}"/>
    <cellStyle name="Entrada 4 4 2 6" xfId="7576" xr:uid="{F7C5AE4C-06A4-4FF9-8D81-E41E1EDECAC0}"/>
    <cellStyle name="Entrada 4 4 2 7" xfId="7577" xr:uid="{124E7D25-191C-476F-9F59-AF74AA3AC0B0}"/>
    <cellStyle name="Entrada 4 4 2 8" xfId="7578" xr:uid="{8CD189B8-2D5F-417D-A4AA-C5FBBDF55F89}"/>
    <cellStyle name="Entrada 4 4 2 9" xfId="7579" xr:uid="{9FAC4089-EBB1-4C71-969A-CC37C37F1BA7}"/>
    <cellStyle name="Entrada 4 4 2_2013" xfId="7580" xr:uid="{1227AB7A-30D1-4DF8-B84C-14A8E2CFD489}"/>
    <cellStyle name="Entrada 4 4 20" xfId="7581" xr:uid="{6525588A-9896-4F8B-8753-7A144BFE8DBE}"/>
    <cellStyle name="Entrada 4 4 3" xfId="7582" xr:uid="{9907D498-FE37-4265-8EC9-01521BF717D7}"/>
    <cellStyle name="Entrada 4 4 4" xfId="7583" xr:uid="{8DA4A445-E6FD-4928-AB20-25E225B15CE9}"/>
    <cellStyle name="Entrada 4 4 5" xfId="7584" xr:uid="{C7E50490-69C7-457A-AE2E-9B5A1A39EA55}"/>
    <cellStyle name="Entrada 4 4 6" xfId="7585" xr:uid="{02DAC5A3-E920-48CB-940B-AFC3F7198DA1}"/>
    <cellStyle name="Entrada 4 4 7" xfId="7586" xr:uid="{18871627-A6CC-45B6-8E3B-8805D4ED851B}"/>
    <cellStyle name="Entrada 4 4 8" xfId="7587" xr:uid="{B1CA1252-6805-4195-92B9-29C83782A650}"/>
    <cellStyle name="Entrada 4 4 9" xfId="7588" xr:uid="{22387B1D-4579-48B9-B211-96AD12466F4A}"/>
    <cellStyle name="Entrada 4 4_2013" xfId="7589" xr:uid="{4DB8A3DC-9940-44A4-97AA-CDC8AD073C79}"/>
    <cellStyle name="Entrada 4 5" xfId="7590" xr:uid="{381B384A-78C2-4291-B9DD-A120E8A6D29E}"/>
    <cellStyle name="Entrada 4 5 10" xfId="7591" xr:uid="{9AA33180-4D82-4290-A0F4-BF29E6C00CC1}"/>
    <cellStyle name="Entrada 4 5 11" xfId="7592" xr:uid="{764F8C82-7478-483E-99E7-B2DB348A0472}"/>
    <cellStyle name="Entrada 4 5 12" xfId="7593" xr:uid="{124E35E5-D052-461F-8390-2BFD1A17FD7C}"/>
    <cellStyle name="Entrada 4 5 13" xfId="7594" xr:uid="{FE5703E1-D445-42CD-943A-604804E563B5}"/>
    <cellStyle name="Entrada 4 5 14" xfId="7595" xr:uid="{DD316DA9-55C1-401E-A2E8-771484D022DA}"/>
    <cellStyle name="Entrada 4 5 15" xfId="7596" xr:uid="{C62C54C5-BB20-4D06-8051-468EB48BA4C8}"/>
    <cellStyle name="Entrada 4 5 16" xfId="7597" xr:uid="{2B96D81D-60C9-48FD-973D-144DB595D278}"/>
    <cellStyle name="Entrada 4 5 17" xfId="7598" xr:uid="{590D6BD3-86E9-4C10-AE6A-6F1FF8E6835F}"/>
    <cellStyle name="Entrada 4 5 18" xfId="7599" xr:uid="{4562C553-F954-4F5E-A693-F6E1C46B31A1}"/>
    <cellStyle name="Entrada 4 5 18 2" xfId="7600" xr:uid="{85157766-14CD-4D26-A49D-2E2B1CFF8D95}"/>
    <cellStyle name="Entrada 4 5 18_2013" xfId="7601" xr:uid="{B4A8D066-A286-4C27-A6BB-93EA485261C3}"/>
    <cellStyle name="Entrada 4 5 19" xfId="7602" xr:uid="{6F97372C-00B7-40C7-B908-DD37F7FF6416}"/>
    <cellStyle name="Entrada 4 5 2" xfId="7603" xr:uid="{734BAEC2-CD85-49FC-8D51-7419B7FC41B5}"/>
    <cellStyle name="Entrada 4 5 3" xfId="7604" xr:uid="{65D0C45E-1F70-4019-9DA3-9183061FD097}"/>
    <cellStyle name="Entrada 4 5 4" xfId="7605" xr:uid="{95F8A19A-C2D1-4C50-A8A6-23E93D067A2D}"/>
    <cellStyle name="Entrada 4 5 5" xfId="7606" xr:uid="{DCE6CBAB-8F63-4388-B11F-A7914DEE50F9}"/>
    <cellStyle name="Entrada 4 5 6" xfId="7607" xr:uid="{49474F9B-3E66-4CFE-BB9F-3E366663A465}"/>
    <cellStyle name="Entrada 4 5 7" xfId="7608" xr:uid="{465A15C1-6419-4C08-B150-A9A25CBCD87A}"/>
    <cellStyle name="Entrada 4 5 8" xfId="7609" xr:uid="{72A6BD7B-EAA7-4955-916B-8A02D181C6BD}"/>
    <cellStyle name="Entrada 4 5 9" xfId="7610" xr:uid="{BB1A8455-710C-46F4-B3FD-1EF3238AD45E}"/>
    <cellStyle name="Entrada 4 5_2013" xfId="7611" xr:uid="{0550F979-DED3-4AE4-BF01-B629AD6D1668}"/>
    <cellStyle name="Entrada 4 6" xfId="7612" xr:uid="{9611B67E-0ED1-4634-BE22-C7C5658AAB4B}"/>
    <cellStyle name="Entrada 4 7" xfId="7613" xr:uid="{EBF73964-C96E-4517-B89E-0AE146639BCD}"/>
    <cellStyle name="Entrada 4 8" xfId="7614" xr:uid="{66EF67B6-86FC-48E4-B0A0-CFF5546A69D6}"/>
    <cellStyle name="Entrada 4 9" xfId="7615" xr:uid="{D5778D9F-C018-4B77-BB50-B5CFA97956DF}"/>
    <cellStyle name="Entrada 4_2013" xfId="7616" xr:uid="{F600CB20-B2DB-4840-9C00-FF200927027D}"/>
    <cellStyle name="Entrada 5" xfId="7617" xr:uid="{7D635A18-E7F4-44EF-9C8D-133E06B97725}"/>
    <cellStyle name="Entrada 5 10" xfId="7618" xr:uid="{B7BEF984-0171-4897-9DE5-25362A2F4A79}"/>
    <cellStyle name="Entrada 5 11" xfId="7619" xr:uid="{81A63640-B4D7-4CBA-8910-870E65983DC8}"/>
    <cellStyle name="Entrada 5 12" xfId="7620" xr:uid="{6D04248D-11D2-4155-A782-20D46C5DD16C}"/>
    <cellStyle name="Entrada 5 13" xfId="7621" xr:uid="{1EEDE51B-186A-4D8E-8102-BF1EC77B69DA}"/>
    <cellStyle name="Entrada 5 14" xfId="7622" xr:uid="{C69D91B6-3CED-4886-895E-F03CCD2F862E}"/>
    <cellStyle name="Entrada 5 15" xfId="7623" xr:uid="{79E8E6F3-75BE-4D9A-A1B3-FABC1578ABC9}"/>
    <cellStyle name="Entrada 5 16" xfId="7624" xr:uid="{5C2AC174-2EAE-4452-A9C9-87A1D8158F06}"/>
    <cellStyle name="Entrada 5 17" xfId="7625" xr:uid="{B6A2A1E9-2924-42CD-8957-9F948B8674B4}"/>
    <cellStyle name="Entrada 5 18" xfId="7626" xr:uid="{31159B3F-528A-4289-8AE5-B78430937071}"/>
    <cellStyle name="Entrada 5 19" xfId="7627" xr:uid="{B3613B39-7CA7-4C24-A009-2A0872E0FB4E}"/>
    <cellStyle name="Entrada 5 19 2" xfId="7628" xr:uid="{386DF482-5F09-4F23-8C95-8936F611EEC6}"/>
    <cellStyle name="Entrada 5 19_2013" xfId="7629" xr:uid="{A6824517-837B-4E90-9420-96DE8B96F10E}"/>
    <cellStyle name="Entrada 5 2" xfId="7630" xr:uid="{DC590FAD-0E87-4506-9050-A57EAC834C76}"/>
    <cellStyle name="Entrada 5 2 10" xfId="7631" xr:uid="{86632978-4D70-481B-B5FF-4CD346AD4629}"/>
    <cellStyle name="Entrada 5 2 11" xfId="7632" xr:uid="{069CF9CC-C8D9-4351-831E-462551ABB08C}"/>
    <cellStyle name="Entrada 5 2 12" xfId="7633" xr:uid="{81CD1FE5-C494-43C3-80BC-CC94F7CEBCED}"/>
    <cellStyle name="Entrada 5 2 13" xfId="7634" xr:uid="{D2A827E0-712E-47DE-9655-2D0DFC414121}"/>
    <cellStyle name="Entrada 5 2 14" xfId="7635" xr:uid="{0658AFCD-4204-42BD-89D1-A64D1A5FC94B}"/>
    <cellStyle name="Entrada 5 2 15" xfId="7636" xr:uid="{1C48035D-239D-4D8B-BAF6-9A66BD0967F8}"/>
    <cellStyle name="Entrada 5 2 16" xfId="7637" xr:uid="{F428E36D-9B98-4DCE-9701-81F488C770BE}"/>
    <cellStyle name="Entrada 5 2 17" xfId="7638" xr:uid="{B3A11A5C-2CE1-414F-BE62-85437A72A936}"/>
    <cellStyle name="Entrada 5 2 18" xfId="7639" xr:uid="{4DFB1DAA-80C3-4C53-9016-16F1B27257DD}"/>
    <cellStyle name="Entrada 5 2 18 2" xfId="7640" xr:uid="{89A5F317-417C-4E66-BE89-1BCAC2898187}"/>
    <cellStyle name="Entrada 5 2 18_2013" xfId="7641" xr:uid="{D7448390-1268-41E3-AD4D-D32FE7822169}"/>
    <cellStyle name="Entrada 5 2 19" xfId="7642" xr:uid="{4E495CE9-07E0-43A1-BAE5-EEE4B14CB2F0}"/>
    <cellStyle name="Entrada 5 2 2" xfId="7643" xr:uid="{B100B496-2510-42BF-B457-4958542DD3BA}"/>
    <cellStyle name="Entrada 5 2 3" xfId="7644" xr:uid="{5A242592-9D45-47CB-BA8A-A75C0CA55F8C}"/>
    <cellStyle name="Entrada 5 2 4" xfId="7645" xr:uid="{5183381F-1C16-43A9-B886-EC77AAA24F5E}"/>
    <cellStyle name="Entrada 5 2 5" xfId="7646" xr:uid="{41A16AE0-C5F8-41A3-87CD-30875433DE78}"/>
    <cellStyle name="Entrada 5 2 6" xfId="7647" xr:uid="{0A3C6C18-F629-485A-8718-D06460E6FBB2}"/>
    <cellStyle name="Entrada 5 2 7" xfId="7648" xr:uid="{50375975-C487-4390-9432-4F274964FB13}"/>
    <cellStyle name="Entrada 5 2 8" xfId="7649" xr:uid="{DD3DF1CE-0698-4E54-9422-2A2D194197A5}"/>
    <cellStyle name="Entrada 5 2 9" xfId="7650" xr:uid="{F62045A4-95E3-4B43-B280-E1AD5E82DEC8}"/>
    <cellStyle name="Entrada 5 2_2013" xfId="7651" xr:uid="{42C39B41-C2D0-460F-9773-FFBE409063DF}"/>
    <cellStyle name="Entrada 5 20" xfId="7652" xr:uid="{EC848083-C44D-4847-B81B-DC365EB62AF5}"/>
    <cellStyle name="Entrada 5 3" xfId="7653" xr:uid="{43822CEE-FBFB-454D-9329-C7F4CCA9EE73}"/>
    <cellStyle name="Entrada 5 4" xfId="7654" xr:uid="{41657DC6-EDDE-4870-8E71-92535E0D42A9}"/>
    <cellStyle name="Entrada 5 5" xfId="7655" xr:uid="{C29670C7-F953-4172-9CA2-99E7BECD9B54}"/>
    <cellStyle name="Entrada 5 6" xfId="7656" xr:uid="{EE7B614F-D73A-4706-ACD0-D98316F281E4}"/>
    <cellStyle name="Entrada 5 7" xfId="7657" xr:uid="{1209D122-673A-4A22-80B2-38210A1650F9}"/>
    <cellStyle name="Entrada 5 8" xfId="7658" xr:uid="{B2FDE45D-F88A-499F-B97D-F5463E6E3E82}"/>
    <cellStyle name="Entrada 5 9" xfId="7659" xr:uid="{E7E8120F-18B8-4725-82C1-6A6E5CF21D5B}"/>
    <cellStyle name="Entrada 5_2013" xfId="7660" xr:uid="{19595C74-2244-4044-A632-A2385DED3A7F}"/>
    <cellStyle name="Entrada 6" xfId="7661" xr:uid="{5344CD64-B720-4D53-A5D8-C9AE4FAFC8AB}"/>
    <cellStyle name="Entrada 6 10" xfId="7662" xr:uid="{1955FE78-DA96-4682-82C7-28BDA700662B}"/>
    <cellStyle name="Entrada 6 11" xfId="7663" xr:uid="{CFBCDF63-4007-475E-8179-B76B8CD4A14E}"/>
    <cellStyle name="Entrada 6 12" xfId="7664" xr:uid="{C2F88231-A1E8-492E-B5D5-556788DF74F6}"/>
    <cellStyle name="Entrada 6 13" xfId="7665" xr:uid="{7AC79F56-8F67-4736-B117-BA8049AE5924}"/>
    <cellStyle name="Entrada 6 14" xfId="7666" xr:uid="{8832E6BD-B264-4B22-99B8-8A02E2F7668C}"/>
    <cellStyle name="Entrada 6 15" xfId="7667" xr:uid="{5B1B5CAE-5463-48E6-B562-BA8590316639}"/>
    <cellStyle name="Entrada 6 16" xfId="7668" xr:uid="{B1A23BD7-9332-42AC-821B-0A28BC276EC0}"/>
    <cellStyle name="Entrada 6 17" xfId="7669" xr:uid="{06EBE7A9-3E0D-44CE-B94A-4DDC24E14B97}"/>
    <cellStyle name="Entrada 6 18" xfId="7670" xr:uid="{4BE68620-7AD8-4885-BA37-8B4F419FFF4F}"/>
    <cellStyle name="Entrada 6 19" xfId="7671" xr:uid="{7FAB9744-3250-4EC6-A27C-FA5650398C86}"/>
    <cellStyle name="Entrada 6 19 2" xfId="7672" xr:uid="{813A2683-2032-4F2A-84B9-33043F78DEBC}"/>
    <cellStyle name="Entrada 6 19_2013" xfId="7673" xr:uid="{038C7FB0-822A-454E-9AAB-B50D32EF9A8E}"/>
    <cellStyle name="Entrada 6 2" xfId="7674" xr:uid="{6B03E0B2-9162-48E7-B986-AE2C400A22B6}"/>
    <cellStyle name="Entrada 6 2 10" xfId="7675" xr:uid="{CBCB00A4-00BE-48BD-9363-D33239D954DD}"/>
    <cellStyle name="Entrada 6 2 11" xfId="7676" xr:uid="{CA98C676-D726-4D5A-801E-CE2150A422E0}"/>
    <cellStyle name="Entrada 6 2 12" xfId="7677" xr:uid="{2DFACADE-C64B-4BB2-9C8E-FCB18FA98B6C}"/>
    <cellStyle name="Entrada 6 2 13" xfId="7678" xr:uid="{AAC6DB57-87C0-4304-BF95-695E13550DE5}"/>
    <cellStyle name="Entrada 6 2 14" xfId="7679" xr:uid="{9AD05C1E-7654-4634-A1D6-BD39379A3DCC}"/>
    <cellStyle name="Entrada 6 2 15" xfId="7680" xr:uid="{D93F6DFA-8656-4D43-BF5E-E20DC9A000CA}"/>
    <cellStyle name="Entrada 6 2 16" xfId="7681" xr:uid="{483BBBB2-BE5C-4EB8-94AC-C3892B106554}"/>
    <cellStyle name="Entrada 6 2 17" xfId="7682" xr:uid="{8342A992-225E-40C1-B6C0-D68CAA7302A3}"/>
    <cellStyle name="Entrada 6 2 18" xfId="7683" xr:uid="{0075AA09-38EB-4FE7-91CC-C97A32E97FF7}"/>
    <cellStyle name="Entrada 6 2 18 2" xfId="7684" xr:uid="{4F8A209F-FD40-4A68-BB7E-35FFF8F82A16}"/>
    <cellStyle name="Entrada 6 2 18_2013" xfId="7685" xr:uid="{3CB9C0C0-8B24-4900-9518-0F7375C95402}"/>
    <cellStyle name="Entrada 6 2 19" xfId="7686" xr:uid="{CBB97FC5-3256-4FD5-8EC3-648E53C08CB2}"/>
    <cellStyle name="Entrada 6 2 2" xfId="7687" xr:uid="{0BBA95EA-DD2A-42BC-8E20-3D6DE7B259B2}"/>
    <cellStyle name="Entrada 6 2 3" xfId="7688" xr:uid="{F40DEBEF-0F1B-45EB-B4DD-5FF0E717C587}"/>
    <cellStyle name="Entrada 6 2 4" xfId="7689" xr:uid="{A0714C57-09AB-4421-8C24-10413DBFCF94}"/>
    <cellStyle name="Entrada 6 2 5" xfId="7690" xr:uid="{EA5AA031-0D56-445C-97DB-73F4A84DF08A}"/>
    <cellStyle name="Entrada 6 2 6" xfId="7691" xr:uid="{06230571-271C-473E-AEB6-6779AB1C7927}"/>
    <cellStyle name="Entrada 6 2 7" xfId="7692" xr:uid="{9895BCCC-C796-4BC2-B22C-30BF88DDA37F}"/>
    <cellStyle name="Entrada 6 2 8" xfId="7693" xr:uid="{C958AAC8-678B-438B-A154-990253F63385}"/>
    <cellStyle name="Entrada 6 2 9" xfId="7694" xr:uid="{42665DAC-7616-4329-8813-F0F9C0239E54}"/>
    <cellStyle name="Entrada 6 2_2013" xfId="7695" xr:uid="{97A2147F-9E9C-4B03-805E-1D3ECEFA6488}"/>
    <cellStyle name="Entrada 6 20" xfId="7696" xr:uid="{F71CFF69-B4E2-4228-9076-B890C2C3B4CF}"/>
    <cellStyle name="Entrada 6 3" xfId="7697" xr:uid="{D79C9ED4-981F-4722-9DF3-3A2C61EE3637}"/>
    <cellStyle name="Entrada 6 4" xfId="7698" xr:uid="{C2F2A5F8-148A-4DC6-8727-BC182A2BD886}"/>
    <cellStyle name="Entrada 6 5" xfId="7699" xr:uid="{DCAD712A-443F-4224-AD53-691FA5186E10}"/>
    <cellStyle name="Entrada 6 6" xfId="7700" xr:uid="{D8685F6C-D514-4186-9446-9CFB762D1C66}"/>
    <cellStyle name="Entrada 6 7" xfId="7701" xr:uid="{C97C6696-6157-4233-9E6E-61D267ECD7D0}"/>
    <cellStyle name="Entrada 6 8" xfId="7702" xr:uid="{57DEE9CF-77A9-43CA-AD40-3B2CE75DBAD2}"/>
    <cellStyle name="Entrada 6 9" xfId="7703" xr:uid="{3FA4C3BF-2669-40BE-8698-F26E03C4C487}"/>
    <cellStyle name="Entrada 6_2013" xfId="7704" xr:uid="{4BF8BE2A-3511-4946-A2A9-DFD04B3995DD}"/>
    <cellStyle name="Entrada 7" xfId="7705" xr:uid="{0777B801-D9DA-4DF1-915C-FF3106BA3E2B}"/>
    <cellStyle name="Entrada 7 10" xfId="7706" xr:uid="{37296BF2-199E-40AB-86A2-09AFAB9312F2}"/>
    <cellStyle name="Entrada 7 11" xfId="7707" xr:uid="{1D9F32EC-E1EC-4838-BDB7-FD51F77284C2}"/>
    <cellStyle name="Entrada 7 12" xfId="7708" xr:uid="{975A9DD7-FDD8-41E0-A426-141EB445337F}"/>
    <cellStyle name="Entrada 7 13" xfId="7709" xr:uid="{CCB53291-8EB4-4A6E-8D94-BF8CA4061A1F}"/>
    <cellStyle name="Entrada 7 14" xfId="7710" xr:uid="{DA93FD61-388E-4B1B-B62D-6E1435C7F517}"/>
    <cellStyle name="Entrada 7 15" xfId="7711" xr:uid="{B6417361-91A3-4087-BD8F-A8B7CCB68290}"/>
    <cellStyle name="Entrada 7 16" xfId="7712" xr:uid="{CC974A7C-8A3A-459D-B1C4-3D1DDEFF738C}"/>
    <cellStyle name="Entrada 7 17" xfId="7713" xr:uid="{6761C32E-BD66-4576-BD9F-0CBE284BC8D0}"/>
    <cellStyle name="Entrada 7 18" xfId="7714" xr:uid="{35FF2529-2704-4CF4-8822-F2646F99A57A}"/>
    <cellStyle name="Entrada 7 19" xfId="7715" xr:uid="{B3D1EAF5-F7D7-494B-AEAC-07760571060B}"/>
    <cellStyle name="Entrada 7 19 2" xfId="7716" xr:uid="{B9E53C9B-E50C-4D0F-9A5C-4A3537780C12}"/>
    <cellStyle name="Entrada 7 19_2013" xfId="7717" xr:uid="{1D72B6A8-76EB-4196-8B5A-4D24882CC6B0}"/>
    <cellStyle name="Entrada 7 2" xfId="7718" xr:uid="{A6E350F8-A722-449B-9E27-A8319646319A}"/>
    <cellStyle name="Entrada 7 2 10" xfId="7719" xr:uid="{050E89AB-CEF4-4289-B599-2BD8996C4630}"/>
    <cellStyle name="Entrada 7 2 11" xfId="7720" xr:uid="{58DDFF0B-B936-4C72-8C2C-9AAFA092DB34}"/>
    <cellStyle name="Entrada 7 2 12" xfId="7721" xr:uid="{EFA2DC30-ECF3-42FF-BEB3-4C970ADC8080}"/>
    <cellStyle name="Entrada 7 2 13" xfId="7722" xr:uid="{D73215BF-30DE-4672-BF22-0E5BABA5B017}"/>
    <cellStyle name="Entrada 7 2 14" xfId="7723" xr:uid="{FE392FE4-4AD3-46F7-A36F-36F84C7871C5}"/>
    <cellStyle name="Entrada 7 2 15" xfId="7724" xr:uid="{4120021A-E5E2-4421-8154-CFFAF75285AA}"/>
    <cellStyle name="Entrada 7 2 16" xfId="7725" xr:uid="{06E3C3FB-FE2B-47A6-9D88-C4B8C93AE276}"/>
    <cellStyle name="Entrada 7 2 17" xfId="7726" xr:uid="{5ABED06B-4768-47D1-A9D1-E90EF797236E}"/>
    <cellStyle name="Entrada 7 2 18" xfId="7727" xr:uid="{60674784-1B26-4901-A403-5F8AB7F50B5E}"/>
    <cellStyle name="Entrada 7 2 18 2" xfId="7728" xr:uid="{4D6097FD-6214-4A16-ABCC-1FD35E9C0678}"/>
    <cellStyle name="Entrada 7 2 18_2013" xfId="7729" xr:uid="{7BF0705B-1211-49A9-B127-34243CD6885F}"/>
    <cellStyle name="Entrada 7 2 19" xfId="7730" xr:uid="{91B69FD3-2338-49EB-93C7-DBC5341981E9}"/>
    <cellStyle name="Entrada 7 2 2" xfId="7731" xr:uid="{23B432E4-6197-4CEE-B604-B7CE975F356B}"/>
    <cellStyle name="Entrada 7 2 3" xfId="7732" xr:uid="{43A69C91-9F97-42FC-910C-494DA9FC45B1}"/>
    <cellStyle name="Entrada 7 2 4" xfId="7733" xr:uid="{5CB7D9F5-CCD9-47F2-92CD-DBE13B58DDD4}"/>
    <cellStyle name="Entrada 7 2 5" xfId="7734" xr:uid="{258ED21E-B602-4374-8D21-1806C3B3923D}"/>
    <cellStyle name="Entrada 7 2 6" xfId="7735" xr:uid="{3B91DB1F-51BB-4337-93EF-23922B02949E}"/>
    <cellStyle name="Entrada 7 2 7" xfId="7736" xr:uid="{6B7368BE-9628-4B1A-BA38-5191AE6B0257}"/>
    <cellStyle name="Entrada 7 2 8" xfId="7737" xr:uid="{FE25BF4B-4B4F-4F9D-AF8C-8298D8EFF6EC}"/>
    <cellStyle name="Entrada 7 2 9" xfId="7738" xr:uid="{AF99B576-91A0-468A-BADC-F85597B11DB9}"/>
    <cellStyle name="Entrada 7 2_2013" xfId="7739" xr:uid="{A5F61DE9-BB05-4AB1-ACCA-BACD07E759EA}"/>
    <cellStyle name="Entrada 7 20" xfId="7740" xr:uid="{D96B552B-23E8-4975-B008-0DCA8BF0263B}"/>
    <cellStyle name="Entrada 7 3" xfId="7741" xr:uid="{A985B991-560B-40C8-8097-91C75F9B424D}"/>
    <cellStyle name="Entrada 7 4" xfId="7742" xr:uid="{5EC0B5F3-754C-4EB6-9771-0CD1F288CBDC}"/>
    <cellStyle name="Entrada 7 5" xfId="7743" xr:uid="{FA72DC7D-C8CD-4B0D-A682-F10EB4F64205}"/>
    <cellStyle name="Entrada 7 6" xfId="7744" xr:uid="{4EF8BC92-FAD3-4D65-9FEC-B22AD5A4CC90}"/>
    <cellStyle name="Entrada 7 7" xfId="7745" xr:uid="{6D6D97D7-5158-4C46-B8A4-57E9FAF6DE6E}"/>
    <cellStyle name="Entrada 7 8" xfId="7746" xr:uid="{D02A3FFD-D1B9-42FC-8AD9-82F0863E4DA0}"/>
    <cellStyle name="Entrada 7 9" xfId="7747" xr:uid="{7BE86DCD-3EB1-48CC-BF45-D68C928074C1}"/>
    <cellStyle name="Entrada 7_2013" xfId="7748" xr:uid="{729E19F3-7423-4EA5-A929-C6ED96A11858}"/>
    <cellStyle name="Entrada 8" xfId="7749" xr:uid="{C8DA3B4C-AF81-4539-A1D3-8B8310543E46}"/>
    <cellStyle name="Entrada 8 10" xfId="7750" xr:uid="{8A113614-F498-4C95-9025-F089F06FEECF}"/>
    <cellStyle name="Entrada 8 11" xfId="7751" xr:uid="{00716474-8F3E-4C48-BFD6-D2FE71AFE428}"/>
    <cellStyle name="Entrada 8 12" xfId="7752" xr:uid="{E4AA184D-91A0-4FA5-B434-D1659B89945A}"/>
    <cellStyle name="Entrada 8 13" xfId="7753" xr:uid="{2864810C-13A0-4F72-9A9B-5D29D01B4E2E}"/>
    <cellStyle name="Entrada 8 14" xfId="7754" xr:uid="{99EC3528-39C9-4DC5-BC7B-151BE287AC00}"/>
    <cellStyle name="Entrada 8 15" xfId="7755" xr:uid="{D642E26B-30EA-47EC-BBB8-F2F9FEFB7F89}"/>
    <cellStyle name="Entrada 8 16" xfId="7756" xr:uid="{2C177DCC-1E32-489B-8620-7F4B6ACB7891}"/>
    <cellStyle name="Entrada 8 17" xfId="7757" xr:uid="{5B8FDDA6-6291-4063-B045-7C845AB3F7C4}"/>
    <cellStyle name="Entrada 8 18" xfId="7758" xr:uid="{380815C9-7E88-45F7-B3A0-3D46D28BDA04}"/>
    <cellStyle name="Entrada 8 18 2" xfId="7759" xr:uid="{B1094A73-57B1-428A-A13E-D1C46A0F6486}"/>
    <cellStyle name="Entrada 8 18_2013" xfId="7760" xr:uid="{11C9D3DC-0EB2-4B66-9154-259FC55C1177}"/>
    <cellStyle name="Entrada 8 19" xfId="7761" xr:uid="{9FE148F7-EEDB-47DB-808D-7BE044D24C7D}"/>
    <cellStyle name="Entrada 8 2" xfId="7762" xr:uid="{4A4623FD-7878-4862-B486-F910CC07BC5D}"/>
    <cellStyle name="Entrada 8 3" xfId="7763" xr:uid="{BF3BF658-F6BD-4B4C-86C1-D5FA17FA059B}"/>
    <cellStyle name="Entrada 8 4" xfId="7764" xr:uid="{0A800610-C52B-4787-AD8E-B56B7585D627}"/>
    <cellStyle name="Entrada 8 5" xfId="7765" xr:uid="{4069CD7A-2BB5-47F7-91E3-326F38675CE4}"/>
    <cellStyle name="Entrada 8 6" xfId="7766" xr:uid="{BF5E622A-E3C3-471B-88F6-2885AC86EB64}"/>
    <cellStyle name="Entrada 8 7" xfId="7767" xr:uid="{9490A948-2E2B-48AD-B645-1D0F0E266ED1}"/>
    <cellStyle name="Entrada 8 8" xfId="7768" xr:uid="{F72DB8B4-7A76-4806-B2BD-4BCBCE5E9B47}"/>
    <cellStyle name="Entrada 8 9" xfId="7769" xr:uid="{A2FFCABB-CD10-43A5-8E62-9A250832DC29}"/>
    <cellStyle name="Entrada 8_2013" xfId="7770" xr:uid="{064B45E9-75DD-4A2C-88EE-1DC059C53089}"/>
    <cellStyle name="Entrada 9" xfId="7771" xr:uid="{C706FB05-E585-495E-A07E-F85D5EDCFF17}"/>
    <cellStyle name="Entrada_2013" xfId="7772" xr:uid="{12A6B981-FB67-48D1-B8AB-1EBBBF1C45E2}"/>
    <cellStyle name="Ergebnis" xfId="7773" xr:uid="{17498ADA-B059-4F6A-90A0-37814F8069BD}"/>
    <cellStyle name="Ergebnis 10" xfId="7774" xr:uid="{DCB5D11F-604E-4D5B-8DA3-C5125CCB6CF6}"/>
    <cellStyle name="Ergebnis 11" xfId="7775" xr:uid="{49FDA92D-FC0D-41B9-87A1-7874107BEB1E}"/>
    <cellStyle name="Ergebnis 12" xfId="7776" xr:uid="{E83570A8-65C8-411B-AD3F-3BDAEA2207BE}"/>
    <cellStyle name="Ergebnis 13" xfId="7777" xr:uid="{C4EB54D7-FEFC-457B-ABA2-7BF292BB5181}"/>
    <cellStyle name="Ergebnis 14" xfId="7778" xr:uid="{DCA219C9-DE50-4F85-85DA-547F3A4BA0AE}"/>
    <cellStyle name="Ergebnis 15" xfId="7779" xr:uid="{4442CDDA-7A30-4F46-8147-18B29C7C64DB}"/>
    <cellStyle name="Ergebnis 16" xfId="7780" xr:uid="{B3042CFF-92DC-4660-887C-EECBC0EF19BB}"/>
    <cellStyle name="Ergebnis 17" xfId="7781" xr:uid="{0A4A3F04-C91B-4440-94D8-8298CA24D5E6}"/>
    <cellStyle name="Ergebnis 18" xfId="7782" xr:uid="{76E94D65-76E2-4103-A69F-F99877581A71}"/>
    <cellStyle name="Ergebnis 19" xfId="7783" xr:uid="{6140FC6F-615D-49CE-8A4B-3D5E3FC585F1}"/>
    <cellStyle name="Ergebnis 2" xfId="7784" xr:uid="{7F67BE41-CDAC-4BA6-AEE0-900DC7DCD636}"/>
    <cellStyle name="Ergebnis 2 10" xfId="7785" xr:uid="{BFE57956-11CC-4563-B377-B14AA5029E7C}"/>
    <cellStyle name="Ergebnis 2 11" xfId="7786" xr:uid="{41D3F42B-58B5-4AB5-AB93-C39F593E196D}"/>
    <cellStyle name="Ergebnis 2 12" xfId="7787" xr:uid="{AB2C796A-66D5-4388-B679-916E17BF048D}"/>
    <cellStyle name="Ergebnis 2 13" xfId="7788" xr:uid="{FA39A857-E31F-4A22-89C5-3A9E5FE7A53F}"/>
    <cellStyle name="Ergebnis 2 14" xfId="7789" xr:uid="{26F254CC-568D-4416-823C-50A9E7805D98}"/>
    <cellStyle name="Ergebnis 2 15" xfId="7790" xr:uid="{7CBF10D3-3AEE-4A95-8F21-72984D19E26A}"/>
    <cellStyle name="Ergebnis 2 16" xfId="7791" xr:uid="{67265995-CE7F-4395-BF51-1ECCBA2CB528}"/>
    <cellStyle name="Ergebnis 2 17" xfId="7792" xr:uid="{C8467BEF-42A0-421F-84FB-5B7B27E2AB41}"/>
    <cellStyle name="Ergebnis 2 18" xfId="7793" xr:uid="{4A69C29E-E266-4110-9F7C-A50773F81905}"/>
    <cellStyle name="Ergebnis 2 19" xfId="7794" xr:uid="{274989FD-F64A-46F8-8DF1-26508439845E}"/>
    <cellStyle name="Ergebnis 2 2" xfId="7795" xr:uid="{5EE1C9F0-C555-42BF-B7FE-FD465D0A5B5F}"/>
    <cellStyle name="Ergebnis 2 2 10" xfId="7796" xr:uid="{1C3B39DE-1126-4F9D-A677-3CE48DD5274C}"/>
    <cellStyle name="Ergebnis 2 2 11" xfId="7797" xr:uid="{574AFEF7-AB05-4373-8BAF-EC877B9DCEF4}"/>
    <cellStyle name="Ergebnis 2 2 12" xfId="7798" xr:uid="{CF66DAE4-0CD2-4016-A165-C3AA1980153E}"/>
    <cellStyle name="Ergebnis 2 2 13" xfId="7799" xr:uid="{A06BCC73-5B78-4345-8F56-7CB9A1EAA85C}"/>
    <cellStyle name="Ergebnis 2 2 14" xfId="7800" xr:uid="{0C50238A-5D9B-4672-8EA2-1C09F7AA75C0}"/>
    <cellStyle name="Ergebnis 2 2 15" xfId="7801" xr:uid="{4E678934-AFA8-4342-9E6D-317CB14AF79C}"/>
    <cellStyle name="Ergebnis 2 2 16" xfId="7802" xr:uid="{91637A3C-551B-49D2-A27C-EF1D2289CB2F}"/>
    <cellStyle name="Ergebnis 2 2 17" xfId="7803" xr:uid="{6311011D-11EC-4F3C-8B8A-F989CC905933}"/>
    <cellStyle name="Ergebnis 2 2 18" xfId="7804" xr:uid="{1FD2D0FC-CDC8-4443-9337-C652BEA04BDE}"/>
    <cellStyle name="Ergebnis 2 2 19" xfId="7805" xr:uid="{B172253B-7F12-4047-8706-BB920C717CA8}"/>
    <cellStyle name="Ergebnis 2 2 2" xfId="7806" xr:uid="{64DAE131-8A1E-4761-AD82-361451B68B16}"/>
    <cellStyle name="Ergebnis 2 2 2 10" xfId="7807" xr:uid="{2B42D24D-EADA-4B5B-86E2-5AED175FA597}"/>
    <cellStyle name="Ergebnis 2 2 2 11" xfId="7808" xr:uid="{5140AA41-D8EC-4B52-A5D0-D1B9E229398E}"/>
    <cellStyle name="Ergebnis 2 2 2 12" xfId="7809" xr:uid="{D6E2D1C1-E24E-42D7-BDC1-3A2479FFC0B9}"/>
    <cellStyle name="Ergebnis 2 2 2 13" xfId="7810" xr:uid="{4370DC5E-982C-45EC-80AB-1225239FFFCE}"/>
    <cellStyle name="Ergebnis 2 2 2 14" xfId="7811" xr:uid="{75EBAD6D-359B-41BC-A4B1-C5E84EA48BB8}"/>
    <cellStyle name="Ergebnis 2 2 2 15" xfId="7812" xr:uid="{BF964F30-89E1-47D0-B112-98F5F36BFE6D}"/>
    <cellStyle name="Ergebnis 2 2 2 16" xfId="7813" xr:uid="{B8D41CEB-21AB-4CEB-8B80-51A836EC81D8}"/>
    <cellStyle name="Ergebnis 2 2 2 17" xfId="7814" xr:uid="{9FF22E22-1CF5-4642-9225-1CBE7E2FF450}"/>
    <cellStyle name="Ergebnis 2 2 2 18" xfId="7815" xr:uid="{EAAFBBE2-A4D5-47C1-8516-E5FA1C9D887E}"/>
    <cellStyle name="Ergebnis 2 2 2 19" xfId="7816" xr:uid="{52C49006-1F2D-4442-9749-7DFEBB2C6D0F}"/>
    <cellStyle name="Ergebnis 2 2 2 2" xfId="7817" xr:uid="{08188E3F-FCE3-4004-BB5B-8FB9F5435A86}"/>
    <cellStyle name="Ergebnis 2 2 2 2 10" xfId="7818" xr:uid="{80B55B33-92DF-41DD-9784-19FCF333F4AA}"/>
    <cellStyle name="Ergebnis 2 2 2 2 11" xfId="7819" xr:uid="{69AB6E28-DA0F-47A9-BE80-2BBAA6B56EE0}"/>
    <cellStyle name="Ergebnis 2 2 2 2 12" xfId="7820" xr:uid="{53673E9E-0C6D-4983-B94E-58135A0CBAE0}"/>
    <cellStyle name="Ergebnis 2 2 2 2 13" xfId="7821" xr:uid="{3B449808-C6D7-4E16-BCA4-06D81A6BFEA7}"/>
    <cellStyle name="Ergebnis 2 2 2 2 14" xfId="7822" xr:uid="{6C992113-0C3C-4407-B9FE-17B6DE017E81}"/>
    <cellStyle name="Ergebnis 2 2 2 2 15" xfId="7823" xr:uid="{440EEEA1-AFEA-4126-BDB5-EA09FBED751C}"/>
    <cellStyle name="Ergebnis 2 2 2 2 16" xfId="7824" xr:uid="{64565219-C731-4773-A504-836B7EF9EA64}"/>
    <cellStyle name="Ergebnis 2 2 2 2 17" xfId="7825" xr:uid="{5B0B73F7-6E61-4BCE-9EE6-264109290778}"/>
    <cellStyle name="Ergebnis 2 2 2 2 18" xfId="7826" xr:uid="{3902D125-F2E0-4AFC-A9EB-D0BB38F106C7}"/>
    <cellStyle name="Ergebnis 2 2 2 2 19" xfId="7827" xr:uid="{F0A6617E-E7CB-4518-9564-356E93F7988F}"/>
    <cellStyle name="Ergebnis 2 2 2 2 2" xfId="7828" xr:uid="{93E29D42-21EB-4EB0-9B9A-6E081CE36DB1}"/>
    <cellStyle name="Ergebnis 2 2 2 2 3" xfId="7829" xr:uid="{B5C0035E-16BB-46BE-8F0B-B152872EFD18}"/>
    <cellStyle name="Ergebnis 2 2 2 2 4" xfId="7830" xr:uid="{41DF1637-3A4C-4395-8DF5-7373CB5611EB}"/>
    <cellStyle name="Ergebnis 2 2 2 2 5" xfId="7831" xr:uid="{D7E08C65-3185-4968-A089-8D53AF850EC9}"/>
    <cellStyle name="Ergebnis 2 2 2 2 6" xfId="7832" xr:uid="{129E86A6-EC0E-448F-AE72-3B8E0C8F805A}"/>
    <cellStyle name="Ergebnis 2 2 2 2 7" xfId="7833" xr:uid="{82D6D013-3A7E-4CA0-BC58-2C793F14A296}"/>
    <cellStyle name="Ergebnis 2 2 2 2 8" xfId="7834" xr:uid="{C93C000F-62C8-41DB-9D7B-08EECFEAF845}"/>
    <cellStyle name="Ergebnis 2 2 2 2 9" xfId="7835" xr:uid="{49E8EB97-70B4-4140-BEF9-C1E1C72F2F68}"/>
    <cellStyle name="Ergebnis 2 2 2 2_2013" xfId="7836" xr:uid="{3A5D2A99-1256-477C-9D0C-7CE5332987DD}"/>
    <cellStyle name="Ergebnis 2 2 2 20" xfId="7837" xr:uid="{172EEA8B-3ADB-42CE-A29E-F4A15D8E8F69}"/>
    <cellStyle name="Ergebnis 2 2 2 3" xfId="7838" xr:uid="{A0E4125F-FA75-4BDB-B97E-1D39C50345A6}"/>
    <cellStyle name="Ergebnis 2 2 2 4" xfId="7839" xr:uid="{3E9BF029-30BC-4A9A-934B-C407D343ABA0}"/>
    <cellStyle name="Ergebnis 2 2 2 5" xfId="7840" xr:uid="{EC3B84FF-D6C4-40F2-908A-0FFF3A968713}"/>
    <cellStyle name="Ergebnis 2 2 2 6" xfId="7841" xr:uid="{FC974B0A-7EAE-4497-AFE1-8BC104E1D87A}"/>
    <cellStyle name="Ergebnis 2 2 2 7" xfId="7842" xr:uid="{D192F2D8-2E40-48CF-B76C-4C0EFF10A746}"/>
    <cellStyle name="Ergebnis 2 2 2 8" xfId="7843" xr:uid="{84614FE0-B52B-43FB-BB3D-CA65F662343D}"/>
    <cellStyle name="Ergebnis 2 2 2 9" xfId="7844" xr:uid="{405BD74A-B482-421F-A360-FBDE89212657}"/>
    <cellStyle name="Ergebnis 2 2 2_2013" xfId="7845" xr:uid="{0F8479F8-363B-4C1F-9C6A-B1B9FFD62EDE}"/>
    <cellStyle name="Ergebnis 2 2 20" xfId="7846" xr:uid="{36821BEC-682B-44C1-A380-35792C2E6D7E}"/>
    <cellStyle name="Ergebnis 2 2 21" xfId="7847" xr:uid="{A96DD5FD-5C0D-435B-9961-29E52ADDBDD7}"/>
    <cellStyle name="Ergebnis 2 2 22" xfId="7848" xr:uid="{BDBBE130-8999-44F0-B41A-C945FFCEEC46}"/>
    <cellStyle name="Ergebnis 2 2 23" xfId="7849" xr:uid="{2FA89220-3EA5-405A-9953-3EAFA9744DBC}"/>
    <cellStyle name="Ergebnis 2 2 3" xfId="7850" xr:uid="{6A54F493-BD29-4ED2-B50B-7887BF3AD8EE}"/>
    <cellStyle name="Ergebnis 2 2 3 10" xfId="7851" xr:uid="{5EE380E7-EFEB-4592-9984-CFA833CF32E2}"/>
    <cellStyle name="Ergebnis 2 2 3 11" xfId="7852" xr:uid="{04748CE4-C4DF-4825-AD22-6A687DBF40F3}"/>
    <cellStyle name="Ergebnis 2 2 3 12" xfId="7853" xr:uid="{C27391F1-79C7-4EEC-90B8-2F2495206FB1}"/>
    <cellStyle name="Ergebnis 2 2 3 13" xfId="7854" xr:uid="{364AB42B-25A0-48D2-9396-B32E10C39353}"/>
    <cellStyle name="Ergebnis 2 2 3 14" xfId="7855" xr:uid="{0659A2DF-4AB9-4822-8E3D-904DB81DFD0F}"/>
    <cellStyle name="Ergebnis 2 2 3 15" xfId="7856" xr:uid="{17FA8EE5-10BD-440C-ACB5-59AC5706C875}"/>
    <cellStyle name="Ergebnis 2 2 3 16" xfId="7857" xr:uid="{462BF541-7014-4413-A0DE-1A82975529D2}"/>
    <cellStyle name="Ergebnis 2 2 3 17" xfId="7858" xr:uid="{6AA53994-5C2A-476A-81A5-3D61C3A322B2}"/>
    <cellStyle name="Ergebnis 2 2 3 18" xfId="7859" xr:uid="{BFECD750-8989-43FD-B779-8404C3DA48F2}"/>
    <cellStyle name="Ergebnis 2 2 3 19" xfId="7860" xr:uid="{896F0AE7-11C3-4D3F-A13C-788C16C23122}"/>
    <cellStyle name="Ergebnis 2 2 3 2" xfId="7861" xr:uid="{0B3B9C86-38E2-47C5-BCB8-279C1F8459A3}"/>
    <cellStyle name="Ergebnis 2 2 3 2 10" xfId="7862" xr:uid="{8622EADD-379D-4BAE-8277-ED472B5B33E6}"/>
    <cellStyle name="Ergebnis 2 2 3 2 11" xfId="7863" xr:uid="{B6EAD95D-529C-4D74-8559-E57AA22C7194}"/>
    <cellStyle name="Ergebnis 2 2 3 2 12" xfId="7864" xr:uid="{932365A4-9C2A-4987-84B0-404B29AF7F29}"/>
    <cellStyle name="Ergebnis 2 2 3 2 13" xfId="7865" xr:uid="{EE69358F-257A-44DC-AF7E-95875575E8DC}"/>
    <cellStyle name="Ergebnis 2 2 3 2 14" xfId="7866" xr:uid="{11CC1DA2-8A4F-49B9-A48B-0C8323CA003E}"/>
    <cellStyle name="Ergebnis 2 2 3 2 15" xfId="7867" xr:uid="{003F82AA-6798-4371-BCEA-7AE05F9E014B}"/>
    <cellStyle name="Ergebnis 2 2 3 2 16" xfId="7868" xr:uid="{4F732F7A-2DC3-4E60-A159-0D475994E4C9}"/>
    <cellStyle name="Ergebnis 2 2 3 2 17" xfId="7869" xr:uid="{A87BAA24-DB7E-4FFA-9EBA-56B523E247F5}"/>
    <cellStyle name="Ergebnis 2 2 3 2 18" xfId="7870" xr:uid="{B10D599B-E73E-4C42-A989-961F9028A1D8}"/>
    <cellStyle name="Ergebnis 2 2 3 2 19" xfId="7871" xr:uid="{CCC83E67-1DCC-4BE2-A5B1-756703F44F22}"/>
    <cellStyle name="Ergebnis 2 2 3 2 2" xfId="7872" xr:uid="{2207E1EB-82D0-4B69-B3FF-BD8144510D63}"/>
    <cellStyle name="Ergebnis 2 2 3 2 3" xfId="7873" xr:uid="{AF590382-5403-4C35-9DF8-03FF156733F2}"/>
    <cellStyle name="Ergebnis 2 2 3 2 4" xfId="7874" xr:uid="{AACBD54E-A557-4783-A92E-853B04B4380B}"/>
    <cellStyle name="Ergebnis 2 2 3 2 5" xfId="7875" xr:uid="{16BC6476-063E-49D0-948B-6F0DEDD4EA48}"/>
    <cellStyle name="Ergebnis 2 2 3 2 6" xfId="7876" xr:uid="{7F7CA2BB-2FE6-422C-8038-F28B0FB73A02}"/>
    <cellStyle name="Ergebnis 2 2 3 2 7" xfId="7877" xr:uid="{5DD87369-716D-4694-B960-30B77CD6C54F}"/>
    <cellStyle name="Ergebnis 2 2 3 2 8" xfId="7878" xr:uid="{B402ECAC-63B1-4A32-B0D8-98098191D42E}"/>
    <cellStyle name="Ergebnis 2 2 3 2 9" xfId="7879" xr:uid="{CAF2A2BE-2E8B-4458-860D-33839F773070}"/>
    <cellStyle name="Ergebnis 2 2 3 2_2013" xfId="7880" xr:uid="{76B94422-B9A5-4CB2-9FB1-05D10DB1B33A}"/>
    <cellStyle name="Ergebnis 2 2 3 20" xfId="7881" xr:uid="{5FB6BE4B-101D-46BF-9CB0-429B55E9CE81}"/>
    <cellStyle name="Ergebnis 2 2 3 3" xfId="7882" xr:uid="{C7C8C0F6-54A7-472B-9FDA-4BC0851DFA6C}"/>
    <cellStyle name="Ergebnis 2 2 3 4" xfId="7883" xr:uid="{5D1645AE-BE52-4A62-88AA-F88C0B3926B1}"/>
    <cellStyle name="Ergebnis 2 2 3 5" xfId="7884" xr:uid="{C3D118D1-BDC6-4CC9-A328-8F3C0120FD4A}"/>
    <cellStyle name="Ergebnis 2 2 3 6" xfId="7885" xr:uid="{14D86A0D-B6F1-43AC-AB1B-3F5C72D630F1}"/>
    <cellStyle name="Ergebnis 2 2 3 7" xfId="7886" xr:uid="{9DC68D10-B155-4DC2-9C7A-96714B7D6C38}"/>
    <cellStyle name="Ergebnis 2 2 3 8" xfId="7887" xr:uid="{60575404-0AC6-4BA5-96D0-A0ABB36D9C48}"/>
    <cellStyle name="Ergebnis 2 2 3 9" xfId="7888" xr:uid="{90875A2B-CE4F-4AAC-A519-A4540F93FD58}"/>
    <cellStyle name="Ergebnis 2 2 3_2013" xfId="7889" xr:uid="{2A7B0401-22FB-4245-94A1-31A16EA0423C}"/>
    <cellStyle name="Ergebnis 2 2 4" xfId="7890" xr:uid="{ADC8BE0D-FCAD-4481-985D-5901AB71383F}"/>
    <cellStyle name="Ergebnis 2 2 4 10" xfId="7891" xr:uid="{D172CE2B-4F97-4371-8E5E-431E19CCED52}"/>
    <cellStyle name="Ergebnis 2 2 4 11" xfId="7892" xr:uid="{D0DA1A1F-973A-454C-A9BE-085D94BF33C3}"/>
    <cellStyle name="Ergebnis 2 2 4 12" xfId="7893" xr:uid="{832A3A6E-9940-4FD2-83F0-F3177107D373}"/>
    <cellStyle name="Ergebnis 2 2 4 13" xfId="7894" xr:uid="{3B8B00D2-6EDC-4518-B055-A3E1836B43BB}"/>
    <cellStyle name="Ergebnis 2 2 4 14" xfId="7895" xr:uid="{08B6DB50-AB42-48A9-8583-635098616CB7}"/>
    <cellStyle name="Ergebnis 2 2 4 15" xfId="7896" xr:uid="{EEDFFFED-7D58-4F09-838C-5F0F8237B16A}"/>
    <cellStyle name="Ergebnis 2 2 4 16" xfId="7897" xr:uid="{4F4BC635-B3D7-455C-B76A-1C72F4FE40FB}"/>
    <cellStyle name="Ergebnis 2 2 4 17" xfId="7898" xr:uid="{9792385F-4B08-45BF-8B28-ED0708337090}"/>
    <cellStyle name="Ergebnis 2 2 4 18" xfId="7899" xr:uid="{18022109-E20E-4791-AFEA-8B160343B2A9}"/>
    <cellStyle name="Ergebnis 2 2 4 19" xfId="7900" xr:uid="{A055FD3A-49D5-4B47-BF08-6601EB48758E}"/>
    <cellStyle name="Ergebnis 2 2 4 2" xfId="7901" xr:uid="{EB3AFD43-7D72-4C0F-AAC9-895F8AE60B3F}"/>
    <cellStyle name="Ergebnis 2 2 4 2 10" xfId="7902" xr:uid="{83F258DE-5E6F-4F6E-AA81-B8F5F0739E22}"/>
    <cellStyle name="Ergebnis 2 2 4 2 11" xfId="7903" xr:uid="{2466EFE4-0ABB-4FCE-9FA9-4A7930728627}"/>
    <cellStyle name="Ergebnis 2 2 4 2 12" xfId="7904" xr:uid="{F84CB910-B112-4E4F-AF55-72215DCA4F08}"/>
    <cellStyle name="Ergebnis 2 2 4 2 13" xfId="7905" xr:uid="{3E38694D-7F72-44B0-B678-25808F7E7B64}"/>
    <cellStyle name="Ergebnis 2 2 4 2 14" xfId="7906" xr:uid="{1AF86D7C-D254-4019-88BD-D73D79122C93}"/>
    <cellStyle name="Ergebnis 2 2 4 2 15" xfId="7907" xr:uid="{2D6A2DFA-1AE7-4303-8CFE-434319C06EB4}"/>
    <cellStyle name="Ergebnis 2 2 4 2 16" xfId="7908" xr:uid="{B17FD333-F7E2-4582-99E5-C2341AC4E481}"/>
    <cellStyle name="Ergebnis 2 2 4 2 17" xfId="7909" xr:uid="{5B07E11E-1FB2-498B-AFFA-7A44EDAD6402}"/>
    <cellStyle name="Ergebnis 2 2 4 2 18" xfId="7910" xr:uid="{39B798CC-059A-4A5A-838C-6B2E416EDA93}"/>
    <cellStyle name="Ergebnis 2 2 4 2 19" xfId="7911" xr:uid="{3D0DE18A-6315-40B9-92E5-A4D260ACFAB5}"/>
    <cellStyle name="Ergebnis 2 2 4 2 2" xfId="7912" xr:uid="{FF376518-0C60-402C-A768-DED349963829}"/>
    <cellStyle name="Ergebnis 2 2 4 2 3" xfId="7913" xr:uid="{80D18D7E-FCFA-43CD-BA38-44F1156C5D69}"/>
    <cellStyle name="Ergebnis 2 2 4 2 4" xfId="7914" xr:uid="{F4A3B589-8F55-4DAA-9130-F77F1E12D067}"/>
    <cellStyle name="Ergebnis 2 2 4 2 5" xfId="7915" xr:uid="{2CF0037F-8936-41B8-A784-A418DFD8919A}"/>
    <cellStyle name="Ergebnis 2 2 4 2 6" xfId="7916" xr:uid="{1052870C-7C5E-484B-81D4-EC8C5A3BE4BE}"/>
    <cellStyle name="Ergebnis 2 2 4 2 7" xfId="7917" xr:uid="{9CDA8036-FCF4-468B-93E6-1C9982C7F331}"/>
    <cellStyle name="Ergebnis 2 2 4 2 8" xfId="7918" xr:uid="{2863217F-7D4C-4CD1-9293-FB4E3EC7D6AB}"/>
    <cellStyle name="Ergebnis 2 2 4 2 9" xfId="7919" xr:uid="{72DE633E-0DBC-4410-AE1C-DA5B7B0B733C}"/>
    <cellStyle name="Ergebnis 2 2 4 2_2013" xfId="7920" xr:uid="{3EB6002F-706F-456B-96F4-F448C4CB5F9A}"/>
    <cellStyle name="Ergebnis 2 2 4 20" xfId="7921" xr:uid="{237F6A71-3074-48BA-AD4A-2DAAECC9D331}"/>
    <cellStyle name="Ergebnis 2 2 4 3" xfId="7922" xr:uid="{9C9EE69B-B1E1-40ED-A450-64B80DB377FF}"/>
    <cellStyle name="Ergebnis 2 2 4 4" xfId="7923" xr:uid="{66D63770-0BB3-4769-BE6F-08FD65A479E3}"/>
    <cellStyle name="Ergebnis 2 2 4 5" xfId="7924" xr:uid="{EBE53A11-9DF6-4DDB-B3AD-7B10994E90EA}"/>
    <cellStyle name="Ergebnis 2 2 4 6" xfId="7925" xr:uid="{BDF64FF5-2F84-4729-8905-472993E9488C}"/>
    <cellStyle name="Ergebnis 2 2 4 7" xfId="7926" xr:uid="{89139534-9625-42E3-9157-5F6D9AC8901B}"/>
    <cellStyle name="Ergebnis 2 2 4 8" xfId="7927" xr:uid="{FA97CED1-6919-4851-A19F-F9A71A424012}"/>
    <cellStyle name="Ergebnis 2 2 4 9" xfId="7928" xr:uid="{251E3E4A-5872-46C8-B797-F6AE268E0152}"/>
    <cellStyle name="Ergebnis 2 2 4_2013" xfId="7929" xr:uid="{23789E0E-2F90-449B-B5C8-8AE087927256}"/>
    <cellStyle name="Ergebnis 2 2 5" xfId="7930" xr:uid="{CFF0093B-A57E-4373-9A46-FBEC9DF55784}"/>
    <cellStyle name="Ergebnis 2 2 5 10" xfId="7931" xr:uid="{A13393D4-52D4-440A-97F2-BC5FAA52A2BF}"/>
    <cellStyle name="Ergebnis 2 2 5 11" xfId="7932" xr:uid="{DE116C8A-4DA1-4EEF-9172-2244003B2E80}"/>
    <cellStyle name="Ergebnis 2 2 5 12" xfId="7933" xr:uid="{4551D90E-5F33-4D25-BA78-7DBFFEB5D567}"/>
    <cellStyle name="Ergebnis 2 2 5 13" xfId="7934" xr:uid="{326C79DC-1D6D-468F-A849-C895C9461AAB}"/>
    <cellStyle name="Ergebnis 2 2 5 14" xfId="7935" xr:uid="{7F3956D9-04EF-4661-85EE-5B2B6ACF967A}"/>
    <cellStyle name="Ergebnis 2 2 5 15" xfId="7936" xr:uid="{4C3B9C04-0BF9-435E-A59F-AE0B40EEAEE0}"/>
    <cellStyle name="Ergebnis 2 2 5 16" xfId="7937" xr:uid="{AB0AC93B-DE6A-4363-81CC-DB924926BC20}"/>
    <cellStyle name="Ergebnis 2 2 5 17" xfId="7938" xr:uid="{0111C4C7-BE67-4E52-A77C-C65DB006FCF6}"/>
    <cellStyle name="Ergebnis 2 2 5 18" xfId="7939" xr:uid="{E013C757-F27A-4602-8E76-3903EED8E326}"/>
    <cellStyle name="Ergebnis 2 2 5 19" xfId="7940" xr:uid="{8669A74E-4667-48F7-842D-E59680DF40CF}"/>
    <cellStyle name="Ergebnis 2 2 5 2" xfId="7941" xr:uid="{58497303-9F37-4029-99E8-5FCB365A7D65}"/>
    <cellStyle name="Ergebnis 2 2 5 3" xfId="7942" xr:uid="{9B47A4D4-5103-491B-8F2D-F55D351A6757}"/>
    <cellStyle name="Ergebnis 2 2 5 4" xfId="7943" xr:uid="{B6B69E3A-4277-43F8-8A70-9AF990CCDC5E}"/>
    <cellStyle name="Ergebnis 2 2 5 5" xfId="7944" xr:uid="{7D1B9746-8163-46AE-A128-318A6F1CB139}"/>
    <cellStyle name="Ergebnis 2 2 5 6" xfId="7945" xr:uid="{84634261-CE12-4F33-B649-91F15303FFB5}"/>
    <cellStyle name="Ergebnis 2 2 5 7" xfId="7946" xr:uid="{99BC00F7-E172-4381-9BA4-D256D1514DD8}"/>
    <cellStyle name="Ergebnis 2 2 5 8" xfId="7947" xr:uid="{A18AEEBF-951B-4448-97B1-C8C37C841057}"/>
    <cellStyle name="Ergebnis 2 2 5 9" xfId="7948" xr:uid="{71043F7B-96F5-4CF1-B2A3-A133CA3FA164}"/>
    <cellStyle name="Ergebnis 2 2 5_2013" xfId="7949" xr:uid="{765122C7-01C3-48D3-9A4B-A72C53035D95}"/>
    <cellStyle name="Ergebnis 2 2 6" xfId="7950" xr:uid="{7F0CE675-BB53-4BC6-8FB7-856531C1232D}"/>
    <cellStyle name="Ergebnis 2 2 7" xfId="7951" xr:uid="{AE9838DB-8032-4D68-97E2-53B061B2E430}"/>
    <cellStyle name="Ergebnis 2 2 8" xfId="7952" xr:uid="{D88150DB-4BEF-4297-9468-360CE178385D}"/>
    <cellStyle name="Ergebnis 2 2 9" xfId="7953" xr:uid="{D7EBEF97-F572-4E26-93B8-09DC8C810ED2}"/>
    <cellStyle name="Ergebnis 2 2_2013" xfId="7954" xr:uid="{A5BC3F3F-A30A-4855-AF72-9CB65450D4AE}"/>
    <cellStyle name="Ergebnis 2 20" xfId="7955" xr:uid="{169D5496-11FE-4CF8-80A8-C10BCFA0E81C}"/>
    <cellStyle name="Ergebnis 2 21" xfId="7956" xr:uid="{7BD50D51-3112-4173-B378-374C7863B411}"/>
    <cellStyle name="Ergebnis 2 22" xfId="7957" xr:uid="{2016581A-D6CF-4F7F-A030-840EACE5A825}"/>
    <cellStyle name="Ergebnis 2 23" xfId="7958" xr:uid="{61A832F3-2091-4BDD-B2B2-2CC0540392C7}"/>
    <cellStyle name="Ergebnis 2 24" xfId="7959" xr:uid="{C2E78040-B445-48D0-AA9F-B83237FCE44B}"/>
    <cellStyle name="Ergebnis 2 3" xfId="7960" xr:uid="{F2C763C1-563B-4737-98B6-98AC839FC875}"/>
    <cellStyle name="Ergebnis 2 3 10" xfId="7961" xr:uid="{53084F5C-1180-436F-ADD9-B7AB29D32368}"/>
    <cellStyle name="Ergebnis 2 3 11" xfId="7962" xr:uid="{A354F912-FD75-47E1-92E2-2DBCE788BC2C}"/>
    <cellStyle name="Ergebnis 2 3 12" xfId="7963" xr:uid="{1163DDC6-0064-438C-82FF-89D2E2622833}"/>
    <cellStyle name="Ergebnis 2 3 13" xfId="7964" xr:uid="{5231E447-0EC0-4CB7-8D7E-8A639CCF7B1F}"/>
    <cellStyle name="Ergebnis 2 3 14" xfId="7965" xr:uid="{F9BE3873-C9CC-4588-9ED4-517B15D62866}"/>
    <cellStyle name="Ergebnis 2 3 15" xfId="7966" xr:uid="{86336170-813E-48B3-8F1C-89B909F6E039}"/>
    <cellStyle name="Ergebnis 2 3 16" xfId="7967" xr:uid="{40B0F6F1-B296-4A7A-9284-792BC62CBFEC}"/>
    <cellStyle name="Ergebnis 2 3 17" xfId="7968" xr:uid="{0FCB9836-6970-490A-9A31-0EF447A6AA86}"/>
    <cellStyle name="Ergebnis 2 3 18" xfId="7969" xr:uid="{E1AD754F-EDB2-4180-ABF0-29364F5B76B0}"/>
    <cellStyle name="Ergebnis 2 3 19" xfId="7970" xr:uid="{C8E12D59-6BB6-4B6D-86F7-0AB09C180AF2}"/>
    <cellStyle name="Ergebnis 2 3 2" xfId="7971" xr:uid="{1AAC19CC-E6B9-4757-B3AF-3D88C9B21428}"/>
    <cellStyle name="Ergebnis 2 3 2 10" xfId="7972" xr:uid="{42F0AC95-A553-496B-9E26-5033FF7994E1}"/>
    <cellStyle name="Ergebnis 2 3 2 11" xfId="7973" xr:uid="{9122F120-E78F-46C5-A832-1EA4FBE2D525}"/>
    <cellStyle name="Ergebnis 2 3 2 12" xfId="7974" xr:uid="{624898F1-1F6D-4CA0-86E3-49B061E2AA21}"/>
    <cellStyle name="Ergebnis 2 3 2 13" xfId="7975" xr:uid="{19A3FD5D-4591-4C53-AB33-9FD44F1E1685}"/>
    <cellStyle name="Ergebnis 2 3 2 14" xfId="7976" xr:uid="{94BC4568-1274-4FF1-A68C-9B757D358C3C}"/>
    <cellStyle name="Ergebnis 2 3 2 15" xfId="7977" xr:uid="{F84DA514-E23B-4972-8071-C1A58B7F720E}"/>
    <cellStyle name="Ergebnis 2 3 2 16" xfId="7978" xr:uid="{0806539E-C9F7-4503-B481-0444C6B69D83}"/>
    <cellStyle name="Ergebnis 2 3 2 17" xfId="7979" xr:uid="{868EF829-23E4-4B37-B812-53E790D99A1A}"/>
    <cellStyle name="Ergebnis 2 3 2 18" xfId="7980" xr:uid="{A8A92152-EF45-486C-9A98-D535802559AF}"/>
    <cellStyle name="Ergebnis 2 3 2 19" xfId="7981" xr:uid="{14B07696-7304-4153-8D62-49A65E3AF17D}"/>
    <cellStyle name="Ergebnis 2 3 2 2" xfId="7982" xr:uid="{58E41141-065F-4461-8EA5-E97139CF16EB}"/>
    <cellStyle name="Ergebnis 2 3 2 3" xfId="7983" xr:uid="{20B9233C-4FB6-4C1B-BACD-B29B6FAAE715}"/>
    <cellStyle name="Ergebnis 2 3 2 4" xfId="7984" xr:uid="{26C0677C-D222-4B9C-B31D-C9C698869546}"/>
    <cellStyle name="Ergebnis 2 3 2 5" xfId="7985" xr:uid="{37D81FF4-5319-4F01-91D9-9C125E448F0E}"/>
    <cellStyle name="Ergebnis 2 3 2 6" xfId="7986" xr:uid="{656A30A3-BE40-44F8-A294-5EB2B5C018FB}"/>
    <cellStyle name="Ergebnis 2 3 2 7" xfId="7987" xr:uid="{DBAA425A-2263-45F1-BA28-0A1D65BB0216}"/>
    <cellStyle name="Ergebnis 2 3 2 8" xfId="7988" xr:uid="{0C58D308-ED35-4779-8135-79E14366D632}"/>
    <cellStyle name="Ergebnis 2 3 2 9" xfId="7989" xr:uid="{9832A060-D88E-454B-B809-B8F9EACDD69E}"/>
    <cellStyle name="Ergebnis 2 3 2_2013" xfId="7990" xr:uid="{20CACF37-0460-4A6B-9E7E-851C81919A2A}"/>
    <cellStyle name="Ergebnis 2 3 20" xfId="7991" xr:uid="{5D2AAB5E-1525-445D-A780-C18D39460A96}"/>
    <cellStyle name="Ergebnis 2 3 3" xfId="7992" xr:uid="{9CA804C6-0729-477B-B03D-D6D797289A9D}"/>
    <cellStyle name="Ergebnis 2 3 4" xfId="7993" xr:uid="{B47DA43B-FB8B-4ED6-8021-4BB3FF486D65}"/>
    <cellStyle name="Ergebnis 2 3 5" xfId="7994" xr:uid="{4926C19D-34CD-44C1-AB54-9DB20A9FAC99}"/>
    <cellStyle name="Ergebnis 2 3 6" xfId="7995" xr:uid="{4E5B3BC1-C3BF-4A7D-B50C-CA46165AA91B}"/>
    <cellStyle name="Ergebnis 2 3 7" xfId="7996" xr:uid="{44E9C53A-31FF-476E-BFE6-7BE0EF593CA4}"/>
    <cellStyle name="Ergebnis 2 3 8" xfId="7997" xr:uid="{F04E96AD-B7A0-4B92-8195-9D64FA533F80}"/>
    <cellStyle name="Ergebnis 2 3 9" xfId="7998" xr:uid="{48BE80E2-725E-45C4-B5EB-8A0987C481EB}"/>
    <cellStyle name="Ergebnis 2 3_2013" xfId="7999" xr:uid="{B0D63F34-9F16-4B7F-9CA2-A92468684AD9}"/>
    <cellStyle name="Ergebnis 2 4" xfId="8000" xr:uid="{D1A79952-1BCD-45A9-9792-FCC4D90537A5}"/>
    <cellStyle name="Ergebnis 2 4 10" xfId="8001" xr:uid="{E855A7C7-B0B9-42E5-81C5-64ECC620677A}"/>
    <cellStyle name="Ergebnis 2 4 11" xfId="8002" xr:uid="{5B4E4833-D77A-4406-93CB-B6FF828EBFE0}"/>
    <cellStyle name="Ergebnis 2 4 12" xfId="8003" xr:uid="{050A5330-F628-42E5-AB41-C462768EA1E7}"/>
    <cellStyle name="Ergebnis 2 4 13" xfId="8004" xr:uid="{172C8A97-EE9A-4745-B548-83B6E975117E}"/>
    <cellStyle name="Ergebnis 2 4 14" xfId="8005" xr:uid="{397DD952-AF56-4D02-B9AF-BDA674AA764E}"/>
    <cellStyle name="Ergebnis 2 4 15" xfId="8006" xr:uid="{0FA90F8B-9AF3-4D50-84D0-AA5D1041C601}"/>
    <cellStyle name="Ergebnis 2 4 16" xfId="8007" xr:uid="{2E9CF53B-7DA0-4B5B-8458-12A0E8A999CB}"/>
    <cellStyle name="Ergebnis 2 4 17" xfId="8008" xr:uid="{B8FE1424-BC9E-4317-B2EA-1BC354309004}"/>
    <cellStyle name="Ergebnis 2 4 18" xfId="8009" xr:uid="{42A4743B-F2E8-44A7-A3D1-1CDFD3D8BB6A}"/>
    <cellStyle name="Ergebnis 2 4 19" xfId="8010" xr:uid="{D529A4E3-92FB-447B-8750-92407DF9F1B5}"/>
    <cellStyle name="Ergebnis 2 4 2" xfId="8011" xr:uid="{9396B453-D869-4EAB-9FD7-BFC49A7FC86B}"/>
    <cellStyle name="Ergebnis 2 4 2 10" xfId="8012" xr:uid="{55E3A67D-FF1F-48D7-9031-EFC38AA144D8}"/>
    <cellStyle name="Ergebnis 2 4 2 11" xfId="8013" xr:uid="{AA67E174-E3D6-4C76-8D24-144D8B05FE1D}"/>
    <cellStyle name="Ergebnis 2 4 2 12" xfId="8014" xr:uid="{0751B868-8DD5-47C9-989F-38421E7CA0ED}"/>
    <cellStyle name="Ergebnis 2 4 2 13" xfId="8015" xr:uid="{BD1C4DAD-AB0D-43CC-97F5-FFFCD6F1A4AD}"/>
    <cellStyle name="Ergebnis 2 4 2 14" xfId="8016" xr:uid="{49D512F3-F820-4F97-BCC8-4DFFFBA2B840}"/>
    <cellStyle name="Ergebnis 2 4 2 15" xfId="8017" xr:uid="{6FD3A061-11E9-462A-9CAE-180D2A8462E2}"/>
    <cellStyle name="Ergebnis 2 4 2 16" xfId="8018" xr:uid="{6CF870BD-EC91-4F69-9BC0-A67CC046E4FC}"/>
    <cellStyle name="Ergebnis 2 4 2 17" xfId="8019" xr:uid="{514C1AA5-A693-4102-90E7-13EA22A54FB7}"/>
    <cellStyle name="Ergebnis 2 4 2 18" xfId="8020" xr:uid="{E1B4DC75-58F8-4ABD-BD29-553C00A33057}"/>
    <cellStyle name="Ergebnis 2 4 2 19" xfId="8021" xr:uid="{0C79233C-4385-4BF1-A959-524AC39DA8D6}"/>
    <cellStyle name="Ergebnis 2 4 2 2" xfId="8022" xr:uid="{B1BFB787-8EB5-4385-ACC1-7544437FE14F}"/>
    <cellStyle name="Ergebnis 2 4 2 3" xfId="8023" xr:uid="{6D95DCC9-2044-4FED-A338-D383BE3685D9}"/>
    <cellStyle name="Ergebnis 2 4 2 4" xfId="8024" xr:uid="{BF2A2BDD-0660-46FF-B9B7-4556CE13A3C9}"/>
    <cellStyle name="Ergebnis 2 4 2 5" xfId="8025" xr:uid="{76076BC5-8E49-4BFF-B4E1-0E611FD6ECB4}"/>
    <cellStyle name="Ergebnis 2 4 2 6" xfId="8026" xr:uid="{8FEA249A-2818-408D-AFE0-EF9C6D3FED06}"/>
    <cellStyle name="Ergebnis 2 4 2 7" xfId="8027" xr:uid="{5DC5848C-C73F-4CBD-A893-984F5E0150CA}"/>
    <cellStyle name="Ergebnis 2 4 2 8" xfId="8028" xr:uid="{00E53630-8432-43E2-8EA8-AA389ADF6563}"/>
    <cellStyle name="Ergebnis 2 4 2 9" xfId="8029" xr:uid="{C5394EE4-5DCF-4B3D-9280-6D48F6EE8703}"/>
    <cellStyle name="Ergebnis 2 4 2_2013" xfId="8030" xr:uid="{4F5A1F9E-D6C8-416E-ADB3-2A981623503D}"/>
    <cellStyle name="Ergebnis 2 4 20" xfId="8031" xr:uid="{99A85276-F81C-4CCB-8BC5-D00AE26C760C}"/>
    <cellStyle name="Ergebnis 2 4 3" xfId="8032" xr:uid="{C59BC8D0-FE4D-42BD-B7DF-F38071F07BAC}"/>
    <cellStyle name="Ergebnis 2 4 4" xfId="8033" xr:uid="{338D2E66-4B90-4045-BEA3-77B90E38E72B}"/>
    <cellStyle name="Ergebnis 2 4 5" xfId="8034" xr:uid="{597EC247-8496-4CC7-B5AB-F1EB02858AF0}"/>
    <cellStyle name="Ergebnis 2 4 6" xfId="8035" xr:uid="{33944C37-B3D1-43CE-9A3D-F4E2B64B72A2}"/>
    <cellStyle name="Ergebnis 2 4 7" xfId="8036" xr:uid="{3559FC08-1F78-4FB7-8368-06DD1B8C6A3E}"/>
    <cellStyle name="Ergebnis 2 4 8" xfId="8037" xr:uid="{1725CA9C-E0B7-45D9-8C9E-9E16B3F61A5E}"/>
    <cellStyle name="Ergebnis 2 4 9" xfId="8038" xr:uid="{4C14257F-F79E-490A-A545-2677DB9F4D35}"/>
    <cellStyle name="Ergebnis 2 4_2013" xfId="8039" xr:uid="{7296A917-D39E-4032-87AC-2E35D8C40E49}"/>
    <cellStyle name="Ergebnis 2 5" xfId="8040" xr:uid="{45AC2CB6-9903-4614-985E-26DC669BD53A}"/>
    <cellStyle name="Ergebnis 2 5 10" xfId="8041" xr:uid="{4C2A9240-CB6E-451D-A146-23BAA6444440}"/>
    <cellStyle name="Ergebnis 2 5 11" xfId="8042" xr:uid="{AD00AE4A-AEA6-4673-A277-5321A14F343B}"/>
    <cellStyle name="Ergebnis 2 5 12" xfId="8043" xr:uid="{6DAE0BEF-28AE-41FF-B8F7-DCA0D95DB1A1}"/>
    <cellStyle name="Ergebnis 2 5 13" xfId="8044" xr:uid="{8073035B-48D0-4367-BF39-4F6026A99A5D}"/>
    <cellStyle name="Ergebnis 2 5 14" xfId="8045" xr:uid="{E8C1FD35-0F6C-4B23-B19F-C004D5618607}"/>
    <cellStyle name="Ergebnis 2 5 15" xfId="8046" xr:uid="{CAE6DFCF-7703-44C0-8FD9-59386AAB8F2F}"/>
    <cellStyle name="Ergebnis 2 5 16" xfId="8047" xr:uid="{4C1AAB42-80BD-4A53-A28A-4BD69B6DEC8C}"/>
    <cellStyle name="Ergebnis 2 5 17" xfId="8048" xr:uid="{5BC6861F-9C8E-4EB0-8BE5-1233AE33CF2D}"/>
    <cellStyle name="Ergebnis 2 5 18" xfId="8049" xr:uid="{5F4CC80C-7E8B-4660-8673-87F574A2ACF7}"/>
    <cellStyle name="Ergebnis 2 5 19" xfId="8050" xr:uid="{F9A89630-594F-4A90-9929-DFE49049192E}"/>
    <cellStyle name="Ergebnis 2 5 2" xfId="8051" xr:uid="{9A7105E5-AC05-4126-A6E0-B756DE1D953D}"/>
    <cellStyle name="Ergebnis 2 5 2 10" xfId="8052" xr:uid="{BFC54336-847D-4F8C-9069-FD151AD5B259}"/>
    <cellStyle name="Ergebnis 2 5 2 11" xfId="8053" xr:uid="{30E9D3A6-65C8-4A80-BCC6-EBAADB6BE0A9}"/>
    <cellStyle name="Ergebnis 2 5 2 12" xfId="8054" xr:uid="{FB915C2A-87E3-460C-AAF3-85CC967E1B13}"/>
    <cellStyle name="Ergebnis 2 5 2 13" xfId="8055" xr:uid="{E1AB646D-D49D-4DED-A55E-864613EB284A}"/>
    <cellStyle name="Ergebnis 2 5 2 14" xfId="8056" xr:uid="{0E511837-89C8-4374-9616-23BCF7EF52BF}"/>
    <cellStyle name="Ergebnis 2 5 2 15" xfId="8057" xr:uid="{C61DD15C-77E2-4764-8D53-4AE297863592}"/>
    <cellStyle name="Ergebnis 2 5 2 16" xfId="8058" xr:uid="{12F44F0D-C940-46C3-99A7-0CA2543E8D54}"/>
    <cellStyle name="Ergebnis 2 5 2 17" xfId="8059" xr:uid="{C126998F-3052-45D0-BAC0-2C27E61732A0}"/>
    <cellStyle name="Ergebnis 2 5 2 18" xfId="8060" xr:uid="{F0A0FE34-28B7-4D8C-BE4B-60178F6C4A19}"/>
    <cellStyle name="Ergebnis 2 5 2 19" xfId="8061" xr:uid="{FE0728CB-ABB1-43B4-A0A1-C47E2E712304}"/>
    <cellStyle name="Ergebnis 2 5 2 2" xfId="8062" xr:uid="{BA04EBFC-E364-4D9E-B532-F728FC5B74B8}"/>
    <cellStyle name="Ergebnis 2 5 2 3" xfId="8063" xr:uid="{9739D6BE-DC2B-46AD-BBF2-66237507A142}"/>
    <cellStyle name="Ergebnis 2 5 2 4" xfId="8064" xr:uid="{11B34290-C441-4842-ABEC-5F63DACA829F}"/>
    <cellStyle name="Ergebnis 2 5 2 5" xfId="8065" xr:uid="{696C687C-5CA5-469C-8305-56C4EE873E1A}"/>
    <cellStyle name="Ergebnis 2 5 2 6" xfId="8066" xr:uid="{D0EBAFA9-C9DA-4079-8E4F-4FC0013562BF}"/>
    <cellStyle name="Ergebnis 2 5 2 7" xfId="8067" xr:uid="{60563773-B7D5-4993-B3E1-4B5E289397C9}"/>
    <cellStyle name="Ergebnis 2 5 2 8" xfId="8068" xr:uid="{92A9977D-30F2-42FB-8E9A-72A4A2EB63E4}"/>
    <cellStyle name="Ergebnis 2 5 2 9" xfId="8069" xr:uid="{188CC99A-2FF5-49E2-B99F-531C020E8122}"/>
    <cellStyle name="Ergebnis 2 5 2_2013" xfId="8070" xr:uid="{EE41102B-3DD0-46F9-8624-EBCC7826DA65}"/>
    <cellStyle name="Ergebnis 2 5 20" xfId="8071" xr:uid="{B9C87671-2FEC-4A58-A207-F925CFCCD3DB}"/>
    <cellStyle name="Ergebnis 2 5 3" xfId="8072" xr:uid="{121BB7C1-F474-449D-A8F6-2D9D7C78AC65}"/>
    <cellStyle name="Ergebnis 2 5 4" xfId="8073" xr:uid="{53F412F9-C5DD-4470-901C-021827B0CC45}"/>
    <cellStyle name="Ergebnis 2 5 5" xfId="8074" xr:uid="{08FC5318-65F8-4702-AEB1-F58F75F66044}"/>
    <cellStyle name="Ergebnis 2 5 6" xfId="8075" xr:uid="{37FAB976-29F1-4634-AE20-E6FD1582A9D0}"/>
    <cellStyle name="Ergebnis 2 5 7" xfId="8076" xr:uid="{9AA3A9FC-7B87-4CAF-8B24-FDBE3C512990}"/>
    <cellStyle name="Ergebnis 2 5 8" xfId="8077" xr:uid="{3B33C537-CEB2-407A-BFE4-05846305270C}"/>
    <cellStyle name="Ergebnis 2 5 9" xfId="8078" xr:uid="{03FBF605-0FF7-497F-ABF0-0FFF49A293DF}"/>
    <cellStyle name="Ergebnis 2 5_2013" xfId="8079" xr:uid="{E2DEDFA6-3569-46AB-88D9-7A487F37E06A}"/>
    <cellStyle name="Ergebnis 2 6" xfId="8080" xr:uid="{EADDD6FD-C67F-4C4F-B773-E9FCB12FD40A}"/>
    <cellStyle name="Ergebnis 2 6 10" xfId="8081" xr:uid="{6DFB31EF-FDF0-4F20-91FE-C1C429F3C7CE}"/>
    <cellStyle name="Ergebnis 2 6 11" xfId="8082" xr:uid="{9C2F0B10-6071-42FF-99C7-19A539F219D1}"/>
    <cellStyle name="Ergebnis 2 6 12" xfId="8083" xr:uid="{4BAA4333-E335-4D63-B2E2-60BBC95B7D7C}"/>
    <cellStyle name="Ergebnis 2 6 13" xfId="8084" xr:uid="{283F6008-ABAF-4D79-B471-00993851C355}"/>
    <cellStyle name="Ergebnis 2 6 14" xfId="8085" xr:uid="{BC920D2A-33FF-431E-AC14-D9B2D3CC6658}"/>
    <cellStyle name="Ergebnis 2 6 15" xfId="8086" xr:uid="{42F06F58-FA0C-452A-A421-9585F3075201}"/>
    <cellStyle name="Ergebnis 2 6 16" xfId="8087" xr:uid="{B55DD3B8-9A3F-4938-A45A-C9E28A1475FF}"/>
    <cellStyle name="Ergebnis 2 6 17" xfId="8088" xr:uid="{8C15CD27-1214-44DA-8166-4FF80DF4F308}"/>
    <cellStyle name="Ergebnis 2 6 18" xfId="8089" xr:uid="{7DF1BA27-C807-465D-9507-648035D02351}"/>
    <cellStyle name="Ergebnis 2 6 19" xfId="8090" xr:uid="{D176CEB8-12E9-4585-8EFA-7332A5D23248}"/>
    <cellStyle name="Ergebnis 2 6 2" xfId="8091" xr:uid="{ECC4BE71-6E39-45EF-930B-F3BE982BDA1E}"/>
    <cellStyle name="Ergebnis 2 6 3" xfId="8092" xr:uid="{A1C72E11-82CC-4155-A462-3A6ECE15F210}"/>
    <cellStyle name="Ergebnis 2 6 4" xfId="8093" xr:uid="{F573FDCF-8B42-494F-BF5F-5A1C46E76159}"/>
    <cellStyle name="Ergebnis 2 6 5" xfId="8094" xr:uid="{10B54837-3DE3-4028-A4CB-D6B0CED1A64E}"/>
    <cellStyle name="Ergebnis 2 6 6" xfId="8095" xr:uid="{FAFDFA64-D77A-473D-BC8E-224CE52D2093}"/>
    <cellStyle name="Ergebnis 2 6 7" xfId="8096" xr:uid="{93B4C1ED-61CB-4AB4-BF21-6AD75EAA926E}"/>
    <cellStyle name="Ergebnis 2 6 8" xfId="8097" xr:uid="{C1197C16-DA47-45E4-BD08-9E5B34E66D46}"/>
    <cellStyle name="Ergebnis 2 6 9" xfId="8098" xr:uid="{F96D27B9-492D-4C2A-A63F-7FA91079E2F3}"/>
    <cellStyle name="Ergebnis 2 6_2013" xfId="8099" xr:uid="{4AA98CB2-7A7F-4C64-9B2C-F2E83BFC9F5F}"/>
    <cellStyle name="Ergebnis 2 7" xfId="8100" xr:uid="{8800A2EB-85C4-44C9-93B9-8466D8FDFE94}"/>
    <cellStyle name="Ergebnis 2 8" xfId="8101" xr:uid="{B7B914A5-253B-4328-A6C8-7A70C17AD634}"/>
    <cellStyle name="Ergebnis 2 9" xfId="8102" xr:uid="{1AB71677-8CE4-45E5-AD4A-74167AACE3FF}"/>
    <cellStyle name="Ergebnis 2_2013" xfId="8103" xr:uid="{C1CE00CB-970A-42F6-B0C6-1F0C78E5772B}"/>
    <cellStyle name="Ergebnis 20" xfId="8104" xr:uid="{44EA8F95-4426-4A2A-8E31-BC1741E31817}"/>
    <cellStyle name="Ergebnis 21" xfId="8105" xr:uid="{683D7BAC-E607-4D51-BB32-3E002AC8D049}"/>
    <cellStyle name="Ergebnis 22" xfId="8106" xr:uid="{C4C2DA63-B26E-4654-A04F-FC04A210B12E}"/>
    <cellStyle name="Ergebnis 23" xfId="8107" xr:uid="{978B199A-1F1F-4F27-B0E6-CB58ABAC4C1E}"/>
    <cellStyle name="Ergebnis 24" xfId="8108" xr:uid="{7E5E9EF9-5281-4B61-8569-CFBCB0180442}"/>
    <cellStyle name="Ergebnis 25" xfId="8109" xr:uid="{E2698506-3840-480A-92CC-EB63381A3465}"/>
    <cellStyle name="Ergebnis 3" xfId="8110" xr:uid="{5040DED6-CF9C-4646-944F-8A23A02A0C89}"/>
    <cellStyle name="Ergebnis 3 10" xfId="8111" xr:uid="{606FCF66-3EF7-4FAA-9BF2-7C259B5705EF}"/>
    <cellStyle name="Ergebnis 3 11" xfId="8112" xr:uid="{91365CC8-D5AA-4AE6-9B66-650A1520C054}"/>
    <cellStyle name="Ergebnis 3 12" xfId="8113" xr:uid="{05B1973F-A9C4-49CA-B5CE-CA30832066AD}"/>
    <cellStyle name="Ergebnis 3 13" xfId="8114" xr:uid="{92E193CD-2FCD-47F5-94CB-C570159736ED}"/>
    <cellStyle name="Ergebnis 3 14" xfId="8115" xr:uid="{95564E46-E85E-4DB5-9482-13B822D631AE}"/>
    <cellStyle name="Ergebnis 3 15" xfId="8116" xr:uid="{1AC48FC0-DE37-492C-920C-AADDE9AD42D2}"/>
    <cellStyle name="Ergebnis 3 16" xfId="8117" xr:uid="{2B8F5DDE-9D79-42BB-B691-763061C86786}"/>
    <cellStyle name="Ergebnis 3 17" xfId="8118" xr:uid="{F130A4E0-7AD0-4E64-AB28-C885C0E498FD}"/>
    <cellStyle name="Ergebnis 3 18" xfId="8119" xr:uid="{9AE2F121-7315-4237-9551-612F256DA8A1}"/>
    <cellStyle name="Ergebnis 3 19" xfId="8120" xr:uid="{9605B8BF-4596-4158-8F2D-868A16AE38BF}"/>
    <cellStyle name="Ergebnis 3 2" xfId="8121" xr:uid="{4AAEEB32-C2C1-4C76-A687-08ED362D5535}"/>
    <cellStyle name="Ergebnis 3 2 10" xfId="8122" xr:uid="{B434F5AC-B57C-4B7E-B5B9-ABF6517D710F}"/>
    <cellStyle name="Ergebnis 3 2 11" xfId="8123" xr:uid="{7D2F5A51-82EA-402A-B4C5-C8DF0BED181E}"/>
    <cellStyle name="Ergebnis 3 2 12" xfId="8124" xr:uid="{DF58A2B3-B55F-4678-9810-F771B4542CB2}"/>
    <cellStyle name="Ergebnis 3 2 13" xfId="8125" xr:uid="{E089BE81-0751-4EBA-AFE2-09C339AE0AFE}"/>
    <cellStyle name="Ergebnis 3 2 14" xfId="8126" xr:uid="{46914CBA-BAEB-437F-A6E7-55AA337E44AE}"/>
    <cellStyle name="Ergebnis 3 2 15" xfId="8127" xr:uid="{D86348B5-7DD5-49D7-94C3-9F5B8897BD11}"/>
    <cellStyle name="Ergebnis 3 2 16" xfId="8128" xr:uid="{87E33833-382E-4C4A-A0B8-16BB750D8F30}"/>
    <cellStyle name="Ergebnis 3 2 17" xfId="8129" xr:uid="{6E28FB46-9108-4CB3-846D-9217664461AB}"/>
    <cellStyle name="Ergebnis 3 2 18" xfId="8130" xr:uid="{05DE468F-08F1-433E-8403-2ED99E865074}"/>
    <cellStyle name="Ergebnis 3 2 19" xfId="8131" xr:uid="{EFDCDA27-1CAC-4380-AB02-AAA605C6EB3B}"/>
    <cellStyle name="Ergebnis 3 2 2" xfId="8132" xr:uid="{037C4484-FB0A-42A5-A4AD-40233241EB05}"/>
    <cellStyle name="Ergebnis 3 2 2 10" xfId="8133" xr:uid="{E2AE56E3-5566-4FB3-BFAC-1828D56CAD9A}"/>
    <cellStyle name="Ergebnis 3 2 2 11" xfId="8134" xr:uid="{C750741B-267D-406F-A615-63D4FB2C67B4}"/>
    <cellStyle name="Ergebnis 3 2 2 12" xfId="8135" xr:uid="{4714CDF0-03EC-4576-9B46-E016D02F48B7}"/>
    <cellStyle name="Ergebnis 3 2 2 13" xfId="8136" xr:uid="{05B19C2B-8238-4B05-940A-0C798A8E4604}"/>
    <cellStyle name="Ergebnis 3 2 2 14" xfId="8137" xr:uid="{1B66A1A8-8F37-462D-BF5C-748F0083BBC3}"/>
    <cellStyle name="Ergebnis 3 2 2 15" xfId="8138" xr:uid="{E0D64DCD-42E9-48D4-B73B-FFCE7CAF3A5C}"/>
    <cellStyle name="Ergebnis 3 2 2 16" xfId="8139" xr:uid="{8799CBC1-77D5-48DB-8690-2E927028CCD1}"/>
    <cellStyle name="Ergebnis 3 2 2 17" xfId="8140" xr:uid="{D4CFB4C2-16C4-4B6B-96CA-207C405E4727}"/>
    <cellStyle name="Ergebnis 3 2 2 18" xfId="8141" xr:uid="{299FB160-CC89-4357-B8A1-A2F5D6D0B90F}"/>
    <cellStyle name="Ergebnis 3 2 2 19" xfId="8142" xr:uid="{F0DC7E4A-C881-4488-848F-FD2107336C73}"/>
    <cellStyle name="Ergebnis 3 2 2 2" xfId="8143" xr:uid="{8940F1C7-641D-46E9-A1D2-5D7C54B69D9B}"/>
    <cellStyle name="Ergebnis 3 2 2 2 10" xfId="8144" xr:uid="{37607BD3-636D-47C8-9982-891BF44B7FF0}"/>
    <cellStyle name="Ergebnis 3 2 2 2 11" xfId="8145" xr:uid="{8896FC62-F0F3-40B9-9949-E806AF321715}"/>
    <cellStyle name="Ergebnis 3 2 2 2 12" xfId="8146" xr:uid="{107648E2-E26C-40BE-9CAD-325D1BC5EB00}"/>
    <cellStyle name="Ergebnis 3 2 2 2 13" xfId="8147" xr:uid="{4ED78A18-BCCF-4EE7-AEAC-29BCA4B5667C}"/>
    <cellStyle name="Ergebnis 3 2 2 2 14" xfId="8148" xr:uid="{B86D559C-0628-4CBD-AB9C-0C183AEF14CD}"/>
    <cellStyle name="Ergebnis 3 2 2 2 15" xfId="8149" xr:uid="{D8091607-900B-4BAA-A5AA-C2946459F846}"/>
    <cellStyle name="Ergebnis 3 2 2 2 16" xfId="8150" xr:uid="{85CBBA54-E2CD-41DA-8DE7-6CB3D1197413}"/>
    <cellStyle name="Ergebnis 3 2 2 2 17" xfId="8151" xr:uid="{A62A34BD-31A2-4283-9FC4-6F3CD68D8D55}"/>
    <cellStyle name="Ergebnis 3 2 2 2 18" xfId="8152" xr:uid="{490E5A4C-339F-4FEF-ACA9-2F00E93EFBA8}"/>
    <cellStyle name="Ergebnis 3 2 2 2 19" xfId="8153" xr:uid="{AE94F02A-D1F0-4774-81B0-AF0A5869B1E3}"/>
    <cellStyle name="Ergebnis 3 2 2 2 2" xfId="8154" xr:uid="{094F658C-814F-4B53-96C8-DE5AC08FF70F}"/>
    <cellStyle name="Ergebnis 3 2 2 2 3" xfId="8155" xr:uid="{1C85FE72-AE60-46B6-8349-57F4119AE3F5}"/>
    <cellStyle name="Ergebnis 3 2 2 2 4" xfId="8156" xr:uid="{6FF4EE15-9943-49C5-B843-9753EF28B18C}"/>
    <cellStyle name="Ergebnis 3 2 2 2 5" xfId="8157" xr:uid="{2BC634F5-2711-4C46-A5D4-AA1FA85E5996}"/>
    <cellStyle name="Ergebnis 3 2 2 2 6" xfId="8158" xr:uid="{436FFA0F-AB6E-4664-9E2A-226050B370EF}"/>
    <cellStyle name="Ergebnis 3 2 2 2 7" xfId="8159" xr:uid="{95264103-9C4E-4F27-BB31-985540EBD8E4}"/>
    <cellStyle name="Ergebnis 3 2 2 2 8" xfId="8160" xr:uid="{63BCAE5F-9A67-4EB4-AD25-A33A2208ED21}"/>
    <cellStyle name="Ergebnis 3 2 2 2 9" xfId="8161" xr:uid="{4741DCBA-FF86-48AC-9F4D-B914B9C4CEB8}"/>
    <cellStyle name="Ergebnis 3 2 2 2_2013" xfId="8162" xr:uid="{16112700-E3BD-4282-AAFE-308165C55739}"/>
    <cellStyle name="Ergebnis 3 2 2 20" xfId="8163" xr:uid="{83C8937A-B775-4A28-9F90-B98C47EC50F0}"/>
    <cellStyle name="Ergebnis 3 2 2 3" xfId="8164" xr:uid="{75D70A47-A433-48EE-89E6-02176F06549D}"/>
    <cellStyle name="Ergebnis 3 2 2 4" xfId="8165" xr:uid="{42F56F2F-60BF-403B-BADE-5ECC093EC9E7}"/>
    <cellStyle name="Ergebnis 3 2 2 5" xfId="8166" xr:uid="{7E84DD90-B0EA-4746-B40E-234CC5C74C3F}"/>
    <cellStyle name="Ergebnis 3 2 2 6" xfId="8167" xr:uid="{32E63F34-A35C-4EE4-8C9D-A48F1C8058DE}"/>
    <cellStyle name="Ergebnis 3 2 2 7" xfId="8168" xr:uid="{8E12244B-916D-4A8E-8910-11A8E86D0CA6}"/>
    <cellStyle name="Ergebnis 3 2 2 8" xfId="8169" xr:uid="{AFBDF51F-2819-4F80-B8F8-3F6011298A37}"/>
    <cellStyle name="Ergebnis 3 2 2 9" xfId="8170" xr:uid="{34A58AF4-2B4A-4751-A5C0-5C2D1E147B98}"/>
    <cellStyle name="Ergebnis 3 2 2_2013" xfId="8171" xr:uid="{CEEBEADC-1023-480D-A927-F42C9F11831C}"/>
    <cellStyle name="Ergebnis 3 2 20" xfId="8172" xr:uid="{93C2BD9B-EB3A-4E79-82B7-8EF556A53C9B}"/>
    <cellStyle name="Ergebnis 3 2 21" xfId="8173" xr:uid="{162D89C2-5A87-4376-99AC-BC19EB7569F8}"/>
    <cellStyle name="Ergebnis 3 2 22" xfId="8174" xr:uid="{15D94D46-EA85-4C91-A1CE-371C10C5D353}"/>
    <cellStyle name="Ergebnis 3 2 23" xfId="8175" xr:uid="{D8480989-A8FA-4F2E-97AD-E1C629FD18D9}"/>
    <cellStyle name="Ergebnis 3 2 3" xfId="8176" xr:uid="{F763EF5C-B769-4D81-ACDE-D1FD2B95235F}"/>
    <cellStyle name="Ergebnis 3 2 3 10" xfId="8177" xr:uid="{763D916E-58B4-45C8-903F-BF0536D91D2A}"/>
    <cellStyle name="Ergebnis 3 2 3 11" xfId="8178" xr:uid="{D5903ECD-E45F-4787-9878-3ECEFFA7A671}"/>
    <cellStyle name="Ergebnis 3 2 3 12" xfId="8179" xr:uid="{5653B7DD-83D4-4BCC-A5D9-0772E38905E9}"/>
    <cellStyle name="Ergebnis 3 2 3 13" xfId="8180" xr:uid="{3C6553EF-20C4-4CAE-A58B-504E35AA6C2E}"/>
    <cellStyle name="Ergebnis 3 2 3 14" xfId="8181" xr:uid="{BF030C2A-E80D-4E53-97C6-AA725843EFB4}"/>
    <cellStyle name="Ergebnis 3 2 3 15" xfId="8182" xr:uid="{7AF7C57A-BC0C-4352-8BCC-44F414EE26AB}"/>
    <cellStyle name="Ergebnis 3 2 3 16" xfId="8183" xr:uid="{8A13A2C4-7AA5-4867-956B-1C4B3BBD3E99}"/>
    <cellStyle name="Ergebnis 3 2 3 17" xfId="8184" xr:uid="{1AE64B0D-4430-4441-908A-1E69DF00FBF4}"/>
    <cellStyle name="Ergebnis 3 2 3 18" xfId="8185" xr:uid="{CFB196E2-6CE4-43B5-87C1-8CC5AC80A697}"/>
    <cellStyle name="Ergebnis 3 2 3 19" xfId="8186" xr:uid="{1CB67560-1BFD-4E47-8732-B9CB09C3F8F1}"/>
    <cellStyle name="Ergebnis 3 2 3 2" xfId="8187" xr:uid="{38D07551-D95E-4113-870B-80E8C14ADA6C}"/>
    <cellStyle name="Ergebnis 3 2 3 2 10" xfId="8188" xr:uid="{1C833719-6A8E-4316-897E-BAEB0F9062BF}"/>
    <cellStyle name="Ergebnis 3 2 3 2 11" xfId="8189" xr:uid="{28502B6D-7C47-4C43-92C4-A469459956F9}"/>
    <cellStyle name="Ergebnis 3 2 3 2 12" xfId="8190" xr:uid="{E9FA0471-6D80-4784-BB58-DAACA0ECCD08}"/>
    <cellStyle name="Ergebnis 3 2 3 2 13" xfId="8191" xr:uid="{6C62B7B9-2A1D-448E-B749-BAB3A292DFD2}"/>
    <cellStyle name="Ergebnis 3 2 3 2 14" xfId="8192" xr:uid="{2E69F26C-3B07-4D4E-8888-F7D4DECCD49D}"/>
    <cellStyle name="Ergebnis 3 2 3 2 15" xfId="8193" xr:uid="{56F2C147-F213-4E08-934F-AD9AA73CD155}"/>
    <cellStyle name="Ergebnis 3 2 3 2 16" xfId="8194" xr:uid="{30C88FE8-9EF5-4EA8-9008-2EC2324017E1}"/>
    <cellStyle name="Ergebnis 3 2 3 2 17" xfId="8195" xr:uid="{4EA5BE73-ADE4-4B7C-960A-5B34A25C6706}"/>
    <cellStyle name="Ergebnis 3 2 3 2 18" xfId="8196" xr:uid="{9EB0CF94-8BBC-4D76-8C15-09A72AB3E771}"/>
    <cellStyle name="Ergebnis 3 2 3 2 19" xfId="8197" xr:uid="{48551150-1EC1-4C0D-A7E5-143C85BA26FE}"/>
    <cellStyle name="Ergebnis 3 2 3 2 2" xfId="8198" xr:uid="{4B978F74-B382-49F8-B142-B9E1A8F0C962}"/>
    <cellStyle name="Ergebnis 3 2 3 2 3" xfId="8199" xr:uid="{A053325C-62AF-47E5-987C-7A017BA05792}"/>
    <cellStyle name="Ergebnis 3 2 3 2 4" xfId="8200" xr:uid="{69D89131-B24E-4D8C-AF9B-C12CDE4E7908}"/>
    <cellStyle name="Ergebnis 3 2 3 2 5" xfId="8201" xr:uid="{A6683878-284B-4E47-BC7D-A1F8A40AA1E1}"/>
    <cellStyle name="Ergebnis 3 2 3 2 6" xfId="8202" xr:uid="{E5B027E7-0822-405D-A2A3-FF47A9E404B9}"/>
    <cellStyle name="Ergebnis 3 2 3 2 7" xfId="8203" xr:uid="{EDA6ACFF-8E12-43B0-9E15-691F230ADB63}"/>
    <cellStyle name="Ergebnis 3 2 3 2 8" xfId="8204" xr:uid="{093FBF8F-5821-4D59-9CBB-CC4BF545EF56}"/>
    <cellStyle name="Ergebnis 3 2 3 2 9" xfId="8205" xr:uid="{355010AE-86DA-4FA5-901A-979CB1268786}"/>
    <cellStyle name="Ergebnis 3 2 3 2_2013" xfId="8206" xr:uid="{F8E79506-16C2-45CA-9770-B90ED11C7B64}"/>
    <cellStyle name="Ergebnis 3 2 3 20" xfId="8207" xr:uid="{573EE279-8348-45FD-99CA-9E2521D5B019}"/>
    <cellStyle name="Ergebnis 3 2 3 3" xfId="8208" xr:uid="{642C1B4F-A28B-4002-B5F6-8AFE121F916D}"/>
    <cellStyle name="Ergebnis 3 2 3 4" xfId="8209" xr:uid="{82F08B8C-6168-4728-92CB-396945E8481D}"/>
    <cellStyle name="Ergebnis 3 2 3 5" xfId="8210" xr:uid="{D6A60F7E-56A5-48C5-A503-65EF047560DE}"/>
    <cellStyle name="Ergebnis 3 2 3 6" xfId="8211" xr:uid="{641A7A5A-827E-4F1E-83B1-2F4EFD4A6073}"/>
    <cellStyle name="Ergebnis 3 2 3 7" xfId="8212" xr:uid="{3AE66DEA-F81B-4A87-B1D9-7D01DA5472C7}"/>
    <cellStyle name="Ergebnis 3 2 3 8" xfId="8213" xr:uid="{8485C127-8DCB-49E4-B8EB-6CE68611DAFB}"/>
    <cellStyle name="Ergebnis 3 2 3 9" xfId="8214" xr:uid="{86F7C8F7-CF0F-4A26-9AD8-4B9A61355256}"/>
    <cellStyle name="Ergebnis 3 2 3_2013" xfId="8215" xr:uid="{F58857F1-6A29-44C7-AB10-ECC46AD81E7C}"/>
    <cellStyle name="Ergebnis 3 2 4" xfId="8216" xr:uid="{B736044E-A09F-4363-A308-36448CE28F9A}"/>
    <cellStyle name="Ergebnis 3 2 4 10" xfId="8217" xr:uid="{A1C7E5A6-5894-4201-995B-C3874531212E}"/>
    <cellStyle name="Ergebnis 3 2 4 11" xfId="8218" xr:uid="{6CB534A4-B234-491E-8BA6-8E11A655FA99}"/>
    <cellStyle name="Ergebnis 3 2 4 12" xfId="8219" xr:uid="{C05E827D-CB12-4A7C-951D-9321801D0B45}"/>
    <cellStyle name="Ergebnis 3 2 4 13" xfId="8220" xr:uid="{2DFCBA73-7D7A-4179-A941-5A02297844B2}"/>
    <cellStyle name="Ergebnis 3 2 4 14" xfId="8221" xr:uid="{73FFB186-D0E5-4217-978B-F4236955889F}"/>
    <cellStyle name="Ergebnis 3 2 4 15" xfId="8222" xr:uid="{DE8E339E-FB36-48E7-9BD5-C8C49FB6CF4C}"/>
    <cellStyle name="Ergebnis 3 2 4 16" xfId="8223" xr:uid="{FC2B6A14-4B4C-479B-B934-A2A6FF2824FE}"/>
    <cellStyle name="Ergebnis 3 2 4 17" xfId="8224" xr:uid="{24187BF2-3B7D-438F-9A9A-A385D6876EF2}"/>
    <cellStyle name="Ergebnis 3 2 4 18" xfId="8225" xr:uid="{6C48B091-B2D4-48B5-B02F-44BA0AAA1FE0}"/>
    <cellStyle name="Ergebnis 3 2 4 19" xfId="8226" xr:uid="{E1BB95EF-CE0C-43D4-B8AC-C5183B7EAA6C}"/>
    <cellStyle name="Ergebnis 3 2 4 2" xfId="8227" xr:uid="{5FF9558D-EA3D-42C2-A4EC-A9E54594761B}"/>
    <cellStyle name="Ergebnis 3 2 4 2 10" xfId="8228" xr:uid="{D055DA32-8216-42B3-8EC0-43736892434E}"/>
    <cellStyle name="Ergebnis 3 2 4 2 11" xfId="8229" xr:uid="{78706E4A-6451-4AB7-B556-56EF1D2FDF38}"/>
    <cellStyle name="Ergebnis 3 2 4 2 12" xfId="8230" xr:uid="{6B3329EB-4673-4B72-AA29-6E55597E77FE}"/>
    <cellStyle name="Ergebnis 3 2 4 2 13" xfId="8231" xr:uid="{CFDDBA10-82BA-4F9C-9E05-2E01E6EE17B5}"/>
    <cellStyle name="Ergebnis 3 2 4 2 14" xfId="8232" xr:uid="{0A7C03EC-C603-4EAF-BDDA-10B93FD65F78}"/>
    <cellStyle name="Ergebnis 3 2 4 2 15" xfId="8233" xr:uid="{3B247E58-7666-475D-9FB8-93CF4504AF6E}"/>
    <cellStyle name="Ergebnis 3 2 4 2 16" xfId="8234" xr:uid="{F3CD14B2-1F29-4463-B5B7-1ABC3B2BF8B8}"/>
    <cellStyle name="Ergebnis 3 2 4 2 17" xfId="8235" xr:uid="{8789610F-DBF2-403C-986D-0BAF0DD5A1D1}"/>
    <cellStyle name="Ergebnis 3 2 4 2 18" xfId="8236" xr:uid="{6EE08161-6489-49F1-B413-B10CBD9893DF}"/>
    <cellStyle name="Ergebnis 3 2 4 2 19" xfId="8237" xr:uid="{A735870E-C56B-45FA-BBD6-BAD8AACA42E6}"/>
    <cellStyle name="Ergebnis 3 2 4 2 2" xfId="8238" xr:uid="{470D3C68-1877-4292-BD25-2402B8A2C920}"/>
    <cellStyle name="Ergebnis 3 2 4 2 3" xfId="8239" xr:uid="{7DB02379-4A5C-4C13-8027-FDB9F83D72A7}"/>
    <cellStyle name="Ergebnis 3 2 4 2 4" xfId="8240" xr:uid="{08EDF271-5B16-4D79-83A7-B79A661A59F9}"/>
    <cellStyle name="Ergebnis 3 2 4 2 5" xfId="8241" xr:uid="{ED2C9CFA-FFE0-418A-926C-5F3F192B9152}"/>
    <cellStyle name="Ergebnis 3 2 4 2 6" xfId="8242" xr:uid="{38903920-7E54-47DD-9E16-643D78E0AFFE}"/>
    <cellStyle name="Ergebnis 3 2 4 2 7" xfId="8243" xr:uid="{7022DE9F-D782-49B8-9406-DC334E94E550}"/>
    <cellStyle name="Ergebnis 3 2 4 2 8" xfId="8244" xr:uid="{6BD5AD4D-1400-4A71-A6DF-3F3958B1E426}"/>
    <cellStyle name="Ergebnis 3 2 4 2 9" xfId="8245" xr:uid="{F584CEF9-4866-4727-A94F-A58039519759}"/>
    <cellStyle name="Ergebnis 3 2 4 2_2013" xfId="8246" xr:uid="{9AA80B7C-D35A-4E3D-BE32-2EAB3FA09F3C}"/>
    <cellStyle name="Ergebnis 3 2 4 20" xfId="8247" xr:uid="{ED2A5321-9D44-49C4-B884-81E346F56469}"/>
    <cellStyle name="Ergebnis 3 2 4 3" xfId="8248" xr:uid="{11BE4F1C-C99C-4B7F-AEA5-92BA8ED9882A}"/>
    <cellStyle name="Ergebnis 3 2 4 4" xfId="8249" xr:uid="{D57AFDAC-ABE7-4DB4-9C5F-F61FAF18871E}"/>
    <cellStyle name="Ergebnis 3 2 4 5" xfId="8250" xr:uid="{B2A19045-9C61-4DEB-8923-D5E11B1982EC}"/>
    <cellStyle name="Ergebnis 3 2 4 6" xfId="8251" xr:uid="{CBFADFB6-48D7-4713-A589-8D94B9593F84}"/>
    <cellStyle name="Ergebnis 3 2 4 7" xfId="8252" xr:uid="{CA809696-5531-400E-9CD0-CD6BEFCF8928}"/>
    <cellStyle name="Ergebnis 3 2 4 8" xfId="8253" xr:uid="{12E5C4A0-BC21-43CA-948F-1D2521311AC0}"/>
    <cellStyle name="Ergebnis 3 2 4 9" xfId="8254" xr:uid="{33C5A716-BC5A-49B2-BC55-84B7E2F6B319}"/>
    <cellStyle name="Ergebnis 3 2 4_2013" xfId="8255" xr:uid="{8E1C03DB-1FC2-4F2C-A92B-476980D61627}"/>
    <cellStyle name="Ergebnis 3 2 5" xfId="8256" xr:uid="{442542A4-FDD2-452B-8E90-6F3BB290AC91}"/>
    <cellStyle name="Ergebnis 3 2 5 10" xfId="8257" xr:uid="{B5F4DBBC-EAD1-4043-9FE5-A814979F9B6B}"/>
    <cellStyle name="Ergebnis 3 2 5 11" xfId="8258" xr:uid="{0F388DD3-A459-41C4-9246-62AADD5FA0CF}"/>
    <cellStyle name="Ergebnis 3 2 5 12" xfId="8259" xr:uid="{542AF8B7-54C9-4269-8FF7-F00E8ACA76F3}"/>
    <cellStyle name="Ergebnis 3 2 5 13" xfId="8260" xr:uid="{682D34D8-1A7E-4005-B938-D246E3457602}"/>
    <cellStyle name="Ergebnis 3 2 5 14" xfId="8261" xr:uid="{7D88BB5B-8D7B-4CEB-B8A6-2D64C2B5BDA9}"/>
    <cellStyle name="Ergebnis 3 2 5 15" xfId="8262" xr:uid="{2DC7F732-D786-4831-8522-2EED830120D3}"/>
    <cellStyle name="Ergebnis 3 2 5 16" xfId="8263" xr:uid="{647E0AD3-27C8-43FA-A8D1-CD799B92708A}"/>
    <cellStyle name="Ergebnis 3 2 5 17" xfId="8264" xr:uid="{E7EB50CE-0843-403B-86AA-CF70CA5B940F}"/>
    <cellStyle name="Ergebnis 3 2 5 18" xfId="8265" xr:uid="{8241E59A-EA22-4A57-BBD7-A802F5D824DC}"/>
    <cellStyle name="Ergebnis 3 2 5 19" xfId="8266" xr:uid="{E3525689-AF35-4370-BE56-8DE308D99DE8}"/>
    <cellStyle name="Ergebnis 3 2 5 2" xfId="8267" xr:uid="{F14E03AF-1B34-4919-98B6-A35033D9E96A}"/>
    <cellStyle name="Ergebnis 3 2 5 3" xfId="8268" xr:uid="{26270C70-CB76-4586-95C0-05206E779EAC}"/>
    <cellStyle name="Ergebnis 3 2 5 4" xfId="8269" xr:uid="{50D17578-E0E6-4111-B46D-9F3C4C19BC9E}"/>
    <cellStyle name="Ergebnis 3 2 5 5" xfId="8270" xr:uid="{68DF9EB0-1382-40FD-93C7-71076B196EA6}"/>
    <cellStyle name="Ergebnis 3 2 5 6" xfId="8271" xr:uid="{8D53ECB1-0874-4128-A542-8A2690B8F84E}"/>
    <cellStyle name="Ergebnis 3 2 5 7" xfId="8272" xr:uid="{68792B86-5078-4618-9FFD-A85DB22F92FC}"/>
    <cellStyle name="Ergebnis 3 2 5 8" xfId="8273" xr:uid="{80DC8778-4E0F-41A8-8FCA-2DD28B1B5AE9}"/>
    <cellStyle name="Ergebnis 3 2 5 9" xfId="8274" xr:uid="{67205F7C-2DE1-4F3B-946E-7CEAACCE0978}"/>
    <cellStyle name="Ergebnis 3 2 5_2013" xfId="8275" xr:uid="{387C8AE2-B9B3-427D-9552-765F2C7FAABD}"/>
    <cellStyle name="Ergebnis 3 2 6" xfId="8276" xr:uid="{5470F434-A0B0-4EAC-96D9-E67AB1AD0642}"/>
    <cellStyle name="Ergebnis 3 2 7" xfId="8277" xr:uid="{C446BEFA-F257-45EF-8459-1B335F1D2EF9}"/>
    <cellStyle name="Ergebnis 3 2 8" xfId="8278" xr:uid="{58EDA8C9-8E23-4530-A34F-3E00CF86B2CA}"/>
    <cellStyle name="Ergebnis 3 2 9" xfId="8279" xr:uid="{975D7C9F-12DB-480C-9B1E-F8EEE0E13379}"/>
    <cellStyle name="Ergebnis 3 2_2013" xfId="8280" xr:uid="{B5C1CDF0-AFB2-4D5E-B544-AF732BC6F52A}"/>
    <cellStyle name="Ergebnis 3 20" xfId="8281" xr:uid="{226481AA-51FD-4DA5-8844-6BFF7DBCA711}"/>
    <cellStyle name="Ergebnis 3 21" xfId="8282" xr:uid="{429ECA8C-F939-4246-BDFA-0A31E23FA584}"/>
    <cellStyle name="Ergebnis 3 22" xfId="8283" xr:uid="{FC87BD5A-CFA2-4346-8978-CEDE9ECA3B71}"/>
    <cellStyle name="Ergebnis 3 23" xfId="8284" xr:uid="{FAFB5C1E-F157-46B3-8FD0-7B5E8E99DD92}"/>
    <cellStyle name="Ergebnis 3 24" xfId="8285" xr:uid="{63D58B46-5058-4870-B614-79AFC3E4A78D}"/>
    <cellStyle name="Ergebnis 3 3" xfId="8286" xr:uid="{B8EFB69C-6B5D-47DC-A8B3-B86013095763}"/>
    <cellStyle name="Ergebnis 3 3 10" xfId="8287" xr:uid="{FE0E0C1A-163B-494A-8DD8-82EC8768087E}"/>
    <cellStyle name="Ergebnis 3 3 11" xfId="8288" xr:uid="{1B8584A1-5AE7-42BB-8519-08B50B97654A}"/>
    <cellStyle name="Ergebnis 3 3 12" xfId="8289" xr:uid="{952C1081-526A-4155-9638-127B25D88BE7}"/>
    <cellStyle name="Ergebnis 3 3 13" xfId="8290" xr:uid="{7E0F6A98-6770-4610-AC43-0A784EF55806}"/>
    <cellStyle name="Ergebnis 3 3 14" xfId="8291" xr:uid="{CF76B812-0EF1-479C-8A30-099102F1A75B}"/>
    <cellStyle name="Ergebnis 3 3 15" xfId="8292" xr:uid="{1FEE0716-6ECA-438F-BD72-67F5D88D9532}"/>
    <cellStyle name="Ergebnis 3 3 16" xfId="8293" xr:uid="{8002F1FB-CE90-463E-AC0F-5979AC4FE1D0}"/>
    <cellStyle name="Ergebnis 3 3 17" xfId="8294" xr:uid="{B7F7D71E-F825-4F69-B18C-78AF545EF917}"/>
    <cellStyle name="Ergebnis 3 3 18" xfId="8295" xr:uid="{0DD5F509-926A-4AAC-B45E-F86BFF575904}"/>
    <cellStyle name="Ergebnis 3 3 19" xfId="8296" xr:uid="{D7873D7E-72ED-482D-9E5C-A46BD70E6177}"/>
    <cellStyle name="Ergebnis 3 3 2" xfId="8297" xr:uid="{2A147933-EFE7-486E-A0EE-F067614BF104}"/>
    <cellStyle name="Ergebnis 3 3 2 10" xfId="8298" xr:uid="{C654ECC5-5659-4E3D-AF78-5A940E46C2FC}"/>
    <cellStyle name="Ergebnis 3 3 2 11" xfId="8299" xr:uid="{F1FB8BA4-50BB-4965-AC7B-C046FDDFE1D5}"/>
    <cellStyle name="Ergebnis 3 3 2 12" xfId="8300" xr:uid="{C293A2AE-9336-4E61-A98A-F0BD8DACE07A}"/>
    <cellStyle name="Ergebnis 3 3 2 13" xfId="8301" xr:uid="{9B4B8988-147F-40FB-8773-2C2D3AAF9161}"/>
    <cellStyle name="Ergebnis 3 3 2 14" xfId="8302" xr:uid="{5A92803D-4ECC-4CEA-97FF-27B5239CCC33}"/>
    <cellStyle name="Ergebnis 3 3 2 15" xfId="8303" xr:uid="{AF7E3561-0053-41FA-9E1B-22D993784C95}"/>
    <cellStyle name="Ergebnis 3 3 2 16" xfId="8304" xr:uid="{F4ECF79F-DC5D-4405-A318-9D7E49C2FC56}"/>
    <cellStyle name="Ergebnis 3 3 2 17" xfId="8305" xr:uid="{B0158985-DA07-43D1-8212-675EAC5696F3}"/>
    <cellStyle name="Ergebnis 3 3 2 18" xfId="8306" xr:uid="{1AB2B9E8-654B-4DF2-A15E-A00A0D005559}"/>
    <cellStyle name="Ergebnis 3 3 2 19" xfId="8307" xr:uid="{D54FAB25-6A0C-43C5-B8D2-8192FF6D886D}"/>
    <cellStyle name="Ergebnis 3 3 2 2" xfId="8308" xr:uid="{F1277E75-5AFE-43F7-8277-5B62F11DC9AA}"/>
    <cellStyle name="Ergebnis 3 3 2 3" xfId="8309" xr:uid="{5A3D385A-93A5-4D28-A2E3-1F3B2D9DD490}"/>
    <cellStyle name="Ergebnis 3 3 2 4" xfId="8310" xr:uid="{A92F7B51-15BA-4765-908B-7073F35D5CAE}"/>
    <cellStyle name="Ergebnis 3 3 2 5" xfId="8311" xr:uid="{70FE0C22-10E3-4F91-9A5F-0984411E4241}"/>
    <cellStyle name="Ergebnis 3 3 2 6" xfId="8312" xr:uid="{4859E62B-842A-4453-8FB1-EA746B653E55}"/>
    <cellStyle name="Ergebnis 3 3 2 7" xfId="8313" xr:uid="{7F1A4C0E-5F2C-4294-BFBB-2E51FF40C6DE}"/>
    <cellStyle name="Ergebnis 3 3 2 8" xfId="8314" xr:uid="{AAA875D9-F33E-47E1-B9FB-3141F5E33312}"/>
    <cellStyle name="Ergebnis 3 3 2 9" xfId="8315" xr:uid="{C4E88AFE-88F5-4806-979F-0F59E3168049}"/>
    <cellStyle name="Ergebnis 3 3 2_2013" xfId="8316" xr:uid="{D115BBD5-50BF-4950-9BBC-BF9016388A8A}"/>
    <cellStyle name="Ergebnis 3 3 20" xfId="8317" xr:uid="{99E05E42-5387-4035-9FB2-3FB4D18D33E4}"/>
    <cellStyle name="Ergebnis 3 3 3" xfId="8318" xr:uid="{568A8467-B596-4CB6-87E9-999AA14C1991}"/>
    <cellStyle name="Ergebnis 3 3 4" xfId="8319" xr:uid="{4E10017C-C7C1-4746-BB88-3477B44242EB}"/>
    <cellStyle name="Ergebnis 3 3 5" xfId="8320" xr:uid="{910E865E-13D1-4111-9E0B-7D9071FED60B}"/>
    <cellStyle name="Ergebnis 3 3 6" xfId="8321" xr:uid="{30A90661-7E96-45A9-A7B9-EC757B47C371}"/>
    <cellStyle name="Ergebnis 3 3 7" xfId="8322" xr:uid="{1B70D074-A96E-4B63-8828-4D95A42928EE}"/>
    <cellStyle name="Ergebnis 3 3 8" xfId="8323" xr:uid="{58F18BF4-99A5-498B-BEED-2950C749CF4B}"/>
    <cellStyle name="Ergebnis 3 3 9" xfId="8324" xr:uid="{52815E4B-57F0-4D5A-86CB-912E1D004DCA}"/>
    <cellStyle name="Ergebnis 3 3_2013" xfId="8325" xr:uid="{79EADC11-233B-4677-AA96-CFE52371282D}"/>
    <cellStyle name="Ergebnis 3 4" xfId="8326" xr:uid="{8BD77987-9E58-4E6E-963A-677D0CBACCC0}"/>
    <cellStyle name="Ergebnis 3 4 10" xfId="8327" xr:uid="{495F2BFA-19AD-4AF0-87C3-84D625484B00}"/>
    <cellStyle name="Ergebnis 3 4 11" xfId="8328" xr:uid="{44BE78FC-ED40-4539-9046-967569139564}"/>
    <cellStyle name="Ergebnis 3 4 12" xfId="8329" xr:uid="{20381368-B551-4162-9EE4-04EABAE3B859}"/>
    <cellStyle name="Ergebnis 3 4 13" xfId="8330" xr:uid="{B083709F-A3C9-4D62-852C-E566E00A457F}"/>
    <cellStyle name="Ergebnis 3 4 14" xfId="8331" xr:uid="{D53CDE97-3A68-4EFC-8C41-326C3DCA05A0}"/>
    <cellStyle name="Ergebnis 3 4 15" xfId="8332" xr:uid="{FF0B94D0-C7D3-474D-BE86-35808FEE9904}"/>
    <cellStyle name="Ergebnis 3 4 16" xfId="8333" xr:uid="{2E67266F-D757-4268-8460-8EC62836A000}"/>
    <cellStyle name="Ergebnis 3 4 17" xfId="8334" xr:uid="{3F8A2DEC-6715-403C-BCAB-76132AA6804B}"/>
    <cellStyle name="Ergebnis 3 4 18" xfId="8335" xr:uid="{CFDAFEFA-A1F9-4ADE-934C-445D7D66B3D2}"/>
    <cellStyle name="Ergebnis 3 4 19" xfId="8336" xr:uid="{032F6EC1-0978-4737-A147-6791292DD632}"/>
    <cellStyle name="Ergebnis 3 4 2" xfId="8337" xr:uid="{0B022734-EEF0-439F-BDEF-49C3C93EB453}"/>
    <cellStyle name="Ergebnis 3 4 2 10" xfId="8338" xr:uid="{C575A6F9-4490-494C-82A2-B28F403397D3}"/>
    <cellStyle name="Ergebnis 3 4 2 11" xfId="8339" xr:uid="{5CF798D9-5262-4706-9079-BE0B6B838C1A}"/>
    <cellStyle name="Ergebnis 3 4 2 12" xfId="8340" xr:uid="{ADD138C9-8E71-42DF-BB3A-B830A7FCDD95}"/>
    <cellStyle name="Ergebnis 3 4 2 13" xfId="8341" xr:uid="{39ED7528-4FEA-4ACB-BABA-71061346E403}"/>
    <cellStyle name="Ergebnis 3 4 2 14" xfId="8342" xr:uid="{B952BC3B-A60E-43C8-AA1F-3B7586B2540E}"/>
    <cellStyle name="Ergebnis 3 4 2 15" xfId="8343" xr:uid="{E6CFEEA3-5982-4DD6-B5D3-0D7CF56FA28D}"/>
    <cellStyle name="Ergebnis 3 4 2 16" xfId="8344" xr:uid="{1033588C-5A75-4F13-8138-9962A19199A5}"/>
    <cellStyle name="Ergebnis 3 4 2 17" xfId="8345" xr:uid="{F68BF52C-FD78-4F90-A175-135C2AAA6BCE}"/>
    <cellStyle name="Ergebnis 3 4 2 18" xfId="8346" xr:uid="{D271AFEB-5651-46A5-B824-48F8ADF1D029}"/>
    <cellStyle name="Ergebnis 3 4 2 19" xfId="8347" xr:uid="{943717A1-5CE5-49DF-91DD-6B81EE39CF50}"/>
    <cellStyle name="Ergebnis 3 4 2 2" xfId="8348" xr:uid="{B082D6BB-AA86-4C37-88FF-D6D86CAEBFC0}"/>
    <cellStyle name="Ergebnis 3 4 2 3" xfId="8349" xr:uid="{E1535447-4E0F-44A3-AF63-58F13C53C6E5}"/>
    <cellStyle name="Ergebnis 3 4 2 4" xfId="8350" xr:uid="{162F416A-27D8-4A43-8B23-5C8621F648AD}"/>
    <cellStyle name="Ergebnis 3 4 2 5" xfId="8351" xr:uid="{380E24D6-7F15-4B3D-A0B5-713FF7AC7402}"/>
    <cellStyle name="Ergebnis 3 4 2 6" xfId="8352" xr:uid="{36FBF626-06B1-47B2-B1D5-81CB107522DE}"/>
    <cellStyle name="Ergebnis 3 4 2 7" xfId="8353" xr:uid="{81751180-B4F2-452F-88E9-9A0036EAD730}"/>
    <cellStyle name="Ergebnis 3 4 2 8" xfId="8354" xr:uid="{54673463-498F-4E08-94D2-0B1F2962EF88}"/>
    <cellStyle name="Ergebnis 3 4 2 9" xfId="8355" xr:uid="{D6DD84FD-3AE2-4B29-B81B-0029A5C43297}"/>
    <cellStyle name="Ergebnis 3 4 2_2013" xfId="8356" xr:uid="{5DA1730A-BA14-4B4B-A760-A990E2CA5D4E}"/>
    <cellStyle name="Ergebnis 3 4 20" xfId="8357" xr:uid="{0516F270-B63E-4C3A-8443-AED6BC857925}"/>
    <cellStyle name="Ergebnis 3 4 3" xfId="8358" xr:uid="{92556CD0-63C0-45F5-8840-EA94959AE27F}"/>
    <cellStyle name="Ergebnis 3 4 4" xfId="8359" xr:uid="{7A826B2D-D71A-4226-812B-2178A72D7F97}"/>
    <cellStyle name="Ergebnis 3 4 5" xfId="8360" xr:uid="{A333EF00-E49F-45B0-8A62-9C5C7033E140}"/>
    <cellStyle name="Ergebnis 3 4 6" xfId="8361" xr:uid="{DCD4F726-0D2F-4A5F-86FD-3084C0EF7EB4}"/>
    <cellStyle name="Ergebnis 3 4 7" xfId="8362" xr:uid="{6C6F704B-554C-40BC-B2CD-1AC464F067DC}"/>
    <cellStyle name="Ergebnis 3 4 8" xfId="8363" xr:uid="{6551F2E6-4852-4150-A72A-8E51F4A3C94D}"/>
    <cellStyle name="Ergebnis 3 4 9" xfId="8364" xr:uid="{C82AE5B1-F65F-4784-A2CC-4EA297844B6C}"/>
    <cellStyle name="Ergebnis 3 4_2013" xfId="8365" xr:uid="{EF1AAF89-161B-4730-9D98-A748FD75587E}"/>
    <cellStyle name="Ergebnis 3 5" xfId="8366" xr:uid="{A837DA4E-F237-4C68-8AF7-0512FEE71DC1}"/>
    <cellStyle name="Ergebnis 3 5 10" xfId="8367" xr:uid="{04C02218-EE3C-45AD-B6ED-009448CD64AF}"/>
    <cellStyle name="Ergebnis 3 5 11" xfId="8368" xr:uid="{054BB58A-C76E-4F5C-8E64-E0F180F1ACFC}"/>
    <cellStyle name="Ergebnis 3 5 12" xfId="8369" xr:uid="{C73647FD-52DB-4F53-99BF-E37B31FF462C}"/>
    <cellStyle name="Ergebnis 3 5 13" xfId="8370" xr:uid="{15A05AD7-F825-43C9-8A83-30511F1A904C}"/>
    <cellStyle name="Ergebnis 3 5 14" xfId="8371" xr:uid="{780B0217-B531-4D19-9E5E-F2587FDACF87}"/>
    <cellStyle name="Ergebnis 3 5 15" xfId="8372" xr:uid="{CC61B2B2-B8F3-46E3-AC5C-745E2760E1E6}"/>
    <cellStyle name="Ergebnis 3 5 16" xfId="8373" xr:uid="{8A93E64A-F277-48C7-915C-E2A75466D73D}"/>
    <cellStyle name="Ergebnis 3 5 17" xfId="8374" xr:uid="{3E8E7D95-D854-4B10-955B-187593F2B228}"/>
    <cellStyle name="Ergebnis 3 5 18" xfId="8375" xr:uid="{BB48AF97-260B-4B51-96CC-F8756BB4DA65}"/>
    <cellStyle name="Ergebnis 3 5 19" xfId="8376" xr:uid="{8AB5BE87-5341-464D-BC27-6E4BDDF82E55}"/>
    <cellStyle name="Ergebnis 3 5 2" xfId="8377" xr:uid="{4D661438-1C60-49BF-8973-593C0FF667DA}"/>
    <cellStyle name="Ergebnis 3 5 2 10" xfId="8378" xr:uid="{A30AC029-AF71-463C-AEB3-A17035D2D005}"/>
    <cellStyle name="Ergebnis 3 5 2 11" xfId="8379" xr:uid="{216F2B29-6606-4B3B-9E36-7CB34E924914}"/>
    <cellStyle name="Ergebnis 3 5 2 12" xfId="8380" xr:uid="{7B038242-994E-47FF-B7EF-AD25794D7A8F}"/>
    <cellStyle name="Ergebnis 3 5 2 13" xfId="8381" xr:uid="{CCB913EC-FC2C-411A-AB0D-0B507725566D}"/>
    <cellStyle name="Ergebnis 3 5 2 14" xfId="8382" xr:uid="{2C5E796D-700F-423E-B1A5-179E05F472D1}"/>
    <cellStyle name="Ergebnis 3 5 2 15" xfId="8383" xr:uid="{B049BD0E-E1DA-4164-B90B-52AC593DA745}"/>
    <cellStyle name="Ergebnis 3 5 2 16" xfId="8384" xr:uid="{EE4640A8-36D6-4852-AE34-CB474C02EE76}"/>
    <cellStyle name="Ergebnis 3 5 2 17" xfId="8385" xr:uid="{27E3D1A5-A581-46F7-927D-1F518F536DAD}"/>
    <cellStyle name="Ergebnis 3 5 2 18" xfId="8386" xr:uid="{90C27FA8-5BDE-4A48-866D-88BFF8722D27}"/>
    <cellStyle name="Ergebnis 3 5 2 19" xfId="8387" xr:uid="{EC693A3C-7D0A-4A30-BC0C-226266948669}"/>
    <cellStyle name="Ergebnis 3 5 2 2" xfId="8388" xr:uid="{825376BF-327F-4F79-84A6-7EF2A7038119}"/>
    <cellStyle name="Ergebnis 3 5 2 3" xfId="8389" xr:uid="{AE3D3D0F-F625-4816-A7D2-F86DBE9ACFF4}"/>
    <cellStyle name="Ergebnis 3 5 2 4" xfId="8390" xr:uid="{DFA1A3FB-5762-4575-BF58-7DD42C0B5D16}"/>
    <cellStyle name="Ergebnis 3 5 2 5" xfId="8391" xr:uid="{A0BEC972-2368-4EA9-A27C-2D9B76F954BD}"/>
    <cellStyle name="Ergebnis 3 5 2 6" xfId="8392" xr:uid="{C19D8E9B-9656-4ABE-AA6F-D38DC686EE8D}"/>
    <cellStyle name="Ergebnis 3 5 2 7" xfId="8393" xr:uid="{E208D5D9-4BA0-4BE6-A654-035CCE39DCF4}"/>
    <cellStyle name="Ergebnis 3 5 2 8" xfId="8394" xr:uid="{54EACD85-EAEA-4707-9027-3278AF61C095}"/>
    <cellStyle name="Ergebnis 3 5 2 9" xfId="8395" xr:uid="{5830B4CF-712E-4518-BB4A-69ED0F1A8BE0}"/>
    <cellStyle name="Ergebnis 3 5 2_2013" xfId="8396" xr:uid="{EA0DFEB9-6A60-4A61-839A-10961CDF72ED}"/>
    <cellStyle name="Ergebnis 3 5 20" xfId="8397" xr:uid="{1194FCA3-2423-41B6-AE14-AD810B1C5652}"/>
    <cellStyle name="Ergebnis 3 5 3" xfId="8398" xr:uid="{59B0760B-7833-4E98-A19A-79ABDE41B1A1}"/>
    <cellStyle name="Ergebnis 3 5 4" xfId="8399" xr:uid="{F0DB710D-96A9-4BAB-97FC-1477CF62402C}"/>
    <cellStyle name="Ergebnis 3 5 5" xfId="8400" xr:uid="{107075AB-94ED-4861-803E-400632FED7E9}"/>
    <cellStyle name="Ergebnis 3 5 6" xfId="8401" xr:uid="{A5790A5C-F230-42EC-9D40-4E9947A73BDC}"/>
    <cellStyle name="Ergebnis 3 5 7" xfId="8402" xr:uid="{24249028-4682-4F6D-BD07-F7C4244A39F6}"/>
    <cellStyle name="Ergebnis 3 5 8" xfId="8403" xr:uid="{775CC4C6-452A-4085-AFC5-CEBC5496145F}"/>
    <cellStyle name="Ergebnis 3 5 9" xfId="8404" xr:uid="{1D21C5EF-1176-4108-8F05-2E11FDCA2419}"/>
    <cellStyle name="Ergebnis 3 5_2013" xfId="8405" xr:uid="{026908B2-588E-4C1D-8552-05BA3506C522}"/>
    <cellStyle name="Ergebnis 3 6" xfId="8406" xr:uid="{A307B17E-F1ED-4551-9C1F-958F5EDCD2A3}"/>
    <cellStyle name="Ergebnis 3 6 10" xfId="8407" xr:uid="{53BA9742-FC5B-4111-BA6D-35C4DE7F4620}"/>
    <cellStyle name="Ergebnis 3 6 11" xfId="8408" xr:uid="{F25BAE40-AFF2-4D1F-BF88-D1F8F7971ED4}"/>
    <cellStyle name="Ergebnis 3 6 12" xfId="8409" xr:uid="{93B78F3E-969D-4A5A-9A28-CEC94BDC2F2F}"/>
    <cellStyle name="Ergebnis 3 6 13" xfId="8410" xr:uid="{46A4B765-D4B6-4656-B5A9-49C2B19E846D}"/>
    <cellStyle name="Ergebnis 3 6 14" xfId="8411" xr:uid="{7E3549D1-1E6A-48C7-9C47-B18D6760F3B5}"/>
    <cellStyle name="Ergebnis 3 6 15" xfId="8412" xr:uid="{B31B1F30-2592-4D84-8E2C-C4709BE58A31}"/>
    <cellStyle name="Ergebnis 3 6 16" xfId="8413" xr:uid="{5A686269-D641-4B8A-9061-3441A6A040E5}"/>
    <cellStyle name="Ergebnis 3 6 17" xfId="8414" xr:uid="{B3E3260A-B169-4D4F-A0E4-D29DBD9A565D}"/>
    <cellStyle name="Ergebnis 3 6 18" xfId="8415" xr:uid="{16F8C121-D9AA-44DA-80C4-9160CC61DE8C}"/>
    <cellStyle name="Ergebnis 3 6 19" xfId="8416" xr:uid="{C37AB533-D69E-4626-834C-67F5B0DBE449}"/>
    <cellStyle name="Ergebnis 3 6 2" xfId="8417" xr:uid="{CC7C9904-39D0-4E9D-8E5F-94A871696AF4}"/>
    <cellStyle name="Ergebnis 3 6 3" xfId="8418" xr:uid="{EE12C989-1750-4566-8DA3-345B1E0EE0F6}"/>
    <cellStyle name="Ergebnis 3 6 4" xfId="8419" xr:uid="{CBAABBF8-1824-471F-98BA-487F526B5B1A}"/>
    <cellStyle name="Ergebnis 3 6 5" xfId="8420" xr:uid="{6E9105DE-1E78-49D0-9ADF-A67BDE023D47}"/>
    <cellStyle name="Ergebnis 3 6 6" xfId="8421" xr:uid="{E745F5DF-C0FF-472D-B049-9E442D059352}"/>
    <cellStyle name="Ergebnis 3 6 7" xfId="8422" xr:uid="{CB33C8FD-EFE1-4690-ADEE-A086E32B5ED4}"/>
    <cellStyle name="Ergebnis 3 6 8" xfId="8423" xr:uid="{2F074B2F-1957-4FB4-810F-38E52EB10FC4}"/>
    <cellStyle name="Ergebnis 3 6 9" xfId="8424" xr:uid="{9ECCC00D-1B55-47CC-A7A6-093AC7D5BB80}"/>
    <cellStyle name="Ergebnis 3 6_2013" xfId="8425" xr:uid="{94C166A3-4073-4AFE-B119-07951438119A}"/>
    <cellStyle name="Ergebnis 3 7" xfId="8426" xr:uid="{1B2061F7-16DF-4F31-9270-1DA3A0425475}"/>
    <cellStyle name="Ergebnis 3 8" xfId="8427" xr:uid="{A133252F-385D-45EB-954D-B002FD79A489}"/>
    <cellStyle name="Ergebnis 3 9" xfId="8428" xr:uid="{B301429D-6DA7-4D03-AEB4-79914685A8B1}"/>
    <cellStyle name="Ergebnis 3_2013" xfId="8429" xr:uid="{59F098AF-5D61-4680-ACD3-4633F763D2EF}"/>
    <cellStyle name="Ergebnis 4" xfId="8430" xr:uid="{CF888822-7760-4BD7-94E3-540265981953}"/>
    <cellStyle name="Ergebnis 4 10" xfId="8431" xr:uid="{9F080D47-58EA-4361-B7B8-F785DCE95B28}"/>
    <cellStyle name="Ergebnis 4 11" xfId="8432" xr:uid="{F9451AD2-A0C1-4F09-90D3-E9B83BEF938F}"/>
    <cellStyle name="Ergebnis 4 12" xfId="8433" xr:uid="{FA6C30B7-6C74-47F9-8B81-F4C44BCB2334}"/>
    <cellStyle name="Ergebnis 4 13" xfId="8434" xr:uid="{EF3ABE18-2A3E-4785-8796-6CF97255D0F9}"/>
    <cellStyle name="Ergebnis 4 14" xfId="8435" xr:uid="{F5816C4D-69F6-4ADF-A7AD-2375F5B96211}"/>
    <cellStyle name="Ergebnis 4 15" xfId="8436" xr:uid="{F43F0140-0656-423E-B5F2-DB05230CED70}"/>
    <cellStyle name="Ergebnis 4 16" xfId="8437" xr:uid="{E743B76D-600E-4EE6-B0C1-7849FFAE37EE}"/>
    <cellStyle name="Ergebnis 4 17" xfId="8438" xr:uid="{B2776058-C052-4C39-BA55-7410CB49DDD8}"/>
    <cellStyle name="Ergebnis 4 18" xfId="8439" xr:uid="{A5C2DB40-EFBE-4904-9D92-9F9F09593F00}"/>
    <cellStyle name="Ergebnis 4 19" xfId="8440" xr:uid="{398FEAE9-7EE8-492C-AF80-EA8AB208DE64}"/>
    <cellStyle name="Ergebnis 4 2" xfId="8441" xr:uid="{7257B151-07C8-4797-B723-E077561F7B1A}"/>
    <cellStyle name="Ergebnis 4 2 10" xfId="8442" xr:uid="{885AD6CD-11DB-4B19-A493-0CC5DAC68C59}"/>
    <cellStyle name="Ergebnis 4 2 11" xfId="8443" xr:uid="{5018F1FE-EBD3-444C-ABFE-4AC44066012A}"/>
    <cellStyle name="Ergebnis 4 2 12" xfId="8444" xr:uid="{B7F67865-38E2-4CBA-8BF3-5BA18BF499BD}"/>
    <cellStyle name="Ergebnis 4 2 13" xfId="8445" xr:uid="{A49E6797-B651-46AC-8270-49164A5ED4D4}"/>
    <cellStyle name="Ergebnis 4 2 14" xfId="8446" xr:uid="{0C1BE4A6-526C-48DA-A202-368FEFE85CF4}"/>
    <cellStyle name="Ergebnis 4 2 15" xfId="8447" xr:uid="{F992D1E7-1E31-46E8-B415-0C97FDD48FCC}"/>
    <cellStyle name="Ergebnis 4 2 16" xfId="8448" xr:uid="{4F89B8CB-7DD9-490B-8F3F-5E6F4427F334}"/>
    <cellStyle name="Ergebnis 4 2 17" xfId="8449" xr:uid="{357B2BD4-5261-418B-8ED6-31709B1F090D}"/>
    <cellStyle name="Ergebnis 4 2 18" xfId="8450" xr:uid="{2E257B44-7870-44E2-9F64-5DCBF710F39D}"/>
    <cellStyle name="Ergebnis 4 2 19" xfId="8451" xr:uid="{B1CBC631-9DFB-4B95-906D-2CF853600766}"/>
    <cellStyle name="Ergebnis 4 2 2" xfId="8452" xr:uid="{C7842F90-8DD1-452A-AE65-DE860853A145}"/>
    <cellStyle name="Ergebnis 4 2 2 10" xfId="8453" xr:uid="{D84861DB-72CA-41F2-A89E-6459AFE6FA09}"/>
    <cellStyle name="Ergebnis 4 2 2 11" xfId="8454" xr:uid="{8CAE374D-0284-40D7-95A7-4BEB5DFE9D4D}"/>
    <cellStyle name="Ergebnis 4 2 2 12" xfId="8455" xr:uid="{F23CD77F-FFFF-4C6D-A40C-12B100C1465B}"/>
    <cellStyle name="Ergebnis 4 2 2 13" xfId="8456" xr:uid="{4D915E83-0336-4C48-A53E-DAEBA04FAD9B}"/>
    <cellStyle name="Ergebnis 4 2 2 14" xfId="8457" xr:uid="{3555664F-90EF-4CFC-B890-5A16D5024CA5}"/>
    <cellStyle name="Ergebnis 4 2 2 15" xfId="8458" xr:uid="{26EEC0D2-DB32-4E8E-A500-73ED3ECD1331}"/>
    <cellStyle name="Ergebnis 4 2 2 16" xfId="8459" xr:uid="{C4D33F23-7403-4691-985C-1D530A211A11}"/>
    <cellStyle name="Ergebnis 4 2 2 17" xfId="8460" xr:uid="{77501AFC-B78C-4199-B272-6679D44347E8}"/>
    <cellStyle name="Ergebnis 4 2 2 18" xfId="8461" xr:uid="{63CDC332-AC0F-4661-8A22-2935B34A37F9}"/>
    <cellStyle name="Ergebnis 4 2 2 19" xfId="8462" xr:uid="{B951CA95-7250-48E7-BB5C-7263C2B6162D}"/>
    <cellStyle name="Ergebnis 4 2 2 2" xfId="8463" xr:uid="{2BB9A97E-406A-4F48-A02C-81CB61750761}"/>
    <cellStyle name="Ergebnis 4 2 2 3" xfId="8464" xr:uid="{9B4FE494-A77F-4A98-8ED2-102E4264C1BC}"/>
    <cellStyle name="Ergebnis 4 2 2 4" xfId="8465" xr:uid="{8660B861-B0CA-4C54-8975-FAEBE559A5E4}"/>
    <cellStyle name="Ergebnis 4 2 2 5" xfId="8466" xr:uid="{BE1DF396-A7C3-4E53-8EAD-F9570F9C4438}"/>
    <cellStyle name="Ergebnis 4 2 2 6" xfId="8467" xr:uid="{FEA83EA5-9848-4CEE-AE39-A7819C13BB8D}"/>
    <cellStyle name="Ergebnis 4 2 2 7" xfId="8468" xr:uid="{20FD53A7-E583-4903-85DC-1066FCBC8C03}"/>
    <cellStyle name="Ergebnis 4 2 2 8" xfId="8469" xr:uid="{7E8A4867-4B17-44C2-8A17-0EA29B80DE73}"/>
    <cellStyle name="Ergebnis 4 2 2 9" xfId="8470" xr:uid="{E15AF385-84F8-4B00-B29A-8EEC70F1BA17}"/>
    <cellStyle name="Ergebnis 4 2 2_2013" xfId="8471" xr:uid="{D50FD6A6-D951-40ED-B840-5DFD136718B6}"/>
    <cellStyle name="Ergebnis 4 2 20" xfId="8472" xr:uid="{862CB1EB-3C96-4C98-B023-6EA1977013B7}"/>
    <cellStyle name="Ergebnis 4 2 3" xfId="8473" xr:uid="{91E6C2B1-CD45-467E-8A3E-C87A218D6CBE}"/>
    <cellStyle name="Ergebnis 4 2 4" xfId="8474" xr:uid="{2555F3C2-296B-4F60-AB23-0661989B3CC2}"/>
    <cellStyle name="Ergebnis 4 2 5" xfId="8475" xr:uid="{7E97D44F-AAE2-4B71-8D59-C80BEBB57C22}"/>
    <cellStyle name="Ergebnis 4 2 6" xfId="8476" xr:uid="{A6612C51-CCA6-48C3-947E-36FE153E154D}"/>
    <cellStyle name="Ergebnis 4 2 7" xfId="8477" xr:uid="{44296079-E4DD-4AB5-9419-5D3CBCA77023}"/>
    <cellStyle name="Ergebnis 4 2 8" xfId="8478" xr:uid="{8B248DEC-AEA0-4805-B8DF-36151C02C2A0}"/>
    <cellStyle name="Ergebnis 4 2 9" xfId="8479" xr:uid="{B8170430-9953-48DB-857B-FC22AD75CFC9}"/>
    <cellStyle name="Ergebnis 4 2_2013" xfId="8480" xr:uid="{FFF7F95A-B864-43E1-9282-5A66056067C7}"/>
    <cellStyle name="Ergebnis 4 20" xfId="8481" xr:uid="{A4D273B4-48F0-4583-823D-468656D158A1}"/>
    <cellStyle name="Ergebnis 4 21" xfId="8482" xr:uid="{CE9DED80-69D5-42DD-954A-C0C90CB40E33}"/>
    <cellStyle name="Ergebnis 4 22" xfId="8483" xr:uid="{3ACDB3D9-E904-4613-B07C-D3E851A0EA3D}"/>
    <cellStyle name="Ergebnis 4 23" xfId="8484" xr:uid="{892BA04D-2D3A-411B-B083-F879A54C8618}"/>
    <cellStyle name="Ergebnis 4 3" xfId="8485" xr:uid="{7A6E0786-244F-493D-9355-BF71B5454804}"/>
    <cellStyle name="Ergebnis 4 3 10" xfId="8486" xr:uid="{898D6DEE-9B46-4F86-8DD0-72F49512FA6B}"/>
    <cellStyle name="Ergebnis 4 3 11" xfId="8487" xr:uid="{05D5A129-3E19-463A-89AB-7E5A02435E83}"/>
    <cellStyle name="Ergebnis 4 3 12" xfId="8488" xr:uid="{321F9E6A-C342-42F6-A7AC-E720A890FC61}"/>
    <cellStyle name="Ergebnis 4 3 13" xfId="8489" xr:uid="{80AB775A-3F74-43E7-9F5A-CA24F2C39EE1}"/>
    <cellStyle name="Ergebnis 4 3 14" xfId="8490" xr:uid="{54540AE3-1C94-4AFE-9097-869D9055B6D9}"/>
    <cellStyle name="Ergebnis 4 3 15" xfId="8491" xr:uid="{DD02FCA1-AAD9-43EC-B46D-517D4D25B749}"/>
    <cellStyle name="Ergebnis 4 3 16" xfId="8492" xr:uid="{7745AE94-4C3D-4FC0-A6AD-DE5A0C33383F}"/>
    <cellStyle name="Ergebnis 4 3 17" xfId="8493" xr:uid="{B3D6474C-4540-41E9-8146-B3FA83D4F815}"/>
    <cellStyle name="Ergebnis 4 3 18" xfId="8494" xr:uid="{0CDC6F9D-CB7B-4A2A-92D3-31D26D18D856}"/>
    <cellStyle name="Ergebnis 4 3 19" xfId="8495" xr:uid="{1C0C03CD-8808-49FA-9D0D-2CA5F1612FB3}"/>
    <cellStyle name="Ergebnis 4 3 2" xfId="8496" xr:uid="{08C701A1-7C2A-4EC7-B39D-B742118115F0}"/>
    <cellStyle name="Ergebnis 4 3 2 10" xfId="8497" xr:uid="{1F4E4F23-4BF8-4A19-82C0-21F1D0588C20}"/>
    <cellStyle name="Ergebnis 4 3 2 11" xfId="8498" xr:uid="{E3BA9681-2B8B-4AF5-88D4-899125CD92D1}"/>
    <cellStyle name="Ergebnis 4 3 2 12" xfId="8499" xr:uid="{A02E33CE-3C7C-4E6A-8EBD-3F8E84D8928E}"/>
    <cellStyle name="Ergebnis 4 3 2 13" xfId="8500" xr:uid="{12E782F4-7481-401B-A567-31C595BA0E0C}"/>
    <cellStyle name="Ergebnis 4 3 2 14" xfId="8501" xr:uid="{3751E4D2-24A8-4625-B15E-0D3E0AAE874D}"/>
    <cellStyle name="Ergebnis 4 3 2 15" xfId="8502" xr:uid="{AF17AF31-3D5D-409E-A5A8-EAB50A61153A}"/>
    <cellStyle name="Ergebnis 4 3 2 16" xfId="8503" xr:uid="{48FC7764-C17E-4F23-AE1E-39B43D85231F}"/>
    <cellStyle name="Ergebnis 4 3 2 17" xfId="8504" xr:uid="{6F23E0CB-C51A-4640-85DE-2CB66C1735CA}"/>
    <cellStyle name="Ergebnis 4 3 2 18" xfId="8505" xr:uid="{4F954A39-3886-479A-9C60-37F59DC31F5C}"/>
    <cellStyle name="Ergebnis 4 3 2 19" xfId="8506" xr:uid="{DC423EBC-5144-48FA-B1BC-EBBB51DEB9B1}"/>
    <cellStyle name="Ergebnis 4 3 2 2" xfId="8507" xr:uid="{3FC7077C-78D3-4D1A-9B38-17274CC3A5CC}"/>
    <cellStyle name="Ergebnis 4 3 2 3" xfId="8508" xr:uid="{390374F1-BD50-468F-89C2-F1264CA9BD87}"/>
    <cellStyle name="Ergebnis 4 3 2 4" xfId="8509" xr:uid="{8C3A1EA9-A757-4E28-B56E-A7E64F52B079}"/>
    <cellStyle name="Ergebnis 4 3 2 5" xfId="8510" xr:uid="{3606240C-F759-473A-9DF8-52B4E7D5CF3E}"/>
    <cellStyle name="Ergebnis 4 3 2 6" xfId="8511" xr:uid="{66090795-571B-41F9-B864-F9EB99CDF5EB}"/>
    <cellStyle name="Ergebnis 4 3 2 7" xfId="8512" xr:uid="{A53A5365-384B-4731-AD7B-3F5E3736693E}"/>
    <cellStyle name="Ergebnis 4 3 2 8" xfId="8513" xr:uid="{B1253274-8869-4914-85F7-DC89DDC131E1}"/>
    <cellStyle name="Ergebnis 4 3 2 9" xfId="8514" xr:uid="{1C889678-0C57-4F3C-92D0-0B5011ED4F49}"/>
    <cellStyle name="Ergebnis 4 3 2_2013" xfId="8515" xr:uid="{98DAB3F6-2859-4ED7-A683-EC618EF494B9}"/>
    <cellStyle name="Ergebnis 4 3 20" xfId="8516" xr:uid="{97951CB7-2633-4B45-AE1F-B8216AEE8BD5}"/>
    <cellStyle name="Ergebnis 4 3 3" xfId="8517" xr:uid="{29CEB613-BDD3-4982-9DD8-EAD293B9C293}"/>
    <cellStyle name="Ergebnis 4 3 4" xfId="8518" xr:uid="{BE7E5A70-9EBC-4C01-9580-645DC18FFCAB}"/>
    <cellStyle name="Ergebnis 4 3 5" xfId="8519" xr:uid="{31FA7C18-786A-4E27-AE6E-E571952295DE}"/>
    <cellStyle name="Ergebnis 4 3 6" xfId="8520" xr:uid="{01455074-EFF6-465B-9BBB-D99A32622486}"/>
    <cellStyle name="Ergebnis 4 3 7" xfId="8521" xr:uid="{7C0BC2EC-6DD4-43D9-B4FC-F8C2EC3ED082}"/>
    <cellStyle name="Ergebnis 4 3 8" xfId="8522" xr:uid="{16630516-2154-4035-A678-A95B976C8BED}"/>
    <cellStyle name="Ergebnis 4 3 9" xfId="8523" xr:uid="{785CC06C-7BE6-4C9C-935A-2012D2E9F445}"/>
    <cellStyle name="Ergebnis 4 3_2013" xfId="8524" xr:uid="{174E7761-1FC3-46B6-B16C-A61212EDA43B}"/>
    <cellStyle name="Ergebnis 4 4" xfId="8525" xr:uid="{28776EFB-FB44-46AD-AF3A-92093C0AFF48}"/>
    <cellStyle name="Ergebnis 4 4 10" xfId="8526" xr:uid="{CFBD7503-144D-4997-B82F-FD725E0D587C}"/>
    <cellStyle name="Ergebnis 4 4 11" xfId="8527" xr:uid="{B824A06A-77AA-400C-8A0A-DEE53301ED3A}"/>
    <cellStyle name="Ergebnis 4 4 12" xfId="8528" xr:uid="{F042678D-D5C1-465D-8C3F-1FBCC2FAB9C6}"/>
    <cellStyle name="Ergebnis 4 4 13" xfId="8529" xr:uid="{D462F075-3C3C-45FB-89A2-FE00C76BBA5A}"/>
    <cellStyle name="Ergebnis 4 4 14" xfId="8530" xr:uid="{33E5AE70-86AC-4CD8-8A61-3BC085A3330C}"/>
    <cellStyle name="Ergebnis 4 4 15" xfId="8531" xr:uid="{EFC84547-90EF-47B8-AA34-719E3C87B905}"/>
    <cellStyle name="Ergebnis 4 4 16" xfId="8532" xr:uid="{8B830E0E-CD24-4547-A830-298D7F688D57}"/>
    <cellStyle name="Ergebnis 4 4 17" xfId="8533" xr:uid="{A9CE811A-4756-4584-871A-5C173EF9CFA1}"/>
    <cellStyle name="Ergebnis 4 4 18" xfId="8534" xr:uid="{C73F9065-7AB4-4624-8EBC-CEF68D9E9D73}"/>
    <cellStyle name="Ergebnis 4 4 19" xfId="8535" xr:uid="{F37C0CCB-F9C1-48DF-9596-479BDD96DECD}"/>
    <cellStyle name="Ergebnis 4 4 2" xfId="8536" xr:uid="{730780FE-35DF-4D02-9ECC-89625C0E2079}"/>
    <cellStyle name="Ergebnis 4 4 2 10" xfId="8537" xr:uid="{A57344DC-45B3-496D-9D13-9334CEC2E036}"/>
    <cellStyle name="Ergebnis 4 4 2 11" xfId="8538" xr:uid="{BBDB9E66-6401-488B-B756-C8B2BD225927}"/>
    <cellStyle name="Ergebnis 4 4 2 12" xfId="8539" xr:uid="{38AA90AB-E0E4-4A6A-9226-A4144511C629}"/>
    <cellStyle name="Ergebnis 4 4 2 13" xfId="8540" xr:uid="{AC2EA54E-9395-4FB6-AB6E-46EADA9DA41E}"/>
    <cellStyle name="Ergebnis 4 4 2 14" xfId="8541" xr:uid="{9738EB13-4163-4315-9808-53C020ECE43E}"/>
    <cellStyle name="Ergebnis 4 4 2 15" xfId="8542" xr:uid="{4863A880-4DA1-4569-8735-6173128159D9}"/>
    <cellStyle name="Ergebnis 4 4 2 16" xfId="8543" xr:uid="{6B710536-0B61-420E-9882-8137580D2BEB}"/>
    <cellStyle name="Ergebnis 4 4 2 17" xfId="8544" xr:uid="{2C085110-2C78-49AD-BF77-E34770E0335E}"/>
    <cellStyle name="Ergebnis 4 4 2 18" xfId="8545" xr:uid="{3D794510-FEE5-4BF0-B063-CAC861A677C2}"/>
    <cellStyle name="Ergebnis 4 4 2 19" xfId="8546" xr:uid="{1D1756F6-C2D6-409E-A78E-E16516121DF6}"/>
    <cellStyle name="Ergebnis 4 4 2 2" xfId="8547" xr:uid="{3365F6B4-51CA-45FC-B3B1-38A865E215D7}"/>
    <cellStyle name="Ergebnis 4 4 2 3" xfId="8548" xr:uid="{911C40B0-48FD-49B3-AF0E-16FCCDB2D449}"/>
    <cellStyle name="Ergebnis 4 4 2 4" xfId="8549" xr:uid="{0384E396-A186-40B0-8C3B-0AB6C757CFA0}"/>
    <cellStyle name="Ergebnis 4 4 2 5" xfId="8550" xr:uid="{142EBC08-A4E8-4568-82F8-8E7963F75EB9}"/>
    <cellStyle name="Ergebnis 4 4 2 6" xfId="8551" xr:uid="{F372240C-4775-479E-B208-0C199C5BAB8D}"/>
    <cellStyle name="Ergebnis 4 4 2 7" xfId="8552" xr:uid="{C5860650-3874-4B57-8876-F6DFE4B1E453}"/>
    <cellStyle name="Ergebnis 4 4 2 8" xfId="8553" xr:uid="{FD320EFB-67E2-40AD-A3AB-5C3A8CD05A11}"/>
    <cellStyle name="Ergebnis 4 4 2 9" xfId="8554" xr:uid="{611546FB-93E3-4330-BE7D-AC60236229B6}"/>
    <cellStyle name="Ergebnis 4 4 2_2013" xfId="8555" xr:uid="{3FE17B06-570B-4220-9FA0-BAB535CF7E72}"/>
    <cellStyle name="Ergebnis 4 4 20" xfId="8556" xr:uid="{4E53EF09-3A85-4318-B48B-77E0E2C22802}"/>
    <cellStyle name="Ergebnis 4 4 3" xfId="8557" xr:uid="{DD38BCAE-388A-47F4-9069-B04A29F61F29}"/>
    <cellStyle name="Ergebnis 4 4 4" xfId="8558" xr:uid="{E6EC741F-35AB-4588-A32E-5CB006543940}"/>
    <cellStyle name="Ergebnis 4 4 5" xfId="8559" xr:uid="{F7665D95-787D-41BB-B0D0-D0C2CE34E931}"/>
    <cellStyle name="Ergebnis 4 4 6" xfId="8560" xr:uid="{ECD72755-44C3-4BFF-8C3A-17762C2EED4A}"/>
    <cellStyle name="Ergebnis 4 4 7" xfId="8561" xr:uid="{A2DC98EE-28DC-427A-AB61-20D7293A1D4F}"/>
    <cellStyle name="Ergebnis 4 4 8" xfId="8562" xr:uid="{C3473634-D87D-482D-85A9-1C8017959742}"/>
    <cellStyle name="Ergebnis 4 4 9" xfId="8563" xr:uid="{AE1035EC-2531-4758-BE09-E8ED94CECE28}"/>
    <cellStyle name="Ergebnis 4 4_2013" xfId="8564" xr:uid="{3E373001-EAE7-4852-AABC-53C8324B4B22}"/>
    <cellStyle name="Ergebnis 4 5" xfId="8565" xr:uid="{4A4E8B7A-094D-455C-B5DE-6D546A1B205D}"/>
    <cellStyle name="Ergebnis 4 5 10" xfId="8566" xr:uid="{33EF77C6-6136-4DDE-811D-155349C3DABD}"/>
    <cellStyle name="Ergebnis 4 5 11" xfId="8567" xr:uid="{BD15EB88-00E0-4B0D-B9E9-9CAE86534CC5}"/>
    <cellStyle name="Ergebnis 4 5 12" xfId="8568" xr:uid="{B5A8EEC5-5105-4793-9C47-57634950ACEF}"/>
    <cellStyle name="Ergebnis 4 5 13" xfId="8569" xr:uid="{1C6AA19B-746A-4965-A57B-00159475C265}"/>
    <cellStyle name="Ergebnis 4 5 14" xfId="8570" xr:uid="{CD59089A-48D6-408C-BDF2-4C95FE6FD81B}"/>
    <cellStyle name="Ergebnis 4 5 15" xfId="8571" xr:uid="{9A917A55-AE2E-4184-80EC-8687042F83CC}"/>
    <cellStyle name="Ergebnis 4 5 16" xfId="8572" xr:uid="{FB008A56-EE46-4806-8877-6379EEBB9516}"/>
    <cellStyle name="Ergebnis 4 5 17" xfId="8573" xr:uid="{E85C78FC-5830-4968-BCBA-735B7175189C}"/>
    <cellStyle name="Ergebnis 4 5 18" xfId="8574" xr:uid="{0A45E26F-DC4C-4598-86E4-C0096A561715}"/>
    <cellStyle name="Ergebnis 4 5 19" xfId="8575" xr:uid="{A4CE4406-A2C0-45DA-BADC-21EAEB7A07A0}"/>
    <cellStyle name="Ergebnis 4 5 2" xfId="8576" xr:uid="{14F4B6F7-E8B3-4AF3-880E-B1508F3F020C}"/>
    <cellStyle name="Ergebnis 4 5 3" xfId="8577" xr:uid="{04AB9C62-1A85-4A39-9304-F4CBBBEAB897}"/>
    <cellStyle name="Ergebnis 4 5 4" xfId="8578" xr:uid="{A130F9DC-BCFE-4BC8-8784-83BDA88BD2FD}"/>
    <cellStyle name="Ergebnis 4 5 5" xfId="8579" xr:uid="{CA85086F-B485-4B16-9C27-9D52AE51D7D3}"/>
    <cellStyle name="Ergebnis 4 5 6" xfId="8580" xr:uid="{832DEA36-B098-4E81-8F3C-91A387B2F395}"/>
    <cellStyle name="Ergebnis 4 5 7" xfId="8581" xr:uid="{7D18007B-0FAF-4329-89F1-1CEF25CAF03F}"/>
    <cellStyle name="Ergebnis 4 5 8" xfId="8582" xr:uid="{9642FD40-72D0-4CCD-BBD6-E21FABAFC1B0}"/>
    <cellStyle name="Ergebnis 4 5 9" xfId="8583" xr:uid="{532210CD-5217-4D5D-9164-CE9AFF157C3E}"/>
    <cellStyle name="Ergebnis 4 5_2013" xfId="8584" xr:uid="{D9ECC8D1-21FC-4A69-A5C5-CAA3E3C67ECE}"/>
    <cellStyle name="Ergebnis 4 6" xfId="8585" xr:uid="{AC80D5A5-5621-4C4A-B466-75A3509E966B}"/>
    <cellStyle name="Ergebnis 4 7" xfId="8586" xr:uid="{22B02913-1B55-4DE6-B811-73AD64B1D96B}"/>
    <cellStyle name="Ergebnis 4 8" xfId="8587" xr:uid="{9F2CE9D9-4122-45EA-AFAB-7C0929248449}"/>
    <cellStyle name="Ergebnis 4 9" xfId="8588" xr:uid="{C025A369-9181-4CF5-AB0F-7CB6F6474A9A}"/>
    <cellStyle name="Ergebnis 4_2013" xfId="8589" xr:uid="{4DDDCC9E-F8B5-4C07-B01A-834CCC8E5F17}"/>
    <cellStyle name="Ergebnis 5" xfId="8590" xr:uid="{47A8AA8E-3F04-4DF6-8B43-C152F61BCD7D}"/>
    <cellStyle name="Ergebnis 5 10" xfId="8591" xr:uid="{5017601C-D371-4BF8-9D55-BC26A2CA381E}"/>
    <cellStyle name="Ergebnis 5 11" xfId="8592" xr:uid="{80B9BA28-276D-461B-A2A6-488EC792F791}"/>
    <cellStyle name="Ergebnis 5 12" xfId="8593" xr:uid="{3AC36AF1-4B16-4F0F-B07B-D247E01F9417}"/>
    <cellStyle name="Ergebnis 5 13" xfId="8594" xr:uid="{5735152F-597F-4444-9077-0C7FD84F655F}"/>
    <cellStyle name="Ergebnis 5 14" xfId="8595" xr:uid="{C31FC602-57BC-4EAE-9231-019FBFF0ACA1}"/>
    <cellStyle name="Ergebnis 5 15" xfId="8596" xr:uid="{599ED68A-612A-4004-B700-7EB6713C4075}"/>
    <cellStyle name="Ergebnis 5 16" xfId="8597" xr:uid="{E908BE2A-C31D-44F2-BB59-1CE4E1119E95}"/>
    <cellStyle name="Ergebnis 5 17" xfId="8598" xr:uid="{D0DE99E0-2E13-4201-88C4-1CDE578A9AC3}"/>
    <cellStyle name="Ergebnis 5 18" xfId="8599" xr:uid="{EFB6F34B-F26F-4AC9-A1A9-E19911A316F9}"/>
    <cellStyle name="Ergebnis 5 19" xfId="8600" xr:uid="{76816EE5-772A-4D05-87DA-FF2A7CDCA479}"/>
    <cellStyle name="Ergebnis 5 2" xfId="8601" xr:uid="{2D70E702-3C5D-4F3C-8054-25D14A8DADC4}"/>
    <cellStyle name="Ergebnis 5 2 10" xfId="8602" xr:uid="{44F0067D-E41A-4F8C-A65F-5522DD548FA8}"/>
    <cellStyle name="Ergebnis 5 2 11" xfId="8603" xr:uid="{F3474F80-AFF3-4F49-A73B-8D7941315ED1}"/>
    <cellStyle name="Ergebnis 5 2 12" xfId="8604" xr:uid="{B4A97567-CD56-49C6-B8C3-5DB7E1CE3FCB}"/>
    <cellStyle name="Ergebnis 5 2 13" xfId="8605" xr:uid="{9FCFC27D-ED5E-4B9D-9689-33004536AED6}"/>
    <cellStyle name="Ergebnis 5 2 14" xfId="8606" xr:uid="{056FCA37-9376-48BE-B50F-C63AA0234E19}"/>
    <cellStyle name="Ergebnis 5 2 15" xfId="8607" xr:uid="{F0748BE3-FA70-40FA-9290-ADFB37542A87}"/>
    <cellStyle name="Ergebnis 5 2 16" xfId="8608" xr:uid="{C189DC0E-DA86-47C7-935B-30DAF8E86B77}"/>
    <cellStyle name="Ergebnis 5 2 17" xfId="8609" xr:uid="{D3C0BD3D-179F-4236-AAF1-D45057BF44E3}"/>
    <cellStyle name="Ergebnis 5 2 18" xfId="8610" xr:uid="{CC122E15-45D7-44CA-A602-CB22D993F9D1}"/>
    <cellStyle name="Ergebnis 5 2 19" xfId="8611" xr:uid="{3076B10D-60D1-4A68-B3D1-144D8966E1C1}"/>
    <cellStyle name="Ergebnis 5 2 2" xfId="8612" xr:uid="{1A100C95-025B-40A4-B3DC-C878FD729137}"/>
    <cellStyle name="Ergebnis 5 2 3" xfId="8613" xr:uid="{80794FEF-D85B-48ED-9A56-C137DE507AA0}"/>
    <cellStyle name="Ergebnis 5 2 4" xfId="8614" xr:uid="{0CE5DE07-CC8C-454D-A2D8-1CFD3257663D}"/>
    <cellStyle name="Ergebnis 5 2 5" xfId="8615" xr:uid="{762DCB2B-5D0D-4EAA-B358-FBB6EE01948C}"/>
    <cellStyle name="Ergebnis 5 2 6" xfId="8616" xr:uid="{B33EBD1A-86BE-41F2-92DE-FA2A1B90B07E}"/>
    <cellStyle name="Ergebnis 5 2 7" xfId="8617" xr:uid="{061C2933-529B-4F94-8532-3ABEC63938BF}"/>
    <cellStyle name="Ergebnis 5 2 8" xfId="8618" xr:uid="{4AB4D01A-CB73-4C38-AB36-9DBC054BFCDA}"/>
    <cellStyle name="Ergebnis 5 2 9" xfId="8619" xr:uid="{03105682-9DF6-4583-9959-21282EE239B2}"/>
    <cellStyle name="Ergebnis 5 2_2013" xfId="8620" xr:uid="{E8C1640A-978D-4F84-9CBF-23969B315FFE}"/>
    <cellStyle name="Ergebnis 5 20" xfId="8621" xr:uid="{64A7AF04-B524-490F-B7B5-9088A8750E7D}"/>
    <cellStyle name="Ergebnis 5 3" xfId="8622" xr:uid="{F8D21C09-AFFE-47CF-B16E-8272E3E462FD}"/>
    <cellStyle name="Ergebnis 5 4" xfId="8623" xr:uid="{2C8C21B1-A04D-495B-8BDD-F1180F9CD137}"/>
    <cellStyle name="Ergebnis 5 5" xfId="8624" xr:uid="{3AB97015-BC87-4BAC-975A-B90AF5D55001}"/>
    <cellStyle name="Ergebnis 5 6" xfId="8625" xr:uid="{611FFBD3-D7E9-4771-A411-D9357F6B79F2}"/>
    <cellStyle name="Ergebnis 5 7" xfId="8626" xr:uid="{BB00CCAF-216B-4270-AD44-F4C13A4A235C}"/>
    <cellStyle name="Ergebnis 5 8" xfId="8627" xr:uid="{BAFC7927-A968-4AEB-BE54-B69CB3083AC0}"/>
    <cellStyle name="Ergebnis 5 9" xfId="8628" xr:uid="{E63F97A4-8CF3-41D2-951B-89B516E9042F}"/>
    <cellStyle name="Ergebnis 5_2013" xfId="8629" xr:uid="{0FA63348-3188-4A90-9F12-4CD21EB915C2}"/>
    <cellStyle name="Ergebnis 6" xfId="8630" xr:uid="{7964A09D-C5F6-441F-B7A8-2309B6E0049D}"/>
    <cellStyle name="Ergebnis 6 10" xfId="8631" xr:uid="{1926A143-B713-4D4E-9F24-B3E2D81E53F0}"/>
    <cellStyle name="Ergebnis 6 11" xfId="8632" xr:uid="{20C24570-69F2-4C6A-87A1-A6C0FC8C8CA2}"/>
    <cellStyle name="Ergebnis 6 12" xfId="8633" xr:uid="{9A2EE5B8-0333-4576-AEB7-1A408F7C02C3}"/>
    <cellStyle name="Ergebnis 6 13" xfId="8634" xr:uid="{9B958790-A825-4DE4-AFBC-6D1BEB76D906}"/>
    <cellStyle name="Ergebnis 6 14" xfId="8635" xr:uid="{33491D10-D901-4F81-87AC-9AA96CEFB3B9}"/>
    <cellStyle name="Ergebnis 6 15" xfId="8636" xr:uid="{0C7F4EE1-702B-4EC7-9350-84F41D206349}"/>
    <cellStyle name="Ergebnis 6 16" xfId="8637" xr:uid="{B53B5359-F003-405C-99D6-CCFE55B04FE1}"/>
    <cellStyle name="Ergebnis 6 17" xfId="8638" xr:uid="{064A6D94-403A-42F3-8935-FE7CAB062E4B}"/>
    <cellStyle name="Ergebnis 6 18" xfId="8639" xr:uid="{0F29BBAD-65D4-42B1-8D2D-4DB8E05F1C00}"/>
    <cellStyle name="Ergebnis 6 19" xfId="8640" xr:uid="{BE7F6CF2-1DA1-47E6-9836-4CAEA2B8127D}"/>
    <cellStyle name="Ergebnis 6 2" xfId="8641" xr:uid="{D39C1750-DE42-47EF-B4AB-07B91B1FC3EC}"/>
    <cellStyle name="Ergebnis 6 2 10" xfId="8642" xr:uid="{42A39115-AAAB-44D9-BDB7-CFFEEB44EC0D}"/>
    <cellStyle name="Ergebnis 6 2 11" xfId="8643" xr:uid="{00281AB6-9ECE-44A5-9357-5507C23E82DF}"/>
    <cellStyle name="Ergebnis 6 2 12" xfId="8644" xr:uid="{2FBA5980-4EAC-4D23-A8CB-DCA0F9BDDDC1}"/>
    <cellStyle name="Ergebnis 6 2 13" xfId="8645" xr:uid="{C34B3ABD-1519-494D-B28E-494834E68747}"/>
    <cellStyle name="Ergebnis 6 2 14" xfId="8646" xr:uid="{1000C4E0-C495-408A-B4C7-64B1DD41AD08}"/>
    <cellStyle name="Ergebnis 6 2 15" xfId="8647" xr:uid="{E19A2C90-EB32-4595-9302-28F477894976}"/>
    <cellStyle name="Ergebnis 6 2 16" xfId="8648" xr:uid="{057AE441-4D43-4B91-AA5A-AD00DF876ADC}"/>
    <cellStyle name="Ergebnis 6 2 17" xfId="8649" xr:uid="{643BD288-E566-4178-9A75-571825C5BFFB}"/>
    <cellStyle name="Ergebnis 6 2 18" xfId="8650" xr:uid="{FDF26957-F6AF-4A38-A299-57FD85CDC9E2}"/>
    <cellStyle name="Ergebnis 6 2 19" xfId="8651" xr:uid="{6BD5634C-9315-4686-BE6C-BE9C8BC4361B}"/>
    <cellStyle name="Ergebnis 6 2 2" xfId="8652" xr:uid="{CBB0E148-E061-4D79-A13B-A7D1C8328D69}"/>
    <cellStyle name="Ergebnis 6 2 3" xfId="8653" xr:uid="{0F124D81-4CA9-40BC-BE00-B3BF155E4D22}"/>
    <cellStyle name="Ergebnis 6 2 4" xfId="8654" xr:uid="{380E47FF-9655-4283-9E3F-0CD937FD4273}"/>
    <cellStyle name="Ergebnis 6 2 5" xfId="8655" xr:uid="{96E3BDB5-257F-4214-B43B-4E30E7A41ED0}"/>
    <cellStyle name="Ergebnis 6 2 6" xfId="8656" xr:uid="{215C52ED-5FB5-4682-A178-D7491F0F3898}"/>
    <cellStyle name="Ergebnis 6 2 7" xfId="8657" xr:uid="{53CAF9F8-C635-4E46-9D69-2D74DAFEC77C}"/>
    <cellStyle name="Ergebnis 6 2 8" xfId="8658" xr:uid="{C66E58A9-6B24-4CB0-9860-1805B0E467F1}"/>
    <cellStyle name="Ergebnis 6 2 9" xfId="8659" xr:uid="{F4113919-14D3-4B5B-9D37-4BEB17B0DF16}"/>
    <cellStyle name="Ergebnis 6 2_2013" xfId="8660" xr:uid="{CFD340DE-C5AB-4F1D-AD30-5195BEA25FD9}"/>
    <cellStyle name="Ergebnis 6 20" xfId="8661" xr:uid="{92D6B56B-97C2-4BC8-B2BB-F1FB4B28A14C}"/>
    <cellStyle name="Ergebnis 6 3" xfId="8662" xr:uid="{9F9D6039-C651-4601-A4C1-C664CEC01F1C}"/>
    <cellStyle name="Ergebnis 6 4" xfId="8663" xr:uid="{2BB9C03A-F893-4BCD-827B-EF02E9184E85}"/>
    <cellStyle name="Ergebnis 6 5" xfId="8664" xr:uid="{7A82AD04-B06C-4222-9BD0-5AFD6CB196D6}"/>
    <cellStyle name="Ergebnis 6 6" xfId="8665" xr:uid="{A30B995D-43D5-4631-96FD-B015D1C04CC2}"/>
    <cellStyle name="Ergebnis 6 7" xfId="8666" xr:uid="{AA936757-3939-424D-A0A7-5DD0A7B5E4A7}"/>
    <cellStyle name="Ergebnis 6 8" xfId="8667" xr:uid="{7F3E3127-DDD7-4AD4-90CA-514707EA044C}"/>
    <cellStyle name="Ergebnis 6 9" xfId="8668" xr:uid="{63A1A55C-EA89-4626-B1FF-9E5C82392ED6}"/>
    <cellStyle name="Ergebnis 6_2013" xfId="8669" xr:uid="{20BC4C16-B4A5-4EE7-992B-D9A7121D98F5}"/>
    <cellStyle name="Ergebnis 7" xfId="8670" xr:uid="{07AFF827-64F8-42D0-9B6F-203B82DDC4F9}"/>
    <cellStyle name="Ergebnis 7 10" xfId="8671" xr:uid="{E8D029B2-FC66-4D63-AF33-F814E75FD9C0}"/>
    <cellStyle name="Ergebnis 7 11" xfId="8672" xr:uid="{E24BE614-3589-49C9-843A-5343406F5F4F}"/>
    <cellStyle name="Ergebnis 7 12" xfId="8673" xr:uid="{584E4FD9-D6B4-4389-A915-87658A46D6A9}"/>
    <cellStyle name="Ergebnis 7 13" xfId="8674" xr:uid="{91E9BAA9-5576-4C54-A75F-DD41F04CC299}"/>
    <cellStyle name="Ergebnis 7 14" xfId="8675" xr:uid="{3C500435-A627-4A83-81ED-B7C2FA2807FA}"/>
    <cellStyle name="Ergebnis 7 15" xfId="8676" xr:uid="{D352C17B-50BE-4A76-B0FA-C1FA86A56028}"/>
    <cellStyle name="Ergebnis 7 16" xfId="8677" xr:uid="{5F6A6D79-846C-42D5-A981-116D151609AA}"/>
    <cellStyle name="Ergebnis 7 17" xfId="8678" xr:uid="{C276C35C-7025-4B93-90AA-ED566ACFB79F}"/>
    <cellStyle name="Ergebnis 7 18" xfId="8679" xr:uid="{B7C961DB-DA38-4F28-B1CB-AFDF90E8C9A2}"/>
    <cellStyle name="Ergebnis 7 19" xfId="8680" xr:uid="{BF133AB5-0F0C-4790-9C4C-D46247C215E8}"/>
    <cellStyle name="Ergebnis 7 2" xfId="8681" xr:uid="{E1345E84-C419-4352-9BD0-6BF7F97C665A}"/>
    <cellStyle name="Ergebnis 7 2 10" xfId="8682" xr:uid="{1E0C56FF-0292-40A7-B023-3E635BDDCCC4}"/>
    <cellStyle name="Ergebnis 7 2 11" xfId="8683" xr:uid="{E9DB2F5A-8D8D-489B-BA6B-36D29E344CF2}"/>
    <cellStyle name="Ergebnis 7 2 12" xfId="8684" xr:uid="{2EB38F1B-6905-47CB-9B58-59C67F19CA11}"/>
    <cellStyle name="Ergebnis 7 2 13" xfId="8685" xr:uid="{D0BE4261-D7EC-490C-A85E-01CCE1466690}"/>
    <cellStyle name="Ergebnis 7 2 14" xfId="8686" xr:uid="{1428D88F-B175-4DED-AB7E-5CF8C177B0B9}"/>
    <cellStyle name="Ergebnis 7 2 15" xfId="8687" xr:uid="{05F8E737-6F78-4E3A-B551-92EA41271877}"/>
    <cellStyle name="Ergebnis 7 2 16" xfId="8688" xr:uid="{8FBDDF43-3AFD-4722-A6AB-0C21DC4FFD26}"/>
    <cellStyle name="Ergebnis 7 2 17" xfId="8689" xr:uid="{2F844B9A-1749-4926-9223-3253F5E6BFAA}"/>
    <cellStyle name="Ergebnis 7 2 18" xfId="8690" xr:uid="{5DC6E31D-54E7-4F00-87EA-BD8398302E68}"/>
    <cellStyle name="Ergebnis 7 2 19" xfId="8691" xr:uid="{3FC9DF2E-8FB9-494A-8265-616E67490614}"/>
    <cellStyle name="Ergebnis 7 2 2" xfId="8692" xr:uid="{25132006-22E8-44AA-A0C5-97A5E47ADCFD}"/>
    <cellStyle name="Ergebnis 7 2 3" xfId="8693" xr:uid="{1711FC36-DBD3-4A41-A9D5-1E11420F2225}"/>
    <cellStyle name="Ergebnis 7 2 4" xfId="8694" xr:uid="{4C1C4B30-9B16-48BD-91DB-E8A1A74BF287}"/>
    <cellStyle name="Ergebnis 7 2 5" xfId="8695" xr:uid="{23DF2661-EB8F-4C3B-B37D-E8403DCBBF09}"/>
    <cellStyle name="Ergebnis 7 2 6" xfId="8696" xr:uid="{6C635B6D-AEF8-4E2D-A107-922B0DBB929D}"/>
    <cellStyle name="Ergebnis 7 2 7" xfId="8697" xr:uid="{F9DA1B23-C152-4B14-A340-47BD5200D7DE}"/>
    <cellStyle name="Ergebnis 7 2 8" xfId="8698" xr:uid="{8696F1C2-2FA8-4861-ACF7-83A17F7DEAF6}"/>
    <cellStyle name="Ergebnis 7 2 9" xfId="8699" xr:uid="{57A8709F-7385-4FBB-B6F0-43FDB45671A9}"/>
    <cellStyle name="Ergebnis 7 2_2013" xfId="8700" xr:uid="{F9FBC132-531F-4EA4-B286-5473379AA24B}"/>
    <cellStyle name="Ergebnis 7 20" xfId="8701" xr:uid="{8CF51EB3-DC70-41C2-A556-D847B50A2E9B}"/>
    <cellStyle name="Ergebnis 7 3" xfId="8702" xr:uid="{148AFDBF-D987-4CB5-82E1-97C272EFE42F}"/>
    <cellStyle name="Ergebnis 7 4" xfId="8703" xr:uid="{FD93A101-BDF9-4C17-81F8-34BFA6921608}"/>
    <cellStyle name="Ergebnis 7 5" xfId="8704" xr:uid="{495239D6-8DF3-49A2-9566-FCF23CD331D2}"/>
    <cellStyle name="Ergebnis 7 6" xfId="8705" xr:uid="{3DD8EA46-7C9D-4061-8B24-180F544AA758}"/>
    <cellStyle name="Ergebnis 7 7" xfId="8706" xr:uid="{82257193-AFA8-43E6-831D-928EDD8FFE35}"/>
    <cellStyle name="Ergebnis 7 8" xfId="8707" xr:uid="{3E6393BC-4092-40DF-8464-D99E0CA8486D}"/>
    <cellStyle name="Ergebnis 7 9" xfId="8708" xr:uid="{9551585B-7939-4241-A2A8-6046100ED688}"/>
    <cellStyle name="Ergebnis 7_2013" xfId="8709" xr:uid="{A6A63355-0BE6-4F7B-8C32-09850D3906B3}"/>
    <cellStyle name="Ergebnis 8" xfId="8710" xr:uid="{B6D28BE9-E531-49C6-B587-BB7F7EB63152}"/>
    <cellStyle name="Ergebnis 8 10" xfId="8711" xr:uid="{77A31831-C8E3-498B-ACCC-72A0E63C00AA}"/>
    <cellStyle name="Ergebnis 8 11" xfId="8712" xr:uid="{45EB345E-F1F4-40D8-B9C7-36CD89DCC77E}"/>
    <cellStyle name="Ergebnis 8 12" xfId="8713" xr:uid="{EF12E414-A4D7-4179-AD4F-79B3A8020754}"/>
    <cellStyle name="Ergebnis 8 13" xfId="8714" xr:uid="{DB03D99D-E984-4674-A541-4F7C150DADC4}"/>
    <cellStyle name="Ergebnis 8 14" xfId="8715" xr:uid="{DFF55AAF-ADE2-45BC-9A55-D761EFE71E1E}"/>
    <cellStyle name="Ergebnis 8 15" xfId="8716" xr:uid="{12D16397-EDFB-4B18-8F0F-1983294D2857}"/>
    <cellStyle name="Ergebnis 8 16" xfId="8717" xr:uid="{5CED6E73-95FE-4D37-BC35-8DF588D902B1}"/>
    <cellStyle name="Ergebnis 8 17" xfId="8718" xr:uid="{088747C5-083F-4BCB-BF49-197963FB455D}"/>
    <cellStyle name="Ergebnis 8 18" xfId="8719" xr:uid="{192968E3-A641-403A-9506-132B5218F35D}"/>
    <cellStyle name="Ergebnis 8 19" xfId="8720" xr:uid="{02DD7AB3-3EB7-422A-B830-C0683FD136C1}"/>
    <cellStyle name="Ergebnis 8 2" xfId="8721" xr:uid="{0019C61D-7581-4339-98F8-9844E7CDE0F4}"/>
    <cellStyle name="Ergebnis 8 3" xfId="8722" xr:uid="{972FB333-527C-4DC1-A738-72BC99C65BF0}"/>
    <cellStyle name="Ergebnis 8 4" xfId="8723" xr:uid="{FF490F1E-EBE1-45E5-9C86-A9D95E877AFD}"/>
    <cellStyle name="Ergebnis 8 5" xfId="8724" xr:uid="{CF9DB2BC-AA4B-4058-8AA8-B6B9B31E42B3}"/>
    <cellStyle name="Ergebnis 8 6" xfId="8725" xr:uid="{E0DAD36A-ADA5-4F28-9329-1E462DA661F5}"/>
    <cellStyle name="Ergebnis 8 7" xfId="8726" xr:uid="{68FF3B67-CEF6-4C29-AD73-B6D4072C0267}"/>
    <cellStyle name="Ergebnis 8 8" xfId="8727" xr:uid="{9ACDE997-4687-4F65-8D4E-D09D0AB460AC}"/>
    <cellStyle name="Ergebnis 8 9" xfId="8728" xr:uid="{9B8E82A1-87A0-4C1D-BC00-3E04E812F151}"/>
    <cellStyle name="Ergebnis 8_2013" xfId="8729" xr:uid="{82CEEB8A-34FF-4961-AECE-1F695E972E73}"/>
    <cellStyle name="Ergebnis 9" xfId="8730" xr:uid="{075560E0-B4EE-479D-A9FC-30CDCDA9EB4D}"/>
    <cellStyle name="Ergebnis_2013" xfId="8731" xr:uid="{7AD276E4-3F91-4D87-9FB7-DB521BAE867F}"/>
    <cellStyle name="Erklärender Text" xfId="8732" xr:uid="{4F9E5126-FDC8-4741-8A74-B9598091CCE2}"/>
    <cellStyle name="Erklärender Text 2" xfId="8733" xr:uid="{77EA63C5-D6CE-4C10-B029-5F59D8EC41E3}"/>
    <cellStyle name="Erklärender Text_2013" xfId="8734" xr:uid="{88439E9F-31BE-4B11-9606-80C5D62DBFAE}"/>
    <cellStyle name="Euro" xfId="8735" xr:uid="{08A4D843-E38A-4C92-ABC8-731A01D74434}"/>
    <cellStyle name="Euro 10" xfId="8736" xr:uid="{A2AD459B-B34C-449A-B570-D012D99A221C}"/>
    <cellStyle name="Euro 11" xfId="8737" xr:uid="{5FA5B1C3-9343-4874-BB75-B206EE90F182}"/>
    <cellStyle name="Euro 12" xfId="8738" xr:uid="{90CF74B1-F26D-44E3-BF05-40443B18D3DC}"/>
    <cellStyle name="Euro 2" xfId="8739" xr:uid="{7F695DE9-EE5A-48C7-9E62-B0188A5CD6E2}"/>
    <cellStyle name="Euro 2 2" xfId="8740" xr:uid="{63C5A3A6-389A-4A01-8520-78789EC6B76C}"/>
    <cellStyle name="Euro 2 2 2" xfId="8741" xr:uid="{164FE7F7-B56A-4EF0-B266-1E4EF9C806F1}"/>
    <cellStyle name="Euro 2 2_2013" xfId="8742" xr:uid="{44DA53C4-7BCC-4CBE-BCDD-D67A6EE8464A}"/>
    <cellStyle name="Euro 2 3" xfId="8743" xr:uid="{B632308F-7E20-4D0C-B92F-DFE3D06B664D}"/>
    <cellStyle name="Euro 2 4" xfId="8744" xr:uid="{C0B60335-E1F7-447D-9063-D8028A8D4AD6}"/>
    <cellStyle name="Euro 2_2013" xfId="8745" xr:uid="{C99B5DC0-3B75-4A09-8E13-8FF3AF5A2F5B}"/>
    <cellStyle name="Euro 3" xfId="8746" xr:uid="{57711E37-BBF5-41AD-9FF6-F40A9B1F1A96}"/>
    <cellStyle name="Euro 3 2" xfId="8747" xr:uid="{A6A055F5-2C78-454D-894D-5F61508580F3}"/>
    <cellStyle name="Euro 3 2 2" xfId="8748" xr:uid="{D2F19E6F-4DD9-4334-B762-E255C6B7AD4F}"/>
    <cellStyle name="Euro 3 2_2013" xfId="8749" xr:uid="{8191A34F-EB1F-4C0D-BFCF-F5A2153D9A59}"/>
    <cellStyle name="Euro 3 3" xfId="8750" xr:uid="{5FDDBC68-2BEA-4DDE-B44C-4AEAA8D16470}"/>
    <cellStyle name="Euro 3 4" xfId="8751" xr:uid="{55DE2B51-83E7-40BB-AE02-D6A014E87DB5}"/>
    <cellStyle name="Euro 3 5" xfId="8752" xr:uid="{1A6006F6-9122-468F-8036-D379D7EC7A0A}"/>
    <cellStyle name="Euro 3 6" xfId="8753" xr:uid="{507FCF47-031C-4773-B611-EFBB493D37DA}"/>
    <cellStyle name="Euro 3_2013" xfId="8754" xr:uid="{0193F07A-C9D6-40FA-BA4B-0FA14E5C2646}"/>
    <cellStyle name="Euro 4" xfId="8755" xr:uid="{18318622-6B1F-4769-8C27-17E4E2A017ED}"/>
    <cellStyle name="Euro 4 2" xfId="8756" xr:uid="{B7E1AA6D-6342-4915-9C60-22542965F12A}"/>
    <cellStyle name="Euro 4 2 2" xfId="8757" xr:uid="{7DBEBB0E-8E9B-44D7-9EE6-EC91DED90E5D}"/>
    <cellStyle name="Euro 4 2_2013" xfId="8758" xr:uid="{CC85BDB5-3400-4AFC-B007-CED03CD1570A}"/>
    <cellStyle name="Euro 4 3" xfId="8759" xr:uid="{BAC5AF38-C9F7-4CCE-8FF8-7C0DF89B288C}"/>
    <cellStyle name="Euro 4 4" xfId="8760" xr:uid="{405B228E-B5B4-4F09-807C-464C50EDD982}"/>
    <cellStyle name="Euro 4_2013" xfId="8761" xr:uid="{F175F280-F792-4111-BEFE-A0D00E2F7279}"/>
    <cellStyle name="Euro 5" xfId="8762" xr:uid="{ABA8FB65-9FE6-47EF-A1CE-CC683A4338B6}"/>
    <cellStyle name="Euro 5 2" xfId="8763" xr:uid="{D5DCF0A5-B4CA-4B4A-B18B-4EE03C96C612}"/>
    <cellStyle name="Euro 5 3" xfId="8764" xr:uid="{135F5725-6802-4C32-B0A4-81776906AE38}"/>
    <cellStyle name="Euro 5_2013" xfId="8765" xr:uid="{3372A3A1-226B-44C9-839D-084BD4BE2714}"/>
    <cellStyle name="Euro 6" xfId="8766" xr:uid="{4463EC8D-1ACB-437E-AD53-DD5BA803974C}"/>
    <cellStyle name="Euro 6 2" xfId="8767" xr:uid="{EEC3720A-F70D-4275-B4D8-A400DCB6D134}"/>
    <cellStyle name="Euro 6 2 2" xfId="8768" xr:uid="{4CC93581-371C-4659-BD2B-F08D4F3B14CE}"/>
    <cellStyle name="Euro 6 2_2013" xfId="8769" xr:uid="{B863BFE5-0714-46AB-816B-35748E280972}"/>
    <cellStyle name="Euro 6 3" xfId="8770" xr:uid="{E0CDA1F3-EA00-4F7D-8BFE-5CBDA41012E2}"/>
    <cellStyle name="Euro 6 4" xfId="8771" xr:uid="{87FF4AB3-B579-4718-AB69-8CDD15C52C73}"/>
    <cellStyle name="Euro 6_2013" xfId="8772" xr:uid="{A0CFC48A-C4AC-4628-8A5A-0C38EC97BECD}"/>
    <cellStyle name="Euro 7" xfId="8773" xr:uid="{C050D737-A70F-47D8-9938-6BF62780214F}"/>
    <cellStyle name="Euro 7 2" xfId="8774" xr:uid="{2D4DF35E-1B0C-4A9D-8FDD-FA464A87997A}"/>
    <cellStyle name="Euro 7 2 2" xfId="8775" xr:uid="{3642E44F-FE6E-4FE4-A626-3D431F447DC5}"/>
    <cellStyle name="Euro 7 2_2013" xfId="8776" xr:uid="{B0BB4AA8-F2EC-424D-B276-DDAE072108B4}"/>
    <cellStyle name="Euro 7 3" xfId="8777" xr:uid="{6EEB9A67-38F0-42A3-A08E-C168A42CA408}"/>
    <cellStyle name="Euro 7 4" xfId="8778" xr:uid="{6914EF07-44C2-43F5-B941-9C266473C04F}"/>
    <cellStyle name="Euro 7_2013" xfId="8779" xr:uid="{1727AB99-A2AC-4663-B5E4-54B8E28D6EA6}"/>
    <cellStyle name="Euro 8" xfId="8780" xr:uid="{EC02A889-8D67-4948-841B-05B2392D1870}"/>
    <cellStyle name="Euro 8 2" xfId="8781" xr:uid="{BFFB5C62-961D-4E11-B6F1-17979C0F2CD1}"/>
    <cellStyle name="Euro 8 3" xfId="8782" xr:uid="{A6F4195B-3038-4256-9ADB-0E7E474F4FE6}"/>
    <cellStyle name="Euro 8_2013" xfId="8783" xr:uid="{6D5F2673-B4B0-4A76-9C68-AE0C9E74EB96}"/>
    <cellStyle name="Euro 9" xfId="8784" xr:uid="{E1EFAAB2-084F-4E98-8CFD-C81053531D3E}"/>
    <cellStyle name="Euro_2012 Profit Protection - LE 010212" xfId="8785" xr:uid="{A0B097AF-FD75-48F4-8EE9-B6A07C34B967}"/>
    <cellStyle name="Explanatory Text 2" xfId="8786" xr:uid="{95E353A0-01B7-4D34-A9C2-A9702EB175C8}"/>
    <cellStyle name="Explanatory Text 2 2" xfId="8787" xr:uid="{42610EDA-55E1-4A5F-900F-61FD98B7E9AE}"/>
    <cellStyle name="Explanatory Text 2_2013" xfId="8788" xr:uid="{78E9F5B2-B2DA-4486-A0F8-E258B076CFC1}"/>
    <cellStyle name="Explanatory Text 3" xfId="8789" xr:uid="{FB244D61-D22A-46A2-ABE3-E8D2394FEF23}"/>
    <cellStyle name="EYNormal" xfId="8790" xr:uid="{EBB6768B-53DA-4A24-8CF2-B5A3B04E4CD0}"/>
    <cellStyle name="EYNormal 2" xfId="8791" xr:uid="{90B4BFA5-F122-45B6-8F86-3DBD45C68D20}"/>
    <cellStyle name="EYNormal 2 2" xfId="8792" xr:uid="{8394AFA1-8D0A-44F1-A0D4-FC16669AAEBB}"/>
    <cellStyle name="EYNormal 2 2 2" xfId="8793" xr:uid="{56157FA2-08E1-4229-A0A6-7790E2BD2701}"/>
    <cellStyle name="EYNormal 2 2_2013" xfId="8794" xr:uid="{F313E1F3-30CC-4289-849A-FFB742A004A1}"/>
    <cellStyle name="EYNormal 2 3" xfId="8795" xr:uid="{64143C2D-03D3-4994-B1E2-C5726221DD1A}"/>
    <cellStyle name="EYNormal 2_2013" xfId="8796" xr:uid="{944BB9F0-013B-4970-AEB1-3DF6032F0AC3}"/>
    <cellStyle name="EYNormal 3" xfId="8797" xr:uid="{B1648696-D596-4016-9014-C6CB57AFB8C6}"/>
    <cellStyle name="EYNormal 3 2" xfId="8798" xr:uid="{CC389503-16E3-4C9E-AAB4-89F5B1BA9A68}"/>
    <cellStyle name="EYNormal 3_2013" xfId="8799" xr:uid="{993BC829-7876-49E9-821C-821B74204DD1}"/>
    <cellStyle name="EYNormal 4" xfId="8800" xr:uid="{E1249A3A-5ABC-43EF-A2A5-C2733A459E8D}"/>
    <cellStyle name="EYNormal_2013" xfId="8801" xr:uid="{D6277CB1-4A6E-4943-92FA-549CD02AEF76}"/>
    <cellStyle name="Good 10" xfId="8802" xr:uid="{1B3DAF54-124E-406A-A0FA-B606EFF2755C}"/>
    <cellStyle name="Good 2" xfId="8803" xr:uid="{5EB7E5F8-3B6F-4A4B-A8B5-7F4594387DB5}"/>
    <cellStyle name="Good 2 2" xfId="8804" xr:uid="{BD1860F3-D5D9-4866-BC60-17A7DAB09116}"/>
    <cellStyle name="Good 2 2 2" xfId="8805" xr:uid="{6EC418F5-024C-409D-89F9-9AE8FB0CB9C6}"/>
    <cellStyle name="Good 2 2_2013" xfId="8806" xr:uid="{05113163-03B4-48A2-B3E8-EF0CBBF8AF61}"/>
    <cellStyle name="Good 2 3" xfId="8807" xr:uid="{D955CBEF-103B-4B92-9CA8-BE8000BD2BF8}"/>
    <cellStyle name="Good 2 3 2" xfId="8808" xr:uid="{4A28CBD3-A7AA-420E-8B27-A6A662E548E1}"/>
    <cellStyle name="Good 2 3_2013" xfId="8809" xr:uid="{D180CB0E-CD09-41BB-89DD-A2973BA86C4E}"/>
    <cellStyle name="Good 2 4" xfId="8810" xr:uid="{C7F3C892-726D-4D6E-BAE4-F00B4EACC8E6}"/>
    <cellStyle name="Good 2 5" xfId="8811" xr:uid="{D17D03A1-44D1-4B05-B645-BF7E066098BA}"/>
    <cellStyle name="Good 2_2013" xfId="8812" xr:uid="{8795F058-7990-457F-98C9-98E39FAE349F}"/>
    <cellStyle name="Good 3" xfId="8813" xr:uid="{CF34B2D4-270E-42BF-BB4A-7735DB40CEEA}"/>
    <cellStyle name="Good 4" xfId="8814" xr:uid="{4CA712FF-6262-4727-A276-20453A7BC1C2}"/>
    <cellStyle name="Good 5" xfId="8815" xr:uid="{CE48F306-7E63-4AF5-A832-13CEE4CC7D42}"/>
    <cellStyle name="Good 6" xfId="8816" xr:uid="{14C0CBD3-B12B-48F0-AF94-F55A49713AA0}"/>
    <cellStyle name="Good 7" xfId="8817" xr:uid="{8216B433-D30F-4C90-A8B9-96537B181464}"/>
    <cellStyle name="Good 8" xfId="8818" xr:uid="{8FACF5EB-F31C-4E03-80BA-FB6649BCBA22}"/>
    <cellStyle name="Good 9" xfId="8819" xr:uid="{A05CD1F1-DEA1-469A-B17B-1317734F3E0E}"/>
    <cellStyle name="Grey" xfId="8820" xr:uid="{30805576-C77A-49C6-8C50-274B8937564A}"/>
    <cellStyle name="Grey 2" xfId="8821" xr:uid="{CA44B8EE-1D53-4327-8578-6F4B69A02F80}"/>
    <cellStyle name="Grey 2 2" xfId="8822" xr:uid="{839E14E1-B063-4100-825B-45F5AE2335F7}"/>
    <cellStyle name="Grey 2 2 2" xfId="8823" xr:uid="{66C0A2F4-CC42-4BBF-87E2-1732C856E787}"/>
    <cellStyle name="Grey 2 2_2013" xfId="8824" xr:uid="{25F16342-97F7-431D-B7B5-F000369D9F6A}"/>
    <cellStyle name="Grey 2 3" xfId="8825" xr:uid="{3DCDE068-1E3B-42CD-823E-65E514EB7F83}"/>
    <cellStyle name="Grey 2_2013" xfId="8826" xr:uid="{46726450-4C61-4C6C-94CE-3680E57A3149}"/>
    <cellStyle name="Grey 3" xfId="8827" xr:uid="{0D81958B-AC23-4C75-A87C-6B3D14228959}"/>
    <cellStyle name="Grey 3 2" xfId="8828" xr:uid="{45C2464C-6EEF-47BF-BE0F-8A4795D2474D}"/>
    <cellStyle name="Grey 3_2013" xfId="8829" xr:uid="{6265120E-5C6B-458A-A3E5-8BD1995A555B}"/>
    <cellStyle name="Grey 4" xfId="8830" xr:uid="{EA05E61D-8B1B-4F09-9BC8-45AC8279457E}"/>
    <cellStyle name="Grey_2013" xfId="8831" xr:uid="{9C72AC0F-460A-4E4C-94A3-D27D3CD3C976}"/>
    <cellStyle name="Gut" xfId="8832" xr:uid="{442E5849-3ED5-4120-8A7F-8D251F1FA5FC}"/>
    <cellStyle name="Gut 2" xfId="8833" xr:uid="{06F9C463-F8D4-4E6F-B628-A877C790A10A}"/>
    <cellStyle name="Gut_2013" xfId="8834" xr:uid="{FE2C7615-72AF-41EB-929D-CE077041EF0A}"/>
    <cellStyle name="Heading 1 10" xfId="8835" xr:uid="{F96D8DC5-11CF-4876-89AA-49CBBE71CFB3}"/>
    <cellStyle name="Heading 1 2" xfId="8836" xr:uid="{87DE03D2-7DF0-4FFC-94ED-32D4AD0FE2B7}"/>
    <cellStyle name="Heading 1 2 2" xfId="8837" xr:uid="{2A1591F7-14DA-42D4-B190-5F9441997FD9}"/>
    <cellStyle name="Heading 1 2 2 2" xfId="8838" xr:uid="{82359306-9356-41E3-AB4E-AD93DEA32B0F}"/>
    <cellStyle name="Heading 1 2 2_2013" xfId="8839" xr:uid="{5A59EA4F-1675-43DB-A5F6-CA57ACE9CE6A}"/>
    <cellStyle name="Heading 1 2 3" xfId="8840" xr:uid="{1EC32F77-99C2-4256-9D01-461ED39A7626}"/>
    <cellStyle name="Heading 1 2 3 2" xfId="8841" xr:uid="{D76086C8-E5F7-446C-A555-17AB5B8DB162}"/>
    <cellStyle name="Heading 1 2 3_2013" xfId="8842" xr:uid="{0E63F3DB-17C4-453C-A5B1-A65A654E70D8}"/>
    <cellStyle name="Heading 1 2 4" xfId="8843" xr:uid="{E2A1B8F8-4778-4836-B013-DF21983850C8}"/>
    <cellStyle name="Heading 1 2 5" xfId="8844" xr:uid="{6D576393-71E0-4EFE-8264-896BDB0FA55E}"/>
    <cellStyle name="Heading 1 2_2013" xfId="8845" xr:uid="{D757CD30-CDDD-4322-A54C-A8CA89DB1B6C}"/>
    <cellStyle name="Heading 1 3" xfId="8846" xr:uid="{387CE4F8-7A55-490A-9ABF-EFBC9605789A}"/>
    <cellStyle name="Heading 1 4" xfId="8847" xr:uid="{0236A4DB-E87B-46D8-B08B-C01746900A1B}"/>
    <cellStyle name="Heading 1 5" xfId="8848" xr:uid="{85DF48CF-C108-4CE6-981F-B28F59AF2E70}"/>
    <cellStyle name="Heading 1 6" xfId="8849" xr:uid="{2A5B5EF9-3CAD-4890-B865-30292075FAE3}"/>
    <cellStyle name="Heading 1 7" xfId="8850" xr:uid="{29ADC77B-F1AA-41E9-A46B-6A158FBCD0B2}"/>
    <cellStyle name="Heading 1 8" xfId="8851" xr:uid="{4C576A49-E913-4F57-81A8-8DFCA9EDA3E1}"/>
    <cellStyle name="Heading 1 9" xfId="8852" xr:uid="{0C46651D-068D-4897-9018-7F9B763E6AF3}"/>
    <cellStyle name="Heading 2 10" xfId="8853" xr:uid="{A09FD079-2F28-47B8-A6EA-39B02D00BAAB}"/>
    <cellStyle name="Heading 2 2" xfId="8854" xr:uid="{99AC3CFF-CB30-4986-A3AD-04C2560BF2F1}"/>
    <cellStyle name="Heading 2 2 2" xfId="8855" xr:uid="{953F3FF1-8A00-4559-806D-6C4A6C33D47C}"/>
    <cellStyle name="Heading 2 2 2 2" xfId="8856" xr:uid="{3D0962D2-721F-4F5A-997C-45A4E2F2AF9A}"/>
    <cellStyle name="Heading 2 2 2_2013" xfId="8857" xr:uid="{68629B76-CE7C-463A-B458-182C9724C47B}"/>
    <cellStyle name="Heading 2 2 3" xfId="8858" xr:uid="{E39F3902-B1CF-4DC9-89F9-EBAD49689A1D}"/>
    <cellStyle name="Heading 2 2 3 2" xfId="8859" xr:uid="{3BFF64F3-DB01-4038-9571-CCF96F233A01}"/>
    <cellStyle name="Heading 2 2 3_2013" xfId="8860" xr:uid="{9320CFE7-9242-45AD-9397-83F59924AD4D}"/>
    <cellStyle name="Heading 2 2 4" xfId="8861" xr:uid="{3FA9ED5B-9D18-4D60-8E13-0B5C0B554CB7}"/>
    <cellStyle name="Heading 2 2 5" xfId="8862" xr:uid="{2227E37F-C192-4006-9E28-285FEC34F24B}"/>
    <cellStyle name="Heading 2 2_2013" xfId="8863" xr:uid="{6D2DD3BB-E91C-4693-ABE9-4ACD73FFFA53}"/>
    <cellStyle name="Heading 2 3" xfId="8864" xr:uid="{3DFF3C8A-4ECA-4F41-BBA3-DFCB1A328420}"/>
    <cellStyle name="Heading 2 4" xfId="8865" xr:uid="{1AAF19E6-2EAE-42D2-8045-F5576CD807C2}"/>
    <cellStyle name="Heading 2 5" xfId="8866" xr:uid="{50E0615B-5D9E-4538-87E3-CA754BEABEB4}"/>
    <cellStyle name="Heading 2 6" xfId="8867" xr:uid="{862B10A8-5030-42FD-858D-E368769C7C71}"/>
    <cellStyle name="Heading 2 7" xfId="8868" xr:uid="{7DC9569F-8D3E-4DFB-A06D-2054044741C4}"/>
    <cellStyle name="Heading 2 8" xfId="8869" xr:uid="{E35F81D0-E85C-4255-BD82-115F226305A2}"/>
    <cellStyle name="Heading 2 9" xfId="8870" xr:uid="{A2C2CB73-ED6F-4E3F-B4AB-597F634C46C3}"/>
    <cellStyle name="Heading 3 10" xfId="8871" xr:uid="{E67C4C6C-018A-4DD7-B907-B9B804B69C76}"/>
    <cellStyle name="Heading 3 2" xfId="8872" xr:uid="{7E8317C4-8EE3-42E3-B5D6-D08492C02623}"/>
    <cellStyle name="Heading 3 2 2" xfId="8873" xr:uid="{5CFD89EF-E0F6-4CC7-AA32-E1EFE9BE8451}"/>
    <cellStyle name="Heading 3 2 2 2" xfId="8874" xr:uid="{C1CB067C-71FF-4BAF-AEE0-09E309BAD655}"/>
    <cellStyle name="Heading 3 2 2_2013" xfId="8875" xr:uid="{2CDFFB1D-1DE9-4BBD-9129-B9CCFAA0AAC3}"/>
    <cellStyle name="Heading 3 2 3" xfId="8876" xr:uid="{20A3A962-7F81-4164-98A2-04B8E2E49719}"/>
    <cellStyle name="Heading 3 2 3 2" xfId="8877" xr:uid="{6C4897BD-C58D-4C0C-8EA1-64ED436261B0}"/>
    <cellStyle name="Heading 3 2 3_2013" xfId="8878" xr:uid="{1CBD5CA6-B363-4F85-B7F3-D268C1AEE7AD}"/>
    <cellStyle name="Heading 3 2 4" xfId="8879" xr:uid="{7675C467-56C3-49DC-B435-76384ED93618}"/>
    <cellStyle name="Heading 3 2 5" xfId="8880" xr:uid="{4E717249-4104-49D2-A18E-D677D4FF5D92}"/>
    <cellStyle name="Heading 3 2_2013" xfId="8881" xr:uid="{540A529E-17A5-47AD-A3C0-2388EAA17B78}"/>
    <cellStyle name="Heading 3 3" xfId="8882" xr:uid="{D7AF11E6-EE05-4B2C-A858-5306CA25CA53}"/>
    <cellStyle name="Heading 3 4" xfId="8883" xr:uid="{61E59603-D893-496A-A416-F627E3E3F98F}"/>
    <cellStyle name="Heading 3 5" xfId="8884" xr:uid="{76EF07F3-98D0-4C5E-A046-BC7AE9C8742A}"/>
    <cellStyle name="Heading 3 6" xfId="8885" xr:uid="{BB61DE97-A444-436E-B514-F03B924B0AE5}"/>
    <cellStyle name="Heading 3 7" xfId="8886" xr:uid="{2B925225-0FED-4CEF-9DFF-BCC13E83B5AD}"/>
    <cellStyle name="Heading 3 8" xfId="8887" xr:uid="{88A14C3E-0601-453D-9B00-740E0DE280DD}"/>
    <cellStyle name="Heading 3 9" xfId="8888" xr:uid="{68B37471-92DE-4F48-94FA-9F584CE942AF}"/>
    <cellStyle name="Heading 4 10" xfId="8889" xr:uid="{629BEDF2-67F2-4853-928A-AD1060511786}"/>
    <cellStyle name="Heading 4 2" xfId="8890" xr:uid="{109D7AE9-A32E-4EEB-9240-A984ED14D1EC}"/>
    <cellStyle name="Heading 4 2 2" xfId="8891" xr:uid="{DE7C2711-80B1-4A8C-8FA0-30BD8938507F}"/>
    <cellStyle name="Heading 4 2 2 2" xfId="8892" xr:uid="{E04BA7C3-88EE-4ECD-AF23-03B1F33D054B}"/>
    <cellStyle name="Heading 4 2 2_2013" xfId="8893" xr:uid="{9D44BC26-9804-4652-96CE-94E469D57710}"/>
    <cellStyle name="Heading 4 2 3" xfId="8894" xr:uid="{445BCF76-B517-4979-9209-071568EC0E1A}"/>
    <cellStyle name="Heading 4 2 3 2" xfId="8895" xr:uid="{187566D4-ED33-4742-914B-28DFFE142EA4}"/>
    <cellStyle name="Heading 4 2 3_2013" xfId="8896" xr:uid="{52F78B14-FD24-4E2A-8B29-25AAF38EA8A8}"/>
    <cellStyle name="Heading 4 2 4" xfId="8897" xr:uid="{216BAAD8-C62C-4244-9117-81DE9D4ACCCD}"/>
    <cellStyle name="Heading 4 2 5" xfId="8898" xr:uid="{3F338867-3D08-4A22-9E37-2B785DA85E28}"/>
    <cellStyle name="Heading 4 2_2013" xfId="8899" xr:uid="{6837261E-3451-4094-A526-B5C41A817EC3}"/>
    <cellStyle name="Heading 4 3" xfId="8900" xr:uid="{393E9966-9F95-4A68-A8FD-46E91B50A9C0}"/>
    <cellStyle name="Heading 4 4" xfId="8901" xr:uid="{FCDB46D0-8895-4C53-A122-F034D35FF785}"/>
    <cellStyle name="Heading 4 5" xfId="8902" xr:uid="{F86FDEDB-4CFD-44ED-BAD0-590A46242FBD}"/>
    <cellStyle name="Heading 4 6" xfId="8903" xr:uid="{78B2BEC8-6813-4F2F-93D7-6D23D3395E9C}"/>
    <cellStyle name="Heading 4 7" xfId="8904" xr:uid="{269023EB-06E7-462F-A6AA-24B6CF718FC1}"/>
    <cellStyle name="Heading 4 8" xfId="8905" xr:uid="{74A809D5-5A35-4217-B2A7-6551B70AAE1C}"/>
    <cellStyle name="Heading 4 9" xfId="8906" xr:uid="{D09B7DA1-F466-49D1-BEF8-8F6F209D10EE}"/>
    <cellStyle name="Huomautus" xfId="8907" xr:uid="{55BB8668-7349-408E-93D6-1F07DDE19E69}"/>
    <cellStyle name="Huomautus 10" xfId="8908" xr:uid="{02B381A9-5E10-41C6-B5B0-E5CE18E09B1E}"/>
    <cellStyle name="Huomautus 11" xfId="8909" xr:uid="{A1EB96E6-7C2C-4C7E-8C9F-06CFFEF52C73}"/>
    <cellStyle name="Huomautus 12" xfId="8910" xr:uid="{275C6201-FEAF-4836-AB4D-8CEBA0D60E9A}"/>
    <cellStyle name="Huomautus 2" xfId="8911" xr:uid="{BC8170AA-0864-4002-82BD-8D8CF3F0CBBA}"/>
    <cellStyle name="Huomautus 2 10" xfId="8912" xr:uid="{0454B829-4F3E-4CBF-B1D5-931E81C3AD49}"/>
    <cellStyle name="Huomautus 2 11" xfId="8913" xr:uid="{0A82111F-3321-4898-A9B9-E7C6730578BF}"/>
    <cellStyle name="Huomautus 2 2" xfId="8914" xr:uid="{7817B128-2178-4BD1-9A42-C1795C8A9B0A}"/>
    <cellStyle name="Huomautus 2 3" xfId="8915" xr:uid="{E05A7C61-6CD4-4AA0-BEA8-AE313417EC06}"/>
    <cellStyle name="Huomautus 2 4" xfId="8916" xr:uid="{C9D72BF2-4D6A-4537-9CA5-C6A4A274389C}"/>
    <cellStyle name="Huomautus 2 5" xfId="8917" xr:uid="{D9041368-302E-4EE4-A55A-BAC50FF6E594}"/>
    <cellStyle name="Huomautus 2 6" xfId="8918" xr:uid="{859C58C8-0C79-4990-B043-085B2CA2A98F}"/>
    <cellStyle name="Huomautus 2 7" xfId="8919" xr:uid="{A178A1F2-8E36-48F8-9B8E-05572E186BA8}"/>
    <cellStyle name="Huomautus 2 8" xfId="8920" xr:uid="{E13E72F1-3A37-4C29-B494-D9E090A80ADE}"/>
    <cellStyle name="Huomautus 2 9" xfId="8921" xr:uid="{51316AAB-DF3F-4582-B352-99A11CF658F5}"/>
    <cellStyle name="Huomautus 2_2013" xfId="8922" xr:uid="{A39E8709-7E7D-4E49-9863-F9152E430959}"/>
    <cellStyle name="Huomautus 3" xfId="8923" xr:uid="{8CD55DC5-6B97-442D-A40D-56B578D3AA86}"/>
    <cellStyle name="Huomautus 4" xfId="8924" xr:uid="{3014CF7B-CC9A-472C-B90A-648DF3FAC01D}"/>
    <cellStyle name="Huomautus 5" xfId="8925" xr:uid="{0D26646B-7B37-440F-A974-C058BBB7B2B4}"/>
    <cellStyle name="Huomautus 6" xfId="8926" xr:uid="{ABB6B388-CF57-4599-BE6E-26D826738951}"/>
    <cellStyle name="Huomautus 7" xfId="8927" xr:uid="{83A70724-77C9-4423-AE8C-58CCC781B2E1}"/>
    <cellStyle name="Huomautus 8" xfId="8928" xr:uid="{64698D9F-0622-4327-8C7C-BE2530A70FC5}"/>
    <cellStyle name="Huomautus 9" xfId="8929" xr:uid="{653F89AA-7A3F-477F-A661-22A8E0F3354A}"/>
    <cellStyle name="Huomautus_2013" xfId="8930" xr:uid="{862C285E-9413-4A91-980B-66DCCE296BDB}"/>
    <cellStyle name="Huono" xfId="8931" xr:uid="{7CAF0887-5B6E-40BE-A45B-1B0295E9E4C3}"/>
    <cellStyle name="Huono 2" xfId="8932" xr:uid="{D881FBC0-F96A-4964-9D12-43639016EE31}"/>
    <cellStyle name="Huono_2013" xfId="8933" xr:uid="{333A5285-4D0C-4DBB-B356-32D414408D38}"/>
    <cellStyle name="Hyperlink 2" xfId="8934" xr:uid="{2C734635-5029-47B8-8E5A-E31BA1BE15A6}"/>
    <cellStyle name="Hyperlink 2 2" xfId="8935" xr:uid="{9C800BF2-FF74-4074-9BFA-45BBDF35B493}"/>
    <cellStyle name="Hyperlink 2 3" xfId="8936" xr:uid="{7381120F-DF31-481F-A0D4-FEF2F8E50448}"/>
    <cellStyle name="Hyperlink 2_2013" xfId="8937" xr:uid="{EB3FE628-F7BB-4602-B2C1-77FB37D95BBA}"/>
    <cellStyle name="Hyperlink 3" xfId="8938" xr:uid="{5A6D6391-1956-4E2C-9395-010ED4A90DD7}"/>
    <cellStyle name="Hyperlink 3 2" xfId="8939" xr:uid="{6AF3AF52-6459-4598-8122-DA4F6E86AE7A}"/>
    <cellStyle name="Hyperlink 3_2013" xfId="8940" xr:uid="{28E18EBA-B732-4B40-8C20-F1BE20CDD01E}"/>
    <cellStyle name="Hyperlink 4" xfId="8941" xr:uid="{3158AEF2-90FF-43E7-B4B6-0ED2B3774447}"/>
    <cellStyle name="Hyperlink 5" xfId="8942" xr:uid="{6DB46BAB-3E13-40A0-871D-74F83F9E7957}"/>
    <cellStyle name="Hyvä" xfId="8943" xr:uid="{2591D75C-E7EB-4697-9E77-473D4319B785}"/>
    <cellStyle name="Hyvä 2" xfId="8944" xr:uid="{8A40C06D-FE92-4079-8C65-3DBE9D35F08F}"/>
    <cellStyle name="Hyvä_2013" xfId="8945" xr:uid="{6B4F70F8-0B46-4BB3-B1F1-3ABC562186E0}"/>
    <cellStyle name="Incorrecto" xfId="8946" xr:uid="{0F5DFCA1-010B-47F2-9691-3D80ACF8761D}"/>
    <cellStyle name="Incorrecto 2" xfId="8947" xr:uid="{98D33702-DD5F-4D19-A3B7-8BD2D7E8BA75}"/>
    <cellStyle name="Incorrecto_2013" xfId="8948" xr:uid="{5C589758-AB27-432D-8A98-241B46913E50}"/>
    <cellStyle name="indent" xfId="8949" xr:uid="{4CA99051-DBCE-4BAF-B865-62CAB0BF0801}"/>
    <cellStyle name="Input [yellow]" xfId="8950" xr:uid="{3F5DEC03-65C9-4F53-8161-AD926B69BA28}"/>
    <cellStyle name="Input [yellow] 2" xfId="8951" xr:uid="{11DD7DBC-9C87-4D16-BFED-A57E3A6FFCAD}"/>
    <cellStyle name="Input [yellow] 2 2" xfId="8952" xr:uid="{B8F681CC-4147-427E-B89F-00DB0E86F86D}"/>
    <cellStyle name="Input [yellow] 2 2 2" xfId="8953" xr:uid="{E5DDD85C-ED71-4E94-B22F-2D438DFAD3D3}"/>
    <cellStyle name="Input [yellow] 2 2_2013" xfId="8954" xr:uid="{6B9D910F-1517-444A-97BB-DA7308EB95C0}"/>
    <cellStyle name="Input [yellow] 2 3" xfId="8955" xr:uid="{B1CA7441-746B-4A70-9EF8-2B6F643D4CA6}"/>
    <cellStyle name="Input [yellow] 2_2013" xfId="8956" xr:uid="{380E4FEF-6D81-49A2-A1F4-D9B81944F046}"/>
    <cellStyle name="Input [yellow] 3" xfId="8957" xr:uid="{DD541A39-2F57-4832-9FC3-A6765FED28FE}"/>
    <cellStyle name="Input [yellow] 3 2" xfId="8958" xr:uid="{4EAE874A-BA6D-41C5-9DDC-21A31BB465ED}"/>
    <cellStyle name="Input [yellow] 3_2013" xfId="8959" xr:uid="{7D7BB4FF-2934-4E6E-8A2E-125D57DB4873}"/>
    <cellStyle name="Input [yellow] 4" xfId="8960" xr:uid="{6F46118F-D274-4BF5-BE10-BA08F684ABE9}"/>
    <cellStyle name="Input [yellow]_2013" xfId="8961" xr:uid="{0825A920-4A81-449F-B9F0-6EBBA0F5D1E3}"/>
    <cellStyle name="Input 10" xfId="8962" xr:uid="{2AAF249D-175F-43EF-A10C-CF83BD576CF4}"/>
    <cellStyle name="Input 11" xfId="8963" xr:uid="{E26ECD19-CCEB-4F1B-BF6E-30360877EB85}"/>
    <cellStyle name="Input 12" xfId="8964" xr:uid="{F2F2A12C-AC04-452E-A610-A27633BC6DD2}"/>
    <cellStyle name="Input 13" xfId="8965" xr:uid="{1D8A3626-8D0B-4B61-A5F9-73D1A4467160}"/>
    <cellStyle name="Input 14" xfId="8966" xr:uid="{14408341-C72A-4602-803D-6A71692BFF62}"/>
    <cellStyle name="Input 15" xfId="8967" xr:uid="{CA29B57B-94AC-469C-930B-979D0A744871}"/>
    <cellStyle name="Input 15 2" xfId="8968" xr:uid="{FCEB9175-068F-41AD-8C7C-E2C39DE30ADD}"/>
    <cellStyle name="Input 15_2013" xfId="8969" xr:uid="{66492601-3C36-41DF-9722-EE5D52310495}"/>
    <cellStyle name="Input 16" xfId="8970" xr:uid="{0C890161-754B-4E81-8CBD-2C354D87BF69}"/>
    <cellStyle name="Input 16 2" xfId="8971" xr:uid="{1CAE6523-7709-4752-872A-AB07C516BC72}"/>
    <cellStyle name="Input 16_2013" xfId="8972" xr:uid="{BCC6A427-DA91-4AF7-AF15-B94F6A9C99A9}"/>
    <cellStyle name="Input 17" xfId="8973" xr:uid="{7B44289D-3FA5-4543-84AC-D8FC09D3A05F}"/>
    <cellStyle name="Input 17 2" xfId="8974" xr:uid="{BA1E2ED2-BB6F-46D1-8BAE-F4BA6F111AA0}"/>
    <cellStyle name="Input 17_2013" xfId="8975" xr:uid="{FFB27F8F-0DA0-457F-88A9-527C42B92764}"/>
    <cellStyle name="Input 18" xfId="8976" xr:uid="{3C693748-6845-4095-BC54-F645A7049F55}"/>
    <cellStyle name="Input 18 2" xfId="8977" xr:uid="{9BAF3525-7FC1-42EC-AF16-65C0D1A576D3}"/>
    <cellStyle name="Input 18_2013" xfId="8978" xr:uid="{D559B1B3-C888-4797-A746-D75DC16953E2}"/>
    <cellStyle name="Input 19" xfId="8979" xr:uid="{B9271213-EC6F-45DA-907A-0687FADC700D}"/>
    <cellStyle name="Input 2" xfId="8980" xr:uid="{9F702DC7-459E-40C1-8EBA-4B767D9D97E4}"/>
    <cellStyle name="Input 2 10" xfId="8981" xr:uid="{727437FC-DC56-45D0-B7E1-9F1F58B849B8}"/>
    <cellStyle name="Input 2 11" xfId="8982" xr:uid="{7C7B4A35-24E8-4AE0-AE90-2C7BF69D0360}"/>
    <cellStyle name="Input 2 12" xfId="8983" xr:uid="{96E428AE-AC62-4529-8EDA-99BC4835245A}"/>
    <cellStyle name="Input 2 13" xfId="8984" xr:uid="{074BF81E-D9E2-4F1D-AF59-33F9EC977688}"/>
    <cellStyle name="Input 2 14" xfId="8985" xr:uid="{757CB354-1F28-4192-B350-DEBAA6A58E56}"/>
    <cellStyle name="Input 2 15" xfId="8986" xr:uid="{1BA456EF-3A54-4679-880E-CC45E0F09274}"/>
    <cellStyle name="Input 2 16" xfId="8987" xr:uid="{E66D5B64-CB93-4691-A7DB-1866C4CCAA2B}"/>
    <cellStyle name="Input 2 17" xfId="8988" xr:uid="{40ACCB7C-5686-406F-8309-AF5D31B8EA2E}"/>
    <cellStyle name="Input 2 18" xfId="8989" xr:uid="{6F69774C-A655-4B00-BCA2-32B6B7E7CAC2}"/>
    <cellStyle name="Input 2 19" xfId="8990" xr:uid="{C0E7399A-67B7-43EF-8B45-B4E13EF0C4A5}"/>
    <cellStyle name="Input 2 2" xfId="8991" xr:uid="{79F91A01-6DE1-4B23-AC97-3DF30F94E9EE}"/>
    <cellStyle name="Input 2 2 10" xfId="8992" xr:uid="{66F01D97-3D2B-4E17-889D-56400586D61E}"/>
    <cellStyle name="Input 2 2 11" xfId="8993" xr:uid="{6E277FF1-921F-48DD-9344-E162487D96CE}"/>
    <cellStyle name="Input 2 2 12" xfId="8994" xr:uid="{FB80343D-D29F-4351-A9B4-6DA17D9FAFCB}"/>
    <cellStyle name="Input 2 2 13" xfId="8995" xr:uid="{45D1A830-1EE9-43C5-AD03-C2B7ED07BEAE}"/>
    <cellStyle name="Input 2 2 14" xfId="8996" xr:uid="{A018822D-5C1B-4C7A-BAEB-D904B11BAD8A}"/>
    <cellStyle name="Input 2 2 15" xfId="8997" xr:uid="{F13C6864-DE32-49B1-9668-07C7FD5F788E}"/>
    <cellStyle name="Input 2 2 16" xfId="8998" xr:uid="{7B2BBDBF-955A-4392-81A3-D7DDD69969FF}"/>
    <cellStyle name="Input 2 2 17" xfId="8999" xr:uid="{2160695D-EB0A-41A5-B299-1931924A1819}"/>
    <cellStyle name="Input 2 2 18" xfId="9000" xr:uid="{EAE728AB-2850-4CCA-833C-501A475EA38E}"/>
    <cellStyle name="Input 2 2 19" xfId="9001" xr:uid="{9F3A69F3-DF2D-496A-88CD-14C683D16D28}"/>
    <cellStyle name="Input 2 2 2" xfId="9002" xr:uid="{D1E9E154-1950-405D-86AE-35268DEA7097}"/>
    <cellStyle name="Input 2 2 2 10" xfId="9003" xr:uid="{2DB8A27C-8326-4167-B35A-BB7DBD02A40F}"/>
    <cellStyle name="Input 2 2 2 11" xfId="9004" xr:uid="{D32E558B-F124-483D-8A66-4731B6BBB374}"/>
    <cellStyle name="Input 2 2 2 12" xfId="9005" xr:uid="{32A4BC70-4860-4345-B62A-C4986838BA53}"/>
    <cellStyle name="Input 2 2 2 13" xfId="9006" xr:uid="{53A11993-4D53-407F-9049-7C33863E1D78}"/>
    <cellStyle name="Input 2 2 2 14" xfId="9007" xr:uid="{9CE8CA8F-3B68-4696-9BDC-8717E3820F56}"/>
    <cellStyle name="Input 2 2 2 15" xfId="9008" xr:uid="{D26063BE-DAAF-41C8-8D58-358D9CF05F33}"/>
    <cellStyle name="Input 2 2 2 16" xfId="9009" xr:uid="{46086F43-BFD8-4CD4-A92F-FCFF25AB04BE}"/>
    <cellStyle name="Input 2 2 2 17" xfId="9010" xr:uid="{E8C3DDC8-3182-41A0-91A9-4939B4049A2C}"/>
    <cellStyle name="Input 2 2 2 18" xfId="9011" xr:uid="{768FB3AE-C983-482D-AB45-B3C4136C2C43}"/>
    <cellStyle name="Input 2 2 2 19" xfId="9012" xr:uid="{CD3345B2-645A-4E7F-850D-8A9305976412}"/>
    <cellStyle name="Input 2 2 2 19 2" xfId="9013" xr:uid="{A244F39F-BD1B-4284-B2F2-0EF9536F9B3D}"/>
    <cellStyle name="Input 2 2 2 19_2013" xfId="9014" xr:uid="{782AF9E1-A701-466C-836A-7DCBDF71F3F9}"/>
    <cellStyle name="Input 2 2 2 2" xfId="9015" xr:uid="{6036E921-BA65-4711-8D71-1CADFFFC4487}"/>
    <cellStyle name="Input 2 2 2 2 10" xfId="9016" xr:uid="{285D288F-5498-4AD0-90B4-595059477B04}"/>
    <cellStyle name="Input 2 2 2 2 11" xfId="9017" xr:uid="{71EEFCB2-9B14-4BBC-BA01-A0CE892B5CC7}"/>
    <cellStyle name="Input 2 2 2 2 12" xfId="9018" xr:uid="{BF4F02F5-03F1-4EA1-971F-7CD37CFCE35B}"/>
    <cellStyle name="Input 2 2 2 2 13" xfId="9019" xr:uid="{B9E77EDE-C68B-43BA-8A8F-822C26954F14}"/>
    <cellStyle name="Input 2 2 2 2 14" xfId="9020" xr:uid="{DF8A526D-B0A0-4DAC-9710-438DD8B99188}"/>
    <cellStyle name="Input 2 2 2 2 15" xfId="9021" xr:uid="{D274FF09-DF23-4863-9934-34B21C291200}"/>
    <cellStyle name="Input 2 2 2 2 16" xfId="9022" xr:uid="{DBC46020-A3EB-4C69-842B-72CB8CCBDA8A}"/>
    <cellStyle name="Input 2 2 2 2 17" xfId="9023" xr:uid="{7173330D-C768-44D4-8A3C-53F6F3AB022D}"/>
    <cellStyle name="Input 2 2 2 2 18" xfId="9024" xr:uid="{4C72465C-4F09-473B-AEAB-29B6F583D079}"/>
    <cellStyle name="Input 2 2 2 2 18 2" xfId="9025" xr:uid="{A0841470-9D6E-4BDE-9E13-F57B26151DAF}"/>
    <cellStyle name="Input 2 2 2 2 18_2013" xfId="9026" xr:uid="{FC50887D-01FA-4F1B-A7C4-10D189438D47}"/>
    <cellStyle name="Input 2 2 2 2 19" xfId="9027" xr:uid="{D566B3F6-B73C-426B-8127-92220CA5377E}"/>
    <cellStyle name="Input 2 2 2 2 2" xfId="9028" xr:uid="{5C6F0078-DC82-4EDC-A386-DDB40C6FB534}"/>
    <cellStyle name="Input 2 2 2 2 3" xfId="9029" xr:uid="{949D5D4D-2436-40EA-9EBC-FDEE1AF55EDA}"/>
    <cellStyle name="Input 2 2 2 2 4" xfId="9030" xr:uid="{65F69FE2-F7CD-4456-85ED-38CC07F24AC2}"/>
    <cellStyle name="Input 2 2 2 2 5" xfId="9031" xr:uid="{B90D2B1F-B7DA-414A-A583-E9B68724E489}"/>
    <cellStyle name="Input 2 2 2 2 6" xfId="9032" xr:uid="{35460A5A-6051-4BAB-8920-8D4EA02AC19B}"/>
    <cellStyle name="Input 2 2 2 2 7" xfId="9033" xr:uid="{51E8A1B8-5F4D-422F-8BE5-A41B085141A9}"/>
    <cellStyle name="Input 2 2 2 2 8" xfId="9034" xr:uid="{7A526AD5-A3C4-489A-85CD-69BDF7B7D398}"/>
    <cellStyle name="Input 2 2 2 2 9" xfId="9035" xr:uid="{FA3B5EAD-DE86-403F-AA55-BDC716300AB7}"/>
    <cellStyle name="Input 2 2 2 2_2013" xfId="9036" xr:uid="{6A65B409-A6C1-4101-B524-215B637DD6F7}"/>
    <cellStyle name="Input 2 2 2 20" xfId="9037" xr:uid="{B111FEB6-6BB6-4DE9-B4BB-1FE51700C328}"/>
    <cellStyle name="Input 2 2 2 3" xfId="9038" xr:uid="{4C230F4F-F5FC-42DA-A5DE-D4BFBA5A681C}"/>
    <cellStyle name="Input 2 2 2 4" xfId="9039" xr:uid="{141F71F9-D2AC-4BE4-9426-E496F862AF3A}"/>
    <cellStyle name="Input 2 2 2 5" xfId="9040" xr:uid="{C0584B9B-2E8E-4809-8D73-F6289A5FBDBF}"/>
    <cellStyle name="Input 2 2 2 6" xfId="9041" xr:uid="{CFF5D964-D6E5-4737-AA0F-57CFF4E840B7}"/>
    <cellStyle name="Input 2 2 2 7" xfId="9042" xr:uid="{986CE418-FF43-4660-A6A3-34BC9BE32C43}"/>
    <cellStyle name="Input 2 2 2 8" xfId="9043" xr:uid="{6DD55A40-B9AE-4F27-BCC2-43A163FB5C27}"/>
    <cellStyle name="Input 2 2 2 9" xfId="9044" xr:uid="{230C36F2-6C2E-49BD-A1AC-B8A4F414B351}"/>
    <cellStyle name="Input 2 2 2_2013" xfId="9045" xr:uid="{0FACA854-2774-4B2E-930D-A3FC11107B86}"/>
    <cellStyle name="Input 2 2 20" xfId="9046" xr:uid="{99739D02-5AF1-4695-8837-6E9CC5C0D5D7}"/>
    <cellStyle name="Input 2 2 21" xfId="9047" xr:uid="{B528302B-DAD3-41EA-A59B-B92F4586AF7A}"/>
    <cellStyle name="Input 2 2 22" xfId="9048" xr:uid="{23F79473-EB9D-4F5C-AADC-063596C4A316}"/>
    <cellStyle name="Input 2 2 22 2" xfId="9049" xr:uid="{2506738C-EA43-4EE4-9C9E-516A93789BD3}"/>
    <cellStyle name="Input 2 2 22_2013" xfId="9050" xr:uid="{E4853FA1-6DFA-4E4C-B487-A818DFA0406C}"/>
    <cellStyle name="Input 2 2 23" xfId="9051" xr:uid="{EB4173A3-6EEB-4522-AB40-F1BF68F12A19}"/>
    <cellStyle name="Input 2 2 24" xfId="9052" xr:uid="{DC9C91C5-9924-4CB7-BE3E-497CB5BA8763}"/>
    <cellStyle name="Input 2 2 3" xfId="9053" xr:uid="{4A5FD6B1-5582-4710-B1C2-F97DEFEA236F}"/>
    <cellStyle name="Input 2 2 3 10" xfId="9054" xr:uid="{F4D59787-3BC1-40AE-B8BF-776DD4014C6F}"/>
    <cellStyle name="Input 2 2 3 11" xfId="9055" xr:uid="{9FC152EF-BC83-4C92-850E-A75BC3F8B237}"/>
    <cellStyle name="Input 2 2 3 12" xfId="9056" xr:uid="{2140A214-1F09-4A6A-98CB-9D8069B826C9}"/>
    <cellStyle name="Input 2 2 3 13" xfId="9057" xr:uid="{45FBC117-06FB-4878-AFAF-C9B3E6C87283}"/>
    <cellStyle name="Input 2 2 3 14" xfId="9058" xr:uid="{1D1CC7BB-5A0B-44E0-8BB6-48FBEBF535AD}"/>
    <cellStyle name="Input 2 2 3 15" xfId="9059" xr:uid="{6A43D522-C21E-496B-9084-9B4EDF6FE935}"/>
    <cellStyle name="Input 2 2 3 16" xfId="9060" xr:uid="{3A3B9AD5-0DB8-487A-80DB-1549EF238B41}"/>
    <cellStyle name="Input 2 2 3 17" xfId="9061" xr:uid="{2E0EAEC9-6D13-4944-B5A5-D4D35305FBE0}"/>
    <cellStyle name="Input 2 2 3 18" xfId="9062" xr:uid="{656A28E3-909B-49E1-BAB3-EFB5D881FBF4}"/>
    <cellStyle name="Input 2 2 3 19" xfId="9063" xr:uid="{1AF6B665-1F6F-4453-B997-97850B232E0E}"/>
    <cellStyle name="Input 2 2 3 19 2" xfId="9064" xr:uid="{E9FBE0A6-0801-4136-AD3E-24FBAA7D67A1}"/>
    <cellStyle name="Input 2 2 3 19_2013" xfId="9065" xr:uid="{0B8B9BF3-BDE1-44AE-AAE4-322ACC518FC9}"/>
    <cellStyle name="Input 2 2 3 2" xfId="9066" xr:uid="{9896C5E8-6E5B-4806-A40E-122FA176FA35}"/>
    <cellStyle name="Input 2 2 3 2 10" xfId="9067" xr:uid="{EEFB4469-8020-460D-BEDE-500322D88362}"/>
    <cellStyle name="Input 2 2 3 2 11" xfId="9068" xr:uid="{2611927A-2C29-4ACE-A926-8D2415FBB88B}"/>
    <cellStyle name="Input 2 2 3 2 12" xfId="9069" xr:uid="{011C8460-EB5B-4E47-9ADF-86ED37150E0F}"/>
    <cellStyle name="Input 2 2 3 2 13" xfId="9070" xr:uid="{91A80B6C-990D-48C1-8555-2A43B16FA55E}"/>
    <cellStyle name="Input 2 2 3 2 14" xfId="9071" xr:uid="{4E605DD3-A164-4408-A352-439DC043661E}"/>
    <cellStyle name="Input 2 2 3 2 15" xfId="9072" xr:uid="{23F1A846-F458-4F1F-BC9F-9C7D39D23052}"/>
    <cellStyle name="Input 2 2 3 2 16" xfId="9073" xr:uid="{CAF369DC-71EE-4CF9-AEEA-3669A8AB759C}"/>
    <cellStyle name="Input 2 2 3 2 17" xfId="9074" xr:uid="{14F78028-147D-4C8D-840F-2C8E18315F70}"/>
    <cellStyle name="Input 2 2 3 2 18" xfId="9075" xr:uid="{2FBD7B20-5AA8-4F5F-97A0-DA16CD74C203}"/>
    <cellStyle name="Input 2 2 3 2 18 2" xfId="9076" xr:uid="{D0DD3697-7FEB-42B1-8C9B-2B58A729AD3D}"/>
    <cellStyle name="Input 2 2 3 2 18_2013" xfId="9077" xr:uid="{70CB0770-1A8F-45D3-B3AC-034612D1A271}"/>
    <cellStyle name="Input 2 2 3 2 19" xfId="9078" xr:uid="{27E064FE-2777-442B-8709-C5931D5A59CD}"/>
    <cellStyle name="Input 2 2 3 2 2" xfId="9079" xr:uid="{BDF82872-3D39-40C9-A446-01FFE75143CB}"/>
    <cellStyle name="Input 2 2 3 2 3" xfId="9080" xr:uid="{4D7EDE74-3501-4E37-95E0-A686977C275B}"/>
    <cellStyle name="Input 2 2 3 2 4" xfId="9081" xr:uid="{F50311C7-D861-4A84-9E49-304FCF55BBAE}"/>
    <cellStyle name="Input 2 2 3 2 5" xfId="9082" xr:uid="{610E926D-6D28-4798-AA6D-5D8A5B6C0441}"/>
    <cellStyle name="Input 2 2 3 2 6" xfId="9083" xr:uid="{63B27004-9B3B-4125-BF87-2E7A5010FC6C}"/>
    <cellStyle name="Input 2 2 3 2 7" xfId="9084" xr:uid="{0372C0C4-3145-4FDD-B745-E53F1DE8E733}"/>
    <cellStyle name="Input 2 2 3 2 8" xfId="9085" xr:uid="{B768F315-5783-43EB-AF3D-6A6D824798B2}"/>
    <cellStyle name="Input 2 2 3 2 9" xfId="9086" xr:uid="{F0330C3F-8DFC-4C18-9C39-46DC5A9F6F7B}"/>
    <cellStyle name="Input 2 2 3 2_2013" xfId="9087" xr:uid="{AA450DD6-46A0-4203-82BD-16BF9A884CDB}"/>
    <cellStyle name="Input 2 2 3 20" xfId="9088" xr:uid="{DB41FB9A-11B7-4723-B3BA-EE087B0FFCA2}"/>
    <cellStyle name="Input 2 2 3 3" xfId="9089" xr:uid="{DF332CB3-43A0-4BFA-A62A-2FB8D7967CD1}"/>
    <cellStyle name="Input 2 2 3 4" xfId="9090" xr:uid="{3F059BE1-4DA5-48BA-AC01-33F563484FEE}"/>
    <cellStyle name="Input 2 2 3 5" xfId="9091" xr:uid="{DF52C26C-AF3C-4AE5-803E-CD3B7EA9A769}"/>
    <cellStyle name="Input 2 2 3 6" xfId="9092" xr:uid="{5C4901C6-3928-477E-A7A6-3A9BCC3B8FE2}"/>
    <cellStyle name="Input 2 2 3 7" xfId="9093" xr:uid="{2EDDD47F-79F6-4D31-8EF0-261012FA9E67}"/>
    <cellStyle name="Input 2 2 3 8" xfId="9094" xr:uid="{1BFEAD02-D809-47E1-8AC2-1CBF0D0A6176}"/>
    <cellStyle name="Input 2 2 3 9" xfId="9095" xr:uid="{4116DF59-7EA6-487C-8AF6-8B7FBD856844}"/>
    <cellStyle name="Input 2 2 3_2013" xfId="9096" xr:uid="{40A74082-0579-4490-8CFE-0CE9BC810434}"/>
    <cellStyle name="Input 2 2 4" xfId="9097" xr:uid="{D363E648-F528-4C7F-A2A6-A607C55D0FC9}"/>
    <cellStyle name="Input 2 2 4 10" xfId="9098" xr:uid="{00FD3036-A4C4-45E7-B80B-3943D1BBDFF5}"/>
    <cellStyle name="Input 2 2 4 11" xfId="9099" xr:uid="{DD64DC03-5C46-4849-A720-C0C04DB5C76D}"/>
    <cellStyle name="Input 2 2 4 12" xfId="9100" xr:uid="{572869F8-9EE9-49D6-8B19-4F857833B644}"/>
    <cellStyle name="Input 2 2 4 13" xfId="9101" xr:uid="{E979C1E8-DC33-4AAD-9EAB-43FACDADCE1A}"/>
    <cellStyle name="Input 2 2 4 14" xfId="9102" xr:uid="{C6A04109-3FD9-4712-AB91-F2A7218AB592}"/>
    <cellStyle name="Input 2 2 4 15" xfId="9103" xr:uid="{CE5AD34B-7DA7-48BF-82C8-E2AD152522B1}"/>
    <cellStyle name="Input 2 2 4 16" xfId="9104" xr:uid="{18453158-58A8-4F1A-BB21-14D658087161}"/>
    <cellStyle name="Input 2 2 4 17" xfId="9105" xr:uid="{48BFECD3-FE39-49B1-B57E-628B5AECE347}"/>
    <cellStyle name="Input 2 2 4 18" xfId="9106" xr:uid="{9B9F3718-3406-4F49-8DB1-DEAD264D6C46}"/>
    <cellStyle name="Input 2 2 4 19" xfId="9107" xr:uid="{E73EF2A5-A679-437D-8033-ED7C0AD5545B}"/>
    <cellStyle name="Input 2 2 4 19 2" xfId="9108" xr:uid="{625BC22E-6798-4313-BDD6-71F37F06DC78}"/>
    <cellStyle name="Input 2 2 4 19_2013" xfId="9109" xr:uid="{ED6F587B-BF9C-4666-93D9-2E0C5BEEE257}"/>
    <cellStyle name="Input 2 2 4 2" xfId="9110" xr:uid="{4199169D-C497-4E6A-A4DE-F02D638F9C79}"/>
    <cellStyle name="Input 2 2 4 2 10" xfId="9111" xr:uid="{768D246A-333D-4241-AD54-2CA89130BC3B}"/>
    <cellStyle name="Input 2 2 4 2 11" xfId="9112" xr:uid="{B5CE7966-0B97-45F5-BCFA-B217C23983B0}"/>
    <cellStyle name="Input 2 2 4 2 12" xfId="9113" xr:uid="{32D83A78-2F61-4FCE-ADB2-9F9BC2FFB145}"/>
    <cellStyle name="Input 2 2 4 2 13" xfId="9114" xr:uid="{51801A70-FB40-4EB1-B022-8D55E7AF5EF2}"/>
    <cellStyle name="Input 2 2 4 2 14" xfId="9115" xr:uid="{D4A8CA3E-ADDD-418C-A2E3-1E989A0827B3}"/>
    <cellStyle name="Input 2 2 4 2 15" xfId="9116" xr:uid="{A5E8F27F-1121-4740-8759-1D59FE5F3E03}"/>
    <cellStyle name="Input 2 2 4 2 16" xfId="9117" xr:uid="{29662469-5A24-471A-AD6D-29977FEE9439}"/>
    <cellStyle name="Input 2 2 4 2 17" xfId="9118" xr:uid="{11259AEE-26F4-47E6-AB55-519E910AD536}"/>
    <cellStyle name="Input 2 2 4 2 18" xfId="9119" xr:uid="{1D1E6F86-0ED4-4223-9342-A2696F918C35}"/>
    <cellStyle name="Input 2 2 4 2 18 2" xfId="9120" xr:uid="{05798D4C-0AFE-46D2-936F-86BEAE282149}"/>
    <cellStyle name="Input 2 2 4 2 18_2013" xfId="9121" xr:uid="{E420F170-FE17-45BE-B549-803611925578}"/>
    <cellStyle name="Input 2 2 4 2 19" xfId="9122" xr:uid="{D7165A73-C22F-4063-BCBF-E0282ADBD400}"/>
    <cellStyle name="Input 2 2 4 2 2" xfId="9123" xr:uid="{72C3EAE3-A872-466A-8B2A-05060CD25866}"/>
    <cellStyle name="Input 2 2 4 2 3" xfId="9124" xr:uid="{38345561-F4ED-4AEE-80AD-081D3FE68CAE}"/>
    <cellStyle name="Input 2 2 4 2 4" xfId="9125" xr:uid="{87833F9D-12C9-48E6-BBCF-63A51AE4C619}"/>
    <cellStyle name="Input 2 2 4 2 5" xfId="9126" xr:uid="{052FC382-DF87-4BAA-BA90-73C2398B9452}"/>
    <cellStyle name="Input 2 2 4 2 6" xfId="9127" xr:uid="{EE3642D5-88F1-4CF1-A011-0238C08F9B4A}"/>
    <cellStyle name="Input 2 2 4 2 7" xfId="9128" xr:uid="{CAAFEB67-62F0-4596-BE24-3A883F72637D}"/>
    <cellStyle name="Input 2 2 4 2 8" xfId="9129" xr:uid="{263B831F-72B7-426B-A333-73B35A8A6F18}"/>
    <cellStyle name="Input 2 2 4 2 9" xfId="9130" xr:uid="{D84CDD3A-5866-49A3-A9E1-66A763F864B4}"/>
    <cellStyle name="Input 2 2 4 2_2013" xfId="9131" xr:uid="{37F6EFE3-4CAA-465F-A036-8666B913F793}"/>
    <cellStyle name="Input 2 2 4 20" xfId="9132" xr:uid="{8D931425-A1B8-406D-A9E1-4CC6247CA001}"/>
    <cellStyle name="Input 2 2 4 3" xfId="9133" xr:uid="{6C141B34-7EC5-4175-8CB7-10D52A610609}"/>
    <cellStyle name="Input 2 2 4 4" xfId="9134" xr:uid="{CDC0F5C1-5087-4785-BA35-A9B0314813CE}"/>
    <cellStyle name="Input 2 2 4 5" xfId="9135" xr:uid="{FC61510B-B196-4DFE-98A5-441E16F8B72A}"/>
    <cellStyle name="Input 2 2 4 6" xfId="9136" xr:uid="{A06B138A-C223-4DC5-89A0-59B65DD2F6C2}"/>
    <cellStyle name="Input 2 2 4 7" xfId="9137" xr:uid="{D4C2CE57-8FD3-4884-A367-ED1832094CFC}"/>
    <cellStyle name="Input 2 2 4 8" xfId="9138" xr:uid="{3B6E131E-E8E8-45B4-ADBB-8077BAF173FD}"/>
    <cellStyle name="Input 2 2 4 9" xfId="9139" xr:uid="{D76A1209-1115-4F95-A8D5-EBB14205BBC1}"/>
    <cellStyle name="Input 2 2 4_2013" xfId="9140" xr:uid="{795EC216-CD16-497E-BEA8-D84F199BA734}"/>
    <cellStyle name="Input 2 2 5" xfId="9141" xr:uid="{5617A119-C51F-424A-99F7-AD16E39509FF}"/>
    <cellStyle name="Input 2 2 5 10" xfId="9142" xr:uid="{6FFCEFB6-9322-41DA-AA17-F385C921DD1E}"/>
    <cellStyle name="Input 2 2 5 11" xfId="9143" xr:uid="{CA57D083-5866-4586-8552-A57D58D69EF5}"/>
    <cellStyle name="Input 2 2 5 12" xfId="9144" xr:uid="{D03EF585-8149-46A8-8ED3-343F1480E103}"/>
    <cellStyle name="Input 2 2 5 13" xfId="9145" xr:uid="{BA64F459-4884-4198-B6DE-96F82AD1CA38}"/>
    <cellStyle name="Input 2 2 5 14" xfId="9146" xr:uid="{6B23EAB7-DF71-43E7-A53B-57BF47526297}"/>
    <cellStyle name="Input 2 2 5 15" xfId="9147" xr:uid="{995A3246-A96F-440B-A403-417A968F6438}"/>
    <cellStyle name="Input 2 2 5 16" xfId="9148" xr:uid="{BF616872-A36C-4C5F-A954-45387AE894E4}"/>
    <cellStyle name="Input 2 2 5 17" xfId="9149" xr:uid="{6EBD3823-E253-4046-A50A-D61299A295DC}"/>
    <cellStyle name="Input 2 2 5 18" xfId="9150" xr:uid="{129A5E65-33C0-4A5D-ACA1-2F133C33F498}"/>
    <cellStyle name="Input 2 2 5 18 2" xfId="9151" xr:uid="{49EF1C44-6BB9-48BF-B4D4-03F8052C80FD}"/>
    <cellStyle name="Input 2 2 5 18_2013" xfId="9152" xr:uid="{CF53AE20-1018-4261-89EF-6FC17BF63F58}"/>
    <cellStyle name="Input 2 2 5 19" xfId="9153" xr:uid="{E8240F6C-707C-479E-9D24-3D051EF1A6C5}"/>
    <cellStyle name="Input 2 2 5 2" xfId="9154" xr:uid="{70015F8F-D7AB-459A-B9AD-B4E2A75087FC}"/>
    <cellStyle name="Input 2 2 5 3" xfId="9155" xr:uid="{E14FB8A7-E6F3-49E9-B246-EEF0F2F0A227}"/>
    <cellStyle name="Input 2 2 5 4" xfId="9156" xr:uid="{99E6334F-64BE-4E1F-A4F5-A0915108BB1D}"/>
    <cellStyle name="Input 2 2 5 5" xfId="9157" xr:uid="{E689EE75-6F1A-4A62-8B64-342510BC4398}"/>
    <cellStyle name="Input 2 2 5 6" xfId="9158" xr:uid="{573AC381-ACCE-4E0A-905E-5E62A0EB9E76}"/>
    <cellStyle name="Input 2 2 5 7" xfId="9159" xr:uid="{C7269599-B6E3-4B2C-AAFE-E404C227A2B9}"/>
    <cellStyle name="Input 2 2 5 8" xfId="9160" xr:uid="{6C14129B-39CB-4123-9573-E5BC1881DD82}"/>
    <cellStyle name="Input 2 2 5 9" xfId="9161" xr:uid="{1D021A19-1D8F-449D-AA9F-6988D5540D9D}"/>
    <cellStyle name="Input 2 2 5_2013" xfId="9162" xr:uid="{4484E19B-4E81-401D-9209-49068AD2E07C}"/>
    <cellStyle name="Input 2 2 6" xfId="9163" xr:uid="{ABA8C615-2231-484A-BD0F-CD9887953F42}"/>
    <cellStyle name="Input 2 2 7" xfId="9164" xr:uid="{A96AFDD0-C0FE-44EB-8FF5-3D908E7E5E99}"/>
    <cellStyle name="Input 2 2 8" xfId="9165" xr:uid="{F6E71845-8F38-4412-A9B4-C2A8EECABA39}"/>
    <cellStyle name="Input 2 2 9" xfId="9166" xr:uid="{576C55DE-BDD9-4297-B0AE-290264E89D9B}"/>
    <cellStyle name="Input 2 2_2013" xfId="9167" xr:uid="{F6566675-4EC3-4FF3-9EE8-DC55FA20C42E}"/>
    <cellStyle name="Input 2 20" xfId="9168" xr:uid="{7243080A-25A9-44E2-8EB3-DE43F556629A}"/>
    <cellStyle name="Input 2 21" xfId="9169" xr:uid="{9F90FD4A-B4F1-4C78-81E6-95A5040A4916}"/>
    <cellStyle name="Input 2 22" xfId="9170" xr:uid="{651011E4-12F1-40FB-A97A-F57292548C4B}"/>
    <cellStyle name="Input 2 23" xfId="9171" xr:uid="{95E45B49-D566-4878-AFB6-E7846F14D6F2}"/>
    <cellStyle name="Input 2 24" xfId="9172" xr:uid="{7A8474B6-65F7-4795-AB41-98FC8605DFD9}"/>
    <cellStyle name="Input 2 25" xfId="9173" xr:uid="{371686C4-E146-43B1-9C5E-9600514A4EDF}"/>
    <cellStyle name="Input 2 26" xfId="9174" xr:uid="{12B4687D-D911-4DA3-83A0-988696E7731D}"/>
    <cellStyle name="Input 2 27" xfId="9175" xr:uid="{DABCC4BB-DCE4-4A0A-8A87-4F570C65C5D9}"/>
    <cellStyle name="Input 2 28" xfId="9176" xr:uid="{638BB1D5-C892-4143-8BEC-C3B0B3AC7367}"/>
    <cellStyle name="Input 2 3" xfId="9177" xr:uid="{7C87A6A4-9D29-4736-8DBD-AE5BEEEDCF6A}"/>
    <cellStyle name="Input 2 3 10" xfId="9178" xr:uid="{8C8DAD73-59DA-4A7E-A4F5-FDDDC1059AD8}"/>
    <cellStyle name="Input 2 3 11" xfId="9179" xr:uid="{26EDD929-8EE4-468C-B6CB-94C1666AC3C2}"/>
    <cellStyle name="Input 2 3 12" xfId="9180" xr:uid="{AEF30AB8-6CB9-4396-AD56-C07566883617}"/>
    <cellStyle name="Input 2 3 13" xfId="9181" xr:uid="{1D7169B6-1A42-481B-8484-8416C0A51BF2}"/>
    <cellStyle name="Input 2 3 14" xfId="9182" xr:uid="{B6A6853B-4D3D-4223-837A-885C9C6AC23E}"/>
    <cellStyle name="Input 2 3 15" xfId="9183" xr:uid="{FFC53BC4-315C-4041-86C1-0FD72C09D587}"/>
    <cellStyle name="Input 2 3 16" xfId="9184" xr:uid="{F04994C1-A76E-45CF-A97C-C868870E8E16}"/>
    <cellStyle name="Input 2 3 17" xfId="9185" xr:uid="{200C506B-4BE9-42A5-90D0-6543CBCF4DAB}"/>
    <cellStyle name="Input 2 3 18" xfId="9186" xr:uid="{EC6AAB99-B8AB-4F6F-B509-C0EE1F395F44}"/>
    <cellStyle name="Input 2 3 19" xfId="9187" xr:uid="{6FF9B15E-B31A-4D72-9F56-D44C8FDB7F6C}"/>
    <cellStyle name="Input 2 3 2" xfId="9188" xr:uid="{55C29794-57FA-4EDD-8F5B-74D8D8A8B155}"/>
    <cellStyle name="Input 2 3 2 10" xfId="9189" xr:uid="{82D45334-C90B-4F7C-9621-7760B5A979E6}"/>
    <cellStyle name="Input 2 3 2 11" xfId="9190" xr:uid="{6DC66F6E-9B6D-48AE-BE79-72BA1868351A}"/>
    <cellStyle name="Input 2 3 2 12" xfId="9191" xr:uid="{D788E08F-A010-4B6B-8363-6F69E4B85CAE}"/>
    <cellStyle name="Input 2 3 2 13" xfId="9192" xr:uid="{F4099633-6139-4978-8944-668DCE5C6260}"/>
    <cellStyle name="Input 2 3 2 14" xfId="9193" xr:uid="{85E69F30-95C1-4F03-B5AB-B0BBBEFDB92B}"/>
    <cellStyle name="Input 2 3 2 15" xfId="9194" xr:uid="{ED5DB038-67B1-4AD7-8CF2-00F6F21ECD93}"/>
    <cellStyle name="Input 2 3 2 16" xfId="9195" xr:uid="{A7F9691E-6931-4C3F-98BC-9DFD602BD2D1}"/>
    <cellStyle name="Input 2 3 2 17" xfId="9196" xr:uid="{27DD771F-27DE-473C-ACAE-6ED5F3D10EAE}"/>
    <cellStyle name="Input 2 3 2 18" xfId="9197" xr:uid="{BFC65316-A9A3-483C-92E9-0861BAC76306}"/>
    <cellStyle name="Input 2 3 2 19" xfId="9198" xr:uid="{A4FF52EE-9995-4B91-AC99-E2448E13C28F}"/>
    <cellStyle name="Input 2 3 2 19 2" xfId="9199" xr:uid="{EC181579-BBDC-4C58-95A4-C6554A5EEA2D}"/>
    <cellStyle name="Input 2 3 2 19_2013" xfId="9200" xr:uid="{BDCC7DD0-6674-4CD7-B521-654FEC61742F}"/>
    <cellStyle name="Input 2 3 2 2" xfId="9201" xr:uid="{6B6B70F8-A9E9-4157-A019-E024EBCA9F2A}"/>
    <cellStyle name="Input 2 3 2 2 10" xfId="9202" xr:uid="{61F8CF59-7838-48F4-8935-6DD87E89B5B7}"/>
    <cellStyle name="Input 2 3 2 2 11" xfId="9203" xr:uid="{02D56637-ED8A-4660-A52A-FCB2E63AE98B}"/>
    <cellStyle name="Input 2 3 2 2 12" xfId="9204" xr:uid="{A159AD87-F1ED-4861-BA1A-861F0698B150}"/>
    <cellStyle name="Input 2 3 2 2 13" xfId="9205" xr:uid="{D0E199E3-99EB-4BA7-BAEA-74BC3C374A8F}"/>
    <cellStyle name="Input 2 3 2 2 14" xfId="9206" xr:uid="{909ECA72-A4CE-4393-84C1-4282177AE60A}"/>
    <cellStyle name="Input 2 3 2 2 15" xfId="9207" xr:uid="{C2939AB2-60E6-43CA-829E-21AC9DB7C679}"/>
    <cellStyle name="Input 2 3 2 2 16" xfId="9208" xr:uid="{0DE0BD8B-A80C-47CE-BBED-22862732A80A}"/>
    <cellStyle name="Input 2 3 2 2 17" xfId="9209" xr:uid="{1EEF9675-0C81-4990-BDA3-3EDC4A6A2383}"/>
    <cellStyle name="Input 2 3 2 2 18" xfId="9210" xr:uid="{7E00EB71-F0A1-493B-8C76-F6534F5FB1D1}"/>
    <cellStyle name="Input 2 3 2 2 18 2" xfId="9211" xr:uid="{5E7714BE-B4BB-4AA1-8363-9C3331165163}"/>
    <cellStyle name="Input 2 3 2 2 18_2013" xfId="9212" xr:uid="{868DFE7D-2DB5-436E-8F4A-62821B653A27}"/>
    <cellStyle name="Input 2 3 2 2 19" xfId="9213" xr:uid="{08489A2F-11B0-46D9-9E2C-441E7F3E3D5F}"/>
    <cellStyle name="Input 2 3 2 2 2" xfId="9214" xr:uid="{4F10F021-F611-494A-9E46-9C4CDF60F114}"/>
    <cellStyle name="Input 2 3 2 2 3" xfId="9215" xr:uid="{22C01EA7-8061-4FB6-A2BB-9779C2296B02}"/>
    <cellStyle name="Input 2 3 2 2 4" xfId="9216" xr:uid="{F9EBCAEB-75FC-467A-A105-D64A4FC069C4}"/>
    <cellStyle name="Input 2 3 2 2 5" xfId="9217" xr:uid="{D44740B6-3210-40C9-B403-6B7714F84C84}"/>
    <cellStyle name="Input 2 3 2 2 6" xfId="9218" xr:uid="{6CCAC65F-17CF-4DC9-A8BE-72662681FA3B}"/>
    <cellStyle name="Input 2 3 2 2 7" xfId="9219" xr:uid="{EBD03983-0D9A-4F6B-8A4A-35C2E7267370}"/>
    <cellStyle name="Input 2 3 2 2 8" xfId="9220" xr:uid="{43FBD429-AE18-4506-AE2C-6AC5B583E0DF}"/>
    <cellStyle name="Input 2 3 2 2 9" xfId="9221" xr:uid="{1DF9142B-D8BD-46B9-A5B8-843D68989BFA}"/>
    <cellStyle name="Input 2 3 2 2_2013" xfId="9222" xr:uid="{7B4D6641-FD06-4934-9A8A-AA09F1AEEF9D}"/>
    <cellStyle name="Input 2 3 2 20" xfId="9223" xr:uid="{464B2120-EBBA-4596-8429-4C20492BE670}"/>
    <cellStyle name="Input 2 3 2 3" xfId="9224" xr:uid="{D6D5685E-3134-4B37-9E41-57BF33E8EFB8}"/>
    <cellStyle name="Input 2 3 2 4" xfId="9225" xr:uid="{5220EAD6-7619-4FCB-A088-FA928CCD1BDA}"/>
    <cellStyle name="Input 2 3 2 5" xfId="9226" xr:uid="{F86E62B4-0FD1-40D9-AEC1-51259395DFA2}"/>
    <cellStyle name="Input 2 3 2 6" xfId="9227" xr:uid="{8836605D-47C2-4CD9-8EF7-B2F8AD78D41B}"/>
    <cellStyle name="Input 2 3 2 7" xfId="9228" xr:uid="{0B829FBA-A78C-4C2A-8146-69D09B3DF641}"/>
    <cellStyle name="Input 2 3 2 8" xfId="9229" xr:uid="{515B3F6F-6E95-4284-85CE-80A3D950D688}"/>
    <cellStyle name="Input 2 3 2 9" xfId="9230" xr:uid="{30ED75E8-0573-45BB-A150-F78C2F595010}"/>
    <cellStyle name="Input 2 3 2_2013" xfId="9231" xr:uid="{E43D2197-6F38-4AF7-9085-FDFFC4F9061D}"/>
    <cellStyle name="Input 2 3 20" xfId="9232" xr:uid="{BD4B7FB9-69EC-45F9-A690-0D1CFDC4DB2D}"/>
    <cellStyle name="Input 2 3 21" xfId="9233" xr:uid="{EDE4D148-EE22-4A9F-9258-ACE0EF0B6882}"/>
    <cellStyle name="Input 2 3 22" xfId="9234" xr:uid="{30ABA7C1-F922-4468-9EDD-88D8D3A4CD48}"/>
    <cellStyle name="Input 2 3 22 2" xfId="9235" xr:uid="{7AFC259F-78F9-4815-8B0A-477DBBB5709E}"/>
    <cellStyle name="Input 2 3 22_2013" xfId="9236" xr:uid="{6BD70342-993D-4CE7-B691-5613D975E7E0}"/>
    <cellStyle name="Input 2 3 23" xfId="9237" xr:uid="{53BBFCC0-15B6-4462-86FA-0F56A95285EC}"/>
    <cellStyle name="Input 2 3 3" xfId="9238" xr:uid="{23F30FB9-9FF0-4949-AFBD-7E1ABC22C4B8}"/>
    <cellStyle name="Input 2 3 3 10" xfId="9239" xr:uid="{C630FA71-7B75-429B-A7F0-3900EED7ED78}"/>
    <cellStyle name="Input 2 3 3 11" xfId="9240" xr:uid="{0C41DC7E-E4A7-4488-8F4C-9E7783C4F239}"/>
    <cellStyle name="Input 2 3 3 12" xfId="9241" xr:uid="{4BDE2806-50A1-4040-8F93-652EA767BD4F}"/>
    <cellStyle name="Input 2 3 3 13" xfId="9242" xr:uid="{6654EA02-7588-4125-89B3-BEF329098122}"/>
    <cellStyle name="Input 2 3 3 14" xfId="9243" xr:uid="{4493E305-EDDB-4C2F-A6ED-C84C272793CA}"/>
    <cellStyle name="Input 2 3 3 15" xfId="9244" xr:uid="{6469DC10-8280-44BE-85B8-F7F23D3230E7}"/>
    <cellStyle name="Input 2 3 3 16" xfId="9245" xr:uid="{823147C7-8DD7-4CFC-8C0D-4451D1BA73FA}"/>
    <cellStyle name="Input 2 3 3 17" xfId="9246" xr:uid="{79C7708B-0884-441D-8A1F-0DA2C2A1DC1D}"/>
    <cellStyle name="Input 2 3 3 18" xfId="9247" xr:uid="{0BCB4CCF-C260-4BAE-B4CB-AF9BE01C4B61}"/>
    <cellStyle name="Input 2 3 3 19" xfId="9248" xr:uid="{2F0D9D69-FA17-4DA4-9423-9BD039DABA12}"/>
    <cellStyle name="Input 2 3 3 19 2" xfId="9249" xr:uid="{C295238B-814C-4DA1-BDFF-662DB2D125E6}"/>
    <cellStyle name="Input 2 3 3 19_2013" xfId="9250" xr:uid="{79E159EE-AE36-4E52-AF76-A518DD1A5C5F}"/>
    <cellStyle name="Input 2 3 3 2" xfId="9251" xr:uid="{236C6809-EE3E-4E20-93B0-BC2E5AC69E6D}"/>
    <cellStyle name="Input 2 3 3 2 10" xfId="9252" xr:uid="{591FDE93-3343-4025-8E0D-8E30319D3F18}"/>
    <cellStyle name="Input 2 3 3 2 11" xfId="9253" xr:uid="{B7AFAF21-0815-4D6A-A7F5-44E7CC6F304A}"/>
    <cellStyle name="Input 2 3 3 2 12" xfId="9254" xr:uid="{2018568D-149D-46F8-9790-D415AD64D281}"/>
    <cellStyle name="Input 2 3 3 2 13" xfId="9255" xr:uid="{E83F0ECC-CCDE-4B55-85C6-0C1D73F87B6F}"/>
    <cellStyle name="Input 2 3 3 2 14" xfId="9256" xr:uid="{F4F3D3F4-381F-4B40-82C0-E4720334C35D}"/>
    <cellStyle name="Input 2 3 3 2 15" xfId="9257" xr:uid="{5711A236-9775-4B39-A04B-EB33DCF1126B}"/>
    <cellStyle name="Input 2 3 3 2 16" xfId="9258" xr:uid="{55DC7769-94C2-43A1-80B4-C45F4C495B5E}"/>
    <cellStyle name="Input 2 3 3 2 17" xfId="9259" xr:uid="{7A7F11E2-E08E-4A31-83EE-FF14194C1E75}"/>
    <cellStyle name="Input 2 3 3 2 18" xfId="9260" xr:uid="{A3D25414-3D42-4717-83E1-8764718CEFDE}"/>
    <cellStyle name="Input 2 3 3 2 18 2" xfId="9261" xr:uid="{6CFF59BE-E00F-4BCC-A48F-09F6A89C8523}"/>
    <cellStyle name="Input 2 3 3 2 18_2013" xfId="9262" xr:uid="{3AB93267-A5A4-4CEA-92F3-427451EB9A58}"/>
    <cellStyle name="Input 2 3 3 2 19" xfId="9263" xr:uid="{E0EE20EE-4367-4076-B73E-8C86960D2C7F}"/>
    <cellStyle name="Input 2 3 3 2 2" xfId="9264" xr:uid="{1553C80A-BFE1-4AC9-A0D0-AE17E533904F}"/>
    <cellStyle name="Input 2 3 3 2 3" xfId="9265" xr:uid="{6C4EF7BF-E008-4E5B-9E8C-0A9285140D25}"/>
    <cellStyle name="Input 2 3 3 2 4" xfId="9266" xr:uid="{C6891889-A55E-408E-A1C0-3FB05CB97B2A}"/>
    <cellStyle name="Input 2 3 3 2 5" xfId="9267" xr:uid="{82F1657D-1622-471C-B44A-01FD005BE4ED}"/>
    <cellStyle name="Input 2 3 3 2 6" xfId="9268" xr:uid="{3AE0D01E-4E7D-4D98-9DAF-CC0E8AD97CA1}"/>
    <cellStyle name="Input 2 3 3 2 7" xfId="9269" xr:uid="{7EE36B9A-471F-456B-BCD1-95C96B352172}"/>
    <cellStyle name="Input 2 3 3 2 8" xfId="9270" xr:uid="{6B7729DE-15F5-43DF-AA1F-4C630A1D2C71}"/>
    <cellStyle name="Input 2 3 3 2 9" xfId="9271" xr:uid="{0310502F-C00E-4215-A7AA-27BD302C72F5}"/>
    <cellStyle name="Input 2 3 3 2_2013" xfId="9272" xr:uid="{60C206C0-AC41-4A37-BBC1-438CA544685E}"/>
    <cellStyle name="Input 2 3 3 20" xfId="9273" xr:uid="{3F8F8F2E-36CC-40E8-8AA0-001C2797C733}"/>
    <cellStyle name="Input 2 3 3 3" xfId="9274" xr:uid="{F14C170B-06AC-4A18-BC4E-E69EB506A00C}"/>
    <cellStyle name="Input 2 3 3 4" xfId="9275" xr:uid="{57127535-2FE1-41B0-AA30-4C0F9740D620}"/>
    <cellStyle name="Input 2 3 3 5" xfId="9276" xr:uid="{7CF50E80-A588-43BE-928F-E2C233132DD2}"/>
    <cellStyle name="Input 2 3 3 6" xfId="9277" xr:uid="{E14A82A7-6024-48A3-8E1C-DAD8254E4D09}"/>
    <cellStyle name="Input 2 3 3 7" xfId="9278" xr:uid="{B3ED4B94-4E01-42A4-9656-8701F74E1B99}"/>
    <cellStyle name="Input 2 3 3 8" xfId="9279" xr:uid="{0F7A1073-A7D8-4E71-98FC-1FF4932DD10D}"/>
    <cellStyle name="Input 2 3 3 9" xfId="9280" xr:uid="{2C4B026F-6A05-43D2-BBDC-CDF1E7EF1C32}"/>
    <cellStyle name="Input 2 3 3_2013" xfId="9281" xr:uid="{C2606CCC-5CB1-49AC-B520-B20D3DF1654B}"/>
    <cellStyle name="Input 2 3 4" xfId="9282" xr:uid="{56A68764-BCDF-4201-AFF7-B9D6729CE147}"/>
    <cellStyle name="Input 2 3 4 10" xfId="9283" xr:uid="{06E92112-12A7-48EE-8838-7A4DECF69D1E}"/>
    <cellStyle name="Input 2 3 4 11" xfId="9284" xr:uid="{FF72D4F6-31E7-437C-97C4-D44713E7DEF2}"/>
    <cellStyle name="Input 2 3 4 12" xfId="9285" xr:uid="{47F08082-B6D8-4602-80E5-5DA8C2D35CBC}"/>
    <cellStyle name="Input 2 3 4 13" xfId="9286" xr:uid="{A3C98A46-28C8-45D6-9634-0BFF7307DD60}"/>
    <cellStyle name="Input 2 3 4 14" xfId="9287" xr:uid="{3568835B-9A28-48E5-8918-27A817A93B8D}"/>
    <cellStyle name="Input 2 3 4 15" xfId="9288" xr:uid="{06393E45-35C0-44F0-80DF-1C4C38C9D6DD}"/>
    <cellStyle name="Input 2 3 4 16" xfId="9289" xr:uid="{76FCFC8E-BFC0-4CBB-BE63-3AF1340DA8A4}"/>
    <cellStyle name="Input 2 3 4 17" xfId="9290" xr:uid="{48188231-FC4D-49BB-9477-61532F5F9F23}"/>
    <cellStyle name="Input 2 3 4 18" xfId="9291" xr:uid="{AAE669AC-8D6D-443A-8AF2-D63A4F2C1E48}"/>
    <cellStyle name="Input 2 3 4 19" xfId="9292" xr:uid="{4FB7D901-67B3-4740-88B4-32C8009927E5}"/>
    <cellStyle name="Input 2 3 4 19 2" xfId="9293" xr:uid="{BEEA1CD2-8326-4CD0-AC7B-3BEE0D5C1889}"/>
    <cellStyle name="Input 2 3 4 19_2013" xfId="9294" xr:uid="{DFB7083A-7CE8-41FC-B828-A6C0EA91EB69}"/>
    <cellStyle name="Input 2 3 4 2" xfId="9295" xr:uid="{56EC4161-4901-47AF-A41F-F07859CAFA40}"/>
    <cellStyle name="Input 2 3 4 2 10" xfId="9296" xr:uid="{F605F5E4-68D0-485C-9418-555B4E971948}"/>
    <cellStyle name="Input 2 3 4 2 11" xfId="9297" xr:uid="{CA8B2DA5-04FA-4832-9EF1-C91A9D6D6B67}"/>
    <cellStyle name="Input 2 3 4 2 12" xfId="9298" xr:uid="{9F0126C5-309A-4CE7-8AAB-0772F956A700}"/>
    <cellStyle name="Input 2 3 4 2 13" xfId="9299" xr:uid="{C3A37F2F-6751-4E04-8E85-133FB03DE36E}"/>
    <cellStyle name="Input 2 3 4 2 14" xfId="9300" xr:uid="{53ACC89F-3159-409C-8C5E-01BE15B7CA9A}"/>
    <cellStyle name="Input 2 3 4 2 15" xfId="9301" xr:uid="{DEB41B60-7273-479B-BF1B-7A10297E9A07}"/>
    <cellStyle name="Input 2 3 4 2 16" xfId="9302" xr:uid="{630E7130-71D0-4CD2-ADC8-4CB4653600D2}"/>
    <cellStyle name="Input 2 3 4 2 17" xfId="9303" xr:uid="{6256BF4C-8B65-4392-98DC-ABD3E6BB1598}"/>
    <cellStyle name="Input 2 3 4 2 18" xfId="9304" xr:uid="{C3F44E9C-9844-4C03-A4A0-423DC311ACF4}"/>
    <cellStyle name="Input 2 3 4 2 18 2" xfId="9305" xr:uid="{9FB6CF7C-8CB3-40E6-AADD-4EBD41A7FB1E}"/>
    <cellStyle name="Input 2 3 4 2 18_2013" xfId="9306" xr:uid="{AF12EB4A-48C4-472A-974B-D35816525692}"/>
    <cellStyle name="Input 2 3 4 2 19" xfId="9307" xr:uid="{7900E03E-E0BD-43E1-A89D-0175F46DDFE0}"/>
    <cellStyle name="Input 2 3 4 2 2" xfId="9308" xr:uid="{43938F29-7239-4318-ABED-818B15CCC1DE}"/>
    <cellStyle name="Input 2 3 4 2 3" xfId="9309" xr:uid="{13170057-7321-45F7-B9A9-507AD4F29F09}"/>
    <cellStyle name="Input 2 3 4 2 4" xfId="9310" xr:uid="{9B25611F-F02C-43F2-BA3D-44D00146440A}"/>
    <cellStyle name="Input 2 3 4 2 5" xfId="9311" xr:uid="{0426482B-A22F-4A3F-ABBF-FF30DB6FFC3A}"/>
    <cellStyle name="Input 2 3 4 2 6" xfId="9312" xr:uid="{233B5313-697B-45B1-A466-77A6F25531B0}"/>
    <cellStyle name="Input 2 3 4 2 7" xfId="9313" xr:uid="{BEDA8444-6A7D-442A-818A-59FCBA413E5E}"/>
    <cellStyle name="Input 2 3 4 2 8" xfId="9314" xr:uid="{1D116A6D-7781-4A0D-8C1F-42C2467D68FC}"/>
    <cellStyle name="Input 2 3 4 2 9" xfId="9315" xr:uid="{41A1D66E-C5F7-43EF-8858-2B0557B17806}"/>
    <cellStyle name="Input 2 3 4 2_2013" xfId="9316" xr:uid="{F3EDBF5E-299A-45B1-AA65-C2C37451E95C}"/>
    <cellStyle name="Input 2 3 4 20" xfId="9317" xr:uid="{8C34BB0E-47A0-487D-A123-6D3B5E420E8D}"/>
    <cellStyle name="Input 2 3 4 3" xfId="9318" xr:uid="{9ABC1F58-9326-4ABD-98D3-D5D536172380}"/>
    <cellStyle name="Input 2 3 4 4" xfId="9319" xr:uid="{1A102E83-5A2F-459C-A4D6-51B9C1C5485D}"/>
    <cellStyle name="Input 2 3 4 5" xfId="9320" xr:uid="{45A46244-A4B5-463C-AE7D-D5FDC80A6066}"/>
    <cellStyle name="Input 2 3 4 6" xfId="9321" xr:uid="{5D7B146D-D677-4E77-BF23-DC808550C514}"/>
    <cellStyle name="Input 2 3 4 7" xfId="9322" xr:uid="{FC011EB4-BB34-45B0-A9F9-E4569B807A5B}"/>
    <cellStyle name="Input 2 3 4 8" xfId="9323" xr:uid="{B0E006C0-CF74-4B5B-AC1C-6003B423D41A}"/>
    <cellStyle name="Input 2 3 4 9" xfId="9324" xr:uid="{3B4BF24A-161D-406F-9EFF-BF3DBE217EA6}"/>
    <cellStyle name="Input 2 3 4_2013" xfId="9325" xr:uid="{8645003A-1786-4F28-935B-07B30A71231F}"/>
    <cellStyle name="Input 2 3 5" xfId="9326" xr:uid="{9C399382-AB57-4DB5-9604-AC4C53A503D6}"/>
    <cellStyle name="Input 2 3 5 10" xfId="9327" xr:uid="{940F4082-5D0F-4ECF-89F2-711D96C06774}"/>
    <cellStyle name="Input 2 3 5 11" xfId="9328" xr:uid="{97648AA6-86B8-47A2-B6EE-9D2513A8E420}"/>
    <cellStyle name="Input 2 3 5 12" xfId="9329" xr:uid="{85B09DF8-E196-4FBA-9EFF-6EE5DF56579E}"/>
    <cellStyle name="Input 2 3 5 13" xfId="9330" xr:uid="{90777849-4AFF-49CB-8E52-654B6A97A948}"/>
    <cellStyle name="Input 2 3 5 14" xfId="9331" xr:uid="{A90097E6-D642-4E34-BE44-7BD9E36626BA}"/>
    <cellStyle name="Input 2 3 5 15" xfId="9332" xr:uid="{B6967EB5-3784-4475-B6D4-794BABC5B4E4}"/>
    <cellStyle name="Input 2 3 5 16" xfId="9333" xr:uid="{A7A52E9A-F3FC-46F3-8A1B-328039B3D907}"/>
    <cellStyle name="Input 2 3 5 17" xfId="9334" xr:uid="{F304B863-9FB4-4B70-90D1-0C539B1EC1A9}"/>
    <cellStyle name="Input 2 3 5 18" xfId="9335" xr:uid="{5FE8AC2D-73FE-4F26-8B4C-F14C14D80214}"/>
    <cellStyle name="Input 2 3 5 18 2" xfId="9336" xr:uid="{C3B409D7-2828-4470-A8A3-DFAD39CF625A}"/>
    <cellStyle name="Input 2 3 5 18_2013" xfId="9337" xr:uid="{A3CEED17-9E72-4A43-87BB-44F46CA2A0DA}"/>
    <cellStyle name="Input 2 3 5 19" xfId="9338" xr:uid="{C617A728-64AD-4A99-9B06-60026697C46E}"/>
    <cellStyle name="Input 2 3 5 2" xfId="9339" xr:uid="{55FC47C0-BB46-4B81-B978-BA1889D50068}"/>
    <cellStyle name="Input 2 3 5 3" xfId="9340" xr:uid="{FE1849D3-881E-4132-82E3-F2549D525878}"/>
    <cellStyle name="Input 2 3 5 4" xfId="9341" xr:uid="{7A7F3AD4-F2F4-4723-BE03-2C69372BAB2C}"/>
    <cellStyle name="Input 2 3 5 5" xfId="9342" xr:uid="{6E5C0F92-1DB9-4A29-A220-763BFCC13C64}"/>
    <cellStyle name="Input 2 3 5 6" xfId="9343" xr:uid="{24A88D6C-6EB9-46C2-9AD0-A1C7E393E6DB}"/>
    <cellStyle name="Input 2 3 5 7" xfId="9344" xr:uid="{729AF052-3EC7-4840-B51A-F90DB6A3F9C0}"/>
    <cellStyle name="Input 2 3 5 8" xfId="9345" xr:uid="{992D1B2C-4E8B-43C2-8D9F-21A4A1E17180}"/>
    <cellStyle name="Input 2 3 5 9" xfId="9346" xr:uid="{C8EA1375-CF4D-46C6-B81E-5DAB0859CFC0}"/>
    <cellStyle name="Input 2 3 5_2013" xfId="9347" xr:uid="{E74955DF-8B4D-4C6D-A3A4-05A88EA51E91}"/>
    <cellStyle name="Input 2 3 6" xfId="9348" xr:uid="{8F1EAC03-A07F-4E5B-9E0E-2DF7DF38D4E1}"/>
    <cellStyle name="Input 2 3 7" xfId="9349" xr:uid="{9C39C9CA-9BBA-49C2-963D-C92F67AFECB5}"/>
    <cellStyle name="Input 2 3 8" xfId="9350" xr:uid="{6A4E23D2-47A9-4D71-B54D-944790600B21}"/>
    <cellStyle name="Input 2 3 9" xfId="9351" xr:uid="{10CBE110-77D7-4765-9FE1-15F09633CE89}"/>
    <cellStyle name="Input 2 3_2013" xfId="9352" xr:uid="{87F5490F-D287-418B-93CB-165CC2542C07}"/>
    <cellStyle name="Input 2 4" xfId="9353" xr:uid="{D33D6CA7-B64B-4D66-9FC6-CFFE11F2FAE5}"/>
    <cellStyle name="Input 2 4 10" xfId="9354" xr:uid="{27A87E1E-354E-4F19-AA84-F4340CC8E9CD}"/>
    <cellStyle name="Input 2 4 11" xfId="9355" xr:uid="{61F27EA2-2FB4-4341-9D36-03AA31F4B231}"/>
    <cellStyle name="Input 2 4 12" xfId="9356" xr:uid="{D186392A-39E2-450B-9431-FFC405D7F5DB}"/>
    <cellStyle name="Input 2 4 13" xfId="9357" xr:uid="{C62441D4-1B80-49A3-B8F4-30E0184E27E5}"/>
    <cellStyle name="Input 2 4 14" xfId="9358" xr:uid="{C7C70B15-5799-48BD-A3F4-3AB40FB6BCD9}"/>
    <cellStyle name="Input 2 4 15" xfId="9359" xr:uid="{841BA7E7-B10C-4139-AFD4-1BA9E0623653}"/>
    <cellStyle name="Input 2 4 16" xfId="9360" xr:uid="{1A9471FD-03D3-4F91-B310-9C90E7DACB5D}"/>
    <cellStyle name="Input 2 4 17" xfId="9361" xr:uid="{6AF61D72-F911-4158-9498-ED334AB85013}"/>
    <cellStyle name="Input 2 4 18" xfId="9362" xr:uid="{EEE48657-C8EC-4F24-92A7-A65D2FBEC5BC}"/>
    <cellStyle name="Input 2 4 19" xfId="9363" xr:uid="{5B12B64C-B92A-4764-9410-330EBF26FF47}"/>
    <cellStyle name="Input 2 4 2" xfId="9364" xr:uid="{2840B8C5-FB09-43AF-98D1-9EB7E76C799C}"/>
    <cellStyle name="Input 2 4 2 10" xfId="9365" xr:uid="{28928C2A-76E8-4FA7-B053-AAD762D07453}"/>
    <cellStyle name="Input 2 4 2 11" xfId="9366" xr:uid="{A14A63F3-DC47-4A1C-AEAF-17E15723522D}"/>
    <cellStyle name="Input 2 4 2 12" xfId="9367" xr:uid="{F5BABA72-FED7-408E-8E17-1D2A8529FA8C}"/>
    <cellStyle name="Input 2 4 2 13" xfId="9368" xr:uid="{CA941B47-3772-4C77-A4B1-B08275C4B0E0}"/>
    <cellStyle name="Input 2 4 2 14" xfId="9369" xr:uid="{CEB54185-4EF3-47AC-BD20-4F0A283ED4A8}"/>
    <cellStyle name="Input 2 4 2 15" xfId="9370" xr:uid="{6464156D-CE33-4658-A451-9B22F0DAC35E}"/>
    <cellStyle name="Input 2 4 2 16" xfId="9371" xr:uid="{5F65B2AA-A5C9-4B5B-93E0-B6F4F1A23453}"/>
    <cellStyle name="Input 2 4 2 17" xfId="9372" xr:uid="{4FCD7E43-1646-46E9-BC10-FA4773805FCE}"/>
    <cellStyle name="Input 2 4 2 18" xfId="9373" xr:uid="{C9370FE1-C812-4E53-9AE7-29B4215330C1}"/>
    <cellStyle name="Input 2 4 2 19" xfId="9374" xr:uid="{9F786619-2A6A-4BB8-9620-5948BB0EE053}"/>
    <cellStyle name="Input 2 4 2 19 2" xfId="9375" xr:uid="{0156B123-2210-40F8-8DE1-8BE252ADF91F}"/>
    <cellStyle name="Input 2 4 2 19_2013" xfId="9376" xr:uid="{86C1E6D6-8BAE-4F4B-B033-95154298ABA4}"/>
    <cellStyle name="Input 2 4 2 2" xfId="9377" xr:uid="{B12506E7-0D1F-41F3-B9E7-002B05DE0C65}"/>
    <cellStyle name="Input 2 4 2 2 10" xfId="9378" xr:uid="{E1C4D0E8-5C6A-4D47-88E6-EFF341699B67}"/>
    <cellStyle name="Input 2 4 2 2 11" xfId="9379" xr:uid="{4C30C7BB-C3E3-406F-9829-51401469EB15}"/>
    <cellStyle name="Input 2 4 2 2 12" xfId="9380" xr:uid="{938F055B-1978-4E59-9763-95BCDA14D73A}"/>
    <cellStyle name="Input 2 4 2 2 13" xfId="9381" xr:uid="{5E954E54-4E6F-424A-883E-6E359383EF19}"/>
    <cellStyle name="Input 2 4 2 2 14" xfId="9382" xr:uid="{BB9051C1-788C-4759-90AA-244ED1998080}"/>
    <cellStyle name="Input 2 4 2 2 15" xfId="9383" xr:uid="{C4F34CC1-067F-4570-9D11-7645B83A0C4C}"/>
    <cellStyle name="Input 2 4 2 2 16" xfId="9384" xr:uid="{3C292CAB-12C1-44E6-94A6-FFAC076E21FC}"/>
    <cellStyle name="Input 2 4 2 2 17" xfId="9385" xr:uid="{8B89380C-048C-4CD9-8E9B-F4EB90F4F56C}"/>
    <cellStyle name="Input 2 4 2 2 18" xfId="9386" xr:uid="{8C54CF50-8FE0-4CCE-8976-8B8AE8CDA2FB}"/>
    <cellStyle name="Input 2 4 2 2 18 2" xfId="9387" xr:uid="{BEB64FD5-BDFA-4F4A-B4A6-55109C501974}"/>
    <cellStyle name="Input 2 4 2 2 18_2013" xfId="9388" xr:uid="{1C309207-1E02-4F39-BB03-E2F614E6D12D}"/>
    <cellStyle name="Input 2 4 2 2 19" xfId="9389" xr:uid="{1E0280D8-59BF-4CE8-8620-4CF665125FC7}"/>
    <cellStyle name="Input 2 4 2 2 2" xfId="9390" xr:uid="{6A762C87-1C97-4376-A8F9-043825958D9F}"/>
    <cellStyle name="Input 2 4 2 2 3" xfId="9391" xr:uid="{B6B54999-9951-4A18-955D-A7999B19D103}"/>
    <cellStyle name="Input 2 4 2 2 4" xfId="9392" xr:uid="{D52873DA-066C-41CF-B3A3-615DAECFBF0B}"/>
    <cellStyle name="Input 2 4 2 2 5" xfId="9393" xr:uid="{119991CE-7B59-4EC6-B41C-9479E6087483}"/>
    <cellStyle name="Input 2 4 2 2 6" xfId="9394" xr:uid="{3796DE8C-F1A7-4D37-BC7E-9168501F5A03}"/>
    <cellStyle name="Input 2 4 2 2 7" xfId="9395" xr:uid="{C1F49829-0135-4471-B4A5-C7301BE493D9}"/>
    <cellStyle name="Input 2 4 2 2 8" xfId="9396" xr:uid="{CE15BA30-D9EA-4194-81A9-2EEA04C883CB}"/>
    <cellStyle name="Input 2 4 2 2 9" xfId="9397" xr:uid="{F6E22E12-C034-4EA6-A277-1F94ECCCB5D4}"/>
    <cellStyle name="Input 2 4 2 2_2013" xfId="9398" xr:uid="{716F1E91-85C4-41F1-99F8-382BE7E0D2E1}"/>
    <cellStyle name="Input 2 4 2 20" xfId="9399" xr:uid="{D2A0DF9D-9F21-4991-B32A-75F2BE667775}"/>
    <cellStyle name="Input 2 4 2 3" xfId="9400" xr:uid="{F36073BD-1A02-4465-9479-A7D179555099}"/>
    <cellStyle name="Input 2 4 2 4" xfId="9401" xr:uid="{18EB33CD-CFED-40A6-A8CB-6E1AAB1394C1}"/>
    <cellStyle name="Input 2 4 2 5" xfId="9402" xr:uid="{5B89A874-9306-4337-ACBF-0B1F2F65A19E}"/>
    <cellStyle name="Input 2 4 2 6" xfId="9403" xr:uid="{72A37E03-9BCC-4BF8-B010-BE47D153D82D}"/>
    <cellStyle name="Input 2 4 2 7" xfId="9404" xr:uid="{D7EADD95-7BC3-4A0C-B003-AFF007FCFE47}"/>
    <cellStyle name="Input 2 4 2 8" xfId="9405" xr:uid="{59B947D5-2C75-4CE0-A7AC-504E506E4C08}"/>
    <cellStyle name="Input 2 4 2 9" xfId="9406" xr:uid="{0CB41CBA-01E1-4BC9-9D8D-91C0D5E2C471}"/>
    <cellStyle name="Input 2 4 2_2013" xfId="9407" xr:uid="{08786D23-1661-4F80-85E0-78D77C25D6E2}"/>
    <cellStyle name="Input 2 4 20" xfId="9408" xr:uid="{981B2ABA-B5A4-4810-A700-BC1CEF8ABE29}"/>
    <cellStyle name="Input 2 4 21" xfId="9409" xr:uid="{2074B252-532F-4FA5-A7D2-9FFF7FA719DE}"/>
    <cellStyle name="Input 2 4 21 2" xfId="9410" xr:uid="{52F6AA39-3801-4BE7-853A-70D2E770436D}"/>
    <cellStyle name="Input 2 4 21_2013" xfId="9411" xr:uid="{864C129A-0DDD-491F-AFC3-8D28A1D1E3CC}"/>
    <cellStyle name="Input 2 4 22" xfId="9412" xr:uid="{09748CB1-6195-490E-AD1D-E7E6F6DA9621}"/>
    <cellStyle name="Input 2 4 3" xfId="9413" xr:uid="{DFB24F10-DEAD-426E-976C-3B009910A2F3}"/>
    <cellStyle name="Input 2 4 3 10" xfId="9414" xr:uid="{C01EAAF5-1FCD-4EE7-B16B-90417EF85765}"/>
    <cellStyle name="Input 2 4 3 11" xfId="9415" xr:uid="{85C38F24-BC4C-4F65-9B5E-A53E99C739AD}"/>
    <cellStyle name="Input 2 4 3 12" xfId="9416" xr:uid="{A8EA8E03-A938-4E75-B61E-BEFE5A91A49F}"/>
    <cellStyle name="Input 2 4 3 13" xfId="9417" xr:uid="{C7AB7B88-683C-4991-89A7-A408011C9CBE}"/>
    <cellStyle name="Input 2 4 3 14" xfId="9418" xr:uid="{4D978611-42C3-4078-B8B3-9C04787F2D68}"/>
    <cellStyle name="Input 2 4 3 15" xfId="9419" xr:uid="{CD4839B1-CC90-4787-8991-3CBCFFA1BAF5}"/>
    <cellStyle name="Input 2 4 3 16" xfId="9420" xr:uid="{A0FCAD6A-DF3D-4A75-8483-42BFAFBBF7D9}"/>
    <cellStyle name="Input 2 4 3 17" xfId="9421" xr:uid="{917AEB59-1E95-4F6C-AD91-C321A75CE820}"/>
    <cellStyle name="Input 2 4 3 18" xfId="9422" xr:uid="{AA554F46-241A-443A-9D22-D4ECFF314378}"/>
    <cellStyle name="Input 2 4 3 19" xfId="9423" xr:uid="{F0345BB2-BF76-455C-884B-901CEBBBD214}"/>
    <cellStyle name="Input 2 4 3 19 2" xfId="9424" xr:uid="{48E2856A-602F-4EC7-85C6-FA2D386B3097}"/>
    <cellStyle name="Input 2 4 3 19_2013" xfId="9425" xr:uid="{F78429FA-C654-410A-84EA-0FCB2165BCE2}"/>
    <cellStyle name="Input 2 4 3 2" xfId="9426" xr:uid="{943A78DE-E63E-4678-B52A-426F58D35EA5}"/>
    <cellStyle name="Input 2 4 3 2 10" xfId="9427" xr:uid="{274A7D2E-A047-498F-84C7-19CA478D02AD}"/>
    <cellStyle name="Input 2 4 3 2 11" xfId="9428" xr:uid="{BBB07A51-2C8C-4C53-850C-B457FE9EE7B6}"/>
    <cellStyle name="Input 2 4 3 2 12" xfId="9429" xr:uid="{16115618-2A6F-4C19-A668-CF2F0946BED0}"/>
    <cellStyle name="Input 2 4 3 2 13" xfId="9430" xr:uid="{1D7EAE2F-6072-4F0F-92AB-53A1DBD91F0B}"/>
    <cellStyle name="Input 2 4 3 2 14" xfId="9431" xr:uid="{02564104-9559-4C9A-A1CF-216BE1F3AC35}"/>
    <cellStyle name="Input 2 4 3 2 15" xfId="9432" xr:uid="{90F7665C-732A-4511-9240-41D6083C3207}"/>
    <cellStyle name="Input 2 4 3 2 16" xfId="9433" xr:uid="{954A8999-E864-4C98-8703-E80C5D6A571E}"/>
    <cellStyle name="Input 2 4 3 2 17" xfId="9434" xr:uid="{09E8F941-7DF4-45D6-8EB0-C4B6A829AF75}"/>
    <cellStyle name="Input 2 4 3 2 18" xfId="9435" xr:uid="{53D2E1D6-5E2F-4759-A91C-8EBB91374FDE}"/>
    <cellStyle name="Input 2 4 3 2 18 2" xfId="9436" xr:uid="{CFF113D1-52B9-425F-8BC5-2E7297FA8F55}"/>
    <cellStyle name="Input 2 4 3 2 18_2013" xfId="9437" xr:uid="{0C2EB018-175F-4C0B-8164-99FFD5A87414}"/>
    <cellStyle name="Input 2 4 3 2 19" xfId="9438" xr:uid="{0EE643C5-BA7F-4A13-9FA6-44ED03FB026B}"/>
    <cellStyle name="Input 2 4 3 2 2" xfId="9439" xr:uid="{B6E2918B-84BC-4084-9450-FE4C8A051881}"/>
    <cellStyle name="Input 2 4 3 2 3" xfId="9440" xr:uid="{7DB8B6D4-975F-4C2C-B6A4-72CC2B87EA93}"/>
    <cellStyle name="Input 2 4 3 2 4" xfId="9441" xr:uid="{DF9627BF-B5E5-47B2-9273-0DFE372D23A5}"/>
    <cellStyle name="Input 2 4 3 2 5" xfId="9442" xr:uid="{837E4A44-A9B1-40F8-AB24-5EB65FFD6F7D}"/>
    <cellStyle name="Input 2 4 3 2 6" xfId="9443" xr:uid="{92701A4A-7126-4E09-8845-6A31A32938C3}"/>
    <cellStyle name="Input 2 4 3 2 7" xfId="9444" xr:uid="{732F7106-3663-45BB-9B9A-B17E79EE004D}"/>
    <cellStyle name="Input 2 4 3 2 8" xfId="9445" xr:uid="{1A02BFE9-1D59-4428-B92E-4ED4C212BAB1}"/>
    <cellStyle name="Input 2 4 3 2 9" xfId="9446" xr:uid="{23724064-14CB-450F-800B-7929910C686E}"/>
    <cellStyle name="Input 2 4 3 2_2013" xfId="9447" xr:uid="{60FEBBCB-798A-4CC7-87A3-BD6B7838D443}"/>
    <cellStyle name="Input 2 4 3 20" xfId="9448" xr:uid="{BF352069-5CBB-48F0-A208-0DA786A212F8}"/>
    <cellStyle name="Input 2 4 3 3" xfId="9449" xr:uid="{145214C3-28AE-43A1-B88C-46C095204611}"/>
    <cellStyle name="Input 2 4 3 4" xfId="9450" xr:uid="{E0C992CD-99F2-4497-99D1-38651D2C755C}"/>
    <cellStyle name="Input 2 4 3 5" xfId="9451" xr:uid="{28F65A3B-FCA7-4D50-BC6D-9E14ACC423D8}"/>
    <cellStyle name="Input 2 4 3 6" xfId="9452" xr:uid="{AA151D0E-2847-4C5F-A73C-58A7E226AFF9}"/>
    <cellStyle name="Input 2 4 3 7" xfId="9453" xr:uid="{C04BF3E3-7E33-4E54-8C6E-FBBFE34E4602}"/>
    <cellStyle name="Input 2 4 3 8" xfId="9454" xr:uid="{D0450C77-E742-4D31-A425-1DE89928FE6B}"/>
    <cellStyle name="Input 2 4 3 9" xfId="9455" xr:uid="{2DE5CB55-C96F-4CEC-9CDA-7F32BEC95FA7}"/>
    <cellStyle name="Input 2 4 3_2013" xfId="9456" xr:uid="{2D53E9A9-E5B5-4DAD-9C58-9F4EC99D0C99}"/>
    <cellStyle name="Input 2 4 4" xfId="9457" xr:uid="{DEB86705-3C84-43B2-A148-F3D8D207D9A5}"/>
    <cellStyle name="Input 2 4 4 10" xfId="9458" xr:uid="{96CF929D-9365-46FD-9FBC-FD588E2845CE}"/>
    <cellStyle name="Input 2 4 4 11" xfId="9459" xr:uid="{9CD991AA-0D17-4056-BFD8-CAEF278C2F66}"/>
    <cellStyle name="Input 2 4 4 12" xfId="9460" xr:uid="{9ED95A50-B567-4C2E-8E8C-CD25BAF4AD91}"/>
    <cellStyle name="Input 2 4 4 13" xfId="9461" xr:uid="{733FB056-88D0-4693-A6F1-97395E888A80}"/>
    <cellStyle name="Input 2 4 4 14" xfId="9462" xr:uid="{3AD60198-71C0-426A-920D-BDAA3E487BF4}"/>
    <cellStyle name="Input 2 4 4 15" xfId="9463" xr:uid="{82D0E804-A819-491C-BAC5-827CDE1F7012}"/>
    <cellStyle name="Input 2 4 4 16" xfId="9464" xr:uid="{EEEF98F5-8F9A-444E-8438-D0F1E5251A39}"/>
    <cellStyle name="Input 2 4 4 17" xfId="9465" xr:uid="{A0111778-7FB1-4CFA-A728-B33B6271876C}"/>
    <cellStyle name="Input 2 4 4 18" xfId="9466" xr:uid="{FD71BFD2-6700-4C54-A66D-2DEE4C12B5B4}"/>
    <cellStyle name="Input 2 4 4 18 2" xfId="9467" xr:uid="{382277E4-9465-41AE-8D35-F41AF3E2DA6F}"/>
    <cellStyle name="Input 2 4 4 18_2013" xfId="9468" xr:uid="{5302085E-F109-4A0F-A19F-A12F364865CA}"/>
    <cellStyle name="Input 2 4 4 19" xfId="9469" xr:uid="{F1F94437-E482-482E-900E-4B94D7FCD561}"/>
    <cellStyle name="Input 2 4 4 2" xfId="9470" xr:uid="{3295DCEB-3C38-41C6-8713-2A8587D120FD}"/>
    <cellStyle name="Input 2 4 4 3" xfId="9471" xr:uid="{0812C266-A1CA-4DA0-A37C-37DA31EA2488}"/>
    <cellStyle name="Input 2 4 4 4" xfId="9472" xr:uid="{A7D0F08A-589F-4891-9689-97C525D7F366}"/>
    <cellStyle name="Input 2 4 4 5" xfId="9473" xr:uid="{0340D99E-56AB-4B71-A7E3-3634113C767A}"/>
    <cellStyle name="Input 2 4 4 6" xfId="9474" xr:uid="{97F4FBD0-92B2-4529-807E-3D13D8989656}"/>
    <cellStyle name="Input 2 4 4 7" xfId="9475" xr:uid="{90F00B06-64E0-4E40-8A2E-8F3EBF700930}"/>
    <cellStyle name="Input 2 4 4 8" xfId="9476" xr:uid="{9790950C-A0C5-4400-89C9-4E3847AA43DC}"/>
    <cellStyle name="Input 2 4 4 9" xfId="9477" xr:uid="{7EA41E99-796E-4FAC-8B54-4D8A683457A1}"/>
    <cellStyle name="Input 2 4 4_2013" xfId="9478" xr:uid="{78A6A77C-C4A0-43BC-B68D-AC1307B44ED0}"/>
    <cellStyle name="Input 2 4 5" xfId="9479" xr:uid="{26142EB3-8CDE-40EB-AAA3-B1EF19DA7EA4}"/>
    <cellStyle name="Input 2 4 6" xfId="9480" xr:uid="{663516BE-F414-46EC-AE10-1A32494D7DA3}"/>
    <cellStyle name="Input 2 4 7" xfId="9481" xr:uid="{9C39A71D-1000-4339-8DE7-439EE674FAEA}"/>
    <cellStyle name="Input 2 4 8" xfId="9482" xr:uid="{F58C9233-C0B5-462C-8439-0B44348F38B9}"/>
    <cellStyle name="Input 2 4 9" xfId="9483" xr:uid="{6F9A701A-6947-4556-B512-2D82BC3DE6B6}"/>
    <cellStyle name="Input 2 4_2013" xfId="9484" xr:uid="{F219D626-8C58-4FF0-AB97-1D03D90EDFE3}"/>
    <cellStyle name="Input 2 5" xfId="9485" xr:uid="{0496E6A9-5D73-4FAB-8909-62E51E4A5497}"/>
    <cellStyle name="Input 2 5 10" xfId="9486" xr:uid="{4FCEF57F-8B2E-43E7-98BF-B4B547E8C0AE}"/>
    <cellStyle name="Input 2 5 11" xfId="9487" xr:uid="{71E05469-267F-4E5C-A984-1BAB421450A5}"/>
    <cellStyle name="Input 2 5 12" xfId="9488" xr:uid="{3305A28E-887C-4AB8-8C7B-3A6FAC3806C4}"/>
    <cellStyle name="Input 2 5 13" xfId="9489" xr:uid="{A7984BCA-4DBE-494E-8E67-5E9CBD5AA2A5}"/>
    <cellStyle name="Input 2 5 14" xfId="9490" xr:uid="{D08CF422-5FCA-43AA-A3EA-8F58071A32DC}"/>
    <cellStyle name="Input 2 5 15" xfId="9491" xr:uid="{61C309A5-CEA6-4C61-A554-59DBC3FD947D}"/>
    <cellStyle name="Input 2 5 16" xfId="9492" xr:uid="{BBA6EBF2-CCEA-4962-B6C3-46DE01E0FDB5}"/>
    <cellStyle name="Input 2 5 17" xfId="9493" xr:uid="{239AB91C-42BA-459E-9E0B-00EA3499D51D}"/>
    <cellStyle name="Input 2 5 18" xfId="9494" xr:uid="{3857FE9F-2ED5-4AF3-8C0D-7DE485DEFADC}"/>
    <cellStyle name="Input 2 5 19" xfId="9495" xr:uid="{EED4F774-2817-4084-9988-14C481014F1B}"/>
    <cellStyle name="Input 2 5 19 2" xfId="9496" xr:uid="{75945FB6-03DE-4181-93E0-69A86FCCA0A2}"/>
    <cellStyle name="Input 2 5 19_2013" xfId="9497" xr:uid="{B40E0E73-66CF-41EA-922A-101C4AF74E64}"/>
    <cellStyle name="Input 2 5 2" xfId="9498" xr:uid="{3D1DBF12-2C58-4798-89FD-3FD0EDAA9EDF}"/>
    <cellStyle name="Input 2 5 2 10" xfId="9499" xr:uid="{E8B85A26-38D9-4FFB-8887-6509CAFC1BDD}"/>
    <cellStyle name="Input 2 5 2 11" xfId="9500" xr:uid="{B228F2AB-8D82-4307-B281-E3119678EAC8}"/>
    <cellStyle name="Input 2 5 2 12" xfId="9501" xr:uid="{7CEC935A-DB65-400B-BB2B-D00AA747FA8E}"/>
    <cellStyle name="Input 2 5 2 13" xfId="9502" xr:uid="{12837C3A-D13F-49CF-82B8-E3A8A61A48CA}"/>
    <cellStyle name="Input 2 5 2 14" xfId="9503" xr:uid="{B7586786-4B99-4A07-B800-7819BE2663C6}"/>
    <cellStyle name="Input 2 5 2 15" xfId="9504" xr:uid="{BD24A38B-A9A7-4175-B4BD-90D53838DE0C}"/>
    <cellStyle name="Input 2 5 2 16" xfId="9505" xr:uid="{47E0C003-392F-4CE3-A33B-8D44B3B3400F}"/>
    <cellStyle name="Input 2 5 2 17" xfId="9506" xr:uid="{2EAC8F23-AD6F-4B38-A52C-3EC30F1627FE}"/>
    <cellStyle name="Input 2 5 2 18" xfId="9507" xr:uid="{B8FE3322-9961-4A8C-9AA4-1EAA07F0A004}"/>
    <cellStyle name="Input 2 5 2 18 2" xfId="9508" xr:uid="{8F24502C-EA7C-40FA-BE23-EA0814824C05}"/>
    <cellStyle name="Input 2 5 2 18_2013" xfId="9509" xr:uid="{20513151-55A0-469A-9B24-2EBF7577EDDE}"/>
    <cellStyle name="Input 2 5 2 19" xfId="9510" xr:uid="{F6D65136-742E-47E4-83C3-DD02B137536D}"/>
    <cellStyle name="Input 2 5 2 2" xfId="9511" xr:uid="{A787C503-2684-4CC7-B47C-82EBB4C898C3}"/>
    <cellStyle name="Input 2 5 2 3" xfId="9512" xr:uid="{40BB34F7-36C8-45B2-8783-24863AEF7AB3}"/>
    <cellStyle name="Input 2 5 2 4" xfId="9513" xr:uid="{FAD47CD9-FE7F-4285-BC5A-23ED8B0B174A}"/>
    <cellStyle name="Input 2 5 2 5" xfId="9514" xr:uid="{5670B315-0A60-45A2-8C64-F006021B626E}"/>
    <cellStyle name="Input 2 5 2 6" xfId="9515" xr:uid="{631F0CD4-2110-4C0F-9C81-ECF3E0805870}"/>
    <cellStyle name="Input 2 5 2 7" xfId="9516" xr:uid="{6E5E0CCF-BBE9-4941-9F81-D37F970657F5}"/>
    <cellStyle name="Input 2 5 2 8" xfId="9517" xr:uid="{ED5A915C-D689-4F87-90FB-3BFCE84F35A3}"/>
    <cellStyle name="Input 2 5 2 9" xfId="9518" xr:uid="{74B0C490-4900-4F27-907E-2F8232F1E42D}"/>
    <cellStyle name="Input 2 5 2_2013" xfId="9519" xr:uid="{A7310214-07F9-4CB5-8314-012784406DF5}"/>
    <cellStyle name="Input 2 5 20" xfId="9520" xr:uid="{90FF7947-151C-440D-A89B-B616DD9583CF}"/>
    <cellStyle name="Input 2 5 3" xfId="9521" xr:uid="{CCA946DC-BBDA-417F-A821-5CDD5023AE89}"/>
    <cellStyle name="Input 2 5 4" xfId="9522" xr:uid="{FD754871-3C96-42A6-BA12-7CFCC7D0B8A4}"/>
    <cellStyle name="Input 2 5 5" xfId="9523" xr:uid="{47B76C1E-E390-4B8E-B544-A3A4B0206098}"/>
    <cellStyle name="Input 2 5 6" xfId="9524" xr:uid="{B21F3B81-CDD4-459F-BF58-4BAD13461046}"/>
    <cellStyle name="Input 2 5 7" xfId="9525" xr:uid="{DEF9D6C0-195A-4BB7-986C-F1D2F99A58DB}"/>
    <cellStyle name="Input 2 5 8" xfId="9526" xr:uid="{D5387416-86A5-4D7F-A959-85AE620AE175}"/>
    <cellStyle name="Input 2 5 9" xfId="9527" xr:uid="{0335D71C-756D-4BB4-9E92-942FC6BB7750}"/>
    <cellStyle name="Input 2 5_2013" xfId="9528" xr:uid="{75A2756B-C7F8-47AB-AD52-E5B0BE23CACF}"/>
    <cellStyle name="Input 2 6" xfId="9529" xr:uid="{874759CA-70C3-4DFE-A263-6DE72A2DB8A0}"/>
    <cellStyle name="Input 2 6 10" xfId="9530" xr:uid="{CFF73278-20C7-479D-B452-248C88504A23}"/>
    <cellStyle name="Input 2 6 11" xfId="9531" xr:uid="{348CFE02-B90B-4F8C-9AAC-C0B3A7742ADE}"/>
    <cellStyle name="Input 2 6 12" xfId="9532" xr:uid="{554C68E3-590A-44B0-9EB1-6FA56BFC51D8}"/>
    <cellStyle name="Input 2 6 13" xfId="9533" xr:uid="{5DA6B58D-ACD6-410A-B9E2-968AA79140B3}"/>
    <cellStyle name="Input 2 6 14" xfId="9534" xr:uid="{052A6AA5-A8B9-43B5-8D7E-10C0E854BEB8}"/>
    <cellStyle name="Input 2 6 15" xfId="9535" xr:uid="{A2384040-BAD6-4578-89F0-EB129FB8C432}"/>
    <cellStyle name="Input 2 6 16" xfId="9536" xr:uid="{D998268C-6EAE-4AFD-9368-BA0250EF154D}"/>
    <cellStyle name="Input 2 6 17" xfId="9537" xr:uid="{E27154EE-5208-4BDA-91F5-7CF6ACAA1622}"/>
    <cellStyle name="Input 2 6 18" xfId="9538" xr:uid="{7D17CA79-5163-4046-A7E2-B8F7553D78DE}"/>
    <cellStyle name="Input 2 6 19" xfId="9539" xr:uid="{9E38B50E-C362-4A29-9140-064C9BE008B7}"/>
    <cellStyle name="Input 2 6 19 2" xfId="9540" xr:uid="{5259582B-9892-4A22-9DA0-6541DFAB73A4}"/>
    <cellStyle name="Input 2 6 19_2013" xfId="9541" xr:uid="{533B99FB-531E-4499-B7B8-FB9CFFC703C4}"/>
    <cellStyle name="Input 2 6 2" xfId="9542" xr:uid="{DFFF8664-EBDF-4CF0-817B-B855FBDD870D}"/>
    <cellStyle name="Input 2 6 2 10" xfId="9543" xr:uid="{47C76382-F56D-4DDE-8699-233294496919}"/>
    <cellStyle name="Input 2 6 2 11" xfId="9544" xr:uid="{49FD1357-9633-41DE-B885-A4509AE6AB06}"/>
    <cellStyle name="Input 2 6 2 12" xfId="9545" xr:uid="{604BAD9D-8A40-46E9-9BA8-5A566A50685F}"/>
    <cellStyle name="Input 2 6 2 13" xfId="9546" xr:uid="{54B58D1C-EAE6-4BE2-AAC5-C311246E19BB}"/>
    <cellStyle name="Input 2 6 2 14" xfId="9547" xr:uid="{6768B761-C876-4469-AD45-287324D5A991}"/>
    <cellStyle name="Input 2 6 2 15" xfId="9548" xr:uid="{366ABCCB-298A-4EA2-99F0-A9F432EA94CD}"/>
    <cellStyle name="Input 2 6 2 16" xfId="9549" xr:uid="{0B9D3B43-9BA7-412F-AF9A-6787167B1BF9}"/>
    <cellStyle name="Input 2 6 2 17" xfId="9550" xr:uid="{8B65F709-D562-47E8-95B5-4F35A9A134D4}"/>
    <cellStyle name="Input 2 6 2 18" xfId="9551" xr:uid="{A568A893-C254-40D9-9637-380D9ABE4534}"/>
    <cellStyle name="Input 2 6 2 18 2" xfId="9552" xr:uid="{2C64586F-9104-489C-BB0B-E93A983B54D3}"/>
    <cellStyle name="Input 2 6 2 18_2013" xfId="9553" xr:uid="{67644DF0-F315-4AA3-85AD-0E2E3DA33EA5}"/>
    <cellStyle name="Input 2 6 2 19" xfId="9554" xr:uid="{EC16FCC3-323C-4262-B6DE-7F8C4C840DCD}"/>
    <cellStyle name="Input 2 6 2 2" xfId="9555" xr:uid="{59B7579D-27F8-496E-92D4-A47F27F8AF06}"/>
    <cellStyle name="Input 2 6 2 3" xfId="9556" xr:uid="{143F8DAF-8699-4CA2-BD62-7DDC67A63241}"/>
    <cellStyle name="Input 2 6 2 4" xfId="9557" xr:uid="{CFEDB1D0-CA75-49C3-8F25-CFCB1D932910}"/>
    <cellStyle name="Input 2 6 2 5" xfId="9558" xr:uid="{4A13D946-16F1-4FF1-AA02-16D57950C73D}"/>
    <cellStyle name="Input 2 6 2 6" xfId="9559" xr:uid="{65A9FD3F-D4DD-4EF8-A122-C4E74EDB4251}"/>
    <cellStyle name="Input 2 6 2 7" xfId="9560" xr:uid="{89DB59A4-241B-42D6-A945-834D3D96709A}"/>
    <cellStyle name="Input 2 6 2 8" xfId="9561" xr:uid="{408FEF1E-B77D-4508-95B9-D42EA1375887}"/>
    <cellStyle name="Input 2 6 2 9" xfId="9562" xr:uid="{10816941-390B-4309-AD42-50FE6390BD02}"/>
    <cellStyle name="Input 2 6 2_2013" xfId="9563" xr:uid="{47878D55-6511-43C5-87A1-131E379586AC}"/>
    <cellStyle name="Input 2 6 20" xfId="9564" xr:uid="{3F2B5CAB-4315-4F66-90AC-2B7F8DD5BC1E}"/>
    <cellStyle name="Input 2 6 3" xfId="9565" xr:uid="{553AB11D-48C9-4F52-891E-83D2AFCA619B}"/>
    <cellStyle name="Input 2 6 4" xfId="9566" xr:uid="{F6E7C75C-8C79-4745-B3A6-FDA2333ED21C}"/>
    <cellStyle name="Input 2 6 5" xfId="9567" xr:uid="{F07491C5-2755-41B8-98EE-6A2B7B76FAC2}"/>
    <cellStyle name="Input 2 6 6" xfId="9568" xr:uid="{ADB7A96E-3781-437A-98ED-673888C17EA3}"/>
    <cellStyle name="Input 2 6 7" xfId="9569" xr:uid="{701D3689-9063-4E2C-96AA-491F9B08ED40}"/>
    <cellStyle name="Input 2 6 8" xfId="9570" xr:uid="{FA766834-1A3D-4E33-B4E9-5CEA2ACA9FCA}"/>
    <cellStyle name="Input 2 6 9" xfId="9571" xr:uid="{091E492A-C195-4F11-B7BF-C3BBC79B3B01}"/>
    <cellStyle name="Input 2 6_2013" xfId="9572" xr:uid="{A013523A-3E78-4C8A-A048-BAA07EBD1C20}"/>
    <cellStyle name="Input 2 7" xfId="9573" xr:uid="{FD870C76-8934-4A13-A515-8823D35F352B}"/>
    <cellStyle name="Input 2 7 10" xfId="9574" xr:uid="{D59AD067-1577-44D0-8B69-F35DDC8B300E}"/>
    <cellStyle name="Input 2 7 11" xfId="9575" xr:uid="{EF852DE2-F400-44E6-855E-74307844C4EB}"/>
    <cellStyle name="Input 2 7 12" xfId="9576" xr:uid="{F37D2DE9-14C4-49E7-AC55-7525FA6F4BE8}"/>
    <cellStyle name="Input 2 7 13" xfId="9577" xr:uid="{BD565E76-5E59-43EA-88D0-EFD613958124}"/>
    <cellStyle name="Input 2 7 14" xfId="9578" xr:uid="{1E10AC91-9E8E-40BF-983F-CE85BC203AF5}"/>
    <cellStyle name="Input 2 7 15" xfId="9579" xr:uid="{579B293F-707A-40DC-BAC9-B71AA45928D4}"/>
    <cellStyle name="Input 2 7 16" xfId="9580" xr:uid="{C7C68FBF-20EF-437C-9661-F5E3C47BC54C}"/>
    <cellStyle name="Input 2 7 17" xfId="9581" xr:uid="{51F5A241-64F9-4708-B76D-28B0D41671E1}"/>
    <cellStyle name="Input 2 7 18" xfId="9582" xr:uid="{9F029685-EEC7-4F50-9476-31E04D147B38}"/>
    <cellStyle name="Input 2 7 19" xfId="9583" xr:uid="{2D8EF3B3-E7AD-490E-88F9-16A7EC6F7DBD}"/>
    <cellStyle name="Input 2 7 19 2" xfId="9584" xr:uid="{3366AB6E-8EDD-4045-A2D7-F230C1A4C3DB}"/>
    <cellStyle name="Input 2 7 19_2013" xfId="9585" xr:uid="{C3491229-9B48-4268-B8B4-97C5FD2C076B}"/>
    <cellStyle name="Input 2 7 2" xfId="9586" xr:uid="{73492071-C2C8-4B6A-A778-B0553BBCD792}"/>
    <cellStyle name="Input 2 7 2 10" xfId="9587" xr:uid="{646A7C61-6492-4650-A6BD-1BB2D7734BDA}"/>
    <cellStyle name="Input 2 7 2 11" xfId="9588" xr:uid="{AEEA1601-06F4-4013-A107-0BE0635211CA}"/>
    <cellStyle name="Input 2 7 2 12" xfId="9589" xr:uid="{9C758B68-020E-4C43-A80B-149CF60C590C}"/>
    <cellStyle name="Input 2 7 2 13" xfId="9590" xr:uid="{FB23C674-420E-4644-89D3-93B6A242D855}"/>
    <cellStyle name="Input 2 7 2 14" xfId="9591" xr:uid="{226672EF-77E7-446D-B903-B5D5A16E9052}"/>
    <cellStyle name="Input 2 7 2 15" xfId="9592" xr:uid="{6844763D-B693-4C5B-B116-2DC7D1C6FDA6}"/>
    <cellStyle name="Input 2 7 2 16" xfId="9593" xr:uid="{B592B3FF-E10D-4706-B097-2FD2EF368F60}"/>
    <cellStyle name="Input 2 7 2 17" xfId="9594" xr:uid="{A195D343-8610-4F2A-97D1-D3B5F2374FDA}"/>
    <cellStyle name="Input 2 7 2 18" xfId="9595" xr:uid="{5CB47029-8415-4849-91FD-11135C53E41B}"/>
    <cellStyle name="Input 2 7 2 18 2" xfId="9596" xr:uid="{B093AB99-1676-451C-BD1C-8477050A363D}"/>
    <cellStyle name="Input 2 7 2 18_2013" xfId="9597" xr:uid="{BE3D364B-8708-4634-85ED-1AB8D0FFE0FD}"/>
    <cellStyle name="Input 2 7 2 19" xfId="9598" xr:uid="{DEDB19E9-8331-4DF2-9DAA-7E9B7F244144}"/>
    <cellStyle name="Input 2 7 2 2" xfId="9599" xr:uid="{1E435FBF-DC65-4A9A-A563-F885B766FA59}"/>
    <cellStyle name="Input 2 7 2 3" xfId="9600" xr:uid="{B23754FC-A1AF-4841-8E70-7C70A9689D6A}"/>
    <cellStyle name="Input 2 7 2 4" xfId="9601" xr:uid="{AC393FAF-41BC-46C8-81D4-1D08EB5CECDA}"/>
    <cellStyle name="Input 2 7 2 5" xfId="9602" xr:uid="{5024B429-84CB-404B-A80E-6922BCD3EE76}"/>
    <cellStyle name="Input 2 7 2 6" xfId="9603" xr:uid="{039E34AE-A2A6-4680-911B-D587F6E7F49B}"/>
    <cellStyle name="Input 2 7 2 7" xfId="9604" xr:uid="{42722EAA-7D1C-42F5-9948-B64C4BB0249A}"/>
    <cellStyle name="Input 2 7 2 8" xfId="9605" xr:uid="{C4A40C90-EBFD-40BA-8008-D16B14C7C1B7}"/>
    <cellStyle name="Input 2 7 2 9" xfId="9606" xr:uid="{8CCBF28B-2F54-4A64-881E-FBE47F31267E}"/>
    <cellStyle name="Input 2 7 2_2013" xfId="9607" xr:uid="{C20296D9-9E2B-430A-838B-C1AD7F3A57DF}"/>
    <cellStyle name="Input 2 7 20" xfId="9608" xr:uid="{EEF04322-411F-4836-A794-899A3312CB06}"/>
    <cellStyle name="Input 2 7 3" xfId="9609" xr:uid="{2C008280-037A-4F0A-BAF7-560A81412B32}"/>
    <cellStyle name="Input 2 7 4" xfId="9610" xr:uid="{1148B99C-03A8-4F26-B42A-7D18BAB3432A}"/>
    <cellStyle name="Input 2 7 5" xfId="9611" xr:uid="{0DAC2A92-0F34-4968-839E-FB76EE301CE7}"/>
    <cellStyle name="Input 2 7 6" xfId="9612" xr:uid="{72B50ED4-D1C4-4A6F-83E8-30A16EDC0724}"/>
    <cellStyle name="Input 2 7 7" xfId="9613" xr:uid="{085510B7-4C34-4B5B-BEF4-ED6A22F89B3F}"/>
    <cellStyle name="Input 2 7 8" xfId="9614" xr:uid="{853FBFF2-FDF2-4744-A4C8-F207E288BA80}"/>
    <cellStyle name="Input 2 7 9" xfId="9615" xr:uid="{3CFDCD43-6E60-4FA4-AF4B-462FF7607075}"/>
    <cellStyle name="Input 2 7_2013" xfId="9616" xr:uid="{B0927B00-5541-470B-A34D-0BCE4F020C33}"/>
    <cellStyle name="Input 2 8" xfId="9617" xr:uid="{5DF2EA15-F94A-4E01-AB98-C87055362003}"/>
    <cellStyle name="Input 2 8 10" xfId="9618" xr:uid="{AF919CB7-21E7-4708-905A-5538BBB615B2}"/>
    <cellStyle name="Input 2 8 11" xfId="9619" xr:uid="{F5295B29-16D8-4BBF-8002-8B45F9439269}"/>
    <cellStyle name="Input 2 8 12" xfId="9620" xr:uid="{2A25F1C9-1258-4D01-BD83-639B8CD5FE3F}"/>
    <cellStyle name="Input 2 8 13" xfId="9621" xr:uid="{415984F5-E9F7-440B-9D3A-C25DD30AF8C1}"/>
    <cellStyle name="Input 2 8 14" xfId="9622" xr:uid="{B920415E-F79F-4389-9087-9852254A5DCF}"/>
    <cellStyle name="Input 2 8 15" xfId="9623" xr:uid="{B0082916-A0AA-4173-B9AA-79D415B273BB}"/>
    <cellStyle name="Input 2 8 16" xfId="9624" xr:uid="{FB140B08-879E-4F95-A0D7-F2A35F1D9E34}"/>
    <cellStyle name="Input 2 8 17" xfId="9625" xr:uid="{8D7EF2D6-FB6A-4C56-8E55-1743AFB7D52E}"/>
    <cellStyle name="Input 2 8 18" xfId="9626" xr:uid="{E347C608-25DD-4443-932B-7D4D7A738B21}"/>
    <cellStyle name="Input 2 8 18 2" xfId="9627" xr:uid="{8BDC1124-F37C-4973-9D39-6ECE1E88BC66}"/>
    <cellStyle name="Input 2 8 18_2013" xfId="9628" xr:uid="{FD9D8711-8081-49A0-8B47-A55B366FC612}"/>
    <cellStyle name="Input 2 8 19" xfId="9629" xr:uid="{FBF6731D-0BF7-420A-B766-CA73CBF672B7}"/>
    <cellStyle name="Input 2 8 2" xfId="9630" xr:uid="{41178BED-E9AC-44CC-8CB9-1E96DA0ED12E}"/>
    <cellStyle name="Input 2 8 3" xfId="9631" xr:uid="{CCAB007F-F57C-44A6-AF1E-9E477B9FF184}"/>
    <cellStyle name="Input 2 8 4" xfId="9632" xr:uid="{2E79DB9F-9421-4932-961F-5BD8F3838F34}"/>
    <cellStyle name="Input 2 8 5" xfId="9633" xr:uid="{DDB1F5F3-D9B3-4650-A3BB-C23B714E219D}"/>
    <cellStyle name="Input 2 8 6" xfId="9634" xr:uid="{213F8833-8C19-44F1-A30A-35951D678F90}"/>
    <cellStyle name="Input 2 8 7" xfId="9635" xr:uid="{7605FAE9-F4F0-451E-9FEF-B7640C6CC66D}"/>
    <cellStyle name="Input 2 8 8" xfId="9636" xr:uid="{3E9F30D5-3F4E-4FB3-895B-9D92C4D9ADD9}"/>
    <cellStyle name="Input 2 8 9" xfId="9637" xr:uid="{F6194673-B440-4C88-B8E8-2EA438DD4D06}"/>
    <cellStyle name="Input 2 8_2013" xfId="9638" xr:uid="{0B53DC55-0418-4F9E-9BE1-40701D2DCF21}"/>
    <cellStyle name="Input 2 9" xfId="9639" xr:uid="{D8DB86AC-94BC-461F-A26F-0BCFE71D5C8C}"/>
    <cellStyle name="Input 2_2013" xfId="9640" xr:uid="{2191657E-D6FA-49FC-B9FB-B8B92C97CB63}"/>
    <cellStyle name="Input 20" xfId="9641" xr:uid="{8BD61548-649F-4015-ADFD-897CA1AA4912}"/>
    <cellStyle name="Input 21" xfId="9642" xr:uid="{DE6E6556-C429-4F68-A641-BD013C41EE1B}"/>
    <cellStyle name="Input 22" xfId="9643" xr:uid="{40E1ED7D-F4F5-49D2-B064-8985AC235E3F}"/>
    <cellStyle name="Input 23" xfId="9644" xr:uid="{36DB6E20-7F2E-4EC9-A0E6-76F9057BF7C1}"/>
    <cellStyle name="Input 3" xfId="9645" xr:uid="{33392FA0-087F-4B4D-B3D4-3C979728FFE2}"/>
    <cellStyle name="Input 3 10" xfId="9646" xr:uid="{8DDDE7D5-02B9-494A-991A-E814E897D745}"/>
    <cellStyle name="Input 3 11" xfId="9647" xr:uid="{664DFD76-0961-42B7-9EA2-BA8F934D0F3E}"/>
    <cellStyle name="Input 3 12" xfId="9648" xr:uid="{D34BB804-502B-4117-82F8-EC0B695B69AB}"/>
    <cellStyle name="Input 3 13" xfId="9649" xr:uid="{A3BC6B78-3296-4295-BA6F-033E18319473}"/>
    <cellStyle name="Input 3 14" xfId="9650" xr:uid="{D5E1C00B-5FE2-45B2-B1DA-81F807D03204}"/>
    <cellStyle name="Input 3 15" xfId="9651" xr:uid="{F9DC8452-0BBD-42CB-885D-909D76811805}"/>
    <cellStyle name="Input 3 16" xfId="9652" xr:uid="{8992CD36-4FA9-49C7-91C4-31723D4E0232}"/>
    <cellStyle name="Input 3 17" xfId="9653" xr:uid="{8D4055E3-0400-4807-9FE6-F224D3EB5F33}"/>
    <cellStyle name="Input 3 18" xfId="9654" xr:uid="{C69F1F4A-D379-46BC-8A61-D8784D5324D7}"/>
    <cellStyle name="Input 3 19" xfId="9655" xr:uid="{3E8AFF1D-5D0C-4003-96CF-823C2C01D89E}"/>
    <cellStyle name="Input 3 2" xfId="9656" xr:uid="{A167D9EE-CCE8-4025-B6DA-172B0DE279B6}"/>
    <cellStyle name="Input 3 2 10" xfId="9657" xr:uid="{9CF4D477-A590-439C-8E80-F2228D705A44}"/>
    <cellStyle name="Input 3 2 11" xfId="9658" xr:uid="{74AE79C9-5D5C-45AB-997C-34128E0239D7}"/>
    <cellStyle name="Input 3 2 12" xfId="9659" xr:uid="{D79CF329-E056-4C46-9253-1AC313E78F2E}"/>
    <cellStyle name="Input 3 2 13" xfId="9660" xr:uid="{7D3B992B-AD57-4856-9E6E-7AE44D688574}"/>
    <cellStyle name="Input 3 2 14" xfId="9661" xr:uid="{002C5D49-5F14-406F-9D1E-6071DEA4D1B4}"/>
    <cellStyle name="Input 3 2 15" xfId="9662" xr:uid="{E2CA0895-2442-4BA1-9BD0-D3B810A72F3A}"/>
    <cellStyle name="Input 3 2 16" xfId="9663" xr:uid="{5E02CA40-D8E8-4F3A-ABE5-D2BBD37B7F0D}"/>
    <cellStyle name="Input 3 2 17" xfId="9664" xr:uid="{6DB253A6-36D3-4575-AA8B-2732784709B8}"/>
    <cellStyle name="Input 3 2 18" xfId="9665" xr:uid="{F5EADFD8-9B76-418F-BD2C-7FFEC8E07DE7}"/>
    <cellStyle name="Input 3 2 19" xfId="9666" xr:uid="{BB39A443-ABBC-4AC7-8058-FFD79FC77773}"/>
    <cellStyle name="Input 3 2 2" xfId="9667" xr:uid="{B890617A-8A2F-470B-B6A3-FB2C7FFE595A}"/>
    <cellStyle name="Input 3 2 2 10" xfId="9668" xr:uid="{19D56316-D83C-48A9-A811-E1FA8448AD54}"/>
    <cellStyle name="Input 3 2 2 11" xfId="9669" xr:uid="{3EC87907-AC5B-4C29-8934-EFD3E0D09B8E}"/>
    <cellStyle name="Input 3 2 2 12" xfId="9670" xr:uid="{14A33926-5776-4600-AC44-BBE94D086E3F}"/>
    <cellStyle name="Input 3 2 2 13" xfId="9671" xr:uid="{9642CB98-20BA-439A-9E0A-8E5FC386392B}"/>
    <cellStyle name="Input 3 2 2 14" xfId="9672" xr:uid="{99956CD1-F715-4964-BA51-3BF7E3704558}"/>
    <cellStyle name="Input 3 2 2 15" xfId="9673" xr:uid="{A94A6BA7-3191-42A1-9429-0B8D4FB2DD16}"/>
    <cellStyle name="Input 3 2 2 16" xfId="9674" xr:uid="{12B5209D-7C76-429D-A4CB-7948992B38F0}"/>
    <cellStyle name="Input 3 2 2 17" xfId="9675" xr:uid="{35E9FDAE-5FB6-4225-ADC4-1B180BD20CEA}"/>
    <cellStyle name="Input 3 2 2 18" xfId="9676" xr:uid="{7FA650B9-FBBA-44C5-B076-C0056D7C16CC}"/>
    <cellStyle name="Input 3 2 2 19" xfId="9677" xr:uid="{DD8B13CC-F052-4025-B10A-60CAFF76A2D4}"/>
    <cellStyle name="Input 3 2 2 19 2" xfId="9678" xr:uid="{2E47A005-D179-477B-A14D-C4E5C02B444F}"/>
    <cellStyle name="Input 3 2 2 19_2013" xfId="9679" xr:uid="{4A95F1FD-9686-4E17-B939-7885AC828EA8}"/>
    <cellStyle name="Input 3 2 2 2" xfId="9680" xr:uid="{526C0AD2-9FEB-406F-91A9-40B7C1C7611E}"/>
    <cellStyle name="Input 3 2 2 2 10" xfId="9681" xr:uid="{C82B40FF-F3D4-44A4-9EEB-E9B657D49A63}"/>
    <cellStyle name="Input 3 2 2 2 11" xfId="9682" xr:uid="{FA6631E8-5D1B-4DD3-99C3-A40A0153EEEF}"/>
    <cellStyle name="Input 3 2 2 2 12" xfId="9683" xr:uid="{88EB2733-C6AB-49FD-8002-095509C524BD}"/>
    <cellStyle name="Input 3 2 2 2 13" xfId="9684" xr:uid="{2AC00DF1-AC45-4BCB-947F-04E8E325D2CE}"/>
    <cellStyle name="Input 3 2 2 2 14" xfId="9685" xr:uid="{4B452D5F-4DB6-45F6-AE72-D325FB482509}"/>
    <cellStyle name="Input 3 2 2 2 15" xfId="9686" xr:uid="{0E139E50-565A-4F0D-ADA5-D3BF971B6EF6}"/>
    <cellStyle name="Input 3 2 2 2 16" xfId="9687" xr:uid="{34E7DC00-7478-4D76-BDA7-84DE2F7364B4}"/>
    <cellStyle name="Input 3 2 2 2 17" xfId="9688" xr:uid="{C9823DBF-50AD-48A7-8392-B3A62FBAFB83}"/>
    <cellStyle name="Input 3 2 2 2 18" xfId="9689" xr:uid="{4765775B-D2D0-4015-8A3B-B8AEF9B41B79}"/>
    <cellStyle name="Input 3 2 2 2 18 2" xfId="9690" xr:uid="{6E2A2BCA-CE41-4349-BB65-867720DB79A4}"/>
    <cellStyle name="Input 3 2 2 2 18_2013" xfId="9691" xr:uid="{B189DC5B-26F8-4D92-8A68-5F7E509F9336}"/>
    <cellStyle name="Input 3 2 2 2 19" xfId="9692" xr:uid="{6476190D-642E-4271-9561-258BF457330C}"/>
    <cellStyle name="Input 3 2 2 2 2" xfId="9693" xr:uid="{FF041A84-802D-4450-857C-CEB804DE79DD}"/>
    <cellStyle name="Input 3 2 2 2 3" xfId="9694" xr:uid="{185D74EA-1EA4-4837-A545-4B4E27787AA0}"/>
    <cellStyle name="Input 3 2 2 2 4" xfId="9695" xr:uid="{8F7E12EF-8BAF-4488-A509-4F9C9275880D}"/>
    <cellStyle name="Input 3 2 2 2 5" xfId="9696" xr:uid="{D96D53E8-46D8-4800-96D7-C9FED65E3DEE}"/>
    <cellStyle name="Input 3 2 2 2 6" xfId="9697" xr:uid="{1F5D2B9D-2707-42A4-9B1A-F8D33A7E801C}"/>
    <cellStyle name="Input 3 2 2 2 7" xfId="9698" xr:uid="{94A30F02-9FCA-4C00-B654-18DDD570AD92}"/>
    <cellStyle name="Input 3 2 2 2 8" xfId="9699" xr:uid="{F01E425E-F554-44B1-8F04-C9B4FA6DB6FE}"/>
    <cellStyle name="Input 3 2 2 2 9" xfId="9700" xr:uid="{A2A2DBAE-1CDC-4692-8440-7A410BBFDD0F}"/>
    <cellStyle name="Input 3 2 2 2_2013" xfId="9701" xr:uid="{4D236580-9843-4922-8243-E44B343F5BD6}"/>
    <cellStyle name="Input 3 2 2 20" xfId="9702" xr:uid="{EC38BDDB-4705-42D5-AAC9-613778A54F55}"/>
    <cellStyle name="Input 3 2 2 3" xfId="9703" xr:uid="{08816DD1-3F93-447E-A65E-AE75CFFFCFF6}"/>
    <cellStyle name="Input 3 2 2 4" xfId="9704" xr:uid="{C3A7A243-F0F1-4A37-A9EC-A1C9BFC2C066}"/>
    <cellStyle name="Input 3 2 2 5" xfId="9705" xr:uid="{C5D7D1AC-F544-487B-B816-A4A3AD97646C}"/>
    <cellStyle name="Input 3 2 2 6" xfId="9706" xr:uid="{CF5BFC4B-BB57-4B8B-A6CC-360AABA28FDA}"/>
    <cellStyle name="Input 3 2 2 7" xfId="9707" xr:uid="{052E4DBD-8781-4C1F-8890-F0FD664E3617}"/>
    <cellStyle name="Input 3 2 2 8" xfId="9708" xr:uid="{0F43AED5-D811-49C6-AAFD-F87B03D26F63}"/>
    <cellStyle name="Input 3 2 2 9" xfId="9709" xr:uid="{FD5AE5C6-53B1-481A-BEBC-C64F2299EE49}"/>
    <cellStyle name="Input 3 2 2_2013" xfId="9710" xr:uid="{25F69914-B162-4E9D-9D98-CBC0B76794B0}"/>
    <cellStyle name="Input 3 2 20" xfId="9711" xr:uid="{FD01834C-A33C-4A93-AE42-ECAECF64D97D}"/>
    <cellStyle name="Input 3 2 21" xfId="9712" xr:uid="{AF0167F6-082E-4CFF-AFCF-2C6157A9A07B}"/>
    <cellStyle name="Input 3 2 21 2" xfId="9713" xr:uid="{038A5914-77E5-4D81-A7A8-AD7B4F2FA07D}"/>
    <cellStyle name="Input 3 2 21_2013" xfId="9714" xr:uid="{C90510AD-66EB-4BA2-A24E-73B2809C517F}"/>
    <cellStyle name="Input 3 2 22" xfId="9715" xr:uid="{415951F9-9955-45A9-8914-FEEDBBF8D0A0}"/>
    <cellStyle name="Input 3 2 3" xfId="9716" xr:uid="{7511A176-3ED3-4B51-B996-CD8C5BE65746}"/>
    <cellStyle name="Input 3 2 3 10" xfId="9717" xr:uid="{28522183-A63D-4159-A668-B4CB55825B55}"/>
    <cellStyle name="Input 3 2 3 11" xfId="9718" xr:uid="{821C77AE-1CDB-4524-B106-1A0318A9FBFB}"/>
    <cellStyle name="Input 3 2 3 12" xfId="9719" xr:uid="{2B3FB20B-63A2-428A-A1AD-6919BB2EA3CD}"/>
    <cellStyle name="Input 3 2 3 13" xfId="9720" xr:uid="{848CC6E3-5ADF-4A6B-A09C-0AE4738B294A}"/>
    <cellStyle name="Input 3 2 3 14" xfId="9721" xr:uid="{CBE9BAAB-2F62-4563-A495-CDA38465ED30}"/>
    <cellStyle name="Input 3 2 3 15" xfId="9722" xr:uid="{7CE31184-F105-450F-9E0D-B8CC0A4C8C8B}"/>
    <cellStyle name="Input 3 2 3 16" xfId="9723" xr:uid="{853BCDFC-E6DC-44CC-8D62-F3382BED124A}"/>
    <cellStyle name="Input 3 2 3 17" xfId="9724" xr:uid="{795B34A4-3ADA-4A13-AA07-D0C6B3DA1FF0}"/>
    <cellStyle name="Input 3 2 3 18" xfId="9725" xr:uid="{0F0C1F32-E625-4460-9BEF-918F53358C1E}"/>
    <cellStyle name="Input 3 2 3 19" xfId="9726" xr:uid="{5876CE05-DB29-45EC-9CA2-8B4A0EEC235D}"/>
    <cellStyle name="Input 3 2 3 19 2" xfId="9727" xr:uid="{13951C3D-C62A-4C83-9D49-71ED28DBEE82}"/>
    <cellStyle name="Input 3 2 3 19_2013" xfId="9728" xr:uid="{AF5969CA-036F-4966-9212-0D3175E5758C}"/>
    <cellStyle name="Input 3 2 3 2" xfId="9729" xr:uid="{A0B7E620-5E14-48DB-94E7-BAA748BC467C}"/>
    <cellStyle name="Input 3 2 3 2 10" xfId="9730" xr:uid="{B289ADD0-E2AE-4536-987D-B17E38EF1552}"/>
    <cellStyle name="Input 3 2 3 2 11" xfId="9731" xr:uid="{CD0FA826-9CEC-4D82-B471-155E41BE9FB8}"/>
    <cellStyle name="Input 3 2 3 2 12" xfId="9732" xr:uid="{4BC1AF12-2ED8-486C-BB7B-1D38BF895CD2}"/>
    <cellStyle name="Input 3 2 3 2 13" xfId="9733" xr:uid="{F357ECAD-E98D-49FF-805B-BC55A51289F0}"/>
    <cellStyle name="Input 3 2 3 2 14" xfId="9734" xr:uid="{BADB9049-A5CF-4407-9B7C-E77C4E24BFAE}"/>
    <cellStyle name="Input 3 2 3 2 15" xfId="9735" xr:uid="{8CAF637B-E092-4480-B320-4ED56E006284}"/>
    <cellStyle name="Input 3 2 3 2 16" xfId="9736" xr:uid="{87BA9E26-A6CC-494E-A12B-5AFBB324E22F}"/>
    <cellStyle name="Input 3 2 3 2 17" xfId="9737" xr:uid="{18070E7C-4A94-401E-8DAC-CB7DB261D746}"/>
    <cellStyle name="Input 3 2 3 2 18" xfId="9738" xr:uid="{F95DE141-F863-40DB-B419-46A15F7ACE89}"/>
    <cellStyle name="Input 3 2 3 2 18 2" xfId="9739" xr:uid="{81A6DE2E-7BC1-4F97-9D2F-20F135881FDF}"/>
    <cellStyle name="Input 3 2 3 2 18_2013" xfId="9740" xr:uid="{AC4ADE49-0325-4C49-877B-4F6CCBC5032B}"/>
    <cellStyle name="Input 3 2 3 2 19" xfId="9741" xr:uid="{5B99E79E-EBF4-4865-ACF5-3BB21CEC33C3}"/>
    <cellStyle name="Input 3 2 3 2 2" xfId="9742" xr:uid="{76389AC3-6AD5-4249-A164-A915A780C306}"/>
    <cellStyle name="Input 3 2 3 2 3" xfId="9743" xr:uid="{AC67A271-4B86-4F5E-BA1E-56E0EC2B45C6}"/>
    <cellStyle name="Input 3 2 3 2 4" xfId="9744" xr:uid="{94173934-9C87-49FA-91BD-D0D66DEB0FB0}"/>
    <cellStyle name="Input 3 2 3 2 5" xfId="9745" xr:uid="{6850140A-4667-4BE8-A4F8-56B282B664E7}"/>
    <cellStyle name="Input 3 2 3 2 6" xfId="9746" xr:uid="{9A5521E7-9688-4DDB-8AC2-BE635F0D7146}"/>
    <cellStyle name="Input 3 2 3 2 7" xfId="9747" xr:uid="{1562318B-9CCD-4982-98A3-EADF7A129420}"/>
    <cellStyle name="Input 3 2 3 2 8" xfId="9748" xr:uid="{981EC698-A77B-40CF-8161-C9C568A0AC1F}"/>
    <cellStyle name="Input 3 2 3 2 9" xfId="9749" xr:uid="{2ADD4622-686B-47A9-942B-B7A5DEDBA2D1}"/>
    <cellStyle name="Input 3 2 3 2_2013" xfId="9750" xr:uid="{CFC9B42A-F852-427C-82AD-6F41432C6052}"/>
    <cellStyle name="Input 3 2 3 20" xfId="9751" xr:uid="{6CA15DBB-9611-4D64-8B40-D1929B62BEBF}"/>
    <cellStyle name="Input 3 2 3 3" xfId="9752" xr:uid="{603FDFC4-AF09-4717-BF33-2ABB564D4264}"/>
    <cellStyle name="Input 3 2 3 4" xfId="9753" xr:uid="{4A44AD80-8D59-4867-82F3-45C33D6B21AE}"/>
    <cellStyle name="Input 3 2 3 5" xfId="9754" xr:uid="{C68D461D-10CF-4D82-8392-F323F042A2B2}"/>
    <cellStyle name="Input 3 2 3 6" xfId="9755" xr:uid="{86DC0B10-1CD9-481B-A491-53B3D0812E40}"/>
    <cellStyle name="Input 3 2 3 7" xfId="9756" xr:uid="{7A38E12F-12BA-428F-952A-85960A31CE0F}"/>
    <cellStyle name="Input 3 2 3 8" xfId="9757" xr:uid="{0DC5059E-8EA8-4422-BAEF-8A91CD98A931}"/>
    <cellStyle name="Input 3 2 3 9" xfId="9758" xr:uid="{BEEBDC67-61BB-4FB9-B73D-B065FE9C5FFC}"/>
    <cellStyle name="Input 3 2 3_2013" xfId="9759" xr:uid="{8A3758CF-2C2B-4286-A3F8-5A3EF0619530}"/>
    <cellStyle name="Input 3 2 4" xfId="9760" xr:uid="{20124DDF-6024-4715-A700-988A64AF47CD}"/>
    <cellStyle name="Input 3 2 4 10" xfId="9761" xr:uid="{7E4E45FB-9634-4A2B-B4F8-1EE421867056}"/>
    <cellStyle name="Input 3 2 4 11" xfId="9762" xr:uid="{8B6E216F-64B4-49F1-817F-7BBA8FDA2AF7}"/>
    <cellStyle name="Input 3 2 4 12" xfId="9763" xr:uid="{C66FD065-4277-4A49-9982-10F2FFF8ABFD}"/>
    <cellStyle name="Input 3 2 4 13" xfId="9764" xr:uid="{0EC45303-4E85-4CF2-AA26-0E9C8C398EF9}"/>
    <cellStyle name="Input 3 2 4 14" xfId="9765" xr:uid="{4C20356C-0120-491E-80DC-0EFDD4B0E77F}"/>
    <cellStyle name="Input 3 2 4 15" xfId="9766" xr:uid="{72CA1C8B-8899-482D-ABB5-0BBAA333250A}"/>
    <cellStyle name="Input 3 2 4 16" xfId="9767" xr:uid="{2A4E9628-9158-4909-98EC-6D40DD7DDC0D}"/>
    <cellStyle name="Input 3 2 4 17" xfId="9768" xr:uid="{E0C4D322-F7AF-4EFA-ACAA-A1E0FF589147}"/>
    <cellStyle name="Input 3 2 4 18" xfId="9769" xr:uid="{2F81C209-94E7-48CC-95D0-1F7E7F6D9E70}"/>
    <cellStyle name="Input 3 2 4 18 2" xfId="9770" xr:uid="{D6136138-A9F9-43FC-B0DA-F890468DBD1B}"/>
    <cellStyle name="Input 3 2 4 18_2013" xfId="9771" xr:uid="{FDE9B2EF-D0CF-4287-8C81-7EB3E943946D}"/>
    <cellStyle name="Input 3 2 4 19" xfId="9772" xr:uid="{08E4EC90-6614-45C5-8A66-EEC60F545C17}"/>
    <cellStyle name="Input 3 2 4 2" xfId="9773" xr:uid="{CBC72310-B9FF-4B49-9630-3EFB4D72496F}"/>
    <cellStyle name="Input 3 2 4 3" xfId="9774" xr:uid="{F2426154-B27C-4C3E-A80D-641C947DC509}"/>
    <cellStyle name="Input 3 2 4 4" xfId="9775" xr:uid="{95B86BF7-2A14-4323-89B7-161EFD1C7E77}"/>
    <cellStyle name="Input 3 2 4 5" xfId="9776" xr:uid="{D52C6CDC-A7C9-4D36-9F2A-230FB1CFA99A}"/>
    <cellStyle name="Input 3 2 4 6" xfId="9777" xr:uid="{A3D19251-216A-4804-BA97-42AF78D0FD98}"/>
    <cellStyle name="Input 3 2 4 7" xfId="9778" xr:uid="{6D7ACA5C-C308-4F08-A1A8-2922410814D9}"/>
    <cellStyle name="Input 3 2 4 8" xfId="9779" xr:uid="{9F240286-6859-408B-9AB6-9EB5C73EC751}"/>
    <cellStyle name="Input 3 2 4 9" xfId="9780" xr:uid="{9EE95226-6232-4E95-8E14-C05C6A44F84B}"/>
    <cellStyle name="Input 3 2 4_2013" xfId="9781" xr:uid="{66512877-6540-46C2-90A6-615FC9756F4F}"/>
    <cellStyle name="Input 3 2 5" xfId="9782" xr:uid="{6B4408BC-94BB-48E2-B481-3FCC622CB8AB}"/>
    <cellStyle name="Input 3 2 6" xfId="9783" xr:uid="{04BCFA4E-B14B-4BFC-B747-E5B05CF3DBF2}"/>
    <cellStyle name="Input 3 2 7" xfId="9784" xr:uid="{30CB0526-597C-4E71-817B-841AB4D842B0}"/>
    <cellStyle name="Input 3 2 8" xfId="9785" xr:uid="{F40DBE18-6417-4AC6-81D7-246682C04231}"/>
    <cellStyle name="Input 3 2 9" xfId="9786" xr:uid="{C5AC1D47-3BA6-4A7C-B444-6DFC1EDFC335}"/>
    <cellStyle name="Input 3 2_2013" xfId="9787" xr:uid="{C246ECA2-D1FB-42D4-A203-5C40672FA075}"/>
    <cellStyle name="Input 3 20" xfId="9788" xr:uid="{26101120-6E3C-4419-A648-829545BCBF0B}"/>
    <cellStyle name="Input 3 21" xfId="9789" xr:uid="{D6001C57-F9A0-471A-B5C0-C8EC33DAA1D0}"/>
    <cellStyle name="Input 3 22" xfId="9790" xr:uid="{8ADD8C32-C424-4712-B1CA-557FE3248EAF}"/>
    <cellStyle name="Input 3 23" xfId="9791" xr:uid="{DD359ED8-4DDF-417F-9031-B790FEDC8707}"/>
    <cellStyle name="Input 3 23 2" xfId="9792" xr:uid="{6A17F80A-BF11-4472-897A-C7110D442914}"/>
    <cellStyle name="Input 3 23_2013" xfId="9793" xr:uid="{36202676-3674-4976-B429-CD0CEF818434}"/>
    <cellStyle name="Input 3 24" xfId="9794" xr:uid="{78FF7833-DEB4-4691-A1B3-D80B03D8B82F}"/>
    <cellStyle name="Input 3 25" xfId="9795" xr:uid="{BEF98D61-42B1-4791-80DC-1E1CB3259FC8}"/>
    <cellStyle name="Input 3 3" xfId="9796" xr:uid="{A7EBEB42-FDC5-410F-925A-EF9D89ED258D}"/>
    <cellStyle name="Input 3 3 10" xfId="9797" xr:uid="{CA8AAF2C-A178-47AE-B979-3E1C176EE1F3}"/>
    <cellStyle name="Input 3 3 11" xfId="9798" xr:uid="{1291ECC3-E4D3-46B8-87C3-FF2A418BEB3E}"/>
    <cellStyle name="Input 3 3 12" xfId="9799" xr:uid="{2CEB926B-854B-4CFC-8BB9-4F62420ACB58}"/>
    <cellStyle name="Input 3 3 13" xfId="9800" xr:uid="{3B5D5072-BDFF-4BF9-B7E2-E2D010025FEB}"/>
    <cellStyle name="Input 3 3 14" xfId="9801" xr:uid="{E24816DB-B38F-472D-895A-991E53465D15}"/>
    <cellStyle name="Input 3 3 15" xfId="9802" xr:uid="{513DA171-DCB5-4518-8C4D-11F98FB8ED36}"/>
    <cellStyle name="Input 3 3 16" xfId="9803" xr:uid="{FFE170A9-9A39-470B-8668-63C8130E6563}"/>
    <cellStyle name="Input 3 3 17" xfId="9804" xr:uid="{C6144852-75C2-45E1-9642-9C78C662E8B6}"/>
    <cellStyle name="Input 3 3 18" xfId="9805" xr:uid="{346013E2-53A6-45EE-B2FD-5018FC924692}"/>
    <cellStyle name="Input 3 3 19" xfId="9806" xr:uid="{F4FBED77-24CA-4FC2-9FAB-30DF801BACF2}"/>
    <cellStyle name="Input 3 3 2" xfId="9807" xr:uid="{F89725B4-C407-4BF9-838F-45AB66D3464B}"/>
    <cellStyle name="Input 3 3 2 10" xfId="9808" xr:uid="{C161C556-105E-43EF-85DA-D5217355F972}"/>
    <cellStyle name="Input 3 3 2 11" xfId="9809" xr:uid="{C132068A-1E15-4DF3-9770-FED739159954}"/>
    <cellStyle name="Input 3 3 2 12" xfId="9810" xr:uid="{8E38186A-D06A-40B9-94A4-36D12AC0F732}"/>
    <cellStyle name="Input 3 3 2 13" xfId="9811" xr:uid="{9BEA1710-83F7-4405-9FCB-061EE0BC520E}"/>
    <cellStyle name="Input 3 3 2 14" xfId="9812" xr:uid="{45E9FA61-FDB9-4FEE-B0A8-C588263BDC2A}"/>
    <cellStyle name="Input 3 3 2 15" xfId="9813" xr:uid="{29C70541-4D07-497D-8FB7-7631D206459E}"/>
    <cellStyle name="Input 3 3 2 16" xfId="9814" xr:uid="{76C76063-5D30-4E1B-B8C5-1E90400B1DC0}"/>
    <cellStyle name="Input 3 3 2 17" xfId="9815" xr:uid="{92139205-8FD9-41F6-9EC5-2A9B79E037F5}"/>
    <cellStyle name="Input 3 3 2 18" xfId="9816" xr:uid="{D4BA91EC-CF09-4A5B-8C9C-A0F23EDBB1D8}"/>
    <cellStyle name="Input 3 3 2 19" xfId="9817" xr:uid="{9DB80141-A954-438D-B383-BBC8B5FB2324}"/>
    <cellStyle name="Input 3 3 2 19 2" xfId="9818" xr:uid="{0049095E-DCBF-43ED-8762-B741A47A817A}"/>
    <cellStyle name="Input 3 3 2 19_2013" xfId="9819" xr:uid="{9E629C58-ABD7-406F-8761-2902971331B3}"/>
    <cellStyle name="Input 3 3 2 2" xfId="9820" xr:uid="{13B3FB63-221F-4921-A1BC-AF6C5CA3CEC3}"/>
    <cellStyle name="Input 3 3 2 2 10" xfId="9821" xr:uid="{98968E6D-1239-46C2-B0E2-A42409C9D4EE}"/>
    <cellStyle name="Input 3 3 2 2 11" xfId="9822" xr:uid="{11C0CF3B-C355-4AFA-9709-D58319DA922E}"/>
    <cellStyle name="Input 3 3 2 2 12" xfId="9823" xr:uid="{E0D24362-6EBE-4F4A-B31A-EE12212FD53E}"/>
    <cellStyle name="Input 3 3 2 2 13" xfId="9824" xr:uid="{977AD594-E0AB-409A-9BB6-C304ACA7EDCB}"/>
    <cellStyle name="Input 3 3 2 2 14" xfId="9825" xr:uid="{5ACB4E9E-516D-417F-A353-623236CFDF8C}"/>
    <cellStyle name="Input 3 3 2 2 15" xfId="9826" xr:uid="{BCC7B012-82B8-40A7-B5C2-06F43E63BC3C}"/>
    <cellStyle name="Input 3 3 2 2 16" xfId="9827" xr:uid="{76C1ACFE-CEB8-422C-9EF5-6F7EB191571A}"/>
    <cellStyle name="Input 3 3 2 2 17" xfId="9828" xr:uid="{92946926-4424-485D-947C-2491AD8A8F9F}"/>
    <cellStyle name="Input 3 3 2 2 18" xfId="9829" xr:uid="{5980BF49-7789-489C-B4B2-1E6AAD06A2F8}"/>
    <cellStyle name="Input 3 3 2 2 18 2" xfId="9830" xr:uid="{B9BA8E13-D957-44C6-AD7F-798ABC4EA4B4}"/>
    <cellStyle name="Input 3 3 2 2 18_2013" xfId="9831" xr:uid="{83A6C45E-C530-4D3B-AC96-5AD5B6BC546F}"/>
    <cellStyle name="Input 3 3 2 2 19" xfId="9832" xr:uid="{C581CA95-141B-419A-832B-30DA7C698B50}"/>
    <cellStyle name="Input 3 3 2 2 2" xfId="9833" xr:uid="{68475E67-0C97-4413-B954-DDD936BBE865}"/>
    <cellStyle name="Input 3 3 2 2 3" xfId="9834" xr:uid="{337D6464-2717-4B7C-8270-E0C7B41D5076}"/>
    <cellStyle name="Input 3 3 2 2 4" xfId="9835" xr:uid="{DFBEEB2E-8CF8-499C-87E7-D6923BC70137}"/>
    <cellStyle name="Input 3 3 2 2 5" xfId="9836" xr:uid="{0D6B682D-7EF7-4FD9-A817-1FA1CC52A0A8}"/>
    <cellStyle name="Input 3 3 2 2 6" xfId="9837" xr:uid="{7BA6DF89-D173-4531-BFB4-894FA8812589}"/>
    <cellStyle name="Input 3 3 2 2 7" xfId="9838" xr:uid="{CA96D606-08FA-43BE-939B-6B31A8D2BD38}"/>
    <cellStyle name="Input 3 3 2 2 8" xfId="9839" xr:uid="{9C11E66D-36AC-4CAC-A098-35CB1BAFB712}"/>
    <cellStyle name="Input 3 3 2 2 9" xfId="9840" xr:uid="{27861082-3EC3-4B54-9FC5-B878871CA240}"/>
    <cellStyle name="Input 3 3 2 2_2013" xfId="9841" xr:uid="{C04296F5-831A-4E21-B85C-A496A61373A6}"/>
    <cellStyle name="Input 3 3 2 20" xfId="9842" xr:uid="{8165A8A6-3499-4639-A3A4-43A6D1F49FFC}"/>
    <cellStyle name="Input 3 3 2 3" xfId="9843" xr:uid="{776D8729-B315-4374-B5DF-9433F0ADCCEA}"/>
    <cellStyle name="Input 3 3 2 4" xfId="9844" xr:uid="{D64A3E4A-EA1A-4B73-B651-710D67740426}"/>
    <cellStyle name="Input 3 3 2 5" xfId="9845" xr:uid="{EB82C9EC-A434-4BD4-82A8-5260341EA262}"/>
    <cellStyle name="Input 3 3 2 6" xfId="9846" xr:uid="{9D46D0A9-B97D-4BD6-ABFE-716477E470EE}"/>
    <cellStyle name="Input 3 3 2 7" xfId="9847" xr:uid="{CAA980E5-6BF8-4210-8219-F2DF9B0D0D5F}"/>
    <cellStyle name="Input 3 3 2 8" xfId="9848" xr:uid="{242ED548-3BBC-4886-B202-F060C3778A9F}"/>
    <cellStyle name="Input 3 3 2 9" xfId="9849" xr:uid="{9E5DA487-4CD4-4D11-8F2E-9BFAA452215A}"/>
    <cellStyle name="Input 3 3 2_2013" xfId="9850" xr:uid="{390CE634-2687-4255-B39B-A7197E80484A}"/>
    <cellStyle name="Input 3 3 20" xfId="9851" xr:uid="{168397ED-0A08-425C-918F-B90CF6E769DF}"/>
    <cellStyle name="Input 3 3 21" xfId="9852" xr:uid="{D084DDEC-3FB6-434B-819D-C24584897E30}"/>
    <cellStyle name="Input 3 3 21 2" xfId="9853" xr:uid="{3C109BA6-A901-490A-9008-EF1853DB9B91}"/>
    <cellStyle name="Input 3 3 21_2013" xfId="9854" xr:uid="{8FAF0E8C-210C-4B1F-9473-8FE85632B844}"/>
    <cellStyle name="Input 3 3 22" xfId="9855" xr:uid="{036A494C-EEC5-49BC-A147-DB42653705F8}"/>
    <cellStyle name="Input 3 3 3" xfId="9856" xr:uid="{2D838346-4924-46DF-B15E-AE2B85EA506D}"/>
    <cellStyle name="Input 3 3 3 10" xfId="9857" xr:uid="{78EC94DE-56B8-4A6F-8C39-20DA4C5D2033}"/>
    <cellStyle name="Input 3 3 3 11" xfId="9858" xr:uid="{71906CF4-12A9-4EE1-85CE-162AB40E001F}"/>
    <cellStyle name="Input 3 3 3 12" xfId="9859" xr:uid="{D580DD8F-2917-482B-816A-4D5E9928A621}"/>
    <cellStyle name="Input 3 3 3 13" xfId="9860" xr:uid="{223BF8CC-4F38-4390-91AB-74DB7EF34943}"/>
    <cellStyle name="Input 3 3 3 14" xfId="9861" xr:uid="{770119C9-E8BA-4FAB-A770-C2E23072F16E}"/>
    <cellStyle name="Input 3 3 3 15" xfId="9862" xr:uid="{3892CFDA-DCCA-48CB-ADFC-E73537A4F114}"/>
    <cellStyle name="Input 3 3 3 16" xfId="9863" xr:uid="{EB7F81A2-C820-47ED-A9AC-DC43E1962D83}"/>
    <cellStyle name="Input 3 3 3 17" xfId="9864" xr:uid="{11970606-7AE1-48CA-A6C2-5955E1A49096}"/>
    <cellStyle name="Input 3 3 3 18" xfId="9865" xr:uid="{FDDD2441-2DCA-487E-91C1-413EED7E49DE}"/>
    <cellStyle name="Input 3 3 3 19" xfId="9866" xr:uid="{91BB15B5-E2FD-4275-ADD7-FA76F583CAE2}"/>
    <cellStyle name="Input 3 3 3 19 2" xfId="9867" xr:uid="{5ECFD107-670A-42D8-8198-9BE32C82F590}"/>
    <cellStyle name="Input 3 3 3 19_2013" xfId="9868" xr:uid="{86B04EB6-088E-4800-B0B3-7046ECF0753A}"/>
    <cellStyle name="Input 3 3 3 2" xfId="9869" xr:uid="{8DAA7300-B426-44E4-96AC-78265B8DFEAB}"/>
    <cellStyle name="Input 3 3 3 2 10" xfId="9870" xr:uid="{E1DAF2A6-A9E1-4126-AFF6-7B9D9882F670}"/>
    <cellStyle name="Input 3 3 3 2 11" xfId="9871" xr:uid="{370139AB-4B5B-472F-A3F9-3D9867A0B525}"/>
    <cellStyle name="Input 3 3 3 2 12" xfId="9872" xr:uid="{22590D2D-BE70-4E66-83B2-174C88C9F136}"/>
    <cellStyle name="Input 3 3 3 2 13" xfId="9873" xr:uid="{2AA2D86C-45CA-4085-98E9-9A6EFD460CA4}"/>
    <cellStyle name="Input 3 3 3 2 14" xfId="9874" xr:uid="{657B9D4E-BF66-4DCE-BE58-EE145EFEC475}"/>
    <cellStyle name="Input 3 3 3 2 15" xfId="9875" xr:uid="{52BECE18-7E4D-4A49-8926-91F0AFBA76B0}"/>
    <cellStyle name="Input 3 3 3 2 16" xfId="9876" xr:uid="{B49D1129-4DC9-4788-9299-D9E45EE224EE}"/>
    <cellStyle name="Input 3 3 3 2 17" xfId="9877" xr:uid="{F9460D3C-94B2-4CA2-BC02-2A67F1BAD52C}"/>
    <cellStyle name="Input 3 3 3 2 18" xfId="9878" xr:uid="{58798363-88CB-4D5E-9067-0E5299F6C6B1}"/>
    <cellStyle name="Input 3 3 3 2 18 2" xfId="9879" xr:uid="{905EE1C9-BB25-4036-A2D2-3835C5ADAB99}"/>
    <cellStyle name="Input 3 3 3 2 18_2013" xfId="9880" xr:uid="{9CA7F1EA-DEA5-44DC-B8D5-339DF313A7C6}"/>
    <cellStyle name="Input 3 3 3 2 19" xfId="9881" xr:uid="{AFAFA55D-EB16-4865-B55C-36BD53A4A5EC}"/>
    <cellStyle name="Input 3 3 3 2 2" xfId="9882" xr:uid="{161F9F80-1A46-43AF-A81D-FEB109EC772A}"/>
    <cellStyle name="Input 3 3 3 2 3" xfId="9883" xr:uid="{84D9FD55-489B-4756-A410-BCC13B4DEC08}"/>
    <cellStyle name="Input 3 3 3 2 4" xfId="9884" xr:uid="{2D3A12F0-062E-4AA5-96C5-7520819335B3}"/>
    <cellStyle name="Input 3 3 3 2 5" xfId="9885" xr:uid="{F7F4E886-46BB-4B4A-811A-7496C6922C39}"/>
    <cellStyle name="Input 3 3 3 2 6" xfId="9886" xr:uid="{A8496063-6A16-486B-9ED4-A8E505F5C8CF}"/>
    <cellStyle name="Input 3 3 3 2 7" xfId="9887" xr:uid="{6A1387F1-D48A-4A56-965C-63015A406D71}"/>
    <cellStyle name="Input 3 3 3 2 8" xfId="9888" xr:uid="{48630957-8319-4F27-A7E3-AECF1329F144}"/>
    <cellStyle name="Input 3 3 3 2 9" xfId="9889" xr:uid="{24EEA32A-3AE6-4C21-B1AB-BB9338CB29D9}"/>
    <cellStyle name="Input 3 3 3 2_2013" xfId="9890" xr:uid="{186C01B3-7C73-4586-B8E1-F7DCC759FD2F}"/>
    <cellStyle name="Input 3 3 3 20" xfId="9891" xr:uid="{6DD982F0-67B5-4B66-98F4-2B84A9867722}"/>
    <cellStyle name="Input 3 3 3 3" xfId="9892" xr:uid="{CE1FFC7B-7313-446F-9E5A-BC6A72CB5AE7}"/>
    <cellStyle name="Input 3 3 3 4" xfId="9893" xr:uid="{3C813971-375F-4E7C-BE89-BC73D3669DAA}"/>
    <cellStyle name="Input 3 3 3 5" xfId="9894" xr:uid="{664E52C6-6B1C-4486-AB99-5579A19E6146}"/>
    <cellStyle name="Input 3 3 3 6" xfId="9895" xr:uid="{1906AD38-3E88-45BC-9980-48FED8D4378A}"/>
    <cellStyle name="Input 3 3 3 7" xfId="9896" xr:uid="{EFFD1C3A-A406-4E2A-8AF4-890E4CB2C120}"/>
    <cellStyle name="Input 3 3 3 8" xfId="9897" xr:uid="{61992282-C0AD-4690-8B0A-046B9BE19217}"/>
    <cellStyle name="Input 3 3 3 9" xfId="9898" xr:uid="{D3ABF3BF-0B24-4D1E-8A32-3E0FE6DA38A8}"/>
    <cellStyle name="Input 3 3 3_2013" xfId="9899" xr:uid="{4DACD8D3-FFA1-4FFA-9B46-8AF749DBE466}"/>
    <cellStyle name="Input 3 3 4" xfId="9900" xr:uid="{A0BB79F5-9B6A-495F-AE75-C58E500E0183}"/>
    <cellStyle name="Input 3 3 4 10" xfId="9901" xr:uid="{872743CA-8FC0-4252-915E-FA3ACC2E7B2F}"/>
    <cellStyle name="Input 3 3 4 11" xfId="9902" xr:uid="{9EFEECD8-F910-4934-839B-66705A978615}"/>
    <cellStyle name="Input 3 3 4 12" xfId="9903" xr:uid="{4A38D19C-9067-4AE3-BF31-CCF2B08476F7}"/>
    <cellStyle name="Input 3 3 4 13" xfId="9904" xr:uid="{D39B7B51-234D-459D-8C14-B95D77824D15}"/>
    <cellStyle name="Input 3 3 4 14" xfId="9905" xr:uid="{3F3B342B-4192-45D1-AF9B-946C20341DD6}"/>
    <cellStyle name="Input 3 3 4 15" xfId="9906" xr:uid="{9098DA23-75F1-482C-8A3B-3C5C90099031}"/>
    <cellStyle name="Input 3 3 4 16" xfId="9907" xr:uid="{01F6E92A-63E5-46B4-BA18-81EF5B997EE5}"/>
    <cellStyle name="Input 3 3 4 17" xfId="9908" xr:uid="{6D47BF44-279D-45B2-82C6-2930EF993BBC}"/>
    <cellStyle name="Input 3 3 4 18" xfId="9909" xr:uid="{F9548CB7-552C-4532-8A62-044FA80DEC13}"/>
    <cellStyle name="Input 3 3 4 18 2" xfId="9910" xr:uid="{F8641BFC-263B-4F4C-9A9E-A1352896E4FF}"/>
    <cellStyle name="Input 3 3 4 18_2013" xfId="9911" xr:uid="{ED9C4263-F97B-4F16-8106-2BC469374617}"/>
    <cellStyle name="Input 3 3 4 19" xfId="9912" xr:uid="{BBA404CE-B471-4776-964A-F79AC547EC1F}"/>
    <cellStyle name="Input 3 3 4 2" xfId="9913" xr:uid="{525B43CA-3FD6-4437-B6F0-1EDA9BDE4CC6}"/>
    <cellStyle name="Input 3 3 4 3" xfId="9914" xr:uid="{3583D8ED-519B-4135-8F81-EB51D8AD3728}"/>
    <cellStyle name="Input 3 3 4 4" xfId="9915" xr:uid="{79D2F00B-A74B-4A80-B765-D93E44C58C21}"/>
    <cellStyle name="Input 3 3 4 5" xfId="9916" xr:uid="{2F7371D3-7950-44ED-BD61-4D87C4926747}"/>
    <cellStyle name="Input 3 3 4 6" xfId="9917" xr:uid="{6DBB16C7-5F9D-4487-A563-9D87E78BA2D1}"/>
    <cellStyle name="Input 3 3 4 7" xfId="9918" xr:uid="{DBD79089-1BF7-4C5D-870F-9FDC3C52CDA2}"/>
    <cellStyle name="Input 3 3 4 8" xfId="9919" xr:uid="{2BD5C3AC-94A0-4FEC-A78C-8B2398FCFA32}"/>
    <cellStyle name="Input 3 3 4 9" xfId="9920" xr:uid="{B598EE64-2B37-4896-A6C2-A57369585FE6}"/>
    <cellStyle name="Input 3 3 4_2013" xfId="9921" xr:uid="{626BB441-E296-4317-B597-7C3CA474C0CB}"/>
    <cellStyle name="Input 3 3 5" xfId="9922" xr:uid="{0D505B21-F59B-4464-B036-82A4F19D7490}"/>
    <cellStyle name="Input 3 3 6" xfId="9923" xr:uid="{08A9D3AC-EA16-4993-BB94-2A79A0036DAA}"/>
    <cellStyle name="Input 3 3 7" xfId="9924" xr:uid="{67936D3A-80ED-4D6F-B786-1A0F8CBCC7C1}"/>
    <cellStyle name="Input 3 3 8" xfId="9925" xr:uid="{0CBED243-7654-436F-815C-7FDB954256E4}"/>
    <cellStyle name="Input 3 3 9" xfId="9926" xr:uid="{52D7A573-6146-405C-9581-AB5C0FE43926}"/>
    <cellStyle name="Input 3 3_2013" xfId="9927" xr:uid="{CD369A43-DD9D-496C-95A3-BAB64F4BE701}"/>
    <cellStyle name="Input 3 4" xfId="9928" xr:uid="{BF907FC7-988A-43BE-A643-B9E19C283968}"/>
    <cellStyle name="Input 3 4 10" xfId="9929" xr:uid="{3BC459A6-2BF5-4315-84A2-68F1613F5E9D}"/>
    <cellStyle name="Input 3 4 11" xfId="9930" xr:uid="{0E82BE20-22E6-43AF-BCB0-2F5C7283ACE0}"/>
    <cellStyle name="Input 3 4 12" xfId="9931" xr:uid="{7F6E1C61-2E10-46D7-9BD8-7C5DF79CD6F4}"/>
    <cellStyle name="Input 3 4 13" xfId="9932" xr:uid="{E7FA197E-D4C2-49A6-A809-508C6AAC4658}"/>
    <cellStyle name="Input 3 4 14" xfId="9933" xr:uid="{7A28265A-8F55-4CE2-A16E-E4F17F8CC997}"/>
    <cellStyle name="Input 3 4 15" xfId="9934" xr:uid="{440C1E2D-DFB7-48CF-A70B-AB048252E760}"/>
    <cellStyle name="Input 3 4 16" xfId="9935" xr:uid="{A26937F3-9523-46E2-BA1A-E3B6D00B952B}"/>
    <cellStyle name="Input 3 4 17" xfId="9936" xr:uid="{022C7CF4-76E7-4990-A37B-C1CBD5204AEC}"/>
    <cellStyle name="Input 3 4 18" xfId="9937" xr:uid="{00479FDB-98F7-401E-B1F9-91601038DB98}"/>
    <cellStyle name="Input 3 4 19" xfId="9938" xr:uid="{56979925-1E67-4E78-B572-170EC682982D}"/>
    <cellStyle name="Input 3 4 19 2" xfId="9939" xr:uid="{B72AB8E1-9AAD-45C2-9926-A33883730C87}"/>
    <cellStyle name="Input 3 4 19_2013" xfId="9940" xr:uid="{8F55E003-783D-4CF8-902F-6DB78EA9EBBF}"/>
    <cellStyle name="Input 3 4 2" xfId="9941" xr:uid="{7FE7B239-8064-4604-8313-886E45A0DBFE}"/>
    <cellStyle name="Input 3 4 2 10" xfId="9942" xr:uid="{760EE6DC-F646-42FF-A17F-0BAA12359451}"/>
    <cellStyle name="Input 3 4 2 11" xfId="9943" xr:uid="{44B8F82F-09D4-470F-BC88-6592C79D7C29}"/>
    <cellStyle name="Input 3 4 2 12" xfId="9944" xr:uid="{A4EFA968-D24A-4F37-A28D-7458791D6EB9}"/>
    <cellStyle name="Input 3 4 2 13" xfId="9945" xr:uid="{626ACB5A-7265-493E-8CFB-168442FFF69B}"/>
    <cellStyle name="Input 3 4 2 14" xfId="9946" xr:uid="{738C74EB-DD5E-4A88-BD55-28725BD58281}"/>
    <cellStyle name="Input 3 4 2 15" xfId="9947" xr:uid="{A220FC20-A8E7-4AC5-9E12-0DD3412572DF}"/>
    <cellStyle name="Input 3 4 2 16" xfId="9948" xr:uid="{BC1261E6-E4ED-4067-A141-112C9D14A31D}"/>
    <cellStyle name="Input 3 4 2 17" xfId="9949" xr:uid="{2FAE0B32-0D89-4C52-ACFA-4E9C820E9488}"/>
    <cellStyle name="Input 3 4 2 18" xfId="9950" xr:uid="{F21C5D69-E3CF-4586-BC6C-D1E7EE42C6B2}"/>
    <cellStyle name="Input 3 4 2 18 2" xfId="9951" xr:uid="{AC6CF2A1-C2A3-43F9-A1C4-E8067832652D}"/>
    <cellStyle name="Input 3 4 2 18_2013" xfId="9952" xr:uid="{914B3896-243E-44FF-8673-8F82514C0C4E}"/>
    <cellStyle name="Input 3 4 2 19" xfId="9953" xr:uid="{401D1837-5B37-4EC2-80C7-F89F84F8479C}"/>
    <cellStyle name="Input 3 4 2 2" xfId="9954" xr:uid="{421CCFE0-AE56-4547-B989-DCB4FC6089EA}"/>
    <cellStyle name="Input 3 4 2 3" xfId="9955" xr:uid="{208E8B84-76BA-49D9-85F8-EAD8FBC4F9F8}"/>
    <cellStyle name="Input 3 4 2 4" xfId="9956" xr:uid="{609875ED-8988-40F8-B123-11D905A5A415}"/>
    <cellStyle name="Input 3 4 2 5" xfId="9957" xr:uid="{4DA8EE39-F0F8-4A9A-99A6-77187674130E}"/>
    <cellStyle name="Input 3 4 2 6" xfId="9958" xr:uid="{DE593DB4-E3AD-40C0-B34E-F44392351F98}"/>
    <cellStyle name="Input 3 4 2 7" xfId="9959" xr:uid="{C46DBF1D-3588-4C5B-9A58-F99A01BF4593}"/>
    <cellStyle name="Input 3 4 2 8" xfId="9960" xr:uid="{F62D4012-8681-4DB1-9A04-E4CA840BF8E1}"/>
    <cellStyle name="Input 3 4 2 9" xfId="9961" xr:uid="{C9F76F5C-398C-4A41-8F86-164E3645E883}"/>
    <cellStyle name="Input 3 4 2_2013" xfId="9962" xr:uid="{FC88A5E3-0BB7-4279-8267-F45D6961F163}"/>
    <cellStyle name="Input 3 4 20" xfId="9963" xr:uid="{7F136CBB-18DB-4EBF-8558-3DEAFBF8B937}"/>
    <cellStyle name="Input 3 4 3" xfId="9964" xr:uid="{E99C30C9-2F82-43AE-A762-012E2B3D1F98}"/>
    <cellStyle name="Input 3 4 4" xfId="9965" xr:uid="{8E2015EB-CB74-4895-9213-E005B5CD7C72}"/>
    <cellStyle name="Input 3 4 5" xfId="9966" xr:uid="{DF73647B-E91E-404E-BFE4-136FD2C63635}"/>
    <cellStyle name="Input 3 4 6" xfId="9967" xr:uid="{A78EAC47-A153-46DD-A0B7-19DBCEF76CB1}"/>
    <cellStyle name="Input 3 4 7" xfId="9968" xr:uid="{C85B917E-E1F1-4E2D-8213-3AAD370E2A02}"/>
    <cellStyle name="Input 3 4 8" xfId="9969" xr:uid="{1C9B7A2E-DEAC-4B43-964B-7D31CCF1D9B8}"/>
    <cellStyle name="Input 3 4 9" xfId="9970" xr:uid="{5F34DC4B-FA7C-4FD4-95A1-9C40ADF7AC1F}"/>
    <cellStyle name="Input 3 4_2013" xfId="9971" xr:uid="{3236714F-5ACF-4C72-884B-B29043EB677F}"/>
    <cellStyle name="Input 3 5" xfId="9972" xr:uid="{6BADB1CB-6C92-40B8-A0E6-46365400FC3C}"/>
    <cellStyle name="Input 3 5 10" xfId="9973" xr:uid="{87510A83-F0A1-4A8B-BCD8-707810EFF7A9}"/>
    <cellStyle name="Input 3 5 11" xfId="9974" xr:uid="{203ACB95-3BCC-4A0F-B9FF-D46B2772A3EB}"/>
    <cellStyle name="Input 3 5 12" xfId="9975" xr:uid="{7F9514F9-B5B4-4341-8987-0288E3BD2A1B}"/>
    <cellStyle name="Input 3 5 13" xfId="9976" xr:uid="{06184B1F-3B89-4ECE-993E-B22F3785D182}"/>
    <cellStyle name="Input 3 5 14" xfId="9977" xr:uid="{FA44CF93-FFFC-4E16-808F-DAA949A3FA1C}"/>
    <cellStyle name="Input 3 5 15" xfId="9978" xr:uid="{48821B5D-29C9-45D5-AE06-187FEC98FA57}"/>
    <cellStyle name="Input 3 5 16" xfId="9979" xr:uid="{8B8CD6EE-5456-42AC-8B42-14071A9B0823}"/>
    <cellStyle name="Input 3 5 17" xfId="9980" xr:uid="{9061559B-8EEA-43FD-91CC-7B21499E68A0}"/>
    <cellStyle name="Input 3 5 18" xfId="9981" xr:uid="{DD87BEE7-AB9F-4D44-A998-B28C11AA5096}"/>
    <cellStyle name="Input 3 5 19" xfId="9982" xr:uid="{7D09F3FB-8222-4BCD-940F-576B746DA60A}"/>
    <cellStyle name="Input 3 5 19 2" xfId="9983" xr:uid="{DF953761-710F-4724-806F-F70E24FFFC07}"/>
    <cellStyle name="Input 3 5 19_2013" xfId="9984" xr:uid="{0B78C497-891D-4842-ADB8-193B3C3DBAED}"/>
    <cellStyle name="Input 3 5 2" xfId="9985" xr:uid="{17B749E3-92C8-4F15-9B52-00867A929BD9}"/>
    <cellStyle name="Input 3 5 2 10" xfId="9986" xr:uid="{3D256B3D-FAB7-4EF9-ADEB-0B6A6EA06D79}"/>
    <cellStyle name="Input 3 5 2 11" xfId="9987" xr:uid="{715D3555-C402-4586-9EEF-B69D5A488AB3}"/>
    <cellStyle name="Input 3 5 2 12" xfId="9988" xr:uid="{973BADE8-AAD5-4245-BBB6-C08EB56AB54C}"/>
    <cellStyle name="Input 3 5 2 13" xfId="9989" xr:uid="{560AE63E-7ABE-47BB-A8A2-F89229454E57}"/>
    <cellStyle name="Input 3 5 2 14" xfId="9990" xr:uid="{032C2696-31DE-4BCE-8DBD-ACCD6F4A79CF}"/>
    <cellStyle name="Input 3 5 2 15" xfId="9991" xr:uid="{B8CB908E-AE8D-4747-A35C-A7E53F3829D4}"/>
    <cellStyle name="Input 3 5 2 16" xfId="9992" xr:uid="{9D04E72A-9373-4DDF-8AE9-0DD6B717EDB5}"/>
    <cellStyle name="Input 3 5 2 17" xfId="9993" xr:uid="{0E2E974A-B180-481A-9FBA-93CB258CC1E6}"/>
    <cellStyle name="Input 3 5 2 18" xfId="9994" xr:uid="{21784028-CE8E-4292-AC5F-A1FB6E13B45D}"/>
    <cellStyle name="Input 3 5 2 18 2" xfId="9995" xr:uid="{EB5AC811-2F89-4FFE-A20F-77C4A8E53E31}"/>
    <cellStyle name="Input 3 5 2 18_2013" xfId="9996" xr:uid="{44028B51-CAE8-44BB-9F54-8F27F455504E}"/>
    <cellStyle name="Input 3 5 2 19" xfId="9997" xr:uid="{0C057CD5-1832-4BAD-AF46-3F31D12CE78E}"/>
    <cellStyle name="Input 3 5 2 2" xfId="9998" xr:uid="{EC4E061D-060F-4053-9278-021CFBBF02A5}"/>
    <cellStyle name="Input 3 5 2 3" xfId="9999" xr:uid="{C20988E8-925A-4C94-9612-2A07428630AF}"/>
    <cellStyle name="Input 3 5 2 4" xfId="10000" xr:uid="{B52F95F3-649F-48C6-A85B-063551811A17}"/>
    <cellStyle name="Input 3 5 2 5" xfId="10001" xr:uid="{EA975C9F-19DB-4F65-AA8C-09D80F2BDDD5}"/>
    <cellStyle name="Input 3 5 2 6" xfId="10002" xr:uid="{9F4D2FB1-71E6-4987-80B2-206AB47DCBA2}"/>
    <cellStyle name="Input 3 5 2 7" xfId="10003" xr:uid="{74ACD2D4-74CC-4E12-8663-81D7934F7FFF}"/>
    <cellStyle name="Input 3 5 2 8" xfId="10004" xr:uid="{907B3D86-298D-4610-8373-8C0999F534D0}"/>
    <cellStyle name="Input 3 5 2 9" xfId="10005" xr:uid="{DBF18139-5662-43C6-A4CA-EF728EB87AAE}"/>
    <cellStyle name="Input 3 5 2_2013" xfId="10006" xr:uid="{980AB16B-72CA-4BC5-B6C3-83A0B8A79394}"/>
    <cellStyle name="Input 3 5 20" xfId="10007" xr:uid="{DDAAC3A3-BF03-448C-9911-309D3CA649EC}"/>
    <cellStyle name="Input 3 5 3" xfId="10008" xr:uid="{F9E78E7A-288C-4C3D-9013-9AF5F3E86D37}"/>
    <cellStyle name="Input 3 5 4" xfId="10009" xr:uid="{621DC56D-5E57-410F-8E41-CC9AB300E48C}"/>
    <cellStyle name="Input 3 5 5" xfId="10010" xr:uid="{446CA0A1-69E6-4BC4-92F3-4BE7033030EA}"/>
    <cellStyle name="Input 3 5 6" xfId="10011" xr:uid="{3E1DCC9F-0DB3-4A95-8BCD-AF8BD84870C3}"/>
    <cellStyle name="Input 3 5 7" xfId="10012" xr:uid="{15F5C263-F5BC-4CEF-BDA9-E454C10ACBBB}"/>
    <cellStyle name="Input 3 5 8" xfId="10013" xr:uid="{8F728BF5-BDE9-43B9-9A7B-E6C7F19FC7C8}"/>
    <cellStyle name="Input 3 5 9" xfId="10014" xr:uid="{CAA410A7-7DB4-4338-8FD9-0625F0FA6A82}"/>
    <cellStyle name="Input 3 5_2013" xfId="10015" xr:uid="{53A163E4-39F3-4320-AE8C-672F5E898ABA}"/>
    <cellStyle name="Input 3 6" xfId="10016" xr:uid="{65C7F9E2-7431-46C0-9EEE-71E018EA2BC2}"/>
    <cellStyle name="Input 3 6 10" xfId="10017" xr:uid="{4401374C-38C5-40A2-A8AD-2E3FDD5B1B40}"/>
    <cellStyle name="Input 3 6 11" xfId="10018" xr:uid="{31D8B90E-1929-4ADA-9F9B-171BCF44C7EF}"/>
    <cellStyle name="Input 3 6 12" xfId="10019" xr:uid="{FCBB2C74-581A-43CD-B37E-75B9BDDFE4BF}"/>
    <cellStyle name="Input 3 6 13" xfId="10020" xr:uid="{E618CF02-EB07-4281-8DBD-642EBABFC77E}"/>
    <cellStyle name="Input 3 6 14" xfId="10021" xr:uid="{3A8B6A57-5BFB-4CC4-9D8D-E1B4B9F798F9}"/>
    <cellStyle name="Input 3 6 15" xfId="10022" xr:uid="{D1C405D5-FF7B-43FE-86E5-899A0B6DF559}"/>
    <cellStyle name="Input 3 6 16" xfId="10023" xr:uid="{30F9DE68-3EAE-4962-8A52-34B600C3A054}"/>
    <cellStyle name="Input 3 6 17" xfId="10024" xr:uid="{8EC1DF2F-21CF-46AE-9159-0A6A0A3E93C0}"/>
    <cellStyle name="Input 3 6 18" xfId="10025" xr:uid="{046AAEA4-26F7-4966-A058-96382B87BFD7}"/>
    <cellStyle name="Input 3 6 18 2" xfId="10026" xr:uid="{E5AE9F3D-5641-49A3-887F-4526C8B26C57}"/>
    <cellStyle name="Input 3 6 18_2013" xfId="10027" xr:uid="{F22A3126-395E-4E05-BED2-2BC7E5D9AF15}"/>
    <cellStyle name="Input 3 6 19" xfId="10028" xr:uid="{67E631B5-4A90-4A45-BB5A-E65F69BEDCB9}"/>
    <cellStyle name="Input 3 6 2" xfId="10029" xr:uid="{5B734327-0058-403E-B3E9-5E605B50D77B}"/>
    <cellStyle name="Input 3 6 3" xfId="10030" xr:uid="{470E6973-294B-4D14-9FA7-5ABB091AD220}"/>
    <cellStyle name="Input 3 6 4" xfId="10031" xr:uid="{622444EF-F929-4C0F-A90F-70051CF24DF7}"/>
    <cellStyle name="Input 3 6 5" xfId="10032" xr:uid="{0DC67CB7-6A0C-4F5F-8573-379EC6414E65}"/>
    <cellStyle name="Input 3 6 6" xfId="10033" xr:uid="{AF20835C-22AD-4139-883F-3038F0875AFD}"/>
    <cellStyle name="Input 3 6 7" xfId="10034" xr:uid="{D32A92F3-AD14-41A1-BDD9-679D4B4EAC44}"/>
    <cellStyle name="Input 3 6 8" xfId="10035" xr:uid="{FB9E71E9-3260-4FF2-A655-1E145C64D8F1}"/>
    <cellStyle name="Input 3 6 9" xfId="10036" xr:uid="{D7715356-1C0F-495B-A4AD-F0FCB82EB1B5}"/>
    <cellStyle name="Input 3 6_2013" xfId="10037" xr:uid="{152A41EF-59B9-4600-9DD1-8E80BEED37E7}"/>
    <cellStyle name="Input 3 7" xfId="10038" xr:uid="{22FBE32C-0A51-412D-ABAD-7B5A5893A5CF}"/>
    <cellStyle name="Input 3 8" xfId="10039" xr:uid="{F41195D0-BA5A-428A-8BCC-CDF42951E4F5}"/>
    <cellStyle name="Input 3 9" xfId="10040" xr:uid="{2503E673-EC64-465A-8101-3267A6847B26}"/>
    <cellStyle name="Input 3_2013" xfId="10041" xr:uid="{BBB6D017-89EC-4750-A148-33CC776000D6}"/>
    <cellStyle name="Input 4" xfId="10042" xr:uid="{77E7D277-7083-4343-BE11-BF69CF56DCCF}"/>
    <cellStyle name="Input 4 10" xfId="10043" xr:uid="{34B877D5-7763-4870-9570-233862EE2D64}"/>
    <cellStyle name="Input 4 11" xfId="10044" xr:uid="{779079BA-E40A-4D61-97CE-B521D6F152AF}"/>
    <cellStyle name="Input 4 12" xfId="10045" xr:uid="{723E3D09-DABB-44E7-AAB2-EB6277569DEA}"/>
    <cellStyle name="Input 4 13" xfId="10046" xr:uid="{4BAF1FC1-6C08-4C67-B326-C8B6A4E4F2F3}"/>
    <cellStyle name="Input 4 14" xfId="10047" xr:uid="{BE046357-9061-45D9-9244-3F872D0FF418}"/>
    <cellStyle name="Input 4 15" xfId="10048" xr:uid="{018D4915-27BF-4160-AE8C-20EAEBDF5B37}"/>
    <cellStyle name="Input 4 16" xfId="10049" xr:uid="{D02AFF11-5CDF-4BF6-AF05-24890018BC53}"/>
    <cellStyle name="Input 4 17" xfId="10050" xr:uid="{FFEAC8F3-5D41-4F1B-8994-37A43D184F5B}"/>
    <cellStyle name="Input 4 18" xfId="10051" xr:uid="{F5ABB8C5-2EA5-492F-9EF7-B842C5EB9FF3}"/>
    <cellStyle name="Input 4 19" xfId="10052" xr:uid="{4D438B08-7640-4691-9EC9-621562934B01}"/>
    <cellStyle name="Input 4 2" xfId="10053" xr:uid="{5F67FBE6-B91E-4464-A2EA-408DE901B22B}"/>
    <cellStyle name="Input 4 2 10" xfId="10054" xr:uid="{C1D49042-D21E-4079-B051-A200CCC50857}"/>
    <cellStyle name="Input 4 2 11" xfId="10055" xr:uid="{3FB06C17-AD13-4091-BE29-4F790877DFFB}"/>
    <cellStyle name="Input 4 2 12" xfId="10056" xr:uid="{F78D4FDF-E584-4343-B1D1-FE9D8E174A0B}"/>
    <cellStyle name="Input 4 2 13" xfId="10057" xr:uid="{FB62C41A-35E6-4A66-8987-2A5EA36FCA56}"/>
    <cellStyle name="Input 4 2 14" xfId="10058" xr:uid="{6B64D79D-2016-4FE5-B83C-142A6034876D}"/>
    <cellStyle name="Input 4 2 15" xfId="10059" xr:uid="{DED301BE-339E-4183-9EF9-8DA38BE2CF00}"/>
    <cellStyle name="Input 4 2 16" xfId="10060" xr:uid="{C424F391-91FB-476C-A294-40D52FC95038}"/>
    <cellStyle name="Input 4 2 17" xfId="10061" xr:uid="{093020C9-FD10-41BD-AC23-E10A0EF97572}"/>
    <cellStyle name="Input 4 2 18" xfId="10062" xr:uid="{A4111C6C-A63B-4096-96FB-767A386881C5}"/>
    <cellStyle name="Input 4 2 19" xfId="10063" xr:uid="{4E9E218E-F79D-446A-9B30-054405402A82}"/>
    <cellStyle name="Input 4 2 2" xfId="10064" xr:uid="{E12712AE-3353-4D6D-9779-E20D1589109C}"/>
    <cellStyle name="Input 4 2 2 10" xfId="10065" xr:uid="{97B9CF29-768D-49E0-BB96-B940A810DAF3}"/>
    <cellStyle name="Input 4 2 2 11" xfId="10066" xr:uid="{4D30EC33-4AFD-4BE2-A216-3878BF37F7B2}"/>
    <cellStyle name="Input 4 2 2 12" xfId="10067" xr:uid="{5EDDE1DC-A506-4DBF-94B8-8A73DC4E0470}"/>
    <cellStyle name="Input 4 2 2 13" xfId="10068" xr:uid="{C5B32508-A9F6-4501-A0EC-2566A19EF2C4}"/>
    <cellStyle name="Input 4 2 2 14" xfId="10069" xr:uid="{9D6FAB19-9B6B-4AE3-8CA8-C0D1333776EC}"/>
    <cellStyle name="Input 4 2 2 15" xfId="10070" xr:uid="{2A36CE45-4221-40CF-852A-8E9F7840C3EC}"/>
    <cellStyle name="Input 4 2 2 16" xfId="10071" xr:uid="{28E4274B-4BB7-415C-85E9-6937FDF48E77}"/>
    <cellStyle name="Input 4 2 2 17" xfId="10072" xr:uid="{F6E2230F-31A7-47D0-813E-6737A55087AC}"/>
    <cellStyle name="Input 4 2 2 18" xfId="10073" xr:uid="{64C42557-F01B-48D2-9256-5DDD8F47BF34}"/>
    <cellStyle name="Input 4 2 2 19" xfId="10074" xr:uid="{624F43C1-C14C-4904-9D92-184839F78C5A}"/>
    <cellStyle name="Input 4 2 2 19 2" xfId="10075" xr:uid="{7DAB7851-EBD2-4745-93BC-4C98B1EAB3C0}"/>
    <cellStyle name="Input 4 2 2 19_2013" xfId="10076" xr:uid="{C17CD8C5-3AE8-4D92-AD39-43F9F649EB3B}"/>
    <cellStyle name="Input 4 2 2 2" xfId="10077" xr:uid="{F594FD9D-59E2-4485-8510-71132A6EFFF0}"/>
    <cellStyle name="Input 4 2 2 2 10" xfId="10078" xr:uid="{23DC09EC-35F1-4CB4-8878-407FD137F013}"/>
    <cellStyle name="Input 4 2 2 2 11" xfId="10079" xr:uid="{6EA06A11-79C4-48D8-8C0E-FFD395FCE265}"/>
    <cellStyle name="Input 4 2 2 2 12" xfId="10080" xr:uid="{13D8BF9D-AE34-4511-BC65-F3950C811D46}"/>
    <cellStyle name="Input 4 2 2 2 13" xfId="10081" xr:uid="{F2DF1214-33FC-4740-8DD1-5730A1D99E3F}"/>
    <cellStyle name="Input 4 2 2 2 14" xfId="10082" xr:uid="{B75BF5E8-4A28-4C6C-B86D-FCDF4CD880AA}"/>
    <cellStyle name="Input 4 2 2 2 15" xfId="10083" xr:uid="{A275F0FA-1D2F-469D-BAEE-EDC986119F54}"/>
    <cellStyle name="Input 4 2 2 2 16" xfId="10084" xr:uid="{9E33AE91-5688-446D-954F-4042CA20C6A1}"/>
    <cellStyle name="Input 4 2 2 2 17" xfId="10085" xr:uid="{5298FF95-7A22-4931-B569-03E8D8E105BA}"/>
    <cellStyle name="Input 4 2 2 2 18" xfId="10086" xr:uid="{C9F5C3EA-32F2-4413-8FEE-45414B66C8F7}"/>
    <cellStyle name="Input 4 2 2 2 18 2" xfId="10087" xr:uid="{4F1992CF-9472-47E0-9250-6885FB390111}"/>
    <cellStyle name="Input 4 2 2 2 18_2013" xfId="10088" xr:uid="{8CBC6D35-04E4-4D85-BBF1-F9482AEAFA80}"/>
    <cellStyle name="Input 4 2 2 2 19" xfId="10089" xr:uid="{54F1CE99-E889-4F3F-9986-4FAFF14881EC}"/>
    <cellStyle name="Input 4 2 2 2 2" xfId="10090" xr:uid="{082BE648-DEA0-478B-BAED-68DA1B095E3C}"/>
    <cellStyle name="Input 4 2 2 2 3" xfId="10091" xr:uid="{8B3A369B-6E0D-409D-9418-AD80031AD4CA}"/>
    <cellStyle name="Input 4 2 2 2 4" xfId="10092" xr:uid="{EF82C7A1-79FA-4211-BFF8-BC812293779C}"/>
    <cellStyle name="Input 4 2 2 2 5" xfId="10093" xr:uid="{E8AAEAAD-3302-4242-95F8-F6E9B57DB06F}"/>
    <cellStyle name="Input 4 2 2 2 6" xfId="10094" xr:uid="{829DB647-F56A-4884-BEF6-73614DA23962}"/>
    <cellStyle name="Input 4 2 2 2 7" xfId="10095" xr:uid="{9A9D0819-0F25-483C-917F-A7F222998B96}"/>
    <cellStyle name="Input 4 2 2 2 8" xfId="10096" xr:uid="{C339CCDE-B022-401E-8B76-E013E5D14FDC}"/>
    <cellStyle name="Input 4 2 2 2 9" xfId="10097" xr:uid="{02D23844-02F8-4703-BE52-3BE2C26DD34A}"/>
    <cellStyle name="Input 4 2 2 2_2013" xfId="10098" xr:uid="{3433831B-6480-409C-BBE3-0DDD69DE621B}"/>
    <cellStyle name="Input 4 2 2 20" xfId="10099" xr:uid="{B9BF222B-B121-4B22-95C6-EA63A91ED245}"/>
    <cellStyle name="Input 4 2 2 3" xfId="10100" xr:uid="{6C6A196C-D53C-43D4-BFFB-EE98646732A9}"/>
    <cellStyle name="Input 4 2 2 4" xfId="10101" xr:uid="{3B53D7AD-E55B-420D-A41D-8F9B7CF74C3F}"/>
    <cellStyle name="Input 4 2 2 5" xfId="10102" xr:uid="{1DA13C65-E0D5-41CF-A437-9596559DCBF5}"/>
    <cellStyle name="Input 4 2 2 6" xfId="10103" xr:uid="{BF2F84D0-E1F7-44D0-B476-02C9CA26D02A}"/>
    <cellStyle name="Input 4 2 2 7" xfId="10104" xr:uid="{D9878E1F-B836-46F2-9EA7-565F7CAD1B69}"/>
    <cellStyle name="Input 4 2 2 8" xfId="10105" xr:uid="{DBF7B919-710F-4895-B34B-5FEEDD229D59}"/>
    <cellStyle name="Input 4 2 2 9" xfId="10106" xr:uid="{C34FC113-33DE-426A-9C24-0990FD56C5C0}"/>
    <cellStyle name="Input 4 2 2_2013" xfId="10107" xr:uid="{5B7CA09E-F2BB-47B4-9FF9-D987138FA699}"/>
    <cellStyle name="Input 4 2 20" xfId="10108" xr:uid="{DB2AF952-3E20-4F57-A6C3-480FF3CC2EAC}"/>
    <cellStyle name="Input 4 2 21" xfId="10109" xr:uid="{9726B129-9DCB-41F7-A893-14F0F0BD126C}"/>
    <cellStyle name="Input 4 2 21 2" xfId="10110" xr:uid="{3EC0FA33-59F5-4DF2-B9FA-4A99DEC8D28C}"/>
    <cellStyle name="Input 4 2 21_2013" xfId="10111" xr:uid="{05A8449B-A314-42E4-8E92-4838E408482C}"/>
    <cellStyle name="Input 4 2 22" xfId="10112" xr:uid="{1D5E47F5-9004-49F8-AB76-A69737A67C44}"/>
    <cellStyle name="Input 4 2 3" xfId="10113" xr:uid="{BB2BF050-2576-4586-92D1-2E97507060C8}"/>
    <cellStyle name="Input 4 2 3 10" xfId="10114" xr:uid="{454B3F65-BBFD-48B2-9277-57C6A951DEE3}"/>
    <cellStyle name="Input 4 2 3 11" xfId="10115" xr:uid="{1C5D75A2-F185-423C-AA87-C4475C024B2E}"/>
    <cellStyle name="Input 4 2 3 12" xfId="10116" xr:uid="{47317E77-337D-42EA-8801-CE36EB553481}"/>
    <cellStyle name="Input 4 2 3 13" xfId="10117" xr:uid="{0572FF40-73A3-4C00-85D3-47865D15BA02}"/>
    <cellStyle name="Input 4 2 3 14" xfId="10118" xr:uid="{F1B47959-315C-4B93-876F-806CA73465AA}"/>
    <cellStyle name="Input 4 2 3 15" xfId="10119" xr:uid="{91AB79C6-7D51-4DF8-9BF7-5AB740A0F83E}"/>
    <cellStyle name="Input 4 2 3 16" xfId="10120" xr:uid="{7A8438C2-4EF2-4CB2-8DB7-4F636A491BA5}"/>
    <cellStyle name="Input 4 2 3 17" xfId="10121" xr:uid="{E3618351-30D1-4B79-B7B4-8D190A53BE3D}"/>
    <cellStyle name="Input 4 2 3 18" xfId="10122" xr:uid="{9E8C33F6-860D-401D-891C-21ECFB5598B8}"/>
    <cellStyle name="Input 4 2 3 19" xfId="10123" xr:uid="{EC3E1C86-B552-4751-8C7A-5FC7962C5E36}"/>
    <cellStyle name="Input 4 2 3 19 2" xfId="10124" xr:uid="{5C535249-5FC9-4C3E-A322-7BB6786A574E}"/>
    <cellStyle name="Input 4 2 3 19_2013" xfId="10125" xr:uid="{298648F4-3873-4C79-A992-730F638A27DC}"/>
    <cellStyle name="Input 4 2 3 2" xfId="10126" xr:uid="{42D26720-D0B3-4BC4-A4D2-8CB40D0266FC}"/>
    <cellStyle name="Input 4 2 3 2 10" xfId="10127" xr:uid="{8DF85EEA-1150-4E44-B29F-BCF043EC077A}"/>
    <cellStyle name="Input 4 2 3 2 11" xfId="10128" xr:uid="{441292AB-5BC0-4B9C-AEC5-50F0E4CF3E7C}"/>
    <cellStyle name="Input 4 2 3 2 12" xfId="10129" xr:uid="{9EC2589C-4E73-4ABE-BECF-7C2A512CF839}"/>
    <cellStyle name="Input 4 2 3 2 13" xfId="10130" xr:uid="{B78BD1FF-0ADF-48A8-BA3C-CE2CF7AEBFB6}"/>
    <cellStyle name="Input 4 2 3 2 14" xfId="10131" xr:uid="{56451598-70A5-4DCD-9E7E-D0EBB4AC0833}"/>
    <cellStyle name="Input 4 2 3 2 15" xfId="10132" xr:uid="{EED740D8-314B-4799-AAAA-46130EEE6326}"/>
    <cellStyle name="Input 4 2 3 2 16" xfId="10133" xr:uid="{BFA58B9D-2A0A-4426-8799-0AB3921F1BA6}"/>
    <cellStyle name="Input 4 2 3 2 17" xfId="10134" xr:uid="{3CD9E9E0-946A-4871-BBC8-28C5DBFAB8C2}"/>
    <cellStyle name="Input 4 2 3 2 18" xfId="10135" xr:uid="{D76935C5-72B9-40E9-8384-7B475C9B182C}"/>
    <cellStyle name="Input 4 2 3 2 18 2" xfId="10136" xr:uid="{A6037D98-D410-42DD-8B89-85A40C02AB4F}"/>
    <cellStyle name="Input 4 2 3 2 18_2013" xfId="10137" xr:uid="{03D43111-471D-43BD-A678-12B38F960377}"/>
    <cellStyle name="Input 4 2 3 2 19" xfId="10138" xr:uid="{B2306CE9-7F90-43EA-88F9-F105ADBA3881}"/>
    <cellStyle name="Input 4 2 3 2 2" xfId="10139" xr:uid="{62D94B31-9872-4F93-B168-529C0BBAFC6E}"/>
    <cellStyle name="Input 4 2 3 2 3" xfId="10140" xr:uid="{B654264D-743C-4275-B543-AC6DD3D46878}"/>
    <cellStyle name="Input 4 2 3 2 4" xfId="10141" xr:uid="{B32891D5-9ED0-4389-A666-F51161CCA85D}"/>
    <cellStyle name="Input 4 2 3 2 5" xfId="10142" xr:uid="{5B4A5C9E-31B4-407F-AA2F-ACF187A6BDA4}"/>
    <cellStyle name="Input 4 2 3 2 6" xfId="10143" xr:uid="{BCDAD388-4F73-4795-8853-E3F722DC9C7C}"/>
    <cellStyle name="Input 4 2 3 2 7" xfId="10144" xr:uid="{DDDAD36A-B2F4-44A8-830B-AED54B87DF19}"/>
    <cellStyle name="Input 4 2 3 2 8" xfId="10145" xr:uid="{31C3D98A-782C-4DC9-B49F-DADD4508448C}"/>
    <cellStyle name="Input 4 2 3 2 9" xfId="10146" xr:uid="{2B38E11D-4030-4D9F-8FEB-36FB159F42F9}"/>
    <cellStyle name="Input 4 2 3 2_2013" xfId="10147" xr:uid="{348294CA-4539-4CD6-BCE7-DCA02AFA71BF}"/>
    <cellStyle name="Input 4 2 3 20" xfId="10148" xr:uid="{1772A979-5F0F-4856-B885-9755C8E80110}"/>
    <cellStyle name="Input 4 2 3 3" xfId="10149" xr:uid="{C1682B72-F11C-4857-928B-491A70C3686F}"/>
    <cellStyle name="Input 4 2 3 4" xfId="10150" xr:uid="{31279D19-1DE3-4014-B27D-D662CE823BB7}"/>
    <cellStyle name="Input 4 2 3 5" xfId="10151" xr:uid="{EBDE8922-43D0-40A1-9790-44D5480F20F9}"/>
    <cellStyle name="Input 4 2 3 6" xfId="10152" xr:uid="{6841096D-9551-4AFC-8984-ECB61AAAED9B}"/>
    <cellStyle name="Input 4 2 3 7" xfId="10153" xr:uid="{BEDB4DA8-E0AA-43AA-AECF-9FCB4A95A350}"/>
    <cellStyle name="Input 4 2 3 8" xfId="10154" xr:uid="{952980B6-1AFF-4891-9A33-E1C9A2693C6A}"/>
    <cellStyle name="Input 4 2 3 9" xfId="10155" xr:uid="{DEA56039-5B35-4F10-B444-786F490BC00E}"/>
    <cellStyle name="Input 4 2 3_2013" xfId="10156" xr:uid="{CC5DCCB9-8AB8-4A12-B7A5-6324F77B815D}"/>
    <cellStyle name="Input 4 2 4" xfId="10157" xr:uid="{3F4E0097-3B40-494B-8691-271FCD4AE0F3}"/>
    <cellStyle name="Input 4 2 4 10" xfId="10158" xr:uid="{1CE1237C-D78F-45C6-93AE-8629FF3788C9}"/>
    <cellStyle name="Input 4 2 4 11" xfId="10159" xr:uid="{3C62A772-ABC7-4211-A8A8-B7BE45A22FE8}"/>
    <cellStyle name="Input 4 2 4 12" xfId="10160" xr:uid="{C50128B2-5ECB-43A8-B8D8-6BEA86E2A4BF}"/>
    <cellStyle name="Input 4 2 4 13" xfId="10161" xr:uid="{CF23298D-6F64-4753-8E59-BCC2FB8F747E}"/>
    <cellStyle name="Input 4 2 4 14" xfId="10162" xr:uid="{05AF991D-915C-4D68-8B38-041AEE5E471B}"/>
    <cellStyle name="Input 4 2 4 15" xfId="10163" xr:uid="{372FB8A2-3F3A-49A9-941A-04AF4CDA8C3C}"/>
    <cellStyle name="Input 4 2 4 16" xfId="10164" xr:uid="{7267BBC5-BC05-4323-B8C0-B5A0686E3878}"/>
    <cellStyle name="Input 4 2 4 17" xfId="10165" xr:uid="{05A6B20B-9AD3-4788-A9E2-514AFC749C49}"/>
    <cellStyle name="Input 4 2 4 18" xfId="10166" xr:uid="{05BEB6F9-A327-4D95-8B12-71B948695B27}"/>
    <cellStyle name="Input 4 2 4 18 2" xfId="10167" xr:uid="{4A1A5760-380A-4869-814A-42A378ED1E8A}"/>
    <cellStyle name="Input 4 2 4 18_2013" xfId="10168" xr:uid="{DD58541F-807D-41F4-B960-601384742532}"/>
    <cellStyle name="Input 4 2 4 19" xfId="10169" xr:uid="{A76484A2-E420-4907-9A51-47225B3FD847}"/>
    <cellStyle name="Input 4 2 4 2" xfId="10170" xr:uid="{47142067-6889-47C9-A749-4CE8B3CF58BE}"/>
    <cellStyle name="Input 4 2 4 3" xfId="10171" xr:uid="{15DAA137-FFF1-412C-A41C-158563004C68}"/>
    <cellStyle name="Input 4 2 4 4" xfId="10172" xr:uid="{6DA81E2F-06BD-49FC-A3E1-D44D204415F6}"/>
    <cellStyle name="Input 4 2 4 5" xfId="10173" xr:uid="{BA01FD5B-E379-4A99-9475-D8D58BD2D7B2}"/>
    <cellStyle name="Input 4 2 4 6" xfId="10174" xr:uid="{48A769DC-0A68-44B0-A6D8-4283FD503103}"/>
    <cellStyle name="Input 4 2 4 7" xfId="10175" xr:uid="{A06123BA-4FE0-495A-A3C1-31FFDCF50D6B}"/>
    <cellStyle name="Input 4 2 4 8" xfId="10176" xr:uid="{60590B92-D4E2-4894-AC27-650717206801}"/>
    <cellStyle name="Input 4 2 4 9" xfId="10177" xr:uid="{47E7DC09-F308-4FCD-9AB2-8705CDFB08C7}"/>
    <cellStyle name="Input 4 2 4_2013" xfId="10178" xr:uid="{85B356E4-C04A-4110-9EE8-C413A55128B7}"/>
    <cellStyle name="Input 4 2 5" xfId="10179" xr:uid="{3A190764-D6CD-4AA1-8AEA-D4C6E8D6422B}"/>
    <cellStyle name="Input 4 2 6" xfId="10180" xr:uid="{E746216F-FBC1-4A8D-81EC-7051F4ADCCF9}"/>
    <cellStyle name="Input 4 2 7" xfId="10181" xr:uid="{9E9F8B38-E5DA-49E3-99FD-011A58C5CB2B}"/>
    <cellStyle name="Input 4 2 8" xfId="10182" xr:uid="{1867CD6A-9B4B-4D0A-90F9-05F6AB929EE0}"/>
    <cellStyle name="Input 4 2 9" xfId="10183" xr:uid="{768BC76A-711F-4E3A-A26A-D800E50F9DD5}"/>
    <cellStyle name="Input 4 2_2013" xfId="10184" xr:uid="{3D4FD981-1926-4D12-AE4D-E8854632A6D8}"/>
    <cellStyle name="Input 4 20" xfId="10185" xr:uid="{1123328A-A777-4E71-B175-157B6E7475F4}"/>
    <cellStyle name="Input 4 21" xfId="10186" xr:uid="{5F30E29D-F85E-47E3-9A24-20771ABC1B72}"/>
    <cellStyle name="Input 4 22" xfId="10187" xr:uid="{9479ED82-37D9-4743-BC92-66350B42F1D5}"/>
    <cellStyle name="Input 4 22 2" xfId="10188" xr:uid="{4AA19F42-C703-41B0-B814-39B8B2655341}"/>
    <cellStyle name="Input 4 22_2013" xfId="10189" xr:uid="{BFAD7D8C-8B74-4482-AE7F-B892D28D7101}"/>
    <cellStyle name="Input 4 23" xfId="10190" xr:uid="{4023E6BA-423D-4BE2-8E6F-3CFC7E1CDE8F}"/>
    <cellStyle name="Input 4 24" xfId="10191" xr:uid="{5A34D4EA-61FA-445F-BCF1-C32F177A81CA}"/>
    <cellStyle name="Input 4 3" xfId="10192" xr:uid="{2D73C368-19B2-449B-8887-60921F09172F}"/>
    <cellStyle name="Input 4 3 10" xfId="10193" xr:uid="{469841EF-CE2E-4287-BA75-683DC507FE3C}"/>
    <cellStyle name="Input 4 3 11" xfId="10194" xr:uid="{68AF3C25-1E5D-4502-98F5-0495C085A46B}"/>
    <cellStyle name="Input 4 3 12" xfId="10195" xr:uid="{285E7712-70C7-427F-BA86-C7A8F6B1B1B4}"/>
    <cellStyle name="Input 4 3 13" xfId="10196" xr:uid="{D62CD5EA-5215-4278-BEB0-F975F3D5450B}"/>
    <cellStyle name="Input 4 3 14" xfId="10197" xr:uid="{DE061BE9-12A7-443E-B10F-59F0E95787E7}"/>
    <cellStyle name="Input 4 3 15" xfId="10198" xr:uid="{5F31B573-0A11-42CF-955B-FE548E1907B6}"/>
    <cellStyle name="Input 4 3 16" xfId="10199" xr:uid="{FA69D5D5-FDCF-4559-89A0-FB4FD1DA70B2}"/>
    <cellStyle name="Input 4 3 17" xfId="10200" xr:uid="{C3FC727E-0A44-46C5-BA77-57B9AD7FFD67}"/>
    <cellStyle name="Input 4 3 18" xfId="10201" xr:uid="{D3F18E36-1FBA-4FFF-ADCC-F18266D21744}"/>
    <cellStyle name="Input 4 3 19" xfId="10202" xr:uid="{B4C3BD65-7C99-47E0-A5CC-409A2CEAF36F}"/>
    <cellStyle name="Input 4 3 19 2" xfId="10203" xr:uid="{4AF091DD-3CEF-4F7D-A4CC-652437022C6A}"/>
    <cellStyle name="Input 4 3 19_2013" xfId="10204" xr:uid="{45685432-D725-4B95-A065-873B0C3DC710}"/>
    <cellStyle name="Input 4 3 2" xfId="10205" xr:uid="{0045D0D5-170F-4B02-9268-5F57EE63A981}"/>
    <cellStyle name="Input 4 3 2 10" xfId="10206" xr:uid="{3B500992-09EF-469C-834C-53D50583AF56}"/>
    <cellStyle name="Input 4 3 2 11" xfId="10207" xr:uid="{77D35DE7-E097-49E1-9573-7A082918EFE0}"/>
    <cellStyle name="Input 4 3 2 12" xfId="10208" xr:uid="{988BF3C7-51A1-46C1-AF5C-F4E025C75D0D}"/>
    <cellStyle name="Input 4 3 2 13" xfId="10209" xr:uid="{D7E9B104-651E-46A9-8E3D-E7824C7A307F}"/>
    <cellStyle name="Input 4 3 2 14" xfId="10210" xr:uid="{2E96C615-7F6B-4A35-86F4-8E2C3296C728}"/>
    <cellStyle name="Input 4 3 2 15" xfId="10211" xr:uid="{7BC33CA0-E061-42C4-94AB-C9EB0A36E945}"/>
    <cellStyle name="Input 4 3 2 16" xfId="10212" xr:uid="{03EC946A-90B0-465C-839E-CCBBC9BB3836}"/>
    <cellStyle name="Input 4 3 2 17" xfId="10213" xr:uid="{3C06E44A-B787-4412-937C-820C9DD85473}"/>
    <cellStyle name="Input 4 3 2 18" xfId="10214" xr:uid="{90B0A711-F1DC-48B3-B7EA-8715DB64F812}"/>
    <cellStyle name="Input 4 3 2 18 2" xfId="10215" xr:uid="{60FB5113-ACA3-4391-AF05-C620306B34C8}"/>
    <cellStyle name="Input 4 3 2 18_2013" xfId="10216" xr:uid="{B9828BE5-D49B-423D-8997-F38F0F0CF254}"/>
    <cellStyle name="Input 4 3 2 19" xfId="10217" xr:uid="{F908AC85-3452-4356-9E60-402107E7F086}"/>
    <cellStyle name="Input 4 3 2 2" xfId="10218" xr:uid="{B5851E68-261B-48DB-8A88-FF510F03552B}"/>
    <cellStyle name="Input 4 3 2 3" xfId="10219" xr:uid="{3F417279-2CA7-4BE9-80EC-BF117B090439}"/>
    <cellStyle name="Input 4 3 2 4" xfId="10220" xr:uid="{6A567CD2-C0FE-44D0-8AE9-40C4E49C0197}"/>
    <cellStyle name="Input 4 3 2 5" xfId="10221" xr:uid="{442C7019-973D-4CD6-A711-00093FFD24FD}"/>
    <cellStyle name="Input 4 3 2 6" xfId="10222" xr:uid="{7D036740-A78A-4270-B08B-DA724C0B4D82}"/>
    <cellStyle name="Input 4 3 2 7" xfId="10223" xr:uid="{670EEAF1-3AC1-42C9-A7F8-E576F5F82AC3}"/>
    <cellStyle name="Input 4 3 2 8" xfId="10224" xr:uid="{217D7B76-A03C-489A-B99E-B88F64841CFD}"/>
    <cellStyle name="Input 4 3 2 9" xfId="10225" xr:uid="{CCDD9D46-1027-41B7-AC1A-5E9CC9FD2B6D}"/>
    <cellStyle name="Input 4 3 2_2013" xfId="10226" xr:uid="{7F38C2B3-54C1-48DD-8137-3F8C0813C5F6}"/>
    <cellStyle name="Input 4 3 20" xfId="10227" xr:uid="{09F89C1C-2E5B-457B-916D-9674AEC2907E}"/>
    <cellStyle name="Input 4 3 3" xfId="10228" xr:uid="{CCFA4A96-0BEF-4F67-837C-FAC8EDF67963}"/>
    <cellStyle name="Input 4 3 4" xfId="10229" xr:uid="{F3992D6B-4BA2-457B-AB2A-4C22AF688FEE}"/>
    <cellStyle name="Input 4 3 5" xfId="10230" xr:uid="{BAC9D677-63DF-4D4A-8C57-DB0D1CEC9B38}"/>
    <cellStyle name="Input 4 3 6" xfId="10231" xr:uid="{9CDC1B5C-CC90-431C-ABAF-FE3C097B54E5}"/>
    <cellStyle name="Input 4 3 7" xfId="10232" xr:uid="{D2632333-9B77-48A8-A789-3D68CE0296DF}"/>
    <cellStyle name="Input 4 3 8" xfId="10233" xr:uid="{20FE3800-C6A8-49B8-BB3C-7A77956C0AC1}"/>
    <cellStyle name="Input 4 3 9" xfId="10234" xr:uid="{902C7D9E-4125-45AE-A831-3143A4F88E2D}"/>
    <cellStyle name="Input 4 3_2013" xfId="10235" xr:uid="{D5FBB7B6-81F6-4E6A-BA95-D9537C0EA93A}"/>
    <cellStyle name="Input 4 4" xfId="10236" xr:uid="{8E5EDB97-6D2A-4B6E-ACDA-7686B1032F53}"/>
    <cellStyle name="Input 4 4 10" xfId="10237" xr:uid="{FB3D1BFA-0A31-4FDB-AFED-31EE3D3A2CB4}"/>
    <cellStyle name="Input 4 4 11" xfId="10238" xr:uid="{3BAB02C9-646D-4D66-A69C-430A05664A24}"/>
    <cellStyle name="Input 4 4 12" xfId="10239" xr:uid="{7FA70E65-458A-48DE-8B58-4C37BDA1D5E1}"/>
    <cellStyle name="Input 4 4 13" xfId="10240" xr:uid="{B7F30CE7-A5A3-4467-8CAF-3D1FFA348DCB}"/>
    <cellStyle name="Input 4 4 14" xfId="10241" xr:uid="{ADB8BDEF-8426-4DAE-85B7-EEC3541E1E22}"/>
    <cellStyle name="Input 4 4 15" xfId="10242" xr:uid="{2AEC7174-0E5F-4289-B41C-ADDF34F79694}"/>
    <cellStyle name="Input 4 4 16" xfId="10243" xr:uid="{FB70CC19-FE09-461A-8D62-47B138EDB867}"/>
    <cellStyle name="Input 4 4 17" xfId="10244" xr:uid="{F6635CDB-1F43-4F0D-9E0A-ACAC4B1958F9}"/>
    <cellStyle name="Input 4 4 18" xfId="10245" xr:uid="{4AE75931-BBE9-4352-85A3-3A449D566520}"/>
    <cellStyle name="Input 4 4 19" xfId="10246" xr:uid="{775D234C-983A-4DFF-880C-AC7B09D17F8B}"/>
    <cellStyle name="Input 4 4 19 2" xfId="10247" xr:uid="{A2ECDD31-9276-48C2-8899-A7D812DF83F1}"/>
    <cellStyle name="Input 4 4 19_2013" xfId="10248" xr:uid="{498497C4-089B-473B-8C08-149A870A0B9D}"/>
    <cellStyle name="Input 4 4 2" xfId="10249" xr:uid="{3FE48871-E0B6-4728-BEEF-8A25B1C2FE72}"/>
    <cellStyle name="Input 4 4 2 10" xfId="10250" xr:uid="{9AE31B5E-957D-4C48-98B8-D9A3E2A682CE}"/>
    <cellStyle name="Input 4 4 2 11" xfId="10251" xr:uid="{C3DC18A7-0F25-4344-A50A-D9D6669B128E}"/>
    <cellStyle name="Input 4 4 2 12" xfId="10252" xr:uid="{5DAD1461-CCD2-4855-9CFA-336EDD2EB454}"/>
    <cellStyle name="Input 4 4 2 13" xfId="10253" xr:uid="{FE3653EA-B968-4857-9957-969AB9AC019D}"/>
    <cellStyle name="Input 4 4 2 14" xfId="10254" xr:uid="{E8278FFE-6AB7-4183-B8D5-CC5CF48862FE}"/>
    <cellStyle name="Input 4 4 2 15" xfId="10255" xr:uid="{A32F8AD4-7875-4BC6-B081-B11E8ED93325}"/>
    <cellStyle name="Input 4 4 2 16" xfId="10256" xr:uid="{F71C1F4B-13DB-41AA-8AAC-9EE58C16358C}"/>
    <cellStyle name="Input 4 4 2 17" xfId="10257" xr:uid="{11547D93-3988-47DA-A36F-097BBADA2A2D}"/>
    <cellStyle name="Input 4 4 2 18" xfId="10258" xr:uid="{E08204D8-3F1A-481C-A7C5-F271FC03E307}"/>
    <cellStyle name="Input 4 4 2 18 2" xfId="10259" xr:uid="{7BD69D41-0580-4D9B-99B9-CFE7A7D7E0F7}"/>
    <cellStyle name="Input 4 4 2 18_2013" xfId="10260" xr:uid="{1E15F912-C0C6-453E-BE4A-5086752A7CC0}"/>
    <cellStyle name="Input 4 4 2 19" xfId="10261" xr:uid="{D901DDDC-6D6A-4A87-BE9E-653ECB59DA4C}"/>
    <cellStyle name="Input 4 4 2 2" xfId="10262" xr:uid="{AB9CFE8A-8B1F-4AAB-A64E-B3C42352AC89}"/>
    <cellStyle name="Input 4 4 2 3" xfId="10263" xr:uid="{34D1AF53-E787-4F1C-A899-1F9D961829EE}"/>
    <cellStyle name="Input 4 4 2 4" xfId="10264" xr:uid="{EEB272B2-C6F9-48AD-B883-C3B0A8B40A33}"/>
    <cellStyle name="Input 4 4 2 5" xfId="10265" xr:uid="{09FACF0D-A9E8-4234-B3CD-9BEDBCB89EC0}"/>
    <cellStyle name="Input 4 4 2 6" xfId="10266" xr:uid="{594AEEE6-A609-40E8-B210-8D6E12A15785}"/>
    <cellStyle name="Input 4 4 2 7" xfId="10267" xr:uid="{7AC2F63D-F569-48AC-A336-D18DFD33EBD6}"/>
    <cellStyle name="Input 4 4 2 8" xfId="10268" xr:uid="{569DADF9-6CD5-44A1-AABE-7E6B7295CBBD}"/>
    <cellStyle name="Input 4 4 2 9" xfId="10269" xr:uid="{C04F6FC6-517E-4F8F-94D5-29A4DE46554B}"/>
    <cellStyle name="Input 4 4 2_2013" xfId="10270" xr:uid="{A982E395-C64A-4195-87B2-BCA89111F6E3}"/>
    <cellStyle name="Input 4 4 20" xfId="10271" xr:uid="{975A8EF7-620E-41DB-97A9-42796F3E6DF9}"/>
    <cellStyle name="Input 4 4 3" xfId="10272" xr:uid="{1154B103-0C43-4AEB-A3AB-2A83F31492BA}"/>
    <cellStyle name="Input 4 4 4" xfId="10273" xr:uid="{11D0E400-EEFF-49A7-8609-74A930C22424}"/>
    <cellStyle name="Input 4 4 5" xfId="10274" xr:uid="{6442B737-41D5-4B95-9A51-B7FB486B7C8D}"/>
    <cellStyle name="Input 4 4 6" xfId="10275" xr:uid="{2C40E9B9-A73E-432B-81AC-9C926B62014E}"/>
    <cellStyle name="Input 4 4 7" xfId="10276" xr:uid="{7E6AB41C-95DC-4FA6-A459-BE020605C18D}"/>
    <cellStyle name="Input 4 4 8" xfId="10277" xr:uid="{67DDF2C9-5968-41FC-88CE-13077F6AE326}"/>
    <cellStyle name="Input 4 4 9" xfId="10278" xr:uid="{D4FB2440-DCA1-48D1-9DED-9FAB15AE8BB2}"/>
    <cellStyle name="Input 4 4_2013" xfId="10279" xr:uid="{A0FA1AA0-F9A3-4136-B10F-C3D0FCCE6C1F}"/>
    <cellStyle name="Input 4 5" xfId="10280" xr:uid="{2E277A22-6D7F-4B0D-BB7C-485A1CD7D237}"/>
    <cellStyle name="Input 4 5 10" xfId="10281" xr:uid="{3D9E6C0B-5D4D-4FD3-B3DB-9E3D5212CF2D}"/>
    <cellStyle name="Input 4 5 11" xfId="10282" xr:uid="{FA1218F6-3784-49C4-A82D-32D48282C818}"/>
    <cellStyle name="Input 4 5 12" xfId="10283" xr:uid="{00AAE259-91AB-4F39-BE13-913CCA26A8D8}"/>
    <cellStyle name="Input 4 5 13" xfId="10284" xr:uid="{38417C91-2F1C-49F6-8C57-EF6645666167}"/>
    <cellStyle name="Input 4 5 14" xfId="10285" xr:uid="{7B7A1B18-0469-441D-B6BA-48A62115869A}"/>
    <cellStyle name="Input 4 5 15" xfId="10286" xr:uid="{4C8DD06F-2BDA-49FF-96C4-10805C751460}"/>
    <cellStyle name="Input 4 5 16" xfId="10287" xr:uid="{145F9CAC-582B-4283-96DA-C048A53FBD09}"/>
    <cellStyle name="Input 4 5 17" xfId="10288" xr:uid="{8EBDDACC-3BF6-4DC3-BABE-7F55A57FC391}"/>
    <cellStyle name="Input 4 5 18" xfId="10289" xr:uid="{57080D7E-0105-459A-A644-FCC257372332}"/>
    <cellStyle name="Input 4 5 18 2" xfId="10290" xr:uid="{76CE7E53-D2DF-4408-AB06-B6B2EC286EC8}"/>
    <cellStyle name="Input 4 5 18_2013" xfId="10291" xr:uid="{DE88BA40-7FDC-49FD-BD88-B4C6B0AD11D9}"/>
    <cellStyle name="Input 4 5 19" xfId="10292" xr:uid="{F12CEE15-FA86-4525-92C6-9703C2A076CD}"/>
    <cellStyle name="Input 4 5 2" xfId="10293" xr:uid="{EE523754-81A2-406E-AA33-0BFDB571F37A}"/>
    <cellStyle name="Input 4 5 3" xfId="10294" xr:uid="{394C4744-0E5B-4CA9-86F4-9DF9D8B14023}"/>
    <cellStyle name="Input 4 5 4" xfId="10295" xr:uid="{E7D62BC2-F299-47E4-8167-92C5856FE509}"/>
    <cellStyle name="Input 4 5 5" xfId="10296" xr:uid="{F644F51E-53D4-44AF-A5E2-7B9D3F7285CC}"/>
    <cellStyle name="Input 4 5 6" xfId="10297" xr:uid="{16EA51A0-5758-4843-B3EE-5EE3213E0DED}"/>
    <cellStyle name="Input 4 5 7" xfId="10298" xr:uid="{1C135C6B-450A-4FCF-A834-52EAD5EC6BDB}"/>
    <cellStyle name="Input 4 5 8" xfId="10299" xr:uid="{E9C41D4D-CFEF-4928-BEBE-65D391BD1D47}"/>
    <cellStyle name="Input 4 5 9" xfId="10300" xr:uid="{0C086B0B-E234-4EB8-9EB8-C859CB4B6CA7}"/>
    <cellStyle name="Input 4 5_2013" xfId="10301" xr:uid="{E1422C6D-C764-4F0B-8AE3-1142E8934C28}"/>
    <cellStyle name="Input 4 6" xfId="10302" xr:uid="{9195E645-562E-4591-9A70-973617F13998}"/>
    <cellStyle name="Input 4 7" xfId="10303" xr:uid="{8545DA93-2DAF-4D78-BFA9-77F6DA4D592C}"/>
    <cellStyle name="Input 4 8" xfId="10304" xr:uid="{43E9638B-8202-4B8C-A486-206A74AE0D7E}"/>
    <cellStyle name="Input 4 9" xfId="10305" xr:uid="{66F0B72E-4F4C-4E56-8211-32800808D81B}"/>
    <cellStyle name="Input 4_2013" xfId="10306" xr:uid="{492D19EE-FFE2-4765-BE15-8078A51B1306}"/>
    <cellStyle name="Input 5" xfId="10307" xr:uid="{7AC9EBBF-9E16-4CA7-9FF6-D39E308574E4}"/>
    <cellStyle name="Input 5 10" xfId="10308" xr:uid="{0241A7EA-4EE0-4DA7-AAE4-8A43D0307990}"/>
    <cellStyle name="Input 5 11" xfId="10309" xr:uid="{97FCE661-1D77-4E93-8920-302102245C05}"/>
    <cellStyle name="Input 5 12" xfId="10310" xr:uid="{51F79758-BADC-432E-893C-13D0E8F94E58}"/>
    <cellStyle name="Input 5 13" xfId="10311" xr:uid="{4460289E-B19E-484C-A77C-64F4E1EA2147}"/>
    <cellStyle name="Input 5 14" xfId="10312" xr:uid="{BA89D854-5C45-43D9-9441-3A00A7D9588D}"/>
    <cellStyle name="Input 5 15" xfId="10313" xr:uid="{BF47AA6C-AC82-486B-884D-3E37995E683D}"/>
    <cellStyle name="Input 5 16" xfId="10314" xr:uid="{4D69EAA9-577C-40E1-84DF-C5693FF2FDAF}"/>
    <cellStyle name="Input 5 17" xfId="10315" xr:uid="{9F16DA5C-117F-4951-A8E9-3A38254967ED}"/>
    <cellStyle name="Input 5 18" xfId="10316" xr:uid="{7C7308DB-9CBF-43EC-95F7-3C3482FD5A67}"/>
    <cellStyle name="Input 5 18 2" xfId="10317" xr:uid="{1A29EB1D-926E-4855-B47C-4CF7FCB5C364}"/>
    <cellStyle name="Input 5 18_2013" xfId="10318" xr:uid="{24AD118D-5A17-4085-84F4-24E314AF2540}"/>
    <cellStyle name="Input 5 19" xfId="10319" xr:uid="{EE779CBF-DE74-4369-93C4-55F717A37819}"/>
    <cellStyle name="Input 5 2" xfId="10320" xr:uid="{47CFB05F-D4BF-4274-BB9F-47BCF66127ED}"/>
    <cellStyle name="Input 5 3" xfId="10321" xr:uid="{4F306B3A-772E-4968-881B-F1B3032C8DA1}"/>
    <cellStyle name="Input 5 4" xfId="10322" xr:uid="{1577F7A0-75E6-426A-A4DC-335CAECBF627}"/>
    <cellStyle name="Input 5 5" xfId="10323" xr:uid="{E51A8087-4704-4593-934D-F76FD725B9DE}"/>
    <cellStyle name="Input 5 6" xfId="10324" xr:uid="{39721E1D-860E-491F-A798-6FED9FC77685}"/>
    <cellStyle name="Input 5 7" xfId="10325" xr:uid="{418223D1-3FD0-4702-917F-F618C7FEA48E}"/>
    <cellStyle name="Input 5 8" xfId="10326" xr:uid="{035351E6-D042-4879-A100-79EFC23B9F22}"/>
    <cellStyle name="Input 5 9" xfId="10327" xr:uid="{EC8C591E-8301-4032-80A1-00EF520A5285}"/>
    <cellStyle name="Input 5_2013" xfId="10328" xr:uid="{16F757AC-E4E6-4C1C-8069-7790E63ED057}"/>
    <cellStyle name="Input 6" xfId="10329" xr:uid="{B3BDBD14-AE02-4F8E-AAFD-93DF0724DEE5}"/>
    <cellStyle name="Input 7" xfId="10330" xr:uid="{84E5C299-80B2-4A69-83AA-C0A796BA33F8}"/>
    <cellStyle name="Input 7 2" xfId="10331" xr:uid="{CD530921-3637-4A3C-9D94-93134721A39C}"/>
    <cellStyle name="Input 7_2013" xfId="10332" xr:uid="{BF031DAC-AB9E-4B44-9C7B-49EFD2F68035}"/>
    <cellStyle name="Input 8" xfId="10333" xr:uid="{3BBD4BCA-5EC4-4F69-8B02-612F93628D21}"/>
    <cellStyle name="Input 8 2" xfId="10334" xr:uid="{A94BC62B-A800-4AA3-8951-FB3078CA13E6}"/>
    <cellStyle name="Input 8 3" xfId="10335" xr:uid="{CDF766E8-CC60-4ED6-BA27-E7B95609CDE0}"/>
    <cellStyle name="Input 8_2013" xfId="10336" xr:uid="{CF6C6000-044E-4D10-BED7-D019392E5C4C}"/>
    <cellStyle name="Input 9" xfId="10337" xr:uid="{71C270F9-6E03-49FE-9A90-1D4B0499203D}"/>
    <cellStyle name="Input 9 2" xfId="10338" xr:uid="{B88314A2-659D-48DE-A18D-CA124AB7E0A6}"/>
    <cellStyle name="Input 9 3" xfId="10339" xr:uid="{A896D1C7-87A1-4D2F-8033-9FC0F2BB1272}"/>
    <cellStyle name="Input 9_2013" xfId="10340" xr:uid="{FE931A32-0FF7-4E3C-B921-082F049F6A39}"/>
    <cellStyle name="Komma__Mailout" xfId="10341" xr:uid="{154DFF0A-EDA2-421C-8D37-017D84CB8E51}"/>
    <cellStyle name="Laskenta" xfId="10342" xr:uid="{8D57CB11-C081-4F52-AA62-B894AC010764}"/>
    <cellStyle name="Laskenta 10" xfId="10343" xr:uid="{83DB173F-F638-477B-955E-9A9686C20C96}"/>
    <cellStyle name="Laskenta 11" xfId="10344" xr:uid="{BB654351-6EDC-4233-B593-13DEA27EBA68}"/>
    <cellStyle name="Laskenta 12" xfId="10345" xr:uid="{33ABC4CA-155C-4B35-B516-DB12E52478F3}"/>
    <cellStyle name="Laskenta 13" xfId="10346" xr:uid="{31CCE745-A9CD-45B2-8520-78828BCE2C7B}"/>
    <cellStyle name="Laskenta 14" xfId="10347" xr:uid="{C361EE4A-88BA-4E49-8AE4-1E54103DA6D5}"/>
    <cellStyle name="Laskenta 15" xfId="10348" xr:uid="{4895CBDA-BDE8-40CA-8766-C6550A7A0AC4}"/>
    <cellStyle name="Laskenta 16" xfId="10349" xr:uid="{7B5CD2E6-9E3C-4EE1-B0CA-37D805A6E24A}"/>
    <cellStyle name="Laskenta 17" xfId="10350" xr:uid="{8954090C-B844-448B-A3FA-35F8AE1E047E}"/>
    <cellStyle name="Laskenta 18" xfId="10351" xr:uid="{ED47A157-546D-469A-94EB-DA0A47678FC9}"/>
    <cellStyle name="Laskenta 19" xfId="10352" xr:uid="{48062272-B474-4949-BC69-08D297C805E9}"/>
    <cellStyle name="Laskenta 2" xfId="10353" xr:uid="{B8BCC63E-58A6-46CE-AB5C-05D2C478C12E}"/>
    <cellStyle name="Laskenta 2 10" xfId="10354" xr:uid="{D053CE2C-69F6-47B5-B539-9C3F3A142629}"/>
    <cellStyle name="Laskenta 2 11" xfId="10355" xr:uid="{05B8F28D-95E0-4D80-A221-F32F860A3BC4}"/>
    <cellStyle name="Laskenta 2 12" xfId="10356" xr:uid="{4A84D349-436C-4C87-AA61-0D899D6BA6FC}"/>
    <cellStyle name="Laskenta 2 13" xfId="10357" xr:uid="{F159F94E-485D-461A-B3FA-B59BEC403F19}"/>
    <cellStyle name="Laskenta 2 14" xfId="10358" xr:uid="{8043EB87-17EB-4A61-B309-78E6E15A6E79}"/>
    <cellStyle name="Laskenta 2 15" xfId="10359" xr:uid="{3537DEC6-61FA-44B2-B810-5C7F31ED675F}"/>
    <cellStyle name="Laskenta 2 16" xfId="10360" xr:uid="{C3266D3E-689F-4CC6-A908-4E77518DCB8F}"/>
    <cellStyle name="Laskenta 2 17" xfId="10361" xr:uid="{29DE3A35-FC0D-4BE3-B3D7-86ABAAC285FE}"/>
    <cellStyle name="Laskenta 2 18" xfId="10362" xr:uid="{0B79BC7C-C98A-4B55-A4DB-97A0AC8AF8D3}"/>
    <cellStyle name="Laskenta 2 19" xfId="10363" xr:uid="{778FEB4B-2890-4472-A5F3-D76F3720CB47}"/>
    <cellStyle name="Laskenta 2 2" xfId="10364" xr:uid="{1798A988-DF2B-442A-919C-51CBB17A5CF2}"/>
    <cellStyle name="Laskenta 2 2 10" xfId="10365" xr:uid="{21FBD658-C40F-43F9-AD10-7EF0613A8C85}"/>
    <cellStyle name="Laskenta 2 2 11" xfId="10366" xr:uid="{B24281EE-3E41-475E-8CD7-6EFF2C60BE8A}"/>
    <cellStyle name="Laskenta 2 2 12" xfId="10367" xr:uid="{4183E177-6AFB-4216-A1A3-3D870282746A}"/>
    <cellStyle name="Laskenta 2 2 13" xfId="10368" xr:uid="{8970D27B-D463-420B-AAB0-CDB2243935A9}"/>
    <cellStyle name="Laskenta 2 2 14" xfId="10369" xr:uid="{7EA73249-08BD-40C9-98DA-E8FB62EE42A6}"/>
    <cellStyle name="Laskenta 2 2 15" xfId="10370" xr:uid="{84EA7021-9D52-4744-A6CB-E30081C8ABED}"/>
    <cellStyle name="Laskenta 2 2 16" xfId="10371" xr:uid="{F6115757-942E-49F3-9BE8-2146D65BA6F4}"/>
    <cellStyle name="Laskenta 2 2 17" xfId="10372" xr:uid="{F9F9910E-81C4-4AD9-8EE1-A1836D1B010D}"/>
    <cellStyle name="Laskenta 2 2 18" xfId="10373" xr:uid="{85CEEB1F-8DCC-40AD-8EFF-DE8498D97AFB}"/>
    <cellStyle name="Laskenta 2 2 19" xfId="10374" xr:uid="{18664403-9AA8-44C3-9C40-144786FC4232}"/>
    <cellStyle name="Laskenta 2 2 2" xfId="10375" xr:uid="{898229C2-9D9B-4D48-B67C-9E01F3E65108}"/>
    <cellStyle name="Laskenta 2 2 2 10" xfId="10376" xr:uid="{B6F97FBA-C253-4A7F-8719-6178EA5A1C57}"/>
    <cellStyle name="Laskenta 2 2 2 11" xfId="10377" xr:uid="{E9C70F8C-098C-4C0F-A409-06A308943DD9}"/>
    <cellStyle name="Laskenta 2 2 2 12" xfId="10378" xr:uid="{88C4FD14-F40E-4125-9557-94236AC1AB03}"/>
    <cellStyle name="Laskenta 2 2 2 13" xfId="10379" xr:uid="{40E82D4C-B30D-4F70-ADF1-5AF06594B81C}"/>
    <cellStyle name="Laskenta 2 2 2 14" xfId="10380" xr:uid="{D4CFAFF7-6673-4A54-9F86-0CE100E374BA}"/>
    <cellStyle name="Laskenta 2 2 2 15" xfId="10381" xr:uid="{C0B8921E-73C6-45EA-A083-52F41FDCDBFB}"/>
    <cellStyle name="Laskenta 2 2 2 16" xfId="10382" xr:uid="{1DED2D28-9E8F-41EB-8356-3FDDFDA023BA}"/>
    <cellStyle name="Laskenta 2 2 2 17" xfId="10383" xr:uid="{E3C56B67-8098-4482-B642-D1209137DE2A}"/>
    <cellStyle name="Laskenta 2 2 2 18" xfId="10384" xr:uid="{0E5EA94C-7054-4E51-A3A9-E7E840620C6E}"/>
    <cellStyle name="Laskenta 2 2 2 19" xfId="10385" xr:uid="{D57DE7FE-4B79-4A6A-B98C-00977973204E}"/>
    <cellStyle name="Laskenta 2 2 2 19 2" xfId="10386" xr:uid="{152EFF83-291F-42A4-AD6C-28AC30E82433}"/>
    <cellStyle name="Laskenta 2 2 2 19_2013" xfId="10387" xr:uid="{D20419EA-70A2-492A-8A4D-E9B65E363B3E}"/>
    <cellStyle name="Laskenta 2 2 2 2" xfId="10388" xr:uid="{E6B3E507-CA74-4B4D-932F-7B0F614E8AC6}"/>
    <cellStyle name="Laskenta 2 2 2 2 10" xfId="10389" xr:uid="{59086617-DAC6-4057-A0CA-D2573BE803D1}"/>
    <cellStyle name="Laskenta 2 2 2 2 11" xfId="10390" xr:uid="{3C53558B-987A-4508-880C-B04E870C5F7B}"/>
    <cellStyle name="Laskenta 2 2 2 2 12" xfId="10391" xr:uid="{5A149E4B-49CF-4BB4-815A-CD5A29E64D3B}"/>
    <cellStyle name="Laskenta 2 2 2 2 13" xfId="10392" xr:uid="{AD2412E8-8684-419A-B2AB-2DC0BB1A272F}"/>
    <cellStyle name="Laskenta 2 2 2 2 14" xfId="10393" xr:uid="{E83BEE26-D427-418E-9D26-1171CF513D29}"/>
    <cellStyle name="Laskenta 2 2 2 2 15" xfId="10394" xr:uid="{09D3D4DC-8A6F-444D-BD93-6000E12F7DC7}"/>
    <cellStyle name="Laskenta 2 2 2 2 16" xfId="10395" xr:uid="{D3B3EF11-A75C-40AF-8087-AE1A0B9E2185}"/>
    <cellStyle name="Laskenta 2 2 2 2 17" xfId="10396" xr:uid="{20DB83F7-4FDA-4B1B-B948-50E101944EEC}"/>
    <cellStyle name="Laskenta 2 2 2 2 18" xfId="10397" xr:uid="{24FB89CC-4DE4-4E80-A504-C23BE2E0DAD4}"/>
    <cellStyle name="Laskenta 2 2 2 2 18 2" xfId="10398" xr:uid="{CDB13C8A-AD52-43D4-A38F-2634B2FCEA4E}"/>
    <cellStyle name="Laskenta 2 2 2 2 18_2013" xfId="10399" xr:uid="{9EA4153D-7C19-4CF3-95CD-6B49A0EE56FC}"/>
    <cellStyle name="Laskenta 2 2 2 2 19" xfId="10400" xr:uid="{C612892F-15CB-4FBD-80C6-A622B9402001}"/>
    <cellStyle name="Laskenta 2 2 2 2 2" xfId="10401" xr:uid="{48B28729-54ED-494C-95D3-859AE4DA174C}"/>
    <cellStyle name="Laskenta 2 2 2 2 3" xfId="10402" xr:uid="{487175DD-7848-4363-8BB8-F1627FD57B9A}"/>
    <cellStyle name="Laskenta 2 2 2 2 4" xfId="10403" xr:uid="{3BCDF499-E46C-4D61-99C2-015725315756}"/>
    <cellStyle name="Laskenta 2 2 2 2 5" xfId="10404" xr:uid="{D4445A83-82C0-4D0B-A86A-ACE09C25C4EF}"/>
    <cellStyle name="Laskenta 2 2 2 2 6" xfId="10405" xr:uid="{91015395-4BA9-438C-A1C2-8D96B7958B77}"/>
    <cellStyle name="Laskenta 2 2 2 2 7" xfId="10406" xr:uid="{409B48E6-7344-4A10-A621-9B72E87767CD}"/>
    <cellStyle name="Laskenta 2 2 2 2 8" xfId="10407" xr:uid="{D07C1EEA-6779-4BD2-9D06-D45AEE8D7AF7}"/>
    <cellStyle name="Laskenta 2 2 2 2 9" xfId="10408" xr:uid="{EC8FDAEB-8FB9-47EB-8B0B-67B292D07A40}"/>
    <cellStyle name="Laskenta 2 2 2 2_2013" xfId="10409" xr:uid="{2C0228FF-50F9-4104-AEC1-46E66514C813}"/>
    <cellStyle name="Laskenta 2 2 2 20" xfId="10410" xr:uid="{52AD349B-8DB3-407B-8046-C5AA011567FF}"/>
    <cellStyle name="Laskenta 2 2 2 3" xfId="10411" xr:uid="{3E3123A2-BF49-4133-A60F-C92E6A5D2EEC}"/>
    <cellStyle name="Laskenta 2 2 2 4" xfId="10412" xr:uid="{9F6BC1BB-5B39-43C0-B7B7-BCCAFFAD3F92}"/>
    <cellStyle name="Laskenta 2 2 2 5" xfId="10413" xr:uid="{BFFDC6D6-D485-4AD2-9991-F2F0EC3EACFD}"/>
    <cellStyle name="Laskenta 2 2 2 6" xfId="10414" xr:uid="{5E96A832-EE08-49A4-8FDB-A09835DD5E95}"/>
    <cellStyle name="Laskenta 2 2 2 7" xfId="10415" xr:uid="{6CA573B5-63FB-4B46-9922-47730D374973}"/>
    <cellStyle name="Laskenta 2 2 2 8" xfId="10416" xr:uid="{ECFA2933-A54F-430A-9E1E-500BCE0B1DB7}"/>
    <cellStyle name="Laskenta 2 2 2 9" xfId="10417" xr:uid="{EE86363D-6DA0-429D-8D20-0C917BA33011}"/>
    <cellStyle name="Laskenta 2 2 2_2013" xfId="10418" xr:uid="{D6B0F717-053D-439F-8B24-52667DEAB7B0}"/>
    <cellStyle name="Laskenta 2 2 20" xfId="10419" xr:uid="{01FEF734-3EAE-4A17-B9AF-71A6ABC48601}"/>
    <cellStyle name="Laskenta 2 2 21" xfId="10420" xr:uid="{9C99296A-B9A3-4846-8AFF-13EB66E66B1D}"/>
    <cellStyle name="Laskenta 2 2 22" xfId="10421" xr:uid="{BA5E5B0E-4E4D-4F1D-9C59-77A7511C7C7B}"/>
    <cellStyle name="Laskenta 2 2 22 2" xfId="10422" xr:uid="{D3375701-CC13-406C-94A9-F699E5BAAB9D}"/>
    <cellStyle name="Laskenta 2 2 22_2013" xfId="10423" xr:uid="{505E93E7-4C57-4722-93E9-661AB972558F}"/>
    <cellStyle name="Laskenta 2 2 23" xfId="10424" xr:uid="{97A8173D-3B61-4C62-A00D-2BE35A3D0159}"/>
    <cellStyle name="Laskenta 2 2 3" xfId="10425" xr:uid="{EB6B4EDF-9CE2-46E1-9082-CF78E6DADBD2}"/>
    <cellStyle name="Laskenta 2 2 3 10" xfId="10426" xr:uid="{EB1AD660-DC1E-467C-839A-CDCA06778EC4}"/>
    <cellStyle name="Laskenta 2 2 3 11" xfId="10427" xr:uid="{4E486297-C68A-45DF-9455-61328BC5C78D}"/>
    <cellStyle name="Laskenta 2 2 3 12" xfId="10428" xr:uid="{83F4C7E2-6321-429C-BD7D-B736DF5C3AFE}"/>
    <cellStyle name="Laskenta 2 2 3 13" xfId="10429" xr:uid="{FE119979-4A69-4EBD-AA85-98D868257A66}"/>
    <cellStyle name="Laskenta 2 2 3 14" xfId="10430" xr:uid="{6ADFB41E-8A30-4911-9A3C-1C1413F7DE38}"/>
    <cellStyle name="Laskenta 2 2 3 15" xfId="10431" xr:uid="{B120F1EF-4989-40ED-B247-63330C0625CC}"/>
    <cellStyle name="Laskenta 2 2 3 16" xfId="10432" xr:uid="{4BCF831B-CB92-4093-8304-7FA7519EBD81}"/>
    <cellStyle name="Laskenta 2 2 3 17" xfId="10433" xr:uid="{D29ADBC3-48F3-4DE5-B229-0843F59EA552}"/>
    <cellStyle name="Laskenta 2 2 3 18" xfId="10434" xr:uid="{8F15021E-FE7B-4ADD-B082-2EFA28B8123F}"/>
    <cellStyle name="Laskenta 2 2 3 19" xfId="10435" xr:uid="{4664D559-8C8D-4A1A-9BCB-0FBD42554BA9}"/>
    <cellStyle name="Laskenta 2 2 3 19 2" xfId="10436" xr:uid="{CFC3BA22-A8B4-41CC-B34B-2F7622879FC6}"/>
    <cellStyle name="Laskenta 2 2 3 19_2013" xfId="10437" xr:uid="{01AEE070-E2A2-4D48-8E4B-3D0DA8CE3A0E}"/>
    <cellStyle name="Laskenta 2 2 3 2" xfId="10438" xr:uid="{41895EED-5471-422F-BCF7-11E2C88814F7}"/>
    <cellStyle name="Laskenta 2 2 3 2 10" xfId="10439" xr:uid="{56352124-7B37-406C-BB9A-DFD6915DAE3D}"/>
    <cellStyle name="Laskenta 2 2 3 2 11" xfId="10440" xr:uid="{F5509770-6F4E-4F8A-93BA-B4C3BA668E11}"/>
    <cellStyle name="Laskenta 2 2 3 2 12" xfId="10441" xr:uid="{CAE88D2E-5ACF-42EA-8C5C-887E86915C33}"/>
    <cellStyle name="Laskenta 2 2 3 2 13" xfId="10442" xr:uid="{CD411363-CDC8-4F30-9024-C330032FFC58}"/>
    <cellStyle name="Laskenta 2 2 3 2 14" xfId="10443" xr:uid="{C0945B5C-8A8D-4CF3-A271-3D5554DC9DB2}"/>
    <cellStyle name="Laskenta 2 2 3 2 15" xfId="10444" xr:uid="{48001971-293C-42D2-A3FE-2FB98D00CF98}"/>
    <cellStyle name="Laskenta 2 2 3 2 16" xfId="10445" xr:uid="{5CCBFCDE-602C-4C11-8874-246A819652AD}"/>
    <cellStyle name="Laskenta 2 2 3 2 17" xfId="10446" xr:uid="{DE88045A-3781-4D00-9E76-5C8831EA3B63}"/>
    <cellStyle name="Laskenta 2 2 3 2 18" xfId="10447" xr:uid="{1D8D5D0E-2EBA-4031-BDD3-7EEA464C473A}"/>
    <cellStyle name="Laskenta 2 2 3 2 18 2" xfId="10448" xr:uid="{B79813FC-D38D-4EA7-BF0E-CDFF5AC166EA}"/>
    <cellStyle name="Laskenta 2 2 3 2 18_2013" xfId="10449" xr:uid="{28C61969-7BF6-4696-9EEC-445611CCACC5}"/>
    <cellStyle name="Laskenta 2 2 3 2 19" xfId="10450" xr:uid="{A0F4D78B-2569-499A-ACED-10FE87838796}"/>
    <cellStyle name="Laskenta 2 2 3 2 2" xfId="10451" xr:uid="{2EF3DCE9-4474-4AA6-9C41-5A25A2DDDDF3}"/>
    <cellStyle name="Laskenta 2 2 3 2 3" xfId="10452" xr:uid="{7C10A2E0-D793-4B9D-B3AB-A04CC11E67E6}"/>
    <cellStyle name="Laskenta 2 2 3 2 4" xfId="10453" xr:uid="{ED34B2D1-9771-4E15-BD3F-D615096DE42B}"/>
    <cellStyle name="Laskenta 2 2 3 2 5" xfId="10454" xr:uid="{24CAD01F-2C5C-41AC-B43E-7B6E440216B2}"/>
    <cellStyle name="Laskenta 2 2 3 2 6" xfId="10455" xr:uid="{80A0F336-633A-4F3B-ADA7-BE357DFFAB84}"/>
    <cellStyle name="Laskenta 2 2 3 2 7" xfId="10456" xr:uid="{472132E0-14C8-4DD9-839B-3CDE8A53F214}"/>
    <cellStyle name="Laskenta 2 2 3 2 8" xfId="10457" xr:uid="{A0625113-606A-4813-A83F-12C6724BE311}"/>
    <cellStyle name="Laskenta 2 2 3 2 9" xfId="10458" xr:uid="{B99B1DF3-57B6-4F1C-9161-1DBDCB80FA50}"/>
    <cellStyle name="Laskenta 2 2 3 2_2013" xfId="10459" xr:uid="{A7675BE2-84BB-410F-BD53-8783805EA914}"/>
    <cellStyle name="Laskenta 2 2 3 20" xfId="10460" xr:uid="{B78F6FD8-A938-47B0-88BB-8CE2EF631D7B}"/>
    <cellStyle name="Laskenta 2 2 3 3" xfId="10461" xr:uid="{958DA4D6-58A8-4A88-A2FB-711416C1876C}"/>
    <cellStyle name="Laskenta 2 2 3 4" xfId="10462" xr:uid="{16F53B7E-E1B5-4D6B-98A6-FAD79DCA19F8}"/>
    <cellStyle name="Laskenta 2 2 3 5" xfId="10463" xr:uid="{D14C6793-5B84-401C-A63A-6902BEEA7021}"/>
    <cellStyle name="Laskenta 2 2 3 6" xfId="10464" xr:uid="{650DCF61-418F-4621-9381-838D2100788E}"/>
    <cellStyle name="Laskenta 2 2 3 7" xfId="10465" xr:uid="{65F8AF6B-FA91-4A38-B2C7-46AD4C9DD60C}"/>
    <cellStyle name="Laskenta 2 2 3 8" xfId="10466" xr:uid="{3663C165-1F7C-426E-954E-0476A819A4AB}"/>
    <cellStyle name="Laskenta 2 2 3 9" xfId="10467" xr:uid="{6ECABC05-2C7C-4DBE-AF45-8BAA719F5BD8}"/>
    <cellStyle name="Laskenta 2 2 3_2013" xfId="10468" xr:uid="{9B1C6AA2-1B6E-4B33-8AD3-7F1353F08572}"/>
    <cellStyle name="Laskenta 2 2 4" xfId="10469" xr:uid="{38EB4BFD-DD36-43D5-98EB-E475EAE52DCD}"/>
    <cellStyle name="Laskenta 2 2 4 10" xfId="10470" xr:uid="{87331B97-7897-4C8F-8457-93E9FC01A0AA}"/>
    <cellStyle name="Laskenta 2 2 4 11" xfId="10471" xr:uid="{5AC3E227-5E6A-4CCE-A652-708CAEEF673E}"/>
    <cellStyle name="Laskenta 2 2 4 12" xfId="10472" xr:uid="{EFB5D311-1CFF-4302-B2DD-E6B0954992FC}"/>
    <cellStyle name="Laskenta 2 2 4 13" xfId="10473" xr:uid="{4CDC0A22-077A-4CEE-87D6-5DABE6587E83}"/>
    <cellStyle name="Laskenta 2 2 4 14" xfId="10474" xr:uid="{B0354889-429E-4C2E-B184-8473AC4A72C1}"/>
    <cellStyle name="Laskenta 2 2 4 15" xfId="10475" xr:uid="{C9F915E2-E7B6-4771-BEEB-8BBDE7FD481B}"/>
    <cellStyle name="Laskenta 2 2 4 16" xfId="10476" xr:uid="{4E61FAC1-F3F7-42FB-B767-357F2D1A0EAD}"/>
    <cellStyle name="Laskenta 2 2 4 17" xfId="10477" xr:uid="{5F3447A0-0348-4819-BED0-E381162F1B9A}"/>
    <cellStyle name="Laskenta 2 2 4 18" xfId="10478" xr:uid="{EF04E710-81B1-4405-A028-E91026C77969}"/>
    <cellStyle name="Laskenta 2 2 4 19" xfId="10479" xr:uid="{597837DC-F128-4E70-8B00-6D49C3B9BC14}"/>
    <cellStyle name="Laskenta 2 2 4 19 2" xfId="10480" xr:uid="{971DAF8B-5790-4712-9EFF-E31677560EFD}"/>
    <cellStyle name="Laskenta 2 2 4 19_2013" xfId="10481" xr:uid="{76C577CD-22B3-4C94-8EEE-A2C52E8B9B2C}"/>
    <cellStyle name="Laskenta 2 2 4 2" xfId="10482" xr:uid="{98ED9260-42BD-41A3-B6D7-7E11A22C4718}"/>
    <cellStyle name="Laskenta 2 2 4 2 10" xfId="10483" xr:uid="{233DF0F8-8493-45D3-925D-76046FBB6C00}"/>
    <cellStyle name="Laskenta 2 2 4 2 11" xfId="10484" xr:uid="{FB8B6CE5-3CCD-422B-9A2B-6ED1CD8C1A66}"/>
    <cellStyle name="Laskenta 2 2 4 2 12" xfId="10485" xr:uid="{86AFE221-5B84-4011-86B1-42C1F1916325}"/>
    <cellStyle name="Laskenta 2 2 4 2 13" xfId="10486" xr:uid="{4AFC1AAD-0C68-487F-95E7-468B46826B5E}"/>
    <cellStyle name="Laskenta 2 2 4 2 14" xfId="10487" xr:uid="{1F2BACBF-91B8-4D5D-ADF5-59AAEF643809}"/>
    <cellStyle name="Laskenta 2 2 4 2 15" xfId="10488" xr:uid="{6C0E5550-CEB4-45EF-B983-9225DDA38AFD}"/>
    <cellStyle name="Laskenta 2 2 4 2 16" xfId="10489" xr:uid="{1CBF908B-813E-4A28-8157-D8261FB3BD4A}"/>
    <cellStyle name="Laskenta 2 2 4 2 17" xfId="10490" xr:uid="{FD8BD579-AFAB-497E-946C-3BBA8C30FAB5}"/>
    <cellStyle name="Laskenta 2 2 4 2 18" xfId="10491" xr:uid="{CDE238EF-5AF6-42F4-93C1-1BE1D202F0CF}"/>
    <cellStyle name="Laskenta 2 2 4 2 18 2" xfId="10492" xr:uid="{00BC0DEC-CFFD-40BA-B8E4-0DE53B2B68AA}"/>
    <cellStyle name="Laskenta 2 2 4 2 18_2013" xfId="10493" xr:uid="{C48A0D51-9B60-4540-BD8B-04EFE6C531D8}"/>
    <cellStyle name="Laskenta 2 2 4 2 19" xfId="10494" xr:uid="{2AB948AB-2260-4632-AA86-5418EA143D1C}"/>
    <cellStyle name="Laskenta 2 2 4 2 2" xfId="10495" xr:uid="{5642024F-8D56-4BDB-A15C-8155D636349A}"/>
    <cellStyle name="Laskenta 2 2 4 2 3" xfId="10496" xr:uid="{EACCCE41-3277-4B60-86BA-E60D87AA4C71}"/>
    <cellStyle name="Laskenta 2 2 4 2 4" xfId="10497" xr:uid="{0B848996-3329-4DD3-888E-E8BBFC78B238}"/>
    <cellStyle name="Laskenta 2 2 4 2 5" xfId="10498" xr:uid="{3765D4FF-A0C7-48E5-B56E-96BC34449342}"/>
    <cellStyle name="Laskenta 2 2 4 2 6" xfId="10499" xr:uid="{2C70D491-6A87-474D-B9CB-E38DD7ACD5D6}"/>
    <cellStyle name="Laskenta 2 2 4 2 7" xfId="10500" xr:uid="{395B6514-3CA0-42FF-B70C-C95CD113FC2C}"/>
    <cellStyle name="Laskenta 2 2 4 2 8" xfId="10501" xr:uid="{5A233156-9C40-42E3-989B-1F80BA8E4215}"/>
    <cellStyle name="Laskenta 2 2 4 2 9" xfId="10502" xr:uid="{71A9776D-574C-420A-B6E9-A83D6163B4EF}"/>
    <cellStyle name="Laskenta 2 2 4 2_2013" xfId="10503" xr:uid="{05D7BF7F-0498-459D-BB1A-9F0750E5BFDE}"/>
    <cellStyle name="Laskenta 2 2 4 20" xfId="10504" xr:uid="{17D75D1B-CA6C-4F20-8EF0-938A8E16B3DE}"/>
    <cellStyle name="Laskenta 2 2 4 3" xfId="10505" xr:uid="{205415C9-E782-4AB2-915B-7F4D244D3EC8}"/>
    <cellStyle name="Laskenta 2 2 4 4" xfId="10506" xr:uid="{66D14165-0675-4FEE-9714-477480FF8B8F}"/>
    <cellStyle name="Laskenta 2 2 4 5" xfId="10507" xr:uid="{BF90A0C2-57D4-495A-ABE7-AD869930BB8F}"/>
    <cellStyle name="Laskenta 2 2 4 6" xfId="10508" xr:uid="{39BC3822-2696-4A5C-A723-BF29EAEB5844}"/>
    <cellStyle name="Laskenta 2 2 4 7" xfId="10509" xr:uid="{DEB69B41-25F0-4ADB-B41C-45511FEDDDB5}"/>
    <cellStyle name="Laskenta 2 2 4 8" xfId="10510" xr:uid="{E3BAC7B6-F183-4713-B16E-D0BAA96B914D}"/>
    <cellStyle name="Laskenta 2 2 4 9" xfId="10511" xr:uid="{A71D6AF7-E009-4A46-BCDE-21F5299EEE49}"/>
    <cellStyle name="Laskenta 2 2 4_2013" xfId="10512" xr:uid="{277F809B-DFC5-49C7-9E9B-D337FD0F02DF}"/>
    <cellStyle name="Laskenta 2 2 5" xfId="10513" xr:uid="{266C4184-63D5-49E1-BA0F-B2F7CCD08147}"/>
    <cellStyle name="Laskenta 2 2 5 10" xfId="10514" xr:uid="{DE5A259E-CE79-4896-8B73-DE37B784B562}"/>
    <cellStyle name="Laskenta 2 2 5 11" xfId="10515" xr:uid="{182FEBC2-1FD4-4DAE-B4FB-59032BA632F4}"/>
    <cellStyle name="Laskenta 2 2 5 12" xfId="10516" xr:uid="{FC1949EC-A506-48A7-8774-ABA763C36125}"/>
    <cellStyle name="Laskenta 2 2 5 13" xfId="10517" xr:uid="{791FC3F4-87A4-421D-BFDE-FC8D48E6242C}"/>
    <cellStyle name="Laskenta 2 2 5 14" xfId="10518" xr:uid="{22DEE096-233F-452D-B226-37856D938DDA}"/>
    <cellStyle name="Laskenta 2 2 5 15" xfId="10519" xr:uid="{8A5C4A50-F7C9-4D52-A9DD-4D995FF48040}"/>
    <cellStyle name="Laskenta 2 2 5 16" xfId="10520" xr:uid="{0E03C415-4830-4265-ADFE-128ABD4592FF}"/>
    <cellStyle name="Laskenta 2 2 5 17" xfId="10521" xr:uid="{FEF9C95C-8A77-4F74-A004-F708F63E93C2}"/>
    <cellStyle name="Laskenta 2 2 5 18" xfId="10522" xr:uid="{CC2CBD58-B769-40DB-9340-D4309DB2451B}"/>
    <cellStyle name="Laskenta 2 2 5 18 2" xfId="10523" xr:uid="{C1FAB65B-1548-42E9-8580-B13862D7D509}"/>
    <cellStyle name="Laskenta 2 2 5 18_2013" xfId="10524" xr:uid="{78311BA6-84D2-404E-9D19-C472A5A3C7C4}"/>
    <cellStyle name="Laskenta 2 2 5 19" xfId="10525" xr:uid="{24B58C56-A11B-457F-991F-1D9866D00907}"/>
    <cellStyle name="Laskenta 2 2 5 2" xfId="10526" xr:uid="{A8D4121E-0857-4BCC-8D34-5A46609F4697}"/>
    <cellStyle name="Laskenta 2 2 5 3" xfId="10527" xr:uid="{CFEC49F2-AF19-4308-87BE-7CAA6F6B3688}"/>
    <cellStyle name="Laskenta 2 2 5 4" xfId="10528" xr:uid="{6EBBD17F-A5CC-4212-8D35-7963456BB36C}"/>
    <cellStyle name="Laskenta 2 2 5 5" xfId="10529" xr:uid="{A6F9D9EE-0BB2-4AB9-8F74-4EAE92932D25}"/>
    <cellStyle name="Laskenta 2 2 5 6" xfId="10530" xr:uid="{90B31382-6E1C-4369-8E26-4189AF72EBCB}"/>
    <cellStyle name="Laskenta 2 2 5 7" xfId="10531" xr:uid="{A333CC6B-E885-4F4E-8FF4-5F8EBB6323D6}"/>
    <cellStyle name="Laskenta 2 2 5 8" xfId="10532" xr:uid="{2E1D469E-1C64-49A1-9F0A-2D3F1E4414C0}"/>
    <cellStyle name="Laskenta 2 2 5 9" xfId="10533" xr:uid="{CC0F0767-3EE3-4F53-AA66-367D6B1E6234}"/>
    <cellStyle name="Laskenta 2 2 5_2013" xfId="10534" xr:uid="{13B166AE-0B66-41E8-8822-35DF0172C63F}"/>
    <cellStyle name="Laskenta 2 2 6" xfId="10535" xr:uid="{982C287E-F314-44D2-8F1D-5840613F6CD1}"/>
    <cellStyle name="Laskenta 2 2 7" xfId="10536" xr:uid="{6432CA4A-243D-4CAB-A79D-113B45B8E177}"/>
    <cellStyle name="Laskenta 2 2 8" xfId="10537" xr:uid="{4FBD7EAA-8458-43EC-B770-7017574E54AF}"/>
    <cellStyle name="Laskenta 2 2 9" xfId="10538" xr:uid="{892CA8F0-FEC9-4CF1-8E56-EFB45D7A8D43}"/>
    <cellStyle name="Laskenta 2 2_2013" xfId="10539" xr:uid="{BFA1AFFA-6AEB-4A4B-8978-B3A26A142C36}"/>
    <cellStyle name="Laskenta 2 20" xfId="10540" xr:uid="{1DA283D6-E2E3-46A3-84BB-08546E73086E}"/>
    <cellStyle name="Laskenta 2 21" xfId="10541" xr:uid="{DF6DAAB4-030A-4F5D-844F-5589C22F0916}"/>
    <cellStyle name="Laskenta 2 22" xfId="10542" xr:uid="{F02667BC-17EE-4BF8-87F0-F9B8FFD5E872}"/>
    <cellStyle name="Laskenta 2 23" xfId="10543" xr:uid="{8206C8EA-4A5A-4C10-B211-684A6F5DADF8}"/>
    <cellStyle name="Laskenta 2 23 2" xfId="10544" xr:uid="{05C0755F-D9FE-4E27-8D51-FC2C6564A966}"/>
    <cellStyle name="Laskenta 2 23_2013" xfId="10545" xr:uid="{C041E3F1-35EA-43B9-B732-CA37C832CACF}"/>
    <cellStyle name="Laskenta 2 24" xfId="10546" xr:uid="{07001F61-0A8B-49F8-B9DC-CF51FF57442C}"/>
    <cellStyle name="Laskenta 2 3" xfId="10547" xr:uid="{7D6DB6DE-7D70-45CB-A40D-BF60DCBFEFDD}"/>
    <cellStyle name="Laskenta 2 3 10" xfId="10548" xr:uid="{D0380825-B327-4C7B-8F56-C0A82173CD1F}"/>
    <cellStyle name="Laskenta 2 3 11" xfId="10549" xr:uid="{524FE640-39E8-49B1-AEC3-623407E3630E}"/>
    <cellStyle name="Laskenta 2 3 12" xfId="10550" xr:uid="{EFE98BE6-CA7B-4290-94F0-7CA6CFD464EA}"/>
    <cellStyle name="Laskenta 2 3 13" xfId="10551" xr:uid="{81E1830F-34F4-4876-A360-3A3D39AE4511}"/>
    <cellStyle name="Laskenta 2 3 14" xfId="10552" xr:uid="{8D429981-7255-4E94-ADB5-7A52C86227CA}"/>
    <cellStyle name="Laskenta 2 3 15" xfId="10553" xr:uid="{35A048BF-7189-4220-AF8C-D8BDA9BC2295}"/>
    <cellStyle name="Laskenta 2 3 16" xfId="10554" xr:uid="{F95A39BE-1D86-407F-9E8C-1787AE14428D}"/>
    <cellStyle name="Laskenta 2 3 17" xfId="10555" xr:uid="{B760A6B6-1CA7-48D9-9C97-C677742371B6}"/>
    <cellStyle name="Laskenta 2 3 18" xfId="10556" xr:uid="{2AA8833A-D46E-4B16-A894-8B8ACB3B00C1}"/>
    <cellStyle name="Laskenta 2 3 19" xfId="10557" xr:uid="{F750F8BE-DC06-49C8-AEFD-A548C64A4E43}"/>
    <cellStyle name="Laskenta 2 3 19 2" xfId="10558" xr:uid="{FF886EE8-61F1-42C6-BEC1-DD4B4F9B3290}"/>
    <cellStyle name="Laskenta 2 3 19_2013" xfId="10559" xr:uid="{CA5079B1-4161-47D5-9611-12FBDB66C905}"/>
    <cellStyle name="Laskenta 2 3 2" xfId="10560" xr:uid="{111DAA85-1BB1-4F51-99E8-C114CF5207AB}"/>
    <cellStyle name="Laskenta 2 3 2 10" xfId="10561" xr:uid="{031FF9C7-4030-4BDA-895A-12CF7D76EB32}"/>
    <cellStyle name="Laskenta 2 3 2 11" xfId="10562" xr:uid="{B2BE796A-204E-4FBD-8501-B843193505B8}"/>
    <cellStyle name="Laskenta 2 3 2 12" xfId="10563" xr:uid="{96967A17-10A1-4CFC-9574-D9B973B7507E}"/>
    <cellStyle name="Laskenta 2 3 2 13" xfId="10564" xr:uid="{4165FFF0-A7D8-454C-870A-D4A2A9C43689}"/>
    <cellStyle name="Laskenta 2 3 2 14" xfId="10565" xr:uid="{30FC747F-F76D-4978-983B-71F1BE55D63D}"/>
    <cellStyle name="Laskenta 2 3 2 15" xfId="10566" xr:uid="{E7562EC6-F009-4956-809F-CA4F874F2078}"/>
    <cellStyle name="Laskenta 2 3 2 16" xfId="10567" xr:uid="{D80B5AF7-1B08-49DF-9B0A-924DF6BB926B}"/>
    <cellStyle name="Laskenta 2 3 2 17" xfId="10568" xr:uid="{71EED5C2-47E1-403A-BB37-AB1B314AD34F}"/>
    <cellStyle name="Laskenta 2 3 2 18" xfId="10569" xr:uid="{66D11D09-83F8-4B5A-9D6D-328D23283A9C}"/>
    <cellStyle name="Laskenta 2 3 2 18 2" xfId="10570" xr:uid="{E1CD07D2-33BE-4030-AAD0-2CD0B72375A2}"/>
    <cellStyle name="Laskenta 2 3 2 18_2013" xfId="10571" xr:uid="{1CEFDBAA-AA69-46BD-A3B6-B5C6E427C7F6}"/>
    <cellStyle name="Laskenta 2 3 2 19" xfId="10572" xr:uid="{FB1791E7-EB69-4CDA-88D7-22104CFD0D2B}"/>
    <cellStyle name="Laskenta 2 3 2 2" xfId="10573" xr:uid="{88B83304-3F21-4CF4-A60E-B82D33FEFC27}"/>
    <cellStyle name="Laskenta 2 3 2 3" xfId="10574" xr:uid="{A661658D-900B-4171-B089-AB99D0654601}"/>
    <cellStyle name="Laskenta 2 3 2 4" xfId="10575" xr:uid="{401846BA-DF75-40B9-8608-FF3C07A4A137}"/>
    <cellStyle name="Laskenta 2 3 2 5" xfId="10576" xr:uid="{BBE8CC15-E594-427B-B9B5-D2A2B2743260}"/>
    <cellStyle name="Laskenta 2 3 2 6" xfId="10577" xr:uid="{ABD06B40-666F-4A08-B16A-4F38765F1407}"/>
    <cellStyle name="Laskenta 2 3 2 7" xfId="10578" xr:uid="{70C39F32-31DC-42AA-8C00-250D8B42D28A}"/>
    <cellStyle name="Laskenta 2 3 2 8" xfId="10579" xr:uid="{D39C8F7E-90BA-4119-A420-C5CA6F5CE9D3}"/>
    <cellStyle name="Laskenta 2 3 2 9" xfId="10580" xr:uid="{66309C89-6EAA-430C-A50C-2A5610F1C1E8}"/>
    <cellStyle name="Laskenta 2 3 2_2013" xfId="10581" xr:uid="{0973BB79-A2E3-400D-A3BB-5D008790FDB1}"/>
    <cellStyle name="Laskenta 2 3 20" xfId="10582" xr:uid="{6EE62741-33EE-439C-9E5E-E35A6E8B3725}"/>
    <cellStyle name="Laskenta 2 3 3" xfId="10583" xr:uid="{1C26A5F2-D4B6-4A55-9F3B-CCE6B42FD251}"/>
    <cellStyle name="Laskenta 2 3 4" xfId="10584" xr:uid="{CCD61BB6-FE5A-4820-B192-80E2188B624C}"/>
    <cellStyle name="Laskenta 2 3 5" xfId="10585" xr:uid="{35D8EB7A-51E6-47FD-A1A5-D02363EBAB85}"/>
    <cellStyle name="Laskenta 2 3 6" xfId="10586" xr:uid="{632E254A-B673-451E-8B39-B102CC906F9C}"/>
    <cellStyle name="Laskenta 2 3 7" xfId="10587" xr:uid="{F38F81F1-AB95-4E97-946F-866721D04230}"/>
    <cellStyle name="Laskenta 2 3 8" xfId="10588" xr:uid="{4CEC8D72-0426-4415-8DB7-88E00C494D48}"/>
    <cellStyle name="Laskenta 2 3 9" xfId="10589" xr:uid="{7D4C17DA-6655-4B1D-A507-E1DD7D72FE1F}"/>
    <cellStyle name="Laskenta 2 3_2013" xfId="10590" xr:uid="{F1156A50-48EF-43D8-ADC3-F1406275D021}"/>
    <cellStyle name="Laskenta 2 4" xfId="10591" xr:uid="{9E3DF402-8AEF-43CE-AE4A-6390D1364561}"/>
    <cellStyle name="Laskenta 2 4 10" xfId="10592" xr:uid="{5A540B8E-2447-443C-928E-0D57E1430552}"/>
    <cellStyle name="Laskenta 2 4 11" xfId="10593" xr:uid="{6152FD25-A6CB-4F9A-B3FF-1625F5AD38E1}"/>
    <cellStyle name="Laskenta 2 4 12" xfId="10594" xr:uid="{03D0D4BB-1223-4881-8252-99C11F145E20}"/>
    <cellStyle name="Laskenta 2 4 13" xfId="10595" xr:uid="{4F655E2F-A4DA-4604-AFBC-689965008717}"/>
    <cellStyle name="Laskenta 2 4 14" xfId="10596" xr:uid="{13B24A75-92A7-4A06-99C4-23886C5F04C9}"/>
    <cellStyle name="Laskenta 2 4 15" xfId="10597" xr:uid="{9E78765F-C034-495D-A439-3E5422B5C6D1}"/>
    <cellStyle name="Laskenta 2 4 16" xfId="10598" xr:uid="{911C8AED-8F39-4334-A47D-6EF883269FE4}"/>
    <cellStyle name="Laskenta 2 4 17" xfId="10599" xr:uid="{3277F1B2-2332-4E26-8789-0490061140A4}"/>
    <cellStyle name="Laskenta 2 4 18" xfId="10600" xr:uid="{EE96D15B-C541-4A28-B3B8-577668B5DC67}"/>
    <cellStyle name="Laskenta 2 4 19" xfId="10601" xr:uid="{348F409D-EF37-4CCD-887A-245456631DBD}"/>
    <cellStyle name="Laskenta 2 4 19 2" xfId="10602" xr:uid="{34EDE531-D4D8-4009-9C83-8E24A9544E33}"/>
    <cellStyle name="Laskenta 2 4 19_2013" xfId="10603" xr:uid="{5DCEC729-6D78-491F-9137-C81CE507E3FD}"/>
    <cellStyle name="Laskenta 2 4 2" xfId="10604" xr:uid="{ACD11E62-E34A-4073-B363-0D8856783133}"/>
    <cellStyle name="Laskenta 2 4 2 10" xfId="10605" xr:uid="{C4D4AE24-9D70-4AA9-9F2B-92D5FED77F72}"/>
    <cellStyle name="Laskenta 2 4 2 11" xfId="10606" xr:uid="{18375D13-2619-447C-B611-9B25C6F03F4F}"/>
    <cellStyle name="Laskenta 2 4 2 12" xfId="10607" xr:uid="{34A7D5B8-BBCE-401C-ACA9-1807E0AA2494}"/>
    <cellStyle name="Laskenta 2 4 2 13" xfId="10608" xr:uid="{65475BC3-F2F1-4273-90D5-050C4FB662EF}"/>
    <cellStyle name="Laskenta 2 4 2 14" xfId="10609" xr:uid="{D92F78AC-C903-4B6B-926D-15A127A9FD8A}"/>
    <cellStyle name="Laskenta 2 4 2 15" xfId="10610" xr:uid="{DFACF902-59E7-4B5A-B422-7C0C084FA1B9}"/>
    <cellStyle name="Laskenta 2 4 2 16" xfId="10611" xr:uid="{C01FB08A-92CD-4195-8B00-40E9000DCA33}"/>
    <cellStyle name="Laskenta 2 4 2 17" xfId="10612" xr:uid="{B9CD2EF4-3F81-449E-9915-FF887939EDC5}"/>
    <cellStyle name="Laskenta 2 4 2 18" xfId="10613" xr:uid="{494C0C75-ACFF-4DFD-AE0A-C6A628012BE0}"/>
    <cellStyle name="Laskenta 2 4 2 18 2" xfId="10614" xr:uid="{33E6A442-5641-4CF6-AAD2-F004B90A4075}"/>
    <cellStyle name="Laskenta 2 4 2 18_2013" xfId="10615" xr:uid="{25FC958A-BD44-4099-8DA7-AF8C98789F15}"/>
    <cellStyle name="Laskenta 2 4 2 19" xfId="10616" xr:uid="{E93E11F5-DD20-42C2-AEA0-0C04AD91F98F}"/>
    <cellStyle name="Laskenta 2 4 2 2" xfId="10617" xr:uid="{8EC029CD-469B-4E6F-8FBB-35C3B5AE7103}"/>
    <cellStyle name="Laskenta 2 4 2 3" xfId="10618" xr:uid="{A0C025A9-8DBF-4283-AE0E-865C4BEC3538}"/>
    <cellStyle name="Laskenta 2 4 2 4" xfId="10619" xr:uid="{0855F306-2B1A-49EF-8317-4E9B5D588D52}"/>
    <cellStyle name="Laskenta 2 4 2 5" xfId="10620" xr:uid="{048DCEA7-765E-4F3A-8C08-B5BCF6FDE8B7}"/>
    <cellStyle name="Laskenta 2 4 2 6" xfId="10621" xr:uid="{12E593CA-05E5-4F40-AFDF-6FEB4A52E6F0}"/>
    <cellStyle name="Laskenta 2 4 2 7" xfId="10622" xr:uid="{8CABD39D-3BAE-478A-B46B-90851D53C687}"/>
    <cellStyle name="Laskenta 2 4 2 8" xfId="10623" xr:uid="{EDB0935B-1EDC-46DE-A9AD-49128053994C}"/>
    <cellStyle name="Laskenta 2 4 2 9" xfId="10624" xr:uid="{13A362A3-E035-4E53-B631-5EF0FA5964BF}"/>
    <cellStyle name="Laskenta 2 4 2_2013" xfId="10625" xr:uid="{F0B0F311-1D69-416D-B784-1AF9E10EC96C}"/>
    <cellStyle name="Laskenta 2 4 20" xfId="10626" xr:uid="{0EC0DC8B-0BB3-4FB2-8DAB-5A0617CBEC6A}"/>
    <cellStyle name="Laskenta 2 4 3" xfId="10627" xr:uid="{D3F3BCAC-F5BD-4029-A455-372CB919D80B}"/>
    <cellStyle name="Laskenta 2 4 4" xfId="10628" xr:uid="{5EBFFAF5-D83E-4C29-B2BC-E3E186FFCA5D}"/>
    <cellStyle name="Laskenta 2 4 5" xfId="10629" xr:uid="{2AA650DC-62E5-4479-90D0-CF17580086E5}"/>
    <cellStyle name="Laskenta 2 4 6" xfId="10630" xr:uid="{F6961F22-5E9B-4D65-814B-B3340A630651}"/>
    <cellStyle name="Laskenta 2 4 7" xfId="10631" xr:uid="{C46E5F06-23BC-4954-938E-33F0CABC46E5}"/>
    <cellStyle name="Laskenta 2 4 8" xfId="10632" xr:uid="{1732082A-4777-4BB6-89DF-A266102A4920}"/>
    <cellStyle name="Laskenta 2 4 9" xfId="10633" xr:uid="{7ED85237-E892-4B32-8475-2FEC28ED5C02}"/>
    <cellStyle name="Laskenta 2 4_2013" xfId="10634" xr:uid="{074CED73-3D4A-4772-9067-DF2ED9EBD6C4}"/>
    <cellStyle name="Laskenta 2 5" xfId="10635" xr:uid="{13CF3134-F0D7-4142-993D-6A572CE729B7}"/>
    <cellStyle name="Laskenta 2 5 10" xfId="10636" xr:uid="{FA34FBBA-EEF3-452F-BD57-38DB50DB7339}"/>
    <cellStyle name="Laskenta 2 5 11" xfId="10637" xr:uid="{E7050825-9869-4156-8494-BECDE1D8CA6F}"/>
    <cellStyle name="Laskenta 2 5 12" xfId="10638" xr:uid="{9184A690-894C-429E-8DD3-E45E5020F21A}"/>
    <cellStyle name="Laskenta 2 5 13" xfId="10639" xr:uid="{9DAC974B-4B5A-4A70-944B-73BBF980A28F}"/>
    <cellStyle name="Laskenta 2 5 14" xfId="10640" xr:uid="{F8998CD7-B1C4-41E1-A974-C383CF8398F6}"/>
    <cellStyle name="Laskenta 2 5 15" xfId="10641" xr:uid="{116FDEB8-06D9-4A58-A7D5-B0523E624696}"/>
    <cellStyle name="Laskenta 2 5 16" xfId="10642" xr:uid="{17E5F995-9A0D-40FF-AC3F-C4D034B47A50}"/>
    <cellStyle name="Laskenta 2 5 17" xfId="10643" xr:uid="{95E47948-A4CA-4EED-9CE6-492F5E06BF8C}"/>
    <cellStyle name="Laskenta 2 5 18" xfId="10644" xr:uid="{DD75A97F-E661-44F0-A33B-745066F63200}"/>
    <cellStyle name="Laskenta 2 5 19" xfId="10645" xr:uid="{8753EE51-59C1-4E9E-AB0E-820393FC9A60}"/>
    <cellStyle name="Laskenta 2 5 19 2" xfId="10646" xr:uid="{458D7B20-5CBA-4A2A-B73E-846FE1E3B388}"/>
    <cellStyle name="Laskenta 2 5 19_2013" xfId="10647" xr:uid="{055BD4AC-0272-4DCF-AA5C-C85A024AD4ED}"/>
    <cellStyle name="Laskenta 2 5 2" xfId="10648" xr:uid="{03737CBC-8736-4662-BBC1-895A82C20234}"/>
    <cellStyle name="Laskenta 2 5 2 10" xfId="10649" xr:uid="{EEB67A35-CD1B-4AE4-B882-7AFEB864FFF8}"/>
    <cellStyle name="Laskenta 2 5 2 11" xfId="10650" xr:uid="{BDE53681-D2EF-425A-9032-AFFB9B2C0D7A}"/>
    <cellStyle name="Laskenta 2 5 2 12" xfId="10651" xr:uid="{4846A4DE-97B0-4D44-8A04-E83DFC7C984E}"/>
    <cellStyle name="Laskenta 2 5 2 13" xfId="10652" xr:uid="{AC6FCE25-685B-4F84-81A9-864676A2EC4C}"/>
    <cellStyle name="Laskenta 2 5 2 14" xfId="10653" xr:uid="{FCB3C7AE-52F2-4CC8-9CD4-4238E50DA012}"/>
    <cellStyle name="Laskenta 2 5 2 15" xfId="10654" xr:uid="{AF6FC966-D75A-42EB-AD46-AB7478275F28}"/>
    <cellStyle name="Laskenta 2 5 2 16" xfId="10655" xr:uid="{CBF85967-EC5B-4564-A7EB-57ACEA07E5A0}"/>
    <cellStyle name="Laskenta 2 5 2 17" xfId="10656" xr:uid="{09E7ECCE-61DA-4A59-8703-AF5A1CAB3A50}"/>
    <cellStyle name="Laskenta 2 5 2 18" xfId="10657" xr:uid="{BA8AE312-E8B5-48E9-8994-F98B58FF1F15}"/>
    <cellStyle name="Laskenta 2 5 2 18 2" xfId="10658" xr:uid="{A659922D-572D-465B-A288-86C6DBA6AD09}"/>
    <cellStyle name="Laskenta 2 5 2 18_2013" xfId="10659" xr:uid="{22409D8F-B9AB-4E3A-B172-F133B0CD4589}"/>
    <cellStyle name="Laskenta 2 5 2 19" xfId="10660" xr:uid="{33AAB346-1B6D-4529-A698-D04256164E69}"/>
    <cellStyle name="Laskenta 2 5 2 2" xfId="10661" xr:uid="{980403CB-613C-477A-915A-601380B9540A}"/>
    <cellStyle name="Laskenta 2 5 2 3" xfId="10662" xr:uid="{E5E87FF6-2AC2-4A34-8C43-3944D4450349}"/>
    <cellStyle name="Laskenta 2 5 2 4" xfId="10663" xr:uid="{11292213-CD20-40B5-94FA-7A6ACB759DAF}"/>
    <cellStyle name="Laskenta 2 5 2 5" xfId="10664" xr:uid="{469BD54B-F322-4D6C-AA7A-4E85D7DC1516}"/>
    <cellStyle name="Laskenta 2 5 2 6" xfId="10665" xr:uid="{C5CECCE8-5598-40E2-BDF3-AF081DDBA103}"/>
    <cellStyle name="Laskenta 2 5 2 7" xfId="10666" xr:uid="{22193708-A98E-497D-8EBD-1B5C931C703A}"/>
    <cellStyle name="Laskenta 2 5 2 8" xfId="10667" xr:uid="{2537FD94-3E58-476C-AE9A-B18E8C28C5F6}"/>
    <cellStyle name="Laskenta 2 5 2 9" xfId="10668" xr:uid="{9339E5A0-28DA-45EA-8B0C-6521032CEFF1}"/>
    <cellStyle name="Laskenta 2 5 2_2013" xfId="10669" xr:uid="{2A6671AB-5AB3-4540-8A3C-75EA89D48FF1}"/>
    <cellStyle name="Laskenta 2 5 20" xfId="10670" xr:uid="{BACC6ED2-A82A-494C-AB73-16700B42F5CF}"/>
    <cellStyle name="Laskenta 2 5 3" xfId="10671" xr:uid="{8B748E0F-1B5A-4A89-89DC-8827A9B4C4E1}"/>
    <cellStyle name="Laskenta 2 5 4" xfId="10672" xr:uid="{BEBF0BFD-1CC9-4A5E-8C18-0CAB02AE87BE}"/>
    <cellStyle name="Laskenta 2 5 5" xfId="10673" xr:uid="{98E025A1-87AF-4475-BD7A-045E31D3D839}"/>
    <cellStyle name="Laskenta 2 5 6" xfId="10674" xr:uid="{D70B9771-8773-4ACA-8E2B-04C7F69BBBAD}"/>
    <cellStyle name="Laskenta 2 5 7" xfId="10675" xr:uid="{320624CC-23F9-4DA4-BAAF-175B800FDB72}"/>
    <cellStyle name="Laskenta 2 5 8" xfId="10676" xr:uid="{EB698BEA-AAAC-4EC5-9683-80A92D6AFA9D}"/>
    <cellStyle name="Laskenta 2 5 9" xfId="10677" xr:uid="{3B796448-BF9B-44A1-B6CB-D1BCB205944B}"/>
    <cellStyle name="Laskenta 2 5_2013" xfId="10678" xr:uid="{820C9132-E096-47E1-8EA6-22CE410BE231}"/>
    <cellStyle name="Laskenta 2 6" xfId="10679" xr:uid="{461D2659-60ED-46C0-9D4F-DA28AFBA3D0C}"/>
    <cellStyle name="Laskenta 2 6 10" xfId="10680" xr:uid="{7C413E2F-8C50-4AFD-A6BD-86B031205728}"/>
    <cellStyle name="Laskenta 2 6 11" xfId="10681" xr:uid="{43395B37-2421-4267-98CB-65CB85B49F53}"/>
    <cellStyle name="Laskenta 2 6 12" xfId="10682" xr:uid="{BA899129-780F-4A78-8DA8-3A1BD58AEDA5}"/>
    <cellStyle name="Laskenta 2 6 13" xfId="10683" xr:uid="{E44252C4-06AD-4C85-BBCB-77BA1A3B799E}"/>
    <cellStyle name="Laskenta 2 6 14" xfId="10684" xr:uid="{55180F60-F1B5-4F1C-BFC1-D8AC4B9718C5}"/>
    <cellStyle name="Laskenta 2 6 15" xfId="10685" xr:uid="{CF7D99DD-30F9-4082-9639-FE5BA37C43E5}"/>
    <cellStyle name="Laskenta 2 6 16" xfId="10686" xr:uid="{4FC460FF-FA75-4F00-972A-41BB4DE832E4}"/>
    <cellStyle name="Laskenta 2 6 17" xfId="10687" xr:uid="{408A55D3-205C-4267-AA3E-A0CC1D6382ED}"/>
    <cellStyle name="Laskenta 2 6 18" xfId="10688" xr:uid="{F17D1AD3-8543-457E-99D3-0C2CDC131A89}"/>
    <cellStyle name="Laskenta 2 6 18 2" xfId="10689" xr:uid="{B9F355A0-015A-4950-ACB0-34073D6965DC}"/>
    <cellStyle name="Laskenta 2 6 18_2013" xfId="10690" xr:uid="{D209F96D-451A-4A01-BDC3-79A1A846CE33}"/>
    <cellStyle name="Laskenta 2 6 19" xfId="10691" xr:uid="{98E2CF2F-AEB2-459B-A7F1-91A28E88C649}"/>
    <cellStyle name="Laskenta 2 6 2" xfId="10692" xr:uid="{A87392B2-FB6E-4FC1-B12E-C46AF6C10F12}"/>
    <cellStyle name="Laskenta 2 6 3" xfId="10693" xr:uid="{27BB3453-480A-463D-A8CD-3A18F8C968D9}"/>
    <cellStyle name="Laskenta 2 6 4" xfId="10694" xr:uid="{1A63B15A-6F7D-4051-BFB6-AB42BBE1216B}"/>
    <cellStyle name="Laskenta 2 6 5" xfId="10695" xr:uid="{3E780FED-FC3B-4A59-B970-E18A797D2018}"/>
    <cellStyle name="Laskenta 2 6 6" xfId="10696" xr:uid="{47607A8B-45DD-45F7-9A38-FF47ED574E8B}"/>
    <cellStyle name="Laskenta 2 6 7" xfId="10697" xr:uid="{1B91BAF3-480D-4948-B63A-E6EBF40FE5DD}"/>
    <cellStyle name="Laskenta 2 6 8" xfId="10698" xr:uid="{E22A09E0-70B3-4629-8CDF-F77C99A0365C}"/>
    <cellStyle name="Laskenta 2 6 9" xfId="10699" xr:uid="{812E954B-6845-4AF7-9AA1-8AEE4F33F015}"/>
    <cellStyle name="Laskenta 2 6_2013" xfId="10700" xr:uid="{519D980F-107F-403E-8D17-79979E37D1DB}"/>
    <cellStyle name="Laskenta 2 7" xfId="10701" xr:uid="{C05A6A0C-B5BE-478D-A1D3-F452614EBCEF}"/>
    <cellStyle name="Laskenta 2 8" xfId="10702" xr:uid="{3488CFAD-58CA-49E8-A5F3-6F942D065F52}"/>
    <cellStyle name="Laskenta 2 9" xfId="10703" xr:uid="{F3B19A0A-79C2-47E3-9CC3-5C5A9878EB18}"/>
    <cellStyle name="Laskenta 2_2013" xfId="10704" xr:uid="{6BD9064C-65B9-40A8-82C4-E9DFB53228AC}"/>
    <cellStyle name="Laskenta 20" xfId="10705" xr:uid="{47F0C999-B024-4E03-81CA-B2B69A3EE541}"/>
    <cellStyle name="Laskenta 21" xfId="10706" xr:uid="{01C8855C-35DE-4444-945F-22AE920D7E2E}"/>
    <cellStyle name="Laskenta 22" xfId="10707" xr:uid="{2921889B-CB94-47B2-AA3C-1384E85CD56F}"/>
    <cellStyle name="Laskenta 23" xfId="10708" xr:uid="{4F025FB1-7FF3-42EC-A7D7-A0A54144BBF8}"/>
    <cellStyle name="Laskenta 24" xfId="10709" xr:uid="{80B7B4F6-9E60-43EF-872D-AD3B1DB238AC}"/>
    <cellStyle name="Laskenta 25" xfId="10710" xr:uid="{0162E350-C3BC-4E1C-BBCA-4EC2A46A49E8}"/>
    <cellStyle name="Laskenta 26" xfId="10711" xr:uid="{3B58A6CF-9F69-4704-B962-2E495053B61B}"/>
    <cellStyle name="Laskenta 27" xfId="10712" xr:uid="{46B95685-31FB-4815-AC97-BB61BA099B28}"/>
    <cellStyle name="Laskenta 3" xfId="10713" xr:uid="{B43F3CCA-8449-4192-A8BE-691F2E4EA550}"/>
    <cellStyle name="Laskenta 3 10" xfId="10714" xr:uid="{373AAE7E-74D4-43D5-BBA3-0BEF3961AA7A}"/>
    <cellStyle name="Laskenta 3 11" xfId="10715" xr:uid="{62D7DB88-EB34-46E4-93E6-5C4787D0280E}"/>
    <cellStyle name="Laskenta 3 12" xfId="10716" xr:uid="{E90927E7-8E9B-4CA9-8388-F63CF6401AD3}"/>
    <cellStyle name="Laskenta 3 13" xfId="10717" xr:uid="{FD556FF9-ED50-42C2-9816-F108394ADDE9}"/>
    <cellStyle name="Laskenta 3 14" xfId="10718" xr:uid="{B5EF8291-730F-47F3-8994-A3554BA25DE3}"/>
    <cellStyle name="Laskenta 3 15" xfId="10719" xr:uid="{2BC0E108-44D6-4C51-AEBC-088E5671F750}"/>
    <cellStyle name="Laskenta 3 16" xfId="10720" xr:uid="{ADDCFD35-2C6C-4281-8DB0-A5F40905E34D}"/>
    <cellStyle name="Laskenta 3 17" xfId="10721" xr:uid="{F020147A-82B6-4827-B754-19D2901574CA}"/>
    <cellStyle name="Laskenta 3 18" xfId="10722" xr:uid="{D27FA3D7-EF22-4836-85E4-6531982D1E2C}"/>
    <cellStyle name="Laskenta 3 19" xfId="10723" xr:uid="{6FC9EBF0-09AD-4117-91AE-0E6981F27696}"/>
    <cellStyle name="Laskenta 3 2" xfId="10724" xr:uid="{1E2D7869-A5FE-4FC5-8190-FA32C3AADD24}"/>
    <cellStyle name="Laskenta 3 2 10" xfId="10725" xr:uid="{5E1B00B1-11AF-4DD6-B767-61C273A5A942}"/>
    <cellStyle name="Laskenta 3 2 11" xfId="10726" xr:uid="{4CAF0893-9FD7-4965-AE75-0BBA52F2E3A3}"/>
    <cellStyle name="Laskenta 3 2 12" xfId="10727" xr:uid="{6C45E3CC-A321-4E5F-B149-A96D7AE0478A}"/>
    <cellStyle name="Laskenta 3 2 13" xfId="10728" xr:uid="{BB13A495-2374-4159-BF30-FF1E540567FB}"/>
    <cellStyle name="Laskenta 3 2 14" xfId="10729" xr:uid="{E99FB970-B4B7-470B-8C8C-E72484E76639}"/>
    <cellStyle name="Laskenta 3 2 15" xfId="10730" xr:uid="{F373764C-A58C-47EB-8D8E-373D94DEA0E3}"/>
    <cellStyle name="Laskenta 3 2 16" xfId="10731" xr:uid="{CBEAB33D-87F4-45D0-B4D5-0F8D9E50E400}"/>
    <cellStyle name="Laskenta 3 2 17" xfId="10732" xr:uid="{817DDC7C-B312-4F0F-811D-FF7B449845E7}"/>
    <cellStyle name="Laskenta 3 2 18" xfId="10733" xr:uid="{30E93B56-4FF3-4F6F-ABC9-7516EA8FF352}"/>
    <cellStyle name="Laskenta 3 2 19" xfId="10734" xr:uid="{A9BA13CD-4567-492E-BD89-BB35EFE6EB88}"/>
    <cellStyle name="Laskenta 3 2 2" xfId="10735" xr:uid="{94F66FE5-4FEB-48EB-94B1-1CD1B5B33FCE}"/>
    <cellStyle name="Laskenta 3 2 2 10" xfId="10736" xr:uid="{DF9F479E-1749-49D4-8861-243B7A516599}"/>
    <cellStyle name="Laskenta 3 2 2 11" xfId="10737" xr:uid="{EDCF631A-D97A-479D-B76E-D7E0821B1B97}"/>
    <cellStyle name="Laskenta 3 2 2 12" xfId="10738" xr:uid="{7F2B6D3E-C327-460A-AF2A-1078854C3B30}"/>
    <cellStyle name="Laskenta 3 2 2 13" xfId="10739" xr:uid="{972E526F-8F79-463A-AAC6-7926F7130D38}"/>
    <cellStyle name="Laskenta 3 2 2 14" xfId="10740" xr:uid="{5C1B9515-5D8E-40EA-944D-CDEFB3E2F65A}"/>
    <cellStyle name="Laskenta 3 2 2 15" xfId="10741" xr:uid="{2C31FCD4-C410-4849-959D-473FE398F085}"/>
    <cellStyle name="Laskenta 3 2 2 16" xfId="10742" xr:uid="{08056047-B540-4D44-BA04-B33797130DDB}"/>
    <cellStyle name="Laskenta 3 2 2 17" xfId="10743" xr:uid="{A76314FE-C616-4D01-8BC1-00B4F2FE7D58}"/>
    <cellStyle name="Laskenta 3 2 2 18" xfId="10744" xr:uid="{1DAEDC81-05E9-4FAB-8C97-66BF910B6AF2}"/>
    <cellStyle name="Laskenta 3 2 2 19" xfId="10745" xr:uid="{AF9112F5-F1DB-4C41-AF27-64799B9C312E}"/>
    <cellStyle name="Laskenta 3 2 2 19 2" xfId="10746" xr:uid="{68572570-919C-4EAD-A591-75041A29A785}"/>
    <cellStyle name="Laskenta 3 2 2 19_2013" xfId="10747" xr:uid="{7B874D9D-2437-4360-A8E6-66E352663937}"/>
    <cellStyle name="Laskenta 3 2 2 2" xfId="10748" xr:uid="{7BA96A2C-E672-464C-A6E1-3514E5538DD3}"/>
    <cellStyle name="Laskenta 3 2 2 2 10" xfId="10749" xr:uid="{5FA02D22-7669-4CC3-BDCB-79696ACFCA74}"/>
    <cellStyle name="Laskenta 3 2 2 2 11" xfId="10750" xr:uid="{11DD58F1-D592-43E2-8312-77DFF72E116F}"/>
    <cellStyle name="Laskenta 3 2 2 2 12" xfId="10751" xr:uid="{7EFAE63F-EA39-44D4-BFDD-1F776F486152}"/>
    <cellStyle name="Laskenta 3 2 2 2 13" xfId="10752" xr:uid="{5FE27241-A52C-4D7B-BFF9-494E05868CE0}"/>
    <cellStyle name="Laskenta 3 2 2 2 14" xfId="10753" xr:uid="{499368EF-61D9-43B5-BE0D-13D981C89C90}"/>
    <cellStyle name="Laskenta 3 2 2 2 15" xfId="10754" xr:uid="{611EA764-EAEB-4693-8135-6AB2CF7181A0}"/>
    <cellStyle name="Laskenta 3 2 2 2 16" xfId="10755" xr:uid="{918C263D-AC7D-4DBB-8946-3CE532D522C9}"/>
    <cellStyle name="Laskenta 3 2 2 2 17" xfId="10756" xr:uid="{8FAB9068-4A7B-4918-8CC4-F03A34D9B7ED}"/>
    <cellStyle name="Laskenta 3 2 2 2 18" xfId="10757" xr:uid="{DD43B68F-7560-4601-A0CD-8267B75F9EBD}"/>
    <cellStyle name="Laskenta 3 2 2 2 18 2" xfId="10758" xr:uid="{4E01BAC0-C0B2-4927-A6BD-16AA41C6AE41}"/>
    <cellStyle name="Laskenta 3 2 2 2 18_2013" xfId="10759" xr:uid="{D67C138D-2ECB-4DE3-95F8-BEC05005EDCD}"/>
    <cellStyle name="Laskenta 3 2 2 2 19" xfId="10760" xr:uid="{6117CD5C-ECD9-4D84-86A3-CEA03DE2F3BB}"/>
    <cellStyle name="Laskenta 3 2 2 2 2" xfId="10761" xr:uid="{F83CAF03-CE1F-412D-9218-DF473BA2A2E2}"/>
    <cellStyle name="Laskenta 3 2 2 2 3" xfId="10762" xr:uid="{96BB5C11-A533-4BA1-B2F7-1914EBA6FB92}"/>
    <cellStyle name="Laskenta 3 2 2 2 4" xfId="10763" xr:uid="{6526DB27-49B8-47EE-8ED1-00F854301970}"/>
    <cellStyle name="Laskenta 3 2 2 2 5" xfId="10764" xr:uid="{14F557C9-C51B-4943-B395-31856E0C3F10}"/>
    <cellStyle name="Laskenta 3 2 2 2 6" xfId="10765" xr:uid="{1C412CD1-A460-4A10-92BA-1C3E501162E7}"/>
    <cellStyle name="Laskenta 3 2 2 2 7" xfId="10766" xr:uid="{AA48724B-9784-415C-A54C-CF5194FE5430}"/>
    <cellStyle name="Laskenta 3 2 2 2 8" xfId="10767" xr:uid="{CBF5D230-6247-4A4D-8A5D-E3821122CB93}"/>
    <cellStyle name="Laskenta 3 2 2 2 9" xfId="10768" xr:uid="{29E4247A-8381-4D48-99DA-1A0E5AF31BCF}"/>
    <cellStyle name="Laskenta 3 2 2 2_2013" xfId="10769" xr:uid="{2ACA7C16-1FB7-480D-A050-E2E239E6A871}"/>
    <cellStyle name="Laskenta 3 2 2 20" xfId="10770" xr:uid="{B27AA256-34E4-4E89-9A7A-03253B784EC4}"/>
    <cellStyle name="Laskenta 3 2 2 3" xfId="10771" xr:uid="{EF8E821C-16C7-4BE9-B26A-2049724CB81C}"/>
    <cellStyle name="Laskenta 3 2 2 4" xfId="10772" xr:uid="{7A574B02-076A-4A60-985E-826CF4B096D0}"/>
    <cellStyle name="Laskenta 3 2 2 5" xfId="10773" xr:uid="{02D329C5-5D67-45D9-BD67-91AF1229409B}"/>
    <cellStyle name="Laskenta 3 2 2 6" xfId="10774" xr:uid="{1DA71963-2A36-466D-84FF-15C9C80A38DF}"/>
    <cellStyle name="Laskenta 3 2 2 7" xfId="10775" xr:uid="{D5BBA612-DFD8-44E1-8CE6-4FB409773AFE}"/>
    <cellStyle name="Laskenta 3 2 2 8" xfId="10776" xr:uid="{51DDCC91-D296-4BA9-8EFF-37D9D9DCF5EB}"/>
    <cellStyle name="Laskenta 3 2 2 9" xfId="10777" xr:uid="{665A18FD-F8F6-46FA-ADF9-29453538E341}"/>
    <cellStyle name="Laskenta 3 2 2_2013" xfId="10778" xr:uid="{DFEB3CFA-0CB9-42D1-8141-F3B2EFBE9A1D}"/>
    <cellStyle name="Laskenta 3 2 20" xfId="10779" xr:uid="{645D4C75-4866-4D30-984D-E737C3DE6B7B}"/>
    <cellStyle name="Laskenta 3 2 21" xfId="10780" xr:uid="{7C5257A7-95B3-44EB-8268-67E36041D8AD}"/>
    <cellStyle name="Laskenta 3 2 22" xfId="10781" xr:uid="{35AD6748-37C5-4658-8AB6-66A9BAFA88FB}"/>
    <cellStyle name="Laskenta 3 2 22 2" xfId="10782" xr:uid="{AD841A8B-0CB8-4C08-A717-E5AB1EEA4FCC}"/>
    <cellStyle name="Laskenta 3 2 22_2013" xfId="10783" xr:uid="{26343C89-D1FF-43AE-9719-8D1FACF42CA1}"/>
    <cellStyle name="Laskenta 3 2 23" xfId="10784" xr:uid="{03E9A403-805C-449E-B0B2-741BE00492CC}"/>
    <cellStyle name="Laskenta 3 2 3" xfId="10785" xr:uid="{03AD2A38-8F42-452D-BD48-404B47E7A5DD}"/>
    <cellStyle name="Laskenta 3 2 3 10" xfId="10786" xr:uid="{05C4F85D-935D-482E-8106-D09C2AF4488A}"/>
    <cellStyle name="Laskenta 3 2 3 11" xfId="10787" xr:uid="{43D38655-2126-4CCD-8789-F5063B40CA06}"/>
    <cellStyle name="Laskenta 3 2 3 12" xfId="10788" xr:uid="{E0A81CA6-7EBD-430A-B53E-17CF90D60590}"/>
    <cellStyle name="Laskenta 3 2 3 13" xfId="10789" xr:uid="{2D207E1B-66EC-4D61-B26C-CDEF567A2401}"/>
    <cellStyle name="Laskenta 3 2 3 14" xfId="10790" xr:uid="{86CFD0F0-3554-441B-9489-20CED8B06BBE}"/>
    <cellStyle name="Laskenta 3 2 3 15" xfId="10791" xr:uid="{3E14F4EF-34F2-4096-8ED9-13B7BEB2B22C}"/>
    <cellStyle name="Laskenta 3 2 3 16" xfId="10792" xr:uid="{6956F556-93E8-4082-924A-B916BB39C68D}"/>
    <cellStyle name="Laskenta 3 2 3 17" xfId="10793" xr:uid="{834EEB38-5197-4960-9B80-D50C994C5E58}"/>
    <cellStyle name="Laskenta 3 2 3 18" xfId="10794" xr:uid="{0E18E1A2-11CC-4E2A-87A6-73E22C05B12B}"/>
    <cellStyle name="Laskenta 3 2 3 19" xfId="10795" xr:uid="{D590A897-11FF-4D52-9E43-B58370813D67}"/>
    <cellStyle name="Laskenta 3 2 3 19 2" xfId="10796" xr:uid="{9E715485-9414-4C7A-A42F-51F586129BA8}"/>
    <cellStyle name="Laskenta 3 2 3 19_2013" xfId="10797" xr:uid="{A42E9674-9AEF-41F1-B2F5-D27813EB3F21}"/>
    <cellStyle name="Laskenta 3 2 3 2" xfId="10798" xr:uid="{79550B5A-76B4-4D68-B438-73A10DF81DDD}"/>
    <cellStyle name="Laskenta 3 2 3 2 10" xfId="10799" xr:uid="{00BDD4E6-48F3-45C2-B51E-203CAD919C65}"/>
    <cellStyle name="Laskenta 3 2 3 2 11" xfId="10800" xr:uid="{51C2671A-C52E-4726-863D-B92D7F030738}"/>
    <cellStyle name="Laskenta 3 2 3 2 12" xfId="10801" xr:uid="{706CA6B8-FE3A-4E5A-9E70-6356AB76593F}"/>
    <cellStyle name="Laskenta 3 2 3 2 13" xfId="10802" xr:uid="{5E6794E6-F679-4380-9463-750FA3A6EB27}"/>
    <cellStyle name="Laskenta 3 2 3 2 14" xfId="10803" xr:uid="{2E8864EC-164E-4781-ADB3-C2789CFF3E7E}"/>
    <cellStyle name="Laskenta 3 2 3 2 15" xfId="10804" xr:uid="{7C6B09BA-DE25-4E9D-A710-DFF5306DE705}"/>
    <cellStyle name="Laskenta 3 2 3 2 16" xfId="10805" xr:uid="{CE036E48-BA72-4C7D-A588-B4B5F496A8C7}"/>
    <cellStyle name="Laskenta 3 2 3 2 17" xfId="10806" xr:uid="{795BB609-EC83-4477-9C37-E571A2C11CB1}"/>
    <cellStyle name="Laskenta 3 2 3 2 18" xfId="10807" xr:uid="{D61BA592-0DA3-4FD9-9A25-457CE57FBE75}"/>
    <cellStyle name="Laskenta 3 2 3 2 18 2" xfId="10808" xr:uid="{867ABA1A-E855-481A-94A4-D6CE1B015E12}"/>
    <cellStyle name="Laskenta 3 2 3 2 18_2013" xfId="10809" xr:uid="{BDA15D1F-7B7B-4E63-8FCA-2057125B9CCF}"/>
    <cellStyle name="Laskenta 3 2 3 2 19" xfId="10810" xr:uid="{C343C323-519C-499A-8828-3225325F4875}"/>
    <cellStyle name="Laskenta 3 2 3 2 2" xfId="10811" xr:uid="{98B8702D-CF1B-4B11-941F-C3796B952BD5}"/>
    <cellStyle name="Laskenta 3 2 3 2 3" xfId="10812" xr:uid="{023FB6F7-F40E-4160-B444-67120B7C8956}"/>
    <cellStyle name="Laskenta 3 2 3 2 4" xfId="10813" xr:uid="{319A9C6F-34EB-48B6-82CD-EB522FB0DFDE}"/>
    <cellStyle name="Laskenta 3 2 3 2 5" xfId="10814" xr:uid="{DA6107CD-29B2-4B99-96A7-0B1FE07D61A4}"/>
    <cellStyle name="Laskenta 3 2 3 2 6" xfId="10815" xr:uid="{4E15960C-B451-44FE-B11D-151C78A22E59}"/>
    <cellStyle name="Laskenta 3 2 3 2 7" xfId="10816" xr:uid="{08D58B38-938D-4F78-8932-3AE690B77051}"/>
    <cellStyle name="Laskenta 3 2 3 2 8" xfId="10817" xr:uid="{9A5B23D4-CAA5-4D04-9D72-29B328003EFF}"/>
    <cellStyle name="Laskenta 3 2 3 2 9" xfId="10818" xr:uid="{A7098F3B-1700-47D8-9659-D618BA0E9945}"/>
    <cellStyle name="Laskenta 3 2 3 2_2013" xfId="10819" xr:uid="{7AC95E5D-8F89-40EB-A72F-1BB5095F1DD1}"/>
    <cellStyle name="Laskenta 3 2 3 20" xfId="10820" xr:uid="{34387939-E57C-4F47-834A-5F872B218A65}"/>
    <cellStyle name="Laskenta 3 2 3 3" xfId="10821" xr:uid="{57060E9F-4DA3-4241-9FBE-2044FF78D729}"/>
    <cellStyle name="Laskenta 3 2 3 4" xfId="10822" xr:uid="{EAF0DA6B-9405-4C88-84E6-5F678B3994EE}"/>
    <cellStyle name="Laskenta 3 2 3 5" xfId="10823" xr:uid="{FF136EEF-AC01-4E71-9F48-B895157B9900}"/>
    <cellStyle name="Laskenta 3 2 3 6" xfId="10824" xr:uid="{DD6491FE-AFE1-4549-9909-0CDDD2E6FF4D}"/>
    <cellStyle name="Laskenta 3 2 3 7" xfId="10825" xr:uid="{7BF175F1-F729-412C-BDAD-647291455683}"/>
    <cellStyle name="Laskenta 3 2 3 8" xfId="10826" xr:uid="{C1870194-E3CB-42B8-BD5F-8A188AB2840C}"/>
    <cellStyle name="Laskenta 3 2 3 9" xfId="10827" xr:uid="{79A88231-5D3C-4B84-9FDE-3C2FFCB0BF15}"/>
    <cellStyle name="Laskenta 3 2 3_2013" xfId="10828" xr:uid="{03FA0058-8D69-4AD3-98AD-69C82B933DE6}"/>
    <cellStyle name="Laskenta 3 2 4" xfId="10829" xr:uid="{5FACAFEF-5D83-4BE7-AD2C-99C421A7C395}"/>
    <cellStyle name="Laskenta 3 2 4 10" xfId="10830" xr:uid="{811228DB-0FF0-4283-82D7-FC93E0304291}"/>
    <cellStyle name="Laskenta 3 2 4 11" xfId="10831" xr:uid="{4E63B495-4930-4770-BA90-8CED6D2DE67F}"/>
    <cellStyle name="Laskenta 3 2 4 12" xfId="10832" xr:uid="{F4166552-5632-42BC-BB44-DD5767D604AF}"/>
    <cellStyle name="Laskenta 3 2 4 13" xfId="10833" xr:uid="{D20A2AEC-B50A-413A-99C8-F67975CF431C}"/>
    <cellStyle name="Laskenta 3 2 4 14" xfId="10834" xr:uid="{CEE30358-2142-48F9-AF16-F63E1803C2B6}"/>
    <cellStyle name="Laskenta 3 2 4 15" xfId="10835" xr:uid="{7C5E8D56-6752-423B-BD4D-D83E8B7B4D5F}"/>
    <cellStyle name="Laskenta 3 2 4 16" xfId="10836" xr:uid="{BD9DD041-C773-4088-8220-15670DA26C6E}"/>
    <cellStyle name="Laskenta 3 2 4 17" xfId="10837" xr:uid="{33A5E48C-74C1-4BFC-920F-464EC0B76176}"/>
    <cellStyle name="Laskenta 3 2 4 18" xfId="10838" xr:uid="{314327EE-A523-4EDC-A533-2B32E5AF30EF}"/>
    <cellStyle name="Laskenta 3 2 4 19" xfId="10839" xr:uid="{80B90470-3083-4AEA-9C04-04CD116035E3}"/>
    <cellStyle name="Laskenta 3 2 4 19 2" xfId="10840" xr:uid="{26BD6130-FD3A-449A-AA78-48544C226053}"/>
    <cellStyle name="Laskenta 3 2 4 19_2013" xfId="10841" xr:uid="{DBFF9FF4-5FF6-44BB-BCF7-9828617BD2DA}"/>
    <cellStyle name="Laskenta 3 2 4 2" xfId="10842" xr:uid="{78E4F13B-21CE-45BA-9987-4753066DD87F}"/>
    <cellStyle name="Laskenta 3 2 4 2 10" xfId="10843" xr:uid="{32F51835-7A0C-4279-BBFF-C409A28D041F}"/>
    <cellStyle name="Laskenta 3 2 4 2 11" xfId="10844" xr:uid="{919AB73A-3C96-440C-9B83-EADEB23974E8}"/>
    <cellStyle name="Laskenta 3 2 4 2 12" xfId="10845" xr:uid="{61A03327-3E04-4DE3-A812-7F226E3C9A57}"/>
    <cellStyle name="Laskenta 3 2 4 2 13" xfId="10846" xr:uid="{6E648AA7-7905-463F-B2F4-497103E163D4}"/>
    <cellStyle name="Laskenta 3 2 4 2 14" xfId="10847" xr:uid="{090C1B59-369B-4B2F-BCAF-DCECBDAD51C2}"/>
    <cellStyle name="Laskenta 3 2 4 2 15" xfId="10848" xr:uid="{EF1739EB-0BDD-4ACE-8B6B-E77CF9786798}"/>
    <cellStyle name="Laskenta 3 2 4 2 16" xfId="10849" xr:uid="{362C32FE-7FBB-4FF8-96FC-312B124F681D}"/>
    <cellStyle name="Laskenta 3 2 4 2 17" xfId="10850" xr:uid="{DDBE5F1C-934D-4D39-B77A-561D551D524A}"/>
    <cellStyle name="Laskenta 3 2 4 2 18" xfId="10851" xr:uid="{24722378-BD03-46BA-9434-A9421340A38B}"/>
    <cellStyle name="Laskenta 3 2 4 2 18 2" xfId="10852" xr:uid="{799CD7C6-ADBE-4284-AD06-87C969CFAC46}"/>
    <cellStyle name="Laskenta 3 2 4 2 18_2013" xfId="10853" xr:uid="{DEF9EF20-A32A-44E5-AEDE-9DE5723A48F2}"/>
    <cellStyle name="Laskenta 3 2 4 2 19" xfId="10854" xr:uid="{5BAD6B40-0C78-49E6-BA8A-3612F53A125A}"/>
    <cellStyle name="Laskenta 3 2 4 2 2" xfId="10855" xr:uid="{41E8FAA7-28F3-4B65-82C2-8B267F9E0526}"/>
    <cellStyle name="Laskenta 3 2 4 2 3" xfId="10856" xr:uid="{40DA0A25-FD98-46C0-A679-11D2231A402B}"/>
    <cellStyle name="Laskenta 3 2 4 2 4" xfId="10857" xr:uid="{77465F6E-8A5C-4EF7-8D69-F8C69DAF5E5A}"/>
    <cellStyle name="Laskenta 3 2 4 2 5" xfId="10858" xr:uid="{F0886A32-F5AB-471B-8639-25024A29D69E}"/>
    <cellStyle name="Laskenta 3 2 4 2 6" xfId="10859" xr:uid="{3F76C904-30DC-44B2-8DC0-6C59F2605BE0}"/>
    <cellStyle name="Laskenta 3 2 4 2 7" xfId="10860" xr:uid="{2EEEE4E2-1C39-47E1-BE4E-F11EE8B63C55}"/>
    <cellStyle name="Laskenta 3 2 4 2 8" xfId="10861" xr:uid="{439F0CC3-1B0D-4FE7-9004-7BB9A267CCAD}"/>
    <cellStyle name="Laskenta 3 2 4 2 9" xfId="10862" xr:uid="{04148836-378B-4292-9E5B-F1F3D00C14B1}"/>
    <cellStyle name="Laskenta 3 2 4 2_2013" xfId="10863" xr:uid="{D0224FB9-B4AE-4152-8795-FED031781C92}"/>
    <cellStyle name="Laskenta 3 2 4 20" xfId="10864" xr:uid="{57FB0BFD-7422-4951-9741-7401814FE62B}"/>
    <cellStyle name="Laskenta 3 2 4 3" xfId="10865" xr:uid="{2AD78848-46AF-4F93-94C3-DF73FBC61D56}"/>
    <cellStyle name="Laskenta 3 2 4 4" xfId="10866" xr:uid="{19007259-9DC7-4B35-8A04-1C8CA5D6A789}"/>
    <cellStyle name="Laskenta 3 2 4 5" xfId="10867" xr:uid="{0CD44DB0-A1B2-466E-ABDD-7750D1B20229}"/>
    <cellStyle name="Laskenta 3 2 4 6" xfId="10868" xr:uid="{06E0323A-0238-4E50-8DAC-A6F5DF38C1B6}"/>
    <cellStyle name="Laskenta 3 2 4 7" xfId="10869" xr:uid="{788EA28D-607E-41CF-8CE7-148276680A14}"/>
    <cellStyle name="Laskenta 3 2 4 8" xfId="10870" xr:uid="{3E176CDF-C2C0-40C5-972F-585079BFA277}"/>
    <cellStyle name="Laskenta 3 2 4 9" xfId="10871" xr:uid="{3AD5B774-2976-475A-A770-ACF6B00E1530}"/>
    <cellStyle name="Laskenta 3 2 4_2013" xfId="10872" xr:uid="{C3895CD3-925F-4CEF-BC7B-F4A8BBCF5C56}"/>
    <cellStyle name="Laskenta 3 2 5" xfId="10873" xr:uid="{2A23948F-F017-46E1-A7EA-EBCD36D598A8}"/>
    <cellStyle name="Laskenta 3 2 5 10" xfId="10874" xr:uid="{74F30764-9E69-479D-889A-B03773D6065A}"/>
    <cellStyle name="Laskenta 3 2 5 11" xfId="10875" xr:uid="{3E7687AA-BBB3-4DA3-BC4F-B6A8393B7B2A}"/>
    <cellStyle name="Laskenta 3 2 5 12" xfId="10876" xr:uid="{DD193444-67B4-4AB8-83BB-1C65BF6FBE40}"/>
    <cellStyle name="Laskenta 3 2 5 13" xfId="10877" xr:uid="{E0AFD241-E0F2-4854-A974-BEB8C81213B9}"/>
    <cellStyle name="Laskenta 3 2 5 14" xfId="10878" xr:uid="{6889BE87-4E79-484C-AD01-F56EEB1B188A}"/>
    <cellStyle name="Laskenta 3 2 5 15" xfId="10879" xr:uid="{C413069E-1F4D-449E-A964-D54F68A0ABC4}"/>
    <cellStyle name="Laskenta 3 2 5 16" xfId="10880" xr:uid="{C2B04F74-59D9-4C0C-AF05-F1A37F6F6F0F}"/>
    <cellStyle name="Laskenta 3 2 5 17" xfId="10881" xr:uid="{422D87EA-B91D-4EAE-BBE7-1F91DA6EDC7F}"/>
    <cellStyle name="Laskenta 3 2 5 18" xfId="10882" xr:uid="{686FACCD-5D51-404C-9A90-E936EEF9E3CB}"/>
    <cellStyle name="Laskenta 3 2 5 18 2" xfId="10883" xr:uid="{ABF474E9-78FC-4207-B572-12F723421E58}"/>
    <cellStyle name="Laskenta 3 2 5 18_2013" xfId="10884" xr:uid="{00C88ED1-B2C8-409C-8633-BAA73F59BB41}"/>
    <cellStyle name="Laskenta 3 2 5 19" xfId="10885" xr:uid="{48794C6F-B75B-4219-9C7B-3E437213A88C}"/>
    <cellStyle name="Laskenta 3 2 5 2" xfId="10886" xr:uid="{FCAC67D7-051B-4A67-AA98-AB0FAA045EC7}"/>
    <cellStyle name="Laskenta 3 2 5 3" xfId="10887" xr:uid="{3B25F6C0-9E1E-4B53-ACF4-89E6D60E820E}"/>
    <cellStyle name="Laskenta 3 2 5 4" xfId="10888" xr:uid="{A798D789-929C-4456-AE10-DC8D750CF6F5}"/>
    <cellStyle name="Laskenta 3 2 5 5" xfId="10889" xr:uid="{7292B50A-58DA-402E-B897-30A1FEC58E41}"/>
    <cellStyle name="Laskenta 3 2 5 6" xfId="10890" xr:uid="{8BB1581E-0FE3-4DAF-97F9-274697DD6C9F}"/>
    <cellStyle name="Laskenta 3 2 5 7" xfId="10891" xr:uid="{3B55704B-EE3B-48DB-8603-BE9180154DB2}"/>
    <cellStyle name="Laskenta 3 2 5 8" xfId="10892" xr:uid="{06A4A5D7-F1B2-4EDD-9516-F1DB1DD956AA}"/>
    <cellStyle name="Laskenta 3 2 5 9" xfId="10893" xr:uid="{8299CE75-6BC5-4DB5-BF50-123A0B54A1F2}"/>
    <cellStyle name="Laskenta 3 2 5_2013" xfId="10894" xr:uid="{A401070E-B5EC-4D21-9023-066A6DA7179B}"/>
    <cellStyle name="Laskenta 3 2 6" xfId="10895" xr:uid="{AD6201AB-39EA-4E30-8143-36CD4027EB21}"/>
    <cellStyle name="Laskenta 3 2 7" xfId="10896" xr:uid="{714A613A-0697-44EA-9DCF-E0C8F95BFA18}"/>
    <cellStyle name="Laskenta 3 2 8" xfId="10897" xr:uid="{D73A71E4-D231-42E2-A876-4FBD6A2145B3}"/>
    <cellStyle name="Laskenta 3 2 9" xfId="10898" xr:uid="{77499811-19B1-4BAD-8423-E2EC6032439D}"/>
    <cellStyle name="Laskenta 3 2_2013" xfId="10899" xr:uid="{BD58573A-CDF7-4385-83FB-F6DE57D95129}"/>
    <cellStyle name="Laskenta 3 20" xfId="10900" xr:uid="{DEEFC5CF-E895-4ACA-AAFC-18BCD57ED202}"/>
    <cellStyle name="Laskenta 3 21" xfId="10901" xr:uid="{79ABFFBE-FC9F-434B-AC07-8224E90F279D}"/>
    <cellStyle name="Laskenta 3 22" xfId="10902" xr:uid="{F440240F-B8DD-48B2-A409-6312CADD7D7A}"/>
    <cellStyle name="Laskenta 3 23" xfId="10903" xr:uid="{A3E9C36E-C3A9-4B91-BD9B-110DE4412B1B}"/>
    <cellStyle name="Laskenta 3 23 2" xfId="10904" xr:uid="{0B19BA81-401B-4C63-AF43-B1CD7302E2E1}"/>
    <cellStyle name="Laskenta 3 23_2013" xfId="10905" xr:uid="{7F46A88C-15F5-4888-A68B-50543E6E188B}"/>
    <cellStyle name="Laskenta 3 24" xfId="10906" xr:uid="{A9F1CDAB-2FEC-4DCB-B855-008409E4CC54}"/>
    <cellStyle name="Laskenta 3 3" xfId="10907" xr:uid="{34F38FAD-A1DD-4625-A6FB-ADB7A085699C}"/>
    <cellStyle name="Laskenta 3 3 10" xfId="10908" xr:uid="{49FDCA6E-CB95-442E-B646-18A056803AC6}"/>
    <cellStyle name="Laskenta 3 3 11" xfId="10909" xr:uid="{CED45965-0E7A-4BD5-B273-48228CF6B4F6}"/>
    <cellStyle name="Laskenta 3 3 12" xfId="10910" xr:uid="{330DF1D3-63E3-44A3-B52B-4319549FE0D5}"/>
    <cellStyle name="Laskenta 3 3 13" xfId="10911" xr:uid="{D3D7FB97-052E-49CF-A278-2E5683828DD9}"/>
    <cellStyle name="Laskenta 3 3 14" xfId="10912" xr:uid="{5F723174-B549-439B-AE25-50B9B17EA646}"/>
    <cellStyle name="Laskenta 3 3 15" xfId="10913" xr:uid="{AAD3FE7A-695F-4393-8529-3A25396796C9}"/>
    <cellStyle name="Laskenta 3 3 16" xfId="10914" xr:uid="{9C2F5AA9-FB00-4B18-99C0-7A75B5811F16}"/>
    <cellStyle name="Laskenta 3 3 17" xfId="10915" xr:uid="{99781294-FE7F-4013-BE82-3DFCDDD22CCF}"/>
    <cellStyle name="Laskenta 3 3 18" xfId="10916" xr:uid="{4D7054E3-93D8-4398-A31A-0EF7B9E9434B}"/>
    <cellStyle name="Laskenta 3 3 19" xfId="10917" xr:uid="{9CA5715E-9E41-4EEA-9202-E56E9744B7F9}"/>
    <cellStyle name="Laskenta 3 3 19 2" xfId="10918" xr:uid="{02098FDC-D3BD-4677-A9EE-302E00311FC0}"/>
    <cellStyle name="Laskenta 3 3 19_2013" xfId="10919" xr:uid="{122CABCC-72B2-47BE-A40B-4861CD501655}"/>
    <cellStyle name="Laskenta 3 3 2" xfId="10920" xr:uid="{08CABE2F-0666-4BB5-A9CD-99C99FAD1E77}"/>
    <cellStyle name="Laskenta 3 3 2 10" xfId="10921" xr:uid="{28081A6D-C3B1-4939-9E75-A98AB13D96A6}"/>
    <cellStyle name="Laskenta 3 3 2 11" xfId="10922" xr:uid="{8368751E-4574-4B2F-BF39-A6DD3D1664FB}"/>
    <cellStyle name="Laskenta 3 3 2 12" xfId="10923" xr:uid="{67430FEC-B273-4555-A6BE-23934B4B1555}"/>
    <cellStyle name="Laskenta 3 3 2 13" xfId="10924" xr:uid="{42A814B2-68D4-49E4-AB05-4686F1CA2342}"/>
    <cellStyle name="Laskenta 3 3 2 14" xfId="10925" xr:uid="{8B1B5080-8DA4-4199-9C96-7F0CBEDE0797}"/>
    <cellStyle name="Laskenta 3 3 2 15" xfId="10926" xr:uid="{7344608D-3B2E-4FA9-878F-3FC89C577687}"/>
    <cellStyle name="Laskenta 3 3 2 16" xfId="10927" xr:uid="{742B37FB-A02C-4668-AB99-4336736DB926}"/>
    <cellStyle name="Laskenta 3 3 2 17" xfId="10928" xr:uid="{3A04BB61-D8F9-4587-A781-291962EE319E}"/>
    <cellStyle name="Laskenta 3 3 2 18" xfId="10929" xr:uid="{A572D925-2B9D-419C-AD93-302827EDE13C}"/>
    <cellStyle name="Laskenta 3 3 2 18 2" xfId="10930" xr:uid="{B21EFBA4-1EE9-4AEF-99B9-1E7C16FD2D7F}"/>
    <cellStyle name="Laskenta 3 3 2 18_2013" xfId="10931" xr:uid="{AF193F8F-EAC6-480A-B2A0-F8658DE85E7D}"/>
    <cellStyle name="Laskenta 3 3 2 19" xfId="10932" xr:uid="{34AB9062-280B-45CA-8B1E-6ECCFAFB695C}"/>
    <cellStyle name="Laskenta 3 3 2 2" xfId="10933" xr:uid="{06798083-7CC3-49D6-A874-A20450A9EDA8}"/>
    <cellStyle name="Laskenta 3 3 2 3" xfId="10934" xr:uid="{221D06D9-6523-40DF-9EC1-FD9E4D9BBAA5}"/>
    <cellStyle name="Laskenta 3 3 2 4" xfId="10935" xr:uid="{78407745-FA60-44B2-ABEB-FFF46C80093A}"/>
    <cellStyle name="Laskenta 3 3 2 5" xfId="10936" xr:uid="{91457D3E-7988-4625-9ADB-D673B5CD4DF7}"/>
    <cellStyle name="Laskenta 3 3 2 6" xfId="10937" xr:uid="{DDD49E7A-CFA2-489B-B4C2-584AB1FFAFCF}"/>
    <cellStyle name="Laskenta 3 3 2 7" xfId="10938" xr:uid="{9DB5277F-089F-4E9F-BDF8-CC3C644894C7}"/>
    <cellStyle name="Laskenta 3 3 2 8" xfId="10939" xr:uid="{E025B55C-33A7-4391-B896-578E792A55AD}"/>
    <cellStyle name="Laskenta 3 3 2 9" xfId="10940" xr:uid="{3C0131A8-A658-435A-81A8-ECD0FB688602}"/>
    <cellStyle name="Laskenta 3 3 2_2013" xfId="10941" xr:uid="{4FF76B6B-9A45-42D4-AC14-0C7B372E1B07}"/>
    <cellStyle name="Laskenta 3 3 20" xfId="10942" xr:uid="{7A64CAAE-448E-4DE4-B35F-E2FA40F4407A}"/>
    <cellStyle name="Laskenta 3 3 3" xfId="10943" xr:uid="{A00EF5D9-7C80-42D1-A76D-ABC5C1AF3821}"/>
    <cellStyle name="Laskenta 3 3 4" xfId="10944" xr:uid="{DD17E7BD-1119-422C-8BDB-D66A63A52B17}"/>
    <cellStyle name="Laskenta 3 3 5" xfId="10945" xr:uid="{1FACAC0E-3989-4399-B7F3-114676839393}"/>
    <cellStyle name="Laskenta 3 3 6" xfId="10946" xr:uid="{D839C9CB-538D-4966-9591-829DEC14C698}"/>
    <cellStyle name="Laskenta 3 3 7" xfId="10947" xr:uid="{1513553D-6801-4DA6-9389-6A3D481DF365}"/>
    <cellStyle name="Laskenta 3 3 8" xfId="10948" xr:uid="{BCDF9461-A2B8-45D1-80DC-2A8D9E38EEE2}"/>
    <cellStyle name="Laskenta 3 3 9" xfId="10949" xr:uid="{36EE83CF-ED97-4ED1-A50A-D55779B371B6}"/>
    <cellStyle name="Laskenta 3 3_2013" xfId="10950" xr:uid="{3B61FD9E-69FE-41DA-9EC1-811BED144E07}"/>
    <cellStyle name="Laskenta 3 4" xfId="10951" xr:uid="{954D35AF-C483-4294-ABB6-7DD760FED783}"/>
    <cellStyle name="Laskenta 3 4 10" xfId="10952" xr:uid="{ACBCD21A-D7A7-4C03-B8B4-95F500612583}"/>
    <cellStyle name="Laskenta 3 4 11" xfId="10953" xr:uid="{2FDBFCEC-0EDA-4639-83C4-8F708CDA8C23}"/>
    <cellStyle name="Laskenta 3 4 12" xfId="10954" xr:uid="{930D9313-28CE-4BAE-9A22-B352993C4CD9}"/>
    <cellStyle name="Laskenta 3 4 13" xfId="10955" xr:uid="{B62A23AD-4B46-4964-A5B4-A6334EBCC7BC}"/>
    <cellStyle name="Laskenta 3 4 14" xfId="10956" xr:uid="{EE2842B0-064F-4847-9E6A-43FA9E97D6AC}"/>
    <cellStyle name="Laskenta 3 4 15" xfId="10957" xr:uid="{4A700392-FCCD-4083-9A00-344850272944}"/>
    <cellStyle name="Laskenta 3 4 16" xfId="10958" xr:uid="{606DBAD9-A4D7-4FF9-9744-766B6A17EE4C}"/>
    <cellStyle name="Laskenta 3 4 17" xfId="10959" xr:uid="{F5A3376B-8CBA-4C8F-8972-ABB58860C4E0}"/>
    <cellStyle name="Laskenta 3 4 18" xfId="10960" xr:uid="{255D30CA-650B-4CCC-9E54-FC2075B46628}"/>
    <cellStyle name="Laskenta 3 4 19" xfId="10961" xr:uid="{06D4F070-47DD-4D21-9DE1-A67FECCBF843}"/>
    <cellStyle name="Laskenta 3 4 19 2" xfId="10962" xr:uid="{53CD57BF-E630-47B8-AEE4-1169558CB2FF}"/>
    <cellStyle name="Laskenta 3 4 19_2013" xfId="10963" xr:uid="{AC41B16E-A592-4CB9-B17C-F48255E85C4C}"/>
    <cellStyle name="Laskenta 3 4 2" xfId="10964" xr:uid="{C110A696-201D-460F-8EB0-670C7F96AF8F}"/>
    <cellStyle name="Laskenta 3 4 2 10" xfId="10965" xr:uid="{2A2E7E9D-EB3F-4FC6-A97D-BD455FE1ED51}"/>
    <cellStyle name="Laskenta 3 4 2 11" xfId="10966" xr:uid="{B277B031-7DE7-4C2D-AA72-19A65F21360D}"/>
    <cellStyle name="Laskenta 3 4 2 12" xfId="10967" xr:uid="{1A898847-1480-48D6-8EC8-97B488369175}"/>
    <cellStyle name="Laskenta 3 4 2 13" xfId="10968" xr:uid="{BB654592-2671-47D8-AA8D-A14E1C2783B8}"/>
    <cellStyle name="Laskenta 3 4 2 14" xfId="10969" xr:uid="{72C0CD42-4552-4FB4-B6B3-62DE6185B53D}"/>
    <cellStyle name="Laskenta 3 4 2 15" xfId="10970" xr:uid="{FBFFAF94-06FD-4DBD-9463-4932E3EBEE6C}"/>
    <cellStyle name="Laskenta 3 4 2 16" xfId="10971" xr:uid="{B57FA40D-ABE0-4EF1-AE97-2CC602C5D128}"/>
    <cellStyle name="Laskenta 3 4 2 17" xfId="10972" xr:uid="{B87EB9BF-3246-43A5-8CBA-D1777F76AB31}"/>
    <cellStyle name="Laskenta 3 4 2 18" xfId="10973" xr:uid="{B9606561-0579-45E3-B5DA-EBEEC336539A}"/>
    <cellStyle name="Laskenta 3 4 2 18 2" xfId="10974" xr:uid="{176C4AD2-E390-47CF-86E5-D63B1BF4FD6B}"/>
    <cellStyle name="Laskenta 3 4 2 18_2013" xfId="10975" xr:uid="{7DB0C78D-A575-4CB0-BEDC-091EFF5A1751}"/>
    <cellStyle name="Laskenta 3 4 2 19" xfId="10976" xr:uid="{CA48368D-D139-433C-8ADA-34EAC8211A1E}"/>
    <cellStyle name="Laskenta 3 4 2 2" xfId="10977" xr:uid="{0A939D12-093F-48B8-8039-A378AA2028C5}"/>
    <cellStyle name="Laskenta 3 4 2 3" xfId="10978" xr:uid="{2FCCCB71-4048-418A-B02A-053B08D4E6D2}"/>
    <cellStyle name="Laskenta 3 4 2 4" xfId="10979" xr:uid="{126D5446-F79D-4578-B0F5-8B28A33C11EF}"/>
    <cellStyle name="Laskenta 3 4 2 5" xfId="10980" xr:uid="{2BF84B57-A85E-4FB8-85D9-912F7F33C085}"/>
    <cellStyle name="Laskenta 3 4 2 6" xfId="10981" xr:uid="{6F16C373-7182-41FC-9A12-B2B19B9F3EFA}"/>
    <cellStyle name="Laskenta 3 4 2 7" xfId="10982" xr:uid="{8B3DED3E-B5BF-462E-BE2C-E9B1FE1F057A}"/>
    <cellStyle name="Laskenta 3 4 2 8" xfId="10983" xr:uid="{8B3E97EA-7283-4AA8-BDF0-16441B20AB7A}"/>
    <cellStyle name="Laskenta 3 4 2 9" xfId="10984" xr:uid="{A5588BA5-F3C5-4705-A23B-B9DD6E617354}"/>
    <cellStyle name="Laskenta 3 4 2_2013" xfId="10985" xr:uid="{9D1FDE7D-AD98-49F3-8105-B40F7E8D2A36}"/>
    <cellStyle name="Laskenta 3 4 20" xfId="10986" xr:uid="{A7E4B661-A3BC-42D0-A810-7369B02F0378}"/>
    <cellStyle name="Laskenta 3 4 3" xfId="10987" xr:uid="{81A3C59B-C46E-482C-BF61-91177A24731A}"/>
    <cellStyle name="Laskenta 3 4 4" xfId="10988" xr:uid="{0CEC41F3-47AF-4654-B84D-13A39C2DC389}"/>
    <cellStyle name="Laskenta 3 4 5" xfId="10989" xr:uid="{F9460944-4C7C-4F72-AA30-9B1D7B0B9B60}"/>
    <cellStyle name="Laskenta 3 4 6" xfId="10990" xr:uid="{F8238C7B-442C-4EF9-B103-199D6158E7D7}"/>
    <cellStyle name="Laskenta 3 4 7" xfId="10991" xr:uid="{D7E8E28D-0A1B-4B32-A9CA-0AFE4B2CEF6F}"/>
    <cellStyle name="Laskenta 3 4 8" xfId="10992" xr:uid="{3CDC81A5-43B3-4D00-BA93-70339562C312}"/>
    <cellStyle name="Laskenta 3 4 9" xfId="10993" xr:uid="{EB328A85-EB39-4634-B579-E078FAC183F9}"/>
    <cellStyle name="Laskenta 3 4_2013" xfId="10994" xr:uid="{BDF6F2C1-5264-41A7-9CDA-A2386ED317E1}"/>
    <cellStyle name="Laskenta 3 5" xfId="10995" xr:uid="{4E6EF194-58ED-45EF-ADDF-2BACE9740DFE}"/>
    <cellStyle name="Laskenta 3 5 10" xfId="10996" xr:uid="{4F2E4C6B-A503-446D-9621-F49C90B3B6EC}"/>
    <cellStyle name="Laskenta 3 5 11" xfId="10997" xr:uid="{8A9B87E0-7C18-46B8-BC62-59AB965426EF}"/>
    <cellStyle name="Laskenta 3 5 12" xfId="10998" xr:uid="{A4B1D795-036F-4382-999B-C98EB9181F0C}"/>
    <cellStyle name="Laskenta 3 5 13" xfId="10999" xr:uid="{3CF3ACFE-FC3B-4480-B55F-096C04DACEA9}"/>
    <cellStyle name="Laskenta 3 5 14" xfId="11000" xr:uid="{6E47A900-2812-4F51-8FE6-70D0FF2C377F}"/>
    <cellStyle name="Laskenta 3 5 15" xfId="11001" xr:uid="{06B4CD0B-3BF5-47CB-9B21-826CE94858FB}"/>
    <cellStyle name="Laskenta 3 5 16" xfId="11002" xr:uid="{D4B73A2D-A4C2-4F88-9D9D-4D4068755E62}"/>
    <cellStyle name="Laskenta 3 5 17" xfId="11003" xr:uid="{180B286E-C6CD-40ED-B247-942299BD94FE}"/>
    <cellStyle name="Laskenta 3 5 18" xfId="11004" xr:uid="{0D708E69-17AA-42B9-87DC-0AD5921C8714}"/>
    <cellStyle name="Laskenta 3 5 19" xfId="11005" xr:uid="{43BF162F-9C2D-4F69-80C2-DC2AA7E30DE6}"/>
    <cellStyle name="Laskenta 3 5 19 2" xfId="11006" xr:uid="{50C097E2-680A-4B05-A585-22F0BAB86833}"/>
    <cellStyle name="Laskenta 3 5 19_2013" xfId="11007" xr:uid="{02D74432-AA04-4A29-8D63-4233E12EE712}"/>
    <cellStyle name="Laskenta 3 5 2" xfId="11008" xr:uid="{D480D4B0-1FB8-417B-A54D-893535E12EF8}"/>
    <cellStyle name="Laskenta 3 5 2 10" xfId="11009" xr:uid="{93D8A5CF-2707-4247-8307-C2E77CD7C4E0}"/>
    <cellStyle name="Laskenta 3 5 2 11" xfId="11010" xr:uid="{6BE40F25-AADC-43DE-9601-2E322BD76B00}"/>
    <cellStyle name="Laskenta 3 5 2 12" xfId="11011" xr:uid="{9F3C0A97-2615-45FD-B264-2FB5F28406E8}"/>
    <cellStyle name="Laskenta 3 5 2 13" xfId="11012" xr:uid="{E310C4DB-2755-459B-9D8B-4B355A09349F}"/>
    <cellStyle name="Laskenta 3 5 2 14" xfId="11013" xr:uid="{A93F27AD-9011-48E1-B1C1-5A3B6B4EDA38}"/>
    <cellStyle name="Laskenta 3 5 2 15" xfId="11014" xr:uid="{50AA9036-65F4-4E84-99BB-9F631136589B}"/>
    <cellStyle name="Laskenta 3 5 2 16" xfId="11015" xr:uid="{AF10C4B3-DA63-4FFD-BFA0-8C9A3A7F8FCD}"/>
    <cellStyle name="Laskenta 3 5 2 17" xfId="11016" xr:uid="{3EB542E9-7A35-4554-AD08-622E4EA13BD4}"/>
    <cellStyle name="Laskenta 3 5 2 18" xfId="11017" xr:uid="{052029F2-7A32-4D7E-A877-26D1B494A96B}"/>
    <cellStyle name="Laskenta 3 5 2 18 2" xfId="11018" xr:uid="{F751CE1F-21F9-45E0-882A-6034F1354A73}"/>
    <cellStyle name="Laskenta 3 5 2 18_2013" xfId="11019" xr:uid="{4B37A913-2FCA-4733-BF3F-7F2545FDF3E2}"/>
    <cellStyle name="Laskenta 3 5 2 19" xfId="11020" xr:uid="{7062BD4D-7CCE-400E-9995-49178B29CF6D}"/>
    <cellStyle name="Laskenta 3 5 2 2" xfId="11021" xr:uid="{5AE24C47-98F1-4567-8B1F-B5BD459CDBDB}"/>
    <cellStyle name="Laskenta 3 5 2 3" xfId="11022" xr:uid="{34924D24-E081-41DA-89B1-831586DA51F4}"/>
    <cellStyle name="Laskenta 3 5 2 4" xfId="11023" xr:uid="{E98B4C85-DA0D-4885-A146-5313A3E155EE}"/>
    <cellStyle name="Laskenta 3 5 2 5" xfId="11024" xr:uid="{B885CA89-8A43-4985-986C-BBC92B07BE2D}"/>
    <cellStyle name="Laskenta 3 5 2 6" xfId="11025" xr:uid="{AC2CB9C2-0B1E-4CE4-933C-FCDE5FFA8E2D}"/>
    <cellStyle name="Laskenta 3 5 2 7" xfId="11026" xr:uid="{921A6782-3C2E-44AF-B40B-5D7D64E19EB5}"/>
    <cellStyle name="Laskenta 3 5 2 8" xfId="11027" xr:uid="{31E14BC7-5603-4E02-85D7-10D2A89AFDEE}"/>
    <cellStyle name="Laskenta 3 5 2 9" xfId="11028" xr:uid="{B633A9E0-43FA-4E17-8CD4-2098955AC22A}"/>
    <cellStyle name="Laskenta 3 5 2_2013" xfId="11029" xr:uid="{4E9F3C6E-3B11-4333-846C-3BD3CF8897C6}"/>
    <cellStyle name="Laskenta 3 5 20" xfId="11030" xr:uid="{DA57D650-17CA-41F4-AE8E-6F279329884E}"/>
    <cellStyle name="Laskenta 3 5 3" xfId="11031" xr:uid="{73929059-91A3-4756-956A-0414D1B44457}"/>
    <cellStyle name="Laskenta 3 5 4" xfId="11032" xr:uid="{7E4F95C8-47E7-49BD-95F7-3A884A292ABE}"/>
    <cellStyle name="Laskenta 3 5 5" xfId="11033" xr:uid="{3E6F511C-E571-4A92-841D-5AE4ED2409BF}"/>
    <cellStyle name="Laskenta 3 5 6" xfId="11034" xr:uid="{65B15CC9-7443-45AF-B82F-D4192BC91980}"/>
    <cellStyle name="Laskenta 3 5 7" xfId="11035" xr:uid="{7BFABABB-FA2C-451D-AD71-ED605932BF07}"/>
    <cellStyle name="Laskenta 3 5 8" xfId="11036" xr:uid="{267C6B3D-B48A-40AB-8034-7FDE387A1FA8}"/>
    <cellStyle name="Laskenta 3 5 9" xfId="11037" xr:uid="{BEBF1F87-7A09-45AC-8953-396D7009BE6A}"/>
    <cellStyle name="Laskenta 3 5_2013" xfId="11038" xr:uid="{6E406AEB-88D6-466C-A299-53F35D3BD799}"/>
    <cellStyle name="Laskenta 3 6" xfId="11039" xr:uid="{B34230D8-D3BD-48CF-AE4B-6BCC6A4C41C5}"/>
    <cellStyle name="Laskenta 3 6 10" xfId="11040" xr:uid="{BAF56A7C-BCF6-42F8-BBAA-16F0ED1FAA52}"/>
    <cellStyle name="Laskenta 3 6 11" xfId="11041" xr:uid="{1F2443C5-7D8B-446A-8F5A-FBA452038084}"/>
    <cellStyle name="Laskenta 3 6 12" xfId="11042" xr:uid="{954430DF-FB1F-4866-AE50-0EC2A44BE84D}"/>
    <cellStyle name="Laskenta 3 6 13" xfId="11043" xr:uid="{3F4A166D-2096-47A5-B487-8D02B336A2BF}"/>
    <cellStyle name="Laskenta 3 6 14" xfId="11044" xr:uid="{DB955A01-EFAE-411E-A64C-609642C1FBB5}"/>
    <cellStyle name="Laskenta 3 6 15" xfId="11045" xr:uid="{9A9630AA-023B-43B5-87FB-16E804E377CD}"/>
    <cellStyle name="Laskenta 3 6 16" xfId="11046" xr:uid="{E0100AF0-BD89-449F-BD94-7EA9F4842DFD}"/>
    <cellStyle name="Laskenta 3 6 17" xfId="11047" xr:uid="{3A88A90C-E6E5-4351-AE8F-33492D5979CF}"/>
    <cellStyle name="Laskenta 3 6 18" xfId="11048" xr:uid="{8C95E50D-D21F-4774-9C9F-E809CADD06DF}"/>
    <cellStyle name="Laskenta 3 6 18 2" xfId="11049" xr:uid="{F6269B11-3EA5-4B3C-933F-D7CFE57C9037}"/>
    <cellStyle name="Laskenta 3 6 18_2013" xfId="11050" xr:uid="{E39E71AC-C9EC-4C44-B4C4-326D43FEA6DD}"/>
    <cellStyle name="Laskenta 3 6 19" xfId="11051" xr:uid="{454A5B16-407C-42E0-97C7-2B1AB6B21EA6}"/>
    <cellStyle name="Laskenta 3 6 2" xfId="11052" xr:uid="{BE8FD432-4DA2-4D66-AD51-73BDE04256B4}"/>
    <cellStyle name="Laskenta 3 6 3" xfId="11053" xr:uid="{FADA9DA1-F743-43F1-941E-700D30B13BAD}"/>
    <cellStyle name="Laskenta 3 6 4" xfId="11054" xr:uid="{6AC715E0-850A-4631-8DA3-D3DCF9A2130F}"/>
    <cellStyle name="Laskenta 3 6 5" xfId="11055" xr:uid="{A81B3F93-5528-48DC-9B37-C6431A4C1506}"/>
    <cellStyle name="Laskenta 3 6 6" xfId="11056" xr:uid="{13390887-4002-4EFF-9DA5-73175FEF04DC}"/>
    <cellStyle name="Laskenta 3 6 7" xfId="11057" xr:uid="{E8BE198D-DAB5-418E-8F6A-F9770A61D2EF}"/>
    <cellStyle name="Laskenta 3 6 8" xfId="11058" xr:uid="{AA6BE945-7C50-45A6-8345-44E0123D35E0}"/>
    <cellStyle name="Laskenta 3 6 9" xfId="11059" xr:uid="{B518462B-4A5A-4745-8151-9D161C28D184}"/>
    <cellStyle name="Laskenta 3 6_2013" xfId="11060" xr:uid="{D45673FB-7069-4117-AB3A-714FCAEEDA27}"/>
    <cellStyle name="Laskenta 3 7" xfId="11061" xr:uid="{78EAFFC0-67A1-4812-9753-7320543EFE2D}"/>
    <cellStyle name="Laskenta 3 8" xfId="11062" xr:uid="{321F4C8A-AC69-42FE-B4F7-1875E5785CB4}"/>
    <cellStyle name="Laskenta 3 9" xfId="11063" xr:uid="{CC77BB36-355A-4006-AD9F-A871BCF5663E}"/>
    <cellStyle name="Laskenta 3_2013" xfId="11064" xr:uid="{30F53EEA-E463-4BAA-9E35-82CA0739EFED}"/>
    <cellStyle name="Laskenta 4" xfId="11065" xr:uid="{2E0BD16C-9D8E-4B4B-9FC5-0ECC92890548}"/>
    <cellStyle name="Laskenta 4 10" xfId="11066" xr:uid="{A722C70F-25DC-45A4-9496-2FC56CCB9447}"/>
    <cellStyle name="Laskenta 4 11" xfId="11067" xr:uid="{A934BB94-6EB6-4B1B-8987-6C6AFA9028A6}"/>
    <cellStyle name="Laskenta 4 12" xfId="11068" xr:uid="{7861E6CD-BAD0-4E9E-81C9-8F19DF196FE9}"/>
    <cellStyle name="Laskenta 4 13" xfId="11069" xr:uid="{599F36A9-27F0-4169-9CA0-3D64C5404A05}"/>
    <cellStyle name="Laskenta 4 14" xfId="11070" xr:uid="{FD6B7847-6176-4197-9BF8-FB85D9B453AD}"/>
    <cellStyle name="Laskenta 4 15" xfId="11071" xr:uid="{DA6D32E6-A26B-4AE6-B9B6-4A6D495F1ABE}"/>
    <cellStyle name="Laskenta 4 16" xfId="11072" xr:uid="{B90A73F0-F2FF-42EA-A4E6-D0554B0037FF}"/>
    <cellStyle name="Laskenta 4 17" xfId="11073" xr:uid="{CEE33435-9831-4575-88CB-EA285B3BCFBD}"/>
    <cellStyle name="Laskenta 4 18" xfId="11074" xr:uid="{A944F8C7-A4A3-440B-B726-795A6F9080CD}"/>
    <cellStyle name="Laskenta 4 19" xfId="11075" xr:uid="{B822CB49-D4FF-40A3-B620-AA36147E4BBA}"/>
    <cellStyle name="Laskenta 4 2" xfId="11076" xr:uid="{576B8ABE-0375-42D2-BB80-51D9DE6CEB5A}"/>
    <cellStyle name="Laskenta 4 2 10" xfId="11077" xr:uid="{17CEC044-915C-47A5-83FD-8337F25E45E1}"/>
    <cellStyle name="Laskenta 4 2 11" xfId="11078" xr:uid="{65DE3B98-8E87-436A-8A91-D45C6B59491F}"/>
    <cellStyle name="Laskenta 4 2 12" xfId="11079" xr:uid="{A9EFD45D-04FA-487C-B234-E48B359E50CE}"/>
    <cellStyle name="Laskenta 4 2 13" xfId="11080" xr:uid="{B1A3C3FA-8FDA-47A8-9F51-2E793A73CE4A}"/>
    <cellStyle name="Laskenta 4 2 14" xfId="11081" xr:uid="{49129A22-28E8-48E4-AC8D-F628FB6C42AD}"/>
    <cellStyle name="Laskenta 4 2 15" xfId="11082" xr:uid="{15269F05-279F-4C8A-99CF-F9EBE620F9B0}"/>
    <cellStyle name="Laskenta 4 2 16" xfId="11083" xr:uid="{DB5FAE5E-D74B-4B48-888B-2A0B58FA1484}"/>
    <cellStyle name="Laskenta 4 2 17" xfId="11084" xr:uid="{242A6555-58D1-46B2-98AC-45D674DDF033}"/>
    <cellStyle name="Laskenta 4 2 18" xfId="11085" xr:uid="{17F3CA25-A7B2-4AAD-8ED4-04434A14E082}"/>
    <cellStyle name="Laskenta 4 2 19" xfId="11086" xr:uid="{A24596E9-0AD6-4337-9A42-349A235B6598}"/>
    <cellStyle name="Laskenta 4 2 19 2" xfId="11087" xr:uid="{80CA514A-906A-4E13-AA06-389CE37E93DC}"/>
    <cellStyle name="Laskenta 4 2 19_2013" xfId="11088" xr:uid="{9F2D048E-160A-49B3-82E4-1598316E3E99}"/>
    <cellStyle name="Laskenta 4 2 2" xfId="11089" xr:uid="{58D38A59-A415-41FE-B553-6180651E7079}"/>
    <cellStyle name="Laskenta 4 2 2 10" xfId="11090" xr:uid="{A178BD63-5C34-406F-93E7-1970DD0067E9}"/>
    <cellStyle name="Laskenta 4 2 2 11" xfId="11091" xr:uid="{A953BB75-228C-4643-B435-AE5EE2091414}"/>
    <cellStyle name="Laskenta 4 2 2 12" xfId="11092" xr:uid="{9C0AF995-A4AF-4BF4-9F21-6D485EB0984F}"/>
    <cellStyle name="Laskenta 4 2 2 13" xfId="11093" xr:uid="{9A16287C-043E-4F8A-871F-5445E470A60D}"/>
    <cellStyle name="Laskenta 4 2 2 14" xfId="11094" xr:uid="{CFB2863C-FC43-466A-9E7E-4FB272DA8A0A}"/>
    <cellStyle name="Laskenta 4 2 2 15" xfId="11095" xr:uid="{34066846-1432-42A3-AAFC-DECA0A88C2A9}"/>
    <cellStyle name="Laskenta 4 2 2 16" xfId="11096" xr:uid="{A7FC0D50-E8F2-4025-9CC2-9C552A15F294}"/>
    <cellStyle name="Laskenta 4 2 2 17" xfId="11097" xr:uid="{2D3785AF-AD9C-44FA-9AE4-7A7CC97318F2}"/>
    <cellStyle name="Laskenta 4 2 2 18" xfId="11098" xr:uid="{EF37C05A-C0B6-4E56-9389-0ADD5CD73CF2}"/>
    <cellStyle name="Laskenta 4 2 2 18 2" xfId="11099" xr:uid="{9C616F0C-5743-48F0-AE1C-47EC60404F27}"/>
    <cellStyle name="Laskenta 4 2 2 18_2013" xfId="11100" xr:uid="{D88E8866-8E3F-4901-8226-A383986FD0D6}"/>
    <cellStyle name="Laskenta 4 2 2 19" xfId="11101" xr:uid="{2AD2AA51-3525-4C97-9522-A205A022336A}"/>
    <cellStyle name="Laskenta 4 2 2 2" xfId="11102" xr:uid="{122A209D-A73D-42B4-8DB9-5AB61EB34E52}"/>
    <cellStyle name="Laskenta 4 2 2 3" xfId="11103" xr:uid="{F93439ED-2BFB-4FB6-A1F6-0F1B1240B285}"/>
    <cellStyle name="Laskenta 4 2 2 4" xfId="11104" xr:uid="{DEAFCDFB-C46E-40F8-952D-8062448F4FA5}"/>
    <cellStyle name="Laskenta 4 2 2 5" xfId="11105" xr:uid="{DFD3708E-F084-4D4B-8031-E9F903BFA222}"/>
    <cellStyle name="Laskenta 4 2 2 6" xfId="11106" xr:uid="{4354A6E9-7563-4705-9B00-91B3B33BD4CD}"/>
    <cellStyle name="Laskenta 4 2 2 7" xfId="11107" xr:uid="{E619ED3D-5C05-4377-A8CF-1602AC4C87AC}"/>
    <cellStyle name="Laskenta 4 2 2 8" xfId="11108" xr:uid="{AB1553C4-EC81-40B7-942A-836BDDDACC2F}"/>
    <cellStyle name="Laskenta 4 2 2 9" xfId="11109" xr:uid="{24AA883D-CCC6-40A3-AD63-07009689D4F1}"/>
    <cellStyle name="Laskenta 4 2 2_2013" xfId="11110" xr:uid="{21B18F53-95A7-4C45-8647-8C194EFFC325}"/>
    <cellStyle name="Laskenta 4 2 20" xfId="11111" xr:uid="{B55E2E64-CAD8-4D43-B9E5-66568044C5FA}"/>
    <cellStyle name="Laskenta 4 2 3" xfId="11112" xr:uid="{9FE9B57F-5542-4457-AF38-FC6AD0C0C347}"/>
    <cellStyle name="Laskenta 4 2 4" xfId="11113" xr:uid="{1448BA8F-6D68-4918-8AC8-C2281D00A0B5}"/>
    <cellStyle name="Laskenta 4 2 5" xfId="11114" xr:uid="{670C440A-0864-4AF6-B5DB-F68B6DC4C803}"/>
    <cellStyle name="Laskenta 4 2 6" xfId="11115" xr:uid="{7B836ED4-FC25-42A8-BD27-ED572526BCDA}"/>
    <cellStyle name="Laskenta 4 2 7" xfId="11116" xr:uid="{E410C4BB-1D17-4D6C-AF4B-7B71AE19DCDB}"/>
    <cellStyle name="Laskenta 4 2 8" xfId="11117" xr:uid="{C28135F8-7D99-497D-B91B-155D33239C71}"/>
    <cellStyle name="Laskenta 4 2 9" xfId="11118" xr:uid="{260A97E8-AF90-45E6-B872-3DCDA13CCB69}"/>
    <cellStyle name="Laskenta 4 2_2013" xfId="11119" xr:uid="{10C7BD77-B646-49D3-B43A-9C01C254EC69}"/>
    <cellStyle name="Laskenta 4 20" xfId="11120" xr:uid="{CB68DC9B-C72B-4085-98A6-8D981E6036F8}"/>
    <cellStyle name="Laskenta 4 21" xfId="11121" xr:uid="{70863EB0-15DF-4DE6-88E7-782F5D510063}"/>
    <cellStyle name="Laskenta 4 22" xfId="11122" xr:uid="{D9F74556-6AFF-4EC2-941E-A04BD900B58E}"/>
    <cellStyle name="Laskenta 4 22 2" xfId="11123" xr:uid="{7DC46274-737E-416D-9F2F-D10DD3B7D6F9}"/>
    <cellStyle name="Laskenta 4 22_2013" xfId="11124" xr:uid="{0546A07D-156E-4522-8BD2-2B271D398ABB}"/>
    <cellStyle name="Laskenta 4 23" xfId="11125" xr:uid="{0DDDBB64-D599-4883-92CE-2CA8267ABDEE}"/>
    <cellStyle name="Laskenta 4 3" xfId="11126" xr:uid="{5A47C17E-B6A4-4779-87B0-419AC777E14B}"/>
    <cellStyle name="Laskenta 4 3 10" xfId="11127" xr:uid="{A76AC49F-8898-46C7-9AE7-C8383A3FDCE6}"/>
    <cellStyle name="Laskenta 4 3 11" xfId="11128" xr:uid="{B86EA26E-2876-4531-8D93-D11E0D66705C}"/>
    <cellStyle name="Laskenta 4 3 12" xfId="11129" xr:uid="{90200FBC-6F16-4A5D-BB38-F6AB9FFB065D}"/>
    <cellStyle name="Laskenta 4 3 13" xfId="11130" xr:uid="{96C33417-6700-4B65-90D6-105550FF730D}"/>
    <cellStyle name="Laskenta 4 3 14" xfId="11131" xr:uid="{EAA65576-294B-4989-B272-B6398063FBC5}"/>
    <cellStyle name="Laskenta 4 3 15" xfId="11132" xr:uid="{56999932-EA8D-4A11-9680-AF610383BD90}"/>
    <cellStyle name="Laskenta 4 3 16" xfId="11133" xr:uid="{F1EFA59F-2685-4A52-9532-8035C927C4A7}"/>
    <cellStyle name="Laskenta 4 3 17" xfId="11134" xr:uid="{5F8B2BBB-0A3B-41A4-B189-A19703D0401C}"/>
    <cellStyle name="Laskenta 4 3 18" xfId="11135" xr:uid="{5C21E5C2-2858-48CE-8E69-3ECCC99B4199}"/>
    <cellStyle name="Laskenta 4 3 19" xfId="11136" xr:uid="{02AA742B-41CD-4772-9F06-D4B6E51771D4}"/>
    <cellStyle name="Laskenta 4 3 19 2" xfId="11137" xr:uid="{AFEA9548-5ABD-47DB-A94D-32EE7F1FACD8}"/>
    <cellStyle name="Laskenta 4 3 19_2013" xfId="11138" xr:uid="{5FF42AFD-4669-4B60-BBC1-651D5F8D0581}"/>
    <cellStyle name="Laskenta 4 3 2" xfId="11139" xr:uid="{8AA25B53-C74F-4C00-AD86-FBCD1F758754}"/>
    <cellStyle name="Laskenta 4 3 2 10" xfId="11140" xr:uid="{4C577514-27C1-490D-AF3D-157EE595F325}"/>
    <cellStyle name="Laskenta 4 3 2 11" xfId="11141" xr:uid="{148EA3D8-28A5-465C-B18F-F2230A8EEFB3}"/>
    <cellStyle name="Laskenta 4 3 2 12" xfId="11142" xr:uid="{C1F52571-DC50-453B-B11C-F48C8CC87976}"/>
    <cellStyle name="Laskenta 4 3 2 13" xfId="11143" xr:uid="{148FC23F-D064-48FA-9693-9D66FF12A43C}"/>
    <cellStyle name="Laskenta 4 3 2 14" xfId="11144" xr:uid="{9CD1CD0B-1F54-4128-BE2C-D508474D2FA8}"/>
    <cellStyle name="Laskenta 4 3 2 15" xfId="11145" xr:uid="{469B1259-0191-49CE-A9A8-F15E82E6DAB7}"/>
    <cellStyle name="Laskenta 4 3 2 16" xfId="11146" xr:uid="{CA49745E-E655-4A53-928A-29A15BA3885C}"/>
    <cellStyle name="Laskenta 4 3 2 17" xfId="11147" xr:uid="{6926EBE5-2352-4FBD-99EE-AFFB0F39E855}"/>
    <cellStyle name="Laskenta 4 3 2 18" xfId="11148" xr:uid="{D095EC45-206A-4894-9831-18E080CAD386}"/>
    <cellStyle name="Laskenta 4 3 2 18 2" xfId="11149" xr:uid="{BBA29F57-DA61-4C26-8BDA-180AA7FF8EF7}"/>
    <cellStyle name="Laskenta 4 3 2 18_2013" xfId="11150" xr:uid="{3C5EA48D-036D-4A73-807B-038BA5C536EB}"/>
    <cellStyle name="Laskenta 4 3 2 19" xfId="11151" xr:uid="{B2D49705-E19F-4510-9DFC-A5FDD257E52B}"/>
    <cellStyle name="Laskenta 4 3 2 2" xfId="11152" xr:uid="{D1980370-CA0A-49C1-B2C8-0D5FDBE1C905}"/>
    <cellStyle name="Laskenta 4 3 2 3" xfId="11153" xr:uid="{F95377EE-F97D-4259-A219-1356D6795612}"/>
    <cellStyle name="Laskenta 4 3 2 4" xfId="11154" xr:uid="{63DF5234-2264-41D4-9FFE-ED379017AEDD}"/>
    <cellStyle name="Laskenta 4 3 2 5" xfId="11155" xr:uid="{E13EA7B6-03B1-45FF-A67F-625678271A20}"/>
    <cellStyle name="Laskenta 4 3 2 6" xfId="11156" xr:uid="{D20FA993-E6CA-4AE1-B697-E2BC49B6D84A}"/>
    <cellStyle name="Laskenta 4 3 2 7" xfId="11157" xr:uid="{DEDC69A0-F6FB-4867-9B27-1F44195BFE42}"/>
    <cellStyle name="Laskenta 4 3 2 8" xfId="11158" xr:uid="{55E83085-02F2-4FD5-99CB-D5A663DC0884}"/>
    <cellStyle name="Laskenta 4 3 2 9" xfId="11159" xr:uid="{70B9D08D-C49F-4790-9160-67466E4EDFB5}"/>
    <cellStyle name="Laskenta 4 3 2_2013" xfId="11160" xr:uid="{10AA16F0-153A-4060-A23E-678BA397DEF4}"/>
    <cellStyle name="Laskenta 4 3 20" xfId="11161" xr:uid="{F93414E2-A333-49C9-996F-95DE646D64CD}"/>
    <cellStyle name="Laskenta 4 3 3" xfId="11162" xr:uid="{ABA9251D-5BFB-461B-B6A5-DA41FC5C0896}"/>
    <cellStyle name="Laskenta 4 3 4" xfId="11163" xr:uid="{4F460987-9E54-4F58-AD7D-797571494ECB}"/>
    <cellStyle name="Laskenta 4 3 5" xfId="11164" xr:uid="{466475D8-150D-46F3-B431-947655EDDDF0}"/>
    <cellStyle name="Laskenta 4 3 6" xfId="11165" xr:uid="{76C6BB99-58E3-4C0E-ADAF-E16F0CCC3728}"/>
    <cellStyle name="Laskenta 4 3 7" xfId="11166" xr:uid="{DC0BDE27-CCD6-4AC4-A588-4C00BC05203C}"/>
    <cellStyle name="Laskenta 4 3 8" xfId="11167" xr:uid="{1C5CE9D9-694B-42C9-A3EE-62EA588A25A5}"/>
    <cellStyle name="Laskenta 4 3 9" xfId="11168" xr:uid="{5F2BE489-1D8A-4D0A-A8B7-C71222A10A0B}"/>
    <cellStyle name="Laskenta 4 3_2013" xfId="11169" xr:uid="{588A9970-894D-48A2-8A5C-69DCDD141744}"/>
    <cellStyle name="Laskenta 4 4" xfId="11170" xr:uid="{497BCA97-1DBD-414C-919A-F1BB671195FC}"/>
    <cellStyle name="Laskenta 4 4 10" xfId="11171" xr:uid="{85D25B13-E8E2-4C05-A97C-0E8A4AA7388B}"/>
    <cellStyle name="Laskenta 4 4 11" xfId="11172" xr:uid="{F75024E5-A7F9-4DFA-B601-EC0C06DB9580}"/>
    <cellStyle name="Laskenta 4 4 12" xfId="11173" xr:uid="{53116D15-9EA1-43D3-8328-1BE776CE2F10}"/>
    <cellStyle name="Laskenta 4 4 13" xfId="11174" xr:uid="{156F68BA-C31D-41FC-B9B8-A68C312C0F4B}"/>
    <cellStyle name="Laskenta 4 4 14" xfId="11175" xr:uid="{57BF34DD-F4E6-448C-BF6C-3DC318A95741}"/>
    <cellStyle name="Laskenta 4 4 15" xfId="11176" xr:uid="{CD78F3C3-1DC4-4185-8393-6B50FB7680BF}"/>
    <cellStyle name="Laskenta 4 4 16" xfId="11177" xr:uid="{F95239B9-569B-441C-8AA7-9BA0A96AB8F8}"/>
    <cellStyle name="Laskenta 4 4 17" xfId="11178" xr:uid="{4F7D50FB-1673-4ABE-BF51-429E0607697E}"/>
    <cellStyle name="Laskenta 4 4 18" xfId="11179" xr:uid="{3B907B6F-DA67-44F1-B20D-2ED8785DC85E}"/>
    <cellStyle name="Laskenta 4 4 19" xfId="11180" xr:uid="{4A02CD3D-D61E-41F8-A073-15C8CC6DF478}"/>
    <cellStyle name="Laskenta 4 4 19 2" xfId="11181" xr:uid="{23775D72-A016-4F17-AC6A-961AE96D2FD3}"/>
    <cellStyle name="Laskenta 4 4 19_2013" xfId="11182" xr:uid="{304B1331-8927-4C3A-8E20-4F1E968700B7}"/>
    <cellStyle name="Laskenta 4 4 2" xfId="11183" xr:uid="{E6B7756C-FE84-48D2-ADBC-59864D08F3EF}"/>
    <cellStyle name="Laskenta 4 4 2 10" xfId="11184" xr:uid="{FD42D204-15BD-4114-9376-2A3B32FF4FDC}"/>
    <cellStyle name="Laskenta 4 4 2 11" xfId="11185" xr:uid="{C114E7E0-BEB2-4773-BB0B-81579DD41600}"/>
    <cellStyle name="Laskenta 4 4 2 12" xfId="11186" xr:uid="{D110D231-CA1A-4904-8984-FB83CB75DD27}"/>
    <cellStyle name="Laskenta 4 4 2 13" xfId="11187" xr:uid="{D5652CD9-305D-4656-8E68-A4A20886324C}"/>
    <cellStyle name="Laskenta 4 4 2 14" xfId="11188" xr:uid="{CFE1751B-9F22-4234-83DC-78EA5842CDF1}"/>
    <cellStyle name="Laskenta 4 4 2 15" xfId="11189" xr:uid="{4F330D1D-C28F-41C5-A0A8-0C48D1CCE9E9}"/>
    <cellStyle name="Laskenta 4 4 2 16" xfId="11190" xr:uid="{70C9A88B-2881-44C6-A5FF-C4BFA797863B}"/>
    <cellStyle name="Laskenta 4 4 2 17" xfId="11191" xr:uid="{B2356180-1DD9-47E0-944B-DD1172CC9367}"/>
    <cellStyle name="Laskenta 4 4 2 18" xfId="11192" xr:uid="{D5C367F2-9FD3-47AA-892D-9E2EF401A175}"/>
    <cellStyle name="Laskenta 4 4 2 18 2" xfId="11193" xr:uid="{A2C8D949-E54B-4C7A-A36F-6ECAF5FFF417}"/>
    <cellStyle name="Laskenta 4 4 2 18_2013" xfId="11194" xr:uid="{B5BB28E9-2B7D-4B0A-9176-37C4C3F331A5}"/>
    <cellStyle name="Laskenta 4 4 2 19" xfId="11195" xr:uid="{5B72F76E-440D-46A2-A7A1-D94B6C6F6166}"/>
    <cellStyle name="Laskenta 4 4 2 2" xfId="11196" xr:uid="{973CB635-0503-4F68-B10D-C1B64058AD71}"/>
    <cellStyle name="Laskenta 4 4 2 3" xfId="11197" xr:uid="{4B289D89-C1EB-4758-83C9-215612307DB4}"/>
    <cellStyle name="Laskenta 4 4 2 4" xfId="11198" xr:uid="{A903332F-A48F-4DA4-BFA6-CB07A94772C6}"/>
    <cellStyle name="Laskenta 4 4 2 5" xfId="11199" xr:uid="{645053E5-3D34-4F6B-9943-17744B31B31C}"/>
    <cellStyle name="Laskenta 4 4 2 6" xfId="11200" xr:uid="{2E772315-F149-425F-BFBD-E401118C2549}"/>
    <cellStyle name="Laskenta 4 4 2 7" xfId="11201" xr:uid="{571BF710-482E-448F-92FC-BBCC23FD9D0F}"/>
    <cellStyle name="Laskenta 4 4 2 8" xfId="11202" xr:uid="{A0A001D7-38A3-4E1A-A1D5-B4736E5F2342}"/>
    <cellStyle name="Laskenta 4 4 2 9" xfId="11203" xr:uid="{516FBB58-D428-4300-84B2-4FDA3448B25A}"/>
    <cellStyle name="Laskenta 4 4 2_2013" xfId="11204" xr:uid="{4D3EFE24-470E-48AC-B067-05307A3215F3}"/>
    <cellStyle name="Laskenta 4 4 20" xfId="11205" xr:uid="{6BD6AB9D-2E00-4718-93B4-16D144EA6A0D}"/>
    <cellStyle name="Laskenta 4 4 3" xfId="11206" xr:uid="{705153F7-9F13-459D-85B9-5D1194CCE186}"/>
    <cellStyle name="Laskenta 4 4 4" xfId="11207" xr:uid="{0FE40B49-6CD9-475C-B50C-26A7FE1990FF}"/>
    <cellStyle name="Laskenta 4 4 5" xfId="11208" xr:uid="{93B44A6A-83B3-4AAF-9F1B-CE86053E8E9C}"/>
    <cellStyle name="Laskenta 4 4 6" xfId="11209" xr:uid="{EE327467-7514-4DC7-B125-8C6D5E8A9A41}"/>
    <cellStyle name="Laskenta 4 4 7" xfId="11210" xr:uid="{CA7E64A1-4729-4BBE-9848-E0AC62128158}"/>
    <cellStyle name="Laskenta 4 4 8" xfId="11211" xr:uid="{F8F36C72-4F9A-4729-9835-183B49C2EA81}"/>
    <cellStyle name="Laskenta 4 4 9" xfId="11212" xr:uid="{FB61B3E8-0BD8-4671-84B7-78C72907FB9F}"/>
    <cellStyle name="Laskenta 4 4_2013" xfId="11213" xr:uid="{E3D31E23-4586-4D27-A6F6-1FFAC7520B7D}"/>
    <cellStyle name="Laskenta 4 5" xfId="11214" xr:uid="{D228D897-9940-44F2-A0E3-1DC8EBDC1AF5}"/>
    <cellStyle name="Laskenta 4 5 10" xfId="11215" xr:uid="{7BECDD7F-3FC1-4E44-A598-7193C8C7A030}"/>
    <cellStyle name="Laskenta 4 5 11" xfId="11216" xr:uid="{415681AA-0845-4AB4-92FE-CD6105B7354D}"/>
    <cellStyle name="Laskenta 4 5 12" xfId="11217" xr:uid="{51D2CDB5-BCFD-4F0B-A37A-78332B073A85}"/>
    <cellStyle name="Laskenta 4 5 13" xfId="11218" xr:uid="{4AA8729A-FFC5-4C07-B470-EE6685893453}"/>
    <cellStyle name="Laskenta 4 5 14" xfId="11219" xr:uid="{89397234-8216-475C-96E9-6C65B95FB49B}"/>
    <cellStyle name="Laskenta 4 5 15" xfId="11220" xr:uid="{21F4316B-2F51-4C88-A23E-4B53EBE589BA}"/>
    <cellStyle name="Laskenta 4 5 16" xfId="11221" xr:uid="{A2886321-BB1A-4003-BFD6-D270E1CBCA19}"/>
    <cellStyle name="Laskenta 4 5 17" xfId="11222" xr:uid="{F2EB2245-AE20-49A5-A24C-EC1871A8F988}"/>
    <cellStyle name="Laskenta 4 5 18" xfId="11223" xr:uid="{FAE1F433-F156-43A5-9A9C-620017FE2EB9}"/>
    <cellStyle name="Laskenta 4 5 18 2" xfId="11224" xr:uid="{7FFA1440-AAC5-4442-B516-5C44E4BA80F9}"/>
    <cellStyle name="Laskenta 4 5 18_2013" xfId="11225" xr:uid="{AEE9F56F-3472-4E3B-8563-710C67331EB0}"/>
    <cellStyle name="Laskenta 4 5 19" xfId="11226" xr:uid="{6CD29D25-BCF6-44CA-A4D2-EB99AE0E0221}"/>
    <cellStyle name="Laskenta 4 5 2" xfId="11227" xr:uid="{E0CD5C29-2625-466C-96F9-7FE3574DCD5C}"/>
    <cellStyle name="Laskenta 4 5 3" xfId="11228" xr:uid="{974AEC9E-2041-481F-85F6-5DB0605EC8C4}"/>
    <cellStyle name="Laskenta 4 5 4" xfId="11229" xr:uid="{CB627A39-A928-45B2-8A04-0F15CDB16158}"/>
    <cellStyle name="Laskenta 4 5 5" xfId="11230" xr:uid="{76E4BA65-EEAC-4AE8-B852-713A8D1BD9BC}"/>
    <cellStyle name="Laskenta 4 5 6" xfId="11231" xr:uid="{8E13022F-6043-4533-883C-1104DF174729}"/>
    <cellStyle name="Laskenta 4 5 7" xfId="11232" xr:uid="{5C738830-B7B2-4960-B438-A6DC4E4BA24E}"/>
    <cellStyle name="Laskenta 4 5 8" xfId="11233" xr:uid="{BDF0D069-1550-4C9F-8C31-3800BACF55DF}"/>
    <cellStyle name="Laskenta 4 5 9" xfId="11234" xr:uid="{C1DB7A31-4A49-4CDF-9002-9FC0FDDE700C}"/>
    <cellStyle name="Laskenta 4 5_2013" xfId="11235" xr:uid="{551217F2-D804-4849-A4C7-4D462EB45E67}"/>
    <cellStyle name="Laskenta 4 6" xfId="11236" xr:uid="{6E3BBDB4-5231-4122-BA7F-B11CAD4C97A3}"/>
    <cellStyle name="Laskenta 4 7" xfId="11237" xr:uid="{EAF8F845-89F0-4E77-B316-32EE09E1DC23}"/>
    <cellStyle name="Laskenta 4 8" xfId="11238" xr:uid="{B53BCB2F-7C17-4E30-85A9-810ED2DA452A}"/>
    <cellStyle name="Laskenta 4 9" xfId="11239" xr:uid="{B31C207B-DC8B-46B8-8AAE-979141466F1C}"/>
    <cellStyle name="Laskenta 4_2013" xfId="11240" xr:uid="{19ACABF5-2215-45C4-A564-11FB794F0260}"/>
    <cellStyle name="Laskenta 5" xfId="11241" xr:uid="{B6D18B85-6DE6-4BF0-A617-3FD38C086C9B}"/>
    <cellStyle name="Laskenta 5 10" xfId="11242" xr:uid="{B378B349-6D0F-4633-A030-AE46A1783C21}"/>
    <cellStyle name="Laskenta 5 11" xfId="11243" xr:uid="{9DE82B69-FDFA-41E3-90E5-04E5DBC22B07}"/>
    <cellStyle name="Laskenta 5 12" xfId="11244" xr:uid="{3973A378-96EA-4744-A1A6-E9BB2FCCA6F4}"/>
    <cellStyle name="Laskenta 5 13" xfId="11245" xr:uid="{9CC194B3-C5F7-4E85-B250-02C853860009}"/>
    <cellStyle name="Laskenta 5 14" xfId="11246" xr:uid="{B33F72CA-8711-4A2D-A2F0-235087441693}"/>
    <cellStyle name="Laskenta 5 15" xfId="11247" xr:uid="{16CEB7DF-A79C-482C-B4BA-25A7D73CFA85}"/>
    <cellStyle name="Laskenta 5 16" xfId="11248" xr:uid="{0FB5EEB8-F898-4C7D-A4FE-106384DF1620}"/>
    <cellStyle name="Laskenta 5 17" xfId="11249" xr:uid="{ABA53789-779A-42B3-A6AA-84C6BAFD6357}"/>
    <cellStyle name="Laskenta 5 18" xfId="11250" xr:uid="{64CCA20D-0219-4117-8727-C03445367678}"/>
    <cellStyle name="Laskenta 5 19" xfId="11251" xr:uid="{68382F18-8308-4662-9761-7750086F3F84}"/>
    <cellStyle name="Laskenta 5 19 2" xfId="11252" xr:uid="{13AC0C50-B260-4A9D-BEA4-C6B3943EC272}"/>
    <cellStyle name="Laskenta 5 19_2013" xfId="11253" xr:uid="{89BB8B04-C5EA-42C9-A12A-77B8DC5E195F}"/>
    <cellStyle name="Laskenta 5 2" xfId="11254" xr:uid="{1425B8CB-2D81-4712-836E-59F35C41A79F}"/>
    <cellStyle name="Laskenta 5 2 10" xfId="11255" xr:uid="{A77937A4-64F3-4B5A-9973-98113027DC97}"/>
    <cellStyle name="Laskenta 5 2 11" xfId="11256" xr:uid="{3B846E26-6716-4A01-AC96-39AC7620ABF2}"/>
    <cellStyle name="Laskenta 5 2 12" xfId="11257" xr:uid="{7F1C69DC-94D7-4166-9737-6738D8EEB48B}"/>
    <cellStyle name="Laskenta 5 2 13" xfId="11258" xr:uid="{6D2E922F-F7F7-4AB8-8A08-66C2B59D88BF}"/>
    <cellStyle name="Laskenta 5 2 14" xfId="11259" xr:uid="{8343DE9D-83F5-463A-ACDB-3AA094591A34}"/>
    <cellStyle name="Laskenta 5 2 15" xfId="11260" xr:uid="{DA182A04-7C68-47D2-9C3D-DBDBF436849C}"/>
    <cellStyle name="Laskenta 5 2 16" xfId="11261" xr:uid="{EE887EA6-6F12-4B2F-9A3A-D47D03F585A3}"/>
    <cellStyle name="Laskenta 5 2 17" xfId="11262" xr:uid="{6DF902E8-6FD5-4C50-A6C2-BED33212E49F}"/>
    <cellStyle name="Laskenta 5 2 18" xfId="11263" xr:uid="{5C401918-C1FF-4F34-838B-72730752EB68}"/>
    <cellStyle name="Laskenta 5 2 18 2" xfId="11264" xr:uid="{56FAD63C-D482-42DB-97B4-BB7A4ACFD73B}"/>
    <cellStyle name="Laskenta 5 2 18_2013" xfId="11265" xr:uid="{0FE9069A-2242-438E-A387-346FB116BC0B}"/>
    <cellStyle name="Laskenta 5 2 19" xfId="11266" xr:uid="{9391ED0C-4FDF-418F-87BB-A1B35E300885}"/>
    <cellStyle name="Laskenta 5 2 2" xfId="11267" xr:uid="{703A9A74-BCAE-407A-A47E-58061948C170}"/>
    <cellStyle name="Laskenta 5 2 3" xfId="11268" xr:uid="{61F26732-CA24-41FD-9454-BA12396FC411}"/>
    <cellStyle name="Laskenta 5 2 4" xfId="11269" xr:uid="{B7A9EC1A-621B-4F2B-B413-32091C1AFF52}"/>
    <cellStyle name="Laskenta 5 2 5" xfId="11270" xr:uid="{13213780-24C3-4A47-B452-0E99F00515A0}"/>
    <cellStyle name="Laskenta 5 2 6" xfId="11271" xr:uid="{AC22A1E3-4E31-493F-9919-5BAF07169FAE}"/>
    <cellStyle name="Laskenta 5 2 7" xfId="11272" xr:uid="{72B66AD4-0C2B-433E-AD9D-5D744D40D4B4}"/>
    <cellStyle name="Laskenta 5 2 8" xfId="11273" xr:uid="{56DB1419-22FB-4730-8D47-BE1DF592CC21}"/>
    <cellStyle name="Laskenta 5 2 9" xfId="11274" xr:uid="{30867185-7F78-4CCF-9F36-A808A3EBFCEF}"/>
    <cellStyle name="Laskenta 5 2_2013" xfId="11275" xr:uid="{D50CFD30-A27A-4152-BA45-5F87658576A8}"/>
    <cellStyle name="Laskenta 5 20" xfId="11276" xr:uid="{567ADF27-3155-4087-BE32-A337CB7BD599}"/>
    <cellStyle name="Laskenta 5 3" xfId="11277" xr:uid="{450C6E31-2AD0-48A8-9BBE-619082E7CE88}"/>
    <cellStyle name="Laskenta 5 4" xfId="11278" xr:uid="{44A0CBF1-70C0-4F90-83F4-77ADCEFEB296}"/>
    <cellStyle name="Laskenta 5 5" xfId="11279" xr:uid="{13869D0F-CE23-411C-820A-E6654A1FB93A}"/>
    <cellStyle name="Laskenta 5 6" xfId="11280" xr:uid="{E451C4E2-EAEF-48CB-BC76-F66D1107F144}"/>
    <cellStyle name="Laskenta 5 7" xfId="11281" xr:uid="{88195176-A9C4-4E06-9957-17D3CB473643}"/>
    <cellStyle name="Laskenta 5 8" xfId="11282" xr:uid="{E328F492-189A-4D08-8FED-41D5E2DB1EA7}"/>
    <cellStyle name="Laskenta 5 9" xfId="11283" xr:uid="{3E0B889E-0C6E-4B05-B979-250912AA600E}"/>
    <cellStyle name="Laskenta 5_2013" xfId="11284" xr:uid="{D4C9E142-977A-4998-A961-3353071842A9}"/>
    <cellStyle name="Laskenta 6" xfId="11285" xr:uid="{42141304-2716-4724-B98C-61AF46E30B23}"/>
    <cellStyle name="Laskenta 6 10" xfId="11286" xr:uid="{B214B137-79F0-4BBA-8816-45A91B718CBE}"/>
    <cellStyle name="Laskenta 6 11" xfId="11287" xr:uid="{66816001-3C4A-436D-A552-3017B6C23365}"/>
    <cellStyle name="Laskenta 6 12" xfId="11288" xr:uid="{C37F057C-9D0F-47AF-B01D-D6082D393BAE}"/>
    <cellStyle name="Laskenta 6 13" xfId="11289" xr:uid="{40B24F04-BFEE-47D6-ABA2-2C32C1252AE6}"/>
    <cellStyle name="Laskenta 6 14" xfId="11290" xr:uid="{D4EB50EA-4C40-4D68-8818-F48062DD8722}"/>
    <cellStyle name="Laskenta 6 15" xfId="11291" xr:uid="{3428EDD0-4CF2-48B9-A88E-03A9EBC186B8}"/>
    <cellStyle name="Laskenta 6 16" xfId="11292" xr:uid="{EFF90433-2B44-4B88-886E-E1C361B78F19}"/>
    <cellStyle name="Laskenta 6 17" xfId="11293" xr:uid="{155AAEAD-B775-492D-A4D0-55F95F6BEE9A}"/>
    <cellStyle name="Laskenta 6 18" xfId="11294" xr:uid="{0DE8B568-AA64-4037-9567-0D40B699A3F7}"/>
    <cellStyle name="Laskenta 6 19" xfId="11295" xr:uid="{F1991975-33A0-437A-9E5C-90F9CA088169}"/>
    <cellStyle name="Laskenta 6 19 2" xfId="11296" xr:uid="{04833856-63A5-4D80-904E-CF8CEB576A1E}"/>
    <cellStyle name="Laskenta 6 19_2013" xfId="11297" xr:uid="{23CCBFE3-6F35-46BC-843A-CA009E911479}"/>
    <cellStyle name="Laskenta 6 2" xfId="11298" xr:uid="{A63E4D02-CFE5-4C38-B72D-D66EFF82FDD8}"/>
    <cellStyle name="Laskenta 6 2 10" xfId="11299" xr:uid="{564BF875-1E81-4B0A-B899-EA0909B17B96}"/>
    <cellStyle name="Laskenta 6 2 11" xfId="11300" xr:uid="{E76F8A2C-B969-4872-8644-E6FF96365AC5}"/>
    <cellStyle name="Laskenta 6 2 12" xfId="11301" xr:uid="{FE68F27C-EE4F-4CFB-99D4-DA306934AAFE}"/>
    <cellStyle name="Laskenta 6 2 13" xfId="11302" xr:uid="{C486F86F-BE78-444B-B00C-2805AB84A047}"/>
    <cellStyle name="Laskenta 6 2 14" xfId="11303" xr:uid="{5C022158-581D-4E16-9D07-51C11A1145C5}"/>
    <cellStyle name="Laskenta 6 2 15" xfId="11304" xr:uid="{98DD1338-558A-4274-89CD-653B03F04254}"/>
    <cellStyle name="Laskenta 6 2 16" xfId="11305" xr:uid="{1704BCBD-C44B-48CB-853F-C51D70FC5FE4}"/>
    <cellStyle name="Laskenta 6 2 17" xfId="11306" xr:uid="{EB08CD96-EEDD-49A0-9F4D-1561C500A563}"/>
    <cellStyle name="Laskenta 6 2 18" xfId="11307" xr:uid="{791C82AF-0A86-4E2B-9BAF-92D6DCBDBD6C}"/>
    <cellStyle name="Laskenta 6 2 18 2" xfId="11308" xr:uid="{172EF433-F93B-4B34-B157-B991BEE56164}"/>
    <cellStyle name="Laskenta 6 2 18_2013" xfId="11309" xr:uid="{A19E74A6-47A2-43BD-8F81-7B39F16B1E29}"/>
    <cellStyle name="Laskenta 6 2 19" xfId="11310" xr:uid="{2D714815-3697-4A28-AC4D-40A81153A74D}"/>
    <cellStyle name="Laskenta 6 2 2" xfId="11311" xr:uid="{81179FC7-16B1-46A9-BCD4-0924B7C17B9F}"/>
    <cellStyle name="Laskenta 6 2 3" xfId="11312" xr:uid="{FACAD147-8B8D-4912-817D-54372ACE3182}"/>
    <cellStyle name="Laskenta 6 2 4" xfId="11313" xr:uid="{44D38201-6659-49E1-8004-D58A08608AAF}"/>
    <cellStyle name="Laskenta 6 2 5" xfId="11314" xr:uid="{56D8F8A0-C54B-4AC2-9D40-A07CD9979084}"/>
    <cellStyle name="Laskenta 6 2 6" xfId="11315" xr:uid="{87BAB76D-0EF1-4694-9E54-7744CED4E064}"/>
    <cellStyle name="Laskenta 6 2 7" xfId="11316" xr:uid="{CEF57440-839A-4541-A08F-9262AD3D3D76}"/>
    <cellStyle name="Laskenta 6 2 8" xfId="11317" xr:uid="{60AA5791-2594-4EFF-BB52-22C028BDAA1D}"/>
    <cellStyle name="Laskenta 6 2 9" xfId="11318" xr:uid="{16E13873-2F95-43C8-80AE-85EC8FE9CA21}"/>
    <cellStyle name="Laskenta 6 2_2013" xfId="11319" xr:uid="{343F94B6-7730-4C1F-BABF-8670345EDC00}"/>
    <cellStyle name="Laskenta 6 20" xfId="11320" xr:uid="{595A09EB-E612-4F95-922E-19B4AE22E059}"/>
    <cellStyle name="Laskenta 6 3" xfId="11321" xr:uid="{FBC42BE7-3E69-4E14-BEFD-B3B07F72FFB6}"/>
    <cellStyle name="Laskenta 6 4" xfId="11322" xr:uid="{F8C0CF69-55B1-4B13-AB4D-3F8ACA39ADAA}"/>
    <cellStyle name="Laskenta 6 5" xfId="11323" xr:uid="{83D3F953-41E7-4A3B-A08C-FCD4ECCAF208}"/>
    <cellStyle name="Laskenta 6 6" xfId="11324" xr:uid="{A2DFC5FF-372E-40A4-912D-ADDE5B6D6AC8}"/>
    <cellStyle name="Laskenta 6 7" xfId="11325" xr:uid="{098B654F-52DF-4E47-9F9D-00341121B2F4}"/>
    <cellStyle name="Laskenta 6 8" xfId="11326" xr:uid="{67071550-A4C6-4D77-9CB1-6D93D44F5BE8}"/>
    <cellStyle name="Laskenta 6 9" xfId="11327" xr:uid="{0EE34200-49C1-4F6F-840C-8EECE8757CD3}"/>
    <cellStyle name="Laskenta 6_2013" xfId="11328" xr:uid="{0932E5A8-C4C6-4BC6-A0F4-1C5B5A1F4AA6}"/>
    <cellStyle name="Laskenta 7" xfId="11329" xr:uid="{F82CC17B-97D5-40CB-945D-759C15E941C5}"/>
    <cellStyle name="Laskenta 7 10" xfId="11330" xr:uid="{41FCEBD5-B8C2-476A-8D67-4924641D02A7}"/>
    <cellStyle name="Laskenta 7 11" xfId="11331" xr:uid="{5C370194-3381-4959-8FCA-311F95A858A9}"/>
    <cellStyle name="Laskenta 7 12" xfId="11332" xr:uid="{17C71E05-BB50-4D04-9470-CDDE5CED6DA7}"/>
    <cellStyle name="Laskenta 7 13" xfId="11333" xr:uid="{5B005080-F5CC-4878-A9D7-58DA5EC9C191}"/>
    <cellStyle name="Laskenta 7 14" xfId="11334" xr:uid="{DD6D9D71-FA7C-460F-82E5-71B266554003}"/>
    <cellStyle name="Laskenta 7 15" xfId="11335" xr:uid="{F7378BC1-78C1-478E-AE3E-8682345B8B5A}"/>
    <cellStyle name="Laskenta 7 16" xfId="11336" xr:uid="{31AA4120-FE35-4860-8BD4-279D1A148D99}"/>
    <cellStyle name="Laskenta 7 17" xfId="11337" xr:uid="{E7601F4A-942B-48F5-9A4A-D551D9441AB5}"/>
    <cellStyle name="Laskenta 7 18" xfId="11338" xr:uid="{FBDDCE61-8296-463C-A37C-FD9466E84BE9}"/>
    <cellStyle name="Laskenta 7 19" xfId="11339" xr:uid="{EB9902B9-2F53-4EE7-94DB-438CA6964D4E}"/>
    <cellStyle name="Laskenta 7 19 2" xfId="11340" xr:uid="{812AE8D8-E5C9-46F9-9C15-22DBC5293950}"/>
    <cellStyle name="Laskenta 7 19_2013" xfId="11341" xr:uid="{58F3ED07-7D01-4AE9-9FAC-57FACE69CAC2}"/>
    <cellStyle name="Laskenta 7 2" xfId="11342" xr:uid="{D9D3066A-A160-4D95-AEB9-F5EAF6749394}"/>
    <cellStyle name="Laskenta 7 2 10" xfId="11343" xr:uid="{B6A3F10F-E56B-40DD-921C-509D3919FFBD}"/>
    <cellStyle name="Laskenta 7 2 11" xfId="11344" xr:uid="{AF4489FA-2163-4879-84E5-D20DA177C409}"/>
    <cellStyle name="Laskenta 7 2 12" xfId="11345" xr:uid="{48DEC13C-B55D-4352-A65D-CB70B5187AD1}"/>
    <cellStyle name="Laskenta 7 2 13" xfId="11346" xr:uid="{49011E08-892E-4BEE-B1ED-9D711814857A}"/>
    <cellStyle name="Laskenta 7 2 14" xfId="11347" xr:uid="{4449F15E-C8D8-45D8-885D-481F6F08C416}"/>
    <cellStyle name="Laskenta 7 2 15" xfId="11348" xr:uid="{52BF8D37-253C-4564-A4E4-230A1CBA4655}"/>
    <cellStyle name="Laskenta 7 2 16" xfId="11349" xr:uid="{26916F96-A7F6-41F0-800E-82FD607B3CA1}"/>
    <cellStyle name="Laskenta 7 2 17" xfId="11350" xr:uid="{ECCCD611-BD95-472A-9D70-BEB85FD9BF8A}"/>
    <cellStyle name="Laskenta 7 2 18" xfId="11351" xr:uid="{E2B361FF-5EBC-42D3-8C0F-29552BC81BD3}"/>
    <cellStyle name="Laskenta 7 2 18 2" xfId="11352" xr:uid="{65075CCE-7551-40BD-BB2B-F4C0ACAB98B5}"/>
    <cellStyle name="Laskenta 7 2 18_2013" xfId="11353" xr:uid="{77ACB5B3-439C-4356-ADDB-56AAE2D7D98E}"/>
    <cellStyle name="Laskenta 7 2 19" xfId="11354" xr:uid="{2922D7CC-8EDF-4B7C-A1EC-5862BE1E8CB0}"/>
    <cellStyle name="Laskenta 7 2 2" xfId="11355" xr:uid="{9B3312D9-4D69-4855-A962-B4380DB39391}"/>
    <cellStyle name="Laskenta 7 2 3" xfId="11356" xr:uid="{CA24C467-D6FA-4742-8C63-644CF7BE4CA9}"/>
    <cellStyle name="Laskenta 7 2 4" xfId="11357" xr:uid="{11A0153F-8C83-4931-9A0B-DCAAC71B7C6E}"/>
    <cellStyle name="Laskenta 7 2 5" xfId="11358" xr:uid="{21C30D42-47EA-4F83-9FE8-9E713712373B}"/>
    <cellStyle name="Laskenta 7 2 6" xfId="11359" xr:uid="{AFECBD8A-4672-4331-BE7F-830F715E4669}"/>
    <cellStyle name="Laskenta 7 2 7" xfId="11360" xr:uid="{EC54963F-2FF1-40DF-9E04-11A6A393B1DE}"/>
    <cellStyle name="Laskenta 7 2 8" xfId="11361" xr:uid="{28B61372-8CB3-4AAD-9D43-E912E3075803}"/>
    <cellStyle name="Laskenta 7 2 9" xfId="11362" xr:uid="{49E96335-6118-42C7-B66B-6E4678A766B3}"/>
    <cellStyle name="Laskenta 7 2_2013" xfId="11363" xr:uid="{9B12EF2C-363E-41E4-B96B-B2FB16BC62A7}"/>
    <cellStyle name="Laskenta 7 20" xfId="11364" xr:uid="{1F45F50C-80BF-492E-BACD-EE32B37F8FD7}"/>
    <cellStyle name="Laskenta 7 3" xfId="11365" xr:uid="{CB0BE7BE-0AF6-4BFC-B528-D218B33F45F0}"/>
    <cellStyle name="Laskenta 7 4" xfId="11366" xr:uid="{B838B8E6-7B5E-469B-8082-958B443F4E16}"/>
    <cellStyle name="Laskenta 7 5" xfId="11367" xr:uid="{C184B365-651C-4020-84D9-E2B7837B0408}"/>
    <cellStyle name="Laskenta 7 6" xfId="11368" xr:uid="{9AFDF323-A60A-49A8-83EA-51D185459801}"/>
    <cellStyle name="Laskenta 7 7" xfId="11369" xr:uid="{43D735FF-A9B1-419B-8A70-7066548A2BE7}"/>
    <cellStyle name="Laskenta 7 8" xfId="11370" xr:uid="{B7DD118F-D8F5-410E-BF7C-10DDE48C6C17}"/>
    <cellStyle name="Laskenta 7 9" xfId="11371" xr:uid="{719DA82C-98E0-4787-925A-D0EB78EBCDA5}"/>
    <cellStyle name="Laskenta 7_2013" xfId="11372" xr:uid="{69A1BD15-5609-4764-8E51-4D6BEDB4C9EF}"/>
    <cellStyle name="Laskenta 8" xfId="11373" xr:uid="{12D3D474-3CB7-48A7-9C4D-762FD5B8E71C}"/>
    <cellStyle name="Laskenta 8 10" xfId="11374" xr:uid="{AFC7EC93-5ED1-4DDA-A833-1047F047B218}"/>
    <cellStyle name="Laskenta 8 11" xfId="11375" xr:uid="{913B2E2C-669D-4C19-B413-A90EE18D56F0}"/>
    <cellStyle name="Laskenta 8 12" xfId="11376" xr:uid="{96C6BE2B-8F74-4A7E-9FD6-F7A6B0449D3E}"/>
    <cellStyle name="Laskenta 8 13" xfId="11377" xr:uid="{C0C32B8E-6A49-4652-BA2C-99E362DDB474}"/>
    <cellStyle name="Laskenta 8 14" xfId="11378" xr:uid="{11FF670B-6986-4C64-B641-AE4FCA936034}"/>
    <cellStyle name="Laskenta 8 15" xfId="11379" xr:uid="{067BD936-5D84-4A45-8AD1-43A84F64BA21}"/>
    <cellStyle name="Laskenta 8 16" xfId="11380" xr:uid="{E210EFE5-E5C5-4885-B546-3AE12A6421ED}"/>
    <cellStyle name="Laskenta 8 17" xfId="11381" xr:uid="{44BE0513-5DED-4019-A82B-0F9620A07A02}"/>
    <cellStyle name="Laskenta 8 18" xfId="11382" xr:uid="{1D2B7CA8-1F6A-44FF-A7B1-1CAB28F32DE0}"/>
    <cellStyle name="Laskenta 8 18 2" xfId="11383" xr:uid="{34D21BE4-4EDA-4BEF-8627-DFB36792C900}"/>
    <cellStyle name="Laskenta 8 18_2013" xfId="11384" xr:uid="{92D2316E-2D30-48C1-AE14-4501AD0B8544}"/>
    <cellStyle name="Laskenta 8 19" xfId="11385" xr:uid="{3485751A-9B14-48D1-B13C-D60C6D71AA13}"/>
    <cellStyle name="Laskenta 8 2" xfId="11386" xr:uid="{61692207-900F-4625-919F-2663FBC33658}"/>
    <cellStyle name="Laskenta 8 3" xfId="11387" xr:uid="{BFA23442-A086-4E6A-9DE6-5978F2DB1384}"/>
    <cellStyle name="Laskenta 8 4" xfId="11388" xr:uid="{90F07598-C820-4D85-8394-A305A766D638}"/>
    <cellStyle name="Laskenta 8 5" xfId="11389" xr:uid="{20F9062F-85AE-4B53-AEAC-90DCFB079A21}"/>
    <cellStyle name="Laskenta 8 6" xfId="11390" xr:uid="{E7C0D9E5-98AA-48CD-8C36-C04967BCBAB4}"/>
    <cellStyle name="Laskenta 8 7" xfId="11391" xr:uid="{0916D90D-68EC-4484-B800-033B252152E9}"/>
    <cellStyle name="Laskenta 8 8" xfId="11392" xr:uid="{EDB2A7C9-1A11-48C8-9027-3D38153C3A25}"/>
    <cellStyle name="Laskenta 8 9" xfId="11393" xr:uid="{2619421E-7A45-4131-9464-D3DB8D94A04D}"/>
    <cellStyle name="Laskenta 8_2013" xfId="11394" xr:uid="{6E13C505-8EE9-49A0-A5CD-533E14C03F3A}"/>
    <cellStyle name="Laskenta 9" xfId="11395" xr:uid="{96E77532-96AC-4D4C-848B-3FE7FB8142DA}"/>
    <cellStyle name="Laskenta_2013" xfId="11396" xr:uid="{C12A8EDD-EA94-4B19-BCA8-EDB620E75AFA}"/>
    <cellStyle name="Linked Cell 10" xfId="11397" xr:uid="{DFEDA14E-FEDA-4C7A-BBEF-B3843D7A8C71}"/>
    <cellStyle name="Linked Cell 2" xfId="11398" xr:uid="{6B38F3DF-1F52-4406-9B73-92258A524EF8}"/>
    <cellStyle name="Linked Cell 2 2" xfId="11399" xr:uid="{DF8C9167-152A-474D-83C2-F55B395B40E3}"/>
    <cellStyle name="Linked Cell 2 2 2" xfId="11400" xr:uid="{8FADBF0E-E06F-462B-8529-D254BAF1A3FF}"/>
    <cellStyle name="Linked Cell 2 2_2013" xfId="11401" xr:uid="{3ACD948E-3922-4A42-8401-B81626722E3F}"/>
    <cellStyle name="Linked Cell 2 3" xfId="11402" xr:uid="{21B1B7E4-2DBE-4127-9AEC-232B39D1E72F}"/>
    <cellStyle name="Linked Cell 2 3 2" xfId="11403" xr:uid="{96C85A21-DD8C-463B-8B25-8E913C49A5A0}"/>
    <cellStyle name="Linked Cell 2 3_2013" xfId="11404" xr:uid="{09E4217C-96EE-4CBE-A7D3-CD2131915D17}"/>
    <cellStyle name="Linked Cell 2 4" xfId="11405" xr:uid="{F3817E3B-1486-4834-A65C-548228566037}"/>
    <cellStyle name="Linked Cell 2 5" xfId="11406" xr:uid="{97FEE3F7-6A5A-4F20-8274-9F837D20D363}"/>
    <cellStyle name="Linked Cell 2_2013" xfId="11407" xr:uid="{E3CFD22B-A95A-43FD-AF22-C3DCB6F494DB}"/>
    <cellStyle name="Linked Cell 3" xfId="11408" xr:uid="{45A5D7FE-106B-4AF0-9B64-828296FE1187}"/>
    <cellStyle name="Linked Cell 4" xfId="11409" xr:uid="{8067F3F6-D5A5-4AF2-AE9D-9D58C88D8DF8}"/>
    <cellStyle name="Linked Cell 5" xfId="11410" xr:uid="{C7204502-9842-43C9-8B7D-FF459ED92FE2}"/>
    <cellStyle name="Linked Cell 6" xfId="11411" xr:uid="{0490C441-B80F-4ABC-AB30-11444A75B4F2}"/>
    <cellStyle name="Linked Cell 7" xfId="11412" xr:uid="{17D871F3-33D6-482B-911E-F90073EC3146}"/>
    <cellStyle name="Linked Cell 8" xfId="11413" xr:uid="{C15ABC1D-6C46-4200-AD62-9B5451CF3053}"/>
    <cellStyle name="Linked Cell 9" xfId="11414" xr:uid="{276BCCDD-AEA4-4766-8301-8671E94389A8}"/>
    <cellStyle name="Linkitetty solu" xfId="11415" xr:uid="{16BD6C91-3BB3-4016-9896-7A9F998DD871}"/>
    <cellStyle name="Linkitetty solu 2" xfId="11416" xr:uid="{E5C5A816-12B1-4DF7-B3E3-9C3EAE5AE704}"/>
    <cellStyle name="Linkitetty solu_2013" xfId="11417" xr:uid="{942432C3-22A7-4E2F-BAF4-CF9CED814F2C}"/>
    <cellStyle name="m2" xfId="11418" xr:uid="{72BF32F7-4FA1-4317-A003-AECF5B21942A}"/>
    <cellStyle name="Milliers [0]_AR1194" xfId="11419" xr:uid="{9E063A55-20F3-4270-879C-34A138BCBF01}"/>
    <cellStyle name="Milliers_AR1194" xfId="11420" xr:uid="{CB894C90-E9C2-4DDB-9256-19BE60FDB82F}"/>
    <cellStyle name="Monétaire [0]_AR1194" xfId="11421" xr:uid="{10204A9D-B408-4AA9-9428-77E600EF248F}"/>
    <cellStyle name="Monétaire_AR1194" xfId="11422" xr:uid="{A8208EB5-B598-4FB2-8EC8-2C5FD27FCDB2}"/>
    <cellStyle name="Month" xfId="11423" xr:uid="{96D66485-4276-4399-857A-0C99658B5570}"/>
    <cellStyle name="Month 2" xfId="11424" xr:uid="{135D4E52-99F2-479A-BD61-6984CA204CFE}"/>
    <cellStyle name="Month 2 2" xfId="11425" xr:uid="{E5DF9D09-7584-4BBB-8B02-A5EFFDA83D0F}"/>
    <cellStyle name="Month 2_2013" xfId="11426" xr:uid="{7FBFC96D-5ABB-4B47-A307-01EDB68B6E6A}"/>
    <cellStyle name="Month 3" xfId="11427" xr:uid="{DE0FD188-17B1-4DD5-A387-11E60FAD2CDB}"/>
    <cellStyle name="Month_2013" xfId="11428" xr:uid="{CB911D61-8D24-411C-B3DF-2F9F60058A87}"/>
    <cellStyle name="Negative" xfId="11429" xr:uid="{111B4CE3-817D-48D0-ABBD-A41C5DDFD15A}"/>
    <cellStyle name="Neutraali" xfId="11430" xr:uid="{316EB008-1ED8-49C1-BBEF-A909A60ED66F}"/>
    <cellStyle name="Neutraali 2" xfId="11431" xr:uid="{6276BA19-2365-4FAA-B376-06D0FA989973}"/>
    <cellStyle name="Neutraali_2013" xfId="11432" xr:uid="{FD70A85F-F3E3-41F4-B552-86A21F23ADCE}"/>
    <cellStyle name="Neutral 10" xfId="11433" xr:uid="{CA3E05F0-F508-4FF7-B5D3-D565799A32F1}"/>
    <cellStyle name="Neutral 2" xfId="11434" xr:uid="{FB956A17-4111-4D25-8328-5651B61A9A8F}"/>
    <cellStyle name="Neutral 2 2" xfId="11435" xr:uid="{9C9180AE-C08F-4B6D-A7BB-2519611B19AE}"/>
    <cellStyle name="Neutral 2 2 2" xfId="11436" xr:uid="{0FDADC48-44AC-43BA-843F-7AF33D44FBFD}"/>
    <cellStyle name="Neutral 2 2_2013" xfId="11437" xr:uid="{0E409541-780F-4322-9E0F-D744F9717AD7}"/>
    <cellStyle name="Neutral 2 3" xfId="11438" xr:uid="{85C32680-F686-4CD6-8171-01135A028D10}"/>
    <cellStyle name="Neutral 2 3 2" xfId="11439" xr:uid="{DED5E16B-2BD6-4C94-B369-06B9A782FA40}"/>
    <cellStyle name="Neutral 2 3_2013" xfId="11440" xr:uid="{D7B98B05-A79C-42B5-86AF-8C3309A8F235}"/>
    <cellStyle name="Neutral 2 4" xfId="11441" xr:uid="{67BDD69E-98C0-41DA-B070-30CECFDDB7BD}"/>
    <cellStyle name="Neutral 2 5" xfId="11442" xr:uid="{B577B657-EC28-408B-83C4-87B58E1568D8}"/>
    <cellStyle name="Neutral 2_2013" xfId="11443" xr:uid="{EC057CC4-C529-4957-8C9A-DD34B491F02D}"/>
    <cellStyle name="Neutral 3" xfId="11444" xr:uid="{8764A998-AAE8-4933-BDB7-4F962967E3A8}"/>
    <cellStyle name="Neutral 4" xfId="11445" xr:uid="{E32798E9-6C62-4076-B0BC-E6995EB349B5}"/>
    <cellStyle name="Neutral 5" xfId="11446" xr:uid="{BC9100E8-890A-4B04-828F-70430963E266}"/>
    <cellStyle name="Neutral 6" xfId="11447" xr:uid="{E4C0F201-EEF2-40EC-9754-6090886B84FC}"/>
    <cellStyle name="Neutral 7" xfId="11448" xr:uid="{47D6918B-A5E5-4692-AC25-C61188631CAB}"/>
    <cellStyle name="Neutral 8" xfId="11449" xr:uid="{1CA5D7B7-E4D3-4397-80BD-5EE94489B386}"/>
    <cellStyle name="Neutral 9" xfId="11450" xr:uid="{6FD2BF9B-FCBA-468C-AAF8-B9885C814E09}"/>
    <cellStyle name="Neutrale" xfId="11451" xr:uid="{89435A2D-B8CE-45EB-A0BA-3E1655DB6AC4}"/>
    <cellStyle name="Neutro" xfId="11452" xr:uid="{54A10EBE-54B0-4822-B3EF-6940FD541F23}"/>
    <cellStyle name="Neutro 2" xfId="11453" xr:uid="{858ED885-05B6-49C2-AE51-D2913AC4483A}"/>
    <cellStyle name="Neutro_2013" xfId="11454" xr:uid="{CCCFCEC6-EEC2-4007-A8D9-E8C1064107DA}"/>
    <cellStyle name="Normal" xfId="0" builtinId="0"/>
    <cellStyle name="Normal - Style1" xfId="4" xr:uid="{6F840425-7A61-4BDB-BFFC-690006EE6863}"/>
    <cellStyle name="Normal - Style1 2" xfId="11455" xr:uid="{4C2FA109-279A-4E1E-B124-57F477DC58C5}"/>
    <cellStyle name="Normal - Style1 2 2" xfId="11456" xr:uid="{A3F0BCEF-5896-4512-9C63-4B678E8A5F84}"/>
    <cellStyle name="Normal - Style1 2_2013" xfId="11457" xr:uid="{255D11F4-E16F-4E06-87F9-3286147095C8}"/>
    <cellStyle name="Normal - Style1 3" xfId="11458" xr:uid="{0EDDDEE0-A476-40C9-B92B-9CEBD709B0B7}"/>
    <cellStyle name="Normal - Style1_2013" xfId="11459" xr:uid="{43005C97-659F-4FBE-A382-92AFABE87FF8}"/>
    <cellStyle name="Normal 10" xfId="11460" xr:uid="{0ECB782C-6EF8-462A-9184-37FA1389D1C7}"/>
    <cellStyle name="Normal 10 2" xfId="11461" xr:uid="{6B2501F0-79ED-42C2-9B1C-8853534E6308}"/>
    <cellStyle name="Normal 10 2 2" xfId="11462" xr:uid="{0227C9C9-8DBB-452E-85EA-6289DDC836B6}"/>
    <cellStyle name="Normal 10 2 2 2" xfId="11463" xr:uid="{597DF26C-8F3C-4E3B-815A-998F7E079D79}"/>
    <cellStyle name="Normal 10 2 2_2013" xfId="11464" xr:uid="{FB34880B-7791-426E-9AED-3C8156A5EE0F}"/>
    <cellStyle name="Normal 10 2 3" xfId="11465" xr:uid="{CF4809BA-5E30-435D-9ED5-4EA7F4EAC22A}"/>
    <cellStyle name="Normal 10 2 4" xfId="11466" xr:uid="{838FCC23-359E-4DA7-B4A7-A61109200BBD}"/>
    <cellStyle name="Normal 10 2_2013" xfId="11467" xr:uid="{408B3FB7-D54B-4545-89D3-A8E8110A6C99}"/>
    <cellStyle name="Normal 10 3" xfId="11468" xr:uid="{299358D6-7C83-4045-819E-E3F8A9A466F2}"/>
    <cellStyle name="Normal 10 3 2" xfId="11469" xr:uid="{6CF27F5C-50DD-4235-83C9-4911AAFC7D54}"/>
    <cellStyle name="Normal 10 3_2013" xfId="11470" xr:uid="{4F64A1CC-91E1-481A-BC72-A881012F9AE0}"/>
    <cellStyle name="Normal 10 4" xfId="11471" xr:uid="{A727DE28-1CBB-468C-BD0A-7B5E809923F0}"/>
    <cellStyle name="Normal 10 5" xfId="11472" xr:uid="{98EA73BE-3890-40DD-9B5F-2F6AF7857CFB}"/>
    <cellStyle name="Normal 10_2013" xfId="11473" xr:uid="{47707F45-8273-4FB9-8A67-9CED1C3189E4}"/>
    <cellStyle name="Normal 11" xfId="11474" xr:uid="{60F0E28C-4B64-48A6-A21A-8AAD1CBFF08D}"/>
    <cellStyle name="Normal 11 2" xfId="11475" xr:uid="{F289BE92-8E60-48EC-B1F8-384DE521F13B}"/>
    <cellStyle name="Normal 11_2013" xfId="11476" xr:uid="{EA2F9F13-B61A-44E7-970E-2A32B94C70AC}"/>
    <cellStyle name="Normal 12" xfId="11477" xr:uid="{6731B1F8-9D29-4319-B126-C5F3BD97A3D5}"/>
    <cellStyle name="Normal 12 2" xfId="11478" xr:uid="{7545C684-DAF1-4643-9F60-AA3E0C0F97ED}"/>
    <cellStyle name="Normal 12 2 2" xfId="11479" xr:uid="{33C7A151-ECA8-4139-A413-7B7A73BCD721}"/>
    <cellStyle name="Normal 12 2_2013" xfId="11480" xr:uid="{6D9E3AF6-0BC5-491D-9EE0-AAD2FE4DA187}"/>
    <cellStyle name="Normal 12 3" xfId="11481" xr:uid="{8F28C2E1-CEB5-4DD4-82EA-7E49FD070952}"/>
    <cellStyle name="Normal 12 4" xfId="11482" xr:uid="{C2C3A6C9-28EB-41EC-8040-C45D2F6ECB9B}"/>
    <cellStyle name="Normal 12_2013" xfId="11483" xr:uid="{850D8D7B-133D-4378-9BCD-21931A826C3D}"/>
    <cellStyle name="Normal 13" xfId="11484" xr:uid="{63F658EC-358A-43DF-B270-04376547EFAB}"/>
    <cellStyle name="Normal 13 2" xfId="11485" xr:uid="{A7C1C228-F026-420C-A6AC-4BCC77DD0ED9}"/>
    <cellStyle name="Normal 13 3" xfId="11486" xr:uid="{1C0DDBD0-F1B1-4E8B-A0E2-28B9D534FB7B}"/>
    <cellStyle name="Normal 13_2013" xfId="11487" xr:uid="{530A5D2A-C196-4C41-AC60-AB28455F470B}"/>
    <cellStyle name="Normal 14" xfId="11488" xr:uid="{0D5B97EF-66A4-4FCC-A188-BA1BB81EFA9D}"/>
    <cellStyle name="Normal 14 2" xfId="11489" xr:uid="{AE30F21B-B9C0-4273-9E1A-5E884945BB2C}"/>
    <cellStyle name="Normal 14 3" xfId="11490" xr:uid="{D3A470AD-EE55-44D5-B99E-8BCACBDFF574}"/>
    <cellStyle name="Normal 14_2013" xfId="11491" xr:uid="{189F07F8-E247-4602-8D76-23955248B1F8}"/>
    <cellStyle name="Normal 15" xfId="11492" xr:uid="{E2AC33F9-B8AB-4338-9DB9-4376B99E5FFB}"/>
    <cellStyle name="Normal 15 2" xfId="11493" xr:uid="{F74A0D2F-2465-405D-B036-E1B70F370AD4}"/>
    <cellStyle name="Normal 15_2013" xfId="11494" xr:uid="{1390FCF2-4801-4DB9-8DE6-255D82D1663A}"/>
    <cellStyle name="Normal 16" xfId="11495" xr:uid="{1C5AA932-8BC9-43E2-9DEB-B5E6C0CD8C33}"/>
    <cellStyle name="Normal 16 2" xfId="11496" xr:uid="{505B8404-040B-419C-8AB5-0113E481F477}"/>
    <cellStyle name="Normal 16_2013" xfId="11497" xr:uid="{E5314F02-61EA-4F16-A161-0D830E66A4C1}"/>
    <cellStyle name="Normal 17" xfId="11498" xr:uid="{FBF01A4C-F847-473C-8CD1-3EA48B7FE7CE}"/>
    <cellStyle name="Normal 17 2" xfId="11499" xr:uid="{5B6CDA28-DEC9-4ED6-9FB5-D5FB33A688DF}"/>
    <cellStyle name="Normal 17_2013" xfId="11500" xr:uid="{B922501D-1D86-49C0-867D-2B65CEB6F74D}"/>
    <cellStyle name="Normal 18" xfId="11501" xr:uid="{90EFE0E6-34C0-48A8-9ECE-71722E677CB4}"/>
    <cellStyle name="Normal 18 2" xfId="11502" xr:uid="{25C7382F-EE8A-4EFC-863E-41B7480A1783}"/>
    <cellStyle name="Normal 18_2013" xfId="11503" xr:uid="{C4B1D348-F0FE-4B48-90CE-CF6B59187749}"/>
    <cellStyle name="Normal 19" xfId="11504" xr:uid="{CE885A10-3262-47B5-9731-F143CDF4F56C}"/>
    <cellStyle name="Normal 19 2" xfId="11505" xr:uid="{6C690D22-6C5E-4CA3-A709-B6DF9A3A2E66}"/>
    <cellStyle name="Normal 19_2013" xfId="11506" xr:uid="{8ED99240-444D-43CA-99EE-2586DDE9D2B0}"/>
    <cellStyle name="Normal 2" xfId="11507" xr:uid="{C4EE817F-9CC4-46DC-92A9-F9DE2AD17E7F}"/>
    <cellStyle name="Normal 2 2" xfId="11508" xr:uid="{0B133CAF-2DE3-4DBA-9028-AE023D58958E}"/>
    <cellStyle name="Normal 2 2 2" xfId="11509" xr:uid="{3A0632AA-8A9A-4998-BB25-7B43C55BEE20}"/>
    <cellStyle name="Normal 2 2 2 2" xfId="11510" xr:uid="{C43FB53A-C65E-4F69-BF31-6A5DAAC3EDB2}"/>
    <cellStyle name="Normal 2 2 2 2 2" xfId="11511" xr:uid="{B23D412B-E3CE-4FD4-BF21-02DCE8B310BD}"/>
    <cellStyle name="Normal 2 2 2 2 2 2" xfId="11512" xr:uid="{6B45669D-9A50-4955-AB8A-FD3D562CA7D0}"/>
    <cellStyle name="Normal 2 2 2 2 2_2013" xfId="11513" xr:uid="{049F5C5E-D536-45A6-BC8B-9BC7B273AFAC}"/>
    <cellStyle name="Normal 2 2 2 2 3" xfId="11514" xr:uid="{C3CE0B63-AA56-43F1-848B-3754B1E7FF64}"/>
    <cellStyle name="Normal 2 2 2 2_2013" xfId="11515" xr:uid="{4FFD4383-5855-4BA3-831C-1A9B74E9555E}"/>
    <cellStyle name="Normal 2 2 2 3" xfId="11516" xr:uid="{5E7BDBF0-8BD2-4F2A-AD9E-F481F4770A01}"/>
    <cellStyle name="Normal 2 2 2 3 2" xfId="11517" xr:uid="{92CB013E-6FA8-49BB-9676-DC3043783C19}"/>
    <cellStyle name="Normal 2 2 2 3_2013" xfId="11518" xr:uid="{8C2B03AE-4DAD-4462-8AE4-FEA5C8233276}"/>
    <cellStyle name="Normal 2 2 2 4" xfId="11519" xr:uid="{AFD089F9-CFB7-4F04-8396-286BAA3EC7BA}"/>
    <cellStyle name="Normal 2 2 2_2013" xfId="11520" xr:uid="{EC263325-A0A6-413F-9CC8-FE337CA467C8}"/>
    <cellStyle name="Normal 2 2 3" xfId="11521" xr:uid="{35BCEDFE-3216-4489-8C8F-F4992A80E98B}"/>
    <cellStyle name="Normal 2 2 4" xfId="11522" xr:uid="{E8D214B0-D8F5-473C-9A19-6C7D47F27BF5}"/>
    <cellStyle name="Normal 2 2 4 2" xfId="11523" xr:uid="{DC012E13-0DAC-4FFD-AC48-C0B48D159DC5}"/>
    <cellStyle name="Normal 2 2 4_2013" xfId="11524" xr:uid="{AF253798-B6C7-44B4-9268-F2DBDB6D19A1}"/>
    <cellStyle name="Normal 2 2 5" xfId="11525" xr:uid="{2C6DE29A-38EC-45BF-9095-E38A556FF380}"/>
    <cellStyle name="Normal 2 2_2013" xfId="11526" xr:uid="{85D51E11-A885-430A-B24E-2F2195C50786}"/>
    <cellStyle name="Normal 2 3" xfId="11527" xr:uid="{49D15FC1-24EF-49CF-A57B-CDD1018B5AA9}"/>
    <cellStyle name="Normal 2 4" xfId="11528" xr:uid="{8D8B2F17-B77D-40FE-B49B-B1E9E36FA6F3}"/>
    <cellStyle name="Normal 2_2013" xfId="11529" xr:uid="{8C0E9C6B-3739-4E5E-9D56-8B828947E22D}"/>
    <cellStyle name="Normal 20" xfId="11530" xr:uid="{BBF85F5F-003A-499C-B07C-E20561AD858B}"/>
    <cellStyle name="Normal 21" xfId="11531" xr:uid="{CA3A9C2E-EF3F-4B8E-9495-11242A326368}"/>
    <cellStyle name="Normal 22" xfId="11532" xr:uid="{C23AD9FB-8EAA-4C10-B54E-3EDA7F50AE27}"/>
    <cellStyle name="Normal 23" xfId="11533" xr:uid="{D76BB17E-1091-4C15-BF69-2CA06CB6182F}"/>
    <cellStyle name="Normal 24" xfId="11534" xr:uid="{CE7FE025-2CC2-4AAE-80F2-703D5EECE4F5}"/>
    <cellStyle name="Normal 25" xfId="11535" xr:uid="{903D8676-AF98-419F-9A6F-3C269B01FCA9}"/>
    <cellStyle name="Normal 26" xfId="11536" xr:uid="{C1EA2DEE-6ECA-4AD3-ABF4-145BD63FAE5F}"/>
    <cellStyle name="Normal 27" xfId="11537" xr:uid="{BE01D29F-2C2D-453A-8142-E03DAA896BF0}"/>
    <cellStyle name="Normal 28" xfId="11538" xr:uid="{09AC2CBB-D0A2-4276-9C4A-19ECD811D422}"/>
    <cellStyle name="Normal 29" xfId="11539" xr:uid="{31A2221C-736B-499C-9A58-2EF4F4933483}"/>
    <cellStyle name="Normal 3" xfId="11540" xr:uid="{E34843D2-38FF-4442-8522-BD09A1697539}"/>
    <cellStyle name="Normal 3 2" xfId="11541" xr:uid="{72BDC58B-CFC5-4CE2-B6DC-CF093700EE13}"/>
    <cellStyle name="Normal 3 2 2" xfId="11542" xr:uid="{393B5CC1-9561-48D6-9FD3-10EED3983137}"/>
    <cellStyle name="Normal 3 2 2 2" xfId="11543" xr:uid="{8514E1DA-77D2-4E2D-8883-01F2F0838057}"/>
    <cellStyle name="Normal 3 2 2_2013" xfId="11544" xr:uid="{9402C702-0FCC-4AF9-87B0-15D914BF84F9}"/>
    <cellStyle name="Normal 3 2 3" xfId="11545" xr:uid="{C7459358-CA32-48FC-BCE8-94630170101F}"/>
    <cellStyle name="Normal 3 2 4" xfId="11546" xr:uid="{2732893F-ABAB-4D7F-84FA-E7CE091DBA67}"/>
    <cellStyle name="Normal 3 2_2013" xfId="11547" xr:uid="{83926EED-E22E-4B09-9162-BD7AC22ADC26}"/>
    <cellStyle name="Normal 3 3" xfId="11548" xr:uid="{09D36DB4-FD4A-4061-82F7-04D08D2EA581}"/>
    <cellStyle name="Normal 3 4" xfId="11549" xr:uid="{58783A5F-D18F-4D43-B6D4-7289FDD09976}"/>
    <cellStyle name="Normal 3 4 2" xfId="11550" xr:uid="{BBC11A74-C871-4AF5-BB3D-D807FA0018C6}"/>
    <cellStyle name="Normal 3 4_2013" xfId="11551" xr:uid="{06C42D9F-90A6-4C07-B562-E58A8DCF9761}"/>
    <cellStyle name="Normal 3 5" xfId="11552" xr:uid="{D2853AD7-A1B4-4126-8C52-B9F075E66116}"/>
    <cellStyle name="Normal 3 6" xfId="11553" xr:uid="{655BFDF3-1F96-4364-B486-AEBD51A204A5}"/>
    <cellStyle name="Normal 3_2013" xfId="11554" xr:uid="{B5D6F7DA-6A00-4FF7-B53E-84E13BC8E9CC}"/>
    <cellStyle name="Normal 30" xfId="11555" xr:uid="{A2FF5DA9-2AE5-4A48-ABC8-660A6186F9CB}"/>
    <cellStyle name="Normal 31" xfId="11556" xr:uid="{07D534F6-19E4-4DB2-929B-6804C649433E}"/>
    <cellStyle name="Normal 32" xfId="11557" xr:uid="{1044FEB0-E8E1-410D-9494-E6B60AC5773A}"/>
    <cellStyle name="Normal 33" xfId="11558" xr:uid="{29D51063-8009-4507-8FD1-CADE5779D4FC}"/>
    <cellStyle name="Normal 34" xfId="11559" xr:uid="{2B92FABA-094A-4DC1-AC6F-8DC32E20CF1C}"/>
    <cellStyle name="Normal 35" xfId="11560" xr:uid="{D204068D-4484-4A60-883D-8CDD04550FEE}"/>
    <cellStyle name="Normal 36" xfId="11561" xr:uid="{3E3168FD-B495-4CC5-82DD-7EA541BE0751}"/>
    <cellStyle name="Normal 37" xfId="11562" xr:uid="{70C3B2B6-3B3B-40E8-8883-CBCEB91E51B1}"/>
    <cellStyle name="Normal 38" xfId="11563" xr:uid="{70B05DA2-5C34-4F72-A1D5-0EC505FC45E7}"/>
    <cellStyle name="Normal 39" xfId="11564" xr:uid="{1736AC72-6971-4A61-A15F-DB91F0C5617B}"/>
    <cellStyle name="Normal 4" xfId="11565" xr:uid="{65A625F5-1E67-4ECA-A909-D5CC8C45AEE1}"/>
    <cellStyle name="Normal 4 2" xfId="11566" xr:uid="{987782B5-1BFE-4AD8-8B6D-3000A0DF41EC}"/>
    <cellStyle name="Normal 4 2 2" xfId="11567" xr:uid="{9B5692ED-B0E0-4333-8D5F-4E42BA0BCD66}"/>
    <cellStyle name="Normal 4 2 3" xfId="11568" xr:uid="{C21B904C-48F2-43F0-86DD-3D1322E70957}"/>
    <cellStyle name="Normal 4 2_2013" xfId="11569" xr:uid="{21D20408-C1EE-47C3-AF24-F59E9B585A1D}"/>
    <cellStyle name="Normal 4 3" xfId="11570" xr:uid="{655BC470-F9A2-4799-9FBE-CBF47AC66E79}"/>
    <cellStyle name="Normal 4 3 2" xfId="11571" xr:uid="{1F05446A-DA50-492C-8BF1-BD435EA8D7CA}"/>
    <cellStyle name="Normal 4 3_2013" xfId="11572" xr:uid="{F107D811-7F94-4BB6-A75E-4E89D2417C6F}"/>
    <cellStyle name="Normal 4 4" xfId="11573" xr:uid="{3D15FD32-46C6-4A0A-89CD-6F8B00B09EF9}"/>
    <cellStyle name="Normal 4 5" xfId="11574" xr:uid="{DCFE1EC8-C734-4818-A10F-BB1D792C4D7F}"/>
    <cellStyle name="Normal 4 6" xfId="11575" xr:uid="{FE1AFCC6-241E-4CCB-B510-EF6555580C86}"/>
    <cellStyle name="Normal 4_13 Bud v 13 BP" xfId="11576" xr:uid="{D3E0B0B1-43D3-4581-844D-CE56977A95BD}"/>
    <cellStyle name="Normal 40" xfId="11577" xr:uid="{844FFA51-2F15-40FC-91D7-29104230FC31}"/>
    <cellStyle name="Normal 41" xfId="11578" xr:uid="{3854322E-5710-4275-A9E0-154518C88AFF}"/>
    <cellStyle name="Normal 42" xfId="11579" xr:uid="{4B09E39F-CA6C-4470-A35C-A46A1EB96606}"/>
    <cellStyle name="Normal 43" xfId="11580" xr:uid="{6D57A5AC-E309-48A3-A413-1FE42992CC2D}"/>
    <cellStyle name="Normal 44" xfId="11581" xr:uid="{73705403-2543-41E8-A012-23D1F794D31F}"/>
    <cellStyle name="Normal 45" xfId="11582" xr:uid="{E8E9D8EA-1551-4FBB-BCCD-90BA6CF0A8ED}"/>
    <cellStyle name="Normal 46" xfId="11583" xr:uid="{956D84EA-56CC-4182-AD11-362A1FA22515}"/>
    <cellStyle name="Normal 47" xfId="11584" xr:uid="{6A45780D-395F-417F-B674-E8C578702212}"/>
    <cellStyle name="Normal 48" xfId="19635" xr:uid="{BFA7068B-3228-457D-B32F-48A3C3957A81}"/>
    <cellStyle name="Normal 49" xfId="1" xr:uid="{BC63CB72-F826-4AB1-AB39-8DC6CA17C858}"/>
    <cellStyle name="Normal 5" xfId="11585" xr:uid="{64E7241E-ED00-4A08-8E7D-6CAFA59FFF42}"/>
    <cellStyle name="Normal 5 10" xfId="19637" xr:uid="{198A1824-D3F2-48DF-A54D-28A82E71855F}"/>
    <cellStyle name="Normal 5 2" xfId="11586" xr:uid="{59A7E4D5-688B-43CB-B5C3-E980D95EACB1}"/>
    <cellStyle name="Normal 5 2 2" xfId="11587" xr:uid="{62385B71-8BE4-4D6A-9C58-EA01DD73C4C3}"/>
    <cellStyle name="Normal 5 2_2013" xfId="11588" xr:uid="{AC4FBFE4-B4C4-4E27-9FE3-B949FA699C97}"/>
    <cellStyle name="Normal 5 3" xfId="11589" xr:uid="{D5B7AC8F-44FE-4069-AB17-9421C1AEF97F}"/>
    <cellStyle name="Normal 5 3 2" xfId="11590" xr:uid="{9FCEA0F7-79A5-4B6F-AFB8-CFCFC5D4EDBE}"/>
    <cellStyle name="Normal 5 3 2 2" xfId="11591" xr:uid="{B1250E87-36EC-427D-9689-46E941FCD494}"/>
    <cellStyle name="Normal 5 3 2 2 2" xfId="11592" xr:uid="{8D876F94-3126-4173-AFB6-E0D960D3D102}"/>
    <cellStyle name="Normal 5 3 2 2_2013" xfId="11593" xr:uid="{8C6B8DC9-025B-4FBC-A633-AC4AC13E5D5C}"/>
    <cellStyle name="Normal 5 3 2 3" xfId="11594" xr:uid="{F07F5005-0971-42FA-A826-87B98A90960C}"/>
    <cellStyle name="Normal 5 3 2_2013" xfId="11595" xr:uid="{BC960D2B-D1B6-489F-96DE-A54E15EC6A4F}"/>
    <cellStyle name="Normal 5 3 3" xfId="11596" xr:uid="{C2835DF4-430C-4A9E-96D5-792A530DBDEA}"/>
    <cellStyle name="Normal 5 3 3 2" xfId="11597" xr:uid="{3FD14176-5AD8-4CD6-AE24-11C7A0F7D04C}"/>
    <cellStyle name="Normal 5 3 3_2013" xfId="11598" xr:uid="{2E6BF534-AA0F-43E3-B0B4-0040BCF2F5C5}"/>
    <cellStyle name="Normal 5 3 4" xfId="11599" xr:uid="{6A855440-A29A-432A-9FA8-98F77319064E}"/>
    <cellStyle name="Normal 5 3 5" xfId="11600" xr:uid="{7832CF41-B7E8-404D-8DE6-ABC8D753277D}"/>
    <cellStyle name="Normal 5 3_2013" xfId="11601" xr:uid="{AE0250CD-D6AB-4E59-BD59-25A4E3C2676C}"/>
    <cellStyle name="Normal 5 4" xfId="11602" xr:uid="{F40DE86D-5F0D-449E-834B-E93B7A82C3B9}"/>
    <cellStyle name="Normal 5 4 2" xfId="11603" xr:uid="{6B5D6C0F-BE17-4BD9-9264-4F7A150302AB}"/>
    <cellStyle name="Normal 5 4 2 2" xfId="11604" xr:uid="{594E043F-FB73-4BD0-A158-86D51EC960FD}"/>
    <cellStyle name="Normal 5 4 2_2013" xfId="11605" xr:uid="{2B6158A7-7056-497D-ABFA-5EEA4976AE16}"/>
    <cellStyle name="Normal 5 4 3" xfId="11606" xr:uid="{2DAFD1C6-9F7A-497F-8943-2D1DCAFE6FBA}"/>
    <cellStyle name="Normal 5 4 4" xfId="11607" xr:uid="{B43B1FB6-E6E3-48DB-BC47-B1984C794DBA}"/>
    <cellStyle name="Normal 5 4_2013" xfId="11608" xr:uid="{A4A2C9F5-4B8A-47C3-B1D9-D7B9FFCF8311}"/>
    <cellStyle name="Normal 5 5" xfId="11609" xr:uid="{CFB7BE77-81C7-4E73-A9F7-A77C3E94BD21}"/>
    <cellStyle name="Normal 5 5 2" xfId="11610" xr:uid="{FBC2737A-4AE2-463E-BA01-29DBDB9BC1C6}"/>
    <cellStyle name="Normal 5 5_2013" xfId="11611" xr:uid="{F721E563-3476-4688-9F81-B322E8AF6234}"/>
    <cellStyle name="Normal 5 6" xfId="11612" xr:uid="{722399D1-0B60-4469-AFB4-3F7CA97D5A2D}"/>
    <cellStyle name="Normal 5 7" xfId="11613" xr:uid="{19F140B3-8CC1-4777-BD8A-6724B298C9FC}"/>
    <cellStyle name="Normal 5 8" xfId="11614" xr:uid="{E37C9ADE-2E33-423F-A9FA-19C9DE2A183A}"/>
    <cellStyle name="Normal 5_2013" xfId="11615" xr:uid="{F0FF1F5D-D94A-4976-9DE2-CC79372EB742}"/>
    <cellStyle name="Normal 50" xfId="19634" xr:uid="{8F8CE172-F778-4C40-8BE8-2B9A9C86CA84}"/>
    <cellStyle name="Normal 6" xfId="11616" xr:uid="{93E18D74-8BA7-47B1-AC19-45EB7A39A0A5}"/>
    <cellStyle name="Normal 6 2" xfId="11617" xr:uid="{2257A1F0-CADA-4A9F-87F6-C23009081E4D}"/>
    <cellStyle name="Normal 6 2 2" xfId="11618" xr:uid="{BDC97C80-4081-4151-88A4-804F7F73C5DE}"/>
    <cellStyle name="Normal 6 2 2 2" xfId="11619" xr:uid="{381CC0BC-F74D-4DA7-8BAC-74C3D3A85242}"/>
    <cellStyle name="Normal 6 2 2_2013" xfId="11620" xr:uid="{C3CC6FEF-5FCD-40B6-B891-AA5D64108659}"/>
    <cellStyle name="Normal 6 2_2013" xfId="11621" xr:uid="{2DCB07EF-00D6-4720-B5E9-531044D273F0}"/>
    <cellStyle name="Normal 6 3" xfId="11622" xr:uid="{E9A284C9-EDFE-4E52-937B-E6C83A2F3A80}"/>
    <cellStyle name="Normal 6 3 2" xfId="11623" xr:uid="{C89C0125-E7B5-48F7-88E4-B227D56621B9}"/>
    <cellStyle name="Normal 6 3 2 2" xfId="11624" xr:uid="{B178180E-56DD-449A-8674-BB6C781C11E4}"/>
    <cellStyle name="Normal 6 3 2_2013" xfId="11625" xr:uid="{5BA3DEA2-DC51-4322-A676-230EB1FCA4CB}"/>
    <cellStyle name="Normal 6 3 3" xfId="11626" xr:uid="{EBB4C9C2-E470-4E7E-B9D2-D049C5FF017D}"/>
    <cellStyle name="Normal 6 3_2013" xfId="11627" xr:uid="{77E17A72-F4D3-4820-8B6A-30D5081BEA57}"/>
    <cellStyle name="Normal 6 4" xfId="11628" xr:uid="{8E014DAB-28B3-477B-BF7C-68B8969347C0}"/>
    <cellStyle name="Normal 6 4 2" xfId="11629" xr:uid="{5C4D7EDE-5E64-4148-9AD4-063C874BBD69}"/>
    <cellStyle name="Normal 6 4 2 2" xfId="11630" xr:uid="{7AF63D2F-6C0A-4056-A24F-449096F4709F}"/>
    <cellStyle name="Normal 6 4 2 2 2" xfId="11631" xr:uid="{8AD8B3A2-1E71-4AC1-9851-65ED16B217DC}"/>
    <cellStyle name="Normal 6 4 2 2_2013" xfId="11632" xr:uid="{CA332D57-3FA0-47C5-9FFA-D3A051EA7307}"/>
    <cellStyle name="Normal 6 4 2 3" xfId="11633" xr:uid="{B88148D6-682B-49D5-9F6E-3772D7147D00}"/>
    <cellStyle name="Normal 6 4 2_2013" xfId="11634" xr:uid="{323419F3-278D-4A6E-B503-06F12BBC3321}"/>
    <cellStyle name="Normal 6 4 3" xfId="11635" xr:uid="{8889C91F-A058-48C2-9B2B-80C984D4BF83}"/>
    <cellStyle name="Normal 6 4 3 2" xfId="11636" xr:uid="{17E3515F-6CDB-4B10-A40B-543B9247C565}"/>
    <cellStyle name="Normal 6 4 3_2013" xfId="11637" xr:uid="{51FC2EB2-8F0B-45EF-A7B1-9B3F5516494E}"/>
    <cellStyle name="Normal 6 4 4" xfId="11638" xr:uid="{4810C066-5B70-4EC9-A493-6FB1AFFE8C6C}"/>
    <cellStyle name="Normal 6 4 5" xfId="11639" xr:uid="{40FA042E-23E6-4928-91D9-3E4F821F1016}"/>
    <cellStyle name="Normal 6 4_2013" xfId="11640" xr:uid="{CB0F5E3D-01E1-4DF4-BA18-37395277109E}"/>
    <cellStyle name="Normal 6 5" xfId="11641" xr:uid="{D69043B3-83F9-4BA8-AD58-F12C6CAE6A58}"/>
    <cellStyle name="Normal 6 5 2" xfId="11642" xr:uid="{02478216-751E-4180-8FF8-5CB1A4C87FC5}"/>
    <cellStyle name="Normal 6 5 2 2" xfId="11643" xr:uid="{66C3AC50-53CF-4D2B-8036-A53EDEAD21FC}"/>
    <cellStyle name="Normal 6 5 2_2013" xfId="11644" xr:uid="{69FBAFF8-EC0A-464E-A21D-A284BE2BC8D8}"/>
    <cellStyle name="Normal 6 5 3" xfId="11645" xr:uid="{F5FCD86F-9B30-4BA6-83B6-51EDF5DA06A4}"/>
    <cellStyle name="Normal 6 5_2013" xfId="11646" xr:uid="{FA93FA0B-EE5C-4E59-80A7-C9A5331CF7E5}"/>
    <cellStyle name="Normal 6 6" xfId="11647" xr:uid="{F1E99047-7F50-453E-A85C-F59E9DC4DD01}"/>
    <cellStyle name="Normal 6 6 2" xfId="11648" xr:uid="{E6746B70-345B-417C-B8C7-9033437337CF}"/>
    <cellStyle name="Normal 6 6_2013" xfId="11649" xr:uid="{E64B1B82-FDF3-4507-BBB8-EB9A0ADFA0C3}"/>
    <cellStyle name="Normal 6 7" xfId="11650" xr:uid="{F59D6826-EF9D-4B9A-A195-CD6A507293C9}"/>
    <cellStyle name="Normal 6 8" xfId="11651" xr:uid="{0A1ADB8D-DAC7-44D5-AAB6-42FE27307A24}"/>
    <cellStyle name="Normal 6_2013" xfId="11652" xr:uid="{8DA8A0EE-F232-43B8-9DE1-6D9A70AFA349}"/>
    <cellStyle name="Normal 7" xfId="11653" xr:uid="{689DA6BB-64E0-4D4E-A4F4-B87CCE1A96EE}"/>
    <cellStyle name="Normal 7 2" xfId="11654" xr:uid="{AA750D1A-52AA-4B9B-A761-FF2FB1FC7709}"/>
    <cellStyle name="Normal 7_2013" xfId="11655" xr:uid="{86AF1522-DC03-44DC-8703-FF75B9523D1A}"/>
    <cellStyle name="Normal 70" xfId="19636" xr:uid="{D8B1740A-14B0-4852-A129-50448B5629B4}"/>
    <cellStyle name="Normal 8" xfId="11656" xr:uid="{53A1DFA1-4F90-46E2-B70F-877999FE2DC8}"/>
    <cellStyle name="Normal 8 2" xfId="11657" xr:uid="{A3523D54-0E0C-4EDF-9838-4BC1CDD84E9E}"/>
    <cellStyle name="Normal 8 3" xfId="11658" xr:uid="{245A2D98-585A-4EE7-97CE-21394F34ED32}"/>
    <cellStyle name="Normal 8 3 2" xfId="11659" xr:uid="{859740DE-A98C-4A34-88B8-6404C2FEBDFF}"/>
    <cellStyle name="Normal 8 3_2013" xfId="11660" xr:uid="{D1AF352E-5BDC-4CE8-AB57-9F6DEE0E7492}"/>
    <cellStyle name="Normal 8 4" xfId="11661" xr:uid="{DF889E42-5823-47B5-8E41-4C9284E43357}"/>
    <cellStyle name="Normal 8 4 2" xfId="11662" xr:uid="{FC215326-D0F9-4DF4-BEC8-E8052ACB37E2}"/>
    <cellStyle name="Normal 8 4 2 2" xfId="11663" xr:uid="{3CA9ECB3-1EA8-4AF2-BA93-0E4DF84C09D6}"/>
    <cellStyle name="Normal 8 4 2 2 2" xfId="11664" xr:uid="{879D56AA-431E-4BBC-BE0D-2FB72D3F5678}"/>
    <cellStyle name="Normal 8 4 2 2_2013" xfId="11665" xr:uid="{BD1FDC4B-E5E4-4390-8D20-F34F1E20F05D}"/>
    <cellStyle name="Normal 8 4 2 3" xfId="11666" xr:uid="{4107D851-D3F7-4815-B31A-208BD11AC8D4}"/>
    <cellStyle name="Normal 8 4 2_2013" xfId="11667" xr:uid="{90BDA8AB-594D-4C00-A4BE-BF7818DD837F}"/>
    <cellStyle name="Normal 8 4 3" xfId="11668" xr:uid="{F97A98C3-5FA5-4B95-BF0A-1538140D539E}"/>
    <cellStyle name="Normal 8 4 3 2" xfId="11669" xr:uid="{B2A2796A-A4EC-452D-A798-CD74C28CFB54}"/>
    <cellStyle name="Normal 8 4 3_2013" xfId="11670" xr:uid="{86336D40-9D0E-4730-AD61-54468ABC6EE9}"/>
    <cellStyle name="Normal 8 4 4" xfId="11671" xr:uid="{2088FAE1-DF88-47BF-B049-32A1528342DE}"/>
    <cellStyle name="Normal 8 4 5" xfId="11672" xr:uid="{4379A140-64D7-48A8-AFFD-13BDDC11E9A3}"/>
    <cellStyle name="Normal 8 4_2013" xfId="11673" xr:uid="{FABD1ED1-4515-4ABF-913C-3B79C256DD0A}"/>
    <cellStyle name="Normal 8 5" xfId="11674" xr:uid="{D3DA39B6-9C52-4B73-8270-E5079746B04F}"/>
    <cellStyle name="Normal 8 5 2" xfId="11675" xr:uid="{95F3C3E3-BFCB-47D1-A9DC-F0B9654522B2}"/>
    <cellStyle name="Normal 8 5 2 2" xfId="11676" xr:uid="{44B86A57-D36E-4EE1-BB47-71728F82536A}"/>
    <cellStyle name="Normal 8 5 2_2013" xfId="11677" xr:uid="{680622DA-2992-4BB7-988E-9A37FAD62D97}"/>
    <cellStyle name="Normal 8 5 3" xfId="11678" xr:uid="{FFECD60C-F578-4033-BC71-7D7BB77B9E4D}"/>
    <cellStyle name="Normal 8 5_2013" xfId="11679" xr:uid="{8C3E1891-0631-4C4E-930A-94404D0629C2}"/>
    <cellStyle name="Normal 8 6" xfId="11680" xr:uid="{BB1926B0-DC67-41C4-B6C2-861DBD8C676E}"/>
    <cellStyle name="Normal 8 6 2" xfId="11681" xr:uid="{9C360024-2CD3-4C40-9503-B45CFF4E06BF}"/>
    <cellStyle name="Normal 8 6_2013" xfId="11682" xr:uid="{2BF437A4-525F-475B-8287-82BFE21E9589}"/>
    <cellStyle name="Normal 8 7" xfId="11683" xr:uid="{3B231E7F-C1C7-4693-8C81-04D34E350986}"/>
    <cellStyle name="Normal 8 8" xfId="11684" xr:uid="{BF45D0FC-2738-4965-95F6-414953B3323F}"/>
    <cellStyle name="Normal 8 9" xfId="11685" xr:uid="{A471F788-0727-42E1-9CC6-7D3595F5C4A9}"/>
    <cellStyle name="Normal 8_2013" xfId="11686" xr:uid="{AE5805EF-E27A-4317-97AE-6AFB9B0BFB29}"/>
    <cellStyle name="Normal 9" xfId="11687" xr:uid="{CCB0E5D4-724A-49C9-B45B-BC4738D27741}"/>
    <cellStyle name="Normal 9 2" xfId="11688" xr:uid="{23E415D8-57D1-41E0-BA6B-D867CF8C5649}"/>
    <cellStyle name="Normal 9 3" xfId="11689" xr:uid="{938FF2E7-658E-463E-9267-F8182E872A40}"/>
    <cellStyle name="Normal 9 4" xfId="11690" xr:uid="{1A9F4E88-2179-4B4E-B069-F9F38F5BD90C}"/>
    <cellStyle name="Normal 9 4 2" xfId="11691" xr:uid="{A4B229AB-0365-4F58-B613-BFE0CF57F672}"/>
    <cellStyle name="Normal 9 4 2 2" xfId="11692" xr:uid="{82927ED7-EFF3-4469-B1D0-8A462AF4910B}"/>
    <cellStyle name="Normal 9 4 2 2 2" xfId="11693" xr:uid="{56477DFA-C8D3-4EF1-BEA5-793098EF8307}"/>
    <cellStyle name="Normal 9 4 2 2_2013" xfId="11694" xr:uid="{21D17A44-D5AD-4FC2-B7D7-CC0DCE17B5ED}"/>
    <cellStyle name="Normal 9 4 2 3" xfId="11695" xr:uid="{926EF56F-AF47-4C46-B169-453AEA78EF1F}"/>
    <cellStyle name="Normal 9 4 2_2013" xfId="11696" xr:uid="{8E46BBFD-97E9-402F-A8DF-E0950D1D265C}"/>
    <cellStyle name="Normal 9 4 3" xfId="11697" xr:uid="{91BF77A9-B9EA-443D-84C6-21CE6806CF54}"/>
    <cellStyle name="Normal 9 4 3 2" xfId="11698" xr:uid="{B5C963E3-EED9-4BAE-AF99-FF51E39819C0}"/>
    <cellStyle name="Normal 9 4 3_2013" xfId="11699" xr:uid="{1572ED00-8313-4110-8EB2-E131FBCC37B2}"/>
    <cellStyle name="Normal 9 4 4" xfId="11700" xr:uid="{4C8AD6F8-28D3-44BE-AB3B-4BFD7037D994}"/>
    <cellStyle name="Normal 9 4_2013" xfId="11701" xr:uid="{8A85B224-A939-4166-84DC-161D16F4B818}"/>
    <cellStyle name="Normal 9 5" xfId="11702" xr:uid="{C7029F57-058F-4AD4-9305-23875A623B90}"/>
    <cellStyle name="Normal 9 5 2" xfId="11703" xr:uid="{38F089E2-5223-4F2E-A13D-AFFBD9381605}"/>
    <cellStyle name="Normal 9 5 2 2" xfId="11704" xr:uid="{1BCBF55B-7491-4E3F-94C1-08B75A92EF22}"/>
    <cellStyle name="Normal 9 5 2_2013" xfId="11705" xr:uid="{2EA6FDD2-C5DA-44EA-8D84-ECD96FA0C232}"/>
    <cellStyle name="Normal 9 5 3" xfId="11706" xr:uid="{502E4A5A-50C9-4FA8-BE2E-183EA0BF424D}"/>
    <cellStyle name="Normal 9 5_2013" xfId="11707" xr:uid="{FE3AD3E0-475D-4364-AAD8-9BE6D1AF5068}"/>
    <cellStyle name="Normal 9 6" xfId="11708" xr:uid="{F946B981-D056-427D-B65C-26F6D8FAFE7B}"/>
    <cellStyle name="Normal 9_2013" xfId="11709" xr:uid="{BA5F652B-FA00-46F5-ADE6-16B86B434F22}"/>
    <cellStyle name="Normale_conto economico mensile 2004" xfId="11710" xr:uid="{3B683634-BEF2-4D29-A5AC-D92FF047E165}"/>
    <cellStyle name="Normallocked" xfId="11711" xr:uid="{290B8A8E-C727-4385-B873-FE673B2FA30C}"/>
    <cellStyle name="Normallocked 2" xfId="11712" xr:uid="{5C8F2A01-6F68-40A9-ACAD-D3CEF2AFD8F2}"/>
    <cellStyle name="Normallocked_2013" xfId="11713" xr:uid="{475A2644-4D31-4357-8A21-44592ACAA36C}"/>
    <cellStyle name="Nota" xfId="11714" xr:uid="{7BBAF479-5B06-44A2-87A1-D78CA2C254E5}"/>
    <cellStyle name="Nota 10" xfId="11715" xr:uid="{C1B16AED-D7E5-4BAE-92B9-C2CB4A641F86}"/>
    <cellStyle name="Nota 11" xfId="11716" xr:uid="{DB9ABCC1-E87C-4545-8ABC-8B4837E8D1A8}"/>
    <cellStyle name="Nota 12" xfId="11717" xr:uid="{826E0EB4-9D0E-499A-A9AD-9D9554C80EC1}"/>
    <cellStyle name="Nota 2" xfId="11718" xr:uid="{FD3305E5-4C99-4628-AEF5-0915BEBCD2D1}"/>
    <cellStyle name="Nota 2 10" xfId="11719" xr:uid="{70BAE999-57BB-4848-A5A0-F67F591A0C9E}"/>
    <cellStyle name="Nota 2 11" xfId="11720" xr:uid="{4B64A99F-80F2-486A-8421-0230EBF6722F}"/>
    <cellStyle name="Nota 2 2" xfId="11721" xr:uid="{5916602E-20AD-4ACD-A0F1-9100341CB434}"/>
    <cellStyle name="Nota 2 3" xfId="11722" xr:uid="{6B587CE1-CED7-4BF4-AA23-7B817ECC7FC0}"/>
    <cellStyle name="Nota 2 4" xfId="11723" xr:uid="{C7A648B6-397A-4756-A9AC-12B3E00BBA3C}"/>
    <cellStyle name="Nota 2 5" xfId="11724" xr:uid="{ADDBD6B8-ADD2-4E60-8429-4C064F4FEB86}"/>
    <cellStyle name="Nota 2 6" xfId="11725" xr:uid="{6BAEB394-08F3-4A31-BC2F-B09F01981118}"/>
    <cellStyle name="Nota 2 7" xfId="11726" xr:uid="{6B3AD068-C55B-403E-9DFD-473B39DC1B44}"/>
    <cellStyle name="Nota 2 8" xfId="11727" xr:uid="{24BB0EFA-B670-4541-BDE2-9A743EE8602F}"/>
    <cellStyle name="Nota 2 9" xfId="11728" xr:uid="{79FD94A2-CD4B-4148-BB16-7CAEEECD6194}"/>
    <cellStyle name="Nota 2_2013" xfId="11729" xr:uid="{163FCE28-B403-428B-87D1-EE9C0B27E6C9}"/>
    <cellStyle name="Nota 3" xfId="11730" xr:uid="{6BDA2A0E-B6BF-425D-B9F7-A15671121CBD}"/>
    <cellStyle name="Nota 4" xfId="11731" xr:uid="{F06AE73A-9A48-4A30-8A2C-0D1540358E3B}"/>
    <cellStyle name="Nota 5" xfId="11732" xr:uid="{CC268962-4CFA-4186-A284-BE4446E72161}"/>
    <cellStyle name="Nota 6" xfId="11733" xr:uid="{DB84A71A-0DFD-4D3A-BC7A-EA2B3E28369F}"/>
    <cellStyle name="Nota 7" xfId="11734" xr:uid="{0CF3D6EB-74EB-43EB-BF4C-A1C3C3F7425C}"/>
    <cellStyle name="Nota 8" xfId="11735" xr:uid="{33649C8D-6ACD-4FD7-B9BD-7B15F39A26A5}"/>
    <cellStyle name="Nota 9" xfId="11736" xr:uid="{CFF59640-17AE-4847-B35A-D73806FB8A59}"/>
    <cellStyle name="Nota_2013" xfId="11737" xr:uid="{59F3883F-2CB4-488A-AABA-4E245D8F13D3}"/>
    <cellStyle name="Note 10" xfId="11738" xr:uid="{6B8ADEA0-03A1-492F-A354-B72D18849688}"/>
    <cellStyle name="Note 11" xfId="11739" xr:uid="{826DD799-44D3-40D1-8CB3-5C55859274E1}"/>
    <cellStyle name="Note 12" xfId="11740" xr:uid="{E717F67E-F400-47F9-A7B3-1D85D296F3EF}"/>
    <cellStyle name="Note 13" xfId="11741" xr:uid="{553B1328-EAC3-48B3-99E6-0D97E02A2E9C}"/>
    <cellStyle name="Note 2" xfId="11742" xr:uid="{7CFF2449-2A54-4BB5-9A46-84341B0236B3}"/>
    <cellStyle name="Note 2 10" xfId="11743" xr:uid="{E52C7AC8-8E0B-4F09-9FA8-85DE9523ADA6}"/>
    <cellStyle name="Note 2 11" xfId="11744" xr:uid="{8501C621-9E86-4875-A18B-E7C6604E6458}"/>
    <cellStyle name="Note 2 12" xfId="11745" xr:uid="{86007CC9-235D-47BC-9CF9-3DB6EAC20BA2}"/>
    <cellStyle name="Note 2 2" xfId="11746" xr:uid="{B44D3152-F902-4C0D-9B92-FEB2FBB64DEB}"/>
    <cellStyle name="Note 2 2 10" xfId="11747" xr:uid="{3B4D93D0-4F65-41FB-8964-DA3010533299}"/>
    <cellStyle name="Note 2 2 11" xfId="11748" xr:uid="{AB4C1F91-4EFF-4C3A-8E5F-34927C2B2E75}"/>
    <cellStyle name="Note 2 2 2" xfId="11749" xr:uid="{73AD3299-2A8B-4907-913C-A086169ADB98}"/>
    <cellStyle name="Note 2 2 3" xfId="11750" xr:uid="{C3B47105-6D0E-47F1-96ED-4F6F12C02B84}"/>
    <cellStyle name="Note 2 2 4" xfId="11751" xr:uid="{4F96FF05-6550-4E30-A031-0C0767B3A5C0}"/>
    <cellStyle name="Note 2 2 5" xfId="11752" xr:uid="{AB991BCD-5671-4B64-9678-D648D72168A3}"/>
    <cellStyle name="Note 2 2 6" xfId="11753" xr:uid="{38605CD8-94D8-48B7-B6AC-5D6F4D89357F}"/>
    <cellStyle name="Note 2 2 7" xfId="11754" xr:uid="{5374D617-7BF2-43F3-BDD6-FF93F68E068E}"/>
    <cellStyle name="Note 2 2 8" xfId="11755" xr:uid="{FE53AF66-5640-4A3E-87A2-C1DFBE6126C4}"/>
    <cellStyle name="Note 2 2 9" xfId="11756" xr:uid="{E9559582-A58F-4CD0-A740-888B20AE1E04}"/>
    <cellStyle name="Note 2 2_2013" xfId="11757" xr:uid="{B2784FCE-E5B4-47D3-BDBF-5BA3458D54A5}"/>
    <cellStyle name="Note 2 3" xfId="11758" xr:uid="{19ED507C-343F-424A-979E-CEC00364EE68}"/>
    <cellStyle name="Note 2 3 2" xfId="11759" xr:uid="{54292023-3153-4507-9056-BF042B57C213}"/>
    <cellStyle name="Note 2 3_2013" xfId="11760" xr:uid="{8271CD4D-62B8-4C4F-8FA3-E8F7A503844A}"/>
    <cellStyle name="Note 2 4" xfId="11761" xr:uid="{CFE4C159-6B87-42EC-BDE7-D682BDC35552}"/>
    <cellStyle name="Note 2 4 2" xfId="11762" xr:uid="{BA69EE78-623C-480A-9C84-9794B3A9B1DB}"/>
    <cellStyle name="Note 2 4_2013" xfId="11763" xr:uid="{891B8291-AF8A-406B-B70A-22364025BF9C}"/>
    <cellStyle name="Note 2 5" xfId="11764" xr:uid="{384374D8-DFBF-4C6E-A90B-1C585F1B7747}"/>
    <cellStyle name="Note 2 6" xfId="11765" xr:uid="{7E714F6F-7751-42F5-8593-582C45A44E5D}"/>
    <cellStyle name="Note 2 7" xfId="11766" xr:uid="{5DCAC834-9C5F-4A4F-950A-AA06453A0598}"/>
    <cellStyle name="Note 2 8" xfId="11767" xr:uid="{4DD8C544-69EA-464A-81E1-8EA8505A1B35}"/>
    <cellStyle name="Note 2 9" xfId="11768" xr:uid="{1AE492F1-48AA-43C9-8E1F-68C170B56908}"/>
    <cellStyle name="Note 2_2013" xfId="11769" xr:uid="{D21F6935-C5B9-4198-A4C3-98DA75F200C3}"/>
    <cellStyle name="Note 3" xfId="11770" xr:uid="{FB089E01-23C0-41EF-9D02-D7643FBB56E3}"/>
    <cellStyle name="Note 3 10" xfId="11771" xr:uid="{34BBF3F7-3F87-4E98-8542-CABF5552791B}"/>
    <cellStyle name="Note 3 11" xfId="11772" xr:uid="{7E1F108E-1E04-4B5F-B4F9-2FAC0C75AEBC}"/>
    <cellStyle name="Note 3 12" xfId="11773" xr:uid="{93790649-1DD5-4B0D-9D13-A9A690157001}"/>
    <cellStyle name="Note 3 2" xfId="11774" xr:uid="{50222A2F-013F-4CF2-9845-361AB8340B5B}"/>
    <cellStyle name="Note 3 2 2" xfId="11775" xr:uid="{02F42CDD-7A81-4287-8C73-DEB56845895F}"/>
    <cellStyle name="Note 3 2 3" xfId="11776" xr:uid="{A7B1C44E-20D4-45FD-A36F-FC913C628158}"/>
    <cellStyle name="Note 3 2 4" xfId="11777" xr:uid="{E6446DD2-A2C7-4981-BC30-0343834F7972}"/>
    <cellStyle name="Note 3 2_2013" xfId="11778" xr:uid="{E3F08798-77D5-4630-9AC1-E669FCB07B1F}"/>
    <cellStyle name="Note 3 3" xfId="11779" xr:uid="{C76BC22D-A791-4F50-8F91-A6A1BF6CAAA5}"/>
    <cellStyle name="Note 3 3 2" xfId="11780" xr:uid="{FDA05529-F431-4DE1-BD57-EE3D56975E64}"/>
    <cellStyle name="Note 3 3_2013" xfId="11781" xr:uid="{26E90BD8-9DEB-468C-A493-9164376910B2}"/>
    <cellStyle name="Note 3 4" xfId="11782" xr:uid="{E9B916D2-FD7F-4DA4-B926-0BB801FB26CD}"/>
    <cellStyle name="Note 3 4 2" xfId="11783" xr:uid="{A31D86D1-12E6-4CA0-B405-A9E76C9E9CD8}"/>
    <cellStyle name="Note 3 4_2013" xfId="11784" xr:uid="{72961EDA-1797-4AC6-9012-14D02BDBD9BD}"/>
    <cellStyle name="Note 3 5" xfId="11785" xr:uid="{4AEBED14-86F8-47A0-8D1A-D4C1E69DD5FB}"/>
    <cellStyle name="Note 3 6" xfId="11786" xr:uid="{BEB49779-6726-465C-807D-2C2933DC51C5}"/>
    <cellStyle name="Note 3 7" xfId="11787" xr:uid="{B61444C1-FD7C-4E56-A11C-631122E7A75D}"/>
    <cellStyle name="Note 3 8" xfId="11788" xr:uid="{D1FCFAA9-88D2-4282-B8B8-729292EE0613}"/>
    <cellStyle name="Note 3 9" xfId="11789" xr:uid="{BD82618A-BE39-4ABD-A188-ACDB6FBEB234}"/>
    <cellStyle name="Note 3_2013" xfId="11790" xr:uid="{10968858-8462-4D44-A972-ABF7EAE69699}"/>
    <cellStyle name="Note 4" xfId="11791" xr:uid="{1EFE7C02-5384-486F-96C7-C7E5D39C208E}"/>
    <cellStyle name="Note 4 10" xfId="11792" xr:uid="{6EB3CF82-582C-4A9C-A0BD-581FBA8BA938}"/>
    <cellStyle name="Note 4 11" xfId="11793" xr:uid="{90A2D982-5F28-4B4F-8012-4C886FCB9DAB}"/>
    <cellStyle name="Note 4 12" xfId="11794" xr:uid="{6C59825B-3E62-4DC5-9C7B-E1501D269019}"/>
    <cellStyle name="Note 4 13" xfId="11795" xr:uid="{3D7469D4-C141-4042-AA3C-18F73B70D511}"/>
    <cellStyle name="Note 4 2" xfId="11796" xr:uid="{9CB741B5-A810-4D02-AAE4-D4661FEC7A61}"/>
    <cellStyle name="Note 4 2 2" xfId="11797" xr:uid="{801494FD-22BF-4DF9-B9D4-48483A4D79DB}"/>
    <cellStyle name="Note 4 2 3" xfId="11798" xr:uid="{C33CE2B5-AC31-4B5B-824A-95AF76440A27}"/>
    <cellStyle name="Note 4 2 4" xfId="11799" xr:uid="{2C768838-329B-4079-BF38-4AEF488A4237}"/>
    <cellStyle name="Note 4 2_2013" xfId="11800" xr:uid="{26B486D6-BEA9-4EBD-A8DD-AA4D2C5B84F3}"/>
    <cellStyle name="Note 4 3" xfId="11801" xr:uid="{BF990CB9-BA11-47E4-A6FC-B60C01236220}"/>
    <cellStyle name="Note 4 3 2" xfId="11802" xr:uid="{08555BBE-D95C-475F-94CE-20B6B353D4C5}"/>
    <cellStyle name="Note 4 3_2013" xfId="11803" xr:uid="{D29747E4-CABE-499E-8C5A-9D0347AA9E9C}"/>
    <cellStyle name="Note 4 4" xfId="11804" xr:uid="{84A729DA-8F49-4C7C-B4D1-204B206592A7}"/>
    <cellStyle name="Note 4 5" xfId="11805" xr:uid="{A3D63794-649B-40D4-81A0-339596F06F07}"/>
    <cellStyle name="Note 4 6" xfId="11806" xr:uid="{94012071-0C7C-4070-A388-6754EF38A237}"/>
    <cellStyle name="Note 4 7" xfId="11807" xr:uid="{D52F437A-01BB-404A-B6F1-98A24EBFFA3B}"/>
    <cellStyle name="Note 4 8" xfId="11808" xr:uid="{0356F0C0-7B58-423F-9258-DC3190A932A1}"/>
    <cellStyle name="Note 4 9" xfId="11809" xr:uid="{BC8DB949-3A72-4E0F-A2A7-70D7118256C3}"/>
    <cellStyle name="Note 4_2013" xfId="11810" xr:uid="{7EF7FFD8-D678-4E2C-895B-6BA7263AB83E}"/>
    <cellStyle name="Note 5" xfId="11811" xr:uid="{2110210B-FEC5-4E62-9FF9-B60E4428240C}"/>
    <cellStyle name="Note 5 2" xfId="11812" xr:uid="{FB4A8C5D-F283-44E6-B13F-CE88EF8859CD}"/>
    <cellStyle name="Note 5 3" xfId="11813" xr:uid="{C2681A0A-5485-46C1-8534-CD3ECFC7C504}"/>
    <cellStyle name="Note 5_2013" xfId="11814" xr:uid="{12F4B2CC-5D61-4107-9C90-16FB779C55A7}"/>
    <cellStyle name="Note 6" xfId="11815" xr:uid="{EA8ED9F1-F44E-47DF-A98F-25D50E3CDCA9}"/>
    <cellStyle name="Note 6 2" xfId="11816" xr:uid="{FDB51936-6393-467E-8766-84AE41CDDCB3}"/>
    <cellStyle name="Note 6 2 2" xfId="11817" xr:uid="{6A85F59A-494E-4142-B601-117C131D60D4}"/>
    <cellStyle name="Note 6 2_2013" xfId="11818" xr:uid="{3A0B382D-C20B-4E1A-A312-6A4A2142EF51}"/>
    <cellStyle name="Note 6 3" xfId="11819" xr:uid="{5EA2DA9C-DB28-4EED-B10B-E173252A4F3C}"/>
    <cellStyle name="Note 6 4" xfId="11820" xr:uid="{630B45C1-883F-42D6-971B-BE0AFAA0F41C}"/>
    <cellStyle name="Note 6_2013" xfId="11821" xr:uid="{EEC2876E-2230-4D56-9579-B18F587DB9E6}"/>
    <cellStyle name="Note 7" xfId="11822" xr:uid="{679D3A93-7B14-431A-A872-8A288E23B338}"/>
    <cellStyle name="Note 7 2" xfId="11823" xr:uid="{9CA624ED-10AD-4874-AC72-C3D06CB01C8D}"/>
    <cellStyle name="Note 7 2 2" xfId="11824" xr:uid="{B8E507C6-94B3-4CBA-B1B5-CF4132BE4890}"/>
    <cellStyle name="Note 7 2_2013" xfId="11825" xr:uid="{57CF250F-1B23-43A8-A141-ABAD908939AC}"/>
    <cellStyle name="Note 7 3" xfId="11826" xr:uid="{3240205D-633D-4A1D-AA76-705EF857B806}"/>
    <cellStyle name="Note 7 4" xfId="11827" xr:uid="{4BC6E779-03A2-4433-97D4-8F9D4639C2AB}"/>
    <cellStyle name="Note 7_2013" xfId="11828" xr:uid="{17B747F2-80A4-4E80-9E57-B6248860FE3F}"/>
    <cellStyle name="Note 8" xfId="11829" xr:uid="{CCC3F853-4054-40F1-A11F-E5B29EDE61D4}"/>
    <cellStyle name="Note 9" xfId="11830" xr:uid="{B90C5167-732F-4052-8B9D-99D3A9278A52}"/>
    <cellStyle name="Note 9 2" xfId="11831" xr:uid="{42C3C8E6-1975-42AB-BD5A-67CA9681D34A}"/>
    <cellStyle name="Note 9 3" xfId="11832" xr:uid="{3A7CD50E-FAE2-4627-9C88-06EBAE975C8A}"/>
    <cellStyle name="Note 9_2013" xfId="11833" xr:uid="{71898735-CA42-4EA2-91F8-FC559B1CAF3A}"/>
    <cellStyle name="Notiz" xfId="11834" xr:uid="{EA74EDC1-FB72-4034-8361-C30E23E28811}"/>
    <cellStyle name="Notiz 10" xfId="11835" xr:uid="{DE7A4415-43FE-4C5F-8923-CBB8DDA56CE7}"/>
    <cellStyle name="Notiz 11" xfId="11836" xr:uid="{2B31BE6E-007E-49A0-A295-6729EDDDAB1D}"/>
    <cellStyle name="Notiz 12" xfId="11837" xr:uid="{F0B943B7-83B9-48FF-8348-22B65F63AFD6}"/>
    <cellStyle name="Notiz 13" xfId="11838" xr:uid="{8171D5DD-0621-4DF0-A620-85F668FA9260}"/>
    <cellStyle name="Notiz 14" xfId="11839" xr:uid="{6FE7EA38-C0CC-4644-969F-C4B687B5F280}"/>
    <cellStyle name="Notiz 2" xfId="11840" xr:uid="{5995E580-BC4A-4527-9DE7-CDAB26A1AF16}"/>
    <cellStyle name="Notiz 2 10" xfId="11841" xr:uid="{2B07B6DA-8AF6-4AE8-99E6-724328DAAEE7}"/>
    <cellStyle name="Notiz 2 11" xfId="11842" xr:uid="{1E7382BD-4536-4255-9229-2CD5D13513DA}"/>
    <cellStyle name="Notiz 2 2" xfId="11843" xr:uid="{B7B8312D-2ED0-4324-A4A4-E50307EF6441}"/>
    <cellStyle name="Notiz 2 3" xfId="11844" xr:uid="{A5CA4EBA-B575-463A-8F54-A25EE54DF13D}"/>
    <cellStyle name="Notiz 2 4" xfId="11845" xr:uid="{642634EB-D61A-447A-A90C-1685CCC84802}"/>
    <cellStyle name="Notiz 2 5" xfId="11846" xr:uid="{70255FDD-E0E3-4224-A4B1-49E873AC7C9F}"/>
    <cellStyle name="Notiz 2 6" xfId="11847" xr:uid="{B1E1097A-8541-4F20-861B-4066D56FDCC4}"/>
    <cellStyle name="Notiz 2 7" xfId="11848" xr:uid="{E8A25927-327E-4345-B0B7-8AE8C0135EE1}"/>
    <cellStyle name="Notiz 2 8" xfId="11849" xr:uid="{4CDA37AA-F907-4D04-8CB7-101B43F5B965}"/>
    <cellStyle name="Notiz 2 9" xfId="11850" xr:uid="{E5F57C55-6DF2-4190-9177-6764CD5FDBAA}"/>
    <cellStyle name="Notiz 2_2013" xfId="11851" xr:uid="{13E1FC68-54E0-41FF-B2C8-80868FA0B5BC}"/>
    <cellStyle name="Notiz 3" xfId="11852" xr:uid="{DCD24487-D8B8-4720-A0EE-F1D7A2A6E80C}"/>
    <cellStyle name="Notiz 3 10" xfId="11853" xr:uid="{E203015D-CEC3-44F3-A2DF-79E1B1969CFC}"/>
    <cellStyle name="Notiz 3 11" xfId="11854" xr:uid="{B49F3A93-157E-4419-A442-32D37BDD60BF}"/>
    <cellStyle name="Notiz 3 2" xfId="11855" xr:uid="{F2E5F2EC-6118-4EA9-AF33-65854C4FFD0F}"/>
    <cellStyle name="Notiz 3 3" xfId="11856" xr:uid="{D079BC30-2884-432C-B544-F959489BB218}"/>
    <cellStyle name="Notiz 3 4" xfId="11857" xr:uid="{0D7F1F15-5E42-43C5-8C52-C55A58AE96F4}"/>
    <cellStyle name="Notiz 3 5" xfId="11858" xr:uid="{2D9A8491-F19C-460A-9C1C-E310B1DF033B}"/>
    <cellStyle name="Notiz 3 6" xfId="11859" xr:uid="{D31AE096-60DB-4FE3-B4A3-F048F2E5D5DF}"/>
    <cellStyle name="Notiz 3 7" xfId="11860" xr:uid="{3001F9B0-80A7-4CAC-BBAC-36B6CE4981FD}"/>
    <cellStyle name="Notiz 3 8" xfId="11861" xr:uid="{A777B9BB-A3CB-4CBA-800B-A637EE4D7ACA}"/>
    <cellStyle name="Notiz 3 9" xfId="11862" xr:uid="{F5943631-CD9B-484D-BAF8-ECA401B7EF27}"/>
    <cellStyle name="Notiz 3_2013" xfId="11863" xr:uid="{7B887451-02BF-48F2-B7A5-EC73A26401D3}"/>
    <cellStyle name="Notiz 4" xfId="11864" xr:uid="{E702826C-72E2-4A03-83D6-7F02FA56A301}"/>
    <cellStyle name="Notiz 5" xfId="11865" xr:uid="{B02073B8-C85D-4741-80A1-DCAD86DA732D}"/>
    <cellStyle name="Notiz 6" xfId="11866" xr:uid="{0AC39B00-407F-4EA7-B835-1362CFF23CE3}"/>
    <cellStyle name="Notiz 7" xfId="11867" xr:uid="{EA5B7089-9652-4D1A-91EB-8B6F37AC1AD7}"/>
    <cellStyle name="Notiz 8" xfId="11868" xr:uid="{288303B0-E214-4B36-A340-E66684AAF506}"/>
    <cellStyle name="Notiz 9" xfId="11869" xr:uid="{702ABC40-C542-4AD3-8F32-B53DD8125375}"/>
    <cellStyle name="Notiz_2013" xfId="11870" xr:uid="{74B9C639-4162-4EC6-A0BF-20EA4908341E}"/>
    <cellStyle name="omitted" xfId="11871" xr:uid="{4AA7E0E5-2A06-4ED3-9C70-941B00488EC7}"/>
    <cellStyle name="Otsikko" xfId="11872" xr:uid="{A6CF67FF-6F6E-47E3-93B9-91CC56CC810F}"/>
    <cellStyle name="Otsikko 1" xfId="11873" xr:uid="{38A6482D-0321-46BC-8690-C565FF7D4B97}"/>
    <cellStyle name="Otsikko 1 2" xfId="11874" xr:uid="{8E2F04E6-30F8-4FCE-9BCF-F43B18AE1BFD}"/>
    <cellStyle name="Otsikko 1_2013" xfId="11875" xr:uid="{B7CFABF4-F12A-4791-B7A5-9A41121A2FDA}"/>
    <cellStyle name="Otsikko 2" xfId="11876" xr:uid="{5C6D2EA7-1056-4BA0-9A69-328F0254E9D1}"/>
    <cellStyle name="Otsikko 2 2" xfId="11877" xr:uid="{1E8B9215-2ADC-4692-A0FB-E630EA89FBE2}"/>
    <cellStyle name="Otsikko 2_2013" xfId="11878" xr:uid="{88AB5F98-6F42-4221-AB2C-7BEACE6A300E}"/>
    <cellStyle name="Otsikko 3" xfId="11879" xr:uid="{8426B00C-B144-4D31-A635-F0504D32D2F1}"/>
    <cellStyle name="Otsikko 3 2" xfId="11880" xr:uid="{5932C414-8D58-40E0-BF67-2CEF73A1EEB4}"/>
    <cellStyle name="Otsikko 3_2013" xfId="11881" xr:uid="{74666670-E54B-4E83-BE9F-9AAF66B40A81}"/>
    <cellStyle name="Otsikko 4" xfId="11882" xr:uid="{5B7C5AA0-DC17-4A49-BD45-2C96D1C53B08}"/>
    <cellStyle name="Otsikko 4 2" xfId="11883" xr:uid="{052DB1F5-7F4A-4348-AAAE-7BD7B04B52AB}"/>
    <cellStyle name="Otsikko 4_2013" xfId="11884" xr:uid="{88D929F1-6A28-41E2-9FEB-1432FDF0F93F}"/>
    <cellStyle name="Otsikko 5" xfId="11885" xr:uid="{6CFA5C91-7148-4F3C-A8C7-EDDB054A2DC8}"/>
    <cellStyle name="Otsikko_2013" xfId="11886" xr:uid="{53F9D80C-1264-4EB6-873A-FCF8FA662C85}"/>
    <cellStyle name="Output 10" xfId="11887" xr:uid="{1ED436AA-FE65-45F3-8FD5-5C3EFB55FBDC}"/>
    <cellStyle name="Output 2" xfId="11888" xr:uid="{38A5C527-DF16-4368-9880-298A7DC691AA}"/>
    <cellStyle name="Output 2 10" xfId="11889" xr:uid="{E126B095-AEE2-4388-9F23-7D0DCB9306E4}"/>
    <cellStyle name="Output 2 11" xfId="11890" xr:uid="{CF52AC65-454D-46D7-AD83-BF8F284803C5}"/>
    <cellStyle name="Output 2 12" xfId="11891" xr:uid="{2E864D4C-1065-4237-AD21-A76C9777F67F}"/>
    <cellStyle name="Output 2 13" xfId="11892" xr:uid="{4DC74A81-C2D6-4EB2-B9E9-6DF25181B9F6}"/>
    <cellStyle name="Output 2 14" xfId="11893" xr:uid="{30B71F9B-6DFA-47CD-AEE5-29182A9ACDB6}"/>
    <cellStyle name="Output 2 15" xfId="11894" xr:uid="{9DAB9A35-E1A1-4BC6-BB11-558845EE478C}"/>
    <cellStyle name="Output 2 16" xfId="11895" xr:uid="{676A68B2-82AF-4D8B-A960-7449E44E97D2}"/>
    <cellStyle name="Output 2 17" xfId="11896" xr:uid="{9631F247-BBDA-4C8C-8C86-74C857739AA4}"/>
    <cellStyle name="Output 2 18" xfId="11897" xr:uid="{BDC4B52F-EE39-4DD8-A36D-D4ABBF93A003}"/>
    <cellStyle name="Output 2 19" xfId="11898" xr:uid="{F09F7AED-0530-4E15-B69D-547A7CC28597}"/>
    <cellStyle name="Output 2 2" xfId="11899" xr:uid="{88A65B7E-45C9-406B-B222-A9485E5C17C0}"/>
    <cellStyle name="Output 2 2 10" xfId="11900" xr:uid="{30A39820-9159-41CD-A1E4-6E631810AC92}"/>
    <cellStyle name="Output 2 2 11" xfId="11901" xr:uid="{AA9AE110-BFFE-433E-B195-62608E0F5B73}"/>
    <cellStyle name="Output 2 2 12" xfId="11902" xr:uid="{1C520CA9-4D91-4295-B0B8-8B173556D712}"/>
    <cellStyle name="Output 2 2 13" xfId="11903" xr:uid="{6F5665D5-75C1-4549-BD9B-AA5F5C028B66}"/>
    <cellStyle name="Output 2 2 14" xfId="11904" xr:uid="{C6269A38-AFEB-4F48-8DF2-7AF51B43DF20}"/>
    <cellStyle name="Output 2 2 15" xfId="11905" xr:uid="{88FDDEA2-F298-4D94-9E1A-D550BC0192D5}"/>
    <cellStyle name="Output 2 2 16" xfId="11906" xr:uid="{781ABCA0-B30E-4410-B6C9-49440D344B21}"/>
    <cellStyle name="Output 2 2 17" xfId="11907" xr:uid="{88E8157C-B311-47F3-8D73-BCEFFA2D5C53}"/>
    <cellStyle name="Output 2 2 18" xfId="11908" xr:uid="{6B9D2147-6EB7-45F7-84B6-D756FC8A50F1}"/>
    <cellStyle name="Output 2 2 19" xfId="11909" xr:uid="{89C5BA19-5F9A-4BAE-A428-1A2B45B49AAB}"/>
    <cellStyle name="Output 2 2 2" xfId="11910" xr:uid="{A73EBB41-1B8D-414A-B4D7-47F774E5BA3E}"/>
    <cellStyle name="Output 2 2 2 10" xfId="11911" xr:uid="{66B463AA-D436-4E2C-B13A-87096AE3E1EF}"/>
    <cellStyle name="Output 2 2 2 11" xfId="11912" xr:uid="{10C7F5C9-6A51-43EC-9249-1437C4A89187}"/>
    <cellStyle name="Output 2 2 2 12" xfId="11913" xr:uid="{2873DA36-CE20-4311-88CB-7B19259F983A}"/>
    <cellStyle name="Output 2 2 2 13" xfId="11914" xr:uid="{C3F206E8-5EC5-407B-B871-3D88D073800D}"/>
    <cellStyle name="Output 2 2 2 14" xfId="11915" xr:uid="{98F76D23-E295-4F02-A1BA-49921A65488D}"/>
    <cellStyle name="Output 2 2 2 15" xfId="11916" xr:uid="{8C3262C4-655C-46AA-8184-602FC054FDC2}"/>
    <cellStyle name="Output 2 2 2 16" xfId="11917" xr:uid="{0969D552-D0D6-4028-A0E7-6486BA90197C}"/>
    <cellStyle name="Output 2 2 2 17" xfId="11918" xr:uid="{E5B1A84C-72D5-4987-8E19-C2A5382C51E3}"/>
    <cellStyle name="Output 2 2 2 18" xfId="11919" xr:uid="{D903F97D-61E9-48C3-8212-32F541282B01}"/>
    <cellStyle name="Output 2 2 2 19" xfId="11920" xr:uid="{4E95B718-FC64-4664-B7A6-2038F2B1B296}"/>
    <cellStyle name="Output 2 2 2 2" xfId="11921" xr:uid="{D9EEED7C-E090-4DDB-A3BF-987AAE5C7E5D}"/>
    <cellStyle name="Output 2 2 2 2 10" xfId="11922" xr:uid="{00924317-0B80-4313-8AAD-E27727D60F4B}"/>
    <cellStyle name="Output 2 2 2 2 11" xfId="11923" xr:uid="{751DD5DB-30FD-4E62-861E-9CBC2AF55D52}"/>
    <cellStyle name="Output 2 2 2 2 12" xfId="11924" xr:uid="{7691A57A-C2E3-4AE5-BF8F-A28D311146C5}"/>
    <cellStyle name="Output 2 2 2 2 13" xfId="11925" xr:uid="{2FEFF3A8-5592-4534-86D0-9A19C81ED50C}"/>
    <cellStyle name="Output 2 2 2 2 14" xfId="11926" xr:uid="{CA88077C-44C5-4748-8D64-C9A9BE1895A0}"/>
    <cellStyle name="Output 2 2 2 2 15" xfId="11927" xr:uid="{56E777C2-521D-4B98-AA43-C0D4B2F76954}"/>
    <cellStyle name="Output 2 2 2 2 16" xfId="11928" xr:uid="{CB8ACEDA-7C1D-4BA3-8140-B7AE2BFE9395}"/>
    <cellStyle name="Output 2 2 2 2 17" xfId="11929" xr:uid="{BE283DB9-1430-48A2-B19F-84352FFD2D11}"/>
    <cellStyle name="Output 2 2 2 2 18" xfId="11930" xr:uid="{3525414C-76B9-418A-9B87-E2279B625758}"/>
    <cellStyle name="Output 2 2 2 2 19" xfId="11931" xr:uid="{ADAC3F21-CE17-4595-BAD4-49BE5F23246A}"/>
    <cellStyle name="Output 2 2 2 2 2" xfId="11932" xr:uid="{5EED693F-4A55-42A1-8B3C-15ABC3A4983F}"/>
    <cellStyle name="Output 2 2 2 2 2 10" xfId="11933" xr:uid="{C53FC186-41D1-4077-8E8C-214D8C9224BE}"/>
    <cellStyle name="Output 2 2 2 2 2 11" xfId="11934" xr:uid="{39701B01-8F1C-4014-81FC-752FE2462C52}"/>
    <cellStyle name="Output 2 2 2 2 2 12" xfId="11935" xr:uid="{096B2ECD-5AB6-47C1-A32E-D0799A925604}"/>
    <cellStyle name="Output 2 2 2 2 2 13" xfId="11936" xr:uid="{B2C60743-6692-4D74-8F90-085075A59418}"/>
    <cellStyle name="Output 2 2 2 2 2 14" xfId="11937" xr:uid="{99BBEABA-91E5-4461-B62C-4F778BCCACD3}"/>
    <cellStyle name="Output 2 2 2 2 2 15" xfId="11938" xr:uid="{D725E1D0-FC81-491C-A722-95C28211DFC7}"/>
    <cellStyle name="Output 2 2 2 2 2 16" xfId="11939" xr:uid="{FA8D0917-ECF9-4A69-AD42-06AE5F4EE639}"/>
    <cellStyle name="Output 2 2 2 2 2 17" xfId="11940" xr:uid="{4B4212DF-C1BA-457D-9D53-6E16BA4CA73E}"/>
    <cellStyle name="Output 2 2 2 2 2 18" xfId="11941" xr:uid="{5291C56B-DF76-493E-BCFA-4C157C3B00E6}"/>
    <cellStyle name="Output 2 2 2 2 2 19" xfId="11942" xr:uid="{9F41F23C-C776-46FC-ABA3-F15EEA7D2192}"/>
    <cellStyle name="Output 2 2 2 2 2 2" xfId="11943" xr:uid="{6A0B8B35-6D4D-4E20-BEA3-5B477B6B483A}"/>
    <cellStyle name="Output 2 2 2 2 2 3" xfId="11944" xr:uid="{0A5B00B8-6283-4D67-93D7-67E44A9FE807}"/>
    <cellStyle name="Output 2 2 2 2 2 4" xfId="11945" xr:uid="{091C726A-7DCD-4A6F-A160-AE69E4D4145A}"/>
    <cellStyle name="Output 2 2 2 2 2 5" xfId="11946" xr:uid="{A9A37C2E-CB55-49C1-A882-58AD3C49600B}"/>
    <cellStyle name="Output 2 2 2 2 2 6" xfId="11947" xr:uid="{87C4282C-F191-4812-AF12-C221B424AC9B}"/>
    <cellStyle name="Output 2 2 2 2 2 7" xfId="11948" xr:uid="{B2ECCE42-993C-40D9-B0C8-3FC3D9C0DD7A}"/>
    <cellStyle name="Output 2 2 2 2 2 8" xfId="11949" xr:uid="{32DD2282-705D-4E43-ACCF-F934A1F31E76}"/>
    <cellStyle name="Output 2 2 2 2 2 9" xfId="11950" xr:uid="{68899C86-8228-46DA-BA27-D0441DC1453E}"/>
    <cellStyle name="Output 2 2 2 2 2_2013" xfId="11951" xr:uid="{959DB42F-E533-49E6-A134-E91B210F3F8F}"/>
    <cellStyle name="Output 2 2 2 2 20" xfId="11952" xr:uid="{B040BF15-E987-4CC4-A47F-D7D4E20F80F2}"/>
    <cellStyle name="Output 2 2 2 2 3" xfId="11953" xr:uid="{A92CFBFD-1F78-4165-847D-3158D774AE33}"/>
    <cellStyle name="Output 2 2 2 2 4" xfId="11954" xr:uid="{446EFD53-B960-45B9-A37E-9E519A61676B}"/>
    <cellStyle name="Output 2 2 2 2 5" xfId="11955" xr:uid="{12636D1E-A761-4CCC-A458-BAC8F56064EB}"/>
    <cellStyle name="Output 2 2 2 2 6" xfId="11956" xr:uid="{7FBF9900-BEDE-4E44-9FB5-4A63ADA5F848}"/>
    <cellStyle name="Output 2 2 2 2 7" xfId="11957" xr:uid="{B2C34F07-4675-4AEF-8275-0CB977061BAE}"/>
    <cellStyle name="Output 2 2 2 2 8" xfId="11958" xr:uid="{F5A4F4C2-2CA2-4F70-8C61-D09A3077365F}"/>
    <cellStyle name="Output 2 2 2 2 9" xfId="11959" xr:uid="{BDAA088E-6E59-4E65-AF3C-046EEC21E48A}"/>
    <cellStyle name="Output 2 2 2 2_2013" xfId="11960" xr:uid="{BB1DD196-6D5F-4B7B-85DE-214CD417983D}"/>
    <cellStyle name="Output 2 2 2 20" xfId="11961" xr:uid="{B81EF967-E2E0-4206-A04A-F83CA159EE84}"/>
    <cellStyle name="Output 2 2 2 21" xfId="11962" xr:uid="{2200ACB7-F26F-47B3-8F07-155CB80A207D}"/>
    <cellStyle name="Output 2 2 2 22" xfId="11963" xr:uid="{6C94C54B-EDC1-489B-BA3A-838D351653A3}"/>
    <cellStyle name="Output 2 2 2 23" xfId="11964" xr:uid="{49F4BB85-A7C0-4D12-B91D-679312AF4B7A}"/>
    <cellStyle name="Output 2 2 2 3" xfId="11965" xr:uid="{8E2386DC-D336-4E2C-89E8-A2DFDE128CE5}"/>
    <cellStyle name="Output 2 2 2 3 10" xfId="11966" xr:uid="{D23326C2-0354-41FB-B0B9-989B0A51E10F}"/>
    <cellStyle name="Output 2 2 2 3 11" xfId="11967" xr:uid="{EA4CB918-8978-4DBF-A232-4DD0B8A80F5B}"/>
    <cellStyle name="Output 2 2 2 3 12" xfId="11968" xr:uid="{067ADC42-8CF7-4138-A788-644BF414CAD9}"/>
    <cellStyle name="Output 2 2 2 3 13" xfId="11969" xr:uid="{F9888D6D-E7FF-4B89-89DC-3C839B8D6605}"/>
    <cellStyle name="Output 2 2 2 3 14" xfId="11970" xr:uid="{518513D4-4ACA-4336-8B9B-F473841CA831}"/>
    <cellStyle name="Output 2 2 2 3 15" xfId="11971" xr:uid="{2C0CF95E-833B-41B8-8837-448FA230F441}"/>
    <cellStyle name="Output 2 2 2 3 16" xfId="11972" xr:uid="{12CAF921-EBFF-4440-98DF-9D78539EB071}"/>
    <cellStyle name="Output 2 2 2 3 17" xfId="11973" xr:uid="{0586B7EA-E5B3-4F11-9F35-B1371FA0BD83}"/>
    <cellStyle name="Output 2 2 2 3 18" xfId="11974" xr:uid="{62C15B41-7EB7-4B40-8E09-21F2618B42AF}"/>
    <cellStyle name="Output 2 2 2 3 19" xfId="11975" xr:uid="{38BAA719-4DDF-4DBE-908E-2A7D3DA2A9DF}"/>
    <cellStyle name="Output 2 2 2 3 2" xfId="11976" xr:uid="{69075791-6E2B-481D-9FB6-BDCD7CCAAEE3}"/>
    <cellStyle name="Output 2 2 2 3 2 10" xfId="11977" xr:uid="{BE739AC1-FB35-458D-8C29-D4A278AAAF41}"/>
    <cellStyle name="Output 2 2 2 3 2 11" xfId="11978" xr:uid="{9CFA4374-EDEE-4FA7-8A64-A9B96027CBEE}"/>
    <cellStyle name="Output 2 2 2 3 2 12" xfId="11979" xr:uid="{1226D91E-6C5A-4ABF-B888-C5C3AB2B435F}"/>
    <cellStyle name="Output 2 2 2 3 2 13" xfId="11980" xr:uid="{3A25ED6C-4DEB-4970-81C0-10CB104669C7}"/>
    <cellStyle name="Output 2 2 2 3 2 14" xfId="11981" xr:uid="{86D0C146-F30D-45E5-A315-CF0E527A47F8}"/>
    <cellStyle name="Output 2 2 2 3 2 15" xfId="11982" xr:uid="{6FEFBC35-1FF5-4365-9FEF-60D4BB3C0361}"/>
    <cellStyle name="Output 2 2 2 3 2 16" xfId="11983" xr:uid="{751821DA-B71A-4CA3-BF74-33CB88D1E74A}"/>
    <cellStyle name="Output 2 2 2 3 2 17" xfId="11984" xr:uid="{4EA533BB-0B47-40D9-81D4-3CA482B12923}"/>
    <cellStyle name="Output 2 2 2 3 2 18" xfId="11985" xr:uid="{9D8D7BC6-E621-4E2C-ADAD-DFD39845F3A8}"/>
    <cellStyle name="Output 2 2 2 3 2 19" xfId="11986" xr:uid="{0BA352BA-FA0A-4C39-9FDE-A66F37BAFB62}"/>
    <cellStyle name="Output 2 2 2 3 2 2" xfId="11987" xr:uid="{D79DA6C9-EFF7-4A5F-8CE9-82658BBE98C1}"/>
    <cellStyle name="Output 2 2 2 3 2 3" xfId="11988" xr:uid="{AC59D95D-55B8-4F33-9120-D7EA7EF6BA31}"/>
    <cellStyle name="Output 2 2 2 3 2 4" xfId="11989" xr:uid="{EB5725AB-E701-4A6B-BBF5-461A6DC9C0DA}"/>
    <cellStyle name="Output 2 2 2 3 2 5" xfId="11990" xr:uid="{309834D7-F3BA-4BA1-9BE9-F49FC0F8CE32}"/>
    <cellStyle name="Output 2 2 2 3 2 6" xfId="11991" xr:uid="{18BAAD1C-E9EF-40D8-A6D4-6370F48A7266}"/>
    <cellStyle name="Output 2 2 2 3 2 7" xfId="11992" xr:uid="{B7195E34-25D5-4B75-848B-637663C6DE09}"/>
    <cellStyle name="Output 2 2 2 3 2 8" xfId="11993" xr:uid="{679D9FED-5FFE-4BF9-86FD-E7EB1567BB0D}"/>
    <cellStyle name="Output 2 2 2 3 2 9" xfId="11994" xr:uid="{0CC6E1F9-5045-4077-9250-13ECB3EC605A}"/>
    <cellStyle name="Output 2 2 2 3 2_2013" xfId="11995" xr:uid="{D2F1C067-7E6A-41E5-9D07-FE5740DE3C3A}"/>
    <cellStyle name="Output 2 2 2 3 20" xfId="11996" xr:uid="{5C67F9B8-ACFC-414A-B7D3-766031944CBE}"/>
    <cellStyle name="Output 2 2 2 3 3" xfId="11997" xr:uid="{798B1944-F18F-431E-BEB7-F53A880A057E}"/>
    <cellStyle name="Output 2 2 2 3 4" xfId="11998" xr:uid="{D51FC565-0A91-4DD6-B5C3-F91CF9DE4521}"/>
    <cellStyle name="Output 2 2 2 3 5" xfId="11999" xr:uid="{12A25E98-24A5-41E2-8C5B-508AA3582C7F}"/>
    <cellStyle name="Output 2 2 2 3 6" xfId="12000" xr:uid="{5EBCE2A8-8EE1-4F41-9D9A-E4897CB04E93}"/>
    <cellStyle name="Output 2 2 2 3 7" xfId="12001" xr:uid="{1E10042D-01F9-48F7-8ED8-62604B05CA39}"/>
    <cellStyle name="Output 2 2 2 3 8" xfId="12002" xr:uid="{B31C379D-0C20-42AA-8C31-7F039C7BA4B7}"/>
    <cellStyle name="Output 2 2 2 3 9" xfId="12003" xr:uid="{D76B1B00-4BC3-4683-B068-62CE5287B049}"/>
    <cellStyle name="Output 2 2 2 3_2013" xfId="12004" xr:uid="{43386B80-5DFC-44BC-89B4-8BA2A1B3A0E8}"/>
    <cellStyle name="Output 2 2 2 4" xfId="12005" xr:uid="{AFFB7CF3-CD0D-4FD9-9AA6-AB59CA725F56}"/>
    <cellStyle name="Output 2 2 2 4 10" xfId="12006" xr:uid="{29A10D00-E4CD-40C8-8353-504C5104F001}"/>
    <cellStyle name="Output 2 2 2 4 11" xfId="12007" xr:uid="{21471D8B-4707-4493-972E-23CFBA7D05C3}"/>
    <cellStyle name="Output 2 2 2 4 12" xfId="12008" xr:uid="{CCDA7918-E5AF-48D9-8385-31C8E8088E60}"/>
    <cellStyle name="Output 2 2 2 4 13" xfId="12009" xr:uid="{B1388DF5-9127-491D-BFA9-E602F7BFCC84}"/>
    <cellStyle name="Output 2 2 2 4 14" xfId="12010" xr:uid="{0B5EC05B-71F3-4FB4-86A8-0831F83AF2BB}"/>
    <cellStyle name="Output 2 2 2 4 15" xfId="12011" xr:uid="{54B404F7-C692-4791-87E7-342FE9228593}"/>
    <cellStyle name="Output 2 2 2 4 16" xfId="12012" xr:uid="{E50E86A2-BCA4-433B-A850-F40347091704}"/>
    <cellStyle name="Output 2 2 2 4 17" xfId="12013" xr:uid="{20511CDE-A86F-413C-915C-2D1F7379ED67}"/>
    <cellStyle name="Output 2 2 2 4 18" xfId="12014" xr:uid="{3A724C0F-A2DC-465E-9462-72DDB75A25CC}"/>
    <cellStyle name="Output 2 2 2 4 19" xfId="12015" xr:uid="{6E1BD7A6-145E-4174-8F6F-9540B3454081}"/>
    <cellStyle name="Output 2 2 2 4 2" xfId="12016" xr:uid="{525F1EE3-E88B-41C7-95D3-BA6C6874ACFA}"/>
    <cellStyle name="Output 2 2 2 4 2 10" xfId="12017" xr:uid="{E06C51E6-546A-4D7F-A7A3-11487F5DAB50}"/>
    <cellStyle name="Output 2 2 2 4 2 11" xfId="12018" xr:uid="{A54FE8AD-4E6C-46BF-8981-4BE3EAC71C37}"/>
    <cellStyle name="Output 2 2 2 4 2 12" xfId="12019" xr:uid="{329620B4-983C-473F-9AB7-1160081DF1DD}"/>
    <cellStyle name="Output 2 2 2 4 2 13" xfId="12020" xr:uid="{1435165F-BE05-4B49-A450-3D653D205E38}"/>
    <cellStyle name="Output 2 2 2 4 2 14" xfId="12021" xr:uid="{6A9BCE97-318C-4919-B96D-835EA2D1FC0B}"/>
    <cellStyle name="Output 2 2 2 4 2 15" xfId="12022" xr:uid="{C2D78308-3562-4436-AE9F-2DB8C63A46A2}"/>
    <cellStyle name="Output 2 2 2 4 2 16" xfId="12023" xr:uid="{200F28E0-FF57-4F39-8D5A-C9DA03E46A9E}"/>
    <cellStyle name="Output 2 2 2 4 2 17" xfId="12024" xr:uid="{7F827188-8DFD-43CE-8661-09CD6A6BB0B5}"/>
    <cellStyle name="Output 2 2 2 4 2 18" xfId="12025" xr:uid="{3B8027DD-988D-45CF-A352-E693E8646AC0}"/>
    <cellStyle name="Output 2 2 2 4 2 19" xfId="12026" xr:uid="{779C22BE-8297-4C15-8720-A6BD36B31915}"/>
    <cellStyle name="Output 2 2 2 4 2 2" xfId="12027" xr:uid="{ECE6A597-8B59-44E0-8024-3B172143A795}"/>
    <cellStyle name="Output 2 2 2 4 2 3" xfId="12028" xr:uid="{9273918A-1F41-4603-89DA-4B20B1FD3AA4}"/>
    <cellStyle name="Output 2 2 2 4 2 4" xfId="12029" xr:uid="{3B0CB1A3-6BE5-4FD4-B159-4940E762B7F1}"/>
    <cellStyle name="Output 2 2 2 4 2 5" xfId="12030" xr:uid="{11D3AF0B-00D4-49C4-B08C-8DAD05182427}"/>
    <cellStyle name="Output 2 2 2 4 2 6" xfId="12031" xr:uid="{0B6278FF-00EE-418B-98F5-24F45DE56EB9}"/>
    <cellStyle name="Output 2 2 2 4 2 7" xfId="12032" xr:uid="{9B7B223F-9030-4288-B1C4-F2C7E42F6C87}"/>
    <cellStyle name="Output 2 2 2 4 2 8" xfId="12033" xr:uid="{2786891A-C8A7-4319-A402-09E952DEBE1A}"/>
    <cellStyle name="Output 2 2 2 4 2 9" xfId="12034" xr:uid="{D8AA1A52-EDAE-4A4B-8D32-9618BECC6260}"/>
    <cellStyle name="Output 2 2 2 4 2_2013" xfId="12035" xr:uid="{55DFDF76-4B71-4ED2-88C1-F1CF03EEC912}"/>
    <cellStyle name="Output 2 2 2 4 20" xfId="12036" xr:uid="{C72A51F4-8818-4F43-9EF9-F2A896C46A21}"/>
    <cellStyle name="Output 2 2 2 4 3" xfId="12037" xr:uid="{4C9329A2-1D5A-4C33-B41F-027F2CD01196}"/>
    <cellStyle name="Output 2 2 2 4 4" xfId="12038" xr:uid="{13B0A871-0FD7-4777-895E-2DA7918FC582}"/>
    <cellStyle name="Output 2 2 2 4 5" xfId="12039" xr:uid="{7DD220A8-0784-46D0-9AFD-F8D1AD0F6438}"/>
    <cellStyle name="Output 2 2 2 4 6" xfId="12040" xr:uid="{6EB85495-C035-43A8-B952-242DE8F783B4}"/>
    <cellStyle name="Output 2 2 2 4 7" xfId="12041" xr:uid="{C17057B0-981A-454A-8C7D-0B5F8C3848D4}"/>
    <cellStyle name="Output 2 2 2 4 8" xfId="12042" xr:uid="{BCE9B222-7F08-4F5C-BA57-972B63556DBC}"/>
    <cellStyle name="Output 2 2 2 4 9" xfId="12043" xr:uid="{B0753656-F207-4655-9769-4D4E75C8C1E5}"/>
    <cellStyle name="Output 2 2 2 4_2013" xfId="12044" xr:uid="{3446A48F-22A2-4940-BB91-88E99573115E}"/>
    <cellStyle name="Output 2 2 2 5" xfId="12045" xr:uid="{4B0D8D2B-5132-4CD1-BCAD-31E34C8BD72C}"/>
    <cellStyle name="Output 2 2 2 5 10" xfId="12046" xr:uid="{4EAD1025-BEF2-4122-8890-CA69B260F8BE}"/>
    <cellStyle name="Output 2 2 2 5 11" xfId="12047" xr:uid="{0D01699D-7CF7-4A1B-A263-93A4B3A093F3}"/>
    <cellStyle name="Output 2 2 2 5 12" xfId="12048" xr:uid="{E8EC29DB-DF4B-4FE8-9058-DB204C42929E}"/>
    <cellStyle name="Output 2 2 2 5 13" xfId="12049" xr:uid="{8AB80FF3-F4B2-4858-95E2-FEB8D92B82C0}"/>
    <cellStyle name="Output 2 2 2 5 14" xfId="12050" xr:uid="{CEBFA172-DEEC-47DC-A4F3-40EACD40727F}"/>
    <cellStyle name="Output 2 2 2 5 15" xfId="12051" xr:uid="{132069A0-5CFD-478E-81F8-FB99789409FD}"/>
    <cellStyle name="Output 2 2 2 5 16" xfId="12052" xr:uid="{53DCC320-402B-42CA-B1E5-6CECFF2F5BF7}"/>
    <cellStyle name="Output 2 2 2 5 17" xfId="12053" xr:uid="{B8FA1320-5300-410C-B9A6-704A142937E6}"/>
    <cellStyle name="Output 2 2 2 5 18" xfId="12054" xr:uid="{C052F04B-1F32-421F-B067-3482DE22693D}"/>
    <cellStyle name="Output 2 2 2 5 19" xfId="12055" xr:uid="{13CE9E48-5CFF-48D4-B28E-8160AC2801FC}"/>
    <cellStyle name="Output 2 2 2 5 2" xfId="12056" xr:uid="{2C2B078B-F5C0-4E30-BE81-28EEF48CDA30}"/>
    <cellStyle name="Output 2 2 2 5 3" xfId="12057" xr:uid="{4E63EE6B-9498-411C-8A4B-5B85C2068D6A}"/>
    <cellStyle name="Output 2 2 2 5 4" xfId="12058" xr:uid="{F2025F02-F7B9-48B7-9A41-2E7E9000D696}"/>
    <cellStyle name="Output 2 2 2 5 5" xfId="12059" xr:uid="{0A222105-F3A1-4932-BB4C-DF8E364AE1FB}"/>
    <cellStyle name="Output 2 2 2 5 6" xfId="12060" xr:uid="{FC1F7FDE-B3F7-4E77-9700-F6245AC1B99D}"/>
    <cellStyle name="Output 2 2 2 5 7" xfId="12061" xr:uid="{53B0F5EA-147C-485B-A27D-7A5ECD797AA6}"/>
    <cellStyle name="Output 2 2 2 5 8" xfId="12062" xr:uid="{739DC39F-D9BC-4AB0-9160-491579958C4F}"/>
    <cellStyle name="Output 2 2 2 5 9" xfId="12063" xr:uid="{0A88263A-31A8-473D-9D96-2DFF50F16D13}"/>
    <cellStyle name="Output 2 2 2 5_2013" xfId="12064" xr:uid="{4499C182-A6F5-4091-8BCB-856333349BF4}"/>
    <cellStyle name="Output 2 2 2 6" xfId="12065" xr:uid="{0A232F4F-0F80-4589-9F02-66EABCAA82D1}"/>
    <cellStyle name="Output 2 2 2 7" xfId="12066" xr:uid="{952C606F-9F1A-41B9-AC5C-E94265DE202D}"/>
    <cellStyle name="Output 2 2 2 8" xfId="12067" xr:uid="{88D61BD4-0895-4C30-A821-653224B7A313}"/>
    <cellStyle name="Output 2 2 2 9" xfId="12068" xr:uid="{1E98C5F6-6AA0-45F4-B520-54220BF92BBD}"/>
    <cellStyle name="Output 2 2 2_2013" xfId="12069" xr:uid="{5EAE0264-7899-4553-9A5A-2669BD0F7A98}"/>
    <cellStyle name="Output 2 2 20" xfId="12070" xr:uid="{B7AB8453-4BD0-4BEC-AD65-6C6BB59118AF}"/>
    <cellStyle name="Output 2 2 21" xfId="12071" xr:uid="{AD4F4D03-B98E-45DE-9A3B-1F2C159A2626}"/>
    <cellStyle name="Output 2 2 22" xfId="12072" xr:uid="{68578E12-E288-4AA6-8FAC-A7FFE8464A6A}"/>
    <cellStyle name="Output 2 2 23" xfId="12073" xr:uid="{DD713673-C5C0-462C-920B-8CA41FCF47B4}"/>
    <cellStyle name="Output 2 2 24" xfId="12074" xr:uid="{74D2EA7D-7A71-407D-93AF-46B56900DFA9}"/>
    <cellStyle name="Output 2 2 25" xfId="12075" xr:uid="{5E0BD917-394D-455E-B1D2-C5C214A06BD6}"/>
    <cellStyle name="Output 2 2 3" xfId="12076" xr:uid="{398C2B44-F663-4843-A96E-DAD4ABB1E3E8}"/>
    <cellStyle name="Output 2 2 3 10" xfId="12077" xr:uid="{513ECC88-EAA4-4B08-9308-944F4BD2CCF2}"/>
    <cellStyle name="Output 2 2 3 11" xfId="12078" xr:uid="{87A6804F-1539-4F7E-B547-0A29F6F51CCE}"/>
    <cellStyle name="Output 2 2 3 12" xfId="12079" xr:uid="{467A390A-BF2B-49E8-8376-402C2BE7857A}"/>
    <cellStyle name="Output 2 2 3 13" xfId="12080" xr:uid="{E74D7843-E507-4262-A023-7FBDC9B6EC48}"/>
    <cellStyle name="Output 2 2 3 14" xfId="12081" xr:uid="{D0499E5E-2245-442D-BDE6-5E24A55A7920}"/>
    <cellStyle name="Output 2 2 3 15" xfId="12082" xr:uid="{2839262A-D737-4B3F-AD89-8E6F1FD50B7C}"/>
    <cellStyle name="Output 2 2 3 16" xfId="12083" xr:uid="{0734AF2B-AB9D-45ED-9D1F-F9998BEB2363}"/>
    <cellStyle name="Output 2 2 3 17" xfId="12084" xr:uid="{CAB068CD-9DB6-4E2D-B7CA-BDF990788A34}"/>
    <cellStyle name="Output 2 2 3 18" xfId="12085" xr:uid="{0B706BC4-07D3-42E1-A7F6-60236730253E}"/>
    <cellStyle name="Output 2 2 3 19" xfId="12086" xr:uid="{FF4C54D9-4427-4FDD-BE3E-7DAB065F687E}"/>
    <cellStyle name="Output 2 2 3 2" xfId="12087" xr:uid="{5E9C527C-0D74-4D20-B19B-94813A0D2DE1}"/>
    <cellStyle name="Output 2 2 3 2 10" xfId="12088" xr:uid="{A13B5A23-3B24-4A2E-A1A4-34FEE187EE50}"/>
    <cellStyle name="Output 2 2 3 2 11" xfId="12089" xr:uid="{871F33D1-8754-4F98-BA5F-7063D73BC9F6}"/>
    <cellStyle name="Output 2 2 3 2 12" xfId="12090" xr:uid="{73E972A9-6A6C-4AF9-A34A-61D3C0B26E48}"/>
    <cellStyle name="Output 2 2 3 2 13" xfId="12091" xr:uid="{39504196-5FAE-4A1D-8E92-1CFB86E9181F}"/>
    <cellStyle name="Output 2 2 3 2 14" xfId="12092" xr:uid="{4A33653F-A7AE-4CBB-8001-40FA4E61814B}"/>
    <cellStyle name="Output 2 2 3 2 15" xfId="12093" xr:uid="{350B520F-1325-49B6-A53E-1A2823CE826A}"/>
    <cellStyle name="Output 2 2 3 2 16" xfId="12094" xr:uid="{CE0D4397-6B7F-4F64-B456-BA5C45549B68}"/>
    <cellStyle name="Output 2 2 3 2 17" xfId="12095" xr:uid="{C4D0EE6E-8CDA-43D9-B0CB-1845920F3A4D}"/>
    <cellStyle name="Output 2 2 3 2 18" xfId="12096" xr:uid="{20B8D592-F82E-4BF1-9BF0-34EB0B3CA0CE}"/>
    <cellStyle name="Output 2 2 3 2 19" xfId="12097" xr:uid="{20545F71-4A46-4E9F-BD28-F50BF3D4418D}"/>
    <cellStyle name="Output 2 2 3 2 2" xfId="12098" xr:uid="{3734E541-B962-420F-AF51-756326F3D2D0}"/>
    <cellStyle name="Output 2 2 3 2 3" xfId="12099" xr:uid="{65DBE71B-03FF-483F-A255-30DB120EC2ED}"/>
    <cellStyle name="Output 2 2 3 2 4" xfId="12100" xr:uid="{4065B8D3-9C78-4CCD-AD81-83CE2E35BF75}"/>
    <cellStyle name="Output 2 2 3 2 5" xfId="12101" xr:uid="{5EE6DC6A-0D7D-4297-ABFB-EC30AAF87A5E}"/>
    <cellStyle name="Output 2 2 3 2 6" xfId="12102" xr:uid="{BD013B8C-335E-413F-AD24-8C2B5C6D171F}"/>
    <cellStyle name="Output 2 2 3 2 7" xfId="12103" xr:uid="{4F56E9A2-D2C3-4383-8AFD-D08895D7E8F0}"/>
    <cellStyle name="Output 2 2 3 2 8" xfId="12104" xr:uid="{37950923-1C02-4CA4-AC79-B3B7EEF596E5}"/>
    <cellStyle name="Output 2 2 3 2 9" xfId="12105" xr:uid="{4869C37A-2E2B-46FC-A65B-40417C05EB59}"/>
    <cellStyle name="Output 2 2 3 2_2013" xfId="12106" xr:uid="{2695B740-D415-410A-8BD7-D4192220D035}"/>
    <cellStyle name="Output 2 2 3 20" xfId="12107" xr:uid="{142A6D1F-F81D-4251-B526-743B501CEFC6}"/>
    <cellStyle name="Output 2 2 3 3" xfId="12108" xr:uid="{75ACBFDA-ADF9-4124-9C85-CB90DB4BA39E}"/>
    <cellStyle name="Output 2 2 3 4" xfId="12109" xr:uid="{91254927-6C4A-4DFF-B715-6B20882E91B2}"/>
    <cellStyle name="Output 2 2 3 5" xfId="12110" xr:uid="{1CD47210-A861-4F01-A026-CEF0233460DC}"/>
    <cellStyle name="Output 2 2 3 6" xfId="12111" xr:uid="{F03280C9-2834-4208-9044-97F13E7C6EBC}"/>
    <cellStyle name="Output 2 2 3 7" xfId="12112" xr:uid="{BA735B3A-FCAF-4926-9FAC-5064D12EA02D}"/>
    <cellStyle name="Output 2 2 3 8" xfId="12113" xr:uid="{CF531FB7-B9F5-40B6-9C17-DA571C6311C9}"/>
    <cellStyle name="Output 2 2 3 9" xfId="12114" xr:uid="{7A9D73DA-1A5A-425E-826F-B7B382E3454A}"/>
    <cellStyle name="Output 2 2 3_2013" xfId="12115" xr:uid="{E34F19A6-BAAE-4B6D-8130-891A72F9BD67}"/>
    <cellStyle name="Output 2 2 4" xfId="12116" xr:uid="{C9B331CD-B8AD-4346-ABCD-0C7C8E06D851}"/>
    <cellStyle name="Output 2 2 4 10" xfId="12117" xr:uid="{BE75215B-43CF-41D8-95B7-7D3D5040B3CC}"/>
    <cellStyle name="Output 2 2 4 11" xfId="12118" xr:uid="{520F9DC8-FE55-45C0-9BB2-42556517ACE4}"/>
    <cellStyle name="Output 2 2 4 12" xfId="12119" xr:uid="{BBE5F9C4-4F08-4751-A7FD-2B7E19AF4137}"/>
    <cellStyle name="Output 2 2 4 13" xfId="12120" xr:uid="{AE71E95D-0554-4390-BACE-B45FB45A1924}"/>
    <cellStyle name="Output 2 2 4 14" xfId="12121" xr:uid="{746F8BC9-A762-453C-97EE-B253085612C8}"/>
    <cellStyle name="Output 2 2 4 15" xfId="12122" xr:uid="{BFE7C210-6A17-4250-AC01-785539142898}"/>
    <cellStyle name="Output 2 2 4 16" xfId="12123" xr:uid="{AE3349EC-2D0C-405A-A17B-4B5EAD690436}"/>
    <cellStyle name="Output 2 2 4 17" xfId="12124" xr:uid="{F8690373-C635-44F3-8E86-E34220D72655}"/>
    <cellStyle name="Output 2 2 4 18" xfId="12125" xr:uid="{35EC376C-08A3-4A9D-B690-B52462A9AF19}"/>
    <cellStyle name="Output 2 2 4 19" xfId="12126" xr:uid="{3B5E80E9-FA93-4C59-B95F-E130D337D3D9}"/>
    <cellStyle name="Output 2 2 4 2" xfId="12127" xr:uid="{12953926-17F2-4736-B7D1-5617CDD45311}"/>
    <cellStyle name="Output 2 2 4 2 10" xfId="12128" xr:uid="{66E8DA48-E97A-476D-847B-57E2B3C4CCDB}"/>
    <cellStyle name="Output 2 2 4 2 11" xfId="12129" xr:uid="{941E92B3-8F22-487F-8F74-8DA61E5C09FE}"/>
    <cellStyle name="Output 2 2 4 2 12" xfId="12130" xr:uid="{6C8E61CF-1FF9-45D4-9FD5-F062DF174AB1}"/>
    <cellStyle name="Output 2 2 4 2 13" xfId="12131" xr:uid="{941B8DB7-6643-4697-848E-DD8D6456CDBD}"/>
    <cellStyle name="Output 2 2 4 2 14" xfId="12132" xr:uid="{B0ED252F-D77F-4675-A6DD-E716EC7A0819}"/>
    <cellStyle name="Output 2 2 4 2 15" xfId="12133" xr:uid="{D3D59131-C36E-4FDE-8FB9-C01998C2B75A}"/>
    <cellStyle name="Output 2 2 4 2 16" xfId="12134" xr:uid="{D37175C0-A631-4A35-8C8F-9AEBE101E598}"/>
    <cellStyle name="Output 2 2 4 2 17" xfId="12135" xr:uid="{F1781CFA-9EDA-465A-A791-94942DD5CB84}"/>
    <cellStyle name="Output 2 2 4 2 18" xfId="12136" xr:uid="{EF69D1F3-5AAE-4AEE-AAAF-1D7565F57938}"/>
    <cellStyle name="Output 2 2 4 2 19" xfId="12137" xr:uid="{326E15CC-7D17-49F4-974E-7B02733F1301}"/>
    <cellStyle name="Output 2 2 4 2 2" xfId="12138" xr:uid="{02A5D808-9326-4834-97EC-489DB53E3255}"/>
    <cellStyle name="Output 2 2 4 2 3" xfId="12139" xr:uid="{1223B45D-237B-4009-897F-D2AE855FEA9B}"/>
    <cellStyle name="Output 2 2 4 2 4" xfId="12140" xr:uid="{1B85658D-317E-40F1-81E9-EAC5994E8814}"/>
    <cellStyle name="Output 2 2 4 2 5" xfId="12141" xr:uid="{543056EF-7FCD-491D-8335-5F531F942832}"/>
    <cellStyle name="Output 2 2 4 2 6" xfId="12142" xr:uid="{65963F83-5099-4A40-B1FD-938DCB32F6C4}"/>
    <cellStyle name="Output 2 2 4 2 7" xfId="12143" xr:uid="{508EF921-C37B-4FD7-90D6-09459D08C90C}"/>
    <cellStyle name="Output 2 2 4 2 8" xfId="12144" xr:uid="{A2864A5E-FB78-4B22-8759-9025AA3D793E}"/>
    <cellStyle name="Output 2 2 4 2 9" xfId="12145" xr:uid="{4B2F7721-C559-4A92-873F-26CE03FC46CE}"/>
    <cellStyle name="Output 2 2 4 2_2013" xfId="12146" xr:uid="{8C53C642-8232-4535-AC27-1610354F1C09}"/>
    <cellStyle name="Output 2 2 4 20" xfId="12147" xr:uid="{BDF1BBAC-3FAD-488A-BFD2-D8FF669D5CDA}"/>
    <cellStyle name="Output 2 2 4 3" xfId="12148" xr:uid="{10BC02EB-AB9A-472C-8CB4-83703908B7E4}"/>
    <cellStyle name="Output 2 2 4 4" xfId="12149" xr:uid="{0515E276-7213-4DF1-804C-4ECE0EC3D502}"/>
    <cellStyle name="Output 2 2 4 5" xfId="12150" xr:uid="{85425D07-2359-4DD8-B0F2-2DF8F9E4B3DA}"/>
    <cellStyle name="Output 2 2 4 6" xfId="12151" xr:uid="{91D9EF51-D081-4AFF-80F2-35F818AFC2B4}"/>
    <cellStyle name="Output 2 2 4 7" xfId="12152" xr:uid="{F91CEC40-F023-4D16-B6C1-C31CA4AD2977}"/>
    <cellStyle name="Output 2 2 4 8" xfId="12153" xr:uid="{2A955CCE-6223-4A56-99D5-E566E6296496}"/>
    <cellStyle name="Output 2 2 4 9" xfId="12154" xr:uid="{2C11DFA7-F2A3-459A-B02E-32E6DCA7DAA8}"/>
    <cellStyle name="Output 2 2 4_2013" xfId="12155" xr:uid="{D70496A7-40A5-47C6-91D6-1CDE490B9E5C}"/>
    <cellStyle name="Output 2 2 5" xfId="12156" xr:uid="{2CF5E3E8-CD75-4E9C-911F-21EF04596CFB}"/>
    <cellStyle name="Output 2 2 5 10" xfId="12157" xr:uid="{3B89F616-B2A7-43CE-AD0F-9BDA9238F1F7}"/>
    <cellStyle name="Output 2 2 5 11" xfId="12158" xr:uid="{CBBC3F3A-4800-416A-8E03-5713EF9AE2C5}"/>
    <cellStyle name="Output 2 2 5 12" xfId="12159" xr:uid="{2B9F046F-F8AF-441A-BD43-20A67ABD604E}"/>
    <cellStyle name="Output 2 2 5 13" xfId="12160" xr:uid="{E2B887F7-3C49-42ED-8AF3-65994201AADA}"/>
    <cellStyle name="Output 2 2 5 14" xfId="12161" xr:uid="{FCF4200C-5835-4B3F-AC0A-21CB9D9D15AD}"/>
    <cellStyle name="Output 2 2 5 15" xfId="12162" xr:uid="{E643F8AC-748D-42AA-8E39-E047DCA8DF6D}"/>
    <cellStyle name="Output 2 2 5 16" xfId="12163" xr:uid="{A60DFA76-49A4-4B1A-BD27-074543C6381C}"/>
    <cellStyle name="Output 2 2 5 17" xfId="12164" xr:uid="{7EEFAA52-0611-4472-8CB4-9AF6C8AFAA00}"/>
    <cellStyle name="Output 2 2 5 18" xfId="12165" xr:uid="{BF999B42-FF40-4F68-8F4E-E31707363FC5}"/>
    <cellStyle name="Output 2 2 5 19" xfId="12166" xr:uid="{2B571FFF-0DFD-4373-A57C-C26B979B6F8A}"/>
    <cellStyle name="Output 2 2 5 2" xfId="12167" xr:uid="{0237CF5F-1295-4C38-89F1-FA168623C50A}"/>
    <cellStyle name="Output 2 2 5 2 10" xfId="12168" xr:uid="{BD537D86-089A-43A8-BB8C-1515B45465F7}"/>
    <cellStyle name="Output 2 2 5 2 11" xfId="12169" xr:uid="{A8851880-5B13-44E0-9AC1-8C80A7FC63C8}"/>
    <cellStyle name="Output 2 2 5 2 12" xfId="12170" xr:uid="{015BC1D0-FEA5-4D55-BA6C-638627144E84}"/>
    <cellStyle name="Output 2 2 5 2 13" xfId="12171" xr:uid="{925FC0B4-714C-4D0F-837D-AFDFF31F9B28}"/>
    <cellStyle name="Output 2 2 5 2 14" xfId="12172" xr:uid="{F3376DA1-5E1D-4D25-A648-341FEFEA51D8}"/>
    <cellStyle name="Output 2 2 5 2 15" xfId="12173" xr:uid="{A29BA0F0-E575-42F9-B3F6-B5B101A235AD}"/>
    <cellStyle name="Output 2 2 5 2 16" xfId="12174" xr:uid="{A20EDC30-9D11-4FF6-8D25-6550C8251914}"/>
    <cellStyle name="Output 2 2 5 2 17" xfId="12175" xr:uid="{B7EDA971-AFB8-4451-B84C-B02B059F9015}"/>
    <cellStyle name="Output 2 2 5 2 18" xfId="12176" xr:uid="{421B7426-B621-4D11-A3E4-5E53FC1BB556}"/>
    <cellStyle name="Output 2 2 5 2 19" xfId="12177" xr:uid="{97951AC0-1E6F-4868-8046-DDB999C6B66F}"/>
    <cellStyle name="Output 2 2 5 2 2" xfId="12178" xr:uid="{0FA2D8AE-61CA-4562-B83F-2FBEDC3DC9D6}"/>
    <cellStyle name="Output 2 2 5 2 3" xfId="12179" xr:uid="{145CFF22-66E1-4B14-AEA0-5A87307611DC}"/>
    <cellStyle name="Output 2 2 5 2 4" xfId="12180" xr:uid="{4196555D-7EB7-41AC-B4E9-67E341F0394E}"/>
    <cellStyle name="Output 2 2 5 2 5" xfId="12181" xr:uid="{0E177C41-A444-484A-97FA-7D6508FC74B0}"/>
    <cellStyle name="Output 2 2 5 2 6" xfId="12182" xr:uid="{898C9E41-7C46-4A58-BBA6-660C9B95FC7D}"/>
    <cellStyle name="Output 2 2 5 2 7" xfId="12183" xr:uid="{0F05A51F-3AA4-477A-B762-EF19565D3207}"/>
    <cellStyle name="Output 2 2 5 2 8" xfId="12184" xr:uid="{155BA577-E0F0-4FAE-B79B-15775BD6FA5D}"/>
    <cellStyle name="Output 2 2 5 2 9" xfId="12185" xr:uid="{BB31E0BB-9534-48A2-A09F-7E0C3733D107}"/>
    <cellStyle name="Output 2 2 5 2_2013" xfId="12186" xr:uid="{CCAE95B8-7995-462F-907E-423CFE8506F7}"/>
    <cellStyle name="Output 2 2 5 20" xfId="12187" xr:uid="{AC40B0B2-9046-426C-965C-200C59450F2D}"/>
    <cellStyle name="Output 2 2 5 3" xfId="12188" xr:uid="{C0C6CA48-20BF-4ECA-BD3C-DB65C038E760}"/>
    <cellStyle name="Output 2 2 5 4" xfId="12189" xr:uid="{7C7DA742-6725-40EF-AEB5-62E741F5B756}"/>
    <cellStyle name="Output 2 2 5 5" xfId="12190" xr:uid="{DDFF5402-179B-4E9B-B808-6D8CD3AB9080}"/>
    <cellStyle name="Output 2 2 5 6" xfId="12191" xr:uid="{B4353CE2-C0A4-4BE3-A1C7-913D04296ACC}"/>
    <cellStyle name="Output 2 2 5 7" xfId="12192" xr:uid="{2816B024-1A06-45A4-B7EE-E5A1E209AE8A}"/>
    <cellStyle name="Output 2 2 5 8" xfId="12193" xr:uid="{F1A2A94B-B161-4CA2-B268-8E8324E714F7}"/>
    <cellStyle name="Output 2 2 5 9" xfId="12194" xr:uid="{F34D2B74-85A2-4230-BE5C-41E1457B61B9}"/>
    <cellStyle name="Output 2 2 5_2013" xfId="12195" xr:uid="{6DE69B0F-721F-481A-BA3B-00998026F069}"/>
    <cellStyle name="Output 2 2 6" xfId="12196" xr:uid="{2FBB67C5-1773-4936-BF31-ED18540ECF38}"/>
    <cellStyle name="Output 2 2 6 10" xfId="12197" xr:uid="{5AD0A4BF-5E99-4967-9D3F-E470AB267566}"/>
    <cellStyle name="Output 2 2 6 11" xfId="12198" xr:uid="{9FCE3173-3C4E-4A44-97E8-AA694F53C90E}"/>
    <cellStyle name="Output 2 2 6 12" xfId="12199" xr:uid="{CEDEA5DA-0AD5-4FD3-BB25-3D17D2034441}"/>
    <cellStyle name="Output 2 2 6 13" xfId="12200" xr:uid="{D3F938E3-56B9-47FD-B1D5-379698DE0FF1}"/>
    <cellStyle name="Output 2 2 6 14" xfId="12201" xr:uid="{ECAAC2B9-4661-4890-844B-516BCCA49835}"/>
    <cellStyle name="Output 2 2 6 15" xfId="12202" xr:uid="{053628CA-45CD-44DF-BA77-3475CFC33807}"/>
    <cellStyle name="Output 2 2 6 16" xfId="12203" xr:uid="{A203D934-C614-4C83-8D75-BFF4E8F8E96F}"/>
    <cellStyle name="Output 2 2 6 17" xfId="12204" xr:uid="{E9A87B15-4752-413B-AF19-621763F89FF1}"/>
    <cellStyle name="Output 2 2 6 18" xfId="12205" xr:uid="{33A7BBAA-1E3B-4971-A2FF-1DED28A2ADD3}"/>
    <cellStyle name="Output 2 2 6 19" xfId="12206" xr:uid="{567160B2-03C1-4CDC-9213-34FB9D533DB1}"/>
    <cellStyle name="Output 2 2 6 2" xfId="12207" xr:uid="{0F8BF465-6834-433D-AFB3-9C408B5FAA80}"/>
    <cellStyle name="Output 2 2 6 3" xfId="12208" xr:uid="{20AF4B80-6AD4-43D2-B34B-815BD47AED01}"/>
    <cellStyle name="Output 2 2 6 4" xfId="12209" xr:uid="{90CD9D10-D9B3-452C-A9BE-2E1ACEABEE6F}"/>
    <cellStyle name="Output 2 2 6 5" xfId="12210" xr:uid="{8EEAD19C-842A-4FF4-9AB1-E8CC7018B9B8}"/>
    <cellStyle name="Output 2 2 6 6" xfId="12211" xr:uid="{7513C36F-6721-40A7-8324-AA90C30ABC8D}"/>
    <cellStyle name="Output 2 2 6 7" xfId="12212" xr:uid="{F5FD9287-A41F-4A14-8AEE-287A2305DF04}"/>
    <cellStyle name="Output 2 2 6 8" xfId="12213" xr:uid="{B2D7814A-5726-4F84-8C4C-414ECCC293D6}"/>
    <cellStyle name="Output 2 2 6 9" xfId="12214" xr:uid="{04376ACD-5F4E-4D22-AF39-F39D47FC8C09}"/>
    <cellStyle name="Output 2 2 6_2013" xfId="12215" xr:uid="{57221F1B-9873-4FFB-8B0C-111218393639}"/>
    <cellStyle name="Output 2 2 7" xfId="12216" xr:uid="{6CCED595-B2DD-4F3B-9A80-5D4509F455B3}"/>
    <cellStyle name="Output 2 2 7 2" xfId="12217" xr:uid="{676953E3-B8DA-42C3-A634-1FF92A214407}"/>
    <cellStyle name="Output 2 2 7_2013" xfId="12218" xr:uid="{DDB86298-8E40-4A5C-A00D-B649125C8F09}"/>
    <cellStyle name="Output 2 2 8" xfId="12219" xr:uid="{EB490827-CE90-4DE8-9FB8-6C63D97F6A93}"/>
    <cellStyle name="Output 2 2 9" xfId="12220" xr:uid="{452060EE-180D-4CCD-82E6-E9EECFBCE713}"/>
    <cellStyle name="Output 2 2_2013" xfId="12221" xr:uid="{74671007-CCF9-45C4-AEAC-81680D5121FA}"/>
    <cellStyle name="Output 2 20" xfId="12222" xr:uid="{A06095C4-2C7A-47CC-A303-56D09281A158}"/>
    <cellStyle name="Output 2 21" xfId="12223" xr:uid="{93BBAD00-8A39-4EBC-B019-8AD188AE671A}"/>
    <cellStyle name="Output 2 22" xfId="12224" xr:uid="{73250800-7F16-4772-A920-0E5AC837210A}"/>
    <cellStyle name="Output 2 23" xfId="12225" xr:uid="{6B5002E2-E22B-4DAC-BD26-558E888385CA}"/>
    <cellStyle name="Output 2 24" xfId="12226" xr:uid="{2471076B-8EF0-44C5-B513-E46F889DC2CE}"/>
    <cellStyle name="Output 2 25" xfId="12227" xr:uid="{3E87088F-D95E-4C58-B140-549B8BD6AB5E}"/>
    <cellStyle name="Output 2 26" xfId="12228" xr:uid="{A1AD5F7A-BA51-4C90-9A00-72186DABAA6C}"/>
    <cellStyle name="Output 2 27" xfId="12229" xr:uid="{4C6483CA-8FD4-4D89-9CA9-2719CBDF1608}"/>
    <cellStyle name="Output 2 28" xfId="12230" xr:uid="{6F480D60-6BDC-45A1-9EC1-791C77D76DFE}"/>
    <cellStyle name="Output 2 3" xfId="12231" xr:uid="{2F12B634-1AAA-4BDE-A78E-2C4EEA52C4E8}"/>
    <cellStyle name="Output 2 3 10" xfId="12232" xr:uid="{E283B526-876C-41B6-BEAC-84A0FA6F8E73}"/>
    <cellStyle name="Output 2 3 11" xfId="12233" xr:uid="{3BA4950A-72DF-4DC3-849E-851ADE256F94}"/>
    <cellStyle name="Output 2 3 12" xfId="12234" xr:uid="{D609FF0E-F9C3-446D-A011-77C89B117A0B}"/>
    <cellStyle name="Output 2 3 13" xfId="12235" xr:uid="{3799E100-8C46-420A-A4E7-D30AD848EF4C}"/>
    <cellStyle name="Output 2 3 14" xfId="12236" xr:uid="{32FBAC8F-17CB-49BF-AA51-D96674F0DEF5}"/>
    <cellStyle name="Output 2 3 15" xfId="12237" xr:uid="{73212D0D-321E-445D-9F10-BEA0A2AE374B}"/>
    <cellStyle name="Output 2 3 16" xfId="12238" xr:uid="{246DC91B-59A8-4215-824A-A0609CE76192}"/>
    <cellStyle name="Output 2 3 17" xfId="12239" xr:uid="{404B8497-F942-4ACD-806F-88678A19989F}"/>
    <cellStyle name="Output 2 3 18" xfId="12240" xr:uid="{2650A770-9586-4BC0-9F0A-C69E039C03CE}"/>
    <cellStyle name="Output 2 3 19" xfId="12241" xr:uid="{A6843442-6F94-4286-8F0C-F592215F84AE}"/>
    <cellStyle name="Output 2 3 2" xfId="12242" xr:uid="{A900E226-72E1-4D28-82BB-D95FE54B12E5}"/>
    <cellStyle name="Output 2 3 2 10" xfId="12243" xr:uid="{85CF1281-EC4A-4F08-A7EA-F5D2D2E32D1E}"/>
    <cellStyle name="Output 2 3 2 11" xfId="12244" xr:uid="{9867945D-F5E1-466A-89F6-1219959967C7}"/>
    <cellStyle name="Output 2 3 2 12" xfId="12245" xr:uid="{F9DEDAA5-60C4-4BA4-A43C-A234457E3077}"/>
    <cellStyle name="Output 2 3 2 13" xfId="12246" xr:uid="{DCCDE3DA-B9AF-4558-BB2F-47533086265D}"/>
    <cellStyle name="Output 2 3 2 14" xfId="12247" xr:uid="{967D754F-C051-491B-B787-2A14D77A6F2A}"/>
    <cellStyle name="Output 2 3 2 15" xfId="12248" xr:uid="{33214FA5-D52F-46E6-A36B-2263984513A3}"/>
    <cellStyle name="Output 2 3 2 16" xfId="12249" xr:uid="{F7DB1D46-3783-47EC-8691-90A620E34540}"/>
    <cellStyle name="Output 2 3 2 17" xfId="12250" xr:uid="{1D4C4E23-0A42-4A9C-9E85-8611A952981B}"/>
    <cellStyle name="Output 2 3 2 18" xfId="12251" xr:uid="{652E9AFD-CA40-4806-9436-F052107D05B0}"/>
    <cellStyle name="Output 2 3 2 19" xfId="12252" xr:uid="{AA18916F-F38D-400E-994D-42F58F2A86A1}"/>
    <cellStyle name="Output 2 3 2 2" xfId="12253" xr:uid="{19A9BA67-C5C5-436C-A056-FD1E6CC8EA50}"/>
    <cellStyle name="Output 2 3 2 2 10" xfId="12254" xr:uid="{3E63F295-2CB7-43BD-A381-59E298DD78CE}"/>
    <cellStyle name="Output 2 3 2 2 11" xfId="12255" xr:uid="{2DDECF31-2E3F-4EB8-843D-64168AE44E24}"/>
    <cellStyle name="Output 2 3 2 2 12" xfId="12256" xr:uid="{21437464-365E-408D-B11D-7375D12CCCC9}"/>
    <cellStyle name="Output 2 3 2 2 13" xfId="12257" xr:uid="{10F06D3B-312A-4FE4-97DE-25FA9DA47BCD}"/>
    <cellStyle name="Output 2 3 2 2 14" xfId="12258" xr:uid="{8FC152E5-5BA7-47BA-89BF-A308249DB82D}"/>
    <cellStyle name="Output 2 3 2 2 15" xfId="12259" xr:uid="{A4C95FB0-5084-4033-9BA3-6069336BEAE8}"/>
    <cellStyle name="Output 2 3 2 2 16" xfId="12260" xr:uid="{912FE0AF-6EFC-4C89-B842-01348AF1AA5F}"/>
    <cellStyle name="Output 2 3 2 2 17" xfId="12261" xr:uid="{08690CB0-7127-4893-AC03-F4E74E4837B6}"/>
    <cellStyle name="Output 2 3 2 2 18" xfId="12262" xr:uid="{B4EB4177-38A4-466A-BCAF-9D4E370B45A2}"/>
    <cellStyle name="Output 2 3 2 2 19" xfId="12263" xr:uid="{5899A8ED-9606-4387-995C-DE018E8C0365}"/>
    <cellStyle name="Output 2 3 2 2 2" xfId="12264" xr:uid="{B33B6FC5-27E5-4008-920B-BC761FB62CEA}"/>
    <cellStyle name="Output 2 3 2 2 2 10" xfId="12265" xr:uid="{2DC21ED5-15B8-4ED3-A97A-545A50298262}"/>
    <cellStyle name="Output 2 3 2 2 2 11" xfId="12266" xr:uid="{20A82C81-4A14-4637-BEFF-AF8CEF84F631}"/>
    <cellStyle name="Output 2 3 2 2 2 12" xfId="12267" xr:uid="{B1A41E96-5B97-4D41-9701-6228470A16D5}"/>
    <cellStyle name="Output 2 3 2 2 2 13" xfId="12268" xr:uid="{89504082-99F6-4549-BDE0-8185F8A2B90E}"/>
    <cellStyle name="Output 2 3 2 2 2 14" xfId="12269" xr:uid="{D85C5B27-0179-4EF1-893B-EEAD14DCEEFC}"/>
    <cellStyle name="Output 2 3 2 2 2 15" xfId="12270" xr:uid="{1330BDD7-1D12-40FE-A4DE-46182A64EB01}"/>
    <cellStyle name="Output 2 3 2 2 2 16" xfId="12271" xr:uid="{8EE2CC6A-EEBB-4B7D-B32F-C68171BAAAF7}"/>
    <cellStyle name="Output 2 3 2 2 2 17" xfId="12272" xr:uid="{B93A8CBE-A1E8-472D-BA5F-17958AD9EE33}"/>
    <cellStyle name="Output 2 3 2 2 2 18" xfId="12273" xr:uid="{DC880CAE-01FC-4B9E-A6A6-1578EB0A6D4B}"/>
    <cellStyle name="Output 2 3 2 2 2 19" xfId="12274" xr:uid="{85ADBA0F-B10D-47DB-959F-6ABFCF8C990D}"/>
    <cellStyle name="Output 2 3 2 2 2 2" xfId="12275" xr:uid="{3B217499-57CB-4528-B388-DB0040C74A5D}"/>
    <cellStyle name="Output 2 3 2 2 2 3" xfId="12276" xr:uid="{47FC536F-C976-4C76-B9E3-81B9C0B6BD33}"/>
    <cellStyle name="Output 2 3 2 2 2 4" xfId="12277" xr:uid="{1F80AC31-6972-4CB7-A50A-B54E324D82C7}"/>
    <cellStyle name="Output 2 3 2 2 2 5" xfId="12278" xr:uid="{34BEF19B-AD74-4812-974E-B3A3F0FDE7FB}"/>
    <cellStyle name="Output 2 3 2 2 2 6" xfId="12279" xr:uid="{52E8C918-4995-473C-9B03-DB9178FBCD29}"/>
    <cellStyle name="Output 2 3 2 2 2 7" xfId="12280" xr:uid="{7967E268-3424-4A68-AE9B-7FDC3414E440}"/>
    <cellStyle name="Output 2 3 2 2 2 8" xfId="12281" xr:uid="{324C8CF9-6E36-4568-952B-8A1B47C78EA3}"/>
    <cellStyle name="Output 2 3 2 2 2 9" xfId="12282" xr:uid="{62AF8AB4-4CE7-472A-A71D-77BA900C61E4}"/>
    <cellStyle name="Output 2 3 2 2 2_2013" xfId="12283" xr:uid="{110C0AAB-0A45-4B4A-B612-735507863BF6}"/>
    <cellStyle name="Output 2 3 2 2 20" xfId="12284" xr:uid="{FCBB79C6-3B8E-457A-921F-BBFEEAD51C16}"/>
    <cellStyle name="Output 2 3 2 2 3" xfId="12285" xr:uid="{AC1FA070-F30D-47AE-A3B5-EF730552FFDD}"/>
    <cellStyle name="Output 2 3 2 2 4" xfId="12286" xr:uid="{14FBAF2C-0DE4-47C9-B448-47B32E838632}"/>
    <cellStyle name="Output 2 3 2 2 5" xfId="12287" xr:uid="{12E3A9F4-1D7F-43A3-A972-A99385F3AF65}"/>
    <cellStyle name="Output 2 3 2 2 6" xfId="12288" xr:uid="{859AC770-4FBD-484B-BE0F-EF297BD3DB69}"/>
    <cellStyle name="Output 2 3 2 2 7" xfId="12289" xr:uid="{6E7F2C5C-C4B3-4096-927F-712C54EFDCB3}"/>
    <cellStyle name="Output 2 3 2 2 8" xfId="12290" xr:uid="{A9D8C997-FCF1-4154-9F01-4E7774778B17}"/>
    <cellStyle name="Output 2 3 2 2 9" xfId="12291" xr:uid="{C60B5235-2366-4CE7-AE45-13CAEFBB6D79}"/>
    <cellStyle name="Output 2 3 2 2_2013" xfId="12292" xr:uid="{22979D47-0407-414B-B651-A51BD6884A9E}"/>
    <cellStyle name="Output 2 3 2 20" xfId="12293" xr:uid="{3FC18AFD-99B5-48F8-B67E-BE8CC340787B}"/>
    <cellStyle name="Output 2 3 2 21" xfId="12294" xr:uid="{2C103A66-F818-4F85-AB38-F4387F09DD74}"/>
    <cellStyle name="Output 2 3 2 22" xfId="12295" xr:uid="{F4F957CF-EEA8-47DC-852D-2C7E11268510}"/>
    <cellStyle name="Output 2 3 2 23" xfId="12296" xr:uid="{9E17C9DA-2470-4103-A53A-3A59B180CB43}"/>
    <cellStyle name="Output 2 3 2 3" xfId="12297" xr:uid="{3BE8D953-0BA2-4AD5-BD59-E04CA01C352E}"/>
    <cellStyle name="Output 2 3 2 3 10" xfId="12298" xr:uid="{6E8BA46E-EDCA-4F20-BE27-D892F48F10EE}"/>
    <cellStyle name="Output 2 3 2 3 11" xfId="12299" xr:uid="{854E275D-170D-47DE-BC43-CDFEBFAE0B37}"/>
    <cellStyle name="Output 2 3 2 3 12" xfId="12300" xr:uid="{DBE15DDC-50A1-4BC9-9863-AEC8FFA9AADD}"/>
    <cellStyle name="Output 2 3 2 3 13" xfId="12301" xr:uid="{300BBC9D-B09D-4972-92BE-8D44054DBEEB}"/>
    <cellStyle name="Output 2 3 2 3 14" xfId="12302" xr:uid="{B1C6B070-133A-4033-912C-FE1E3E7816C9}"/>
    <cellStyle name="Output 2 3 2 3 15" xfId="12303" xr:uid="{26645E02-DB37-4733-8963-43FBF075B20E}"/>
    <cellStyle name="Output 2 3 2 3 16" xfId="12304" xr:uid="{4CB75AC4-F6A0-4CFB-9455-2C97736249F2}"/>
    <cellStyle name="Output 2 3 2 3 17" xfId="12305" xr:uid="{926D2CD4-47D7-4AFD-A8C2-15191AC30EF7}"/>
    <cellStyle name="Output 2 3 2 3 18" xfId="12306" xr:uid="{FA9EA6A2-DDB9-4FDA-92C0-6BFAEF5B2579}"/>
    <cellStyle name="Output 2 3 2 3 19" xfId="12307" xr:uid="{F698814A-22F5-46D3-BDA0-E9506CA5F56C}"/>
    <cellStyle name="Output 2 3 2 3 2" xfId="12308" xr:uid="{F2530ED8-89EE-4FA8-BB72-DB866CA62312}"/>
    <cellStyle name="Output 2 3 2 3 2 10" xfId="12309" xr:uid="{8CFB65E1-812C-4ADD-8A23-833C1CBE82AE}"/>
    <cellStyle name="Output 2 3 2 3 2 11" xfId="12310" xr:uid="{E214DF4C-CBD0-4A77-A0FC-3F57B5F413DD}"/>
    <cellStyle name="Output 2 3 2 3 2 12" xfId="12311" xr:uid="{373DD589-50A7-4090-85D8-62A92B2A9A88}"/>
    <cellStyle name="Output 2 3 2 3 2 13" xfId="12312" xr:uid="{E7A6E461-7480-4C1C-8CA5-3EB2451EF507}"/>
    <cellStyle name="Output 2 3 2 3 2 14" xfId="12313" xr:uid="{BBF6EF55-2164-427D-934E-804082803A2E}"/>
    <cellStyle name="Output 2 3 2 3 2 15" xfId="12314" xr:uid="{F1BDA94F-EDB3-458E-971F-1DD6BB3137F8}"/>
    <cellStyle name="Output 2 3 2 3 2 16" xfId="12315" xr:uid="{56CFD780-07AF-4A2A-A224-4C55C956FE22}"/>
    <cellStyle name="Output 2 3 2 3 2 17" xfId="12316" xr:uid="{3F803931-D3D4-40F6-B6A5-113501A02177}"/>
    <cellStyle name="Output 2 3 2 3 2 18" xfId="12317" xr:uid="{867E1EE7-5318-4EE2-AC94-6CBC0BB64122}"/>
    <cellStyle name="Output 2 3 2 3 2 19" xfId="12318" xr:uid="{4DB87C3B-B9DE-4E3B-B5D2-6F6EF5EDC6F2}"/>
    <cellStyle name="Output 2 3 2 3 2 2" xfId="12319" xr:uid="{52181B7E-E1B5-4B89-A4EE-5EE2E2AE7A28}"/>
    <cellStyle name="Output 2 3 2 3 2 3" xfId="12320" xr:uid="{A17E4958-8FB0-4653-B550-BF14672DADB5}"/>
    <cellStyle name="Output 2 3 2 3 2 4" xfId="12321" xr:uid="{5B05A51B-8AE6-4A6B-B2CC-8B3D2BE4C1E6}"/>
    <cellStyle name="Output 2 3 2 3 2 5" xfId="12322" xr:uid="{0EB36A63-89F2-416C-822F-A1E11A3A5E96}"/>
    <cellStyle name="Output 2 3 2 3 2 6" xfId="12323" xr:uid="{A7872A19-FE48-4F62-B673-CFC96277ECD5}"/>
    <cellStyle name="Output 2 3 2 3 2 7" xfId="12324" xr:uid="{36D98E00-A375-4E6B-99B6-97D2D67DFA79}"/>
    <cellStyle name="Output 2 3 2 3 2 8" xfId="12325" xr:uid="{6F6F7811-855B-45B3-9B17-67FB2CE2BEE8}"/>
    <cellStyle name="Output 2 3 2 3 2 9" xfId="12326" xr:uid="{5EEFA19D-6F91-40BC-BBD1-010367AEAB6F}"/>
    <cellStyle name="Output 2 3 2 3 2_2013" xfId="12327" xr:uid="{B42543FB-EF56-4615-9164-9D063AC89FB8}"/>
    <cellStyle name="Output 2 3 2 3 20" xfId="12328" xr:uid="{522CB7E9-BA61-4A2F-B75E-4AB08CE59D06}"/>
    <cellStyle name="Output 2 3 2 3 3" xfId="12329" xr:uid="{38E2D705-67CE-4ADD-9466-4FE94E629958}"/>
    <cellStyle name="Output 2 3 2 3 4" xfId="12330" xr:uid="{C845531A-C297-4B32-AF36-1D5165D2850D}"/>
    <cellStyle name="Output 2 3 2 3 5" xfId="12331" xr:uid="{7C0E82AE-3A72-4DA8-880D-BD5BA49F99F4}"/>
    <cellStyle name="Output 2 3 2 3 6" xfId="12332" xr:uid="{31B88F26-842A-4A6D-9D84-21300177810C}"/>
    <cellStyle name="Output 2 3 2 3 7" xfId="12333" xr:uid="{07653A94-95FC-425D-8A11-582F8659E346}"/>
    <cellStyle name="Output 2 3 2 3 8" xfId="12334" xr:uid="{8AE3CC63-5E70-4185-82C3-E1A3D1D1B84F}"/>
    <cellStyle name="Output 2 3 2 3 9" xfId="12335" xr:uid="{F3537E21-9303-4CE9-A023-373680926930}"/>
    <cellStyle name="Output 2 3 2 3_2013" xfId="12336" xr:uid="{32AC1A30-1DFF-4283-AB7C-38A298F04161}"/>
    <cellStyle name="Output 2 3 2 4" xfId="12337" xr:uid="{34708639-B7BA-46FE-AAEA-6C1B9D82A5C4}"/>
    <cellStyle name="Output 2 3 2 4 10" xfId="12338" xr:uid="{CD24A0A0-7876-4F96-91D3-9C940C6F6496}"/>
    <cellStyle name="Output 2 3 2 4 11" xfId="12339" xr:uid="{420CBB58-F08F-4BFD-8F27-D6A625188AB2}"/>
    <cellStyle name="Output 2 3 2 4 12" xfId="12340" xr:uid="{E23E0E10-A271-44C6-9B31-97CDB7F7D94A}"/>
    <cellStyle name="Output 2 3 2 4 13" xfId="12341" xr:uid="{DEA263CD-75B4-46FC-9ECA-2FB463676C52}"/>
    <cellStyle name="Output 2 3 2 4 14" xfId="12342" xr:uid="{DBDEEB7E-ACC5-4CF1-9934-594281AA36F9}"/>
    <cellStyle name="Output 2 3 2 4 15" xfId="12343" xr:uid="{818F26D8-12AA-488C-8511-9D9B63FE5A01}"/>
    <cellStyle name="Output 2 3 2 4 16" xfId="12344" xr:uid="{3CE15F82-333A-4138-A8B0-CAA70A9AC684}"/>
    <cellStyle name="Output 2 3 2 4 17" xfId="12345" xr:uid="{4B02C8DB-1342-43A5-8C26-853F0B23C68A}"/>
    <cellStyle name="Output 2 3 2 4 18" xfId="12346" xr:uid="{ADB015E0-A082-45D0-AB5A-CAF74D2EBB66}"/>
    <cellStyle name="Output 2 3 2 4 19" xfId="12347" xr:uid="{F91BA876-DE25-40F5-8100-7B5841BE22AB}"/>
    <cellStyle name="Output 2 3 2 4 2" xfId="12348" xr:uid="{281595A8-D86C-490A-935E-B40FDD964F67}"/>
    <cellStyle name="Output 2 3 2 4 2 10" xfId="12349" xr:uid="{5774B085-E062-48DC-B0C5-FAFEA723C306}"/>
    <cellStyle name="Output 2 3 2 4 2 11" xfId="12350" xr:uid="{658E60E0-8F1C-45E2-8BFE-FF5BE091F72B}"/>
    <cellStyle name="Output 2 3 2 4 2 12" xfId="12351" xr:uid="{E0BAD1D3-5CCA-4B6D-9C35-410D864A504B}"/>
    <cellStyle name="Output 2 3 2 4 2 13" xfId="12352" xr:uid="{6CF6F3FB-C555-4F0E-9E17-551CA9597AB7}"/>
    <cellStyle name="Output 2 3 2 4 2 14" xfId="12353" xr:uid="{27F0ACF5-DF04-4AFE-B6A3-922FCAFC0BEE}"/>
    <cellStyle name="Output 2 3 2 4 2 15" xfId="12354" xr:uid="{034440C1-C79C-4FAA-96D7-1451A0D56AA4}"/>
    <cellStyle name="Output 2 3 2 4 2 16" xfId="12355" xr:uid="{ED38398C-A086-47BC-844B-8D13D83D2731}"/>
    <cellStyle name="Output 2 3 2 4 2 17" xfId="12356" xr:uid="{04DF4879-4F90-4626-AD2E-BD1390CA39B7}"/>
    <cellStyle name="Output 2 3 2 4 2 18" xfId="12357" xr:uid="{8A3A8E31-E573-4822-AAB7-D7BBD475D508}"/>
    <cellStyle name="Output 2 3 2 4 2 19" xfId="12358" xr:uid="{5A37ABAB-EA6A-4B36-BCE0-CAE3E2F9CD98}"/>
    <cellStyle name="Output 2 3 2 4 2 2" xfId="12359" xr:uid="{06F504BF-266E-4E7D-9C02-14BDD3912F78}"/>
    <cellStyle name="Output 2 3 2 4 2 3" xfId="12360" xr:uid="{42AA3F92-BF52-4686-AF6B-476FF744FA0F}"/>
    <cellStyle name="Output 2 3 2 4 2 4" xfId="12361" xr:uid="{CCD69765-7A8F-4EE2-BA51-229EBBC1BCF6}"/>
    <cellStyle name="Output 2 3 2 4 2 5" xfId="12362" xr:uid="{13BC7FC4-B6A7-4F48-A73A-E1E2ACDEF7DF}"/>
    <cellStyle name="Output 2 3 2 4 2 6" xfId="12363" xr:uid="{5A0717D7-8D8B-4669-91B6-33DC0373C7AE}"/>
    <cellStyle name="Output 2 3 2 4 2 7" xfId="12364" xr:uid="{D04423E1-ADE6-43B8-98F2-CA390FBF6188}"/>
    <cellStyle name="Output 2 3 2 4 2 8" xfId="12365" xr:uid="{257877EC-4363-4576-AB84-C95E2CBB4264}"/>
    <cellStyle name="Output 2 3 2 4 2 9" xfId="12366" xr:uid="{AB01E5D2-20C8-49BF-AF19-89E1909E06A7}"/>
    <cellStyle name="Output 2 3 2 4 2_2013" xfId="12367" xr:uid="{2E50772B-0CBE-48D3-BA63-8F5ADAFB7BF9}"/>
    <cellStyle name="Output 2 3 2 4 20" xfId="12368" xr:uid="{ECBCF7A4-539C-4495-98DA-2321CB5658A4}"/>
    <cellStyle name="Output 2 3 2 4 3" xfId="12369" xr:uid="{E4773C51-08C2-483C-9C94-32774C61EE61}"/>
    <cellStyle name="Output 2 3 2 4 4" xfId="12370" xr:uid="{0A4292B2-871D-4826-BD18-9433B7846492}"/>
    <cellStyle name="Output 2 3 2 4 5" xfId="12371" xr:uid="{659016DB-A10C-449B-AE3F-5879F126589B}"/>
    <cellStyle name="Output 2 3 2 4 6" xfId="12372" xr:uid="{63C9A45D-3A1C-495F-A41E-E4879CCA255B}"/>
    <cellStyle name="Output 2 3 2 4 7" xfId="12373" xr:uid="{22CE6E26-C3E1-46A7-9B15-B5A1E4B81D71}"/>
    <cellStyle name="Output 2 3 2 4 8" xfId="12374" xr:uid="{917C5AA4-891B-4220-B339-38E96D192AEE}"/>
    <cellStyle name="Output 2 3 2 4 9" xfId="12375" xr:uid="{3A89C211-8A2E-4591-A1AC-BF8C40F2B796}"/>
    <cellStyle name="Output 2 3 2 4_2013" xfId="12376" xr:uid="{8A38574A-9DDB-41B4-923E-7273C21D91A8}"/>
    <cellStyle name="Output 2 3 2 5" xfId="12377" xr:uid="{AAA5DEDA-2445-4AD8-AE10-658149245698}"/>
    <cellStyle name="Output 2 3 2 5 10" xfId="12378" xr:uid="{FF0785E5-CE2D-450F-9EFA-A06F07260ABD}"/>
    <cellStyle name="Output 2 3 2 5 11" xfId="12379" xr:uid="{DFB67F50-87D8-489B-B7E3-04BED1C8BECD}"/>
    <cellStyle name="Output 2 3 2 5 12" xfId="12380" xr:uid="{A8F836AD-D2B3-4601-880F-3AFC77E64355}"/>
    <cellStyle name="Output 2 3 2 5 13" xfId="12381" xr:uid="{CCA127CF-F601-4CF5-9150-C39215B8D687}"/>
    <cellStyle name="Output 2 3 2 5 14" xfId="12382" xr:uid="{A42FB2DC-28CF-4748-A1AE-A91A0C5731B6}"/>
    <cellStyle name="Output 2 3 2 5 15" xfId="12383" xr:uid="{84139534-FB78-4B8C-AE56-E3C5654A0354}"/>
    <cellStyle name="Output 2 3 2 5 16" xfId="12384" xr:uid="{E5A6E728-6ABE-4E95-94B7-897023D9F263}"/>
    <cellStyle name="Output 2 3 2 5 17" xfId="12385" xr:uid="{DBE65CA1-EB2D-4187-96D9-B059735F38B6}"/>
    <cellStyle name="Output 2 3 2 5 18" xfId="12386" xr:uid="{F050C3C7-349C-4F29-ADDA-22B7C03F7851}"/>
    <cellStyle name="Output 2 3 2 5 19" xfId="12387" xr:uid="{B1CB3FDE-E6B3-4194-91CE-5B9E2F676655}"/>
    <cellStyle name="Output 2 3 2 5 2" xfId="12388" xr:uid="{E9F8CCC4-2768-45B6-8B7A-A58B9CE3444E}"/>
    <cellStyle name="Output 2 3 2 5 3" xfId="12389" xr:uid="{27F72416-B75A-405D-8ACE-069E5AD9D99B}"/>
    <cellStyle name="Output 2 3 2 5 4" xfId="12390" xr:uid="{06B9F9F3-60F3-4B69-B3BE-3D84C75637BE}"/>
    <cellStyle name="Output 2 3 2 5 5" xfId="12391" xr:uid="{9D0866C8-188E-4AC2-B9A1-A8F388A043B2}"/>
    <cellStyle name="Output 2 3 2 5 6" xfId="12392" xr:uid="{4145AB32-FB2F-48D0-849F-55AAD926BBED}"/>
    <cellStyle name="Output 2 3 2 5 7" xfId="12393" xr:uid="{5633A4CE-293E-4D80-97C6-0B18DDF33B32}"/>
    <cellStyle name="Output 2 3 2 5 8" xfId="12394" xr:uid="{DD9DE060-8C27-4588-8DF9-FF0C5D2FA6A5}"/>
    <cellStyle name="Output 2 3 2 5 9" xfId="12395" xr:uid="{4DD49D52-01CF-43B6-95AA-0CC675DD3929}"/>
    <cellStyle name="Output 2 3 2 5_2013" xfId="12396" xr:uid="{123E718C-B243-4607-A2BB-64418C6C36F7}"/>
    <cellStyle name="Output 2 3 2 6" xfId="12397" xr:uid="{3B958F75-2236-4296-A617-0AB664783743}"/>
    <cellStyle name="Output 2 3 2 7" xfId="12398" xr:uid="{740C912F-7005-4D39-AB68-E71ED9C6FB68}"/>
    <cellStyle name="Output 2 3 2 8" xfId="12399" xr:uid="{2FD75597-F71C-4857-8DC7-288DF05723B8}"/>
    <cellStyle name="Output 2 3 2 9" xfId="12400" xr:uid="{1FBA8506-5CEA-4F2A-B501-792E068596E7}"/>
    <cellStyle name="Output 2 3 2_2013" xfId="12401" xr:uid="{AFA826F9-CDF5-4E8E-8E84-1AA49856E3CC}"/>
    <cellStyle name="Output 2 3 20" xfId="12402" xr:uid="{BCD3402F-2DB0-485F-9D1C-C565E0DF05D4}"/>
    <cellStyle name="Output 2 3 21" xfId="12403" xr:uid="{E332D373-0DC8-401A-8F82-87893FFAA5EA}"/>
    <cellStyle name="Output 2 3 22" xfId="12404" xr:uid="{1996F54F-91FB-4C3A-9309-AEC27F66F66C}"/>
    <cellStyle name="Output 2 3 23" xfId="12405" xr:uid="{67527E31-CD20-4EA1-ACC9-FF4DAF4590A0}"/>
    <cellStyle name="Output 2 3 24" xfId="12406" xr:uid="{ADDE3148-F9B7-4928-8815-1DBA57585958}"/>
    <cellStyle name="Output 2 3 3" xfId="12407" xr:uid="{025E9751-850A-4810-8B33-9F7F5F3557AB}"/>
    <cellStyle name="Output 2 3 3 10" xfId="12408" xr:uid="{E7FC1340-764A-4AA0-AD56-A02754614C78}"/>
    <cellStyle name="Output 2 3 3 11" xfId="12409" xr:uid="{14F69D4E-0FA9-449B-AE65-45AB50D4A041}"/>
    <cellStyle name="Output 2 3 3 12" xfId="12410" xr:uid="{0460C2BB-639A-46C2-BA28-86EBCA29BA39}"/>
    <cellStyle name="Output 2 3 3 13" xfId="12411" xr:uid="{E7BDE973-006C-4FB0-844F-64E9703913E2}"/>
    <cellStyle name="Output 2 3 3 14" xfId="12412" xr:uid="{85B6277A-2C60-4A4C-BCEA-896F414439DB}"/>
    <cellStyle name="Output 2 3 3 15" xfId="12413" xr:uid="{0F0D6CF8-CF96-4A24-9B4B-952C3C9798B8}"/>
    <cellStyle name="Output 2 3 3 16" xfId="12414" xr:uid="{42626560-7A94-4B23-A78D-DECF04349AC8}"/>
    <cellStyle name="Output 2 3 3 17" xfId="12415" xr:uid="{1A1A67E5-14CF-4B21-9F3B-C02C2F9D92D8}"/>
    <cellStyle name="Output 2 3 3 18" xfId="12416" xr:uid="{1243534C-686A-427D-9E99-8699D64AF709}"/>
    <cellStyle name="Output 2 3 3 19" xfId="12417" xr:uid="{7BC50E91-D287-4428-8A5F-1F3310ED94A6}"/>
    <cellStyle name="Output 2 3 3 2" xfId="12418" xr:uid="{192DE428-06BF-4FDB-95C4-60043FB77F64}"/>
    <cellStyle name="Output 2 3 3 2 10" xfId="12419" xr:uid="{558F9833-4FC2-4680-843D-C39BF0D31B5E}"/>
    <cellStyle name="Output 2 3 3 2 11" xfId="12420" xr:uid="{C38EFD65-88C0-4576-A114-CB5D27DD6415}"/>
    <cellStyle name="Output 2 3 3 2 12" xfId="12421" xr:uid="{E8321F67-79F7-45E0-863E-380E44F0EBBB}"/>
    <cellStyle name="Output 2 3 3 2 13" xfId="12422" xr:uid="{67D82118-8CBD-4F00-ABE1-FD7C0737759F}"/>
    <cellStyle name="Output 2 3 3 2 14" xfId="12423" xr:uid="{265B053A-8FDB-44EB-B652-70F084B86F45}"/>
    <cellStyle name="Output 2 3 3 2 15" xfId="12424" xr:uid="{66745B4B-198F-466E-8BAE-07463793EF7A}"/>
    <cellStyle name="Output 2 3 3 2 16" xfId="12425" xr:uid="{912C7D9D-D44C-4C8C-9268-4F133881432C}"/>
    <cellStyle name="Output 2 3 3 2 17" xfId="12426" xr:uid="{19BE2743-EFCB-4E3A-82B9-77F06EC160EC}"/>
    <cellStyle name="Output 2 3 3 2 18" xfId="12427" xr:uid="{D9E485F5-13D8-491D-AB1A-822C218EE3C8}"/>
    <cellStyle name="Output 2 3 3 2 19" xfId="12428" xr:uid="{2706AB41-928F-41BE-85DC-1708C9D82841}"/>
    <cellStyle name="Output 2 3 3 2 2" xfId="12429" xr:uid="{B3D1FEC1-AD7B-48A1-B45C-36CE57B43558}"/>
    <cellStyle name="Output 2 3 3 2 3" xfId="12430" xr:uid="{95BACACD-C501-4C98-BCAA-263003E74219}"/>
    <cellStyle name="Output 2 3 3 2 4" xfId="12431" xr:uid="{190CCFA0-9683-4334-B98A-3EF96BC43A2C}"/>
    <cellStyle name="Output 2 3 3 2 5" xfId="12432" xr:uid="{5E39CBD1-13E8-4608-9618-9ADAF08C6EAA}"/>
    <cellStyle name="Output 2 3 3 2 6" xfId="12433" xr:uid="{1F99D3DF-D835-4AF1-B2E5-FF13E1C95168}"/>
    <cellStyle name="Output 2 3 3 2 7" xfId="12434" xr:uid="{B83F7097-030E-4189-9DAF-CB2512A1EC84}"/>
    <cellStyle name="Output 2 3 3 2 8" xfId="12435" xr:uid="{91CC0868-D7F9-4932-A9AA-AE937EF1BB65}"/>
    <cellStyle name="Output 2 3 3 2 9" xfId="12436" xr:uid="{A9429C96-A0AD-4425-AC7E-8717AB167A53}"/>
    <cellStyle name="Output 2 3 3 2_2013" xfId="12437" xr:uid="{9381E9B8-482B-4199-95CD-30CD5958C4E4}"/>
    <cellStyle name="Output 2 3 3 20" xfId="12438" xr:uid="{BE9F5A48-250A-4787-A381-A4E2AFC8BA73}"/>
    <cellStyle name="Output 2 3 3 3" xfId="12439" xr:uid="{FECF2ECC-3A8F-4169-8C40-35A4A93EDFE4}"/>
    <cellStyle name="Output 2 3 3 4" xfId="12440" xr:uid="{22E972BF-E51C-4E0B-B9BB-1135F6B2A73E}"/>
    <cellStyle name="Output 2 3 3 5" xfId="12441" xr:uid="{8A2BDDB2-F717-45D7-BF2E-AD53C1E39EB3}"/>
    <cellStyle name="Output 2 3 3 6" xfId="12442" xr:uid="{F409AF87-5F7C-467B-B0E1-9CF05C2DEB26}"/>
    <cellStyle name="Output 2 3 3 7" xfId="12443" xr:uid="{CB241C74-BD54-49A7-BEB3-FEEE25417C3B}"/>
    <cellStyle name="Output 2 3 3 8" xfId="12444" xr:uid="{320D7B1D-FE8B-41D1-8D9A-C13E0C041298}"/>
    <cellStyle name="Output 2 3 3 9" xfId="12445" xr:uid="{877761EA-6AB9-4C26-A229-CF9AE082F073}"/>
    <cellStyle name="Output 2 3 3_2013" xfId="12446" xr:uid="{48820711-38CA-4D39-947D-A1BD9C124AB9}"/>
    <cellStyle name="Output 2 3 4" xfId="12447" xr:uid="{FB691AFA-BBB7-4121-A2E7-13204212020E}"/>
    <cellStyle name="Output 2 3 4 10" xfId="12448" xr:uid="{26FC9AC8-4EA2-4573-885C-BA0A2E411233}"/>
    <cellStyle name="Output 2 3 4 11" xfId="12449" xr:uid="{A1CF045E-D6B9-410F-893A-37FBDADC536B}"/>
    <cellStyle name="Output 2 3 4 12" xfId="12450" xr:uid="{FE5B1917-1CF1-4957-B357-ABD2A867A8C6}"/>
    <cellStyle name="Output 2 3 4 13" xfId="12451" xr:uid="{78A49765-FEAA-4953-80B8-CF4B5DEFC8A3}"/>
    <cellStyle name="Output 2 3 4 14" xfId="12452" xr:uid="{4E31E3C5-9EF1-4A16-A15C-008CB34D884A}"/>
    <cellStyle name="Output 2 3 4 15" xfId="12453" xr:uid="{1BCB53A8-F305-438B-B087-1553D53907A8}"/>
    <cellStyle name="Output 2 3 4 16" xfId="12454" xr:uid="{C3AF7E48-3924-4A1E-81B2-DF4862254B3E}"/>
    <cellStyle name="Output 2 3 4 17" xfId="12455" xr:uid="{90673ED8-1A87-45BD-B44C-0A2C287078E7}"/>
    <cellStyle name="Output 2 3 4 18" xfId="12456" xr:uid="{97E02DF8-27CB-4BD6-B063-53EA02DA32B1}"/>
    <cellStyle name="Output 2 3 4 19" xfId="12457" xr:uid="{8CD6DCE5-541B-47E4-A154-6700354973DF}"/>
    <cellStyle name="Output 2 3 4 2" xfId="12458" xr:uid="{00C4C701-D2C5-4F22-AC0C-EB342AF29B00}"/>
    <cellStyle name="Output 2 3 4 2 10" xfId="12459" xr:uid="{617097AC-BE1B-4A17-BAA3-0D1A40B3DB57}"/>
    <cellStyle name="Output 2 3 4 2 11" xfId="12460" xr:uid="{20375C42-016B-4A42-A05F-99FE3268CD36}"/>
    <cellStyle name="Output 2 3 4 2 12" xfId="12461" xr:uid="{D671F544-489B-493A-ADE4-1D3FAEB01E58}"/>
    <cellStyle name="Output 2 3 4 2 13" xfId="12462" xr:uid="{3FF3A1EE-2818-4AD3-94F1-9F25B22C856B}"/>
    <cellStyle name="Output 2 3 4 2 14" xfId="12463" xr:uid="{1F86E105-E67D-4E00-BF4F-3EE94B3A24C6}"/>
    <cellStyle name="Output 2 3 4 2 15" xfId="12464" xr:uid="{8C500E87-2619-4E09-8378-5853D19D8EA6}"/>
    <cellStyle name="Output 2 3 4 2 16" xfId="12465" xr:uid="{40529E0A-A0B0-4652-AA45-2858F70E2D1D}"/>
    <cellStyle name="Output 2 3 4 2 17" xfId="12466" xr:uid="{9205D2A8-D8E9-4E83-A997-C8DF5AE8DBB6}"/>
    <cellStyle name="Output 2 3 4 2 18" xfId="12467" xr:uid="{524229E4-B5AD-44F4-B8B4-F994FBF80A17}"/>
    <cellStyle name="Output 2 3 4 2 19" xfId="12468" xr:uid="{A67A3CDE-4958-431A-872D-A0C2C490F105}"/>
    <cellStyle name="Output 2 3 4 2 2" xfId="12469" xr:uid="{F04A7437-B473-496B-B5D6-CCBBB87AA492}"/>
    <cellStyle name="Output 2 3 4 2 3" xfId="12470" xr:uid="{E140A4F0-CE03-425A-84A4-A429B1AEDD38}"/>
    <cellStyle name="Output 2 3 4 2 4" xfId="12471" xr:uid="{E906F0C7-CBC5-4E0B-A9D7-E4B3D29D54D8}"/>
    <cellStyle name="Output 2 3 4 2 5" xfId="12472" xr:uid="{78C7FD2A-E809-42F2-8FC0-7F115FAFDA4C}"/>
    <cellStyle name="Output 2 3 4 2 6" xfId="12473" xr:uid="{BCCF7501-A393-4ECE-8DE4-4FC320617963}"/>
    <cellStyle name="Output 2 3 4 2 7" xfId="12474" xr:uid="{76D8746B-AB6E-4A87-A745-739DFC2D25A6}"/>
    <cellStyle name="Output 2 3 4 2 8" xfId="12475" xr:uid="{EBCA766B-0A82-4E1E-AC32-A86250952530}"/>
    <cellStyle name="Output 2 3 4 2 9" xfId="12476" xr:uid="{7E97E914-61E0-4BD7-AC28-8591EF365E7F}"/>
    <cellStyle name="Output 2 3 4 2_2013" xfId="12477" xr:uid="{20570830-C546-4117-A821-9C95B3651CC9}"/>
    <cellStyle name="Output 2 3 4 20" xfId="12478" xr:uid="{8FA2894B-F676-44B8-8401-8C036C98B667}"/>
    <cellStyle name="Output 2 3 4 3" xfId="12479" xr:uid="{3322CB70-FA2F-4D03-9885-62EC2AD21D71}"/>
    <cellStyle name="Output 2 3 4 4" xfId="12480" xr:uid="{C1484344-C829-4AE8-80AC-6E715AAE979B}"/>
    <cellStyle name="Output 2 3 4 5" xfId="12481" xr:uid="{9DFC1320-8F27-4E19-9F4B-E058AE9FF874}"/>
    <cellStyle name="Output 2 3 4 6" xfId="12482" xr:uid="{B14038B7-F6A8-404D-BF2D-C68C510BC702}"/>
    <cellStyle name="Output 2 3 4 7" xfId="12483" xr:uid="{0037F8B2-0D4E-4274-9343-66EADC5EFA94}"/>
    <cellStyle name="Output 2 3 4 8" xfId="12484" xr:uid="{B963914A-49F3-4516-ABF6-AD00B7314B35}"/>
    <cellStyle name="Output 2 3 4 9" xfId="12485" xr:uid="{A7CD738C-BA0A-4536-9360-D1CD6778DDC3}"/>
    <cellStyle name="Output 2 3 4_2013" xfId="12486" xr:uid="{80A1B8D4-FC50-4DFE-AD46-D08104E12BDB}"/>
    <cellStyle name="Output 2 3 5" xfId="12487" xr:uid="{CDC89627-4B33-475E-98BB-B8187A75633D}"/>
    <cellStyle name="Output 2 3 5 10" xfId="12488" xr:uid="{79AF49E2-697E-4581-B540-2EDB34525CDF}"/>
    <cellStyle name="Output 2 3 5 11" xfId="12489" xr:uid="{B0F9DA8E-5CC2-403F-9CAF-D08ED4DC71A1}"/>
    <cellStyle name="Output 2 3 5 12" xfId="12490" xr:uid="{1CC2CD39-A2FA-4631-8D3D-8FE33BD6DCD2}"/>
    <cellStyle name="Output 2 3 5 13" xfId="12491" xr:uid="{1AFBE9C0-1223-486D-93CD-2914AE4D5ED5}"/>
    <cellStyle name="Output 2 3 5 14" xfId="12492" xr:uid="{FF3118C6-A65A-4309-93DA-0F0FBB5483A1}"/>
    <cellStyle name="Output 2 3 5 15" xfId="12493" xr:uid="{9FC92A57-012B-4389-B0CA-C8F815BB6C4E}"/>
    <cellStyle name="Output 2 3 5 16" xfId="12494" xr:uid="{225DC49F-A063-4ADE-9674-0CA4405B981B}"/>
    <cellStyle name="Output 2 3 5 17" xfId="12495" xr:uid="{4C664E16-FCF7-4A15-968D-59B94319DC1F}"/>
    <cellStyle name="Output 2 3 5 18" xfId="12496" xr:uid="{47EBE786-4B72-4703-AC17-9F8B3C12E051}"/>
    <cellStyle name="Output 2 3 5 19" xfId="12497" xr:uid="{2F92D732-AD46-4DAA-A83B-F427A84FA931}"/>
    <cellStyle name="Output 2 3 5 2" xfId="12498" xr:uid="{48EF978A-2906-4BD0-BE24-2F8854E2F491}"/>
    <cellStyle name="Output 2 3 5 2 10" xfId="12499" xr:uid="{B57AD76A-9B62-4490-A9F5-EFE9E910B70D}"/>
    <cellStyle name="Output 2 3 5 2 11" xfId="12500" xr:uid="{BD4413A0-C771-42A3-BF82-9533D3AD4C92}"/>
    <cellStyle name="Output 2 3 5 2 12" xfId="12501" xr:uid="{829F52B6-ACDC-4F92-88FE-F66114709FFC}"/>
    <cellStyle name="Output 2 3 5 2 13" xfId="12502" xr:uid="{361B07D1-2010-423A-8DE2-230E1A6274E6}"/>
    <cellStyle name="Output 2 3 5 2 14" xfId="12503" xr:uid="{D72409DA-1CF9-4E1A-94C4-F7FCC7CDE7C8}"/>
    <cellStyle name="Output 2 3 5 2 15" xfId="12504" xr:uid="{7273FA09-2DC0-48FD-A2EA-25551E69BB4B}"/>
    <cellStyle name="Output 2 3 5 2 16" xfId="12505" xr:uid="{23D534F7-D107-45E0-95F5-1E4289186329}"/>
    <cellStyle name="Output 2 3 5 2 17" xfId="12506" xr:uid="{DED51F12-32A7-4D50-AA83-03CEB2146A69}"/>
    <cellStyle name="Output 2 3 5 2 18" xfId="12507" xr:uid="{147684F1-8AFB-4721-A506-48970BBDFFC6}"/>
    <cellStyle name="Output 2 3 5 2 19" xfId="12508" xr:uid="{C3B80B57-BF1A-4973-99E7-5AE48F47B31E}"/>
    <cellStyle name="Output 2 3 5 2 2" xfId="12509" xr:uid="{0A86D1A1-AA91-4E00-BF55-FCE139264B72}"/>
    <cellStyle name="Output 2 3 5 2 3" xfId="12510" xr:uid="{A95E6254-DD26-4F6D-A033-05A4A8F7372B}"/>
    <cellStyle name="Output 2 3 5 2 4" xfId="12511" xr:uid="{C3E08CF4-6541-4809-881A-E83789481F55}"/>
    <cellStyle name="Output 2 3 5 2 5" xfId="12512" xr:uid="{1DE89AE3-459E-4934-9AA8-BED44661DF9F}"/>
    <cellStyle name="Output 2 3 5 2 6" xfId="12513" xr:uid="{FCF86887-2B4A-4F96-8043-E26288EF8436}"/>
    <cellStyle name="Output 2 3 5 2 7" xfId="12514" xr:uid="{5DC67BD7-E714-45CB-BB4C-359972015C9E}"/>
    <cellStyle name="Output 2 3 5 2 8" xfId="12515" xr:uid="{3BEBA31D-FE64-45D2-A798-0B8B18C2FF55}"/>
    <cellStyle name="Output 2 3 5 2 9" xfId="12516" xr:uid="{081F28F7-7321-47ED-B581-8F6122AFD0F0}"/>
    <cellStyle name="Output 2 3 5 2_2013" xfId="12517" xr:uid="{9E87F912-788B-45D4-8E93-8D248F7A0E6B}"/>
    <cellStyle name="Output 2 3 5 20" xfId="12518" xr:uid="{5AB547EE-1F7A-4247-B9DB-4932AD709062}"/>
    <cellStyle name="Output 2 3 5 3" xfId="12519" xr:uid="{32C8C3BB-E06E-4BA1-8423-142CCF725B7C}"/>
    <cellStyle name="Output 2 3 5 4" xfId="12520" xr:uid="{1512AA94-71D8-4180-B645-35DFAFC59FCD}"/>
    <cellStyle name="Output 2 3 5 5" xfId="12521" xr:uid="{947F9A52-AC15-483A-B016-B7F9885C3365}"/>
    <cellStyle name="Output 2 3 5 6" xfId="12522" xr:uid="{6EEE69C9-E166-4C34-80BA-CC726076D85F}"/>
    <cellStyle name="Output 2 3 5 7" xfId="12523" xr:uid="{A4D5AC91-D982-4591-BF5F-6D719F7BC520}"/>
    <cellStyle name="Output 2 3 5 8" xfId="12524" xr:uid="{0A764EB2-FF19-4E91-B9A8-79F28E514640}"/>
    <cellStyle name="Output 2 3 5 9" xfId="12525" xr:uid="{B034604E-209A-4061-968F-707C02BEDC7B}"/>
    <cellStyle name="Output 2 3 5_2013" xfId="12526" xr:uid="{354C3ED3-5500-4F4A-9D48-3656183014E0}"/>
    <cellStyle name="Output 2 3 6" xfId="12527" xr:uid="{E9E690DC-5AD6-44ED-9E11-2D5C9E56A2D9}"/>
    <cellStyle name="Output 2 3 6 10" xfId="12528" xr:uid="{AD870517-7EBF-47FD-B13D-36B968F32D60}"/>
    <cellStyle name="Output 2 3 6 11" xfId="12529" xr:uid="{3787B183-B8D2-4515-9AD1-262B56A62FE8}"/>
    <cellStyle name="Output 2 3 6 12" xfId="12530" xr:uid="{4BC7D303-12BC-400E-A82A-ABBB0FA00FE3}"/>
    <cellStyle name="Output 2 3 6 13" xfId="12531" xr:uid="{CE54E482-0943-4EE4-A63D-ABEA19052702}"/>
    <cellStyle name="Output 2 3 6 14" xfId="12532" xr:uid="{4E0808D1-353E-450A-878F-0829F136BC75}"/>
    <cellStyle name="Output 2 3 6 15" xfId="12533" xr:uid="{832F8B07-85FC-45D7-99ED-8C8FBBC1AE0B}"/>
    <cellStyle name="Output 2 3 6 16" xfId="12534" xr:uid="{816CABF9-4024-4375-8A66-40D9E686AB9C}"/>
    <cellStyle name="Output 2 3 6 17" xfId="12535" xr:uid="{BD23C679-29BE-46CE-A394-30134D10DCC2}"/>
    <cellStyle name="Output 2 3 6 18" xfId="12536" xr:uid="{58FC55B3-E6C4-495D-8896-D7071DFA4F91}"/>
    <cellStyle name="Output 2 3 6 19" xfId="12537" xr:uid="{4A225612-A311-42AB-96CC-78A0A29B2580}"/>
    <cellStyle name="Output 2 3 6 2" xfId="12538" xr:uid="{088ED70A-1CFF-4A84-9EE5-96F31BC86E92}"/>
    <cellStyle name="Output 2 3 6 3" xfId="12539" xr:uid="{3FAA0D72-37E2-4243-AC88-DD88F3B1EC43}"/>
    <cellStyle name="Output 2 3 6 4" xfId="12540" xr:uid="{DF2C5D89-74B0-4C98-82E8-2030686DE2DE}"/>
    <cellStyle name="Output 2 3 6 5" xfId="12541" xr:uid="{38FE6E52-93CB-4C39-AD35-7AAB9844B932}"/>
    <cellStyle name="Output 2 3 6 6" xfId="12542" xr:uid="{5BFEC387-FC7C-4714-9249-91FA2211D64E}"/>
    <cellStyle name="Output 2 3 6 7" xfId="12543" xr:uid="{F1F22280-7498-41A1-B51F-FC37C55D09CF}"/>
    <cellStyle name="Output 2 3 6 8" xfId="12544" xr:uid="{A6E92755-4A02-4BF7-84A7-E1196DD020A3}"/>
    <cellStyle name="Output 2 3 6 9" xfId="12545" xr:uid="{36E0E675-4F53-43C3-95F8-5B081FA9AE32}"/>
    <cellStyle name="Output 2 3 6_2013" xfId="12546" xr:uid="{8CD83768-E078-4242-A98C-5367B364209C}"/>
    <cellStyle name="Output 2 3 7" xfId="12547" xr:uid="{548B7B45-BF60-4015-ACEB-F26F90EE360D}"/>
    <cellStyle name="Output 2 3 7 2" xfId="12548" xr:uid="{B25ACF71-D6BC-4129-95F3-0F90147C00AD}"/>
    <cellStyle name="Output 2 3 7_2013" xfId="12549" xr:uid="{E77BA1C4-3FE7-4B21-919A-503C12E24798}"/>
    <cellStyle name="Output 2 3 8" xfId="12550" xr:uid="{A3F93B83-87CF-4D70-9468-BB95D00EADBB}"/>
    <cellStyle name="Output 2 3 9" xfId="12551" xr:uid="{8D9E6C26-94CE-4EFC-B1B4-5A7BC9A707CC}"/>
    <cellStyle name="Output 2 3_2013" xfId="12552" xr:uid="{BA928EBF-6980-44FD-8FBB-F8B6A602E72E}"/>
    <cellStyle name="Output 2 4" xfId="12553" xr:uid="{AA313F30-A847-474E-A4B2-99D40EF05753}"/>
    <cellStyle name="Output 2 4 10" xfId="12554" xr:uid="{CA003E1F-F0D3-4D9A-B875-7A31511488F2}"/>
    <cellStyle name="Output 2 4 11" xfId="12555" xr:uid="{F77D2E29-69A9-4A31-A7BE-1ADD60FA4163}"/>
    <cellStyle name="Output 2 4 12" xfId="12556" xr:uid="{A1C6D7C1-4EF0-4D82-B4A6-2FB007E2BB1D}"/>
    <cellStyle name="Output 2 4 13" xfId="12557" xr:uid="{39ECDC16-BC5A-41F6-A475-8EC90DD6CC2A}"/>
    <cellStyle name="Output 2 4 14" xfId="12558" xr:uid="{6927A1AB-4712-4F6A-A993-91C3975B8FEE}"/>
    <cellStyle name="Output 2 4 15" xfId="12559" xr:uid="{A18FBB1E-F12E-4F33-85F7-8086D73DF3C6}"/>
    <cellStyle name="Output 2 4 16" xfId="12560" xr:uid="{6BF15C9C-5CED-407E-9541-1B8F0E5413FD}"/>
    <cellStyle name="Output 2 4 17" xfId="12561" xr:uid="{9BE58B1A-2986-4F2D-9398-95F010C9DCE3}"/>
    <cellStyle name="Output 2 4 18" xfId="12562" xr:uid="{DCB5B4AD-837D-4E25-A642-410A59AAA837}"/>
    <cellStyle name="Output 2 4 19" xfId="12563" xr:uid="{1D2F3DAF-CC3E-4BBF-B91C-0DEA896BF81A}"/>
    <cellStyle name="Output 2 4 2" xfId="12564" xr:uid="{625A3BFA-262C-4AC5-AD8E-C86967D09607}"/>
    <cellStyle name="Output 2 4 2 10" xfId="12565" xr:uid="{C20F0F44-E8B8-4B36-8446-F8DCAE0CF821}"/>
    <cellStyle name="Output 2 4 2 11" xfId="12566" xr:uid="{E7CE00D0-EC0A-4727-A793-20C2249DF067}"/>
    <cellStyle name="Output 2 4 2 12" xfId="12567" xr:uid="{6EEDDDEB-68BC-4F32-B334-E8717D578070}"/>
    <cellStyle name="Output 2 4 2 13" xfId="12568" xr:uid="{ED0D5C5B-20F3-4B70-B6A3-01C8CD7B9941}"/>
    <cellStyle name="Output 2 4 2 14" xfId="12569" xr:uid="{3CBCADE8-E6B0-483F-8DEE-322158EF0BB7}"/>
    <cellStyle name="Output 2 4 2 15" xfId="12570" xr:uid="{81D51415-5816-48B7-9E7F-F52A84C3D716}"/>
    <cellStyle name="Output 2 4 2 16" xfId="12571" xr:uid="{087DC96F-1472-4BB6-BA7D-E74548330286}"/>
    <cellStyle name="Output 2 4 2 17" xfId="12572" xr:uid="{3B961AF3-19F8-450B-B960-BD9EB4D2FCCF}"/>
    <cellStyle name="Output 2 4 2 18" xfId="12573" xr:uid="{282C83CD-3E47-4FA3-94E4-B602889C4632}"/>
    <cellStyle name="Output 2 4 2 19" xfId="12574" xr:uid="{A5FC65FF-5F86-40A1-9E46-22E55AB41BD6}"/>
    <cellStyle name="Output 2 4 2 2" xfId="12575" xr:uid="{F7F5FFDD-6A05-47FB-9DB0-78E0ED551924}"/>
    <cellStyle name="Output 2 4 2 2 10" xfId="12576" xr:uid="{0ECA920C-E24D-4CE9-BB4D-4ECB366FB539}"/>
    <cellStyle name="Output 2 4 2 2 11" xfId="12577" xr:uid="{44F003A2-2367-4A7D-B936-7F355BC1E2E7}"/>
    <cellStyle name="Output 2 4 2 2 12" xfId="12578" xr:uid="{BD67C68D-1B8D-4B7A-80E1-F5B4DC34FB74}"/>
    <cellStyle name="Output 2 4 2 2 13" xfId="12579" xr:uid="{31E61FF0-B4E4-4BA0-9EAC-C4AA8C2D7B42}"/>
    <cellStyle name="Output 2 4 2 2 14" xfId="12580" xr:uid="{C01AA50B-F98C-43D8-B2F6-692855A736D9}"/>
    <cellStyle name="Output 2 4 2 2 15" xfId="12581" xr:uid="{B7444C3D-CFAE-46CC-9ADC-2BF359267A64}"/>
    <cellStyle name="Output 2 4 2 2 16" xfId="12582" xr:uid="{2A12225B-E172-4506-B39D-BEBBBC5B6FC3}"/>
    <cellStyle name="Output 2 4 2 2 17" xfId="12583" xr:uid="{1C1E1915-B5A5-43B6-B656-E82233C1F170}"/>
    <cellStyle name="Output 2 4 2 2 18" xfId="12584" xr:uid="{64BD73BE-CCC6-4DA6-8F8D-66093BCE5429}"/>
    <cellStyle name="Output 2 4 2 2 19" xfId="12585" xr:uid="{B43B2EDC-F3E6-42D9-9038-8E08636F2EFC}"/>
    <cellStyle name="Output 2 4 2 2 2" xfId="12586" xr:uid="{0B872727-1E0E-4B80-8C06-F9B85BA641A3}"/>
    <cellStyle name="Output 2 4 2 2 2 10" xfId="12587" xr:uid="{64A69072-B6FC-4543-A341-54AD88CDE09F}"/>
    <cellStyle name="Output 2 4 2 2 2 11" xfId="12588" xr:uid="{BF84589C-9DEC-4533-AD74-6D23F5D190F8}"/>
    <cellStyle name="Output 2 4 2 2 2 12" xfId="12589" xr:uid="{318348BC-18E2-4AAD-99AD-6531A9A3DFC9}"/>
    <cellStyle name="Output 2 4 2 2 2 13" xfId="12590" xr:uid="{25C74D13-247D-4310-AFC1-04E2CE04A6F4}"/>
    <cellStyle name="Output 2 4 2 2 2 14" xfId="12591" xr:uid="{7E99425B-99AC-4B0C-A5FB-F28086433A10}"/>
    <cellStyle name="Output 2 4 2 2 2 15" xfId="12592" xr:uid="{40931583-9E4E-4C06-BEC4-386B30247DDC}"/>
    <cellStyle name="Output 2 4 2 2 2 16" xfId="12593" xr:uid="{536D0F1B-5F6A-40AD-A11B-130FBF2C20C8}"/>
    <cellStyle name="Output 2 4 2 2 2 17" xfId="12594" xr:uid="{7F5BA2A1-A34F-4D7A-A050-66A16547871E}"/>
    <cellStyle name="Output 2 4 2 2 2 18" xfId="12595" xr:uid="{520B60DD-BAF3-4B4F-A65C-000EC6D4C901}"/>
    <cellStyle name="Output 2 4 2 2 2 19" xfId="12596" xr:uid="{56A413D9-B3BD-4429-81B3-4AEBD6C9E28E}"/>
    <cellStyle name="Output 2 4 2 2 2 2" xfId="12597" xr:uid="{F888F8C2-4021-4F1A-A0A5-437BB277DA57}"/>
    <cellStyle name="Output 2 4 2 2 2 3" xfId="12598" xr:uid="{4C1AD2F7-1844-4619-B066-3CCF8F187911}"/>
    <cellStyle name="Output 2 4 2 2 2 4" xfId="12599" xr:uid="{09025E72-DDDC-44E1-98C5-C382E1BBAA96}"/>
    <cellStyle name="Output 2 4 2 2 2 5" xfId="12600" xr:uid="{734B55D3-233A-4686-8312-E507FB762C4A}"/>
    <cellStyle name="Output 2 4 2 2 2 6" xfId="12601" xr:uid="{26690446-93ED-43FC-9508-0E8CABF7382E}"/>
    <cellStyle name="Output 2 4 2 2 2 7" xfId="12602" xr:uid="{5F09B9F7-385C-4A5C-B61E-61E753E16211}"/>
    <cellStyle name="Output 2 4 2 2 2 8" xfId="12603" xr:uid="{AC3F6BFA-51ED-4CEA-806E-59A686DC0161}"/>
    <cellStyle name="Output 2 4 2 2 2 9" xfId="12604" xr:uid="{5D60559E-3248-4821-8FEE-9C290D4CE2EF}"/>
    <cellStyle name="Output 2 4 2 2 2_2013" xfId="12605" xr:uid="{2EF1B51B-B112-4B52-BCB2-12B175EADA67}"/>
    <cellStyle name="Output 2 4 2 2 20" xfId="12606" xr:uid="{06C454BE-C510-4CBB-A8C1-9A949E915747}"/>
    <cellStyle name="Output 2 4 2 2 3" xfId="12607" xr:uid="{5E8629F5-5E3D-49E1-B483-F071F3FD0294}"/>
    <cellStyle name="Output 2 4 2 2 4" xfId="12608" xr:uid="{0EA99334-7441-4B6E-B848-4FDB8337D656}"/>
    <cellStyle name="Output 2 4 2 2 5" xfId="12609" xr:uid="{9B25BCDA-9CE4-41FA-8B77-B6330EFDD8DE}"/>
    <cellStyle name="Output 2 4 2 2 6" xfId="12610" xr:uid="{E0738A70-A54D-4781-9398-BD0C32A0AA4F}"/>
    <cellStyle name="Output 2 4 2 2 7" xfId="12611" xr:uid="{8EEEA1DF-418F-4341-B627-D590B41CAF43}"/>
    <cellStyle name="Output 2 4 2 2 8" xfId="12612" xr:uid="{D9FC2590-84BA-4F46-8CFC-C58CECB8069B}"/>
    <cellStyle name="Output 2 4 2 2 9" xfId="12613" xr:uid="{C9DA033E-F3C7-48B7-881B-C9E67DE983F3}"/>
    <cellStyle name="Output 2 4 2 2_2013" xfId="12614" xr:uid="{3A919B5B-7329-4C8F-ABDF-655C7DC77393}"/>
    <cellStyle name="Output 2 4 2 20" xfId="12615" xr:uid="{9A32F011-950B-47AA-8260-3A53FEF9C610}"/>
    <cellStyle name="Output 2 4 2 21" xfId="12616" xr:uid="{B59B3708-3C82-499D-BBEF-9CE347924797}"/>
    <cellStyle name="Output 2 4 2 22" xfId="12617" xr:uid="{354D733E-1142-415E-91D6-C76FCD53AB76}"/>
    <cellStyle name="Output 2 4 2 3" xfId="12618" xr:uid="{FFD747B0-27A4-4B4B-BD95-F8D9454A023E}"/>
    <cellStyle name="Output 2 4 2 3 10" xfId="12619" xr:uid="{A0A7199F-8ACC-4F6B-95C5-1CC852DC9BCF}"/>
    <cellStyle name="Output 2 4 2 3 11" xfId="12620" xr:uid="{3AF2BBF7-8459-4D2C-BF7E-D6A9282C6A1C}"/>
    <cellStyle name="Output 2 4 2 3 12" xfId="12621" xr:uid="{F0BEFEAE-50F1-4A90-8931-3300B63305DF}"/>
    <cellStyle name="Output 2 4 2 3 13" xfId="12622" xr:uid="{6EA47B81-468E-4C9A-BEE5-7C573F598265}"/>
    <cellStyle name="Output 2 4 2 3 14" xfId="12623" xr:uid="{38A667E8-B963-4694-9550-01DFA9EA58E0}"/>
    <cellStyle name="Output 2 4 2 3 15" xfId="12624" xr:uid="{3316AFC0-4EB5-445F-8FC4-58E6CEACA996}"/>
    <cellStyle name="Output 2 4 2 3 16" xfId="12625" xr:uid="{BABD4FD1-E8B5-4FFD-9A74-D64AE7B2FECC}"/>
    <cellStyle name="Output 2 4 2 3 17" xfId="12626" xr:uid="{04638F11-19C8-4CFD-A916-CDA1DF41856A}"/>
    <cellStyle name="Output 2 4 2 3 18" xfId="12627" xr:uid="{39D720D0-BCA5-4807-9E20-2A803CF9AE15}"/>
    <cellStyle name="Output 2 4 2 3 19" xfId="12628" xr:uid="{3FEB39D8-53FD-4EB7-8818-CED61EEAE21D}"/>
    <cellStyle name="Output 2 4 2 3 2" xfId="12629" xr:uid="{0366C5CE-4704-439D-8B6B-FB7C3DB268D4}"/>
    <cellStyle name="Output 2 4 2 3 2 10" xfId="12630" xr:uid="{79FF91AE-CE45-4ADA-B362-9A7E090E31D3}"/>
    <cellStyle name="Output 2 4 2 3 2 11" xfId="12631" xr:uid="{287E0C26-A580-44D0-86D2-5B2F14299540}"/>
    <cellStyle name="Output 2 4 2 3 2 12" xfId="12632" xr:uid="{84198C63-66E6-4DE6-9593-2917FFDF6031}"/>
    <cellStyle name="Output 2 4 2 3 2 13" xfId="12633" xr:uid="{6A3776CB-F6E2-46F1-9352-2C99755DA196}"/>
    <cellStyle name="Output 2 4 2 3 2 14" xfId="12634" xr:uid="{CF882C16-770A-46D1-AE6E-41518D77CBED}"/>
    <cellStyle name="Output 2 4 2 3 2 15" xfId="12635" xr:uid="{1DF9410A-765C-462F-B075-8BDAF206C2E4}"/>
    <cellStyle name="Output 2 4 2 3 2 16" xfId="12636" xr:uid="{7247563A-F376-4A83-AF8D-7E5D112C1E24}"/>
    <cellStyle name="Output 2 4 2 3 2 17" xfId="12637" xr:uid="{3A0FF65F-A0C8-4DA1-A96B-6189A3DE8A0B}"/>
    <cellStyle name="Output 2 4 2 3 2 18" xfId="12638" xr:uid="{35407EEB-D664-4FCC-BCBB-B8FE7821FB8F}"/>
    <cellStyle name="Output 2 4 2 3 2 19" xfId="12639" xr:uid="{433FE2EB-FD1A-42BB-92C5-2A6E7057BB33}"/>
    <cellStyle name="Output 2 4 2 3 2 2" xfId="12640" xr:uid="{3A5463FF-A2E2-47E0-BD5C-AD951ED69F26}"/>
    <cellStyle name="Output 2 4 2 3 2 3" xfId="12641" xr:uid="{D1F610FC-8039-4A72-B2C6-30FACFBBC920}"/>
    <cellStyle name="Output 2 4 2 3 2 4" xfId="12642" xr:uid="{2EF2C8DD-E5FE-44F2-8798-3BB8FCF828EB}"/>
    <cellStyle name="Output 2 4 2 3 2 5" xfId="12643" xr:uid="{0C48E4F5-D280-401A-952D-9FC55C57E493}"/>
    <cellStyle name="Output 2 4 2 3 2 6" xfId="12644" xr:uid="{8A7A7B25-F217-4E85-B6FA-70A302BC0EC1}"/>
    <cellStyle name="Output 2 4 2 3 2 7" xfId="12645" xr:uid="{05E1ECEF-6823-41B9-B900-990E8AC4CDB6}"/>
    <cellStyle name="Output 2 4 2 3 2 8" xfId="12646" xr:uid="{CF4F19D0-C2FA-4EB4-BE84-67492C12498A}"/>
    <cellStyle name="Output 2 4 2 3 2 9" xfId="12647" xr:uid="{D94BFF78-B85F-42E1-BE3F-680F3CA06784}"/>
    <cellStyle name="Output 2 4 2 3 2_2013" xfId="12648" xr:uid="{0CDA4C49-59D8-4AF8-A9EF-46F0D60E8AA3}"/>
    <cellStyle name="Output 2 4 2 3 20" xfId="12649" xr:uid="{DA00B88E-22F4-4FC1-BBA5-3229284BF05B}"/>
    <cellStyle name="Output 2 4 2 3 3" xfId="12650" xr:uid="{9A17EF3F-7A43-417F-B4AA-0BDBE3238D8B}"/>
    <cellStyle name="Output 2 4 2 3 4" xfId="12651" xr:uid="{A1D74A98-7714-42C7-89CC-89C138560AF2}"/>
    <cellStyle name="Output 2 4 2 3 5" xfId="12652" xr:uid="{9179B560-A2BB-4C8E-8579-DA693794E827}"/>
    <cellStyle name="Output 2 4 2 3 6" xfId="12653" xr:uid="{35EB569A-EB19-4EBC-ABEF-4B2741B2EC7D}"/>
    <cellStyle name="Output 2 4 2 3 7" xfId="12654" xr:uid="{A6C25623-A69D-40FA-9B8B-D609B1E50B14}"/>
    <cellStyle name="Output 2 4 2 3 8" xfId="12655" xr:uid="{C66AA8FB-F0AF-4BC4-950A-C4EBB3F56D08}"/>
    <cellStyle name="Output 2 4 2 3 9" xfId="12656" xr:uid="{0CF83E73-D4EB-4DDF-9B69-68CF957C86A0}"/>
    <cellStyle name="Output 2 4 2 3_2013" xfId="12657" xr:uid="{C093F8FE-654C-485E-97C4-A28E5D3FB21C}"/>
    <cellStyle name="Output 2 4 2 4" xfId="12658" xr:uid="{C9A5FF04-A7B2-49C4-9304-45377A00F8FE}"/>
    <cellStyle name="Output 2 4 2 4 10" xfId="12659" xr:uid="{F1A93F5B-01D3-4F2A-8417-FA3AFE8007FB}"/>
    <cellStyle name="Output 2 4 2 4 11" xfId="12660" xr:uid="{F9ED56C0-0736-443F-A24B-2961CCEAF7B1}"/>
    <cellStyle name="Output 2 4 2 4 12" xfId="12661" xr:uid="{F3F447F6-379A-424D-93C5-7FED87BBCCBA}"/>
    <cellStyle name="Output 2 4 2 4 13" xfId="12662" xr:uid="{1C39BDE3-8A63-4400-9641-ADEF147A9D3A}"/>
    <cellStyle name="Output 2 4 2 4 14" xfId="12663" xr:uid="{FA2EFF53-DF34-49AC-BDD5-EECA8E1877E4}"/>
    <cellStyle name="Output 2 4 2 4 15" xfId="12664" xr:uid="{86F3F87C-3E50-4D1E-9BA7-6810409FDE61}"/>
    <cellStyle name="Output 2 4 2 4 16" xfId="12665" xr:uid="{2C9038C4-76BB-4839-9F48-DC4E9BFC1D50}"/>
    <cellStyle name="Output 2 4 2 4 17" xfId="12666" xr:uid="{C6D8CD58-2BF8-422A-A95C-E5661BF7474D}"/>
    <cellStyle name="Output 2 4 2 4 18" xfId="12667" xr:uid="{D4F77459-C8A4-4281-BB90-E54B41B1940B}"/>
    <cellStyle name="Output 2 4 2 4 19" xfId="12668" xr:uid="{C916BEC0-FBEA-4BBC-A9ED-1B21DE4E8605}"/>
    <cellStyle name="Output 2 4 2 4 2" xfId="12669" xr:uid="{6AEBD864-2E9C-4D8C-86F5-9B0CE9E33993}"/>
    <cellStyle name="Output 2 4 2 4 3" xfId="12670" xr:uid="{3F8270AD-2299-4151-9957-B050DDD75E1C}"/>
    <cellStyle name="Output 2 4 2 4 4" xfId="12671" xr:uid="{7F580FB8-2FDA-4554-A275-D04E2D72D091}"/>
    <cellStyle name="Output 2 4 2 4 5" xfId="12672" xr:uid="{F8F9C879-0386-42CD-80FF-C4741D998D16}"/>
    <cellStyle name="Output 2 4 2 4 6" xfId="12673" xr:uid="{B3B90BFE-DD0A-4B7B-A260-F138C9F9B456}"/>
    <cellStyle name="Output 2 4 2 4 7" xfId="12674" xr:uid="{C9A2602E-70C7-43FD-B635-3BED1A037E48}"/>
    <cellStyle name="Output 2 4 2 4 8" xfId="12675" xr:uid="{4F52552C-BBD9-4037-B1AB-F5998F5E54FF}"/>
    <cellStyle name="Output 2 4 2 4 9" xfId="12676" xr:uid="{13784FAE-71BB-476C-92B4-87B0C0F2E8B4}"/>
    <cellStyle name="Output 2 4 2 4_2013" xfId="12677" xr:uid="{4521EC7F-8A56-4A96-99D5-24F6EF47A419}"/>
    <cellStyle name="Output 2 4 2 5" xfId="12678" xr:uid="{65BDF35D-6DBA-4D4C-8B36-2C199F32482D}"/>
    <cellStyle name="Output 2 4 2 6" xfId="12679" xr:uid="{ED21A3F1-4485-4035-B66C-D5A345568A4C}"/>
    <cellStyle name="Output 2 4 2 7" xfId="12680" xr:uid="{39C65AF2-2F6E-44F5-B4C8-2032D85F3CF8}"/>
    <cellStyle name="Output 2 4 2 8" xfId="12681" xr:uid="{1450C03D-E7C5-49F9-AB1C-4C869116CEE5}"/>
    <cellStyle name="Output 2 4 2 9" xfId="12682" xr:uid="{4FA2C9A6-1404-4A14-B525-82BF4E41EAD9}"/>
    <cellStyle name="Output 2 4 2_2013" xfId="12683" xr:uid="{3232BCA6-8E28-4113-9E99-8B08C21CB942}"/>
    <cellStyle name="Output 2 4 20" xfId="12684" xr:uid="{016B8959-DE8A-4A0D-80D2-5782EA185867}"/>
    <cellStyle name="Output 2 4 21" xfId="12685" xr:uid="{71A419E0-58BD-47E7-99FD-29C2EC84397C}"/>
    <cellStyle name="Output 2 4 22" xfId="12686" xr:uid="{89BBC920-6F7E-4973-ADD8-DC2EEF3E4AE8}"/>
    <cellStyle name="Output 2 4 23" xfId="12687" xr:uid="{D303ADD1-7AE8-4492-9CF3-03BB8A6916F8}"/>
    <cellStyle name="Output 2 4 24" xfId="12688" xr:uid="{04F30505-1938-4155-B089-6DCE499041AE}"/>
    <cellStyle name="Output 2 4 3" xfId="12689" xr:uid="{07975603-B426-466C-A98F-E08FD30CEA8A}"/>
    <cellStyle name="Output 2 4 3 10" xfId="12690" xr:uid="{FE058FC5-9C45-468D-A94D-B30E27BE6A6B}"/>
    <cellStyle name="Output 2 4 3 11" xfId="12691" xr:uid="{4B280B80-56C5-47A0-B566-3D47CC7BFEAC}"/>
    <cellStyle name="Output 2 4 3 12" xfId="12692" xr:uid="{D20B69A2-1348-4433-83D6-7E4497314D7B}"/>
    <cellStyle name="Output 2 4 3 13" xfId="12693" xr:uid="{B8F44A7C-E089-4AAB-A525-51E13FA6B100}"/>
    <cellStyle name="Output 2 4 3 14" xfId="12694" xr:uid="{8DF4F00D-A974-4F53-A187-B2A165780338}"/>
    <cellStyle name="Output 2 4 3 15" xfId="12695" xr:uid="{6EF41383-78BC-4559-B1FC-49D6AB1A3EB5}"/>
    <cellStyle name="Output 2 4 3 16" xfId="12696" xr:uid="{26208A3A-1C5E-47B6-A51C-10200C055E9C}"/>
    <cellStyle name="Output 2 4 3 17" xfId="12697" xr:uid="{4AD5FD0E-F4D0-4ACB-AC5C-D8390F763AA3}"/>
    <cellStyle name="Output 2 4 3 18" xfId="12698" xr:uid="{82E25764-9E9A-48BD-AA20-08DA94F39C5A}"/>
    <cellStyle name="Output 2 4 3 19" xfId="12699" xr:uid="{6C0A7814-B622-42EE-BB4B-A6F38848F673}"/>
    <cellStyle name="Output 2 4 3 2" xfId="12700" xr:uid="{9AB9B303-F8D6-4322-B0B5-05E6D07BE127}"/>
    <cellStyle name="Output 2 4 3 2 10" xfId="12701" xr:uid="{0F511C65-E578-41BB-8DC0-7DC4ACF4E1AB}"/>
    <cellStyle name="Output 2 4 3 2 11" xfId="12702" xr:uid="{3E196D53-F644-44A6-8110-02A7D765D0B3}"/>
    <cellStyle name="Output 2 4 3 2 12" xfId="12703" xr:uid="{AE2D3545-C0C8-47DD-9351-2FC9464C0B35}"/>
    <cellStyle name="Output 2 4 3 2 13" xfId="12704" xr:uid="{C0A2D7F9-3931-42DB-B1F7-0BF88B6A62BD}"/>
    <cellStyle name="Output 2 4 3 2 14" xfId="12705" xr:uid="{E663DAB0-4AF6-4891-AAD6-FB24B249DA5B}"/>
    <cellStyle name="Output 2 4 3 2 15" xfId="12706" xr:uid="{88E04E3B-F496-40C8-B760-BD414B748D37}"/>
    <cellStyle name="Output 2 4 3 2 16" xfId="12707" xr:uid="{64AF7DF1-08F1-4DD3-96A1-45C7882E0EFB}"/>
    <cellStyle name="Output 2 4 3 2 17" xfId="12708" xr:uid="{6212861F-8639-4554-AE49-C07ABE1C2973}"/>
    <cellStyle name="Output 2 4 3 2 18" xfId="12709" xr:uid="{4E278C4E-34E4-4A16-A8AE-A5070051638C}"/>
    <cellStyle name="Output 2 4 3 2 19" xfId="12710" xr:uid="{6B1149CD-B72F-4819-9B0C-F864D0E3B8A3}"/>
    <cellStyle name="Output 2 4 3 2 2" xfId="12711" xr:uid="{BF73C6D4-05B3-4ECC-9840-1B50796E4063}"/>
    <cellStyle name="Output 2 4 3 2 3" xfId="12712" xr:uid="{8770D2D6-A840-41ED-83EC-48EDC983C477}"/>
    <cellStyle name="Output 2 4 3 2 4" xfId="12713" xr:uid="{56DD64A1-8098-478B-959B-FC50D260FD9D}"/>
    <cellStyle name="Output 2 4 3 2 5" xfId="12714" xr:uid="{1045CB94-26E2-4A8A-B5A0-A9ED914F1B64}"/>
    <cellStyle name="Output 2 4 3 2 6" xfId="12715" xr:uid="{F018D22D-85B6-4F88-A395-60FCD40C590B}"/>
    <cellStyle name="Output 2 4 3 2 7" xfId="12716" xr:uid="{01CCEBD1-7274-4AD5-8D9D-E16DE500B455}"/>
    <cellStyle name="Output 2 4 3 2 8" xfId="12717" xr:uid="{71252C4A-C25C-440E-A8E9-E8195F24C56C}"/>
    <cellStyle name="Output 2 4 3 2 9" xfId="12718" xr:uid="{26085E4A-CF72-438E-BEAA-8DB6D9E6DC63}"/>
    <cellStyle name="Output 2 4 3 2_2013" xfId="12719" xr:uid="{3CCA572C-4D9C-42EA-9663-DFDDDD38F7F4}"/>
    <cellStyle name="Output 2 4 3 20" xfId="12720" xr:uid="{BCAB7DA1-E362-42D2-BEC3-D6DF801A03B0}"/>
    <cellStyle name="Output 2 4 3 3" xfId="12721" xr:uid="{E8354CE4-E8B1-4DA6-905A-66EE61829CDA}"/>
    <cellStyle name="Output 2 4 3 4" xfId="12722" xr:uid="{65927391-4F09-4A85-BF7B-7AEAEC11CCDE}"/>
    <cellStyle name="Output 2 4 3 5" xfId="12723" xr:uid="{9859FB16-93B1-422C-98E3-C3FDA0D3DD28}"/>
    <cellStyle name="Output 2 4 3 6" xfId="12724" xr:uid="{AA1CED18-07D9-4476-857F-DB7C52C6FFF0}"/>
    <cellStyle name="Output 2 4 3 7" xfId="12725" xr:uid="{22CD6D2C-BAA6-495C-89C5-3AF809ED1DBA}"/>
    <cellStyle name="Output 2 4 3 8" xfId="12726" xr:uid="{15FF0259-5EDA-4673-A32A-5A1B6352EC58}"/>
    <cellStyle name="Output 2 4 3 9" xfId="12727" xr:uid="{F66B0FF4-90C8-43DF-812C-EDE522E8BF3B}"/>
    <cellStyle name="Output 2 4 3_2013" xfId="12728" xr:uid="{31274B14-92A1-42BA-A648-7CD60BEE3558}"/>
    <cellStyle name="Output 2 4 4" xfId="12729" xr:uid="{4CE46D44-0127-4A6F-8EA0-89F862B81883}"/>
    <cellStyle name="Output 2 4 4 10" xfId="12730" xr:uid="{F4C7ABFE-E42F-4194-A374-D3D88BF1B800}"/>
    <cellStyle name="Output 2 4 4 11" xfId="12731" xr:uid="{9170D192-C6B8-4D52-A76E-FB6F4EBC5BB7}"/>
    <cellStyle name="Output 2 4 4 12" xfId="12732" xr:uid="{EFC396DA-0D78-46A4-AE54-A5D162CE4C7F}"/>
    <cellStyle name="Output 2 4 4 13" xfId="12733" xr:uid="{CEB302CC-F536-4CC1-A8BE-BE02B739A14B}"/>
    <cellStyle name="Output 2 4 4 14" xfId="12734" xr:uid="{E81D488B-F6BA-4C27-86D8-AABAC1005438}"/>
    <cellStyle name="Output 2 4 4 15" xfId="12735" xr:uid="{24872986-8C1A-48C4-874F-58D8160EC4ED}"/>
    <cellStyle name="Output 2 4 4 16" xfId="12736" xr:uid="{7CEA37AC-902E-441B-8E91-9D623862D708}"/>
    <cellStyle name="Output 2 4 4 17" xfId="12737" xr:uid="{185E108F-EE86-4EFC-A0EA-DA5F69D5249F}"/>
    <cellStyle name="Output 2 4 4 18" xfId="12738" xr:uid="{8B86ED80-C6AA-4DEA-A541-D4B803D2E288}"/>
    <cellStyle name="Output 2 4 4 19" xfId="12739" xr:uid="{BBD552DB-F20E-48C8-993F-400BC0117EFF}"/>
    <cellStyle name="Output 2 4 4 2" xfId="12740" xr:uid="{19A13902-2356-4EA8-9E65-6FBD1EBE3174}"/>
    <cellStyle name="Output 2 4 4 2 10" xfId="12741" xr:uid="{6DA7A263-DA65-4009-AD7C-CE32DC36214B}"/>
    <cellStyle name="Output 2 4 4 2 11" xfId="12742" xr:uid="{FF960B30-31EB-428A-8C1B-016FEDBAA792}"/>
    <cellStyle name="Output 2 4 4 2 12" xfId="12743" xr:uid="{176284FD-CA41-48EE-A833-268713D49C87}"/>
    <cellStyle name="Output 2 4 4 2 13" xfId="12744" xr:uid="{C10EC948-CC13-4233-9647-E6D5793D640B}"/>
    <cellStyle name="Output 2 4 4 2 14" xfId="12745" xr:uid="{B0EEE0ED-BA13-4CD0-BFB6-C63C4751F5C1}"/>
    <cellStyle name="Output 2 4 4 2 15" xfId="12746" xr:uid="{DEBB4C14-F4DF-4653-8DF4-BC360BB25A66}"/>
    <cellStyle name="Output 2 4 4 2 16" xfId="12747" xr:uid="{D94BED91-A11A-4B0C-87E7-2A0406AB7B0B}"/>
    <cellStyle name="Output 2 4 4 2 17" xfId="12748" xr:uid="{6664281D-6FDD-4407-BBDD-0D3846123A31}"/>
    <cellStyle name="Output 2 4 4 2 18" xfId="12749" xr:uid="{A03B3820-422D-413F-B850-FFF98057BF65}"/>
    <cellStyle name="Output 2 4 4 2 19" xfId="12750" xr:uid="{BB5F2E62-6071-4B48-A6FB-718F287F12E3}"/>
    <cellStyle name="Output 2 4 4 2 2" xfId="12751" xr:uid="{ABDB0B16-C4FC-4EF3-B922-66A66308DF0C}"/>
    <cellStyle name="Output 2 4 4 2 3" xfId="12752" xr:uid="{631B6800-243A-40D6-B4BE-1720CEFBCF88}"/>
    <cellStyle name="Output 2 4 4 2 4" xfId="12753" xr:uid="{35C83B4B-11FC-4C80-9278-B1326825B1B5}"/>
    <cellStyle name="Output 2 4 4 2 5" xfId="12754" xr:uid="{4CECE13F-9AA6-4066-A4DC-1771DFB987FB}"/>
    <cellStyle name="Output 2 4 4 2 6" xfId="12755" xr:uid="{374D29A0-E6FC-4E23-8ECF-2D480BB5A5A5}"/>
    <cellStyle name="Output 2 4 4 2 7" xfId="12756" xr:uid="{8FCC633A-9B64-4BCE-8C65-A1D041AED7F2}"/>
    <cellStyle name="Output 2 4 4 2 8" xfId="12757" xr:uid="{78268403-CFF0-432A-B5E2-9F1EFA367DC9}"/>
    <cellStyle name="Output 2 4 4 2 9" xfId="12758" xr:uid="{8DBC5329-2C50-4E84-BCA7-80E14C39CA3F}"/>
    <cellStyle name="Output 2 4 4 2_2013" xfId="12759" xr:uid="{3BBB6B3C-2135-425A-B333-E2B128845BD8}"/>
    <cellStyle name="Output 2 4 4 20" xfId="12760" xr:uid="{90D61713-7307-4F12-922A-1033B07437F9}"/>
    <cellStyle name="Output 2 4 4 3" xfId="12761" xr:uid="{1E0FFE65-5A2A-4172-91D5-19493AF422E1}"/>
    <cellStyle name="Output 2 4 4 4" xfId="12762" xr:uid="{FF2205D6-DA06-45AC-A00E-D9C19852EF9E}"/>
    <cellStyle name="Output 2 4 4 5" xfId="12763" xr:uid="{873649A7-A0DC-41E2-A047-BE5B08D5E8A6}"/>
    <cellStyle name="Output 2 4 4 6" xfId="12764" xr:uid="{2C33BE33-5873-40DD-9B09-AC07A27D8961}"/>
    <cellStyle name="Output 2 4 4 7" xfId="12765" xr:uid="{D97ED6FD-FBFE-49B9-A748-34F97A240C0F}"/>
    <cellStyle name="Output 2 4 4 8" xfId="12766" xr:uid="{C38BFBCD-9979-4E01-9EAA-82ACE99244B8}"/>
    <cellStyle name="Output 2 4 4 9" xfId="12767" xr:uid="{D7C8150C-D0D0-46B9-90D3-A3EB3E4D57D4}"/>
    <cellStyle name="Output 2 4 4_2013" xfId="12768" xr:uid="{7A40996D-47DB-4F6A-8C69-5D55B6D28A6B}"/>
    <cellStyle name="Output 2 4 5" xfId="12769" xr:uid="{2097214D-2176-4673-970F-E854C147F02B}"/>
    <cellStyle name="Output 2 4 5 10" xfId="12770" xr:uid="{EBEAD6B3-1DC3-4967-BB66-BAE4C76BD85F}"/>
    <cellStyle name="Output 2 4 5 11" xfId="12771" xr:uid="{17347A67-F642-4822-8B97-513D326836C0}"/>
    <cellStyle name="Output 2 4 5 12" xfId="12772" xr:uid="{7B66128E-F2D9-4564-B4F5-1A418F1A8191}"/>
    <cellStyle name="Output 2 4 5 13" xfId="12773" xr:uid="{BF476E13-567E-4EEE-A967-D9DB0C3A5A66}"/>
    <cellStyle name="Output 2 4 5 14" xfId="12774" xr:uid="{CE88A71E-6258-477A-9614-2B31900B652E}"/>
    <cellStyle name="Output 2 4 5 15" xfId="12775" xr:uid="{E2DEA1ED-9D05-4305-95EC-C4F7CBD8010A}"/>
    <cellStyle name="Output 2 4 5 16" xfId="12776" xr:uid="{05759A7F-464A-4D4F-A9B3-4DD1C611E7B9}"/>
    <cellStyle name="Output 2 4 5 17" xfId="12777" xr:uid="{145C7819-4516-4C84-B2A3-B99A21E4DFE7}"/>
    <cellStyle name="Output 2 4 5 18" xfId="12778" xr:uid="{67E26589-540D-4CCC-A82E-753161EF4A00}"/>
    <cellStyle name="Output 2 4 5 19" xfId="12779" xr:uid="{F7E50489-9A9B-44D5-9255-3BD66EBB5395}"/>
    <cellStyle name="Output 2 4 5 2" xfId="12780" xr:uid="{AFCD49F8-A32C-4DF5-9587-E2EE53B16273}"/>
    <cellStyle name="Output 2 4 5 2 10" xfId="12781" xr:uid="{B660513D-AA07-4341-BA26-25625C556242}"/>
    <cellStyle name="Output 2 4 5 2 11" xfId="12782" xr:uid="{F71717A1-5B15-403B-BAC3-788201A6C9D6}"/>
    <cellStyle name="Output 2 4 5 2 12" xfId="12783" xr:uid="{453E72EB-4B82-4D31-B2E8-C4F64B031A6C}"/>
    <cellStyle name="Output 2 4 5 2 13" xfId="12784" xr:uid="{89915E52-2793-46DE-AE11-574BA6738A0F}"/>
    <cellStyle name="Output 2 4 5 2 14" xfId="12785" xr:uid="{C1275466-D895-4BFD-ADF6-329FDFA2581A}"/>
    <cellStyle name="Output 2 4 5 2 15" xfId="12786" xr:uid="{52C51524-E8C7-408A-98BE-D7F0CF3D03AD}"/>
    <cellStyle name="Output 2 4 5 2 16" xfId="12787" xr:uid="{907D5F6E-54EC-491D-A383-598E866E1839}"/>
    <cellStyle name="Output 2 4 5 2 17" xfId="12788" xr:uid="{F92C8874-EB96-4E48-9513-2A443D1DDE09}"/>
    <cellStyle name="Output 2 4 5 2 18" xfId="12789" xr:uid="{588E681E-4EE8-463C-8651-405A084BBDDA}"/>
    <cellStyle name="Output 2 4 5 2 19" xfId="12790" xr:uid="{B6CA0ECA-2AE1-45B7-8E5E-809977840CFB}"/>
    <cellStyle name="Output 2 4 5 2 2" xfId="12791" xr:uid="{7FF88529-2AFB-4622-9BFA-9F513530A5A5}"/>
    <cellStyle name="Output 2 4 5 2 3" xfId="12792" xr:uid="{360D4E4D-7DDD-40D4-B885-406E1F59A15E}"/>
    <cellStyle name="Output 2 4 5 2 4" xfId="12793" xr:uid="{0A61187F-55C1-491A-9C2C-6CFDE063B735}"/>
    <cellStyle name="Output 2 4 5 2 5" xfId="12794" xr:uid="{97B1A4AD-CCDB-4E55-8509-285DAFA7C54A}"/>
    <cellStyle name="Output 2 4 5 2 6" xfId="12795" xr:uid="{0AFBEDFC-45AE-4AD1-A1DB-8F58C5192775}"/>
    <cellStyle name="Output 2 4 5 2 7" xfId="12796" xr:uid="{9C674059-E888-4B52-8A63-82F592994DD0}"/>
    <cellStyle name="Output 2 4 5 2 8" xfId="12797" xr:uid="{AF2A0B91-7AB6-4838-98B9-220CDB5B3DD9}"/>
    <cellStyle name="Output 2 4 5 2 9" xfId="12798" xr:uid="{48C961DE-F766-42D7-9330-A5AB63E875A3}"/>
    <cellStyle name="Output 2 4 5 2_2013" xfId="12799" xr:uid="{ADBC35D8-4AE0-4BE5-84EC-515C6440B665}"/>
    <cellStyle name="Output 2 4 5 20" xfId="12800" xr:uid="{6E12DD89-AD3B-4A0F-8AC4-B3FD8CB1969C}"/>
    <cellStyle name="Output 2 4 5 3" xfId="12801" xr:uid="{F7CEA6FF-5595-4778-B83A-0AAACF7BC2FD}"/>
    <cellStyle name="Output 2 4 5 4" xfId="12802" xr:uid="{109043FE-50C8-46CF-94BC-9C2EACDDEAEE}"/>
    <cellStyle name="Output 2 4 5 5" xfId="12803" xr:uid="{31D8BBE3-477C-41A3-BBF7-5BA6A6548549}"/>
    <cellStyle name="Output 2 4 5 6" xfId="12804" xr:uid="{68F4D956-59C5-4EC0-AEA7-0724A1F52D05}"/>
    <cellStyle name="Output 2 4 5 7" xfId="12805" xr:uid="{65527715-3541-4557-B92F-71B5CEB54C27}"/>
    <cellStyle name="Output 2 4 5 8" xfId="12806" xr:uid="{0C69D640-0AF1-4020-8789-17621F5319B1}"/>
    <cellStyle name="Output 2 4 5 9" xfId="12807" xr:uid="{E7CAD997-8B76-4C59-90AC-D3A5CDA7BCDE}"/>
    <cellStyle name="Output 2 4 5_2013" xfId="12808" xr:uid="{7630FF1D-ECD6-4015-A270-A3E110D84675}"/>
    <cellStyle name="Output 2 4 6" xfId="12809" xr:uid="{0E21E2E6-3C9C-48B8-A0E3-976CE5A3A68B}"/>
    <cellStyle name="Output 2 4 6 10" xfId="12810" xr:uid="{7D5E54AC-E715-45CD-8EA2-5B8973676C85}"/>
    <cellStyle name="Output 2 4 6 11" xfId="12811" xr:uid="{B2C35C76-1F8C-41B8-AE29-243C2D5B1EE1}"/>
    <cellStyle name="Output 2 4 6 12" xfId="12812" xr:uid="{EE13A15B-1101-4136-8EF9-64A5FDC9E862}"/>
    <cellStyle name="Output 2 4 6 13" xfId="12813" xr:uid="{128F1A49-103D-4606-9C71-15F86861A9F2}"/>
    <cellStyle name="Output 2 4 6 14" xfId="12814" xr:uid="{3778ACFE-AF5B-4FD6-90D5-5450754568F1}"/>
    <cellStyle name="Output 2 4 6 15" xfId="12815" xr:uid="{A4553A0C-144E-4DB4-A697-8D2B81ACE88A}"/>
    <cellStyle name="Output 2 4 6 16" xfId="12816" xr:uid="{85DE8482-855A-4EE1-947C-1FC41CBE126A}"/>
    <cellStyle name="Output 2 4 6 17" xfId="12817" xr:uid="{01742BB8-FC6D-4225-8FF1-3A9A14A9713D}"/>
    <cellStyle name="Output 2 4 6 18" xfId="12818" xr:uid="{F1DAFA9E-6322-4716-869C-2C2E081C7E66}"/>
    <cellStyle name="Output 2 4 6 19" xfId="12819" xr:uid="{9EBE7821-3040-4065-A91C-6AC4BCD34164}"/>
    <cellStyle name="Output 2 4 6 2" xfId="12820" xr:uid="{2C47C153-8826-4EBC-9B7F-C50E4CF92F5D}"/>
    <cellStyle name="Output 2 4 6 3" xfId="12821" xr:uid="{4BB36B2D-EFCB-4E31-9FE9-FD5D00CD9778}"/>
    <cellStyle name="Output 2 4 6 4" xfId="12822" xr:uid="{2178AAC3-B9A8-428E-BA42-F2ADBB06289A}"/>
    <cellStyle name="Output 2 4 6 5" xfId="12823" xr:uid="{AFF2C4AB-27F6-4E05-9960-8C6DF89E6266}"/>
    <cellStyle name="Output 2 4 6 6" xfId="12824" xr:uid="{DDC8A4F9-7262-4D41-9839-9A2C1B8A20C6}"/>
    <cellStyle name="Output 2 4 6 7" xfId="12825" xr:uid="{9AB61ABA-B2EC-486E-8D8B-F09DF67B1C86}"/>
    <cellStyle name="Output 2 4 6 8" xfId="12826" xr:uid="{D230E643-4481-481B-9F25-E1090789F183}"/>
    <cellStyle name="Output 2 4 6 9" xfId="12827" xr:uid="{242CCC11-581E-4A25-9DC5-8AB6764CD3F5}"/>
    <cellStyle name="Output 2 4 6_2013" xfId="12828" xr:uid="{5E1D5B0C-B48B-4118-8AE3-F585407E0E4A}"/>
    <cellStyle name="Output 2 4 7" xfId="12829" xr:uid="{F8622782-9899-4053-A9F8-BDA809551F16}"/>
    <cellStyle name="Output 2 4 7 2" xfId="12830" xr:uid="{88BADB9E-087B-4DE5-B132-85BA76F31EB2}"/>
    <cellStyle name="Output 2 4 7_2013" xfId="12831" xr:uid="{C433250C-0CB5-41ED-A384-7DD9E2D0514A}"/>
    <cellStyle name="Output 2 4 8" xfId="12832" xr:uid="{B7824A23-5AAB-432A-9084-635D72043942}"/>
    <cellStyle name="Output 2 4 9" xfId="12833" xr:uid="{A2500771-CFF5-4DCC-B14A-31CC3617822C}"/>
    <cellStyle name="Output 2 4_2013" xfId="12834" xr:uid="{230553F2-96E2-4ED8-8730-F1622A4AAD4A}"/>
    <cellStyle name="Output 2 5" xfId="12835" xr:uid="{62E925F4-12D2-44A1-864C-15DB169E48A4}"/>
    <cellStyle name="Output 2 5 10" xfId="12836" xr:uid="{C2B7DABF-C9F6-4AD7-8651-F0F8F03FFEC9}"/>
    <cellStyle name="Output 2 5 11" xfId="12837" xr:uid="{A583DDD5-E78F-43B3-945C-A31A386DE61F}"/>
    <cellStyle name="Output 2 5 12" xfId="12838" xr:uid="{A77E9D6F-6568-4035-BD5F-24BB54A1C9DA}"/>
    <cellStyle name="Output 2 5 13" xfId="12839" xr:uid="{EAFDB99D-1B9D-45CC-8AAA-95C69DDCB947}"/>
    <cellStyle name="Output 2 5 14" xfId="12840" xr:uid="{E66F9512-CBCC-47BB-B787-5AC54E0D4B41}"/>
    <cellStyle name="Output 2 5 15" xfId="12841" xr:uid="{6BCF2A5F-674C-4E68-BC28-3A40B80234C9}"/>
    <cellStyle name="Output 2 5 16" xfId="12842" xr:uid="{EF63EADD-2BBF-428A-B3BB-1645E34BE667}"/>
    <cellStyle name="Output 2 5 17" xfId="12843" xr:uid="{D5712251-FE0D-4F12-B132-EE54E4D8E57E}"/>
    <cellStyle name="Output 2 5 18" xfId="12844" xr:uid="{77E04A92-8140-4536-B877-C78D150AE519}"/>
    <cellStyle name="Output 2 5 19" xfId="12845" xr:uid="{39CF2E6C-B056-4F0D-938A-E357544B9D1D}"/>
    <cellStyle name="Output 2 5 2" xfId="12846" xr:uid="{0D0323FC-BC3C-44CD-92BC-8D57FCC1510E}"/>
    <cellStyle name="Output 2 5 2 10" xfId="12847" xr:uid="{3F502848-E000-4E15-A76D-BD1D4EC8CD97}"/>
    <cellStyle name="Output 2 5 2 11" xfId="12848" xr:uid="{6775B8E1-57B5-4666-AE89-1AD16589341B}"/>
    <cellStyle name="Output 2 5 2 12" xfId="12849" xr:uid="{BFF914FE-FFE4-497D-9520-3A321D3452E2}"/>
    <cellStyle name="Output 2 5 2 13" xfId="12850" xr:uid="{212A85E2-354F-448F-A301-8FB401475CC5}"/>
    <cellStyle name="Output 2 5 2 14" xfId="12851" xr:uid="{F50EF5C0-4007-4AAB-8E5E-337FC8D853A1}"/>
    <cellStyle name="Output 2 5 2 15" xfId="12852" xr:uid="{FCC19C2D-0C53-462E-BF0D-724F1801608B}"/>
    <cellStyle name="Output 2 5 2 16" xfId="12853" xr:uid="{6A06117D-1EC4-49A4-9D11-511E14FA9ACE}"/>
    <cellStyle name="Output 2 5 2 17" xfId="12854" xr:uid="{CA25E5F6-7424-41EA-9BCE-2232B6362BED}"/>
    <cellStyle name="Output 2 5 2 18" xfId="12855" xr:uid="{E58CE16F-3F1C-42C1-94D6-D6A220685DBA}"/>
    <cellStyle name="Output 2 5 2 19" xfId="12856" xr:uid="{A3CB9DA1-D82C-447C-BEA3-EF9844F0C7E9}"/>
    <cellStyle name="Output 2 5 2 2" xfId="12857" xr:uid="{704353DF-F550-4D5E-B27A-8E495BED90B3}"/>
    <cellStyle name="Output 2 5 2 3" xfId="12858" xr:uid="{454BFE1E-7500-43F2-866A-DE814C37BB6A}"/>
    <cellStyle name="Output 2 5 2 4" xfId="12859" xr:uid="{BB6CAF0E-8764-42CF-9215-48FB38F4E87F}"/>
    <cellStyle name="Output 2 5 2 5" xfId="12860" xr:uid="{1AFE093C-BAB9-4C76-8B56-195E885A7EFB}"/>
    <cellStyle name="Output 2 5 2 6" xfId="12861" xr:uid="{1E5F01CF-EFA1-4046-8E66-FB4E74AB1671}"/>
    <cellStyle name="Output 2 5 2 7" xfId="12862" xr:uid="{58F50AE5-BE59-44A8-B4C8-8C78DB379FF7}"/>
    <cellStyle name="Output 2 5 2 8" xfId="12863" xr:uid="{E5ED6311-6F63-4B27-8DAD-C9D8D3B4ADF1}"/>
    <cellStyle name="Output 2 5 2 9" xfId="12864" xr:uid="{A9F7AD66-5E70-4CF3-8E95-A37610281227}"/>
    <cellStyle name="Output 2 5 2_2013" xfId="12865" xr:uid="{5F505C21-B0F4-421E-803B-35D9FE6E03E3}"/>
    <cellStyle name="Output 2 5 20" xfId="12866" xr:uid="{20297DD2-4701-4107-BF74-CCAAE78BE815}"/>
    <cellStyle name="Output 2 5 3" xfId="12867" xr:uid="{0CD54866-E0E6-4EF1-8999-C2FBAEA7530D}"/>
    <cellStyle name="Output 2 5 4" xfId="12868" xr:uid="{F62AA8FE-4BC3-405E-88F4-AC891538D874}"/>
    <cellStyle name="Output 2 5 5" xfId="12869" xr:uid="{E15BA8FB-2966-402D-9E5F-704C06434F1E}"/>
    <cellStyle name="Output 2 5 6" xfId="12870" xr:uid="{5B84D947-8DBA-49FE-B013-C483F08FA392}"/>
    <cellStyle name="Output 2 5 7" xfId="12871" xr:uid="{03323DC5-B32C-4A9E-A79E-0810FCA502EF}"/>
    <cellStyle name="Output 2 5 8" xfId="12872" xr:uid="{6246FE92-2F7E-431D-BFEA-DEF436DB4D84}"/>
    <cellStyle name="Output 2 5 9" xfId="12873" xr:uid="{D262B04C-C14A-4310-83A4-8128ED06B687}"/>
    <cellStyle name="Output 2 5_2013" xfId="12874" xr:uid="{73D13961-C110-4960-9349-5654B452DCF2}"/>
    <cellStyle name="Output 2 6" xfId="12875" xr:uid="{35F180F3-A10A-4B7C-9519-F2932B624AFF}"/>
    <cellStyle name="Output 2 6 10" xfId="12876" xr:uid="{6DD529B4-84B1-4EE2-9EA8-26E2943AB53A}"/>
    <cellStyle name="Output 2 6 11" xfId="12877" xr:uid="{0FFCE1C0-E3B0-4EF1-A375-7C4C3E00FD6E}"/>
    <cellStyle name="Output 2 6 12" xfId="12878" xr:uid="{F2E7D766-C5D8-4FF5-9614-4C92657C6508}"/>
    <cellStyle name="Output 2 6 13" xfId="12879" xr:uid="{EA89026A-B210-419E-A341-DEE887E48871}"/>
    <cellStyle name="Output 2 6 14" xfId="12880" xr:uid="{A169959B-7B61-4C17-B58F-73D721013B24}"/>
    <cellStyle name="Output 2 6 15" xfId="12881" xr:uid="{3D753FC7-9319-4EB3-9451-F8DD195FDB38}"/>
    <cellStyle name="Output 2 6 16" xfId="12882" xr:uid="{DA7D447F-0D79-4314-BF96-0E58CBAB2602}"/>
    <cellStyle name="Output 2 6 17" xfId="12883" xr:uid="{039561AA-21AB-409E-889A-0ABE390C1E54}"/>
    <cellStyle name="Output 2 6 18" xfId="12884" xr:uid="{01601A3E-8FCD-404A-9499-8470D1281078}"/>
    <cellStyle name="Output 2 6 19" xfId="12885" xr:uid="{E3E53C3F-D2B0-418A-8EDF-7E1083EB37AF}"/>
    <cellStyle name="Output 2 6 2" xfId="12886" xr:uid="{E7C447B5-49E7-44F8-BFEE-B5137F54CCFF}"/>
    <cellStyle name="Output 2 6 2 10" xfId="12887" xr:uid="{054DD1A0-E837-4C5E-AF44-25CDD3CE9552}"/>
    <cellStyle name="Output 2 6 2 11" xfId="12888" xr:uid="{D1944D33-FB4C-4209-9484-50DA9F9C4797}"/>
    <cellStyle name="Output 2 6 2 12" xfId="12889" xr:uid="{B48FBE12-332D-402A-96E9-FF67636789F1}"/>
    <cellStyle name="Output 2 6 2 13" xfId="12890" xr:uid="{9E9A56E0-C621-4461-8474-D9ED105DE27D}"/>
    <cellStyle name="Output 2 6 2 14" xfId="12891" xr:uid="{436B036B-200F-411A-AD7C-13F3190A7CCC}"/>
    <cellStyle name="Output 2 6 2 15" xfId="12892" xr:uid="{0BDF9EF6-80FD-438F-BF5B-24BBEF30875A}"/>
    <cellStyle name="Output 2 6 2 16" xfId="12893" xr:uid="{799A5B41-6661-4274-B1DA-C33B86C1F18D}"/>
    <cellStyle name="Output 2 6 2 17" xfId="12894" xr:uid="{60E92D29-60EE-4F78-9B63-A9AC8BA94A4C}"/>
    <cellStyle name="Output 2 6 2 18" xfId="12895" xr:uid="{37642FB2-C2AF-404A-81BA-CB4F672D7BF3}"/>
    <cellStyle name="Output 2 6 2 19" xfId="12896" xr:uid="{5360F16F-A583-42AF-A392-528881518352}"/>
    <cellStyle name="Output 2 6 2 2" xfId="12897" xr:uid="{5C3064AC-423E-47DB-BDF0-9D9CE2590D76}"/>
    <cellStyle name="Output 2 6 2 3" xfId="12898" xr:uid="{17F521D4-C87B-495E-889D-26E58D799F28}"/>
    <cellStyle name="Output 2 6 2 4" xfId="12899" xr:uid="{C7ECDDE6-A136-48CB-90E3-05D9360D166F}"/>
    <cellStyle name="Output 2 6 2 5" xfId="12900" xr:uid="{FA3D1A94-D7ED-49E6-898E-9564F81D481E}"/>
    <cellStyle name="Output 2 6 2 6" xfId="12901" xr:uid="{60CBF2C4-21C4-4F8B-AE32-8B9CEC1FB8B0}"/>
    <cellStyle name="Output 2 6 2 7" xfId="12902" xr:uid="{A5662030-6B09-4E93-9261-F923530C2CBD}"/>
    <cellStyle name="Output 2 6 2 8" xfId="12903" xr:uid="{B44CAA45-050E-459E-869F-8A726FCE0B58}"/>
    <cellStyle name="Output 2 6 2 9" xfId="12904" xr:uid="{858E268E-F1F1-4BC1-BC47-C84A55D0400E}"/>
    <cellStyle name="Output 2 6 2_2013" xfId="12905" xr:uid="{38A29F25-B9BE-46F1-B1CB-8B4A45A7C486}"/>
    <cellStyle name="Output 2 6 20" xfId="12906" xr:uid="{60BC7A1C-0FDA-46C6-A2C7-53A989B6D3BC}"/>
    <cellStyle name="Output 2 6 3" xfId="12907" xr:uid="{8F8C1A60-0680-4427-A371-A4F5AB0682D7}"/>
    <cellStyle name="Output 2 6 4" xfId="12908" xr:uid="{E597D493-CE90-4C56-BA20-287000DA9A2E}"/>
    <cellStyle name="Output 2 6 5" xfId="12909" xr:uid="{D12CCD8E-78DE-4783-8C60-B6E86D6306CF}"/>
    <cellStyle name="Output 2 6 6" xfId="12910" xr:uid="{C8628286-E67B-41BE-9B05-DC6DA2EB5CCB}"/>
    <cellStyle name="Output 2 6 7" xfId="12911" xr:uid="{F9BD2D04-2DF2-4D79-9AA9-CA316F785E3B}"/>
    <cellStyle name="Output 2 6 8" xfId="12912" xr:uid="{3F57C481-A970-4B57-BDB8-1AB3F8E68C2F}"/>
    <cellStyle name="Output 2 6 9" xfId="12913" xr:uid="{BD07590C-05FC-4AE3-BE3E-27F48494CA5C}"/>
    <cellStyle name="Output 2 6_2013" xfId="12914" xr:uid="{0BCF6366-F44A-4CF1-B2CE-54E176107F95}"/>
    <cellStyle name="Output 2 7" xfId="12915" xr:uid="{B6E6436E-97F3-47A0-8BBA-B5FBEF7CD971}"/>
    <cellStyle name="Output 2 7 10" xfId="12916" xr:uid="{887CF221-577A-442E-A03D-3716773D04C9}"/>
    <cellStyle name="Output 2 7 11" xfId="12917" xr:uid="{CEB8439D-8616-4CC3-97A4-5DDBA960FDFF}"/>
    <cellStyle name="Output 2 7 12" xfId="12918" xr:uid="{52A42A7C-5A0D-4242-A9B3-2C1B0C465BC2}"/>
    <cellStyle name="Output 2 7 13" xfId="12919" xr:uid="{9711DCED-4E14-46C0-914A-72DF68A8E10F}"/>
    <cellStyle name="Output 2 7 14" xfId="12920" xr:uid="{DDC005F4-8E0A-4455-BC7D-9C1A16D641FA}"/>
    <cellStyle name="Output 2 7 15" xfId="12921" xr:uid="{D60B8BCA-49B9-428A-99C6-EAFE7798BC5E}"/>
    <cellStyle name="Output 2 7 16" xfId="12922" xr:uid="{E4D3488E-9BAB-4187-ADB2-F720736EACB9}"/>
    <cellStyle name="Output 2 7 17" xfId="12923" xr:uid="{23D55401-BFB4-4DB0-BB93-89B001D4C183}"/>
    <cellStyle name="Output 2 7 18" xfId="12924" xr:uid="{C0BEC6D5-3323-4C0C-A812-2AEF53824FCD}"/>
    <cellStyle name="Output 2 7 19" xfId="12925" xr:uid="{CDA054EC-B779-4E31-A55A-5073F93177B7}"/>
    <cellStyle name="Output 2 7 2" xfId="12926" xr:uid="{6FB598C9-CDEC-41FA-9C70-8FD242C7A375}"/>
    <cellStyle name="Output 2 7 2 10" xfId="12927" xr:uid="{D20F416A-6CA9-4886-9B11-F7086BC6E722}"/>
    <cellStyle name="Output 2 7 2 11" xfId="12928" xr:uid="{EAB9333C-F283-4A1B-BBA7-9C8FC6728BBC}"/>
    <cellStyle name="Output 2 7 2 12" xfId="12929" xr:uid="{1162D7E9-07BB-449C-90AA-C34586B481B4}"/>
    <cellStyle name="Output 2 7 2 13" xfId="12930" xr:uid="{932A6698-F558-43C0-95E5-5F5DACFED1C6}"/>
    <cellStyle name="Output 2 7 2 14" xfId="12931" xr:uid="{A0BBE41F-9844-4CC3-BF07-830DD058B251}"/>
    <cellStyle name="Output 2 7 2 15" xfId="12932" xr:uid="{98DFA59C-D029-4546-A7B5-C8B2CADB15DA}"/>
    <cellStyle name="Output 2 7 2 16" xfId="12933" xr:uid="{353F5BB1-D213-4049-82EA-A0E1D5A7C27E}"/>
    <cellStyle name="Output 2 7 2 17" xfId="12934" xr:uid="{E2FF2301-9ADB-4B00-8569-9155DA3599D7}"/>
    <cellStyle name="Output 2 7 2 18" xfId="12935" xr:uid="{6F2F2945-3E9E-4207-B769-357D7D3852B9}"/>
    <cellStyle name="Output 2 7 2 19" xfId="12936" xr:uid="{2FEC538A-3D4A-4606-9D22-18E53D990EFD}"/>
    <cellStyle name="Output 2 7 2 2" xfId="12937" xr:uid="{C6040FB9-90AE-4708-AB89-C82D5F9AF03F}"/>
    <cellStyle name="Output 2 7 2 3" xfId="12938" xr:uid="{3D8E478C-12DF-4165-8799-DA05E3A4FF02}"/>
    <cellStyle name="Output 2 7 2 4" xfId="12939" xr:uid="{13A8C824-9FDC-4D28-8DF6-D8B11E89B334}"/>
    <cellStyle name="Output 2 7 2 5" xfId="12940" xr:uid="{6DC3CE4F-B429-4BA5-909B-9D45572EA4D4}"/>
    <cellStyle name="Output 2 7 2 6" xfId="12941" xr:uid="{3129C6EA-686C-4C17-A9D9-1A1EFE9BD82A}"/>
    <cellStyle name="Output 2 7 2 7" xfId="12942" xr:uid="{92510C47-087B-4B02-AE5D-AB41E922D646}"/>
    <cellStyle name="Output 2 7 2 8" xfId="12943" xr:uid="{627CC65C-52FD-411A-A21D-9B9E4D3CCC68}"/>
    <cellStyle name="Output 2 7 2 9" xfId="12944" xr:uid="{AC8F3D99-99BA-4E69-A773-BCBA224CD948}"/>
    <cellStyle name="Output 2 7 2_2013" xfId="12945" xr:uid="{B7557A8B-7F73-4292-999C-EF1FA6610795}"/>
    <cellStyle name="Output 2 7 20" xfId="12946" xr:uid="{2E2E77EF-AED3-46CB-9CA4-DCB117A9FDEE}"/>
    <cellStyle name="Output 2 7 3" xfId="12947" xr:uid="{3F2176AC-DED2-4E38-9B31-A879CA34F538}"/>
    <cellStyle name="Output 2 7 4" xfId="12948" xr:uid="{C67FED15-C409-4099-B2FF-10F01B2E4056}"/>
    <cellStyle name="Output 2 7 5" xfId="12949" xr:uid="{0AFD8CA2-A5E3-432C-AB9C-78CD0402A843}"/>
    <cellStyle name="Output 2 7 6" xfId="12950" xr:uid="{F9E57378-3F45-413C-919C-A2944C9E83A6}"/>
    <cellStyle name="Output 2 7 7" xfId="12951" xr:uid="{8D9AB774-B2DC-4D3E-A170-9B21FDDA3CF9}"/>
    <cellStyle name="Output 2 7 8" xfId="12952" xr:uid="{4AB223A2-4D46-4C87-86B3-222AE485DD5D}"/>
    <cellStyle name="Output 2 7 9" xfId="12953" xr:uid="{345403BB-6A2A-4BF6-8C52-A3803C0ACC7A}"/>
    <cellStyle name="Output 2 7_2013" xfId="12954" xr:uid="{8B598C4A-6D93-4043-B47A-0C3231094716}"/>
    <cellStyle name="Output 2 8" xfId="12955" xr:uid="{BC6995A8-014A-458C-A92B-8D4A6A62AAC3}"/>
    <cellStyle name="Output 2 8 10" xfId="12956" xr:uid="{93DD5C6B-2DBF-4419-B052-6AE137AD25CB}"/>
    <cellStyle name="Output 2 8 11" xfId="12957" xr:uid="{4DCCC6C3-6229-4377-B443-17E51BBE2EE4}"/>
    <cellStyle name="Output 2 8 12" xfId="12958" xr:uid="{CE2ED774-F178-469F-8EFB-A8D68D49D0D7}"/>
    <cellStyle name="Output 2 8 13" xfId="12959" xr:uid="{DECBDBF7-F209-4ACC-B1F2-BCE24F6D4DD5}"/>
    <cellStyle name="Output 2 8 14" xfId="12960" xr:uid="{85706E19-0800-4215-BBB1-EE2291BCDCF1}"/>
    <cellStyle name="Output 2 8 15" xfId="12961" xr:uid="{54BB8412-968E-40F1-9DFE-B9993289497D}"/>
    <cellStyle name="Output 2 8 16" xfId="12962" xr:uid="{9F0C1F9C-B5E7-4E78-B3D2-7DCE5292E02B}"/>
    <cellStyle name="Output 2 8 17" xfId="12963" xr:uid="{8AFEF16D-8AAA-4748-9EF7-5BA8FAFAD7A2}"/>
    <cellStyle name="Output 2 8 18" xfId="12964" xr:uid="{119A551E-BB4B-4A08-9D35-68ADDE6D2D7F}"/>
    <cellStyle name="Output 2 8 19" xfId="12965" xr:uid="{812FB600-3B72-407F-BC69-2EAEF77F1B87}"/>
    <cellStyle name="Output 2 8 2" xfId="12966" xr:uid="{6CCC0B85-80AC-420F-985F-038233046D85}"/>
    <cellStyle name="Output 2 8 3" xfId="12967" xr:uid="{5C39DECF-4E4C-4A1E-A371-E7AC06690E27}"/>
    <cellStyle name="Output 2 8 4" xfId="12968" xr:uid="{C559D5D2-FD2E-4749-A524-1C0D8947684A}"/>
    <cellStyle name="Output 2 8 5" xfId="12969" xr:uid="{4F491AEC-B027-487C-863A-F50F6353D939}"/>
    <cellStyle name="Output 2 8 6" xfId="12970" xr:uid="{E1F82498-573A-4541-BFAE-34A0652440F4}"/>
    <cellStyle name="Output 2 8 7" xfId="12971" xr:uid="{529C9F94-CE05-4DE9-AFED-1F9B721506B3}"/>
    <cellStyle name="Output 2 8 8" xfId="12972" xr:uid="{FFEF342A-6811-44A4-B278-FBDE00ACAD93}"/>
    <cellStyle name="Output 2 8 9" xfId="12973" xr:uid="{21DBDBD6-4079-483F-ACAC-97EDCCC71F2F}"/>
    <cellStyle name="Output 2 8_2013" xfId="12974" xr:uid="{81889812-347F-4E9E-B894-189CF8B5C2B8}"/>
    <cellStyle name="Output 2 9" xfId="12975" xr:uid="{7B15CEB3-37E2-46C4-B583-BBC84839DD7B}"/>
    <cellStyle name="Output 2_2013" xfId="12976" xr:uid="{54F1FE1C-3AD1-46FF-AEBC-6E03E231411C}"/>
    <cellStyle name="Output 3" xfId="12977" xr:uid="{38171E44-AACD-4108-BF22-371E4D0DB055}"/>
    <cellStyle name="Output 3 10" xfId="12978" xr:uid="{5253914A-C530-4445-BC4C-7B8F2D2FBE5F}"/>
    <cellStyle name="Output 3 11" xfId="12979" xr:uid="{C7EEF230-436D-494E-99CC-6D829EC2FA88}"/>
    <cellStyle name="Output 3 12" xfId="12980" xr:uid="{8DAC65CF-97CF-4FEE-860D-18DECB16B6EE}"/>
    <cellStyle name="Output 3 13" xfId="12981" xr:uid="{3CDEFCA0-F62B-4F7B-84EB-1086E043514D}"/>
    <cellStyle name="Output 3 14" xfId="12982" xr:uid="{46F2E217-9D08-49D1-991E-40887CF56FE2}"/>
    <cellStyle name="Output 3 15" xfId="12983" xr:uid="{33AD013E-BB6B-43E7-827A-688D67EC27C0}"/>
    <cellStyle name="Output 3 16" xfId="12984" xr:uid="{857C8639-8DE1-431D-ADE0-513C7708B914}"/>
    <cellStyle name="Output 3 17" xfId="12985" xr:uid="{D6E68C6B-12C5-4B03-8CDB-D8F4CAED26AF}"/>
    <cellStyle name="Output 3 18" xfId="12986" xr:uid="{E5AD8B8B-4AB0-4DEF-9AED-F60FEE4B3E46}"/>
    <cellStyle name="Output 3 19" xfId="12987" xr:uid="{98B0E66E-BB2E-48E8-A386-E420792AF321}"/>
    <cellStyle name="Output 3 2" xfId="12988" xr:uid="{2F0B81D5-DCE9-4FC7-842B-85BE580F78E2}"/>
    <cellStyle name="Output 3 2 10" xfId="12989" xr:uid="{D9F36F83-D5B2-46E6-8799-4B8B9E850C5E}"/>
    <cellStyle name="Output 3 2 11" xfId="12990" xr:uid="{07DDC44E-E7CD-4BFB-9D25-7F245B9D0F30}"/>
    <cellStyle name="Output 3 2 12" xfId="12991" xr:uid="{4940040E-D4AB-466F-B761-49501C059D13}"/>
    <cellStyle name="Output 3 2 13" xfId="12992" xr:uid="{89722835-B3B0-4377-8DF2-632D9D8DBC11}"/>
    <cellStyle name="Output 3 2 14" xfId="12993" xr:uid="{6D115CC6-2F7B-4DF1-831F-4060342F67BE}"/>
    <cellStyle name="Output 3 2 15" xfId="12994" xr:uid="{776A6DD4-18EF-4B87-9E54-20E146E9282D}"/>
    <cellStyle name="Output 3 2 16" xfId="12995" xr:uid="{BAAD5989-CFB6-46E5-8E3E-AA46201537D3}"/>
    <cellStyle name="Output 3 2 17" xfId="12996" xr:uid="{D4E08389-5E34-4618-AD06-D7027F70B252}"/>
    <cellStyle name="Output 3 2 18" xfId="12997" xr:uid="{3D2F3088-A45F-4ED5-9968-E159D839127E}"/>
    <cellStyle name="Output 3 2 19" xfId="12998" xr:uid="{CD14A64D-AC97-42E2-BF59-005722D5C669}"/>
    <cellStyle name="Output 3 2 2" xfId="12999" xr:uid="{C572B074-E89B-4235-B9C4-F1A9C75B1D29}"/>
    <cellStyle name="Output 3 2 2 10" xfId="13000" xr:uid="{A6C6259F-57B4-49F9-85E1-2905EEAFB213}"/>
    <cellStyle name="Output 3 2 2 11" xfId="13001" xr:uid="{E350B9B6-EE58-4CD6-8F70-BFB95461191A}"/>
    <cellStyle name="Output 3 2 2 12" xfId="13002" xr:uid="{C04D7EF3-1DA3-4E16-BAE2-DE5299B6330F}"/>
    <cellStyle name="Output 3 2 2 13" xfId="13003" xr:uid="{10500EC3-38C1-48D6-B578-D127472BA666}"/>
    <cellStyle name="Output 3 2 2 14" xfId="13004" xr:uid="{22E16F1C-D9B1-4CBD-9387-18ABD2F8C51B}"/>
    <cellStyle name="Output 3 2 2 15" xfId="13005" xr:uid="{2C0EB18C-A844-44BF-9733-ADC4D01A33F9}"/>
    <cellStyle name="Output 3 2 2 16" xfId="13006" xr:uid="{82B38062-E0E1-4475-B54C-24DB583D0FF4}"/>
    <cellStyle name="Output 3 2 2 17" xfId="13007" xr:uid="{857AA03F-11F3-46AD-BB68-73B929AAECA8}"/>
    <cellStyle name="Output 3 2 2 18" xfId="13008" xr:uid="{1C6A3E62-CD07-46D2-8794-A19195E2C082}"/>
    <cellStyle name="Output 3 2 2 19" xfId="13009" xr:uid="{AE352B11-BA1F-4396-B2B3-5BD44C843774}"/>
    <cellStyle name="Output 3 2 2 2" xfId="13010" xr:uid="{563C1E1F-4E72-4940-B7BC-021F28BAC20D}"/>
    <cellStyle name="Output 3 2 2 2 10" xfId="13011" xr:uid="{4B675FF5-19B8-4271-9B8C-0D157815690B}"/>
    <cellStyle name="Output 3 2 2 2 11" xfId="13012" xr:uid="{D886F538-76FA-470E-9048-7326B5CC98C8}"/>
    <cellStyle name="Output 3 2 2 2 12" xfId="13013" xr:uid="{04438E02-36A2-47F1-814F-48E29534BD6D}"/>
    <cellStyle name="Output 3 2 2 2 13" xfId="13014" xr:uid="{84867AA2-0C68-4603-8A02-94BFF1F60771}"/>
    <cellStyle name="Output 3 2 2 2 14" xfId="13015" xr:uid="{AAC1D9FB-0CA1-41EF-AD76-211A5DE91C19}"/>
    <cellStyle name="Output 3 2 2 2 15" xfId="13016" xr:uid="{364E5929-E38A-4BDF-B3DC-A0F9A84A2A3A}"/>
    <cellStyle name="Output 3 2 2 2 16" xfId="13017" xr:uid="{883B333F-58C6-4186-956C-7896DB95F670}"/>
    <cellStyle name="Output 3 2 2 2 17" xfId="13018" xr:uid="{704B22F9-6AD9-4E11-842D-C285306B359E}"/>
    <cellStyle name="Output 3 2 2 2 18" xfId="13019" xr:uid="{B0CD0F05-B3D1-45C5-9C2F-2ADCB52DA4A4}"/>
    <cellStyle name="Output 3 2 2 2 19" xfId="13020" xr:uid="{EC0B0AA7-BCF7-4C6C-8CC5-AE0B02E561B2}"/>
    <cellStyle name="Output 3 2 2 2 2" xfId="13021" xr:uid="{50509308-15E1-4C79-8E84-8B3B2784FCA9}"/>
    <cellStyle name="Output 3 2 2 2 3" xfId="13022" xr:uid="{7167A210-079D-4372-A8A1-7D2CA0F6290A}"/>
    <cellStyle name="Output 3 2 2 2 4" xfId="13023" xr:uid="{E9918006-DD77-4198-AA53-044D4699EF8B}"/>
    <cellStyle name="Output 3 2 2 2 5" xfId="13024" xr:uid="{D1F3AB90-EBDE-4969-B210-534BF4F66E3A}"/>
    <cellStyle name="Output 3 2 2 2 6" xfId="13025" xr:uid="{CC5B7AC7-E1C4-4255-ABE0-8D4DF7612AAE}"/>
    <cellStyle name="Output 3 2 2 2 7" xfId="13026" xr:uid="{D1937B1B-9B15-42B5-BAB6-07A0B2D0492B}"/>
    <cellStyle name="Output 3 2 2 2 8" xfId="13027" xr:uid="{0FE15C19-513E-4476-B6DF-9A5A1B42830B}"/>
    <cellStyle name="Output 3 2 2 2 9" xfId="13028" xr:uid="{0C79132D-7810-4355-9834-FF69B1076EFB}"/>
    <cellStyle name="Output 3 2 2 2_2013" xfId="13029" xr:uid="{0DD5C1FA-D747-4DC7-B21A-8AB64925BC30}"/>
    <cellStyle name="Output 3 2 2 20" xfId="13030" xr:uid="{B0688558-43B6-4675-864B-007FE7E87E18}"/>
    <cellStyle name="Output 3 2 2 3" xfId="13031" xr:uid="{0EC0D2F2-BFF7-4ADD-8ED3-76C1007F4AB8}"/>
    <cellStyle name="Output 3 2 2 4" xfId="13032" xr:uid="{874458C5-A764-4EF9-9487-C4E908A4570D}"/>
    <cellStyle name="Output 3 2 2 5" xfId="13033" xr:uid="{0984F6F8-637D-4F2C-8BE9-327CF66B63F5}"/>
    <cellStyle name="Output 3 2 2 6" xfId="13034" xr:uid="{CBDE5A02-B35C-41E2-A4C7-AC4DE263A91E}"/>
    <cellStyle name="Output 3 2 2 7" xfId="13035" xr:uid="{00B451BF-FB9F-4F39-A697-ED660FEFD3F9}"/>
    <cellStyle name="Output 3 2 2 8" xfId="13036" xr:uid="{3DE443A7-E52A-429D-AC20-F522F7A969E2}"/>
    <cellStyle name="Output 3 2 2 9" xfId="13037" xr:uid="{34E8ECE6-2CF9-4CF6-BA13-FBDCC2739E4B}"/>
    <cellStyle name="Output 3 2 2_2013" xfId="13038" xr:uid="{C0BA7CC7-5E04-4190-8D5A-B22B5A00BF3C}"/>
    <cellStyle name="Output 3 2 20" xfId="13039" xr:uid="{39483DD3-D470-470D-A526-A5D9E97A4899}"/>
    <cellStyle name="Output 3 2 21" xfId="13040" xr:uid="{356B5BAD-0409-4F50-85D9-21319E6A0887}"/>
    <cellStyle name="Output 3 2 22" xfId="13041" xr:uid="{BD6F5F4A-C52C-4072-8961-A9D72FBE2685}"/>
    <cellStyle name="Output 3 2 3" xfId="13042" xr:uid="{9D34B4DF-A935-4A45-8259-6FC056D8C9AD}"/>
    <cellStyle name="Output 3 2 3 10" xfId="13043" xr:uid="{AD04486E-6800-46C0-8ECE-D773BCA91025}"/>
    <cellStyle name="Output 3 2 3 11" xfId="13044" xr:uid="{E0C0EF8E-DDE4-464A-8A54-61F05A4497A1}"/>
    <cellStyle name="Output 3 2 3 12" xfId="13045" xr:uid="{5D41A488-D630-4E81-93F9-3CA5E059D599}"/>
    <cellStyle name="Output 3 2 3 13" xfId="13046" xr:uid="{FDD10B08-99BA-4225-A43A-A3993AACAC8E}"/>
    <cellStyle name="Output 3 2 3 14" xfId="13047" xr:uid="{3331DE0F-1492-440B-A00E-E48A950C6C7D}"/>
    <cellStyle name="Output 3 2 3 15" xfId="13048" xr:uid="{9EB37BAD-AF57-4234-8FE6-4E4D58C6A0F2}"/>
    <cellStyle name="Output 3 2 3 16" xfId="13049" xr:uid="{81F3EB43-14F1-451F-AA85-CE0CBA4E6C99}"/>
    <cellStyle name="Output 3 2 3 17" xfId="13050" xr:uid="{D8B2B1CA-B9E8-42D9-BC94-5330168BDB7F}"/>
    <cellStyle name="Output 3 2 3 18" xfId="13051" xr:uid="{F55BE5A6-E275-4A9A-86D2-73674FC4F618}"/>
    <cellStyle name="Output 3 2 3 19" xfId="13052" xr:uid="{D8157A71-1A89-432D-9391-6CA672D6B396}"/>
    <cellStyle name="Output 3 2 3 2" xfId="13053" xr:uid="{08151D60-716F-426D-9C2B-F2C38EA32C1C}"/>
    <cellStyle name="Output 3 2 3 2 10" xfId="13054" xr:uid="{1A2D5131-4A01-4177-AC8A-0C659EDD1F9B}"/>
    <cellStyle name="Output 3 2 3 2 11" xfId="13055" xr:uid="{B2610F51-8ACC-4E7C-87AF-DC084BD21C46}"/>
    <cellStyle name="Output 3 2 3 2 12" xfId="13056" xr:uid="{86D0B41F-7AAF-457C-862D-ACA42F9C7F77}"/>
    <cellStyle name="Output 3 2 3 2 13" xfId="13057" xr:uid="{0560155A-ADAA-4058-A78B-F7D23B76F4B7}"/>
    <cellStyle name="Output 3 2 3 2 14" xfId="13058" xr:uid="{02A00BD3-EE3F-42E8-B96C-0BE36AEBDADF}"/>
    <cellStyle name="Output 3 2 3 2 15" xfId="13059" xr:uid="{451A4B44-A131-4ED0-BB27-FDBDB7E9799C}"/>
    <cellStyle name="Output 3 2 3 2 16" xfId="13060" xr:uid="{0B86E309-E0B7-426E-9908-A449B2879F7F}"/>
    <cellStyle name="Output 3 2 3 2 17" xfId="13061" xr:uid="{025EC523-4C5F-445C-BE27-FEF0AF39B880}"/>
    <cellStyle name="Output 3 2 3 2 18" xfId="13062" xr:uid="{3066CABF-EBD5-4FAF-863F-C560E06488F9}"/>
    <cellStyle name="Output 3 2 3 2 19" xfId="13063" xr:uid="{E02F6FEC-FE40-4AF8-9E62-635BD741B2A9}"/>
    <cellStyle name="Output 3 2 3 2 2" xfId="13064" xr:uid="{245E32E9-C22E-4332-AB2A-B6837A9D879E}"/>
    <cellStyle name="Output 3 2 3 2 3" xfId="13065" xr:uid="{8DCA7065-7CEA-496D-B0B4-14D7BD1F578E}"/>
    <cellStyle name="Output 3 2 3 2 4" xfId="13066" xr:uid="{4623AC08-34C6-4BAF-B622-3C06F5B178E3}"/>
    <cellStyle name="Output 3 2 3 2 5" xfId="13067" xr:uid="{3CCEB1B3-6571-4256-9E65-37AF0CA97B00}"/>
    <cellStyle name="Output 3 2 3 2 6" xfId="13068" xr:uid="{DE21CEAC-0E49-493B-B182-C614022BFED1}"/>
    <cellStyle name="Output 3 2 3 2 7" xfId="13069" xr:uid="{77C4DECE-CDF2-41A6-8A7B-6DB96168EF89}"/>
    <cellStyle name="Output 3 2 3 2 8" xfId="13070" xr:uid="{8302FE18-1CBF-40DD-AF56-6C32A906E0FC}"/>
    <cellStyle name="Output 3 2 3 2 9" xfId="13071" xr:uid="{E4963255-5AAC-4402-8AA9-D0ABE295CE45}"/>
    <cellStyle name="Output 3 2 3 2_2013" xfId="13072" xr:uid="{3FDBDA30-3A99-4617-A484-A258CA0F32BA}"/>
    <cellStyle name="Output 3 2 3 20" xfId="13073" xr:uid="{ABF77795-DEED-45D1-A46F-E8181B0EFA07}"/>
    <cellStyle name="Output 3 2 3 3" xfId="13074" xr:uid="{693D5C01-5399-4764-A2E2-B27D05E851C3}"/>
    <cellStyle name="Output 3 2 3 4" xfId="13075" xr:uid="{50A8DF80-B723-46A4-8F75-28E0C8A323D3}"/>
    <cellStyle name="Output 3 2 3 5" xfId="13076" xr:uid="{0B2C0E0C-11B9-49D2-A20D-3A9E8764012F}"/>
    <cellStyle name="Output 3 2 3 6" xfId="13077" xr:uid="{C550ABD9-34EE-446B-8AD3-BDA005DE5F35}"/>
    <cellStyle name="Output 3 2 3 7" xfId="13078" xr:uid="{9CDE129A-56A3-4B4C-B4C4-5B935E7E5D49}"/>
    <cellStyle name="Output 3 2 3 8" xfId="13079" xr:uid="{8ABC059D-3ABA-4BF6-86A4-F2556E76DB65}"/>
    <cellStyle name="Output 3 2 3 9" xfId="13080" xr:uid="{298EA5FF-135A-4017-AC68-60E7B475C7C8}"/>
    <cellStyle name="Output 3 2 3_2013" xfId="13081" xr:uid="{14954151-D8C5-4183-9A90-5105278A5A74}"/>
    <cellStyle name="Output 3 2 4" xfId="13082" xr:uid="{1E6E4ABB-927E-43B2-B7BC-F38C00FB48E3}"/>
    <cellStyle name="Output 3 2 4 10" xfId="13083" xr:uid="{B597CA01-4444-4EF8-8C24-04F4F20C60EC}"/>
    <cellStyle name="Output 3 2 4 11" xfId="13084" xr:uid="{474A78F0-9009-4198-91AB-8D60DEE203B3}"/>
    <cellStyle name="Output 3 2 4 12" xfId="13085" xr:uid="{5DF7167F-9B72-473C-AB37-551D7F42C703}"/>
    <cellStyle name="Output 3 2 4 13" xfId="13086" xr:uid="{3C8B9303-4662-4C28-805D-4B776EAC12D3}"/>
    <cellStyle name="Output 3 2 4 14" xfId="13087" xr:uid="{F1E0D0AE-4C3B-449B-A46C-F3ECB95B6F28}"/>
    <cellStyle name="Output 3 2 4 15" xfId="13088" xr:uid="{26D524DB-3DC0-44D9-8779-47EDE4183535}"/>
    <cellStyle name="Output 3 2 4 16" xfId="13089" xr:uid="{A870AEFD-30FA-40B5-91B1-2FEEF495DDAE}"/>
    <cellStyle name="Output 3 2 4 17" xfId="13090" xr:uid="{24E5BD1B-2FB8-4747-98B6-B89091AAF6E1}"/>
    <cellStyle name="Output 3 2 4 18" xfId="13091" xr:uid="{15CB3D33-0A28-4C0B-B401-85C56142DD25}"/>
    <cellStyle name="Output 3 2 4 19" xfId="13092" xr:uid="{4D5EBF7B-7BFC-460E-B11C-D23B3EC24A3E}"/>
    <cellStyle name="Output 3 2 4 2" xfId="13093" xr:uid="{829E2392-418F-4872-8004-AF31F709927C}"/>
    <cellStyle name="Output 3 2 4 3" xfId="13094" xr:uid="{EC2C4659-6C34-43C9-A411-D55D3267C852}"/>
    <cellStyle name="Output 3 2 4 4" xfId="13095" xr:uid="{4A391501-3732-4FA4-A23D-482ACEEE10EA}"/>
    <cellStyle name="Output 3 2 4 5" xfId="13096" xr:uid="{0C22A024-CE9E-4306-8331-4E1F9549C01A}"/>
    <cellStyle name="Output 3 2 4 6" xfId="13097" xr:uid="{D86DFE49-079B-4ECC-9FD0-D5911BD12C8E}"/>
    <cellStyle name="Output 3 2 4 7" xfId="13098" xr:uid="{CFD09F98-295B-4841-8D3F-31439B5464C7}"/>
    <cellStyle name="Output 3 2 4 8" xfId="13099" xr:uid="{3368A65F-DECD-4656-9578-6D89A3EC2B7F}"/>
    <cellStyle name="Output 3 2 4 9" xfId="13100" xr:uid="{A61991B1-D841-43E9-B177-B2A0308ABAE7}"/>
    <cellStyle name="Output 3 2 4_2013" xfId="13101" xr:uid="{599D0CEC-16C3-4284-8C09-BDE2A907F872}"/>
    <cellStyle name="Output 3 2 5" xfId="13102" xr:uid="{2781C1FA-EAD7-4803-8295-31F72D307F1F}"/>
    <cellStyle name="Output 3 2 5 2" xfId="13103" xr:uid="{2F76C627-DFA3-4A44-AC33-B6EC22A14020}"/>
    <cellStyle name="Output 3 2 5_2013" xfId="13104" xr:uid="{CAF530DC-C13B-4DA1-A045-5A7A9A696A2B}"/>
    <cellStyle name="Output 3 2 6" xfId="13105" xr:uid="{D863B760-CE0B-4AD5-A814-7A1E84E924EB}"/>
    <cellStyle name="Output 3 2 7" xfId="13106" xr:uid="{C28B8F68-6D8B-4617-AEC7-AD06E2C0C35A}"/>
    <cellStyle name="Output 3 2 8" xfId="13107" xr:uid="{D8FF0695-79DB-4076-B629-E34B2D587453}"/>
    <cellStyle name="Output 3 2 9" xfId="13108" xr:uid="{307BCF27-2318-4E69-A82D-70378AC3DC77}"/>
    <cellStyle name="Output 3 2_2013" xfId="13109" xr:uid="{F3C119B2-DD49-4D31-B28C-58535ECB1B21}"/>
    <cellStyle name="Output 3 20" xfId="13110" xr:uid="{FD031E34-430D-4218-B2E5-EA7DB11694EF}"/>
    <cellStyle name="Output 3 21" xfId="13111" xr:uid="{30E4EAAA-4CC5-4DCD-9BD0-C97DC25B20AD}"/>
    <cellStyle name="Output 3 22" xfId="13112" xr:uid="{BDE11FAE-97A9-4CFE-BB56-CF04E13D435C}"/>
    <cellStyle name="Output 3 23" xfId="13113" xr:uid="{C7F471E7-2B8A-482E-8F35-0CF9AAB4B92C}"/>
    <cellStyle name="Output 3 24" xfId="13114" xr:uid="{837C6A0A-B2A8-4E57-81AA-880E99BEB9E7}"/>
    <cellStyle name="Output 3 25" xfId="13115" xr:uid="{6924480C-1AC6-42AA-84BE-2486ADD00350}"/>
    <cellStyle name="Output 3 3" xfId="13116" xr:uid="{A0AD8014-AA1A-454F-9726-186AB32F4DA5}"/>
    <cellStyle name="Output 3 3 10" xfId="13117" xr:uid="{CEAFFEF2-1F97-44F3-8867-20B059881A47}"/>
    <cellStyle name="Output 3 3 11" xfId="13118" xr:uid="{1C8AED09-EDA8-4935-A88A-BBAE9898A822}"/>
    <cellStyle name="Output 3 3 12" xfId="13119" xr:uid="{EAAA7FA6-A9A3-4EBD-A214-7AF15C9506A5}"/>
    <cellStyle name="Output 3 3 13" xfId="13120" xr:uid="{DFA10926-A468-4E9B-92A1-5DF6CBA88DDC}"/>
    <cellStyle name="Output 3 3 14" xfId="13121" xr:uid="{3E5BFA16-C7CD-4986-B85F-7513F2F085C8}"/>
    <cellStyle name="Output 3 3 15" xfId="13122" xr:uid="{FCC6E79E-DC60-4F5B-8A4D-4FC74260DAB9}"/>
    <cellStyle name="Output 3 3 16" xfId="13123" xr:uid="{DC0FF5A6-448C-48BF-AD2C-46AD8CBEEA7C}"/>
    <cellStyle name="Output 3 3 17" xfId="13124" xr:uid="{3A2420B0-B837-4E99-8E8E-20989337B776}"/>
    <cellStyle name="Output 3 3 18" xfId="13125" xr:uid="{F2C90FF5-1202-4414-AE50-02AB5885749F}"/>
    <cellStyle name="Output 3 3 19" xfId="13126" xr:uid="{1D9EE45D-C387-46CF-A015-A228904E16A7}"/>
    <cellStyle name="Output 3 3 2" xfId="13127" xr:uid="{6AAA92C8-4EF1-4B8F-A6A5-CAEBEE26C49E}"/>
    <cellStyle name="Output 3 3 2 10" xfId="13128" xr:uid="{B76B59ED-9BC2-4813-A512-5BE58BA1DD38}"/>
    <cellStyle name="Output 3 3 2 11" xfId="13129" xr:uid="{5381E3CE-0AB1-4BBC-B544-BE169169A127}"/>
    <cellStyle name="Output 3 3 2 12" xfId="13130" xr:uid="{BB696D8E-965B-43D4-85E6-BDC24EDAD6A5}"/>
    <cellStyle name="Output 3 3 2 13" xfId="13131" xr:uid="{6AF48A97-2ACD-4B28-B888-8EC3F9FBD9C3}"/>
    <cellStyle name="Output 3 3 2 14" xfId="13132" xr:uid="{6528FDE0-A1FE-4BDF-ABBE-2245CD9F7DEE}"/>
    <cellStyle name="Output 3 3 2 15" xfId="13133" xr:uid="{D122AAEA-47F8-46C4-A38E-2163DC0A31E1}"/>
    <cellStyle name="Output 3 3 2 16" xfId="13134" xr:uid="{D0DEE8DE-8AF7-436C-8D73-D2E1FF4082EE}"/>
    <cellStyle name="Output 3 3 2 17" xfId="13135" xr:uid="{A0EC951B-020C-4A20-B597-1094DA4965B4}"/>
    <cellStyle name="Output 3 3 2 18" xfId="13136" xr:uid="{1962ACD2-031F-47B2-95F3-490070C35A1D}"/>
    <cellStyle name="Output 3 3 2 19" xfId="13137" xr:uid="{4B41E47D-29DA-436B-8237-B1752C7B1E41}"/>
    <cellStyle name="Output 3 3 2 2" xfId="13138" xr:uid="{B479033D-023A-4606-BFDA-8DA1A72F8ACF}"/>
    <cellStyle name="Output 3 3 2 2 10" xfId="13139" xr:uid="{3F6E1624-DAB7-443C-9F5D-CAF0FED614BC}"/>
    <cellStyle name="Output 3 3 2 2 11" xfId="13140" xr:uid="{2A1A2878-ED3A-4C1C-9CB9-85C4988C1571}"/>
    <cellStyle name="Output 3 3 2 2 12" xfId="13141" xr:uid="{9E75C32F-5C5F-4500-9166-6C1A1DBABFA4}"/>
    <cellStyle name="Output 3 3 2 2 13" xfId="13142" xr:uid="{F5C75401-6875-4638-95AA-D6419ABA882E}"/>
    <cellStyle name="Output 3 3 2 2 14" xfId="13143" xr:uid="{133D1420-B1C6-4C2C-A243-E4FDBD39878B}"/>
    <cellStyle name="Output 3 3 2 2 15" xfId="13144" xr:uid="{12844813-55F6-4E52-B1B5-6F5C23F7C62F}"/>
    <cellStyle name="Output 3 3 2 2 16" xfId="13145" xr:uid="{8E521A6E-C87F-4878-A1E5-496EBEB904D8}"/>
    <cellStyle name="Output 3 3 2 2 17" xfId="13146" xr:uid="{08EA6220-3898-41AA-8B50-4EBC398A1297}"/>
    <cellStyle name="Output 3 3 2 2 18" xfId="13147" xr:uid="{657C9D17-CB46-4DF2-9B9F-B7A3DCFDA28B}"/>
    <cellStyle name="Output 3 3 2 2 19" xfId="13148" xr:uid="{4D781AC2-43D8-40F2-BFC2-A0F2ABCAD878}"/>
    <cellStyle name="Output 3 3 2 2 2" xfId="13149" xr:uid="{7097E429-A6A6-4E33-8C49-930C248901C7}"/>
    <cellStyle name="Output 3 3 2 2 3" xfId="13150" xr:uid="{FD2AF8A6-0358-4EFF-B540-10F0C67ECCF9}"/>
    <cellStyle name="Output 3 3 2 2 4" xfId="13151" xr:uid="{EE910540-5FC6-46A3-B58C-E360C7505457}"/>
    <cellStyle name="Output 3 3 2 2 5" xfId="13152" xr:uid="{61E644C2-5234-4681-967A-C5C2CA263206}"/>
    <cellStyle name="Output 3 3 2 2 6" xfId="13153" xr:uid="{15E726E1-CEFF-48C0-8B48-913B711C2ED5}"/>
    <cellStyle name="Output 3 3 2 2 7" xfId="13154" xr:uid="{15AC88DE-3889-4F1A-9190-3E3CFAA7610D}"/>
    <cellStyle name="Output 3 3 2 2 8" xfId="13155" xr:uid="{7DC75E54-EFFB-4034-B702-EBFDA9A1E3B5}"/>
    <cellStyle name="Output 3 3 2 2 9" xfId="13156" xr:uid="{F663D81C-7B27-40B3-818C-C28535553CAC}"/>
    <cellStyle name="Output 3 3 2 2_2013" xfId="13157" xr:uid="{DA26045A-D3EC-4386-B44B-3DB9DF9D3D7E}"/>
    <cellStyle name="Output 3 3 2 20" xfId="13158" xr:uid="{C130F9D4-6F77-474D-AE53-45846E30158B}"/>
    <cellStyle name="Output 3 3 2 3" xfId="13159" xr:uid="{DBD80252-2937-4965-85CB-7A744C505D88}"/>
    <cellStyle name="Output 3 3 2 4" xfId="13160" xr:uid="{2A4779F0-B0D9-4B62-B9C7-1BC0111EDD8F}"/>
    <cellStyle name="Output 3 3 2 5" xfId="13161" xr:uid="{5659B805-5F83-467F-AC22-3EDB85F9E57A}"/>
    <cellStyle name="Output 3 3 2 6" xfId="13162" xr:uid="{872B5480-B91C-4EE5-A121-3C510C2AE9A2}"/>
    <cellStyle name="Output 3 3 2 7" xfId="13163" xr:uid="{A1A29BAB-411E-4F53-B65A-52C6FB4D0B19}"/>
    <cellStyle name="Output 3 3 2 8" xfId="13164" xr:uid="{08FA01E2-2229-49A9-84F5-F848EF2FB7A0}"/>
    <cellStyle name="Output 3 3 2 9" xfId="13165" xr:uid="{AC6881EF-E2C0-4171-9655-E77EEF74EABC}"/>
    <cellStyle name="Output 3 3 2_2013" xfId="13166" xr:uid="{854C9BBA-F06E-4D0D-983F-76C52C45E435}"/>
    <cellStyle name="Output 3 3 20" xfId="13167" xr:uid="{D8B2EBE4-C85D-46CD-9572-A8FC5B5B290E}"/>
    <cellStyle name="Output 3 3 21" xfId="13168" xr:uid="{A30F494F-8A8A-484E-8413-BAD8005B62BA}"/>
    <cellStyle name="Output 3 3 22" xfId="13169" xr:uid="{97899FD0-44C6-467F-8F38-8A6F40E05515}"/>
    <cellStyle name="Output 3 3 3" xfId="13170" xr:uid="{B549E710-BB99-42BD-B02E-0398E33F4AE3}"/>
    <cellStyle name="Output 3 3 3 10" xfId="13171" xr:uid="{8150E9AE-BBE5-47A7-9276-9A2D85D4CDAB}"/>
    <cellStyle name="Output 3 3 3 11" xfId="13172" xr:uid="{AF22351B-2206-4084-BA97-A30276B1AE99}"/>
    <cellStyle name="Output 3 3 3 12" xfId="13173" xr:uid="{32883534-F74E-487A-B294-3B3DC6EA701A}"/>
    <cellStyle name="Output 3 3 3 13" xfId="13174" xr:uid="{B042C6BE-47FB-4F01-A112-CFF4F7851236}"/>
    <cellStyle name="Output 3 3 3 14" xfId="13175" xr:uid="{2425B561-8ED8-4074-9AD1-6B7517C111A1}"/>
    <cellStyle name="Output 3 3 3 15" xfId="13176" xr:uid="{65A81636-4A02-4CED-A13C-7BFCF474B990}"/>
    <cellStyle name="Output 3 3 3 16" xfId="13177" xr:uid="{F936A153-5B16-45C6-9679-D072C6304D19}"/>
    <cellStyle name="Output 3 3 3 17" xfId="13178" xr:uid="{7C3607BA-3278-49C3-91E0-8DF5A1426C06}"/>
    <cellStyle name="Output 3 3 3 18" xfId="13179" xr:uid="{916CE839-447D-46D6-9AE9-9B9FF0AB27FB}"/>
    <cellStyle name="Output 3 3 3 19" xfId="13180" xr:uid="{6363DD02-EBE7-4B26-9396-C3044BA23FC7}"/>
    <cellStyle name="Output 3 3 3 2" xfId="13181" xr:uid="{7ED037CF-6366-4579-9EC1-3D3D9A0B1FC6}"/>
    <cellStyle name="Output 3 3 3 2 10" xfId="13182" xr:uid="{9CC5778D-7F61-4DBD-9B53-5CE4B17C11E8}"/>
    <cellStyle name="Output 3 3 3 2 11" xfId="13183" xr:uid="{ACA77DEF-8CB5-409A-8961-022142E48260}"/>
    <cellStyle name="Output 3 3 3 2 12" xfId="13184" xr:uid="{68B596F0-2B90-4809-ABAB-E7DF9C25356D}"/>
    <cellStyle name="Output 3 3 3 2 13" xfId="13185" xr:uid="{75E7243A-129D-49B8-935F-21CDD436F440}"/>
    <cellStyle name="Output 3 3 3 2 14" xfId="13186" xr:uid="{054AE392-D4F6-4D93-A9F2-8E41E07E49F5}"/>
    <cellStyle name="Output 3 3 3 2 15" xfId="13187" xr:uid="{421E99F5-0DDC-4654-8210-4D7EDBB52D1C}"/>
    <cellStyle name="Output 3 3 3 2 16" xfId="13188" xr:uid="{32DF1957-BCE1-4679-9EBE-541377A00F1D}"/>
    <cellStyle name="Output 3 3 3 2 17" xfId="13189" xr:uid="{9D5AC2BF-2CCB-4162-AE8F-CB7BF3B431A7}"/>
    <cellStyle name="Output 3 3 3 2 18" xfId="13190" xr:uid="{6298067F-3814-4AA8-B074-4BCC49533DE3}"/>
    <cellStyle name="Output 3 3 3 2 19" xfId="13191" xr:uid="{085ED9E8-B273-4846-A632-DF13034F9171}"/>
    <cellStyle name="Output 3 3 3 2 2" xfId="13192" xr:uid="{280186F0-CC14-4A55-A61A-1E210D282248}"/>
    <cellStyle name="Output 3 3 3 2 3" xfId="13193" xr:uid="{3547FAC6-74A2-435E-AE6A-38058ED03732}"/>
    <cellStyle name="Output 3 3 3 2 4" xfId="13194" xr:uid="{5BD92BB2-E229-4A96-AD42-9F9EC2D4F4D6}"/>
    <cellStyle name="Output 3 3 3 2 5" xfId="13195" xr:uid="{7E09CD8D-A817-4E10-8EC3-2397D1FA2586}"/>
    <cellStyle name="Output 3 3 3 2 6" xfId="13196" xr:uid="{B3E0775F-14B9-44F0-B4E1-FE8A4CC664F4}"/>
    <cellStyle name="Output 3 3 3 2 7" xfId="13197" xr:uid="{8FF6D07E-486E-4F1B-B447-70E9FFFB5970}"/>
    <cellStyle name="Output 3 3 3 2 8" xfId="13198" xr:uid="{6AE45368-C4B5-4A1D-8DA1-96A860654644}"/>
    <cellStyle name="Output 3 3 3 2 9" xfId="13199" xr:uid="{F8996926-7307-40C2-81CE-6D0B9602EDBB}"/>
    <cellStyle name="Output 3 3 3 2_2013" xfId="13200" xr:uid="{3B124160-F9D6-4D91-AEC7-3BA5747BA51B}"/>
    <cellStyle name="Output 3 3 3 20" xfId="13201" xr:uid="{B71DEDAC-3AF8-416F-A145-5381B1860710}"/>
    <cellStyle name="Output 3 3 3 3" xfId="13202" xr:uid="{4D99BA88-9251-4EA7-92E4-405776CC9015}"/>
    <cellStyle name="Output 3 3 3 4" xfId="13203" xr:uid="{13B0F757-A76A-4AC2-B6C8-FD84A53F15B7}"/>
    <cellStyle name="Output 3 3 3 5" xfId="13204" xr:uid="{DC865EBC-5D1F-4EAF-B8F6-C03B121F1AB6}"/>
    <cellStyle name="Output 3 3 3 6" xfId="13205" xr:uid="{BDF85B89-2207-490F-8F1D-085B4CC8E992}"/>
    <cellStyle name="Output 3 3 3 7" xfId="13206" xr:uid="{7771BC7F-A565-4501-A679-23E1E331ED20}"/>
    <cellStyle name="Output 3 3 3 8" xfId="13207" xr:uid="{07EDDC88-6C7C-4575-BFE7-D7EBC47E94D5}"/>
    <cellStyle name="Output 3 3 3 9" xfId="13208" xr:uid="{DF8CF757-0CD1-4D23-B512-0870C9559C7E}"/>
    <cellStyle name="Output 3 3 3_2013" xfId="13209" xr:uid="{EE73E452-4038-4E55-A3BF-7559BD97F09C}"/>
    <cellStyle name="Output 3 3 4" xfId="13210" xr:uid="{BF90D73E-39EF-48AD-9FFA-7E40C0203B6E}"/>
    <cellStyle name="Output 3 3 4 10" xfId="13211" xr:uid="{8B0B3F33-E19C-4CD9-A3DE-17F07852BD1D}"/>
    <cellStyle name="Output 3 3 4 11" xfId="13212" xr:uid="{D0401C80-F03C-4F81-9EB1-7F98EADCD87A}"/>
    <cellStyle name="Output 3 3 4 12" xfId="13213" xr:uid="{0666ED3E-21B8-493F-9D95-417EEB577C92}"/>
    <cellStyle name="Output 3 3 4 13" xfId="13214" xr:uid="{D3F42783-1139-498E-92E2-BDE17D1C5B16}"/>
    <cellStyle name="Output 3 3 4 14" xfId="13215" xr:uid="{2D5E9FF8-18C3-44DE-86E2-499997096121}"/>
    <cellStyle name="Output 3 3 4 15" xfId="13216" xr:uid="{36FF1AB8-D365-419B-8AD9-1F7241DFF1CB}"/>
    <cellStyle name="Output 3 3 4 16" xfId="13217" xr:uid="{61BC5BB0-54B3-4DEF-819F-24E66472C02D}"/>
    <cellStyle name="Output 3 3 4 17" xfId="13218" xr:uid="{5730CCDC-F7F7-4D2D-87D7-EB6EFC141A37}"/>
    <cellStyle name="Output 3 3 4 18" xfId="13219" xr:uid="{0075436A-0E21-4C21-A9A8-B398E74B2631}"/>
    <cellStyle name="Output 3 3 4 19" xfId="13220" xr:uid="{A88B2E85-91B9-4217-910E-4023FDB7E514}"/>
    <cellStyle name="Output 3 3 4 2" xfId="13221" xr:uid="{F3CDE2DB-9C33-4CFC-83B8-5395FB80D58D}"/>
    <cellStyle name="Output 3 3 4 3" xfId="13222" xr:uid="{B336500C-2D84-4436-9D84-852D55B115AC}"/>
    <cellStyle name="Output 3 3 4 4" xfId="13223" xr:uid="{38FAF6CF-910B-4C24-B212-22FC5CCB24D9}"/>
    <cellStyle name="Output 3 3 4 5" xfId="13224" xr:uid="{F0063874-8235-4B78-98A6-067702EC3FE6}"/>
    <cellStyle name="Output 3 3 4 6" xfId="13225" xr:uid="{842E2A97-FF4E-4506-9431-5B8E86B3D636}"/>
    <cellStyle name="Output 3 3 4 7" xfId="13226" xr:uid="{B527CA82-8ED5-4C07-B7F7-CDE7828DF729}"/>
    <cellStyle name="Output 3 3 4 8" xfId="13227" xr:uid="{369DAC4F-21A5-49DA-99A4-EEFFE5B4097B}"/>
    <cellStyle name="Output 3 3 4 9" xfId="13228" xr:uid="{8BD1A550-DD35-470A-8DCF-2E68B577F9D4}"/>
    <cellStyle name="Output 3 3 4_2013" xfId="13229" xr:uid="{881B3050-BA0E-4386-AB51-986AE64336CE}"/>
    <cellStyle name="Output 3 3 5" xfId="13230" xr:uid="{9C695D4A-2004-4A55-8FB9-BE5429B4F4A4}"/>
    <cellStyle name="Output 3 3 5 2" xfId="13231" xr:uid="{2798E15F-83E7-4A57-B2E6-38329A08BDCC}"/>
    <cellStyle name="Output 3 3 5_2013" xfId="13232" xr:uid="{616F77EE-CD60-4F26-BFD3-8A9994459FE6}"/>
    <cellStyle name="Output 3 3 6" xfId="13233" xr:uid="{0E2927FB-EAAD-4A89-8066-98E40C7CFD25}"/>
    <cellStyle name="Output 3 3 7" xfId="13234" xr:uid="{190674AE-2CB6-4778-98DF-B8B2A0840ED1}"/>
    <cellStyle name="Output 3 3 8" xfId="13235" xr:uid="{89931E67-37F0-46F2-A98D-8A2EC487C15D}"/>
    <cellStyle name="Output 3 3 9" xfId="13236" xr:uid="{A5CD2B2B-B726-43E1-AC3A-9EC34454EB65}"/>
    <cellStyle name="Output 3 3_2013" xfId="13237" xr:uid="{272AD637-569B-4F95-A8F1-BE841F5CED39}"/>
    <cellStyle name="Output 3 4" xfId="13238" xr:uid="{05150CCB-5087-43AB-957A-D488E38B9D2D}"/>
    <cellStyle name="Output 3 4 10" xfId="13239" xr:uid="{76D5FABD-9F98-4453-B3F6-74C6B29612E7}"/>
    <cellStyle name="Output 3 4 11" xfId="13240" xr:uid="{C5A6FDAC-9C84-4D3F-AFA8-A1E0F2098F8F}"/>
    <cellStyle name="Output 3 4 12" xfId="13241" xr:uid="{9B9D030F-1E48-4CAD-AE4F-D33457F590A2}"/>
    <cellStyle name="Output 3 4 13" xfId="13242" xr:uid="{C39AF211-270E-4D65-A2E5-C60DFAFCADCC}"/>
    <cellStyle name="Output 3 4 14" xfId="13243" xr:uid="{5EFF01A9-0A02-432B-AD04-AF5333BA8DC5}"/>
    <cellStyle name="Output 3 4 15" xfId="13244" xr:uid="{8595E3F7-6F73-4C42-BC3F-61B36A623FDB}"/>
    <cellStyle name="Output 3 4 16" xfId="13245" xr:uid="{97B2E615-77ED-4599-AD9F-56FBB6092ECD}"/>
    <cellStyle name="Output 3 4 17" xfId="13246" xr:uid="{D84D4ACE-6B56-4073-88A8-E27BF0FC245F}"/>
    <cellStyle name="Output 3 4 18" xfId="13247" xr:uid="{7EAE60AA-A86F-48D9-93A1-335328F8764B}"/>
    <cellStyle name="Output 3 4 19" xfId="13248" xr:uid="{5127B73D-29E7-4791-A8FE-0FC1391850E7}"/>
    <cellStyle name="Output 3 4 2" xfId="13249" xr:uid="{B45BB8AA-8342-4A2A-B6EF-22D74904F6AD}"/>
    <cellStyle name="Output 3 4 2 10" xfId="13250" xr:uid="{E8A618B5-CCD6-4238-BFFF-D3645AD7161C}"/>
    <cellStyle name="Output 3 4 2 11" xfId="13251" xr:uid="{4081A43A-9FFF-4305-8BE2-A764B0EB5596}"/>
    <cellStyle name="Output 3 4 2 12" xfId="13252" xr:uid="{D58AADAD-E30E-49C5-B78A-9E9A0A0CA272}"/>
    <cellStyle name="Output 3 4 2 13" xfId="13253" xr:uid="{A16FB420-645E-4DEA-85F1-891CDE8C82AE}"/>
    <cellStyle name="Output 3 4 2 14" xfId="13254" xr:uid="{3BC58ACC-2B1E-461F-ABFF-ACF81E6082A0}"/>
    <cellStyle name="Output 3 4 2 15" xfId="13255" xr:uid="{F56654D1-9926-405F-B623-1A4AFF185895}"/>
    <cellStyle name="Output 3 4 2 16" xfId="13256" xr:uid="{D292E62C-F337-4211-89D5-AF7A92B7C1EF}"/>
    <cellStyle name="Output 3 4 2 17" xfId="13257" xr:uid="{18B4BFE5-9D4E-42E4-875C-6EE4B9147EC4}"/>
    <cellStyle name="Output 3 4 2 18" xfId="13258" xr:uid="{A5008E35-F0B2-42DB-B6D9-989B65587764}"/>
    <cellStyle name="Output 3 4 2 19" xfId="13259" xr:uid="{E4ACA149-8B37-4A23-911E-8490FE98830F}"/>
    <cellStyle name="Output 3 4 2 2" xfId="13260" xr:uid="{AA49DCCD-5454-43CF-820C-BF52A1D2013E}"/>
    <cellStyle name="Output 3 4 2 3" xfId="13261" xr:uid="{E2E64349-C09C-4832-A1BB-C1CE2A659C5C}"/>
    <cellStyle name="Output 3 4 2 4" xfId="13262" xr:uid="{8B322FE3-FA9B-44F3-957D-4D2F25E786E4}"/>
    <cellStyle name="Output 3 4 2 5" xfId="13263" xr:uid="{A7A1DB4D-A7FD-4BD7-95D4-1907FE07E1CA}"/>
    <cellStyle name="Output 3 4 2 6" xfId="13264" xr:uid="{0DB2F320-DE78-498C-8B72-771A0F3C2E2D}"/>
    <cellStyle name="Output 3 4 2 7" xfId="13265" xr:uid="{8D7EB612-1A19-47AD-B5D6-E480904D2C95}"/>
    <cellStyle name="Output 3 4 2 8" xfId="13266" xr:uid="{5DBD243D-626A-4F1F-B333-C9E437A30A95}"/>
    <cellStyle name="Output 3 4 2 9" xfId="13267" xr:uid="{FA06E22C-CB54-4659-9507-C4F1DC575C59}"/>
    <cellStyle name="Output 3 4 2_2013" xfId="13268" xr:uid="{636AA916-8313-4CDD-BEFE-653D47420CA7}"/>
    <cellStyle name="Output 3 4 20" xfId="13269" xr:uid="{DAE13D13-5608-4096-9924-60F17281C629}"/>
    <cellStyle name="Output 3 4 3" xfId="13270" xr:uid="{4840F9AE-6851-4EC6-A21E-262F3D7AD86B}"/>
    <cellStyle name="Output 3 4 4" xfId="13271" xr:uid="{72EE5C0D-BF4F-487F-9319-1B16B43FCE67}"/>
    <cellStyle name="Output 3 4 5" xfId="13272" xr:uid="{59804F8F-7CAB-44A5-80EB-E1EA7AA16D26}"/>
    <cellStyle name="Output 3 4 6" xfId="13273" xr:uid="{9C940348-A676-4A8D-A2DF-3EF40E1AEB5F}"/>
    <cellStyle name="Output 3 4 7" xfId="13274" xr:uid="{C4EF3C7E-2A1B-4F70-8004-00B1E562F752}"/>
    <cellStyle name="Output 3 4 8" xfId="13275" xr:uid="{543C1BF7-8AF3-485B-A69D-F86E5AC5581B}"/>
    <cellStyle name="Output 3 4 9" xfId="13276" xr:uid="{41EE22CA-3D0A-420C-B3D6-C86796F6F5DB}"/>
    <cellStyle name="Output 3 4_2013" xfId="13277" xr:uid="{47E32484-E3B9-46CD-A0DE-840AF3973D2D}"/>
    <cellStyle name="Output 3 5" xfId="13278" xr:uid="{6F5CD123-E817-47F4-8FCB-03430E71C836}"/>
    <cellStyle name="Output 3 5 10" xfId="13279" xr:uid="{D256DB3E-7188-4B58-B269-F007428BC307}"/>
    <cellStyle name="Output 3 5 11" xfId="13280" xr:uid="{7725AB89-0D47-4BA0-BE12-B3C613468708}"/>
    <cellStyle name="Output 3 5 12" xfId="13281" xr:uid="{C143EECC-3CF0-432E-B635-3267FDBE8176}"/>
    <cellStyle name="Output 3 5 13" xfId="13282" xr:uid="{96AADF32-B1B3-4A8D-A00B-31FC1591ED8C}"/>
    <cellStyle name="Output 3 5 14" xfId="13283" xr:uid="{F548A16F-83DF-48EC-B11C-65A66FA3B227}"/>
    <cellStyle name="Output 3 5 15" xfId="13284" xr:uid="{FF621A45-0135-4AB7-90FE-2680F85F6E15}"/>
    <cellStyle name="Output 3 5 16" xfId="13285" xr:uid="{654EA28A-6E80-4D62-BB5E-3CC7551E3697}"/>
    <cellStyle name="Output 3 5 17" xfId="13286" xr:uid="{DA204E27-65C4-4526-81E6-B85001595815}"/>
    <cellStyle name="Output 3 5 18" xfId="13287" xr:uid="{E347BF77-6A76-4423-905C-6AFA7F449D71}"/>
    <cellStyle name="Output 3 5 19" xfId="13288" xr:uid="{5577EADE-750D-4C06-B4F1-63A17F2B2A08}"/>
    <cellStyle name="Output 3 5 2" xfId="13289" xr:uid="{74A50F4C-00F8-43E6-A019-42F02CE97ADC}"/>
    <cellStyle name="Output 3 5 2 10" xfId="13290" xr:uid="{2CDB7D40-1A9F-4D6E-9E52-3F0CB9F6E21E}"/>
    <cellStyle name="Output 3 5 2 11" xfId="13291" xr:uid="{CAB0D80D-3EFF-4FE7-9870-CA41EEFFD996}"/>
    <cellStyle name="Output 3 5 2 12" xfId="13292" xr:uid="{631D9CC9-5574-4847-A813-F70B0FAB2BE1}"/>
    <cellStyle name="Output 3 5 2 13" xfId="13293" xr:uid="{D5032483-BD42-4D51-B61A-00A6C59EE25C}"/>
    <cellStyle name="Output 3 5 2 14" xfId="13294" xr:uid="{4381A1E0-E891-4A0F-8238-25F48274B280}"/>
    <cellStyle name="Output 3 5 2 15" xfId="13295" xr:uid="{AF8E6E58-7F79-41A1-93BD-2ACEE4AE507C}"/>
    <cellStyle name="Output 3 5 2 16" xfId="13296" xr:uid="{33FEBB5A-D1C3-4D0C-8D85-381D5B8446B3}"/>
    <cellStyle name="Output 3 5 2 17" xfId="13297" xr:uid="{8CD88489-3F87-49A5-8748-904ACC1F080D}"/>
    <cellStyle name="Output 3 5 2 18" xfId="13298" xr:uid="{213A31C2-519A-4BC0-81D0-A99F723CA4C3}"/>
    <cellStyle name="Output 3 5 2 19" xfId="13299" xr:uid="{50F8740C-EC49-451B-84DD-035811F29508}"/>
    <cellStyle name="Output 3 5 2 2" xfId="13300" xr:uid="{1F27E740-3C18-41FE-8E76-F65B3456B891}"/>
    <cellStyle name="Output 3 5 2 3" xfId="13301" xr:uid="{DB77951C-D18F-41D9-AA0B-79E210321C23}"/>
    <cellStyle name="Output 3 5 2 4" xfId="13302" xr:uid="{EFFA1574-C825-4F7C-B691-683D38F7F38A}"/>
    <cellStyle name="Output 3 5 2 5" xfId="13303" xr:uid="{2A9B14F5-AB0B-4431-BFB2-337C3784176F}"/>
    <cellStyle name="Output 3 5 2 6" xfId="13304" xr:uid="{76AEDB28-8EEC-4A9F-8F03-96EDCD54A072}"/>
    <cellStyle name="Output 3 5 2 7" xfId="13305" xr:uid="{552C1596-FC07-4783-ACD4-4584F911F500}"/>
    <cellStyle name="Output 3 5 2 8" xfId="13306" xr:uid="{96280C2C-4CFD-4AB4-9814-40D43A084824}"/>
    <cellStyle name="Output 3 5 2 9" xfId="13307" xr:uid="{13BF7A5D-0A3D-4D2F-9658-450B49D5DEE5}"/>
    <cellStyle name="Output 3 5 2_2013" xfId="13308" xr:uid="{2D713B75-CEDC-40C0-AEEB-D52480E4CE84}"/>
    <cellStyle name="Output 3 5 20" xfId="13309" xr:uid="{4D0C8DD2-36B5-4A7A-9C94-B974D129D264}"/>
    <cellStyle name="Output 3 5 3" xfId="13310" xr:uid="{BBCF3558-B17C-4ECA-9F1B-72116F8AD055}"/>
    <cellStyle name="Output 3 5 4" xfId="13311" xr:uid="{5391818A-432A-4204-9FC3-2F590523801A}"/>
    <cellStyle name="Output 3 5 5" xfId="13312" xr:uid="{13AE4298-FC44-49F6-81A1-7F1BB5414356}"/>
    <cellStyle name="Output 3 5 6" xfId="13313" xr:uid="{0CF45ADE-E480-4503-9590-89B9730F0520}"/>
    <cellStyle name="Output 3 5 7" xfId="13314" xr:uid="{C61B92F8-3776-4D72-A20F-A0F64937D51E}"/>
    <cellStyle name="Output 3 5 8" xfId="13315" xr:uid="{4AD26EB0-CC7C-4B2F-8F10-4AF31214D82B}"/>
    <cellStyle name="Output 3 5 9" xfId="13316" xr:uid="{1CEEE381-CB11-4766-8C82-89C95571C5FA}"/>
    <cellStyle name="Output 3 5_2013" xfId="13317" xr:uid="{D42B1BB1-8BF2-47DA-868C-D81FBBA2EC1E}"/>
    <cellStyle name="Output 3 6" xfId="13318" xr:uid="{CF467370-BBDF-4722-87B4-8C0147107763}"/>
    <cellStyle name="Output 3 6 10" xfId="13319" xr:uid="{F333E0B6-47B8-428A-943F-922B2C005132}"/>
    <cellStyle name="Output 3 6 11" xfId="13320" xr:uid="{05EBDF3E-2F42-4138-9590-9903C60E6705}"/>
    <cellStyle name="Output 3 6 12" xfId="13321" xr:uid="{633894E7-2B14-467D-96DC-44401AFBAEF4}"/>
    <cellStyle name="Output 3 6 13" xfId="13322" xr:uid="{359B9400-B102-4519-9E2E-8CDD0B7F206E}"/>
    <cellStyle name="Output 3 6 14" xfId="13323" xr:uid="{00F63946-7F21-4DF6-8CC0-CD022C16720E}"/>
    <cellStyle name="Output 3 6 15" xfId="13324" xr:uid="{B52F54C0-9A2C-45DD-9FC3-C0E4BDA81EE8}"/>
    <cellStyle name="Output 3 6 16" xfId="13325" xr:uid="{FD667EDA-BF6D-47FB-90D4-B9A6A3B4C1B5}"/>
    <cellStyle name="Output 3 6 17" xfId="13326" xr:uid="{FB076415-6B0E-4494-96B3-4FC96FB0D0B6}"/>
    <cellStyle name="Output 3 6 18" xfId="13327" xr:uid="{87C9B9D8-A494-445A-BAF8-DA7782A66C1F}"/>
    <cellStyle name="Output 3 6 19" xfId="13328" xr:uid="{0A82D825-A7CA-4E80-B768-CBF76C9E1B4C}"/>
    <cellStyle name="Output 3 6 2" xfId="13329" xr:uid="{67044D30-FC2D-40D8-ADE8-B9B6B8AE61A8}"/>
    <cellStyle name="Output 3 6 3" xfId="13330" xr:uid="{48079297-46DD-48BD-8910-1D31EAFA7FAE}"/>
    <cellStyle name="Output 3 6 4" xfId="13331" xr:uid="{8666933E-410D-4B6B-90EF-BBE754941D42}"/>
    <cellStyle name="Output 3 6 5" xfId="13332" xr:uid="{B9885E05-EBC8-4ECD-971D-B96D10B76255}"/>
    <cellStyle name="Output 3 6 6" xfId="13333" xr:uid="{5678AAAA-63F1-47FD-961D-A952589B682A}"/>
    <cellStyle name="Output 3 6 7" xfId="13334" xr:uid="{8DE35CCE-010B-4F61-89D3-A1B3B246B29E}"/>
    <cellStyle name="Output 3 6 8" xfId="13335" xr:uid="{D9B3E336-3CD2-4280-AB3B-36E836D1EE52}"/>
    <cellStyle name="Output 3 6 9" xfId="13336" xr:uid="{B30996B1-B499-4636-86D6-3A4589A445D3}"/>
    <cellStyle name="Output 3 6_2013" xfId="13337" xr:uid="{F1B07351-E725-46F8-A861-166C5D280173}"/>
    <cellStyle name="Output 3 7" xfId="13338" xr:uid="{0F258D63-A47F-4D3A-A368-3DE34E83FDD2}"/>
    <cellStyle name="Output 3 7 2" xfId="13339" xr:uid="{79985317-CFB9-4A37-81D8-54CD4A8B0CCF}"/>
    <cellStyle name="Output 3 7_2013" xfId="13340" xr:uid="{E5957D63-20C6-45FC-92F0-E00A0D3CFFB0}"/>
    <cellStyle name="Output 3 8" xfId="13341" xr:uid="{7525EE15-D033-4835-9302-D311176B8C2C}"/>
    <cellStyle name="Output 3 9" xfId="13342" xr:uid="{71E6C39F-3FC0-4CDD-80D3-08CC488B7B6E}"/>
    <cellStyle name="Output 3_2013" xfId="13343" xr:uid="{C8531A2E-C680-456B-8CEF-FB0219A3ECB7}"/>
    <cellStyle name="Output 4" xfId="13344" xr:uid="{68B253D3-EBC7-41D3-8435-C8D5E197F6F4}"/>
    <cellStyle name="Output 4 10" xfId="13345" xr:uid="{980874C7-FC2C-4E3A-9DCB-E2AEB72140EE}"/>
    <cellStyle name="Output 4 11" xfId="13346" xr:uid="{4204B080-6F0A-444A-BF10-6BC1B0373620}"/>
    <cellStyle name="Output 4 12" xfId="13347" xr:uid="{103AE317-D6A8-4E47-A1A5-B623341D5FAC}"/>
    <cellStyle name="Output 4 13" xfId="13348" xr:uid="{37E207DE-6A60-4C4E-A176-BADC7EC59179}"/>
    <cellStyle name="Output 4 14" xfId="13349" xr:uid="{328BF8C7-A648-48B1-B9D1-3BA300279E2B}"/>
    <cellStyle name="Output 4 15" xfId="13350" xr:uid="{5E057683-6C50-4BB3-B42B-11A63BF36734}"/>
    <cellStyle name="Output 4 16" xfId="13351" xr:uid="{6CCE82EC-BEA3-45C9-AD7E-C55C2EB98763}"/>
    <cellStyle name="Output 4 17" xfId="13352" xr:uid="{67730364-110E-4865-878B-603D0C5DA19D}"/>
    <cellStyle name="Output 4 18" xfId="13353" xr:uid="{44D19973-09D8-4B6C-9D0E-976654459FAA}"/>
    <cellStyle name="Output 4 19" xfId="13354" xr:uid="{8F6E41E8-680E-4344-A4D5-A473BF981648}"/>
    <cellStyle name="Output 4 2" xfId="13355" xr:uid="{D5E2E6C2-43DA-47A0-ADF6-F30E17A2DB0D}"/>
    <cellStyle name="Output 4 2 10" xfId="13356" xr:uid="{10D5814B-6F8D-4C24-9E5E-6D10A0A6974E}"/>
    <cellStyle name="Output 4 2 11" xfId="13357" xr:uid="{0126F37A-FF92-4B71-8192-0396D665AE34}"/>
    <cellStyle name="Output 4 2 12" xfId="13358" xr:uid="{82D62476-771F-452E-A4AB-1603EB8CCC35}"/>
    <cellStyle name="Output 4 2 13" xfId="13359" xr:uid="{89A10A95-C2D0-4777-A6A3-53647473E3E9}"/>
    <cellStyle name="Output 4 2 14" xfId="13360" xr:uid="{4C4B3F3B-1EA2-4DEC-9F0D-2FD1BDACE444}"/>
    <cellStyle name="Output 4 2 15" xfId="13361" xr:uid="{32871606-5777-4531-83DF-04ADEB91C261}"/>
    <cellStyle name="Output 4 2 16" xfId="13362" xr:uid="{BD740E42-D256-4B24-A4D8-291275E02F23}"/>
    <cellStyle name="Output 4 2 17" xfId="13363" xr:uid="{57BD0A54-64EE-4DE3-A96F-C4ECED29B882}"/>
    <cellStyle name="Output 4 2 18" xfId="13364" xr:uid="{ED62C0C6-FDCA-464C-AC2C-2868AFBE51DA}"/>
    <cellStyle name="Output 4 2 19" xfId="13365" xr:uid="{D4ABD03F-2C73-4A0C-A109-76EE0558E626}"/>
    <cellStyle name="Output 4 2 2" xfId="13366" xr:uid="{5AE0C1EB-2104-48BE-BF37-8FCE0308D4F9}"/>
    <cellStyle name="Output 4 2 2 10" xfId="13367" xr:uid="{90C023A5-F2EF-4E0D-A843-459F5C008A06}"/>
    <cellStyle name="Output 4 2 2 11" xfId="13368" xr:uid="{15284876-12FB-4127-AFBF-054FF7A1E9B0}"/>
    <cellStyle name="Output 4 2 2 12" xfId="13369" xr:uid="{525B817B-6011-403C-A5C0-6310A08E1E0E}"/>
    <cellStyle name="Output 4 2 2 13" xfId="13370" xr:uid="{F980323C-78C6-4AF0-9E3B-B98CE9BB07D0}"/>
    <cellStyle name="Output 4 2 2 14" xfId="13371" xr:uid="{257724ED-69E7-412F-90FA-28A5277083A5}"/>
    <cellStyle name="Output 4 2 2 15" xfId="13372" xr:uid="{FBC8D264-6931-45D0-B04C-4C23671C6157}"/>
    <cellStyle name="Output 4 2 2 16" xfId="13373" xr:uid="{1A8E13DD-FCBE-4CDA-B563-622A7459DC5B}"/>
    <cellStyle name="Output 4 2 2 17" xfId="13374" xr:uid="{3E6110B3-BED5-44C9-9CD3-8113AD5B689E}"/>
    <cellStyle name="Output 4 2 2 18" xfId="13375" xr:uid="{51CBE8A7-797E-4DA6-B6EE-97A8DB39A2C2}"/>
    <cellStyle name="Output 4 2 2 19" xfId="13376" xr:uid="{A2420018-89F6-4DC7-883E-1CFC46C7D1CE}"/>
    <cellStyle name="Output 4 2 2 2" xfId="13377" xr:uid="{63EAB89F-CFDF-4A01-B037-86CF6ACEB1BA}"/>
    <cellStyle name="Output 4 2 2 2 10" xfId="13378" xr:uid="{D9796933-82EB-46BE-BDBA-4378D3795A6A}"/>
    <cellStyle name="Output 4 2 2 2 11" xfId="13379" xr:uid="{A4DF0198-99B0-45B0-ABB6-5914DA0ED4AA}"/>
    <cellStyle name="Output 4 2 2 2 12" xfId="13380" xr:uid="{0A58C412-F571-48CC-A726-0FF788876094}"/>
    <cellStyle name="Output 4 2 2 2 13" xfId="13381" xr:uid="{2D5CEEAA-AC9F-4175-BF31-168B5908C63D}"/>
    <cellStyle name="Output 4 2 2 2 14" xfId="13382" xr:uid="{5FE2283D-436B-4EA0-B494-E66325CF7B03}"/>
    <cellStyle name="Output 4 2 2 2 15" xfId="13383" xr:uid="{51EF2AF9-4D57-4F8A-83A8-A561958BC0FA}"/>
    <cellStyle name="Output 4 2 2 2 16" xfId="13384" xr:uid="{E28FF24B-66B2-4252-B2E8-804002C1514D}"/>
    <cellStyle name="Output 4 2 2 2 17" xfId="13385" xr:uid="{CAC88744-4959-48B7-AA43-4EFC038362BD}"/>
    <cellStyle name="Output 4 2 2 2 18" xfId="13386" xr:uid="{96F7E220-C096-42F4-BB66-39D50C6E0560}"/>
    <cellStyle name="Output 4 2 2 2 19" xfId="13387" xr:uid="{13B1FF95-2BCC-461B-A8ED-961109C09253}"/>
    <cellStyle name="Output 4 2 2 2 2" xfId="13388" xr:uid="{D51C7B24-00C7-4971-A441-CE732A4AD36B}"/>
    <cellStyle name="Output 4 2 2 2 3" xfId="13389" xr:uid="{7149B46E-58EF-4881-B919-9A0F7F9207B7}"/>
    <cellStyle name="Output 4 2 2 2 4" xfId="13390" xr:uid="{162E8E3E-9D2F-431F-92D3-40BB78B293D4}"/>
    <cellStyle name="Output 4 2 2 2 5" xfId="13391" xr:uid="{A49DFEE1-C436-4C46-8493-48415E8C7F13}"/>
    <cellStyle name="Output 4 2 2 2 6" xfId="13392" xr:uid="{B43AB3C7-ACA9-44CE-A827-BC858A7E5BAC}"/>
    <cellStyle name="Output 4 2 2 2 7" xfId="13393" xr:uid="{CC7190F0-9ECE-4E84-B6F4-14E32ED6E345}"/>
    <cellStyle name="Output 4 2 2 2 8" xfId="13394" xr:uid="{A88B2772-2507-4CCB-B962-BD316967F446}"/>
    <cellStyle name="Output 4 2 2 2 9" xfId="13395" xr:uid="{DE034245-3221-4FB1-9B2E-33E8C928EACF}"/>
    <cellStyle name="Output 4 2 2 2_2013" xfId="13396" xr:uid="{26BCF205-B5AD-43F4-8D1F-B2AC076B6319}"/>
    <cellStyle name="Output 4 2 2 20" xfId="13397" xr:uid="{76FA85E3-79C0-46E0-80F0-026E661BD660}"/>
    <cellStyle name="Output 4 2 2 3" xfId="13398" xr:uid="{23795413-1764-4C51-87C9-BFAD17341FD6}"/>
    <cellStyle name="Output 4 2 2 4" xfId="13399" xr:uid="{BA6DAC1C-2EE9-4CF7-ABE0-A8BBA1A63E29}"/>
    <cellStyle name="Output 4 2 2 5" xfId="13400" xr:uid="{D2D57FC3-C128-4EB3-9B82-AAE0B2E13103}"/>
    <cellStyle name="Output 4 2 2 6" xfId="13401" xr:uid="{0EF1F669-DB9A-44D5-AB92-C7089299DFB4}"/>
    <cellStyle name="Output 4 2 2 7" xfId="13402" xr:uid="{3A11AF2B-9259-4412-ABA8-4F16C8C847F8}"/>
    <cellStyle name="Output 4 2 2 8" xfId="13403" xr:uid="{A5195170-EEF2-40DB-8573-B3B41624BD91}"/>
    <cellStyle name="Output 4 2 2 9" xfId="13404" xr:uid="{0B913A28-D8E8-44F0-9B14-D5608EA5C6D0}"/>
    <cellStyle name="Output 4 2 2_2013" xfId="13405" xr:uid="{DCF1F642-89FD-4452-B8F0-EADDD1D09B19}"/>
    <cellStyle name="Output 4 2 20" xfId="13406" xr:uid="{C6AAD892-7B11-4F36-A89D-D1A60D2B2AA2}"/>
    <cellStyle name="Output 4 2 21" xfId="13407" xr:uid="{598EF09D-5C23-4D62-8726-4085AD0172CC}"/>
    <cellStyle name="Output 4 2 22" xfId="13408" xr:uid="{829D1AE4-9F7B-4616-B891-0B04F8698932}"/>
    <cellStyle name="Output 4 2 3" xfId="13409" xr:uid="{9423B6B3-BE14-40A1-A7F3-D632882E0CDA}"/>
    <cellStyle name="Output 4 2 3 10" xfId="13410" xr:uid="{4864F77F-1269-45D5-BEFD-F831B43E99DE}"/>
    <cellStyle name="Output 4 2 3 11" xfId="13411" xr:uid="{3CB93D5D-F84D-4D9F-A66D-A04FFFD36987}"/>
    <cellStyle name="Output 4 2 3 12" xfId="13412" xr:uid="{D20D3317-BFC5-4980-BD3D-5DA50F182415}"/>
    <cellStyle name="Output 4 2 3 13" xfId="13413" xr:uid="{04021E40-0640-4805-99BD-D869E9102BE1}"/>
    <cellStyle name="Output 4 2 3 14" xfId="13414" xr:uid="{BE3392E1-3F94-4FDF-ABA3-725AEEFCC29E}"/>
    <cellStyle name="Output 4 2 3 15" xfId="13415" xr:uid="{A4901BF4-85A7-4680-B2F1-5D426F01A391}"/>
    <cellStyle name="Output 4 2 3 16" xfId="13416" xr:uid="{3ADEEA12-D3C9-4EB5-AC7F-AEED37EDDC87}"/>
    <cellStyle name="Output 4 2 3 17" xfId="13417" xr:uid="{1CE69B72-F904-4C15-9EFE-6BF55F4518A2}"/>
    <cellStyle name="Output 4 2 3 18" xfId="13418" xr:uid="{29F7C97C-5415-45AB-B569-AEAC9918B5A4}"/>
    <cellStyle name="Output 4 2 3 19" xfId="13419" xr:uid="{27BD523E-E7AE-49D4-B120-3F72D6E068B0}"/>
    <cellStyle name="Output 4 2 3 2" xfId="13420" xr:uid="{A248EA49-D755-4839-81D9-922EEB1E1193}"/>
    <cellStyle name="Output 4 2 3 2 10" xfId="13421" xr:uid="{6E80A5A6-07D9-4DA1-AFD2-0269C8F48B2E}"/>
    <cellStyle name="Output 4 2 3 2 11" xfId="13422" xr:uid="{CAB2857C-9B8C-42F9-86F7-000E4FCFEA53}"/>
    <cellStyle name="Output 4 2 3 2 12" xfId="13423" xr:uid="{F77F618D-458B-4B44-BD69-9BD69DA7C56B}"/>
    <cellStyle name="Output 4 2 3 2 13" xfId="13424" xr:uid="{FCE79999-915D-4945-95C5-4078302D3270}"/>
    <cellStyle name="Output 4 2 3 2 14" xfId="13425" xr:uid="{FE407ECB-F023-4E9A-A735-29575638B1CA}"/>
    <cellStyle name="Output 4 2 3 2 15" xfId="13426" xr:uid="{E1EADF67-F910-4E0B-8BED-1668D038472C}"/>
    <cellStyle name="Output 4 2 3 2 16" xfId="13427" xr:uid="{770386C2-1CB3-4B77-80D2-4387DF191D58}"/>
    <cellStyle name="Output 4 2 3 2 17" xfId="13428" xr:uid="{C9DACA49-43A8-423D-A1DB-7C12DDFF4DB2}"/>
    <cellStyle name="Output 4 2 3 2 18" xfId="13429" xr:uid="{1E1584A0-012E-4A57-8FF1-4D86625322D4}"/>
    <cellStyle name="Output 4 2 3 2 19" xfId="13430" xr:uid="{317A4A6D-2CE4-42A1-BB57-7A8AA1CC9043}"/>
    <cellStyle name="Output 4 2 3 2 2" xfId="13431" xr:uid="{C6C9CE8F-DB79-4414-B017-C6F5B74E685A}"/>
    <cellStyle name="Output 4 2 3 2 3" xfId="13432" xr:uid="{A44031AD-B21A-40B4-A89F-AC4D7278F622}"/>
    <cellStyle name="Output 4 2 3 2 4" xfId="13433" xr:uid="{D53E3CD3-96DC-4AFE-A1E0-F8C38657A05F}"/>
    <cellStyle name="Output 4 2 3 2 5" xfId="13434" xr:uid="{655B80E0-17A6-403A-8974-01FD2DBB2CB2}"/>
    <cellStyle name="Output 4 2 3 2 6" xfId="13435" xr:uid="{F6AB4F29-9DBF-4D4B-B018-95CC095FAF54}"/>
    <cellStyle name="Output 4 2 3 2 7" xfId="13436" xr:uid="{BAED3419-CDB2-40AF-AACB-2E71F7633356}"/>
    <cellStyle name="Output 4 2 3 2 8" xfId="13437" xr:uid="{888055D8-9229-46F2-97BD-97CC06327B48}"/>
    <cellStyle name="Output 4 2 3 2 9" xfId="13438" xr:uid="{A4ADAE24-B4CF-4F84-A2BF-B18DB9BA2DCE}"/>
    <cellStyle name="Output 4 2 3 2_2013" xfId="13439" xr:uid="{B10C4CB0-51D6-474A-9BA6-09861E2F3480}"/>
    <cellStyle name="Output 4 2 3 20" xfId="13440" xr:uid="{F6C16C3F-5BE2-4788-A088-1F0692988A89}"/>
    <cellStyle name="Output 4 2 3 3" xfId="13441" xr:uid="{B83B7250-E591-4873-8D0F-2B16A7E68504}"/>
    <cellStyle name="Output 4 2 3 4" xfId="13442" xr:uid="{2EF824B7-DE61-4F47-9BDF-D96BBAC47778}"/>
    <cellStyle name="Output 4 2 3 5" xfId="13443" xr:uid="{2AF38B37-99F1-4995-A636-4B99A8CCCA71}"/>
    <cellStyle name="Output 4 2 3 6" xfId="13444" xr:uid="{87EFDBF6-7346-4083-B1C0-22CF8448F927}"/>
    <cellStyle name="Output 4 2 3 7" xfId="13445" xr:uid="{34321806-27EA-4B61-8C78-0F95ABAA6B0C}"/>
    <cellStyle name="Output 4 2 3 8" xfId="13446" xr:uid="{4DD68FE1-50A2-4B17-A789-BCD09703F5A6}"/>
    <cellStyle name="Output 4 2 3 9" xfId="13447" xr:uid="{8CF2C9C5-AFA6-4C4C-8B77-F917639BE81A}"/>
    <cellStyle name="Output 4 2 3_2013" xfId="13448" xr:uid="{FCD644A2-BEB8-4BB7-82CD-01A5B56D6AFC}"/>
    <cellStyle name="Output 4 2 4" xfId="13449" xr:uid="{8775DD17-451F-40A6-AA64-9F9A0D0DD5F9}"/>
    <cellStyle name="Output 4 2 4 10" xfId="13450" xr:uid="{A452077F-37B7-45DF-9511-DC095E843972}"/>
    <cellStyle name="Output 4 2 4 11" xfId="13451" xr:uid="{4EC96464-65A6-4366-9CA8-3B84FD6E738E}"/>
    <cellStyle name="Output 4 2 4 12" xfId="13452" xr:uid="{D60AC590-8EB5-4EA7-B0C4-DF719F5BFD6C}"/>
    <cellStyle name="Output 4 2 4 13" xfId="13453" xr:uid="{1D84E3B4-21DC-408B-9DD4-199BF2694BBA}"/>
    <cellStyle name="Output 4 2 4 14" xfId="13454" xr:uid="{F7B6CFD4-AAFF-4E22-8C21-914D46062900}"/>
    <cellStyle name="Output 4 2 4 15" xfId="13455" xr:uid="{1E0AD0FB-9DD9-49BD-AC69-AACDC4C4979D}"/>
    <cellStyle name="Output 4 2 4 16" xfId="13456" xr:uid="{85216E89-2D26-460B-8F8B-BFE34DADC6E5}"/>
    <cellStyle name="Output 4 2 4 17" xfId="13457" xr:uid="{C6B7EDC4-89DB-4832-B6DC-0BC4914F7DFA}"/>
    <cellStyle name="Output 4 2 4 18" xfId="13458" xr:uid="{5BAD24AF-775D-4F3C-B058-A70F42203426}"/>
    <cellStyle name="Output 4 2 4 19" xfId="13459" xr:uid="{E89E9DEF-42D3-4710-B12B-CE3F97803C9E}"/>
    <cellStyle name="Output 4 2 4 2" xfId="13460" xr:uid="{49527A91-B0B6-41EE-B8A5-C4D28E47BF96}"/>
    <cellStyle name="Output 4 2 4 3" xfId="13461" xr:uid="{A2CC2279-8DE1-4631-854C-9CB4070FFB54}"/>
    <cellStyle name="Output 4 2 4 4" xfId="13462" xr:uid="{4F400C97-7424-4E1B-BD43-C925DF05B581}"/>
    <cellStyle name="Output 4 2 4 5" xfId="13463" xr:uid="{3E853D14-21E5-4DE2-AA47-C4DD560CF274}"/>
    <cellStyle name="Output 4 2 4 6" xfId="13464" xr:uid="{84324E8B-304A-4B59-932E-BCF08D4BD5FA}"/>
    <cellStyle name="Output 4 2 4 7" xfId="13465" xr:uid="{A8E80493-C8FB-4346-A68D-EA95A67FFB04}"/>
    <cellStyle name="Output 4 2 4 8" xfId="13466" xr:uid="{CB059223-C605-4B5B-BA96-1461E5BE7431}"/>
    <cellStyle name="Output 4 2 4 9" xfId="13467" xr:uid="{B521BD09-24DB-42B9-AE9A-2F947BE9E249}"/>
    <cellStyle name="Output 4 2 4_2013" xfId="13468" xr:uid="{CD09BA7D-6BD3-468A-89E9-135AF44E6F38}"/>
    <cellStyle name="Output 4 2 5" xfId="13469" xr:uid="{6EAD27E2-5C3B-4B59-AF6B-C980FDEFF784}"/>
    <cellStyle name="Output 4 2 5 2" xfId="13470" xr:uid="{715E7285-6A68-4FB5-BCE6-E85BC30C461E}"/>
    <cellStyle name="Output 4 2 5_2013" xfId="13471" xr:uid="{E0E99BCC-F5CF-422D-8AC1-BD46FE4B613E}"/>
    <cellStyle name="Output 4 2 6" xfId="13472" xr:uid="{438D2973-CB20-49AC-8425-BEA965B7999A}"/>
    <cellStyle name="Output 4 2 7" xfId="13473" xr:uid="{D2D8CA65-E9D7-415B-917C-002FF4DE1259}"/>
    <cellStyle name="Output 4 2 8" xfId="13474" xr:uid="{C18D73D8-8DF1-44BB-8C06-897C52572BFA}"/>
    <cellStyle name="Output 4 2 9" xfId="13475" xr:uid="{0359CA7A-9E92-4D84-95E9-306BC4B19931}"/>
    <cellStyle name="Output 4 2_2013" xfId="13476" xr:uid="{5FD581AE-5EB8-46D8-BCD9-87B579434C36}"/>
    <cellStyle name="Output 4 20" xfId="13477" xr:uid="{71C121BB-CC00-4646-8828-4CE0EAB76CBB}"/>
    <cellStyle name="Output 4 21" xfId="13478" xr:uid="{413B8FAB-3F08-4397-AC66-C2F870F77B26}"/>
    <cellStyle name="Output 4 22" xfId="13479" xr:uid="{885EA811-5630-4829-B759-28B7D285071A}"/>
    <cellStyle name="Output 4 23" xfId="13480" xr:uid="{7B0369E5-41F5-48D5-BD24-E5CAFC851791}"/>
    <cellStyle name="Output 4 24" xfId="13481" xr:uid="{6ED1D60F-6F06-4911-BC7D-251BABFEDA8E}"/>
    <cellStyle name="Output 4 25" xfId="13482" xr:uid="{B8B8C719-EE76-43CE-850B-05AAC5E9D899}"/>
    <cellStyle name="Output 4 26" xfId="13483" xr:uid="{42D8AC63-E1A8-4E43-BD69-92A9A39F4DA3}"/>
    <cellStyle name="Output 4 3" xfId="13484" xr:uid="{9C83B05A-FDA1-413A-B21F-49D1479D8ED7}"/>
    <cellStyle name="Output 4 3 10" xfId="13485" xr:uid="{4386BA48-169B-4BE2-A1E5-8C989ABD69D4}"/>
    <cellStyle name="Output 4 3 11" xfId="13486" xr:uid="{24515E37-B488-477E-B8D4-C40866DCB7BA}"/>
    <cellStyle name="Output 4 3 12" xfId="13487" xr:uid="{2DE2EA8E-8719-414D-BE70-8D1C2340D61D}"/>
    <cellStyle name="Output 4 3 13" xfId="13488" xr:uid="{C53840FA-A08C-4E54-B360-9F06622D5769}"/>
    <cellStyle name="Output 4 3 14" xfId="13489" xr:uid="{871D209A-8327-4075-8E52-D99DC1D7E43A}"/>
    <cellStyle name="Output 4 3 15" xfId="13490" xr:uid="{62EB9597-B3DB-4492-8EB4-39B04B906E87}"/>
    <cellStyle name="Output 4 3 16" xfId="13491" xr:uid="{5B6DF52A-39D4-4CD0-A41E-61A6963C9D92}"/>
    <cellStyle name="Output 4 3 17" xfId="13492" xr:uid="{F5F24CFB-EEAE-422A-AD48-95A5F583A2FB}"/>
    <cellStyle name="Output 4 3 18" xfId="13493" xr:uid="{F6A6E6F6-0C00-42EA-84F6-50176B343410}"/>
    <cellStyle name="Output 4 3 19" xfId="13494" xr:uid="{654DC15C-9896-46F1-BD5D-70D01E5ACB6C}"/>
    <cellStyle name="Output 4 3 2" xfId="13495" xr:uid="{2B46F19B-8ECA-4028-82FE-A5290702B926}"/>
    <cellStyle name="Output 4 3 2 10" xfId="13496" xr:uid="{3F34E293-05D3-4DE7-A27A-A992C5CE3CDE}"/>
    <cellStyle name="Output 4 3 2 11" xfId="13497" xr:uid="{80841457-E4F3-419A-8957-C10DE21D6D9A}"/>
    <cellStyle name="Output 4 3 2 12" xfId="13498" xr:uid="{F974F192-19C2-4F76-9AF3-8714A998CD3E}"/>
    <cellStyle name="Output 4 3 2 13" xfId="13499" xr:uid="{F33558E9-D4FA-493B-A1D2-0F0ADC9BD05A}"/>
    <cellStyle name="Output 4 3 2 14" xfId="13500" xr:uid="{0303A5A3-7342-4B11-B6F8-DA9E98FFAB93}"/>
    <cellStyle name="Output 4 3 2 15" xfId="13501" xr:uid="{07BB7A5B-FF65-4DE0-95F5-AF6F9857D1DD}"/>
    <cellStyle name="Output 4 3 2 16" xfId="13502" xr:uid="{47CB3901-3978-4C93-9D85-6C5D17FEE07B}"/>
    <cellStyle name="Output 4 3 2 17" xfId="13503" xr:uid="{3659FF53-ABC5-4662-A632-4D200AAF71B7}"/>
    <cellStyle name="Output 4 3 2 18" xfId="13504" xr:uid="{5B4D28B1-6FBC-4968-BC2B-9E82EBF5479B}"/>
    <cellStyle name="Output 4 3 2 19" xfId="13505" xr:uid="{965E7967-EFEB-4156-B5D6-1B8511F2ECFB}"/>
    <cellStyle name="Output 4 3 2 2" xfId="13506" xr:uid="{2573DD5F-61C5-450A-850A-1B11B0E6F15D}"/>
    <cellStyle name="Output 4 3 2 3" xfId="13507" xr:uid="{842BDF3F-731B-48F7-8BA6-7C94CD0D7719}"/>
    <cellStyle name="Output 4 3 2 4" xfId="13508" xr:uid="{D8A6F44A-2B6B-4DED-BFD5-827E92335B44}"/>
    <cellStyle name="Output 4 3 2 5" xfId="13509" xr:uid="{A3D7C4A7-8C85-47D0-8D70-72A723375E24}"/>
    <cellStyle name="Output 4 3 2 6" xfId="13510" xr:uid="{158F2140-DBD6-4D01-ADEB-B726F7F43D61}"/>
    <cellStyle name="Output 4 3 2 7" xfId="13511" xr:uid="{F7992483-EF42-4BA4-A875-20A0A99F63E9}"/>
    <cellStyle name="Output 4 3 2 8" xfId="13512" xr:uid="{A7754223-AC25-439C-982F-7B85080D909E}"/>
    <cellStyle name="Output 4 3 2 9" xfId="13513" xr:uid="{8D80C6BC-16FF-49F6-AFD0-97FD33F3D139}"/>
    <cellStyle name="Output 4 3 2_2013" xfId="13514" xr:uid="{C564F5C2-8CCD-4DB3-AADF-22889107AE71}"/>
    <cellStyle name="Output 4 3 20" xfId="13515" xr:uid="{1437538F-61EC-488D-B9D0-7E0A47053870}"/>
    <cellStyle name="Output 4 3 3" xfId="13516" xr:uid="{280C08CF-4B12-422C-ADE6-71A28DBF247A}"/>
    <cellStyle name="Output 4 3 4" xfId="13517" xr:uid="{1C348048-75CC-4820-8131-16E90B0DF3AE}"/>
    <cellStyle name="Output 4 3 5" xfId="13518" xr:uid="{7569627B-1346-4088-B87E-852CBC977AE2}"/>
    <cellStyle name="Output 4 3 6" xfId="13519" xr:uid="{AF5BC65A-EC49-4DB0-A870-746010AF59F9}"/>
    <cellStyle name="Output 4 3 7" xfId="13520" xr:uid="{AD142521-9C59-465A-BD70-4BEE98E3C69D}"/>
    <cellStyle name="Output 4 3 8" xfId="13521" xr:uid="{616AB345-B5D2-4565-BC2D-80D9EAB001B8}"/>
    <cellStyle name="Output 4 3 9" xfId="13522" xr:uid="{6AAD3945-6788-4F78-9F47-9482C9AA9A80}"/>
    <cellStyle name="Output 4 3_2013" xfId="13523" xr:uid="{DAC8291A-F52A-42E4-AA09-48CD9A2EE9BB}"/>
    <cellStyle name="Output 4 4" xfId="13524" xr:uid="{ED7986BD-115F-46B6-843C-60CE4744CF6E}"/>
    <cellStyle name="Output 4 4 10" xfId="13525" xr:uid="{C707E5E6-1719-45BF-B096-9EDC0789001F}"/>
    <cellStyle name="Output 4 4 11" xfId="13526" xr:uid="{503FD904-52A5-4820-A251-8F990379F0F8}"/>
    <cellStyle name="Output 4 4 12" xfId="13527" xr:uid="{911110DD-3F6B-45F9-8112-5E75FD494622}"/>
    <cellStyle name="Output 4 4 13" xfId="13528" xr:uid="{E453C3E1-9EA0-4F7B-AC17-7D80C2FE0B79}"/>
    <cellStyle name="Output 4 4 14" xfId="13529" xr:uid="{52D1D1D3-0ABB-4F36-9283-C0E3B4E2A0E9}"/>
    <cellStyle name="Output 4 4 15" xfId="13530" xr:uid="{EF8FA44D-4443-42B2-9E2A-37F673B00AFE}"/>
    <cellStyle name="Output 4 4 16" xfId="13531" xr:uid="{4CA3F01D-B410-4BE0-99B4-CA05A1ED8298}"/>
    <cellStyle name="Output 4 4 17" xfId="13532" xr:uid="{99D16793-9E5D-4533-BBEF-068D9EF5F7EF}"/>
    <cellStyle name="Output 4 4 18" xfId="13533" xr:uid="{01C15D69-CD7A-40B8-8721-9551192D8B9D}"/>
    <cellStyle name="Output 4 4 19" xfId="13534" xr:uid="{1E0248E2-80B6-449C-AD53-BEDE154DAC5F}"/>
    <cellStyle name="Output 4 4 2" xfId="13535" xr:uid="{AB2DAE51-1869-4F79-A79F-0C1D657B9A5D}"/>
    <cellStyle name="Output 4 4 2 10" xfId="13536" xr:uid="{FB23E3A8-27FD-4598-8731-18A8233F76E0}"/>
    <cellStyle name="Output 4 4 2 11" xfId="13537" xr:uid="{0A2DCDC2-43C0-4754-93C9-37DE28ACB521}"/>
    <cellStyle name="Output 4 4 2 12" xfId="13538" xr:uid="{0B0A0E7A-9564-4213-AC38-8CF4F64844C4}"/>
    <cellStyle name="Output 4 4 2 13" xfId="13539" xr:uid="{62725D9C-F2D0-44C1-84E8-D7E045C7824F}"/>
    <cellStyle name="Output 4 4 2 14" xfId="13540" xr:uid="{C730F97B-0BE4-4273-B058-BEA7773E2627}"/>
    <cellStyle name="Output 4 4 2 15" xfId="13541" xr:uid="{9B4A9175-2E23-4649-84C1-87F67D5D834A}"/>
    <cellStyle name="Output 4 4 2 16" xfId="13542" xr:uid="{9DD23611-F75B-489C-910E-FA7E72ED4724}"/>
    <cellStyle name="Output 4 4 2 17" xfId="13543" xr:uid="{F92F6AFF-6283-4C9D-848E-FBCC6626AFEB}"/>
    <cellStyle name="Output 4 4 2 18" xfId="13544" xr:uid="{40BF81FB-36AE-485C-A4CE-39D4DA217EBE}"/>
    <cellStyle name="Output 4 4 2 19" xfId="13545" xr:uid="{0FD3D9EB-ADE3-4FBD-9CAC-505363F17767}"/>
    <cellStyle name="Output 4 4 2 2" xfId="13546" xr:uid="{E23C2CEC-1E82-4201-AB4B-7612A204AE47}"/>
    <cellStyle name="Output 4 4 2 3" xfId="13547" xr:uid="{B5E9F005-AB39-4B7E-BA57-2816C4C13BFF}"/>
    <cellStyle name="Output 4 4 2 4" xfId="13548" xr:uid="{C0471AC1-8697-40E6-A41D-D1FE63F6527C}"/>
    <cellStyle name="Output 4 4 2 5" xfId="13549" xr:uid="{01B76AE9-6B9A-4E0B-9CB5-A010214DCA57}"/>
    <cellStyle name="Output 4 4 2 6" xfId="13550" xr:uid="{773D8CBB-4504-4C03-B33D-F4E3EAC1BB14}"/>
    <cellStyle name="Output 4 4 2 7" xfId="13551" xr:uid="{58D544FD-B3AB-49E9-A402-AECAC8B546A3}"/>
    <cellStyle name="Output 4 4 2 8" xfId="13552" xr:uid="{0D871B3C-6772-4F36-A547-24011508D617}"/>
    <cellStyle name="Output 4 4 2 9" xfId="13553" xr:uid="{57B7979A-908C-4654-AC22-F1283D2892BB}"/>
    <cellStyle name="Output 4 4 2_2013" xfId="13554" xr:uid="{EEA0FBA6-E8A4-4B0B-8DD9-E90112678A18}"/>
    <cellStyle name="Output 4 4 20" xfId="13555" xr:uid="{C52AF064-9DDF-4001-8347-5C44831C9828}"/>
    <cellStyle name="Output 4 4 3" xfId="13556" xr:uid="{4B982EA8-0A11-42AC-998F-891BAF080638}"/>
    <cellStyle name="Output 4 4 4" xfId="13557" xr:uid="{7FB5C6EB-2710-4982-9E72-8661A673AFB5}"/>
    <cellStyle name="Output 4 4 5" xfId="13558" xr:uid="{D3E182EF-8E6E-4912-990C-5172775D6526}"/>
    <cellStyle name="Output 4 4 6" xfId="13559" xr:uid="{04420B09-C1D9-4BDB-AEA5-3FB441270D00}"/>
    <cellStyle name="Output 4 4 7" xfId="13560" xr:uid="{4509E185-3C6A-4ACE-90CA-B1ECE7354BAD}"/>
    <cellStyle name="Output 4 4 8" xfId="13561" xr:uid="{E8B9D469-B36F-4E19-9E86-68E2F808B9A7}"/>
    <cellStyle name="Output 4 4 9" xfId="13562" xr:uid="{EB877DF7-76BF-40FB-841D-7C0C71850BAC}"/>
    <cellStyle name="Output 4 4_2013" xfId="13563" xr:uid="{6291C910-2100-41A5-B75E-78DCCAB54BD1}"/>
    <cellStyle name="Output 4 5" xfId="13564" xr:uid="{5EF10892-6278-42AA-8C47-3D45F5ACA904}"/>
    <cellStyle name="Output 4 5 10" xfId="13565" xr:uid="{19CF17CC-C299-4ECB-A52D-BCAC51D11F9E}"/>
    <cellStyle name="Output 4 5 11" xfId="13566" xr:uid="{4C265385-0645-4717-B4C0-F4494EF4D718}"/>
    <cellStyle name="Output 4 5 12" xfId="13567" xr:uid="{594FB318-3AFB-4C28-8FB1-F87372A1E5C3}"/>
    <cellStyle name="Output 4 5 13" xfId="13568" xr:uid="{17C4B269-DCEF-47A7-A032-F81AE5B70C8B}"/>
    <cellStyle name="Output 4 5 14" xfId="13569" xr:uid="{23FF3591-1915-4CB6-9BC1-06C6998EFC48}"/>
    <cellStyle name="Output 4 5 15" xfId="13570" xr:uid="{AFEF0742-4367-4D95-B902-65A2B8235116}"/>
    <cellStyle name="Output 4 5 16" xfId="13571" xr:uid="{5BEB0AA7-BCAA-45E2-A153-7179133DD090}"/>
    <cellStyle name="Output 4 5 17" xfId="13572" xr:uid="{14CE4497-10CD-4515-A5CB-5021C6D0132B}"/>
    <cellStyle name="Output 4 5 18" xfId="13573" xr:uid="{942DAE00-1B37-488C-A374-79F77BEAB4E0}"/>
    <cellStyle name="Output 4 5 19" xfId="13574" xr:uid="{7B4CAEA7-01CA-493B-AA61-A3F77FCE4329}"/>
    <cellStyle name="Output 4 5 2" xfId="13575" xr:uid="{66DCCEAA-624D-457E-A103-5809AB1BEED4}"/>
    <cellStyle name="Output 4 5 3" xfId="13576" xr:uid="{789BFD3E-FC63-4869-8040-29180EA365DB}"/>
    <cellStyle name="Output 4 5 4" xfId="13577" xr:uid="{97A641D3-4748-4117-9105-5D588347420C}"/>
    <cellStyle name="Output 4 5 5" xfId="13578" xr:uid="{D655B37A-F0C1-4F43-A938-51B2FF86C2C3}"/>
    <cellStyle name="Output 4 5 6" xfId="13579" xr:uid="{5C6747AB-3BDB-44D2-9795-A0FAC39514F9}"/>
    <cellStyle name="Output 4 5 7" xfId="13580" xr:uid="{E9BDBE4C-01DF-4A2C-8A70-31AD9A56C09B}"/>
    <cellStyle name="Output 4 5 8" xfId="13581" xr:uid="{543D1407-5F9B-4659-89AA-0757932EBBDD}"/>
    <cellStyle name="Output 4 5 9" xfId="13582" xr:uid="{9BBCC7DC-821A-438A-9ED1-7D85C1AFCE6F}"/>
    <cellStyle name="Output 4 5_2013" xfId="13583" xr:uid="{2560E821-7F74-4F47-AD0B-B2B3A330AE68}"/>
    <cellStyle name="Output 4 6" xfId="13584" xr:uid="{20034BA4-7890-43CF-BB01-EBFF95852569}"/>
    <cellStyle name="Output 4 6 2" xfId="13585" xr:uid="{FEA33D4F-ED1E-4E16-88D1-6F5ADB5760F0}"/>
    <cellStyle name="Output 4 6_2013" xfId="13586" xr:uid="{370E933E-BDE2-4CE8-B973-54F291C19525}"/>
    <cellStyle name="Output 4 7" xfId="13587" xr:uid="{9E75AED2-C4B6-4596-84DD-F431A2E4F73F}"/>
    <cellStyle name="Output 4 8" xfId="13588" xr:uid="{41D9BFED-7892-4FC5-BA22-BAAF958EC97F}"/>
    <cellStyle name="Output 4 9" xfId="13589" xr:uid="{5F22FB60-1D5F-4E51-BE0A-789EAE4D0E6E}"/>
    <cellStyle name="Output 4_2013" xfId="13590" xr:uid="{D7680149-FFDF-401F-9F07-FC0216690B59}"/>
    <cellStyle name="Output 5" xfId="13591" xr:uid="{457C532E-31A0-41BC-A522-82576F9570AC}"/>
    <cellStyle name="Output 5 10" xfId="13592" xr:uid="{77BB2906-D0D1-4C5F-AF2E-6343C43CEE7E}"/>
    <cellStyle name="Output 5 11" xfId="13593" xr:uid="{323EE874-0B37-46E1-B58D-FBF876DC75AF}"/>
    <cellStyle name="Output 5 12" xfId="13594" xr:uid="{2CF0C19B-7E07-4A45-9B22-B9D6CC0F6855}"/>
    <cellStyle name="Output 5 13" xfId="13595" xr:uid="{75E0E57B-3A30-41C7-AD9C-9ED1E9832F20}"/>
    <cellStyle name="Output 5 14" xfId="13596" xr:uid="{3E2E445B-D4E4-4C83-AAEC-551FFE1C9411}"/>
    <cellStyle name="Output 5 15" xfId="13597" xr:uid="{AABE95CA-FD1F-4DED-9852-3C6FCEBECC1D}"/>
    <cellStyle name="Output 5 16" xfId="13598" xr:uid="{717C0DAC-B0B8-46E0-9F50-BDC66365F711}"/>
    <cellStyle name="Output 5 17" xfId="13599" xr:uid="{3C5DAC70-0FE3-46E3-A749-EF5D13365D10}"/>
    <cellStyle name="Output 5 18" xfId="13600" xr:uid="{EB3A04AA-760D-451D-B410-82111D3F4FFC}"/>
    <cellStyle name="Output 5 19" xfId="13601" xr:uid="{B591E08B-B80A-499A-ABE6-1FFA73DEF25F}"/>
    <cellStyle name="Output 5 2" xfId="13602" xr:uid="{2BEEF430-BB43-4555-96BA-E64E793A095C}"/>
    <cellStyle name="Output 5 20" xfId="13603" xr:uid="{93EBDE02-85BB-49E6-8944-58383FC43087}"/>
    <cellStyle name="Output 5 3" xfId="13604" xr:uid="{6951B775-5270-4003-AD9F-6D0802109CA0}"/>
    <cellStyle name="Output 5 4" xfId="13605" xr:uid="{16395E14-F74B-4A97-9428-34FEDC556A0C}"/>
    <cellStyle name="Output 5 5" xfId="13606" xr:uid="{0CCC22D8-04AD-44A9-A77F-01E85C44D5CC}"/>
    <cellStyle name="Output 5 6" xfId="13607" xr:uid="{8EE58CB3-6610-4ABA-9846-7BBED6EE95E5}"/>
    <cellStyle name="Output 5 7" xfId="13608" xr:uid="{4CE89F4F-1C67-4D91-AC2C-4166A5CCB648}"/>
    <cellStyle name="Output 5 8" xfId="13609" xr:uid="{557A5643-3F68-4A94-B154-278ADCBCBBBA}"/>
    <cellStyle name="Output 5 9" xfId="13610" xr:uid="{CC079462-27C5-4BDF-957D-4D9AA7116F92}"/>
    <cellStyle name="Output 5_2013" xfId="13611" xr:uid="{D281AE6B-AD0F-4EDF-93AB-6D4B59409269}"/>
    <cellStyle name="Output 6" xfId="13612" xr:uid="{7A47EE61-45A8-4F96-ABCC-937CBB0D030A}"/>
    <cellStyle name="Output 7" xfId="13613" xr:uid="{C836CDC1-E0FA-4E0B-9A90-533ED294818A}"/>
    <cellStyle name="Output 8" xfId="13614" xr:uid="{002298C4-050E-40D3-8806-75244593BD66}"/>
    <cellStyle name="Output 9" xfId="13615" xr:uid="{CEF2BCE0-DE00-4660-9E72-29F7CD2BE30B}"/>
    <cellStyle name="Page heading" xfId="13616" xr:uid="{5D37C028-21B9-44FF-8F9E-7213437300CC}"/>
    <cellStyle name="per m2" xfId="13617" xr:uid="{4F290EDC-F4FD-473F-B76E-40498B44411B}"/>
    <cellStyle name="Percent [2]" xfId="13618" xr:uid="{6ADD6728-290D-45BD-B2B7-20883E2992FF}"/>
    <cellStyle name="Percent [2] 2" xfId="13619" xr:uid="{D1D199B7-52F7-4918-A3F6-9B16178DB07D}"/>
    <cellStyle name="Percent [2] 2 2" xfId="13620" xr:uid="{0F15B350-CA1D-49A4-8460-8FEF3AE58AC7}"/>
    <cellStyle name="Percent [2] 2_2013" xfId="13621" xr:uid="{B61D1426-3B48-4190-BB09-F092A21EA7C4}"/>
    <cellStyle name="Percent [2] 3" xfId="13622" xr:uid="{9C5342C8-BB3C-42F4-84BE-9BD043F28EB9}"/>
    <cellStyle name="Percent [2]_2013" xfId="13623" xr:uid="{ACEA99F1-C1F7-4040-85EE-ADC1349308E7}"/>
    <cellStyle name="Percent 10" xfId="13624" xr:uid="{413F79B8-8F3C-42BC-B43F-088806D0AE0B}"/>
    <cellStyle name="Percent 10 2" xfId="13625" xr:uid="{7B70C22E-E528-4263-94DA-C85CE3480243}"/>
    <cellStyle name="Percent 10_2013" xfId="13626" xr:uid="{D999152A-9B10-4C8B-9493-8825E7BFAE43}"/>
    <cellStyle name="Percent 11" xfId="13627" xr:uid="{2EE8BDE1-32B9-4ACF-8335-0740D77475EA}"/>
    <cellStyle name="Percent 11 2" xfId="13628" xr:uid="{CBE62ED2-7889-4748-91C9-76A3235D2495}"/>
    <cellStyle name="Percent 11 2 2" xfId="13629" xr:uid="{D9459463-B098-40B6-8A88-9D72FFE982FB}"/>
    <cellStyle name="Percent 11 2_2013" xfId="13630" xr:uid="{B38AD88A-776F-42F4-AB86-C948D5490754}"/>
    <cellStyle name="Percent 11 3" xfId="13631" xr:uid="{E6C73936-39C1-4737-A3AA-68D26CD10A2D}"/>
    <cellStyle name="Percent 11_2013" xfId="13632" xr:uid="{C701873F-9603-4734-A5C1-42FD406D97B5}"/>
    <cellStyle name="Percent 12" xfId="13633" xr:uid="{62FA368C-6680-44AF-90A8-4126B2963B89}"/>
    <cellStyle name="Percent 12 2" xfId="13634" xr:uid="{DE1BB8EA-D53A-4D92-90A8-7ACEE1D334B2}"/>
    <cellStyle name="Percent 12 2 2" xfId="13635" xr:uid="{B831F3C0-DD7F-4E23-ACA3-A0F88D8A6611}"/>
    <cellStyle name="Percent 12 2_2013" xfId="13636" xr:uid="{A9C0B35D-AA2E-40EB-A72E-219828C6D8FF}"/>
    <cellStyle name="Percent 12 3" xfId="13637" xr:uid="{59D0D92B-5DD2-4043-B051-2DF454959D82}"/>
    <cellStyle name="Percent 12_2013" xfId="13638" xr:uid="{FBE2369F-E04D-47FC-9791-D4BFD638376F}"/>
    <cellStyle name="Percent 13" xfId="13639" xr:uid="{9396F700-260E-4C83-AB56-3520C404E2F4}"/>
    <cellStyle name="Percent 13 2" xfId="13640" xr:uid="{5C9911D0-1BE6-4817-BA8D-3C13DD33BB23}"/>
    <cellStyle name="Percent 13 2 2" xfId="13641" xr:uid="{80A6654F-E64E-4B0A-A81D-57AF68E15B64}"/>
    <cellStyle name="Percent 13 2_2013" xfId="13642" xr:uid="{5AFA17CC-9B6E-4E82-8572-D67CD844B6D4}"/>
    <cellStyle name="Percent 13 3" xfId="13643" xr:uid="{5ACC99C5-5F2D-4B08-8B05-1EAD91E57DD8}"/>
    <cellStyle name="Percent 13 4" xfId="13644" xr:uid="{A62DCB6E-88B5-4E28-B9B8-310F707E7148}"/>
    <cellStyle name="Percent 13_2013" xfId="13645" xr:uid="{F17525A1-C9C6-486A-BD96-913E759D8E4D}"/>
    <cellStyle name="Percent 14" xfId="13646" xr:uid="{46AEDB0B-5725-41BC-93D1-3FB8B970961E}"/>
    <cellStyle name="Percent 14 2" xfId="13647" xr:uid="{79E74B74-D710-4896-A8A7-69B8A3A28473}"/>
    <cellStyle name="Percent 14 2 2" xfId="13648" xr:uid="{EB77AD78-6D06-47CA-9108-B543FD9B0452}"/>
    <cellStyle name="Percent 14 2_2013" xfId="13649" xr:uid="{C0AC9240-E4B0-43E0-B2DA-5B27C7AA8817}"/>
    <cellStyle name="Percent 14 3" xfId="13650" xr:uid="{82D2C10A-291D-45AC-A3D5-5576158D0E47}"/>
    <cellStyle name="Percent 14 4" xfId="13651" xr:uid="{50C3C604-B7DE-478D-AB64-C2707773CF05}"/>
    <cellStyle name="Percent 14_2013" xfId="13652" xr:uid="{34201FCC-915A-429E-B6C1-B72AAA52868F}"/>
    <cellStyle name="Percent 15" xfId="13653" xr:uid="{EEB84031-CF75-46EB-B5BD-36300EACD9DF}"/>
    <cellStyle name="Percent 15 2" xfId="13654" xr:uid="{DBD54985-F34A-40DB-B7DB-390C04160DA5}"/>
    <cellStyle name="Percent 15 2 2" xfId="13655" xr:uid="{3BB9B522-08E0-4526-AB42-F78835A46BED}"/>
    <cellStyle name="Percent 15 2_2013" xfId="13656" xr:uid="{E34BDE1B-A20F-41F7-81D1-44511EEED93A}"/>
    <cellStyle name="Percent 15 3" xfId="13657" xr:uid="{BC71F97E-9807-4FF7-A5B6-39020C2A37DB}"/>
    <cellStyle name="Percent 15 4" xfId="13658" xr:uid="{49347419-EB28-4D2D-AEA3-CE6A240162EC}"/>
    <cellStyle name="Percent 15_2013" xfId="13659" xr:uid="{9FE58759-5C70-415C-9A79-3064A7FB252A}"/>
    <cellStyle name="Percent 16" xfId="13660" xr:uid="{07AF611C-6DCF-4879-95BF-0AE3E133E5CC}"/>
    <cellStyle name="Percent 16 2" xfId="13661" xr:uid="{B31AE6D4-A956-4784-8851-3260FC066D34}"/>
    <cellStyle name="Percent 16 2 2" xfId="13662" xr:uid="{4A1A63FF-CF15-4529-9538-64B9F29B437D}"/>
    <cellStyle name="Percent 16 2_2013" xfId="13663" xr:uid="{E3953344-360F-4FD4-82CD-3E678D87C45B}"/>
    <cellStyle name="Percent 16 3" xfId="13664" xr:uid="{7AA597DA-C40A-4A57-BF12-0CCE84EDB029}"/>
    <cellStyle name="Percent 16 4" xfId="13665" xr:uid="{F003F88E-DF0E-45AE-9770-A310FFB65E0C}"/>
    <cellStyle name="Percent 16_2013" xfId="13666" xr:uid="{9E0982A5-0B58-4144-8C21-637FD9914409}"/>
    <cellStyle name="Percent 17" xfId="13667" xr:uid="{FC67E55D-CE7E-4573-ABBA-7706F54C228B}"/>
    <cellStyle name="Percent 17 2" xfId="13668" xr:uid="{885BEA88-A374-47E9-8D22-CF113ED88832}"/>
    <cellStyle name="Percent 17 2 2" xfId="13669" xr:uid="{AAA1B313-1625-4F84-8185-1C47BCD2D069}"/>
    <cellStyle name="Percent 17 2_2013" xfId="13670" xr:uid="{86BA3917-EC80-4034-856B-6DD90D9E7F3B}"/>
    <cellStyle name="Percent 17 3" xfId="13671" xr:uid="{77EB883D-BB39-4AA6-9D83-00124106281A}"/>
    <cellStyle name="Percent 17 4" xfId="13672" xr:uid="{E7AC5DBB-D55F-4E3E-B185-D769BCE7229C}"/>
    <cellStyle name="Percent 17_2013" xfId="13673" xr:uid="{122E1C11-6D2F-4622-BE84-09C9EBB592A5}"/>
    <cellStyle name="Percent 18" xfId="13674" xr:uid="{66457661-62CD-45A9-B980-9BDCF8AB8975}"/>
    <cellStyle name="Percent 18 2" xfId="13675" xr:uid="{A42A59AB-09F1-425B-8573-02BCD6BC95C3}"/>
    <cellStyle name="Percent 18 3" xfId="13676" xr:uid="{ED5B9570-91D4-4D78-A686-0396BC9C495E}"/>
    <cellStyle name="Percent 18 4" xfId="13677" xr:uid="{BE6A58A0-FB1B-4437-8BCF-91A2CA909C05}"/>
    <cellStyle name="Percent 18_2013" xfId="13678" xr:uid="{755D67E8-8F1F-46ED-9CCD-9D2C492B517B}"/>
    <cellStyle name="Percent 19" xfId="13679" xr:uid="{967F6215-D418-43F0-B5E9-928673B84BFD}"/>
    <cellStyle name="Percent 19 2" xfId="13680" xr:uid="{EE06E4FE-CF6A-4AF4-AC85-3C41ADF4CE10}"/>
    <cellStyle name="Percent 19 2 2" xfId="13681" xr:uid="{C04DBC5C-16B5-4D76-BBFF-6AE89FCD29DE}"/>
    <cellStyle name="Percent 19 2_2013" xfId="13682" xr:uid="{EA137CE9-ABFD-4546-B260-1C0F6E0ECD23}"/>
    <cellStyle name="Percent 19 3" xfId="13683" xr:uid="{2687849D-FC10-4BCE-963B-07EA38FCB844}"/>
    <cellStyle name="Percent 19 4" xfId="13684" xr:uid="{13B07971-FC6B-465B-9692-62EE72CE8C80}"/>
    <cellStyle name="Percent 19 5" xfId="13685" xr:uid="{DB31A204-F764-4FE6-A196-507839CAFCC4}"/>
    <cellStyle name="Percent 19 6" xfId="13686" xr:uid="{1A177BB5-39DC-4C57-A020-8CA99D0417FC}"/>
    <cellStyle name="Percent 19_2013" xfId="13687" xr:uid="{8F152403-4622-419B-8EC3-3C650DB287E7}"/>
    <cellStyle name="Percent 2" xfId="13688" xr:uid="{33EF799C-9641-48B6-A802-2C6A2217A644}"/>
    <cellStyle name="Percent 2 2" xfId="13689" xr:uid="{8E881B29-0D4F-4DAD-8DD4-3A159548C986}"/>
    <cellStyle name="Percent 2 2 2" xfId="13690" xr:uid="{6EB207BE-15E8-4E19-9DC6-60F451F6E824}"/>
    <cellStyle name="Percent 2 2 3" xfId="13691" xr:uid="{5EA26746-63C0-4A41-8413-5041A15DC796}"/>
    <cellStyle name="Percent 2 2 4" xfId="13692" xr:uid="{CFD3B875-D267-4247-A5A5-D046CE9CF28F}"/>
    <cellStyle name="Percent 2 2_2013" xfId="13693" xr:uid="{2F96ABAE-CE55-4CBA-B398-103BF4101269}"/>
    <cellStyle name="Percent 2 3" xfId="13694" xr:uid="{00FFB001-50F0-4EA3-8569-377072CE0B3A}"/>
    <cellStyle name="Percent 2_2013" xfId="13695" xr:uid="{B7874E1B-F876-4289-A1D8-48230768AA41}"/>
    <cellStyle name="Percent 20" xfId="13696" xr:uid="{63CA411B-E7B1-46B8-8C77-919245B997AE}"/>
    <cellStyle name="Percent 20 2" xfId="13697" xr:uid="{78EDA2E6-81C8-46BA-9415-82F57131BC4B}"/>
    <cellStyle name="Percent 20 3" xfId="13698" xr:uid="{B4B47D4D-CD4C-4EC3-9BD2-976069E8AF8A}"/>
    <cellStyle name="Percent 20 4" xfId="13699" xr:uid="{7CDE8CDB-40B0-4662-AD13-925725F818EA}"/>
    <cellStyle name="Percent 20 5" xfId="13700" xr:uid="{1E6B6340-79A2-484E-8D84-E50E642BAFBA}"/>
    <cellStyle name="Percent 20_2013" xfId="13701" xr:uid="{31143C23-477C-4120-8AFB-E2E91D9478C3}"/>
    <cellStyle name="Percent 21" xfId="13702" xr:uid="{9A2FAA6B-6D4D-45CE-BE14-CA45B70716FE}"/>
    <cellStyle name="Percent 21 2" xfId="13703" xr:uid="{B5313E07-6440-4066-A7CA-D1160E92B91C}"/>
    <cellStyle name="Percent 21 3" xfId="13704" xr:uid="{CEAB899F-0027-4A89-A861-736C6825A12F}"/>
    <cellStyle name="Percent 21_2013" xfId="13705" xr:uid="{52E286AE-4DE1-44F0-847E-91C17661DEC7}"/>
    <cellStyle name="Percent 22" xfId="13706" xr:uid="{C59D6855-AE4B-416D-8286-5477166E52E3}"/>
    <cellStyle name="Percent 22 2" xfId="13707" xr:uid="{31EC7455-B22C-41E8-9BF2-71443CD3EFE7}"/>
    <cellStyle name="Percent 22 3" xfId="13708" xr:uid="{8401A5C1-B58A-4C58-AAC7-6D5ED640C6B1}"/>
    <cellStyle name="Percent 22_2013" xfId="13709" xr:uid="{2D466BE0-FF52-49B4-943B-076C41799BA2}"/>
    <cellStyle name="Percent 23" xfId="13710" xr:uid="{01B80439-AC40-48C9-88BC-C6E00712C01E}"/>
    <cellStyle name="Percent 23 2" xfId="13711" xr:uid="{F6F03BB8-3A89-4A12-93F4-770DE54745B2}"/>
    <cellStyle name="Percent 23 3" xfId="13712" xr:uid="{11F836FD-BBEA-49F1-96EB-F64441F3B33C}"/>
    <cellStyle name="Percent 23 4" xfId="13713" xr:uid="{30D220CE-3BCE-406E-8584-4E8D18C7D142}"/>
    <cellStyle name="Percent 23 5" xfId="13714" xr:uid="{ECD2F6C2-C566-408D-952F-CA9730CF31AC}"/>
    <cellStyle name="Percent 23_2013" xfId="13715" xr:uid="{334A9D4A-1D0F-44EA-A185-637681CAF74A}"/>
    <cellStyle name="Percent 24" xfId="13716" xr:uid="{FB0B1032-908E-4CFF-AC41-94AD1F6A658C}"/>
    <cellStyle name="Percent 24 2" xfId="13717" xr:uid="{1A4561E6-0FF8-4811-B938-F84F6F989580}"/>
    <cellStyle name="Percent 24 3" xfId="13718" xr:uid="{DB559C71-9E46-4F68-B2F1-7EF85909A09A}"/>
    <cellStyle name="Percent 24 4" xfId="13719" xr:uid="{866CDE42-A3E9-4931-A778-4F448DF045B2}"/>
    <cellStyle name="Percent 24_2013" xfId="13720" xr:uid="{14DE6A83-2699-4B8F-83B1-F98F92F7E1F6}"/>
    <cellStyle name="Percent 25" xfId="13721" xr:uid="{000DE6DC-8289-43CF-BB8A-7D38993D592F}"/>
    <cellStyle name="Percent 25 2" xfId="13722" xr:uid="{1678FABD-64DF-4A1B-A988-3C472FC52906}"/>
    <cellStyle name="Percent 25_2013" xfId="13723" xr:uid="{4ACE88EC-B209-4E4A-8F31-D29D690F3F70}"/>
    <cellStyle name="Percent 26" xfId="13724" xr:uid="{A02F298F-36E1-4A01-9A79-296A8CFC9B0A}"/>
    <cellStyle name="Percent 26 2" xfId="13725" xr:uid="{2F28E501-1D40-4E68-BA58-6427D79F3FFB}"/>
    <cellStyle name="Percent 26_2013" xfId="13726" xr:uid="{F1F9C2BD-0493-4C90-A9BF-FF557B8359C1}"/>
    <cellStyle name="Percent 27" xfId="13727" xr:uid="{AF61556D-445B-4990-890E-A87678914192}"/>
    <cellStyle name="Percent 27 2" xfId="13728" xr:uid="{6291C438-8C06-45A2-996C-6B2F9F51DD3C}"/>
    <cellStyle name="Percent 27 3" xfId="13729" xr:uid="{68CBDDA7-7D1C-4B7D-95F6-F3BEC018713E}"/>
    <cellStyle name="Percent 27 4" xfId="13730" xr:uid="{4EC782BA-44CC-4159-8BC0-C68519BF3FFA}"/>
    <cellStyle name="Percent 27 5" xfId="13731" xr:uid="{034A05F3-E0C1-401F-9664-29362ADA3D99}"/>
    <cellStyle name="Percent 27_2013" xfId="13732" xr:uid="{1C76BFDE-6AD5-4ACA-B660-9B5A92865B02}"/>
    <cellStyle name="Percent 28" xfId="13733" xr:uid="{1554AD8C-9E09-441C-AC01-FC57993313C7}"/>
    <cellStyle name="Percent 28 2" xfId="13734" xr:uid="{C0EE5839-1B59-484D-BDC0-363A1B50E2FF}"/>
    <cellStyle name="Percent 28 3" xfId="13735" xr:uid="{F35E905B-0F56-464F-95FB-A8A41D16899C}"/>
    <cellStyle name="Percent 28 4" xfId="13736" xr:uid="{6E702F12-7115-4A28-A42A-4D81BE5163D1}"/>
    <cellStyle name="Percent 28 5" xfId="13737" xr:uid="{FBAB0C53-16B3-4457-B487-B5DAC0EE3649}"/>
    <cellStyle name="Percent 28_2013" xfId="13738" xr:uid="{BE3493BB-3AE5-47B4-8516-D5CAC620555D}"/>
    <cellStyle name="Percent 29" xfId="13739" xr:uid="{B1166905-BC33-413E-9C24-F7D675ACC617}"/>
    <cellStyle name="Percent 29 2" xfId="13740" xr:uid="{6C4247E2-F077-4001-BB2A-0A39DFC6D82E}"/>
    <cellStyle name="Percent 29_2013" xfId="13741" xr:uid="{CAC32470-637A-4B03-AE01-190D2C19E853}"/>
    <cellStyle name="Percent 3" xfId="13742" xr:uid="{1F836A01-3403-4063-8D3C-C772C6D05008}"/>
    <cellStyle name="Percent 3 2" xfId="13743" xr:uid="{0017A483-7F7E-45D3-9177-F69A42B84B2A}"/>
    <cellStyle name="Percent 3 2 2" xfId="13744" xr:uid="{6DC5D29B-0B6D-4CED-BB28-9445D41CDDE4}"/>
    <cellStyle name="Percent 3 2 3" xfId="13745" xr:uid="{0C1D9BD0-C914-402E-ABA8-C2D591216646}"/>
    <cellStyle name="Percent 3 2_2013" xfId="13746" xr:uid="{25F73026-0344-4B9B-8D1C-D6F09630B996}"/>
    <cellStyle name="Percent 3 3" xfId="13747" xr:uid="{AA4BB775-9D3D-40C4-AA95-1C107885DD25}"/>
    <cellStyle name="Percent 3 4" xfId="13748" xr:uid="{3C3E7072-014B-4891-AEF4-9C8F27E6CBCA}"/>
    <cellStyle name="Percent 3 4 2" xfId="13749" xr:uid="{1AFC7CD6-8634-45F7-9E51-4830528ED109}"/>
    <cellStyle name="Percent 3 4_2013" xfId="13750" xr:uid="{D40E23AB-5CC5-4119-BD44-9DB9EA775A0F}"/>
    <cellStyle name="Percent 3 5" xfId="13751" xr:uid="{CBCE0FF4-1B2A-4B06-B6D8-C90984248F25}"/>
    <cellStyle name="Percent 3_2013" xfId="13752" xr:uid="{CEE36C21-D49A-4995-B1C3-8D89186B8B42}"/>
    <cellStyle name="Percent 30" xfId="13753" xr:uid="{0ACF80AB-A9E1-4E4B-ABDC-BB8C1171C25C}"/>
    <cellStyle name="Percent 30 2" xfId="13754" xr:uid="{B4745FB8-AB3D-4F09-A338-49EC9B064264}"/>
    <cellStyle name="Percent 30_2013" xfId="13755" xr:uid="{7B0B5567-BD0F-4371-81B7-BDD5AEF6C7BA}"/>
    <cellStyle name="Percent 31" xfId="13756" xr:uid="{9A80BB69-C41F-4645-8F7A-09AFAD37C53D}"/>
    <cellStyle name="Percent 31 2" xfId="13757" xr:uid="{7E1F5AC6-24A7-4585-8E43-E6DDC3427220}"/>
    <cellStyle name="Percent 31_2013" xfId="13758" xr:uid="{C5130384-8566-45F5-932C-9C4907DC7742}"/>
    <cellStyle name="Percent 32" xfId="13759" xr:uid="{3639C601-8215-40D1-9C32-67885CC14DB7}"/>
    <cellStyle name="Percent 32 2" xfId="13760" xr:uid="{3CAE4B5C-29CF-4C38-8D14-5292CA56021F}"/>
    <cellStyle name="Percent 32_2013" xfId="13761" xr:uid="{1F6854E1-D89E-4946-93FC-3CB131E24545}"/>
    <cellStyle name="Percent 33" xfId="13762" xr:uid="{7B165EE9-B37C-453D-AB09-86F266CF1894}"/>
    <cellStyle name="Percent 33 2" xfId="13763" xr:uid="{5C3DB50A-295B-45D8-B5D4-B33AB313E69E}"/>
    <cellStyle name="Percent 33_2013" xfId="13764" xr:uid="{E69F35E9-26F5-42D5-9AF0-1F215A744789}"/>
    <cellStyle name="Percent 34" xfId="13765" xr:uid="{85BB0F03-6058-4E01-BB64-07C209E55025}"/>
    <cellStyle name="Percent 34 2" xfId="13766" xr:uid="{30DD9E9C-5D19-4D34-BA51-0E44CFAF5018}"/>
    <cellStyle name="Percent 34 3" xfId="13767" xr:uid="{513A3C3B-2CB9-4D08-97DF-473B7B3FFB2E}"/>
    <cellStyle name="Percent 34_2013" xfId="13768" xr:uid="{636484A6-3CF9-4F0D-AD16-2FFD13B4ECB7}"/>
    <cellStyle name="Percent 35" xfId="13769" xr:uid="{CC931D5B-568C-44DF-A917-05B757B1F4F4}"/>
    <cellStyle name="Percent 35 2" xfId="13770" xr:uid="{281B5F48-7C20-44CA-B0CF-FD386A46242F}"/>
    <cellStyle name="Percent 35_2013" xfId="13771" xr:uid="{EC55EF03-FBF0-46C9-9043-7AC2525D9600}"/>
    <cellStyle name="Percent 36" xfId="13772" xr:uid="{FFDD5CC3-D905-418C-9180-51E5C801610B}"/>
    <cellStyle name="Percent 36 2" xfId="13773" xr:uid="{3A1B2EC1-BA92-49E6-81E5-2D18BC47B4A7}"/>
    <cellStyle name="Percent 36_2013" xfId="13774" xr:uid="{27AC0F6C-F0E5-4F32-BE80-C43C97E4B99D}"/>
    <cellStyle name="Percent 37" xfId="13775" xr:uid="{B1614095-2387-400D-B061-A8DAC84AB502}"/>
    <cellStyle name="Percent 37 2" xfId="13776" xr:uid="{8EA8A563-DC16-4627-ADE6-EB934611E001}"/>
    <cellStyle name="Percent 37_2013" xfId="13777" xr:uid="{56D8F457-2E9C-4E10-9B27-019401C71583}"/>
    <cellStyle name="Percent 38" xfId="13778" xr:uid="{DC01F7FD-C4C3-4FAD-ACF3-A5A90B9CC53B}"/>
    <cellStyle name="Percent 38 2" xfId="13779" xr:uid="{CBFC03E0-53E3-4DE3-9019-BD61C0968E34}"/>
    <cellStyle name="Percent 38_2013" xfId="13780" xr:uid="{54D47AAD-9D1C-42AE-84DA-3215307CD907}"/>
    <cellStyle name="Percent 39" xfId="13781" xr:uid="{E6A90AA6-C5F5-4FF7-A8D7-59AAAB5F49B6}"/>
    <cellStyle name="Percent 4" xfId="13782" xr:uid="{CB88877D-5F8E-44A3-B197-CAD23D408127}"/>
    <cellStyle name="Percent 4 2" xfId="13783" xr:uid="{7BD69756-2A5A-4F97-B45C-071BB92785C5}"/>
    <cellStyle name="Percent 4 3" xfId="13784" xr:uid="{40F5BEA5-47AB-43B6-B614-C01C7AA3F327}"/>
    <cellStyle name="Percent 4 4" xfId="13785" xr:uid="{1F554717-4651-45A3-B1C5-585576C24644}"/>
    <cellStyle name="Percent 4 5" xfId="13786" xr:uid="{CBEB259F-588F-47CC-8CC4-1FA424D1E74D}"/>
    <cellStyle name="Percent 4_2013" xfId="13787" xr:uid="{87ACC4FC-B01C-429F-9FF4-052AF157F39A}"/>
    <cellStyle name="Percent 40" xfId="13788" xr:uid="{473FB469-D0A7-4E3B-855C-ADFF841FD232}"/>
    <cellStyle name="Percent 41" xfId="13789" xr:uid="{C35F4960-C3D2-4C55-8F1E-23DF3CE5A404}"/>
    <cellStyle name="Percent 42" xfId="13790" xr:uid="{9ECF4EAA-EC26-4423-87B5-3B7E720B5DFD}"/>
    <cellStyle name="Percent 43" xfId="13791" xr:uid="{CFB61C32-3BE3-4CD0-A441-DD4D7026AC7C}"/>
    <cellStyle name="Percent 44" xfId="13792" xr:uid="{BB04A066-3D54-49B7-9849-EAC5EB76ABE6}"/>
    <cellStyle name="Percent 45" xfId="13793" xr:uid="{5B6E1FA1-47B4-4750-AC72-C2A8521E0754}"/>
    <cellStyle name="Percent 46" xfId="13794" xr:uid="{494BCB08-4D01-468E-9C65-B398E3CFE117}"/>
    <cellStyle name="Percent 47" xfId="13795" xr:uid="{F04AD41C-3DBA-4351-AF8E-7B5708E5060B}"/>
    <cellStyle name="Percent 48" xfId="3" xr:uid="{DC3E0B93-2B1F-413F-B408-14BE664D32CD}"/>
    <cellStyle name="Percent 5" xfId="13796" xr:uid="{161934E0-C239-45DA-B391-727938014B06}"/>
    <cellStyle name="Percent 5 2" xfId="13797" xr:uid="{8281D85A-B03B-4A42-961B-DD099C549664}"/>
    <cellStyle name="Percent 5 2 2" xfId="13798" xr:uid="{2A6F1ED3-D610-4AC7-986F-26D9874D1234}"/>
    <cellStyle name="Percent 5 2_2013" xfId="13799" xr:uid="{A63DE521-6CF4-409B-92CE-22797983878A}"/>
    <cellStyle name="Percent 5 3" xfId="13800" xr:uid="{ABF715AE-3F5B-4DE4-B2AE-4854CE3F9455}"/>
    <cellStyle name="Percent 5 3 2" xfId="13801" xr:uid="{7FCAA455-A8FB-45A4-9E38-24BF42F14B3C}"/>
    <cellStyle name="Percent 5 3 3" xfId="13802" xr:uid="{8C917C0B-1EDE-4E77-8A29-852905571794}"/>
    <cellStyle name="Percent 5 3 3 2" xfId="13803" xr:uid="{1835726A-90CF-4C54-842F-FE1AA49E345F}"/>
    <cellStyle name="Percent 5 3 3_2013" xfId="13804" xr:uid="{E4DF7BF7-D0CA-42AE-B16E-1273306EE8AA}"/>
    <cellStyle name="Percent 5 3 4" xfId="13805" xr:uid="{1EB1040D-90E7-4F38-B721-320D84850C4C}"/>
    <cellStyle name="Percent 5 3_2013" xfId="13806" xr:uid="{16ACBBE1-1434-4CF6-A94A-68ED80133C23}"/>
    <cellStyle name="Percent 5 4" xfId="13807" xr:uid="{B544B324-5436-435C-9B96-39244B6EAFE9}"/>
    <cellStyle name="Percent 5 5" xfId="13808" xr:uid="{30E39B16-7F9B-413E-A3D8-4C8F9D1B4B34}"/>
    <cellStyle name="Percent 5 5 2" xfId="13809" xr:uid="{A933ADF3-9E99-4906-AECF-C0C3440DA7D5}"/>
    <cellStyle name="Percent 5 5_2013" xfId="13810" xr:uid="{6EF2DAC1-BA3D-4F40-A9CF-AD0EED94903F}"/>
    <cellStyle name="Percent 5 6" xfId="13811" xr:uid="{312400E8-76AA-43C1-A204-CFFDA99FB0DD}"/>
    <cellStyle name="Percent 5 7" xfId="13812" xr:uid="{A33B1D16-BD8B-4A18-BCF4-BBA81F6403D6}"/>
    <cellStyle name="Percent 5_2013" xfId="13813" xr:uid="{A9AD713F-3E9C-4F41-A868-8510BC480FF9}"/>
    <cellStyle name="Percent 6" xfId="13814" xr:uid="{51CE81EE-FC3B-4AC6-B8BB-216009A0BC80}"/>
    <cellStyle name="Percent 6 2" xfId="13815" xr:uid="{71D64232-25B4-4CB3-94A8-61B836B01386}"/>
    <cellStyle name="Percent 6 3" xfId="13816" xr:uid="{89070423-639F-48A5-94C4-A387C379CE30}"/>
    <cellStyle name="Percent 6 3 2" xfId="13817" xr:uid="{FA3EAF96-8E0B-4F92-AC8A-9E1C2D4232C8}"/>
    <cellStyle name="Percent 6 3 3" xfId="13818" xr:uid="{FA0BCA76-EAF4-4830-A24E-27FE25227E64}"/>
    <cellStyle name="Percent 6 3_2013" xfId="13819" xr:uid="{73992979-A1AE-43AC-A0A2-7D89D99143C5}"/>
    <cellStyle name="Percent 6 4" xfId="13820" xr:uid="{B5AFFFAB-6048-40E3-BB31-E5B06F58A9F0}"/>
    <cellStyle name="Percent 6 4 2" xfId="13821" xr:uid="{8FB51D57-A9D1-428C-9A94-68AF77B96E3F}"/>
    <cellStyle name="Percent 6 4 3" xfId="13822" xr:uid="{0958D896-29AE-4C8B-9B71-55D606D07AC9}"/>
    <cellStyle name="Percent 6 4 3 2" xfId="13823" xr:uid="{B2FA6403-7983-451D-9BF7-7665BD9A5B11}"/>
    <cellStyle name="Percent 6 4 3_2013" xfId="13824" xr:uid="{755D7104-5CC8-41E5-B1C8-8CE8E2C5C6AA}"/>
    <cellStyle name="Percent 6 4 4" xfId="13825" xr:uid="{0A39A9BA-AAC4-4D9B-A5BF-53BC9AFD4796}"/>
    <cellStyle name="Percent 6 4_2013" xfId="13826" xr:uid="{CD7EA2E7-7051-47A7-86D1-696B80D67D25}"/>
    <cellStyle name="Percent 6 5" xfId="13827" xr:uid="{FEDB01FE-ADBC-46C1-AF19-220290C4FD05}"/>
    <cellStyle name="Percent 6 6" xfId="13828" xr:uid="{70AAFA8F-6DF9-4072-9745-DCB70E0A2E03}"/>
    <cellStyle name="Percent 6_2013" xfId="13829" xr:uid="{1711C7B1-9C7C-49B6-862E-4D821A703175}"/>
    <cellStyle name="Percent 7" xfId="13830" xr:uid="{B1ACDD0E-762E-42DD-BB39-3814EFBF3834}"/>
    <cellStyle name="Percent 7 2" xfId="13831" xr:uid="{181DC810-DC29-41AE-9DCE-930526C96BA4}"/>
    <cellStyle name="Percent 7 3" xfId="13832" xr:uid="{C10ADC77-7B33-4884-B124-C3424B7CC557}"/>
    <cellStyle name="Percent 7 4" xfId="13833" xr:uid="{7F7CE1B0-CDF5-4512-BA91-B5FCCC0FE67C}"/>
    <cellStyle name="Percent 7_2013" xfId="13834" xr:uid="{FE1CA311-18D6-4C53-A6BA-0ECDF058C227}"/>
    <cellStyle name="Percent 8" xfId="13835" xr:uid="{4628AF81-0194-4CC5-A860-2E8D3CF0549B}"/>
    <cellStyle name="Percent 8 2" xfId="13836" xr:uid="{16248CC9-8AF0-4588-8645-24E50A6D194A}"/>
    <cellStyle name="Percent 8_2013" xfId="13837" xr:uid="{75B3B511-5A65-4FC5-8AD0-23590A2A2997}"/>
    <cellStyle name="Percent 9" xfId="13838" xr:uid="{B7061CD6-145F-467B-9637-8C9687CFCF80}"/>
    <cellStyle name="Percent 9 2" xfId="13839" xr:uid="{A7DAB939-6F12-4E2E-B0A2-A962FE35FED7}"/>
    <cellStyle name="Percent 9 2 2" xfId="13840" xr:uid="{64C259FC-F8E7-4415-9448-82ACF7E6308F}"/>
    <cellStyle name="Percent 9 2 3" xfId="13841" xr:uid="{981C6B95-6B32-4EAC-B8A3-10B001FAA1E0}"/>
    <cellStyle name="Percent 9 2_2013" xfId="13842" xr:uid="{013875D5-6B4E-45D9-A02C-FC5503751C5D}"/>
    <cellStyle name="Percent 9 3" xfId="13843" xr:uid="{79F32A75-6AED-498B-B808-356760CEDE7C}"/>
    <cellStyle name="Percent 9 3 2" xfId="13844" xr:uid="{B4CE0481-C24B-4A1A-80C0-5B8F16BFCAFE}"/>
    <cellStyle name="Percent 9 3_2013" xfId="13845" xr:uid="{DFC4892E-1322-4CF0-8CC3-59E027B3A389}"/>
    <cellStyle name="Percent 9 4" xfId="13846" xr:uid="{F1F81884-1A33-4937-88AA-84C94D14DDA6}"/>
    <cellStyle name="Percent 9_2013" xfId="13847" xr:uid="{A7AE5703-B8D5-422B-A3F8-A9B55B72BC17}"/>
    <cellStyle name="PERCENTAGE" xfId="13848" xr:uid="{AB259752-7C10-4FB8-8671-5D2B3E269B9C}"/>
    <cellStyle name="pounds" xfId="13849" xr:uid="{C41D0C7D-4D13-40D6-98C1-901B58863B9E}"/>
    <cellStyle name="protect" xfId="13850" xr:uid="{6C7078DA-8C78-4328-8348-635BEAE389A4}"/>
    <cellStyle name="Prozent 2" xfId="13851" xr:uid="{AA3AAFA7-6E23-4141-8719-2F494466C4A5}"/>
    <cellStyle name="Prozent 2 2" xfId="13852" xr:uid="{556A3CE4-2893-42DF-A8D1-D10229D358C4}"/>
    <cellStyle name="Prozent 2_2013" xfId="13853" xr:uid="{2B2E3CA8-E0C5-4D6E-9811-F224A5E69B54}"/>
    <cellStyle name="qualify" xfId="13854" xr:uid="{F19A2A58-BA81-42F7-9F46-B8E817C1BF7F}"/>
    <cellStyle name="Quants_Dayworks" xfId="13855" xr:uid="{8085F2D2-B2A3-46B9-907A-25C830D58D1C}"/>
    <cellStyle name="Released-" xfId="13856" xr:uid="{32896026-C4C8-4669-BD1B-CF6E23B3CF71}"/>
    <cellStyle name="Reviewed" xfId="13857" xr:uid="{EFFE935E-C2E0-4505-8DEF-3EA95EA42B73}"/>
    <cellStyle name="Reviewed 2" xfId="13858" xr:uid="{98D9BEA4-0157-45BB-B343-CCBB51DA7215}"/>
    <cellStyle name="Reviewed 2 2" xfId="13859" xr:uid="{4998980A-6D48-4C49-87A8-2B46425DE7AC}"/>
    <cellStyle name="Reviewed 2_2013" xfId="13860" xr:uid="{AD225928-16D1-48CE-9234-A25F0DBD0475}"/>
    <cellStyle name="Reviewed 3" xfId="13861" xr:uid="{DEF7A7B2-4A50-4E05-A26A-6A7CE5079B5B}"/>
    <cellStyle name="Reviewed_2013" xfId="13862" xr:uid="{9AACFF24-73E5-4955-828E-D8E95B7785FF}"/>
    <cellStyle name="Saída" xfId="13863" xr:uid="{E629888D-DBCD-44F4-859C-4A8B7318BE3A}"/>
    <cellStyle name="Saída 10" xfId="13864" xr:uid="{1C46841A-4196-4C27-AEC1-963E51017A5D}"/>
    <cellStyle name="Saída 11" xfId="13865" xr:uid="{5E60DBE4-7692-4429-86A9-A508F522F179}"/>
    <cellStyle name="Saída 12" xfId="13866" xr:uid="{05C4ED82-470A-467A-B0FC-9668D55087EC}"/>
    <cellStyle name="Saída 13" xfId="13867" xr:uid="{563D6A5B-C3D9-4BB5-A793-9E91136BCE58}"/>
    <cellStyle name="Saída 14" xfId="13868" xr:uid="{9C6A36D5-B04D-4831-86B9-035B279DD788}"/>
    <cellStyle name="Saída 15" xfId="13869" xr:uid="{93C297CB-38D4-4402-BC54-AD4C2E3C005D}"/>
    <cellStyle name="Saída 16" xfId="13870" xr:uid="{04AB5603-0A7E-4C84-8B16-8FBB4664AAC6}"/>
    <cellStyle name="Saída 17" xfId="13871" xr:uid="{2BBB26DF-AA87-4CBC-9ABE-DF08CE9243B1}"/>
    <cellStyle name="Saída 18" xfId="13872" xr:uid="{5926EAA7-2B46-4B25-8635-0936CE675F8D}"/>
    <cellStyle name="Saída 19" xfId="13873" xr:uid="{81ED50D2-1C13-4C22-ACDF-83537733702B}"/>
    <cellStyle name="Saída 2" xfId="13874" xr:uid="{293979BD-E5D8-4573-8028-A5BAFFB2F7A9}"/>
    <cellStyle name="Saída 2 10" xfId="13875" xr:uid="{4F0D8E7C-D864-4F24-BD47-4B3EAC61C4B6}"/>
    <cellStyle name="Saída 2 11" xfId="13876" xr:uid="{430D3E89-4680-40E6-9E37-54B67CBBE5CB}"/>
    <cellStyle name="Saída 2 12" xfId="13877" xr:uid="{69EB36ED-2F56-4A8B-8FBE-ECE58F8D4F67}"/>
    <cellStyle name="Saída 2 13" xfId="13878" xr:uid="{5B82CC35-73CD-4BB6-8F0C-C136B0CA4AD4}"/>
    <cellStyle name="Saída 2 14" xfId="13879" xr:uid="{C01A8C0A-9EDC-48B0-846D-BAACB24F64DA}"/>
    <cellStyle name="Saída 2 15" xfId="13880" xr:uid="{BCB38F58-96C7-4F1E-81D8-F0A94D6C7918}"/>
    <cellStyle name="Saída 2 16" xfId="13881" xr:uid="{129E5672-0548-4B35-A988-412FA1077E82}"/>
    <cellStyle name="Saída 2 17" xfId="13882" xr:uid="{44634D82-1E36-418B-B9C1-40A74D17244F}"/>
    <cellStyle name="Saída 2 18" xfId="13883" xr:uid="{67EDE4DC-8F02-4F3F-9EB3-7E2796020F05}"/>
    <cellStyle name="Saída 2 19" xfId="13884" xr:uid="{5E90E4FD-15F9-4AD5-AE83-4ECF55268E7D}"/>
    <cellStyle name="Saída 2 2" xfId="13885" xr:uid="{81A726B6-F28E-447F-BA4A-7020C671B183}"/>
    <cellStyle name="Saída 2 2 10" xfId="13886" xr:uid="{EDDFC3B9-A1F2-45DA-88DE-2EEAA6DCE9D0}"/>
    <cellStyle name="Saída 2 2 11" xfId="13887" xr:uid="{083DFDDD-8AA6-4BF1-918D-EA3E7E231F5E}"/>
    <cellStyle name="Saída 2 2 12" xfId="13888" xr:uid="{D5CC7FF0-0BC3-4532-9ED2-7732BC2CCD74}"/>
    <cellStyle name="Saída 2 2 13" xfId="13889" xr:uid="{E8A8BE23-DB75-4402-995C-73243CC9239B}"/>
    <cellStyle name="Saída 2 2 14" xfId="13890" xr:uid="{D96A8912-8CB3-4463-BCFD-9FDB881A9BF7}"/>
    <cellStyle name="Saída 2 2 15" xfId="13891" xr:uid="{E0AF71C3-00BC-4668-AFCC-E7C2DB4D80A7}"/>
    <cellStyle name="Saída 2 2 16" xfId="13892" xr:uid="{6CA3F11D-EBBE-47D5-8B62-8FD04FDA0041}"/>
    <cellStyle name="Saída 2 2 17" xfId="13893" xr:uid="{4E67769A-9815-44B4-9F51-613649E8D8A1}"/>
    <cellStyle name="Saída 2 2 18" xfId="13894" xr:uid="{EA16FF63-B68E-4F17-9925-3009CE8B6740}"/>
    <cellStyle name="Saída 2 2 19" xfId="13895" xr:uid="{3EE82AC0-91CB-48DC-8289-581C3969D541}"/>
    <cellStyle name="Saída 2 2 2" xfId="13896" xr:uid="{8CB3B27C-0828-4B61-B005-1F5564782D60}"/>
    <cellStyle name="Saída 2 2 2 10" xfId="13897" xr:uid="{6F2AD8AC-A23B-45F0-BC04-D1B154B0D7E6}"/>
    <cellStyle name="Saída 2 2 2 11" xfId="13898" xr:uid="{827DCB2E-1D77-4920-AC56-7E12FA3FC31E}"/>
    <cellStyle name="Saída 2 2 2 12" xfId="13899" xr:uid="{CB1DF519-6A58-49FF-8F85-3EA150745463}"/>
    <cellStyle name="Saída 2 2 2 13" xfId="13900" xr:uid="{F02BA7D2-A4B3-4D43-B857-1B253A9DB827}"/>
    <cellStyle name="Saída 2 2 2 14" xfId="13901" xr:uid="{8FCF1431-6888-4D70-958E-EB9C9972F3A9}"/>
    <cellStyle name="Saída 2 2 2 15" xfId="13902" xr:uid="{F0DBB183-2DE0-4559-8EC7-50F285AACD3E}"/>
    <cellStyle name="Saída 2 2 2 16" xfId="13903" xr:uid="{3936167C-DF8B-47BE-9D8C-2B4AFBA71980}"/>
    <cellStyle name="Saída 2 2 2 17" xfId="13904" xr:uid="{31144F9B-E2B0-44B5-A1F5-80CC3F5C8C2E}"/>
    <cellStyle name="Saída 2 2 2 18" xfId="13905" xr:uid="{2B6A53F1-6E13-47C0-9B8C-7A1AAA5A7F6D}"/>
    <cellStyle name="Saída 2 2 2 19" xfId="13906" xr:uid="{A32CE5DC-5489-47B2-B226-FCEA48EBE8BB}"/>
    <cellStyle name="Saída 2 2 2 2" xfId="13907" xr:uid="{24439A0C-AF0A-4841-9B92-E6FB59F9FCAA}"/>
    <cellStyle name="Saída 2 2 2 2 10" xfId="13908" xr:uid="{51F6602C-E7AD-44C0-BF97-0EC2DE87507B}"/>
    <cellStyle name="Saída 2 2 2 2 11" xfId="13909" xr:uid="{EA4BC3D6-1508-4994-A84C-E343F88063CB}"/>
    <cellStyle name="Saída 2 2 2 2 12" xfId="13910" xr:uid="{E7B39834-0E29-42C9-86E6-5BBADB819A0D}"/>
    <cellStyle name="Saída 2 2 2 2 13" xfId="13911" xr:uid="{AEFD08B2-CCAA-4649-BA41-32C309D8627B}"/>
    <cellStyle name="Saída 2 2 2 2 14" xfId="13912" xr:uid="{22E3D46D-006F-47F3-B777-6562562E6884}"/>
    <cellStyle name="Saída 2 2 2 2 15" xfId="13913" xr:uid="{D808DCF8-F4D1-4338-818D-2C4F7485593D}"/>
    <cellStyle name="Saída 2 2 2 2 16" xfId="13914" xr:uid="{1CFCEF69-689E-48B2-B668-127DF027E90B}"/>
    <cellStyle name="Saída 2 2 2 2 17" xfId="13915" xr:uid="{DD78FDF2-EEAA-4EFD-9C38-21810A7C6DBB}"/>
    <cellStyle name="Saída 2 2 2 2 18" xfId="13916" xr:uid="{CF73D6F8-3BA1-4558-8BB0-1CBDD39D594A}"/>
    <cellStyle name="Saída 2 2 2 2 19" xfId="13917" xr:uid="{353F4ABF-63C7-4490-8AE9-E281AE50021D}"/>
    <cellStyle name="Saída 2 2 2 2 2" xfId="13918" xr:uid="{97017DC6-841D-4549-94E5-0B9A6C965D05}"/>
    <cellStyle name="Saída 2 2 2 2 3" xfId="13919" xr:uid="{28BD19AC-8CCD-44A0-A32B-CA4060C2B058}"/>
    <cellStyle name="Saída 2 2 2 2 4" xfId="13920" xr:uid="{95FFE30E-DF60-4E3E-9960-F184BBA814FD}"/>
    <cellStyle name="Saída 2 2 2 2 5" xfId="13921" xr:uid="{378F284E-1010-4CEA-8BF3-0EDC905D775C}"/>
    <cellStyle name="Saída 2 2 2 2 6" xfId="13922" xr:uid="{65DF507D-FD73-4C3D-99A4-87EFF670C4A9}"/>
    <cellStyle name="Saída 2 2 2 2 7" xfId="13923" xr:uid="{C2B1128F-6C48-4C7C-81B7-C509A391E4DD}"/>
    <cellStyle name="Saída 2 2 2 2 8" xfId="13924" xr:uid="{F0B0AF51-1068-4CE4-81C6-DD05AF20858D}"/>
    <cellStyle name="Saída 2 2 2 2 9" xfId="13925" xr:uid="{8ACD6E2E-049C-49DB-BC01-6A33D0FA0A53}"/>
    <cellStyle name="Saída 2 2 2 2_2013" xfId="13926" xr:uid="{3ACD32B0-1809-4E57-9222-4C0606534CB7}"/>
    <cellStyle name="Saída 2 2 2 20" xfId="13927" xr:uid="{DBAA55B6-EAC8-4AC8-975D-2A7DA4B5D92C}"/>
    <cellStyle name="Saída 2 2 2 3" xfId="13928" xr:uid="{8B5853A2-B28A-4F48-BCCE-99644CD34C13}"/>
    <cellStyle name="Saída 2 2 2 4" xfId="13929" xr:uid="{0166E434-962F-4D72-B75C-A6D764B8A7F5}"/>
    <cellStyle name="Saída 2 2 2 5" xfId="13930" xr:uid="{87D10997-BEE9-41AF-B6E6-60BFF7908B8F}"/>
    <cellStyle name="Saída 2 2 2 6" xfId="13931" xr:uid="{3B1C2C1D-A523-4AB4-B409-5AD818620E4D}"/>
    <cellStyle name="Saída 2 2 2 7" xfId="13932" xr:uid="{BE8969B4-3957-4AA2-934B-675E002CA467}"/>
    <cellStyle name="Saída 2 2 2 8" xfId="13933" xr:uid="{87BC9834-17C5-4770-8510-9526499E4710}"/>
    <cellStyle name="Saída 2 2 2 9" xfId="13934" xr:uid="{DB2C238F-E90E-43D1-B61A-9904CDA9D325}"/>
    <cellStyle name="Saída 2 2 2_2013" xfId="13935" xr:uid="{77366DEA-0F86-4CA4-9EC7-A476B495AA59}"/>
    <cellStyle name="Saída 2 2 20" xfId="13936" xr:uid="{94BCD365-87C0-48D8-B6A5-196D0B6F7EF7}"/>
    <cellStyle name="Saída 2 2 21" xfId="13937" xr:uid="{BC329FDE-AF1B-49CB-A7D8-7571393CB4DC}"/>
    <cellStyle name="Saída 2 2 22" xfId="13938" xr:uid="{90D2F87B-66F8-4D48-A824-AE86B67F2532}"/>
    <cellStyle name="Saída 2 2 23" xfId="13939" xr:uid="{904C43EE-F99F-4098-996C-C846CE9BE979}"/>
    <cellStyle name="Saída 2 2 3" xfId="13940" xr:uid="{1BB06101-136C-468D-B666-ED41DBC12730}"/>
    <cellStyle name="Saída 2 2 3 10" xfId="13941" xr:uid="{78AACF64-CF0A-4823-BA40-331C842113E0}"/>
    <cellStyle name="Saída 2 2 3 11" xfId="13942" xr:uid="{D2D1F3E2-EC70-4527-8FEE-169C199C3F5E}"/>
    <cellStyle name="Saída 2 2 3 12" xfId="13943" xr:uid="{206D3D0E-BEDF-4760-80EB-2C8A0CEB29D5}"/>
    <cellStyle name="Saída 2 2 3 13" xfId="13944" xr:uid="{DEC2C0B2-56E8-4157-92F9-56694C972414}"/>
    <cellStyle name="Saída 2 2 3 14" xfId="13945" xr:uid="{A6C100EB-BBDE-488D-802C-975553D71694}"/>
    <cellStyle name="Saída 2 2 3 15" xfId="13946" xr:uid="{5678A22B-311E-42A1-8D6F-C99CF576896E}"/>
    <cellStyle name="Saída 2 2 3 16" xfId="13947" xr:uid="{42060460-2055-4D8A-8C32-3CD27AE06B43}"/>
    <cellStyle name="Saída 2 2 3 17" xfId="13948" xr:uid="{1DBC4583-7187-4E5C-9E61-167AF65CC8CF}"/>
    <cellStyle name="Saída 2 2 3 18" xfId="13949" xr:uid="{AEF0EF7C-9841-41A9-8447-36D1F48A7E55}"/>
    <cellStyle name="Saída 2 2 3 19" xfId="13950" xr:uid="{2D67D69F-9072-4F1A-9C40-924EA48B97E7}"/>
    <cellStyle name="Saída 2 2 3 2" xfId="13951" xr:uid="{C1141A6B-DD47-4F81-823E-59560F3CD6C7}"/>
    <cellStyle name="Saída 2 2 3 2 10" xfId="13952" xr:uid="{351097FD-8B1A-48C8-8580-309B2C8C31D1}"/>
    <cellStyle name="Saída 2 2 3 2 11" xfId="13953" xr:uid="{196E4DB2-0674-4768-A6B5-85B6B2AD8151}"/>
    <cellStyle name="Saída 2 2 3 2 12" xfId="13954" xr:uid="{95533D3F-2E47-49E4-BA26-FDC17B38AC62}"/>
    <cellStyle name="Saída 2 2 3 2 13" xfId="13955" xr:uid="{AC4F6AAE-C5B3-4478-9FF0-8180CA8D8D47}"/>
    <cellStyle name="Saída 2 2 3 2 14" xfId="13956" xr:uid="{7B168A1F-B135-46B4-8982-C3B11966C1BB}"/>
    <cellStyle name="Saída 2 2 3 2 15" xfId="13957" xr:uid="{16D049D0-17E8-4730-9E13-6AE67C8D9D22}"/>
    <cellStyle name="Saída 2 2 3 2 16" xfId="13958" xr:uid="{66E9D723-3D7E-48DB-90E0-E6C23BF2462D}"/>
    <cellStyle name="Saída 2 2 3 2 17" xfId="13959" xr:uid="{63366215-F59F-44CC-8B2C-73FF97BF9AA2}"/>
    <cellStyle name="Saída 2 2 3 2 18" xfId="13960" xr:uid="{878E4C91-8A38-45FB-9F43-F24F5D455EDA}"/>
    <cellStyle name="Saída 2 2 3 2 19" xfId="13961" xr:uid="{1C95910F-FCF7-4A05-A54C-5627093A6099}"/>
    <cellStyle name="Saída 2 2 3 2 2" xfId="13962" xr:uid="{890E4D82-D148-4521-BB9B-31A606CED69C}"/>
    <cellStyle name="Saída 2 2 3 2 3" xfId="13963" xr:uid="{C66697EE-4AD0-4EF9-9C11-0E21CF62A05C}"/>
    <cellStyle name="Saída 2 2 3 2 4" xfId="13964" xr:uid="{83EB6F0F-6DCA-4C48-84DE-FE2D7386DA27}"/>
    <cellStyle name="Saída 2 2 3 2 5" xfId="13965" xr:uid="{F72AD499-9E14-4DED-A453-C4D4F1CA1A5A}"/>
    <cellStyle name="Saída 2 2 3 2 6" xfId="13966" xr:uid="{5D8CCB76-D1F2-4F87-94DD-5E0B657084C9}"/>
    <cellStyle name="Saída 2 2 3 2 7" xfId="13967" xr:uid="{36346D38-5D25-40E6-A1E4-AC9DD4B1B0F2}"/>
    <cellStyle name="Saída 2 2 3 2 8" xfId="13968" xr:uid="{B36254FC-70F1-4C25-B804-484FD9DF0E41}"/>
    <cellStyle name="Saída 2 2 3 2 9" xfId="13969" xr:uid="{1DA40695-FC0E-41FA-9A24-3FC3C440F361}"/>
    <cellStyle name="Saída 2 2 3 2_2013" xfId="13970" xr:uid="{102BF5B0-1DC8-4861-8211-921E5A06B0B9}"/>
    <cellStyle name="Saída 2 2 3 20" xfId="13971" xr:uid="{CE3A487F-5E87-4955-A2E0-5DA4388087A0}"/>
    <cellStyle name="Saída 2 2 3 3" xfId="13972" xr:uid="{4BAB5CC2-53AF-4FA1-BB16-0DD0650E7818}"/>
    <cellStyle name="Saída 2 2 3 4" xfId="13973" xr:uid="{E4B0347C-80D6-4445-B040-13A6713163BA}"/>
    <cellStyle name="Saída 2 2 3 5" xfId="13974" xr:uid="{B8F12AAC-5449-4308-96D2-29FC3AA5283E}"/>
    <cellStyle name="Saída 2 2 3 6" xfId="13975" xr:uid="{74E9C544-BEC8-49FE-B34D-5A04286153CD}"/>
    <cellStyle name="Saída 2 2 3 7" xfId="13976" xr:uid="{D5E148E2-D369-4E2C-957F-3946529149D9}"/>
    <cellStyle name="Saída 2 2 3 8" xfId="13977" xr:uid="{0E697272-17C6-4B8D-B403-96DE30FF36C9}"/>
    <cellStyle name="Saída 2 2 3 9" xfId="13978" xr:uid="{291D32E6-8AA9-4AE5-B766-E4B19443549D}"/>
    <cellStyle name="Saída 2 2 3_2013" xfId="13979" xr:uid="{B077119B-EF34-4F7D-95ED-7B7B2707D86E}"/>
    <cellStyle name="Saída 2 2 4" xfId="13980" xr:uid="{68649443-D911-4910-BC2A-48366DD119F5}"/>
    <cellStyle name="Saída 2 2 4 10" xfId="13981" xr:uid="{B9578FAA-D27B-4694-9439-B718171DEC4E}"/>
    <cellStyle name="Saída 2 2 4 11" xfId="13982" xr:uid="{5E87BEF3-8851-4B3C-A523-7D3B350C5B20}"/>
    <cellStyle name="Saída 2 2 4 12" xfId="13983" xr:uid="{566E42FF-93DB-444E-B458-FD9CE3584D88}"/>
    <cellStyle name="Saída 2 2 4 13" xfId="13984" xr:uid="{860619DC-C7F0-4ED1-8F80-8FD8B3581B1E}"/>
    <cellStyle name="Saída 2 2 4 14" xfId="13985" xr:uid="{6842CE2D-8691-4F4F-B0AF-E075A888A525}"/>
    <cellStyle name="Saída 2 2 4 15" xfId="13986" xr:uid="{C8026A28-3DAA-433B-8C62-B79819CFE0AE}"/>
    <cellStyle name="Saída 2 2 4 16" xfId="13987" xr:uid="{87464007-0F55-4B5E-AE20-28334D578E1F}"/>
    <cellStyle name="Saída 2 2 4 17" xfId="13988" xr:uid="{54099565-6211-4CAA-A13E-E3B1D850695D}"/>
    <cellStyle name="Saída 2 2 4 18" xfId="13989" xr:uid="{949AB107-D5C2-4712-ACC3-8454AC8B65B9}"/>
    <cellStyle name="Saída 2 2 4 19" xfId="13990" xr:uid="{341E92F6-D9E9-4B85-90C2-AF65DB700692}"/>
    <cellStyle name="Saída 2 2 4 2" xfId="13991" xr:uid="{D626AFF3-033B-4331-AD2C-57DD438C9C08}"/>
    <cellStyle name="Saída 2 2 4 2 10" xfId="13992" xr:uid="{A4E86EF0-ADCA-4CA3-9AE5-B346386DDEFD}"/>
    <cellStyle name="Saída 2 2 4 2 11" xfId="13993" xr:uid="{78D85A51-CFAC-4F5A-A36C-5657ED876DC8}"/>
    <cellStyle name="Saída 2 2 4 2 12" xfId="13994" xr:uid="{912ADCF4-4AE2-4F6B-A176-9372B8F0A3A0}"/>
    <cellStyle name="Saída 2 2 4 2 13" xfId="13995" xr:uid="{8B663616-8931-438D-B8ED-8802805AAEDC}"/>
    <cellStyle name="Saída 2 2 4 2 14" xfId="13996" xr:uid="{F9A537FF-3644-436F-9C50-1981878C2B1B}"/>
    <cellStyle name="Saída 2 2 4 2 15" xfId="13997" xr:uid="{97142645-C0EE-4EB4-BD96-307C3C432A59}"/>
    <cellStyle name="Saída 2 2 4 2 16" xfId="13998" xr:uid="{A2D30B2B-912D-4A29-84B4-F68465DAD718}"/>
    <cellStyle name="Saída 2 2 4 2 17" xfId="13999" xr:uid="{F3D7703B-CA55-4761-87BF-B6C23FB45145}"/>
    <cellStyle name="Saída 2 2 4 2 18" xfId="14000" xr:uid="{CE00BFD3-F0E5-4480-8ADD-0FFAFB9EE8E3}"/>
    <cellStyle name="Saída 2 2 4 2 19" xfId="14001" xr:uid="{562C7828-E889-4915-950D-DD947291B4EB}"/>
    <cellStyle name="Saída 2 2 4 2 2" xfId="14002" xr:uid="{25486E54-222B-485B-B55A-4B3057B92E30}"/>
    <cellStyle name="Saída 2 2 4 2 3" xfId="14003" xr:uid="{C20EEC79-BBD7-40D9-B1B5-BE637721ADB1}"/>
    <cellStyle name="Saída 2 2 4 2 4" xfId="14004" xr:uid="{2240263F-8DE9-4381-8CD9-FBAB1D5B7DC7}"/>
    <cellStyle name="Saída 2 2 4 2 5" xfId="14005" xr:uid="{BED2A105-B6A1-47D3-835D-393E81FF0C7A}"/>
    <cellStyle name="Saída 2 2 4 2 6" xfId="14006" xr:uid="{1510DF8B-E17C-4635-84E8-8DBCF4027E50}"/>
    <cellStyle name="Saída 2 2 4 2 7" xfId="14007" xr:uid="{08C75561-D115-4010-A755-7C2395B7D93E}"/>
    <cellStyle name="Saída 2 2 4 2 8" xfId="14008" xr:uid="{FCF395AC-9DF9-42CB-A6E4-3691CC0BEC73}"/>
    <cellStyle name="Saída 2 2 4 2 9" xfId="14009" xr:uid="{9200EF8B-20B3-47C9-B8EB-270BABA8E830}"/>
    <cellStyle name="Saída 2 2 4 2_2013" xfId="14010" xr:uid="{81A6A78E-2309-4999-AC55-601EE769FE41}"/>
    <cellStyle name="Saída 2 2 4 20" xfId="14011" xr:uid="{4C08750C-31CD-4659-ADE2-C253278770FE}"/>
    <cellStyle name="Saída 2 2 4 3" xfId="14012" xr:uid="{38329928-B9AB-496B-9854-7174C0E27D37}"/>
    <cellStyle name="Saída 2 2 4 4" xfId="14013" xr:uid="{04CA1385-3FDF-40D9-B59D-3CED78082CE0}"/>
    <cellStyle name="Saída 2 2 4 5" xfId="14014" xr:uid="{7A679E34-12AB-44F3-9A87-E85319FA2CFB}"/>
    <cellStyle name="Saída 2 2 4 6" xfId="14015" xr:uid="{AF135D73-5F6C-4355-A7FB-51E24154DFFC}"/>
    <cellStyle name="Saída 2 2 4 7" xfId="14016" xr:uid="{80E317E8-65F5-4E0F-AD4D-3181AD034B98}"/>
    <cellStyle name="Saída 2 2 4 8" xfId="14017" xr:uid="{3A110EBF-2FD9-4D86-8DDA-4313359C670F}"/>
    <cellStyle name="Saída 2 2 4 9" xfId="14018" xr:uid="{B73ADE72-AB74-4961-9248-1CFFC53BA4C4}"/>
    <cellStyle name="Saída 2 2 4_2013" xfId="14019" xr:uid="{ACBD5C6C-A171-41B0-99C9-99035424D2BC}"/>
    <cellStyle name="Saída 2 2 5" xfId="14020" xr:uid="{CE5CD23A-3BEA-4FD7-BA60-AA74F446C460}"/>
    <cellStyle name="Saída 2 2 5 10" xfId="14021" xr:uid="{00B6D192-137D-4529-87ED-0C312A9AC648}"/>
    <cellStyle name="Saída 2 2 5 11" xfId="14022" xr:uid="{5DCC165F-CBBF-4EC8-B7C8-2FFECC616486}"/>
    <cellStyle name="Saída 2 2 5 12" xfId="14023" xr:uid="{55ED7E34-EF8D-4E83-9583-4E256CA8A9C7}"/>
    <cellStyle name="Saída 2 2 5 13" xfId="14024" xr:uid="{F23CDD7A-5889-44EB-AF23-08A6BFAF9EA3}"/>
    <cellStyle name="Saída 2 2 5 14" xfId="14025" xr:uid="{9908E2FA-793F-480E-A45E-8397DA23CF7B}"/>
    <cellStyle name="Saída 2 2 5 15" xfId="14026" xr:uid="{C220D939-D2E6-4AEC-B248-9BCC7ACE3DFE}"/>
    <cellStyle name="Saída 2 2 5 16" xfId="14027" xr:uid="{B4413796-F5D2-4C31-B1AF-8EA9EDDE1897}"/>
    <cellStyle name="Saída 2 2 5 17" xfId="14028" xr:uid="{B8340111-199E-4916-BDA6-5D0CBB81E2E3}"/>
    <cellStyle name="Saída 2 2 5 18" xfId="14029" xr:uid="{10911D2B-3CAB-463C-9D4D-7D19398FEDE5}"/>
    <cellStyle name="Saída 2 2 5 19" xfId="14030" xr:uid="{CD06C9E0-7293-4E1A-875F-C66058633F56}"/>
    <cellStyle name="Saída 2 2 5 2" xfId="14031" xr:uid="{01B1300E-A5DE-4C60-9103-B10FECD2390D}"/>
    <cellStyle name="Saída 2 2 5 3" xfId="14032" xr:uid="{10A9E9C6-C7B2-418B-AC5B-5C497B405288}"/>
    <cellStyle name="Saída 2 2 5 4" xfId="14033" xr:uid="{24CC664A-736C-4A97-93DD-F03DDA27938E}"/>
    <cellStyle name="Saída 2 2 5 5" xfId="14034" xr:uid="{B21397FA-E8E4-41F5-96C6-4FDA6EF19FB8}"/>
    <cellStyle name="Saída 2 2 5 6" xfId="14035" xr:uid="{C2C74FF3-A056-4143-A2AD-3FBB273976A7}"/>
    <cellStyle name="Saída 2 2 5 7" xfId="14036" xr:uid="{7D4C5246-8871-4EBC-826B-8D5F168B988D}"/>
    <cellStyle name="Saída 2 2 5 8" xfId="14037" xr:uid="{6979BDA6-D10F-412A-AAEC-9C219A6C7FEA}"/>
    <cellStyle name="Saída 2 2 5 9" xfId="14038" xr:uid="{DBA7983B-9B7F-4EA1-B340-2B5E65E67FFD}"/>
    <cellStyle name="Saída 2 2 5_2013" xfId="14039" xr:uid="{AE73ABD5-ED07-46F3-8C41-BBCBBCCA7D43}"/>
    <cellStyle name="Saída 2 2 6" xfId="14040" xr:uid="{0ACE5358-3589-441F-BD10-C5ABEDB945E0}"/>
    <cellStyle name="Saída 2 2 7" xfId="14041" xr:uid="{CDFAC1A6-37D2-4321-87AA-B276DA173098}"/>
    <cellStyle name="Saída 2 2 8" xfId="14042" xr:uid="{E3FEE3E8-C659-4B9D-9037-899AEF9399CD}"/>
    <cellStyle name="Saída 2 2 9" xfId="14043" xr:uid="{8BB03DC9-59A5-4F4D-8292-B75CEB579457}"/>
    <cellStyle name="Saída 2 2_2013" xfId="14044" xr:uid="{B44169F6-7E96-43CF-BBFE-9E7CFACB5BB2}"/>
    <cellStyle name="Saída 2 20" xfId="14045" xr:uid="{0488EB3E-6DE9-4146-AA0A-FDC44D12D0E2}"/>
    <cellStyle name="Saída 2 21" xfId="14046" xr:uid="{5ABF06CE-CB6C-4B2A-B6F2-D03BC74BC979}"/>
    <cellStyle name="Saída 2 22" xfId="14047" xr:uid="{449C8563-4D45-48F6-87CA-F58A848E6224}"/>
    <cellStyle name="Saída 2 23" xfId="14048" xr:uid="{15D28933-CC93-41D5-9815-88C4DD893B7D}"/>
    <cellStyle name="Saída 2 24" xfId="14049" xr:uid="{3E1090AD-B986-4634-8501-799152A24501}"/>
    <cellStyle name="Saída 2 3" xfId="14050" xr:uid="{DBB59C07-D53E-42CA-A8B4-CE805A7C935C}"/>
    <cellStyle name="Saída 2 3 10" xfId="14051" xr:uid="{CF2AC190-7919-4C76-A34E-49F04684867A}"/>
    <cellStyle name="Saída 2 3 11" xfId="14052" xr:uid="{1D758FCF-79C4-4C59-AC35-7D83E6156A3A}"/>
    <cellStyle name="Saída 2 3 12" xfId="14053" xr:uid="{11E168E3-020B-4CB5-AD61-E8EFA7D04806}"/>
    <cellStyle name="Saída 2 3 13" xfId="14054" xr:uid="{D329343B-5094-4E58-A5DC-BF5BBD5500F0}"/>
    <cellStyle name="Saída 2 3 14" xfId="14055" xr:uid="{E5119FE5-FB49-4DAD-BA5A-F2E33E01D78C}"/>
    <cellStyle name="Saída 2 3 15" xfId="14056" xr:uid="{7FBA4379-9409-471C-AB06-01B78310DD22}"/>
    <cellStyle name="Saída 2 3 16" xfId="14057" xr:uid="{8B455DCA-325B-475B-BBC9-B9C24C654E6E}"/>
    <cellStyle name="Saída 2 3 17" xfId="14058" xr:uid="{E1DF3659-95EB-4F48-ACC2-2CCC79A5AB1E}"/>
    <cellStyle name="Saída 2 3 18" xfId="14059" xr:uid="{594F78A2-513B-4625-BAC2-FC29C8716229}"/>
    <cellStyle name="Saída 2 3 19" xfId="14060" xr:uid="{30FAF1AA-AEE5-4E5D-AABE-F19B85D24CB2}"/>
    <cellStyle name="Saída 2 3 2" xfId="14061" xr:uid="{FD47BCE3-52AA-4B1D-BED9-714590850819}"/>
    <cellStyle name="Saída 2 3 2 10" xfId="14062" xr:uid="{9232A15C-03A8-49F8-8C08-019A555AEA7C}"/>
    <cellStyle name="Saída 2 3 2 11" xfId="14063" xr:uid="{3C4220EB-5A44-464B-96A5-FA1479FC1298}"/>
    <cellStyle name="Saída 2 3 2 12" xfId="14064" xr:uid="{437B1961-C248-4FDA-A3F2-4E93F96AAED8}"/>
    <cellStyle name="Saída 2 3 2 13" xfId="14065" xr:uid="{CC072E9E-3B28-404F-9962-C2A311FEB952}"/>
    <cellStyle name="Saída 2 3 2 14" xfId="14066" xr:uid="{748926EE-45AC-414C-9772-F1CA8B9F0F93}"/>
    <cellStyle name="Saída 2 3 2 15" xfId="14067" xr:uid="{A01112F0-ED73-4D93-A0FB-0C449A2E4106}"/>
    <cellStyle name="Saída 2 3 2 16" xfId="14068" xr:uid="{F799596E-B327-4BB1-95FB-60DDA58ABD3F}"/>
    <cellStyle name="Saída 2 3 2 17" xfId="14069" xr:uid="{583E5441-C05C-4CE5-8BEA-B42701637675}"/>
    <cellStyle name="Saída 2 3 2 18" xfId="14070" xr:uid="{661E9ADC-C83F-4DE1-8313-50FDE2719629}"/>
    <cellStyle name="Saída 2 3 2 19" xfId="14071" xr:uid="{C845AD8C-60B3-4B7B-BC8C-C2E74AA8F492}"/>
    <cellStyle name="Saída 2 3 2 2" xfId="14072" xr:uid="{DEA84CA6-BDCC-4EE2-97A2-CBD1FB12C141}"/>
    <cellStyle name="Saída 2 3 2 3" xfId="14073" xr:uid="{FD9C893D-C1E3-4A31-8356-2C0FAE63C838}"/>
    <cellStyle name="Saída 2 3 2 4" xfId="14074" xr:uid="{B10FC0AC-65FB-44FA-8381-16C7E269D4D3}"/>
    <cellStyle name="Saída 2 3 2 5" xfId="14075" xr:uid="{E7C2BE50-321C-4AC4-AFEF-4816A3E0A507}"/>
    <cellStyle name="Saída 2 3 2 6" xfId="14076" xr:uid="{E95D813B-566D-49C3-A09A-0DE4D268F355}"/>
    <cellStyle name="Saída 2 3 2 7" xfId="14077" xr:uid="{9B2A11D6-AADD-4CFD-90F9-8622DA70096C}"/>
    <cellStyle name="Saída 2 3 2 8" xfId="14078" xr:uid="{47C69677-635F-4FB4-B853-71DD12E7CDF2}"/>
    <cellStyle name="Saída 2 3 2 9" xfId="14079" xr:uid="{F644E79A-9A9C-4DD7-8DF3-A79624023867}"/>
    <cellStyle name="Saída 2 3 2_2013" xfId="14080" xr:uid="{5EF485CA-BF38-49C0-9883-EA6C38F0930E}"/>
    <cellStyle name="Saída 2 3 20" xfId="14081" xr:uid="{D955405F-B25C-4D11-BB4C-40D872CE41D9}"/>
    <cellStyle name="Saída 2 3 3" xfId="14082" xr:uid="{08B55367-9007-4E33-8BF2-A053AE34D304}"/>
    <cellStyle name="Saída 2 3 4" xfId="14083" xr:uid="{816BF14C-664E-414E-BB3C-1C4017DEA179}"/>
    <cellStyle name="Saída 2 3 5" xfId="14084" xr:uid="{95F0F66F-1801-45F8-81B8-003B535CB3CB}"/>
    <cellStyle name="Saída 2 3 6" xfId="14085" xr:uid="{53A1B2D5-DE8B-4F4F-AFEC-181018229E2E}"/>
    <cellStyle name="Saída 2 3 7" xfId="14086" xr:uid="{7BFAC4C9-A32C-4CE5-8306-EC83C9C9A639}"/>
    <cellStyle name="Saída 2 3 8" xfId="14087" xr:uid="{70970FC0-6D78-496F-9637-3EDC4D9034B2}"/>
    <cellStyle name="Saída 2 3 9" xfId="14088" xr:uid="{40031900-FAE5-4DAE-9BAE-5FB06B6AFF46}"/>
    <cellStyle name="Saída 2 3_2013" xfId="14089" xr:uid="{F7854940-F27E-48EF-9ABE-38016AB54AFF}"/>
    <cellStyle name="Saída 2 4" xfId="14090" xr:uid="{FC8B887A-4035-4041-BC74-C541F1EA3295}"/>
    <cellStyle name="Saída 2 4 10" xfId="14091" xr:uid="{E58FA84A-1191-4CAA-9777-BFAA1F70C57F}"/>
    <cellStyle name="Saída 2 4 11" xfId="14092" xr:uid="{7FA5A67D-44ED-44D1-9E11-4E155A96A76C}"/>
    <cellStyle name="Saída 2 4 12" xfId="14093" xr:uid="{6D581693-960E-4821-BC0E-93AC514F94FF}"/>
    <cellStyle name="Saída 2 4 13" xfId="14094" xr:uid="{F9604E1E-7153-407E-99D2-0C9C8CA31F57}"/>
    <cellStyle name="Saída 2 4 14" xfId="14095" xr:uid="{61643614-EEC2-47B9-A1B9-C85C319109D9}"/>
    <cellStyle name="Saída 2 4 15" xfId="14096" xr:uid="{12CF075A-882E-4495-BF71-58F0421C3C78}"/>
    <cellStyle name="Saída 2 4 16" xfId="14097" xr:uid="{047F51A4-0DF6-46F2-A6A2-DE704C4F672E}"/>
    <cellStyle name="Saída 2 4 17" xfId="14098" xr:uid="{1317158A-0B9F-4040-9FC5-651CA6F68C10}"/>
    <cellStyle name="Saída 2 4 18" xfId="14099" xr:uid="{9EFB4ACA-C19F-4073-8D56-BD1B101FB802}"/>
    <cellStyle name="Saída 2 4 19" xfId="14100" xr:uid="{8AF6A7EB-21BD-4E63-B0BF-264376E90CFE}"/>
    <cellStyle name="Saída 2 4 2" xfId="14101" xr:uid="{F3896470-B452-4CC5-9224-461AA08EBB1E}"/>
    <cellStyle name="Saída 2 4 2 10" xfId="14102" xr:uid="{4516D4BD-B7F3-49BE-8FF8-6820C0599386}"/>
    <cellStyle name="Saída 2 4 2 11" xfId="14103" xr:uid="{5B55F537-ECFB-4E20-A342-9E04B5478098}"/>
    <cellStyle name="Saída 2 4 2 12" xfId="14104" xr:uid="{59BC1A12-D35A-430B-BEF2-2C15261D424D}"/>
    <cellStyle name="Saída 2 4 2 13" xfId="14105" xr:uid="{06FFE738-8175-400A-98E0-A59749F81E3F}"/>
    <cellStyle name="Saída 2 4 2 14" xfId="14106" xr:uid="{ED341764-A8D6-4161-85A6-07D06C5203DA}"/>
    <cellStyle name="Saída 2 4 2 15" xfId="14107" xr:uid="{AFA083B1-DCC3-423D-B579-3076320FABCD}"/>
    <cellStyle name="Saída 2 4 2 16" xfId="14108" xr:uid="{761D1E47-EB47-41A9-9B9A-E400DEBF6861}"/>
    <cellStyle name="Saída 2 4 2 17" xfId="14109" xr:uid="{FA2069A8-48FA-4C43-99BD-46869107B363}"/>
    <cellStyle name="Saída 2 4 2 18" xfId="14110" xr:uid="{E49205C3-D853-43BE-A2AE-3A6581C6EFD7}"/>
    <cellStyle name="Saída 2 4 2 19" xfId="14111" xr:uid="{19A1CB99-C5C0-4D92-8A0F-E0A8AE901C7A}"/>
    <cellStyle name="Saída 2 4 2 2" xfId="14112" xr:uid="{251E132D-F0C4-4FC6-B60A-DCBC3804723C}"/>
    <cellStyle name="Saída 2 4 2 3" xfId="14113" xr:uid="{9D0D17B3-FBEE-4691-956E-70AF0B82A8CB}"/>
    <cellStyle name="Saída 2 4 2 4" xfId="14114" xr:uid="{A4D16145-1472-4D19-84A9-47543AF9B67B}"/>
    <cellStyle name="Saída 2 4 2 5" xfId="14115" xr:uid="{83E3E005-6058-433C-8C31-D951754A71FE}"/>
    <cellStyle name="Saída 2 4 2 6" xfId="14116" xr:uid="{A740C20B-978C-4468-80E0-40B67D0FBFC7}"/>
    <cellStyle name="Saída 2 4 2 7" xfId="14117" xr:uid="{A08DB909-D755-4009-A1FC-589B69F93F9E}"/>
    <cellStyle name="Saída 2 4 2 8" xfId="14118" xr:uid="{4D7C7707-AB1B-41B2-86D0-4768B0FB4B69}"/>
    <cellStyle name="Saída 2 4 2 9" xfId="14119" xr:uid="{9E654330-56AB-4497-9CB8-6E675083B41E}"/>
    <cellStyle name="Saída 2 4 2_2013" xfId="14120" xr:uid="{302AABE8-65C7-4233-858C-35E17EF9238F}"/>
    <cellStyle name="Saída 2 4 20" xfId="14121" xr:uid="{CCCDF57C-4C81-4BA2-AC84-8DDD6FDA200F}"/>
    <cellStyle name="Saída 2 4 3" xfId="14122" xr:uid="{06AF0491-C91E-4596-8D6E-F0AEB87B4A61}"/>
    <cellStyle name="Saída 2 4 4" xfId="14123" xr:uid="{AA5FC4CC-5CA6-499A-867A-365CAC75B0A8}"/>
    <cellStyle name="Saída 2 4 5" xfId="14124" xr:uid="{2B5AE2C5-5836-479D-BEC0-D855B1D8E2BB}"/>
    <cellStyle name="Saída 2 4 6" xfId="14125" xr:uid="{CDFA0DA9-EA1E-4AAF-8198-C2076B0DF4DC}"/>
    <cellStyle name="Saída 2 4 7" xfId="14126" xr:uid="{74D62D84-A122-424B-9ED4-4A59472974F5}"/>
    <cellStyle name="Saída 2 4 8" xfId="14127" xr:uid="{A7611837-D396-4D80-9907-0AE739A410B5}"/>
    <cellStyle name="Saída 2 4 9" xfId="14128" xr:uid="{C757D999-569A-4D53-A5C6-35DED36D4AD6}"/>
    <cellStyle name="Saída 2 4_2013" xfId="14129" xr:uid="{CF72287C-5045-49A5-B2C3-89CC0EB18F91}"/>
    <cellStyle name="Saída 2 5" xfId="14130" xr:uid="{1094773B-0C87-4530-BE24-A97D4835159D}"/>
    <cellStyle name="Saída 2 5 10" xfId="14131" xr:uid="{AA0F847A-F0B2-413E-9D73-D3246B304B61}"/>
    <cellStyle name="Saída 2 5 11" xfId="14132" xr:uid="{70F8C088-7025-4281-BE5F-4624DDD6EF55}"/>
    <cellStyle name="Saída 2 5 12" xfId="14133" xr:uid="{9AF541D1-5716-4E3D-96B6-FFF6E74BAFDF}"/>
    <cellStyle name="Saída 2 5 13" xfId="14134" xr:uid="{4B7A72F1-8DFE-46E0-8A35-E45F72F7FD90}"/>
    <cellStyle name="Saída 2 5 14" xfId="14135" xr:uid="{B8454F23-E7A3-4E6D-B6E6-45EF7EDACFEA}"/>
    <cellStyle name="Saída 2 5 15" xfId="14136" xr:uid="{2DA6AE2D-6B85-4F53-9191-2C5C1E5D98A1}"/>
    <cellStyle name="Saída 2 5 16" xfId="14137" xr:uid="{6A6DE565-05F9-47B3-BEBC-9A37736C51C7}"/>
    <cellStyle name="Saída 2 5 17" xfId="14138" xr:uid="{1C7C0D76-73B9-4B8A-913E-0FF111E18CC4}"/>
    <cellStyle name="Saída 2 5 18" xfId="14139" xr:uid="{FEC4BBF2-A2C5-4240-BD49-17C433169911}"/>
    <cellStyle name="Saída 2 5 19" xfId="14140" xr:uid="{F582DF43-14AA-4F15-9538-2DCF56B21671}"/>
    <cellStyle name="Saída 2 5 2" xfId="14141" xr:uid="{CB061BF5-0D8F-4AFF-86FF-3C536A568A42}"/>
    <cellStyle name="Saída 2 5 2 10" xfId="14142" xr:uid="{7FD6F43A-4DB1-4EEC-B73A-D94E7D8023C9}"/>
    <cellStyle name="Saída 2 5 2 11" xfId="14143" xr:uid="{A2BE233D-1636-43FC-AC2D-9E851F283B6A}"/>
    <cellStyle name="Saída 2 5 2 12" xfId="14144" xr:uid="{F732D08C-A9EB-42F8-BB2E-30D53DFF1C40}"/>
    <cellStyle name="Saída 2 5 2 13" xfId="14145" xr:uid="{878C2702-599C-40C0-AED3-C55F73FC1D12}"/>
    <cellStyle name="Saída 2 5 2 14" xfId="14146" xr:uid="{38CDEB4A-F277-444F-82F3-A7414326A444}"/>
    <cellStyle name="Saída 2 5 2 15" xfId="14147" xr:uid="{F9D40602-EC45-43C8-A61A-147AE7FFA776}"/>
    <cellStyle name="Saída 2 5 2 16" xfId="14148" xr:uid="{E3944DF1-1554-4985-9ECF-51AD1761AF4B}"/>
    <cellStyle name="Saída 2 5 2 17" xfId="14149" xr:uid="{75A8B262-4802-41EE-917D-54414F17EF59}"/>
    <cellStyle name="Saída 2 5 2 18" xfId="14150" xr:uid="{788FE37A-F1F8-4E69-AA4F-7F9E5183B6E7}"/>
    <cellStyle name="Saída 2 5 2 19" xfId="14151" xr:uid="{74009942-4381-4797-88BB-B88A87DCAEE4}"/>
    <cellStyle name="Saída 2 5 2 2" xfId="14152" xr:uid="{A6F578F2-87BE-43B0-9336-56AC1F17E2C4}"/>
    <cellStyle name="Saída 2 5 2 3" xfId="14153" xr:uid="{9BF160A9-5F5E-4046-BB8B-525D0A894A27}"/>
    <cellStyle name="Saída 2 5 2 4" xfId="14154" xr:uid="{96902179-C001-4A4B-BC0D-EAEB65E61A03}"/>
    <cellStyle name="Saída 2 5 2 5" xfId="14155" xr:uid="{BAE31E1F-67C9-4FEC-998F-1958B99ED3EC}"/>
    <cellStyle name="Saída 2 5 2 6" xfId="14156" xr:uid="{0659EBA5-BDE8-4E71-83BC-1A7F8AC2F0C3}"/>
    <cellStyle name="Saída 2 5 2 7" xfId="14157" xr:uid="{BC55E509-FF81-48E2-9AD2-7740C164B102}"/>
    <cellStyle name="Saída 2 5 2 8" xfId="14158" xr:uid="{DC7BCA14-D422-48F1-8013-910B61F644E3}"/>
    <cellStyle name="Saída 2 5 2 9" xfId="14159" xr:uid="{3BF714C9-7745-4AC8-A0D3-CD1CB2ED0230}"/>
    <cellStyle name="Saída 2 5 2_2013" xfId="14160" xr:uid="{D2E31B93-D82F-4BA2-890A-29C29AEEF577}"/>
    <cellStyle name="Saída 2 5 20" xfId="14161" xr:uid="{0F52CEFD-4DA4-4C97-9C34-120EDE9B84D0}"/>
    <cellStyle name="Saída 2 5 3" xfId="14162" xr:uid="{0274A1A9-0401-4230-B2C3-287096C1F13F}"/>
    <cellStyle name="Saída 2 5 4" xfId="14163" xr:uid="{2845ED08-0115-4801-A690-88256C7C39FE}"/>
    <cellStyle name="Saída 2 5 5" xfId="14164" xr:uid="{A3AAA667-B36E-42EE-90E6-E3D497020100}"/>
    <cellStyle name="Saída 2 5 6" xfId="14165" xr:uid="{6697CE2A-493B-47BB-A4BC-51E6E0A74EA8}"/>
    <cellStyle name="Saída 2 5 7" xfId="14166" xr:uid="{555E45D6-FA88-4DB7-966D-E3F9AFCB7AD7}"/>
    <cellStyle name="Saída 2 5 8" xfId="14167" xr:uid="{8BDD44BF-6554-44FC-996D-5CB1F2F9E237}"/>
    <cellStyle name="Saída 2 5 9" xfId="14168" xr:uid="{E1AE91D8-BD93-45F9-9E71-8154D1502EC9}"/>
    <cellStyle name="Saída 2 5_2013" xfId="14169" xr:uid="{93741EF3-3DF0-419D-8D5D-A6E6C059DD90}"/>
    <cellStyle name="Saída 2 6" xfId="14170" xr:uid="{171D08B1-4283-4423-9754-6D0BC2539E44}"/>
    <cellStyle name="Saída 2 6 10" xfId="14171" xr:uid="{0CBC7491-BB74-4294-9872-4A641BCC3E76}"/>
    <cellStyle name="Saída 2 6 11" xfId="14172" xr:uid="{E6ACB3A3-8157-46BA-BC47-69B75D133024}"/>
    <cellStyle name="Saída 2 6 12" xfId="14173" xr:uid="{D7A4888D-F97E-4A2B-8CB2-03E20BCB1A39}"/>
    <cellStyle name="Saída 2 6 13" xfId="14174" xr:uid="{0111B480-F214-416E-B1CE-3975EEC4E5CA}"/>
    <cellStyle name="Saída 2 6 14" xfId="14175" xr:uid="{69CAA204-B1B9-499F-ADCB-68816C0B2235}"/>
    <cellStyle name="Saída 2 6 15" xfId="14176" xr:uid="{AE31950B-ACD1-44EF-95A4-51123B8239FC}"/>
    <cellStyle name="Saída 2 6 16" xfId="14177" xr:uid="{840691D1-4759-4D53-88D7-7C692278A1F5}"/>
    <cellStyle name="Saída 2 6 17" xfId="14178" xr:uid="{A295295C-83F3-4EEF-BAFA-BD8A0F23B2D0}"/>
    <cellStyle name="Saída 2 6 18" xfId="14179" xr:uid="{81FE03D6-5981-4258-8491-07163BAD07FC}"/>
    <cellStyle name="Saída 2 6 19" xfId="14180" xr:uid="{3370DAED-715B-46D5-9357-4339A10D58F4}"/>
    <cellStyle name="Saída 2 6 2" xfId="14181" xr:uid="{C6880DD0-703E-47FC-B7E1-85A71474BF4A}"/>
    <cellStyle name="Saída 2 6 3" xfId="14182" xr:uid="{A53B4C47-893C-4AF0-B7A7-87994CDFA229}"/>
    <cellStyle name="Saída 2 6 4" xfId="14183" xr:uid="{3AF4FB82-B01E-404F-B8CB-D420545CDAA4}"/>
    <cellStyle name="Saída 2 6 5" xfId="14184" xr:uid="{F67C5D6C-E22D-41CF-A596-A1DD75C30195}"/>
    <cellStyle name="Saída 2 6 6" xfId="14185" xr:uid="{5BDBE901-F8CE-4E24-BD43-83C2C78C365D}"/>
    <cellStyle name="Saída 2 6 7" xfId="14186" xr:uid="{AD05283F-5750-4032-955D-334DD3470AF6}"/>
    <cellStyle name="Saída 2 6 8" xfId="14187" xr:uid="{09644BA8-9A74-4575-BDE7-19DEC9AB19B6}"/>
    <cellStyle name="Saída 2 6 9" xfId="14188" xr:uid="{136AC97A-90D8-45A7-959E-DF22D57B8F32}"/>
    <cellStyle name="Saída 2 6_2013" xfId="14189" xr:uid="{07B05078-27C2-4DD3-8B87-09A2C2134138}"/>
    <cellStyle name="Saída 2 7" xfId="14190" xr:uid="{D0D82972-E3C4-4D96-9A1F-97CF51795A8A}"/>
    <cellStyle name="Saída 2 7 2" xfId="14191" xr:uid="{54B6EF6F-3BBA-47DD-AD12-3F990CEC0182}"/>
    <cellStyle name="Saída 2 7_2013" xfId="14192" xr:uid="{6097D6CC-00DB-4292-9C1D-BD1784DF5B06}"/>
    <cellStyle name="Saída 2 8" xfId="14193" xr:uid="{02FFBA03-0081-4DC6-8D01-2B2B4BB91C17}"/>
    <cellStyle name="Saída 2 9" xfId="14194" xr:uid="{268DC8B9-5C07-46E8-ADF1-85C1C7CCD0B0}"/>
    <cellStyle name="Saída 2_2013" xfId="14195" xr:uid="{B303099D-4CC7-45E2-9976-5BC8317E75AD}"/>
    <cellStyle name="Saída 20" xfId="14196" xr:uid="{826C773B-5233-4FD4-A568-80EE11ED78C3}"/>
    <cellStyle name="Saída 21" xfId="14197" xr:uid="{9334592D-0FFC-4E17-BBE6-5B09DFA20901}"/>
    <cellStyle name="Saída 22" xfId="14198" xr:uid="{FA28DE0F-494E-4D83-958D-3AC961CA224C}"/>
    <cellStyle name="Saída 23" xfId="14199" xr:uid="{3D490615-B9EF-4960-8910-08DA20E4D62A}"/>
    <cellStyle name="Saída 24" xfId="14200" xr:uid="{AB797D72-6904-4E23-9310-AAE2C238F1E8}"/>
    <cellStyle name="Saída 25" xfId="14201" xr:uid="{FD4186E0-EF72-4E0E-9427-E6CA0E0CDE9D}"/>
    <cellStyle name="Saída 26" xfId="14202" xr:uid="{E1D2A29A-56CD-4FB8-B39D-FFA2C58A0C36}"/>
    <cellStyle name="Saída 27" xfId="14203" xr:uid="{2226420E-A702-4785-9E4E-CA19DF9B4131}"/>
    <cellStyle name="Saída 3" xfId="14204" xr:uid="{04380615-0FC8-4619-A17E-2920B1B614FD}"/>
    <cellStyle name="Saída 3 10" xfId="14205" xr:uid="{15D4BB4A-A48E-43B0-B6BF-7E148D038B8A}"/>
    <cellStyle name="Saída 3 11" xfId="14206" xr:uid="{F417FED8-A003-4065-9408-29877AEBC5E5}"/>
    <cellStyle name="Saída 3 12" xfId="14207" xr:uid="{C754CF37-B527-4AB1-A2A6-B1339D5406E2}"/>
    <cellStyle name="Saída 3 13" xfId="14208" xr:uid="{DF39F735-820E-4B13-9DFC-303DCD64AA7D}"/>
    <cellStyle name="Saída 3 14" xfId="14209" xr:uid="{5A032FA6-C162-4E21-9E97-05E62BB5FA94}"/>
    <cellStyle name="Saída 3 15" xfId="14210" xr:uid="{E3DECD97-DADD-4258-B703-923887763467}"/>
    <cellStyle name="Saída 3 16" xfId="14211" xr:uid="{AF30E620-5B6E-466E-B31D-DFB743DB7652}"/>
    <cellStyle name="Saída 3 17" xfId="14212" xr:uid="{3458C9FF-788F-475F-83DF-97C7AF55476C}"/>
    <cellStyle name="Saída 3 18" xfId="14213" xr:uid="{271C5263-8714-4EC1-A482-B6E399B49EE4}"/>
    <cellStyle name="Saída 3 19" xfId="14214" xr:uid="{05E09157-A030-4275-B6E0-38C4940DB7F8}"/>
    <cellStyle name="Saída 3 2" xfId="14215" xr:uid="{1C9516EB-B231-4A69-9385-621C7B5083D8}"/>
    <cellStyle name="Saída 3 2 10" xfId="14216" xr:uid="{7C8CB76B-5B2F-47C3-9BF2-978FB5B42A69}"/>
    <cellStyle name="Saída 3 2 11" xfId="14217" xr:uid="{40E3CB24-26AB-4C7A-AE77-758F03B63B71}"/>
    <cellStyle name="Saída 3 2 12" xfId="14218" xr:uid="{AC7B3D97-AE42-40E5-B509-EA0654D65553}"/>
    <cellStyle name="Saída 3 2 13" xfId="14219" xr:uid="{71144288-3A10-4FA6-BC92-9E49AC9ECC9D}"/>
    <cellStyle name="Saída 3 2 14" xfId="14220" xr:uid="{E9DA864B-DBED-41E3-9498-DF7CB1B81473}"/>
    <cellStyle name="Saída 3 2 15" xfId="14221" xr:uid="{42299FA7-30E7-4AE4-9729-FE01A428D8EC}"/>
    <cellStyle name="Saída 3 2 16" xfId="14222" xr:uid="{2B53CE70-B0C9-4170-BA2B-5F657C942AB6}"/>
    <cellStyle name="Saída 3 2 17" xfId="14223" xr:uid="{813AC32F-2609-45B9-B43A-46C8EC1858AF}"/>
    <cellStyle name="Saída 3 2 18" xfId="14224" xr:uid="{A1D0E494-6C93-428F-90BF-9BD572CAA419}"/>
    <cellStyle name="Saída 3 2 19" xfId="14225" xr:uid="{4FB73994-DB47-46B3-B412-77E5B642E572}"/>
    <cellStyle name="Saída 3 2 2" xfId="14226" xr:uid="{95001885-C9D1-48FC-AEB4-7C71C1DB0ECD}"/>
    <cellStyle name="Saída 3 2 2 10" xfId="14227" xr:uid="{BBACDEEE-772D-48D3-9E2C-1D9A87A740EE}"/>
    <cellStyle name="Saída 3 2 2 11" xfId="14228" xr:uid="{7D25A73C-8928-48D9-9474-EED79BC17986}"/>
    <cellStyle name="Saída 3 2 2 12" xfId="14229" xr:uid="{C050A376-64D3-48C3-859D-76DB9B738E26}"/>
    <cellStyle name="Saída 3 2 2 13" xfId="14230" xr:uid="{59E9E611-A516-4C62-B1D3-42DE7B6A00AB}"/>
    <cellStyle name="Saída 3 2 2 14" xfId="14231" xr:uid="{D10AE0BA-033B-4CE0-BCF9-6FAF0EC94E8B}"/>
    <cellStyle name="Saída 3 2 2 15" xfId="14232" xr:uid="{D38A2D98-1302-4B14-9D40-4B513E2C84C3}"/>
    <cellStyle name="Saída 3 2 2 16" xfId="14233" xr:uid="{74A802EE-05A5-407B-B471-D08EF07FC5A9}"/>
    <cellStyle name="Saída 3 2 2 17" xfId="14234" xr:uid="{715EE39A-325C-45DE-B6EA-091A07C68914}"/>
    <cellStyle name="Saída 3 2 2 18" xfId="14235" xr:uid="{B068A916-4147-4227-82F7-59D6A3A37710}"/>
    <cellStyle name="Saída 3 2 2 19" xfId="14236" xr:uid="{7B702F8C-61C2-4473-B3F8-1D0285DE3A27}"/>
    <cellStyle name="Saída 3 2 2 2" xfId="14237" xr:uid="{A0A61CBC-B805-41F5-BAA4-63467163D820}"/>
    <cellStyle name="Saída 3 2 2 2 10" xfId="14238" xr:uid="{EF4C4471-E26A-44A0-A8A2-C89EABF316CF}"/>
    <cellStyle name="Saída 3 2 2 2 11" xfId="14239" xr:uid="{0F33727F-F76E-47F8-809B-243EC33DA935}"/>
    <cellStyle name="Saída 3 2 2 2 12" xfId="14240" xr:uid="{08C3A22B-CDBD-4E0A-9155-095320B5B2AC}"/>
    <cellStyle name="Saída 3 2 2 2 13" xfId="14241" xr:uid="{5203800C-F34C-4DD1-AEF1-71F8339FE2FC}"/>
    <cellStyle name="Saída 3 2 2 2 14" xfId="14242" xr:uid="{AD2642B2-3823-44D0-BACD-A049AE058377}"/>
    <cellStyle name="Saída 3 2 2 2 15" xfId="14243" xr:uid="{FF809904-EA4A-44B3-AAC3-16BDF69DE609}"/>
    <cellStyle name="Saída 3 2 2 2 16" xfId="14244" xr:uid="{06A73DF3-4958-4770-8062-C3B77651A784}"/>
    <cellStyle name="Saída 3 2 2 2 17" xfId="14245" xr:uid="{5C2D5F1A-EBCF-4247-AE93-BF238CB314F7}"/>
    <cellStyle name="Saída 3 2 2 2 18" xfId="14246" xr:uid="{7442888A-E535-449A-B295-CDFBF6304E3B}"/>
    <cellStyle name="Saída 3 2 2 2 19" xfId="14247" xr:uid="{F4196EDA-E4D0-4CD2-9D89-D4A90111EC04}"/>
    <cellStyle name="Saída 3 2 2 2 2" xfId="14248" xr:uid="{8AD58C9F-C856-495B-87EF-CD893F2F0DE2}"/>
    <cellStyle name="Saída 3 2 2 2 3" xfId="14249" xr:uid="{07A0B967-C18A-4005-9745-352048CC4B13}"/>
    <cellStyle name="Saída 3 2 2 2 4" xfId="14250" xr:uid="{15B65BFF-9993-4F29-B045-4785F251D7BE}"/>
    <cellStyle name="Saída 3 2 2 2 5" xfId="14251" xr:uid="{F4EE67C1-A832-484C-8000-ED48766D16EF}"/>
    <cellStyle name="Saída 3 2 2 2 6" xfId="14252" xr:uid="{FA861596-7052-4C5C-9DAD-3EFDA0818AA6}"/>
    <cellStyle name="Saída 3 2 2 2 7" xfId="14253" xr:uid="{5914A4FE-53EB-4E90-A0E6-D1B01B8D925A}"/>
    <cellStyle name="Saída 3 2 2 2 8" xfId="14254" xr:uid="{6E8183CE-AA77-43E0-A86B-20C0D944E102}"/>
    <cellStyle name="Saída 3 2 2 2 9" xfId="14255" xr:uid="{0579C084-58D7-4AC5-B5CB-52F2F32CCEB0}"/>
    <cellStyle name="Saída 3 2 2 2_2013" xfId="14256" xr:uid="{294718BE-BA59-48F2-BFDB-A55C6907BDA8}"/>
    <cellStyle name="Saída 3 2 2 20" xfId="14257" xr:uid="{3A5F4A6B-FF91-4385-8AF8-C64F722A39D5}"/>
    <cellStyle name="Saída 3 2 2 3" xfId="14258" xr:uid="{31034E00-3C92-4AEA-BC08-8878CFCF1440}"/>
    <cellStyle name="Saída 3 2 2 4" xfId="14259" xr:uid="{DCDD26F6-F78A-4D96-9A52-54581A21BDAC}"/>
    <cellStyle name="Saída 3 2 2 5" xfId="14260" xr:uid="{0C1C6933-BE71-4A7F-BA1E-ACE5B2CC22E0}"/>
    <cellStyle name="Saída 3 2 2 6" xfId="14261" xr:uid="{B391F5B5-5E7B-422E-B686-98ECF4E79FFD}"/>
    <cellStyle name="Saída 3 2 2 7" xfId="14262" xr:uid="{621FEA00-F9C1-42BD-BE8B-70E4463FE166}"/>
    <cellStyle name="Saída 3 2 2 8" xfId="14263" xr:uid="{0E1069A8-595C-4FC2-9AEC-99C9CCA266C9}"/>
    <cellStyle name="Saída 3 2 2 9" xfId="14264" xr:uid="{55D52F65-D5AD-4BC5-8C3C-D5AD2A5A666A}"/>
    <cellStyle name="Saída 3 2 2_2013" xfId="14265" xr:uid="{4F1AAD60-3EE6-49C5-AAC2-5214508CE427}"/>
    <cellStyle name="Saída 3 2 20" xfId="14266" xr:uid="{26BDE582-598F-42EC-994D-838C5C169618}"/>
    <cellStyle name="Saída 3 2 21" xfId="14267" xr:uid="{2ECD2037-591D-4D26-9DE6-95494A6E749E}"/>
    <cellStyle name="Saída 3 2 22" xfId="14268" xr:uid="{50765C6C-F294-403B-A886-179E7A355230}"/>
    <cellStyle name="Saída 3 2 23" xfId="14269" xr:uid="{D6B32F92-FBC1-4E24-8DDC-E72EC581337F}"/>
    <cellStyle name="Saída 3 2 3" xfId="14270" xr:uid="{9CD1DFF4-5D43-4BB7-8505-E1FEFE903659}"/>
    <cellStyle name="Saída 3 2 3 10" xfId="14271" xr:uid="{EF8C838E-58A3-479B-926C-4A20EF421DB0}"/>
    <cellStyle name="Saída 3 2 3 11" xfId="14272" xr:uid="{09E4456F-D892-4E51-B180-8C3809CF2A66}"/>
    <cellStyle name="Saída 3 2 3 12" xfId="14273" xr:uid="{3AFAD4B7-5E97-4E42-A4F5-CEA5ED13297D}"/>
    <cellStyle name="Saída 3 2 3 13" xfId="14274" xr:uid="{1577BDAF-C695-40A0-885A-EDC887EAC0F2}"/>
    <cellStyle name="Saída 3 2 3 14" xfId="14275" xr:uid="{825DBB21-1C19-4BE9-BB3F-3AE54835A997}"/>
    <cellStyle name="Saída 3 2 3 15" xfId="14276" xr:uid="{B42DE474-37E2-4F3E-B0D5-7C3F916F9988}"/>
    <cellStyle name="Saída 3 2 3 16" xfId="14277" xr:uid="{9EA1098D-BD2A-44BA-85EB-D75D35EDBCC3}"/>
    <cellStyle name="Saída 3 2 3 17" xfId="14278" xr:uid="{FC1B582A-5FE3-4461-99A1-18EB66D79777}"/>
    <cellStyle name="Saída 3 2 3 18" xfId="14279" xr:uid="{FF54EF24-19E2-4713-96B2-683729696E82}"/>
    <cellStyle name="Saída 3 2 3 19" xfId="14280" xr:uid="{9ABA5DE4-7D5C-4B67-B9BF-50A0050A15D6}"/>
    <cellStyle name="Saída 3 2 3 2" xfId="14281" xr:uid="{0C4744A0-0F44-498D-8FC6-1181F0D76DBC}"/>
    <cellStyle name="Saída 3 2 3 2 10" xfId="14282" xr:uid="{465A3E4D-E0FB-4599-8E09-4C081C41F274}"/>
    <cellStyle name="Saída 3 2 3 2 11" xfId="14283" xr:uid="{70A96EA8-C24B-4DF5-8541-424BF2926D0E}"/>
    <cellStyle name="Saída 3 2 3 2 12" xfId="14284" xr:uid="{D5E3EB64-CD02-4E23-9EA6-9D59DB87F0C0}"/>
    <cellStyle name="Saída 3 2 3 2 13" xfId="14285" xr:uid="{7C91BA41-C283-47BE-89A8-B7D08B643E1F}"/>
    <cellStyle name="Saída 3 2 3 2 14" xfId="14286" xr:uid="{08C61FE4-2749-4721-881F-723754FA9AAF}"/>
    <cellStyle name="Saída 3 2 3 2 15" xfId="14287" xr:uid="{F0F83193-7258-46D3-9B40-CBEEAE9302A7}"/>
    <cellStyle name="Saída 3 2 3 2 16" xfId="14288" xr:uid="{4B098260-779E-4BF2-A78A-17A8E2659ACE}"/>
    <cellStyle name="Saída 3 2 3 2 17" xfId="14289" xr:uid="{CD3B8AFF-03A9-41D3-95FD-51016D46547A}"/>
    <cellStyle name="Saída 3 2 3 2 18" xfId="14290" xr:uid="{4AC6F2AE-F49B-4A6E-B518-D950764EA702}"/>
    <cellStyle name="Saída 3 2 3 2 19" xfId="14291" xr:uid="{159ACD87-7E72-436C-86EC-73DB766BE0E7}"/>
    <cellStyle name="Saída 3 2 3 2 2" xfId="14292" xr:uid="{1C0C1B85-F0E7-4315-80AD-962353D5300B}"/>
    <cellStyle name="Saída 3 2 3 2 3" xfId="14293" xr:uid="{8D9D1314-D6B7-4D81-99FE-65046F0FFAFB}"/>
    <cellStyle name="Saída 3 2 3 2 4" xfId="14294" xr:uid="{17EAA965-C102-4888-9CB5-2FD08B51E2F3}"/>
    <cellStyle name="Saída 3 2 3 2 5" xfId="14295" xr:uid="{3DEBB978-1414-4BC9-AECC-BA8CA640A543}"/>
    <cellStyle name="Saída 3 2 3 2 6" xfId="14296" xr:uid="{E269B79C-F8D4-481E-B898-EA18BF9E1536}"/>
    <cellStyle name="Saída 3 2 3 2 7" xfId="14297" xr:uid="{49FE5B3C-D8DF-42C4-8AAB-1C87908FAADA}"/>
    <cellStyle name="Saída 3 2 3 2 8" xfId="14298" xr:uid="{F5BA9FB9-B1AA-43C8-A160-A275C1A38BD6}"/>
    <cellStyle name="Saída 3 2 3 2 9" xfId="14299" xr:uid="{F73E55CE-454D-4DD4-A580-F9B08177BCA2}"/>
    <cellStyle name="Saída 3 2 3 2_2013" xfId="14300" xr:uid="{2BEF792D-0084-4661-84F0-D6BC0C56C99C}"/>
    <cellStyle name="Saída 3 2 3 20" xfId="14301" xr:uid="{BCEA0A82-D6AD-4EC9-9456-480438EF11E4}"/>
    <cellStyle name="Saída 3 2 3 3" xfId="14302" xr:uid="{C4C3F84F-CAF9-49AE-AB75-60B6BDB56695}"/>
    <cellStyle name="Saída 3 2 3 4" xfId="14303" xr:uid="{46836572-08DC-4B37-A305-49E108959FB6}"/>
    <cellStyle name="Saída 3 2 3 5" xfId="14304" xr:uid="{CE26BB22-9C57-4F30-85A1-E801B5F32956}"/>
    <cellStyle name="Saída 3 2 3 6" xfId="14305" xr:uid="{0A29B939-9753-475F-9441-8DDE3E6C3CE3}"/>
    <cellStyle name="Saída 3 2 3 7" xfId="14306" xr:uid="{383D1FF6-BD3A-477F-98B5-A7B528A10757}"/>
    <cellStyle name="Saída 3 2 3 8" xfId="14307" xr:uid="{3489F0CF-2EF7-45C9-9502-3BB10A68A92F}"/>
    <cellStyle name="Saída 3 2 3 9" xfId="14308" xr:uid="{BC2FB11A-FDD6-4A96-896F-CB5D9954E6B3}"/>
    <cellStyle name="Saída 3 2 3_2013" xfId="14309" xr:uid="{7DE48081-1CC1-4CF3-99AD-5CEC40A2B302}"/>
    <cellStyle name="Saída 3 2 4" xfId="14310" xr:uid="{06431F45-5621-4F78-B254-E042141E19B6}"/>
    <cellStyle name="Saída 3 2 4 10" xfId="14311" xr:uid="{CA380EEE-CBD9-425B-AF48-793F661B3EE7}"/>
    <cellStyle name="Saída 3 2 4 11" xfId="14312" xr:uid="{82115695-AB56-46CC-A8B9-17E375330269}"/>
    <cellStyle name="Saída 3 2 4 12" xfId="14313" xr:uid="{0BEAF571-9559-4061-AB24-1CB00638C076}"/>
    <cellStyle name="Saída 3 2 4 13" xfId="14314" xr:uid="{BD66CE0F-1EB2-44E5-B87F-0BB7DDEA87D3}"/>
    <cellStyle name="Saída 3 2 4 14" xfId="14315" xr:uid="{1684B309-22D1-4FF7-B997-432E584C6D4F}"/>
    <cellStyle name="Saída 3 2 4 15" xfId="14316" xr:uid="{2B72004C-9436-4BA7-94C7-E3B77D4CBDED}"/>
    <cellStyle name="Saída 3 2 4 16" xfId="14317" xr:uid="{46107210-9ABE-488E-ACD4-5887F3D6374F}"/>
    <cellStyle name="Saída 3 2 4 17" xfId="14318" xr:uid="{E294A3AF-4458-4200-B8B3-7BE2DFBC494D}"/>
    <cellStyle name="Saída 3 2 4 18" xfId="14319" xr:uid="{4E66B774-FBF6-4CCA-9246-2EB09119598E}"/>
    <cellStyle name="Saída 3 2 4 19" xfId="14320" xr:uid="{85F2DDEE-DFB1-4D30-8599-BFEB668EA6D6}"/>
    <cellStyle name="Saída 3 2 4 2" xfId="14321" xr:uid="{04688EA6-15C8-4B05-A787-B5AA2F2511BF}"/>
    <cellStyle name="Saída 3 2 4 2 10" xfId="14322" xr:uid="{E457BF2F-60E9-4827-A0A6-EB532673C4A4}"/>
    <cellStyle name="Saída 3 2 4 2 11" xfId="14323" xr:uid="{2D5AD135-D796-4CC3-BC9C-AE585F7392E0}"/>
    <cellStyle name="Saída 3 2 4 2 12" xfId="14324" xr:uid="{1AFD8406-6FFD-42C9-BB5F-4A0D987909AE}"/>
    <cellStyle name="Saída 3 2 4 2 13" xfId="14325" xr:uid="{3008B6DB-404E-418E-9FFC-A72807C70261}"/>
    <cellStyle name="Saída 3 2 4 2 14" xfId="14326" xr:uid="{249FDCFE-3FC4-4E9B-9C79-784604B90F41}"/>
    <cellStyle name="Saída 3 2 4 2 15" xfId="14327" xr:uid="{84968B9A-DC37-4EAF-8A78-DE0715D5ED97}"/>
    <cellStyle name="Saída 3 2 4 2 16" xfId="14328" xr:uid="{476FBF36-8FF3-4453-A684-F63EFF4504F1}"/>
    <cellStyle name="Saída 3 2 4 2 17" xfId="14329" xr:uid="{06D97AF4-F516-442C-8E12-0E7DF6278B3F}"/>
    <cellStyle name="Saída 3 2 4 2 18" xfId="14330" xr:uid="{47493C0F-570A-4062-A58D-F8BAACC68A31}"/>
    <cellStyle name="Saída 3 2 4 2 19" xfId="14331" xr:uid="{2F2CD817-AEF4-4191-BBBD-6697F0CA8409}"/>
    <cellStyle name="Saída 3 2 4 2 2" xfId="14332" xr:uid="{79E18404-BEB9-4B4C-8A4D-ABEBA3E43110}"/>
    <cellStyle name="Saída 3 2 4 2 3" xfId="14333" xr:uid="{23531C65-AAC1-4E24-8C90-58DF8D4E7C17}"/>
    <cellStyle name="Saída 3 2 4 2 4" xfId="14334" xr:uid="{C939B190-B2EE-411D-B49F-35216CB52E91}"/>
    <cellStyle name="Saída 3 2 4 2 5" xfId="14335" xr:uid="{C63131E1-FF72-4C30-B6D3-0230BF0560DF}"/>
    <cellStyle name="Saída 3 2 4 2 6" xfId="14336" xr:uid="{20EA541E-C78B-4FB6-B1F1-5F7A57BD75F5}"/>
    <cellStyle name="Saída 3 2 4 2 7" xfId="14337" xr:uid="{8A16FAA6-11A4-41B8-9AE1-607D6B7D1FD7}"/>
    <cellStyle name="Saída 3 2 4 2 8" xfId="14338" xr:uid="{DF5BB990-1708-4D0D-A02D-535D08D5A0FA}"/>
    <cellStyle name="Saída 3 2 4 2 9" xfId="14339" xr:uid="{8D4DF19B-CFEA-45CF-9A45-56F2F24536A1}"/>
    <cellStyle name="Saída 3 2 4 2_2013" xfId="14340" xr:uid="{6724A159-9A2C-46C5-8C82-7C702A1E9103}"/>
    <cellStyle name="Saída 3 2 4 20" xfId="14341" xr:uid="{C0256684-63E4-49D9-A7F9-872E0F8E0648}"/>
    <cellStyle name="Saída 3 2 4 3" xfId="14342" xr:uid="{2937101E-27FA-49A6-8D28-4922D1A9E880}"/>
    <cellStyle name="Saída 3 2 4 4" xfId="14343" xr:uid="{6387A53B-68BC-4283-97A7-509DDC7CD034}"/>
    <cellStyle name="Saída 3 2 4 5" xfId="14344" xr:uid="{6BD05B01-261E-439F-AD07-71534B972B8A}"/>
    <cellStyle name="Saída 3 2 4 6" xfId="14345" xr:uid="{FA20A144-9553-457F-979D-0B77741723D4}"/>
    <cellStyle name="Saída 3 2 4 7" xfId="14346" xr:uid="{D4968DBE-A1E7-47A6-AA4D-4F137A55A1C9}"/>
    <cellStyle name="Saída 3 2 4 8" xfId="14347" xr:uid="{C91224D7-590A-4C9F-8969-A951C0D1BFED}"/>
    <cellStyle name="Saída 3 2 4 9" xfId="14348" xr:uid="{064091E3-2B7E-40E5-8BD0-DA8979861B7E}"/>
    <cellStyle name="Saída 3 2 4_2013" xfId="14349" xr:uid="{A1067013-1C14-4461-89DF-AAD3AF665D81}"/>
    <cellStyle name="Saída 3 2 5" xfId="14350" xr:uid="{2EE46659-8CEF-4AB6-A3AF-C02E0A4BA2F1}"/>
    <cellStyle name="Saída 3 2 5 10" xfId="14351" xr:uid="{CC4524D3-F92B-41C9-AB62-4674B183F9A2}"/>
    <cellStyle name="Saída 3 2 5 11" xfId="14352" xr:uid="{11FF6AC1-87EA-4098-B66D-89F4AF8DF3AE}"/>
    <cellStyle name="Saída 3 2 5 12" xfId="14353" xr:uid="{55E60714-66A6-41C0-B9F3-96609DC07F12}"/>
    <cellStyle name="Saída 3 2 5 13" xfId="14354" xr:uid="{E2BBF5E2-DD8D-4E0E-912A-BC855E3192E3}"/>
    <cellStyle name="Saída 3 2 5 14" xfId="14355" xr:uid="{F7079799-7FAA-4277-A3DF-3A4198D3B498}"/>
    <cellStyle name="Saída 3 2 5 15" xfId="14356" xr:uid="{DA6D11EF-26D1-4340-9008-B6FF621A175F}"/>
    <cellStyle name="Saída 3 2 5 16" xfId="14357" xr:uid="{BD35DD46-520D-4A01-B51C-9C35EBC7EE73}"/>
    <cellStyle name="Saída 3 2 5 17" xfId="14358" xr:uid="{FD327A2F-ED60-4CC9-BFF9-205A52B6AAA1}"/>
    <cellStyle name="Saída 3 2 5 18" xfId="14359" xr:uid="{C49B9E3E-72DF-4288-B2EB-F1EC594A96C5}"/>
    <cellStyle name="Saída 3 2 5 19" xfId="14360" xr:uid="{77853963-383D-41FD-820A-BD24DBF0495A}"/>
    <cellStyle name="Saída 3 2 5 2" xfId="14361" xr:uid="{6255E563-B366-4814-9158-681DD33E5F08}"/>
    <cellStyle name="Saída 3 2 5 3" xfId="14362" xr:uid="{F5C27AFE-EC00-4022-8E40-B5CBFDC3FE1B}"/>
    <cellStyle name="Saída 3 2 5 4" xfId="14363" xr:uid="{97CF2EB5-CC0A-4CDF-9620-6B402F688D71}"/>
    <cellStyle name="Saída 3 2 5 5" xfId="14364" xr:uid="{B870925A-CCFD-4CC3-A5D7-D46F0ADDC4CA}"/>
    <cellStyle name="Saída 3 2 5 6" xfId="14365" xr:uid="{BAE520CD-4A54-4CC3-AE37-3F29E39729D1}"/>
    <cellStyle name="Saída 3 2 5 7" xfId="14366" xr:uid="{27645E54-73AE-4283-B907-B873A1863A0F}"/>
    <cellStyle name="Saída 3 2 5 8" xfId="14367" xr:uid="{D569C062-ADBB-4746-894B-72BFF99DA01E}"/>
    <cellStyle name="Saída 3 2 5 9" xfId="14368" xr:uid="{3D5449FB-1354-4E96-A98F-5B59B502DEBB}"/>
    <cellStyle name="Saída 3 2 5_2013" xfId="14369" xr:uid="{771C7F63-B3AA-4B5F-9180-A2A09EE337FE}"/>
    <cellStyle name="Saída 3 2 6" xfId="14370" xr:uid="{CD683CD0-09CB-4EF0-9F17-EB099C71CC8A}"/>
    <cellStyle name="Saída 3 2 7" xfId="14371" xr:uid="{95D0D54C-D858-4D1D-8264-52D268CD7A28}"/>
    <cellStyle name="Saída 3 2 8" xfId="14372" xr:uid="{19786038-67C2-49F2-87D9-77B3B1C65482}"/>
    <cellStyle name="Saída 3 2 9" xfId="14373" xr:uid="{C660EAA7-7B32-4245-9202-91BA74FA9345}"/>
    <cellStyle name="Saída 3 2_2013" xfId="14374" xr:uid="{33CECEA0-72D7-42F8-8634-40F9F8A5A2F2}"/>
    <cellStyle name="Saída 3 20" xfId="14375" xr:uid="{05BA878A-FE12-4948-AB1E-C40F1230766A}"/>
    <cellStyle name="Saída 3 21" xfId="14376" xr:uid="{A02B233E-A3DC-4B20-AAE8-55EEEA79CCF6}"/>
    <cellStyle name="Saída 3 22" xfId="14377" xr:uid="{837B859A-A097-4C62-A4BD-CA2796ABF674}"/>
    <cellStyle name="Saída 3 23" xfId="14378" xr:uid="{5998B084-437A-4899-A888-DC6C593FC833}"/>
    <cellStyle name="Saída 3 24" xfId="14379" xr:uid="{8EC35855-5213-435B-ABAC-061CAA4365B3}"/>
    <cellStyle name="Saída 3 3" xfId="14380" xr:uid="{95756309-F80A-497F-94DE-BBBEE4C90BB0}"/>
    <cellStyle name="Saída 3 3 10" xfId="14381" xr:uid="{6AEE1A3D-D3AA-4E63-811B-BD212CF79F01}"/>
    <cellStyle name="Saída 3 3 11" xfId="14382" xr:uid="{2DA6F8EB-D6DC-4C99-9111-84751A0DA34F}"/>
    <cellStyle name="Saída 3 3 12" xfId="14383" xr:uid="{9CA9C70F-EAB1-457E-8AC4-7F7E66F3A688}"/>
    <cellStyle name="Saída 3 3 13" xfId="14384" xr:uid="{BCA11513-CFEE-4F54-B8DB-13AD3CBF2894}"/>
    <cellStyle name="Saída 3 3 14" xfId="14385" xr:uid="{C07B63D3-F263-4812-9F90-64D0426E9070}"/>
    <cellStyle name="Saída 3 3 15" xfId="14386" xr:uid="{EAED5164-560D-44BA-BD93-4D4AEB781761}"/>
    <cellStyle name="Saída 3 3 16" xfId="14387" xr:uid="{E081BB89-477F-4024-86C0-A0C31881BC41}"/>
    <cellStyle name="Saída 3 3 17" xfId="14388" xr:uid="{DA3CDC09-A6CF-45D7-921E-503D5DB5CB21}"/>
    <cellStyle name="Saída 3 3 18" xfId="14389" xr:uid="{2327E61C-EC8B-4F95-B1D8-6B4BFA98FC14}"/>
    <cellStyle name="Saída 3 3 19" xfId="14390" xr:uid="{488E7A45-C8DE-4523-A4CC-D28C0D0753E6}"/>
    <cellStyle name="Saída 3 3 2" xfId="14391" xr:uid="{5F9ABC47-1CBD-4CB2-859C-AB746A00A1C6}"/>
    <cellStyle name="Saída 3 3 2 10" xfId="14392" xr:uid="{3516F735-E153-44F7-A69B-68F2BB10F8A0}"/>
    <cellStyle name="Saída 3 3 2 11" xfId="14393" xr:uid="{383B9AF8-74C4-4374-81B3-3FC377836D18}"/>
    <cellStyle name="Saída 3 3 2 12" xfId="14394" xr:uid="{B6971935-35A2-4961-9B82-0DE81247CCA4}"/>
    <cellStyle name="Saída 3 3 2 13" xfId="14395" xr:uid="{EC9B3643-4CA8-47BA-9A99-029FC7A8B707}"/>
    <cellStyle name="Saída 3 3 2 14" xfId="14396" xr:uid="{CD4FF515-1CD4-41F4-847A-570294F60C88}"/>
    <cellStyle name="Saída 3 3 2 15" xfId="14397" xr:uid="{124D0DB2-1007-4C01-8519-90B5ACABDE7E}"/>
    <cellStyle name="Saída 3 3 2 16" xfId="14398" xr:uid="{748EAC8F-FF98-4068-ADFC-C3A92E249C35}"/>
    <cellStyle name="Saída 3 3 2 17" xfId="14399" xr:uid="{91A04182-ECAE-48BD-8BBA-73E0F4DAC210}"/>
    <cellStyle name="Saída 3 3 2 18" xfId="14400" xr:uid="{DAE1E5C4-3C6C-44EC-A05F-D718CC4D777D}"/>
    <cellStyle name="Saída 3 3 2 19" xfId="14401" xr:uid="{C8E4EA85-30B3-4DB4-B619-78151A8F5E50}"/>
    <cellStyle name="Saída 3 3 2 2" xfId="14402" xr:uid="{8E80A615-EA10-4932-8A2D-C5B0F61B63F1}"/>
    <cellStyle name="Saída 3 3 2 3" xfId="14403" xr:uid="{7D178038-8B58-4171-AB07-C897BE5AE20F}"/>
    <cellStyle name="Saída 3 3 2 4" xfId="14404" xr:uid="{2E6DA450-2AF2-4DCD-8AC3-174850391A8F}"/>
    <cellStyle name="Saída 3 3 2 5" xfId="14405" xr:uid="{956BD50A-412F-45C9-93B2-2C9AA0310F76}"/>
    <cellStyle name="Saída 3 3 2 6" xfId="14406" xr:uid="{11E50A61-2136-4D30-B3C2-E00A47789798}"/>
    <cellStyle name="Saída 3 3 2 7" xfId="14407" xr:uid="{76662036-C1B4-44DE-A0B3-A737CE5739EC}"/>
    <cellStyle name="Saída 3 3 2 8" xfId="14408" xr:uid="{DFF4EDDD-D45D-419E-85FA-58D0C1D76D69}"/>
    <cellStyle name="Saída 3 3 2 9" xfId="14409" xr:uid="{6FB157F4-8520-4AA6-9E71-9549D334465B}"/>
    <cellStyle name="Saída 3 3 2_2013" xfId="14410" xr:uid="{800C817F-8975-4339-BF4F-489030E70716}"/>
    <cellStyle name="Saída 3 3 20" xfId="14411" xr:uid="{6A0D851A-54E1-450D-B022-F5293B16BFED}"/>
    <cellStyle name="Saída 3 3 3" xfId="14412" xr:uid="{B10E39F8-E566-48A6-B431-08D7A5D0437A}"/>
    <cellStyle name="Saída 3 3 4" xfId="14413" xr:uid="{ADBFDEA6-CA1E-46B4-85E7-6775AF6BA0DB}"/>
    <cellStyle name="Saída 3 3 5" xfId="14414" xr:uid="{B59DA498-9B64-49F9-9D13-194B78033846}"/>
    <cellStyle name="Saída 3 3 6" xfId="14415" xr:uid="{C99A7F2F-090F-475C-9A1F-A88296A96196}"/>
    <cellStyle name="Saída 3 3 7" xfId="14416" xr:uid="{CFF8ABA5-903C-4FFE-ADBF-8C563B0EF22A}"/>
    <cellStyle name="Saída 3 3 8" xfId="14417" xr:uid="{E7D36B2B-94C1-46EB-AD52-71A38905F7FD}"/>
    <cellStyle name="Saída 3 3 9" xfId="14418" xr:uid="{683AD806-153C-4CD8-BEF2-6D364C9FF651}"/>
    <cellStyle name="Saída 3 3_2013" xfId="14419" xr:uid="{A01500F3-C0C8-4E3C-9FAB-FA7DEA6C3918}"/>
    <cellStyle name="Saída 3 4" xfId="14420" xr:uid="{4D5C27DB-7DE7-4FC7-9680-3CA2F9FCF6BF}"/>
    <cellStyle name="Saída 3 4 10" xfId="14421" xr:uid="{DAF7823A-5353-4121-B65D-252AA55826F9}"/>
    <cellStyle name="Saída 3 4 11" xfId="14422" xr:uid="{A5DB215A-5015-40EB-86E7-D3BBEEEB9C34}"/>
    <cellStyle name="Saída 3 4 12" xfId="14423" xr:uid="{2C164E88-7207-498E-90A9-BFAB4803AB53}"/>
    <cellStyle name="Saída 3 4 13" xfId="14424" xr:uid="{12A38BA8-9B0F-41C3-92E1-6BC7CDE10516}"/>
    <cellStyle name="Saída 3 4 14" xfId="14425" xr:uid="{1142935B-F2A4-4688-B73B-D64DB8335934}"/>
    <cellStyle name="Saída 3 4 15" xfId="14426" xr:uid="{C99517B6-9631-424A-B097-673ED3FA1441}"/>
    <cellStyle name="Saída 3 4 16" xfId="14427" xr:uid="{5B053D92-2C5A-4AC1-913C-B743B0FF00BE}"/>
    <cellStyle name="Saída 3 4 17" xfId="14428" xr:uid="{00834D0A-C40B-4A5D-BB2B-8C5CB929CA78}"/>
    <cellStyle name="Saída 3 4 18" xfId="14429" xr:uid="{1C819192-536C-480F-9180-BE52CBEDB85A}"/>
    <cellStyle name="Saída 3 4 19" xfId="14430" xr:uid="{8E7D847A-9170-43C7-B886-AEB3B696DEB1}"/>
    <cellStyle name="Saída 3 4 2" xfId="14431" xr:uid="{D1013DCF-0D2F-4821-B29E-8E4924D27280}"/>
    <cellStyle name="Saída 3 4 2 10" xfId="14432" xr:uid="{28498BEA-3462-4358-B084-3F19DC186AB6}"/>
    <cellStyle name="Saída 3 4 2 11" xfId="14433" xr:uid="{162B21C4-D983-4612-A6BA-C91FBE1AA05B}"/>
    <cellStyle name="Saída 3 4 2 12" xfId="14434" xr:uid="{98741AD0-786B-42E6-83ED-654F1A58343F}"/>
    <cellStyle name="Saída 3 4 2 13" xfId="14435" xr:uid="{5E283BA7-EE5C-4FC0-9330-EDEF698D3EB4}"/>
    <cellStyle name="Saída 3 4 2 14" xfId="14436" xr:uid="{578E073A-B162-4478-BAB1-C0F799C6AC46}"/>
    <cellStyle name="Saída 3 4 2 15" xfId="14437" xr:uid="{56D85D09-18C6-40B5-BBA3-EDEF52E616BF}"/>
    <cellStyle name="Saída 3 4 2 16" xfId="14438" xr:uid="{8837D3C9-B8DA-488C-9532-DDC9788705D9}"/>
    <cellStyle name="Saída 3 4 2 17" xfId="14439" xr:uid="{4D4F8E43-180C-4695-B373-4D041FD684B3}"/>
    <cellStyle name="Saída 3 4 2 18" xfId="14440" xr:uid="{5E838563-C9A3-4C9F-A4FB-BD3532FCF374}"/>
    <cellStyle name="Saída 3 4 2 19" xfId="14441" xr:uid="{8C4F1F4B-05C8-4EE7-85A7-C5BADDBD936B}"/>
    <cellStyle name="Saída 3 4 2 2" xfId="14442" xr:uid="{F8C37D24-B141-4B18-AA19-9E75F62AB563}"/>
    <cellStyle name="Saída 3 4 2 3" xfId="14443" xr:uid="{DD3E96D3-C167-4178-A7BE-0BCB2FBBD532}"/>
    <cellStyle name="Saída 3 4 2 4" xfId="14444" xr:uid="{E1937337-5D7C-459F-862E-FA0E0E884795}"/>
    <cellStyle name="Saída 3 4 2 5" xfId="14445" xr:uid="{F57B076E-4F62-485A-9C1C-84D9DCBBFF28}"/>
    <cellStyle name="Saída 3 4 2 6" xfId="14446" xr:uid="{D14B23B8-A1B7-41B7-AA73-ECB19E4ED1EB}"/>
    <cellStyle name="Saída 3 4 2 7" xfId="14447" xr:uid="{F3E7223F-9AC8-4CD5-B3FD-F71784F6D9FF}"/>
    <cellStyle name="Saída 3 4 2 8" xfId="14448" xr:uid="{2152222E-D2F7-41B2-9F18-E9BC4F5DE451}"/>
    <cellStyle name="Saída 3 4 2 9" xfId="14449" xr:uid="{0EDC8B9D-8D11-49F8-8582-E9CB901FC35B}"/>
    <cellStyle name="Saída 3 4 2_2013" xfId="14450" xr:uid="{A5B7E7C8-A404-4AE5-8E41-F5AFE04DEFC9}"/>
    <cellStyle name="Saída 3 4 20" xfId="14451" xr:uid="{9231FD19-4638-4CDA-9428-D18BB5A65C19}"/>
    <cellStyle name="Saída 3 4 3" xfId="14452" xr:uid="{E2FF40F7-88B2-4B4D-83E2-2977431D8467}"/>
    <cellStyle name="Saída 3 4 4" xfId="14453" xr:uid="{1C2754A8-574A-4A70-ACB3-E0A40B165BEB}"/>
    <cellStyle name="Saída 3 4 5" xfId="14454" xr:uid="{59FE07F9-D021-4F6C-8514-B7FF0FA6A90E}"/>
    <cellStyle name="Saída 3 4 6" xfId="14455" xr:uid="{75BD3435-95F7-418D-B04B-6053698B932B}"/>
    <cellStyle name="Saída 3 4 7" xfId="14456" xr:uid="{E78E13C9-EC46-4B59-B2A4-6CAB39F3FA27}"/>
    <cellStyle name="Saída 3 4 8" xfId="14457" xr:uid="{B144D78F-ADF9-41F2-ACDE-78A6C9085980}"/>
    <cellStyle name="Saída 3 4 9" xfId="14458" xr:uid="{BDB1CCF1-0ABA-4AEC-859A-164B24378DA4}"/>
    <cellStyle name="Saída 3 4_2013" xfId="14459" xr:uid="{DF52D16B-382F-4418-9023-F6D8BA802C84}"/>
    <cellStyle name="Saída 3 5" xfId="14460" xr:uid="{F6CAED66-CED8-42EA-92BF-17C6BBC7AE76}"/>
    <cellStyle name="Saída 3 5 10" xfId="14461" xr:uid="{BB415025-38BF-4E72-8F8D-FCEFC170E4AB}"/>
    <cellStyle name="Saída 3 5 11" xfId="14462" xr:uid="{442D5777-8C23-435F-A285-F02CC7E12E4D}"/>
    <cellStyle name="Saída 3 5 12" xfId="14463" xr:uid="{A933E083-8343-46AE-9CBE-D1DE8DB13065}"/>
    <cellStyle name="Saída 3 5 13" xfId="14464" xr:uid="{7B1E0FD5-AA92-42A2-A1D5-A58053E7D5EC}"/>
    <cellStyle name="Saída 3 5 14" xfId="14465" xr:uid="{C518B633-4E2D-4B99-A132-1CD240B28BD2}"/>
    <cellStyle name="Saída 3 5 15" xfId="14466" xr:uid="{4A2C2225-7A9C-4A47-BEF9-7D2B79223406}"/>
    <cellStyle name="Saída 3 5 16" xfId="14467" xr:uid="{C94DE968-4450-4216-882C-2A58DFECE7A2}"/>
    <cellStyle name="Saída 3 5 17" xfId="14468" xr:uid="{1D19B9B3-9892-44A6-BE18-4D7349D6B6E7}"/>
    <cellStyle name="Saída 3 5 18" xfId="14469" xr:uid="{62436F25-CBCC-4758-8503-0A87C5E2D563}"/>
    <cellStyle name="Saída 3 5 19" xfId="14470" xr:uid="{1AB3D3FA-429B-4F88-8375-4F0030674A0C}"/>
    <cellStyle name="Saída 3 5 2" xfId="14471" xr:uid="{5F96DD8D-3EC7-4A78-B484-4E0AF038F11C}"/>
    <cellStyle name="Saída 3 5 2 10" xfId="14472" xr:uid="{5C99B18F-F5E9-43C8-A153-AE604AA80A33}"/>
    <cellStyle name="Saída 3 5 2 11" xfId="14473" xr:uid="{CA137FA6-B410-4BB2-9C80-14C666038865}"/>
    <cellStyle name="Saída 3 5 2 12" xfId="14474" xr:uid="{C5EE7E52-5270-47DB-9F0A-A1A146417D01}"/>
    <cellStyle name="Saída 3 5 2 13" xfId="14475" xr:uid="{EBD066CB-3206-470F-AA22-7FB042AECAFB}"/>
    <cellStyle name="Saída 3 5 2 14" xfId="14476" xr:uid="{9657BF4C-EDD8-4B26-AF04-3B42746F650D}"/>
    <cellStyle name="Saída 3 5 2 15" xfId="14477" xr:uid="{02AAF751-08EB-49C0-93D6-83830C8AF9C5}"/>
    <cellStyle name="Saída 3 5 2 16" xfId="14478" xr:uid="{FA6CE13B-2F22-44C8-99AE-1303FEE90DEC}"/>
    <cellStyle name="Saída 3 5 2 17" xfId="14479" xr:uid="{7129286B-ED28-41D3-AD29-7FF468A11310}"/>
    <cellStyle name="Saída 3 5 2 18" xfId="14480" xr:uid="{19E63D29-96CF-4009-A582-8D0B4267E6F6}"/>
    <cellStyle name="Saída 3 5 2 19" xfId="14481" xr:uid="{1DBD5328-F604-4E18-940F-B1A80EA1199E}"/>
    <cellStyle name="Saída 3 5 2 2" xfId="14482" xr:uid="{2154BA9E-626D-4798-A075-FCCA2FEEA83F}"/>
    <cellStyle name="Saída 3 5 2 3" xfId="14483" xr:uid="{26226789-E563-4F90-A8CF-94648D73D65E}"/>
    <cellStyle name="Saída 3 5 2 4" xfId="14484" xr:uid="{087C9F28-F797-444E-B485-06409F7B7E0F}"/>
    <cellStyle name="Saída 3 5 2 5" xfId="14485" xr:uid="{60B342D8-63F1-4536-A34C-1580994DD4E8}"/>
    <cellStyle name="Saída 3 5 2 6" xfId="14486" xr:uid="{63231B8D-6008-489E-9D7A-B7D7AEF701BD}"/>
    <cellStyle name="Saída 3 5 2 7" xfId="14487" xr:uid="{83D3067B-D170-4B4D-B735-D474D93CC910}"/>
    <cellStyle name="Saída 3 5 2 8" xfId="14488" xr:uid="{A97D422F-7A99-4907-9314-1BC4E07B3F13}"/>
    <cellStyle name="Saída 3 5 2 9" xfId="14489" xr:uid="{4A1AF5FD-584A-499F-9A94-DBC77253589B}"/>
    <cellStyle name="Saída 3 5 2_2013" xfId="14490" xr:uid="{60617BAA-5ED9-4E43-A9A0-E7DEF7B6A99B}"/>
    <cellStyle name="Saída 3 5 20" xfId="14491" xr:uid="{7647BA92-64AD-48FA-8911-50D4A9F84E3F}"/>
    <cellStyle name="Saída 3 5 3" xfId="14492" xr:uid="{E477CDA9-48F4-4709-98E6-E13B62A7728E}"/>
    <cellStyle name="Saída 3 5 4" xfId="14493" xr:uid="{A58CF496-254F-4BC2-8018-115FF8F055E4}"/>
    <cellStyle name="Saída 3 5 5" xfId="14494" xr:uid="{83C543DF-EE25-40A0-B9EE-768727827BEF}"/>
    <cellStyle name="Saída 3 5 6" xfId="14495" xr:uid="{36BE6D38-8A09-43D8-B203-46D489442624}"/>
    <cellStyle name="Saída 3 5 7" xfId="14496" xr:uid="{5BD37C25-B67D-47B7-8786-F358076AD0E2}"/>
    <cellStyle name="Saída 3 5 8" xfId="14497" xr:uid="{2DADF0F2-5AA2-4DB0-A2DA-DEE31B5CAEAB}"/>
    <cellStyle name="Saída 3 5 9" xfId="14498" xr:uid="{0574092B-ED28-4020-A93B-4FB456976F41}"/>
    <cellStyle name="Saída 3 5_2013" xfId="14499" xr:uid="{A72625C2-6420-42E3-A86D-D605E28EA7DF}"/>
    <cellStyle name="Saída 3 6" xfId="14500" xr:uid="{14F05F55-D5ED-4B39-919D-D81EEC2E32B5}"/>
    <cellStyle name="Saída 3 6 10" xfId="14501" xr:uid="{CD7DAF2C-9655-4B68-ABC7-A3FAE4E807D0}"/>
    <cellStyle name="Saída 3 6 11" xfId="14502" xr:uid="{B63006EE-FB3B-4B6F-A909-DD6E957FD4D3}"/>
    <cellStyle name="Saída 3 6 12" xfId="14503" xr:uid="{7B47D115-5E27-425B-B8B7-E14E6D70FBEF}"/>
    <cellStyle name="Saída 3 6 13" xfId="14504" xr:uid="{D810CF35-CBDB-4BF2-A1D7-AE0E4C05EEC6}"/>
    <cellStyle name="Saída 3 6 14" xfId="14505" xr:uid="{9390728F-E53A-428B-A944-C83F058A6713}"/>
    <cellStyle name="Saída 3 6 15" xfId="14506" xr:uid="{0C83FB5B-E42F-45FD-B07E-A9CEA94BB768}"/>
    <cellStyle name="Saída 3 6 16" xfId="14507" xr:uid="{68FB583B-81A1-4964-BA42-FB2415DCC981}"/>
    <cellStyle name="Saída 3 6 17" xfId="14508" xr:uid="{A2BCFF78-0E92-4746-98F0-653954ACE5A0}"/>
    <cellStyle name="Saída 3 6 18" xfId="14509" xr:uid="{1DAAD9A3-1602-467F-AB67-F4A0A2624D44}"/>
    <cellStyle name="Saída 3 6 19" xfId="14510" xr:uid="{06DBF36E-0B0A-43C4-9B8F-D181F8BBA530}"/>
    <cellStyle name="Saída 3 6 2" xfId="14511" xr:uid="{DE3804C9-27C8-495F-AD71-CAACE21543BB}"/>
    <cellStyle name="Saída 3 6 3" xfId="14512" xr:uid="{06F3803F-B30B-4CAE-9513-56E8AAA5508E}"/>
    <cellStyle name="Saída 3 6 4" xfId="14513" xr:uid="{229858F0-A968-4E50-AC37-6AE12E939059}"/>
    <cellStyle name="Saída 3 6 5" xfId="14514" xr:uid="{3B1A17AB-87C1-4BB4-BF61-495472AC67D3}"/>
    <cellStyle name="Saída 3 6 6" xfId="14515" xr:uid="{740365D3-2AFF-46BB-9B1C-6F916D4A59CC}"/>
    <cellStyle name="Saída 3 6 7" xfId="14516" xr:uid="{E6F8A309-3AA3-4FC9-B846-F78CB11E24DD}"/>
    <cellStyle name="Saída 3 6 8" xfId="14517" xr:uid="{ACE2C638-BC92-4A8A-8444-81CE674C4536}"/>
    <cellStyle name="Saída 3 6 9" xfId="14518" xr:uid="{25775B63-1833-4715-B42D-9249A61721D3}"/>
    <cellStyle name="Saída 3 6_2013" xfId="14519" xr:uid="{274E8552-A206-4A3A-BD42-4090C05EAC98}"/>
    <cellStyle name="Saída 3 7" xfId="14520" xr:uid="{A75FB340-E104-4EEA-BEBD-D32270EAB910}"/>
    <cellStyle name="Saída 3 7 2" xfId="14521" xr:uid="{491FAAC2-BAF4-41A1-8A33-B1005951F095}"/>
    <cellStyle name="Saída 3 7_2013" xfId="14522" xr:uid="{2C54E4D9-ED5C-45B2-84B8-B69FBE93A1F5}"/>
    <cellStyle name="Saída 3 8" xfId="14523" xr:uid="{3D3C76CB-BFCD-4170-A45E-6968B8466DD7}"/>
    <cellStyle name="Saída 3 9" xfId="14524" xr:uid="{DB59C172-D865-4B8E-B2C7-4715325D283B}"/>
    <cellStyle name="Saída 3_2013" xfId="14525" xr:uid="{20423E1A-229F-4A85-BFB6-692A5CC89F8B}"/>
    <cellStyle name="Saída 4" xfId="14526" xr:uid="{3376586A-60BC-4694-AAB6-11B91147514E}"/>
    <cellStyle name="Saída 4 10" xfId="14527" xr:uid="{C232B8C1-E602-4AEB-9A34-6B9947E7C282}"/>
    <cellStyle name="Saída 4 11" xfId="14528" xr:uid="{8DF3C3B9-4E3C-4D8F-A21F-BE8AE7DF2332}"/>
    <cellStyle name="Saída 4 12" xfId="14529" xr:uid="{70C6D1B0-1D7B-436A-A8D6-C4039ABC2AA7}"/>
    <cellStyle name="Saída 4 13" xfId="14530" xr:uid="{2220FB35-D28E-42BA-8C40-84A61CD86E4F}"/>
    <cellStyle name="Saída 4 14" xfId="14531" xr:uid="{FE28650E-FDD4-426B-957B-4162CA49E2D7}"/>
    <cellStyle name="Saída 4 15" xfId="14532" xr:uid="{8F864044-BA8D-419D-9B1A-12289147D66A}"/>
    <cellStyle name="Saída 4 16" xfId="14533" xr:uid="{9B4B360F-5B97-4F9A-9A2A-21213214E23C}"/>
    <cellStyle name="Saída 4 17" xfId="14534" xr:uid="{8A18039A-2C03-4C61-86AF-0AE3079E0491}"/>
    <cellStyle name="Saída 4 18" xfId="14535" xr:uid="{D1EAB2D7-84AF-4511-B54B-5F2165AA110B}"/>
    <cellStyle name="Saída 4 19" xfId="14536" xr:uid="{6415E7AA-AF77-4C55-A26C-182F842C62EF}"/>
    <cellStyle name="Saída 4 2" xfId="14537" xr:uid="{BC10063F-5F73-4C04-B9DA-4500ECBBDB39}"/>
    <cellStyle name="Saída 4 2 10" xfId="14538" xr:uid="{9ED1928F-3132-46A4-A316-E2C52DF44569}"/>
    <cellStyle name="Saída 4 2 11" xfId="14539" xr:uid="{4E93C0F5-67EC-419E-9931-37558C7D52EC}"/>
    <cellStyle name="Saída 4 2 12" xfId="14540" xr:uid="{28656B3E-F216-464A-98AB-F2BB9139FA3B}"/>
    <cellStyle name="Saída 4 2 13" xfId="14541" xr:uid="{7E78D251-806F-42C5-902A-E719DC92013B}"/>
    <cellStyle name="Saída 4 2 14" xfId="14542" xr:uid="{7B1191CB-961E-40BF-96B3-466D4D5C19FC}"/>
    <cellStyle name="Saída 4 2 15" xfId="14543" xr:uid="{E49AE75B-88EE-43EC-88D1-9149BE72D8D1}"/>
    <cellStyle name="Saída 4 2 16" xfId="14544" xr:uid="{918E4E5B-9330-4769-BBBC-22433E49B2C9}"/>
    <cellStyle name="Saída 4 2 17" xfId="14545" xr:uid="{C16F08EC-E901-4884-81E1-144E68728ED7}"/>
    <cellStyle name="Saída 4 2 18" xfId="14546" xr:uid="{B39DB8E9-12E6-417D-8974-69291C48D235}"/>
    <cellStyle name="Saída 4 2 19" xfId="14547" xr:uid="{3BA14FE3-46D3-4F18-8C1B-5A143409431F}"/>
    <cellStyle name="Saída 4 2 2" xfId="14548" xr:uid="{C8733A29-A0F3-4361-85D7-86D38F14A7CE}"/>
    <cellStyle name="Saída 4 2 2 10" xfId="14549" xr:uid="{5AFBBFD5-13F8-4C77-8158-B17DADFF8181}"/>
    <cellStyle name="Saída 4 2 2 11" xfId="14550" xr:uid="{E77F4F90-0E2E-4116-BA47-3779AEA1BE8E}"/>
    <cellStyle name="Saída 4 2 2 12" xfId="14551" xr:uid="{CE7F61E4-7D5B-43B0-9FCA-579FA2A49570}"/>
    <cellStyle name="Saída 4 2 2 13" xfId="14552" xr:uid="{40893042-572A-4446-8BA2-1F45AF0A5E76}"/>
    <cellStyle name="Saída 4 2 2 14" xfId="14553" xr:uid="{1FB63834-9393-4039-8A8A-AA2D738B1B81}"/>
    <cellStyle name="Saída 4 2 2 15" xfId="14554" xr:uid="{B5C51A1A-A569-4B07-85EF-2A11E800B7E0}"/>
    <cellStyle name="Saída 4 2 2 16" xfId="14555" xr:uid="{4DB3852C-9A58-47A2-8C2A-F21E6FCC56DC}"/>
    <cellStyle name="Saída 4 2 2 17" xfId="14556" xr:uid="{CD080034-E45D-41F4-A9EF-47EF108A51E8}"/>
    <cellStyle name="Saída 4 2 2 18" xfId="14557" xr:uid="{CC1242A0-AFB6-4685-BB79-0895CEDF3720}"/>
    <cellStyle name="Saída 4 2 2 19" xfId="14558" xr:uid="{503C2E05-ACC9-4DA8-BA87-007841673F93}"/>
    <cellStyle name="Saída 4 2 2 2" xfId="14559" xr:uid="{9B0A9ED9-DEDE-48AF-BE54-89A9DB03F5F9}"/>
    <cellStyle name="Saída 4 2 2 3" xfId="14560" xr:uid="{532C4166-1487-4F7B-86BC-20D99F6B9268}"/>
    <cellStyle name="Saída 4 2 2 4" xfId="14561" xr:uid="{190AB216-FBDA-4777-8E34-7C6EAC1D693B}"/>
    <cellStyle name="Saída 4 2 2 5" xfId="14562" xr:uid="{FD2FBDE0-526D-495B-B31A-41476769C84C}"/>
    <cellStyle name="Saída 4 2 2 6" xfId="14563" xr:uid="{682B1AE3-977E-4541-A6D5-9FC598B7909F}"/>
    <cellStyle name="Saída 4 2 2 7" xfId="14564" xr:uid="{76322EFE-1B82-4137-A594-BFD848ED5FD5}"/>
    <cellStyle name="Saída 4 2 2 8" xfId="14565" xr:uid="{91A5D007-4B83-43C6-A180-F3F594D64925}"/>
    <cellStyle name="Saída 4 2 2 9" xfId="14566" xr:uid="{8283D94D-ABD0-441C-8BD0-779CF7844829}"/>
    <cellStyle name="Saída 4 2 2_2013" xfId="14567" xr:uid="{5B95021C-8A57-4AE3-B3B4-8DEA64B30C14}"/>
    <cellStyle name="Saída 4 2 20" xfId="14568" xr:uid="{508F648B-AFFA-4859-B23E-B5857F54FD3C}"/>
    <cellStyle name="Saída 4 2 3" xfId="14569" xr:uid="{5A78C022-F927-46C4-B850-2B9EE20BD861}"/>
    <cellStyle name="Saída 4 2 4" xfId="14570" xr:uid="{BCE70253-697B-4F57-854D-8B1D4869FE2F}"/>
    <cellStyle name="Saída 4 2 5" xfId="14571" xr:uid="{E65108B5-A397-48F5-A5F1-A0392D945AE4}"/>
    <cellStyle name="Saída 4 2 6" xfId="14572" xr:uid="{49A72C0B-EAAA-41AA-A07B-D201E54E4C43}"/>
    <cellStyle name="Saída 4 2 7" xfId="14573" xr:uid="{96B91A81-B8A4-456D-BB14-E70F8639773C}"/>
    <cellStyle name="Saída 4 2 8" xfId="14574" xr:uid="{B659B773-070D-48E4-B43E-502E249E5501}"/>
    <cellStyle name="Saída 4 2 9" xfId="14575" xr:uid="{E7ED7C48-CFCE-45BB-BBC7-996A1CA2A1AF}"/>
    <cellStyle name="Saída 4 2_2013" xfId="14576" xr:uid="{3A4650FC-3637-483F-A3B1-4B0A5434C69B}"/>
    <cellStyle name="Saída 4 20" xfId="14577" xr:uid="{B949DD8D-22F6-4797-A947-62B9CFDCE4F8}"/>
    <cellStyle name="Saída 4 21" xfId="14578" xr:uid="{7D787301-3A5A-4814-93D5-392860DAD0BA}"/>
    <cellStyle name="Saída 4 22" xfId="14579" xr:uid="{0C53EE2C-9DAF-47D3-BC6D-ED92B534598F}"/>
    <cellStyle name="Saída 4 23" xfId="14580" xr:uid="{5640960D-2E1F-4314-96C5-6896D1F8A236}"/>
    <cellStyle name="Saída 4 3" xfId="14581" xr:uid="{3E5D683F-4298-42C9-8FA1-AC748D3CF8A7}"/>
    <cellStyle name="Saída 4 3 10" xfId="14582" xr:uid="{9A562C26-AA9B-410B-B94D-A9660D7376A1}"/>
    <cellStyle name="Saída 4 3 11" xfId="14583" xr:uid="{A9CF5CE2-BCCE-43B0-A8EB-FEF284B74CB9}"/>
    <cellStyle name="Saída 4 3 12" xfId="14584" xr:uid="{2EC72F53-C619-4170-BE6B-2E5AC32E67CC}"/>
    <cellStyle name="Saída 4 3 13" xfId="14585" xr:uid="{A701073C-AF2B-4C32-9F88-3FB96DB6464C}"/>
    <cellStyle name="Saída 4 3 14" xfId="14586" xr:uid="{56EEFCE2-3183-4CA4-8DF3-3B5437BB253F}"/>
    <cellStyle name="Saída 4 3 15" xfId="14587" xr:uid="{36CB3D24-5C71-4226-8176-B66A67358142}"/>
    <cellStyle name="Saída 4 3 16" xfId="14588" xr:uid="{D0713E21-89E2-4050-902D-A12D35B5C850}"/>
    <cellStyle name="Saída 4 3 17" xfId="14589" xr:uid="{03B0478A-1164-4A1A-A65D-C864CBC27FE0}"/>
    <cellStyle name="Saída 4 3 18" xfId="14590" xr:uid="{9526B0C7-BA43-45EA-B4E6-4E1001A9802A}"/>
    <cellStyle name="Saída 4 3 19" xfId="14591" xr:uid="{133FF009-C28C-4C15-BB04-48912E857F51}"/>
    <cellStyle name="Saída 4 3 2" xfId="14592" xr:uid="{0F7C587C-A53F-4471-A1EC-0EB963E31C03}"/>
    <cellStyle name="Saída 4 3 2 10" xfId="14593" xr:uid="{E54D9DED-81E9-445E-8B1C-CFB1E63FC9C4}"/>
    <cellStyle name="Saída 4 3 2 11" xfId="14594" xr:uid="{B8FAA2A2-8970-430C-A11F-4E199E9775B9}"/>
    <cellStyle name="Saída 4 3 2 12" xfId="14595" xr:uid="{1FC8732F-3F9B-4EA8-9CBC-128C97485946}"/>
    <cellStyle name="Saída 4 3 2 13" xfId="14596" xr:uid="{0DB16E63-60C1-42F4-98A9-859F2CC337BF}"/>
    <cellStyle name="Saída 4 3 2 14" xfId="14597" xr:uid="{26FE8623-42FF-4898-B3E4-18520054BD06}"/>
    <cellStyle name="Saída 4 3 2 15" xfId="14598" xr:uid="{5FA1090E-D8DC-4541-8C77-74C58807004E}"/>
    <cellStyle name="Saída 4 3 2 16" xfId="14599" xr:uid="{D04052EE-3347-42B2-B9FF-4EEA5D62A097}"/>
    <cellStyle name="Saída 4 3 2 17" xfId="14600" xr:uid="{F0633795-4254-4366-9C77-8532A48FD482}"/>
    <cellStyle name="Saída 4 3 2 18" xfId="14601" xr:uid="{5C3F91B9-F71C-40D4-B851-19B1D20F7EB5}"/>
    <cellStyle name="Saída 4 3 2 19" xfId="14602" xr:uid="{473CA622-F5C9-4296-8BE7-3A1D4403D15A}"/>
    <cellStyle name="Saída 4 3 2 2" xfId="14603" xr:uid="{124A077F-E5F6-405D-BA17-73ED9761AE94}"/>
    <cellStyle name="Saída 4 3 2 3" xfId="14604" xr:uid="{BECC1AED-8262-4D56-A062-EE66FD716B10}"/>
    <cellStyle name="Saída 4 3 2 4" xfId="14605" xr:uid="{7C442F59-374B-416C-BB50-F6D4B528AD8E}"/>
    <cellStyle name="Saída 4 3 2 5" xfId="14606" xr:uid="{C821E334-7067-41D3-B01F-DDE44C66AA6B}"/>
    <cellStyle name="Saída 4 3 2 6" xfId="14607" xr:uid="{1A716B22-744F-4A23-9EC7-16970807958A}"/>
    <cellStyle name="Saída 4 3 2 7" xfId="14608" xr:uid="{253D1FCA-9061-42A2-BF5B-E9B14917595C}"/>
    <cellStyle name="Saída 4 3 2 8" xfId="14609" xr:uid="{1200CA1F-F18F-43A0-84E6-EEAA49D379BC}"/>
    <cellStyle name="Saída 4 3 2 9" xfId="14610" xr:uid="{0F75D136-9111-42B6-92EB-8868C68EC7FF}"/>
    <cellStyle name="Saída 4 3 2_2013" xfId="14611" xr:uid="{02D5A62E-B5E4-4C1E-BDA5-12CD939FC4AE}"/>
    <cellStyle name="Saída 4 3 20" xfId="14612" xr:uid="{95423C30-7EE8-41BC-9EDC-30A03545D6CD}"/>
    <cellStyle name="Saída 4 3 3" xfId="14613" xr:uid="{CE48393B-302F-4015-BC2F-839A201C3274}"/>
    <cellStyle name="Saída 4 3 4" xfId="14614" xr:uid="{779A090C-96E5-47E7-8C3F-450144F59D28}"/>
    <cellStyle name="Saída 4 3 5" xfId="14615" xr:uid="{5425D65C-5E68-4865-A39E-FFE400053958}"/>
    <cellStyle name="Saída 4 3 6" xfId="14616" xr:uid="{4CDCE39A-AF83-403F-AFA3-6ECC59395EA8}"/>
    <cellStyle name="Saída 4 3 7" xfId="14617" xr:uid="{ACFD55BC-598E-4412-BF79-A97FF442057E}"/>
    <cellStyle name="Saída 4 3 8" xfId="14618" xr:uid="{03F3BBAA-B6E2-4BB8-8DC2-6B00BACFAE1E}"/>
    <cellStyle name="Saída 4 3 9" xfId="14619" xr:uid="{19FAD669-FADE-4120-BA70-37242FA479D6}"/>
    <cellStyle name="Saída 4 3_2013" xfId="14620" xr:uid="{FB665B11-15FF-475C-B6F9-36AC4A4E19BF}"/>
    <cellStyle name="Saída 4 4" xfId="14621" xr:uid="{597538C8-B015-4660-9DA9-105DCDA5539A}"/>
    <cellStyle name="Saída 4 4 10" xfId="14622" xr:uid="{DC390542-7232-4101-B49D-4518DFEEB5EF}"/>
    <cellStyle name="Saída 4 4 11" xfId="14623" xr:uid="{B6BA9696-C164-4AAB-A2B1-BF74BB97794A}"/>
    <cellStyle name="Saída 4 4 12" xfId="14624" xr:uid="{FF9AEBA9-BE45-47D1-A480-477FF29F2BDF}"/>
    <cellStyle name="Saída 4 4 13" xfId="14625" xr:uid="{8B860895-5BF1-48A0-8E8D-E3FBAD47EDD0}"/>
    <cellStyle name="Saída 4 4 14" xfId="14626" xr:uid="{A48844CB-0441-40ED-9A2E-0F45E4721DE4}"/>
    <cellStyle name="Saída 4 4 15" xfId="14627" xr:uid="{B57CCFA1-2EF2-4C8C-86A7-A450BCB978AA}"/>
    <cellStyle name="Saída 4 4 16" xfId="14628" xr:uid="{F54FAF39-E687-41E8-BDDB-2C732070CECD}"/>
    <cellStyle name="Saída 4 4 17" xfId="14629" xr:uid="{21B38641-477A-421D-9D99-50695C5E9B0B}"/>
    <cellStyle name="Saída 4 4 18" xfId="14630" xr:uid="{CBD46E55-575A-4675-9458-E5F905474A37}"/>
    <cellStyle name="Saída 4 4 19" xfId="14631" xr:uid="{E5503C19-74AA-4225-B923-95B47A2155DB}"/>
    <cellStyle name="Saída 4 4 2" xfId="14632" xr:uid="{280366D4-C2A0-445E-B9F4-D6EA8BAF1E6A}"/>
    <cellStyle name="Saída 4 4 2 10" xfId="14633" xr:uid="{759AC420-6C22-4E95-B17E-D7D1EF78F519}"/>
    <cellStyle name="Saída 4 4 2 11" xfId="14634" xr:uid="{193C2925-3C4C-4AAC-8CFA-ACAE2E89BCD4}"/>
    <cellStyle name="Saída 4 4 2 12" xfId="14635" xr:uid="{BA5D2B8A-6AA7-44AF-BF68-5A854D56FD47}"/>
    <cellStyle name="Saída 4 4 2 13" xfId="14636" xr:uid="{6E57AF1B-48FD-44DB-858B-6D3D6009CC1D}"/>
    <cellStyle name="Saída 4 4 2 14" xfId="14637" xr:uid="{049A47A7-3A68-4628-A66D-E0B69B3B161F}"/>
    <cellStyle name="Saída 4 4 2 15" xfId="14638" xr:uid="{544C87FC-4C10-461D-9EE8-517C7E479B42}"/>
    <cellStyle name="Saída 4 4 2 16" xfId="14639" xr:uid="{D68EF1AF-CA93-4848-8246-CD7BC576326D}"/>
    <cellStyle name="Saída 4 4 2 17" xfId="14640" xr:uid="{6D15A8CC-4BD7-49FC-A265-4DD1485BD9D5}"/>
    <cellStyle name="Saída 4 4 2 18" xfId="14641" xr:uid="{B53B6B01-F845-467C-9266-30D906CFBD53}"/>
    <cellStyle name="Saída 4 4 2 19" xfId="14642" xr:uid="{30D0D525-3D24-4E21-868E-282A42D9AE63}"/>
    <cellStyle name="Saída 4 4 2 2" xfId="14643" xr:uid="{230612EF-2C06-40D1-89F3-022040498462}"/>
    <cellStyle name="Saída 4 4 2 3" xfId="14644" xr:uid="{463C9D43-AD24-45E9-99A2-9ECCE9159A69}"/>
    <cellStyle name="Saída 4 4 2 4" xfId="14645" xr:uid="{0049B809-3C1A-40AF-AA96-D97844B29680}"/>
    <cellStyle name="Saída 4 4 2 5" xfId="14646" xr:uid="{5518F4EE-DE32-4E07-B98E-029942CB2F5B}"/>
    <cellStyle name="Saída 4 4 2 6" xfId="14647" xr:uid="{1988AA71-7ABF-492E-87F2-3CA754ECB575}"/>
    <cellStyle name="Saída 4 4 2 7" xfId="14648" xr:uid="{67485BE9-B733-4F02-988A-E6B91D8FA77A}"/>
    <cellStyle name="Saída 4 4 2 8" xfId="14649" xr:uid="{BF07FB7A-B5CD-4775-8295-D91640863D8C}"/>
    <cellStyle name="Saída 4 4 2 9" xfId="14650" xr:uid="{79A1DB1B-274B-491C-881F-EB182544ACD6}"/>
    <cellStyle name="Saída 4 4 2_2013" xfId="14651" xr:uid="{B57B8E88-775C-4710-9CC1-C64632FD9DA9}"/>
    <cellStyle name="Saída 4 4 20" xfId="14652" xr:uid="{119E39DE-7F5A-4D1E-82C6-45E0FD92CEC5}"/>
    <cellStyle name="Saída 4 4 3" xfId="14653" xr:uid="{6D806AEA-62EC-4020-9E99-CD636EE56D7B}"/>
    <cellStyle name="Saída 4 4 4" xfId="14654" xr:uid="{64834400-7EE0-4BA1-B118-76449C62A742}"/>
    <cellStyle name="Saída 4 4 5" xfId="14655" xr:uid="{DEE00F68-8DAE-4F28-A266-28E6855335E3}"/>
    <cellStyle name="Saída 4 4 6" xfId="14656" xr:uid="{65782BBB-67A1-4BE0-BA07-DF3B7023D6A7}"/>
    <cellStyle name="Saída 4 4 7" xfId="14657" xr:uid="{A7096724-0F7B-4155-B012-79E21F5DE62A}"/>
    <cellStyle name="Saída 4 4 8" xfId="14658" xr:uid="{185B417D-B16E-431F-B35C-2CF9F43E4DC8}"/>
    <cellStyle name="Saída 4 4 9" xfId="14659" xr:uid="{0FFB331C-9959-4ABC-B2B3-948BBB49B303}"/>
    <cellStyle name="Saída 4 4_2013" xfId="14660" xr:uid="{499B84CB-3B2D-43C0-A9A5-C5FCA0709548}"/>
    <cellStyle name="Saída 4 5" xfId="14661" xr:uid="{D5928BED-2017-4768-A90C-915903EEE804}"/>
    <cellStyle name="Saída 4 5 10" xfId="14662" xr:uid="{9665C458-628B-4818-A2B0-611AEA636CC1}"/>
    <cellStyle name="Saída 4 5 11" xfId="14663" xr:uid="{669B2E3A-680E-43B1-87D8-9910D06B7AD0}"/>
    <cellStyle name="Saída 4 5 12" xfId="14664" xr:uid="{8B419D26-2C6C-43CF-8B26-FAFE74F0E48A}"/>
    <cellStyle name="Saída 4 5 13" xfId="14665" xr:uid="{8A6A968D-91A0-4E09-8E0D-0F1EC87009AA}"/>
    <cellStyle name="Saída 4 5 14" xfId="14666" xr:uid="{6B0DBED5-432F-4DDD-8407-A11EE296DEAD}"/>
    <cellStyle name="Saída 4 5 15" xfId="14667" xr:uid="{807EF739-0AFB-448D-99EF-E2B3C00EEBAF}"/>
    <cellStyle name="Saída 4 5 16" xfId="14668" xr:uid="{CC823451-0B7C-4D88-88B7-BA993B798E4F}"/>
    <cellStyle name="Saída 4 5 17" xfId="14669" xr:uid="{189360EA-7D82-4C99-8622-3E7DFFF79AA0}"/>
    <cellStyle name="Saída 4 5 18" xfId="14670" xr:uid="{877F7072-21B3-41BA-BD5A-056DB1C1099E}"/>
    <cellStyle name="Saída 4 5 19" xfId="14671" xr:uid="{987CDD4B-B7E1-44E3-A575-46DC819937A7}"/>
    <cellStyle name="Saída 4 5 2" xfId="14672" xr:uid="{0F8634DE-45FF-44DD-8F1A-9251A5190DC1}"/>
    <cellStyle name="Saída 4 5 3" xfId="14673" xr:uid="{266A9997-D6DF-4485-AC16-E692BF0ABF8B}"/>
    <cellStyle name="Saída 4 5 4" xfId="14674" xr:uid="{42F144A5-B466-41F9-A625-FD17F7068F10}"/>
    <cellStyle name="Saída 4 5 5" xfId="14675" xr:uid="{BED73A35-ADF7-472B-A6CE-5583BE8C2B53}"/>
    <cellStyle name="Saída 4 5 6" xfId="14676" xr:uid="{2F787710-B9FB-4166-B800-F6BC778714C6}"/>
    <cellStyle name="Saída 4 5 7" xfId="14677" xr:uid="{0D7F6A34-E5D6-4FC2-B3AC-F73EF4E3F078}"/>
    <cellStyle name="Saída 4 5 8" xfId="14678" xr:uid="{1DC5AE05-B83B-4182-8A21-121EF9200949}"/>
    <cellStyle name="Saída 4 5 9" xfId="14679" xr:uid="{CE164364-CF7B-49C5-9148-4473939A534C}"/>
    <cellStyle name="Saída 4 5_2013" xfId="14680" xr:uid="{21036066-59DB-403E-8016-408875A71C3C}"/>
    <cellStyle name="Saída 4 6" xfId="14681" xr:uid="{36CC46F9-2225-47D6-93A1-29160DB950EC}"/>
    <cellStyle name="Saída 4 7" xfId="14682" xr:uid="{4D528E44-D05B-4261-9975-A905614FE5C8}"/>
    <cellStyle name="Saída 4 8" xfId="14683" xr:uid="{1BAC91B5-889C-4F1E-87BD-1BA3E5B818B3}"/>
    <cellStyle name="Saída 4 9" xfId="14684" xr:uid="{3067F85D-2EF5-4888-8DE8-FA153B4BF575}"/>
    <cellStyle name="Saída 4_2013" xfId="14685" xr:uid="{E765305A-DFAD-4E8F-956A-337929F4F95C}"/>
    <cellStyle name="Saída 5" xfId="14686" xr:uid="{2382F0F8-D513-403F-98AF-5F85B55E7B0C}"/>
    <cellStyle name="Saída 5 10" xfId="14687" xr:uid="{5F511AC7-EDD9-4469-BF13-5C4618FCBB1B}"/>
    <cellStyle name="Saída 5 11" xfId="14688" xr:uid="{7C1C42A2-984E-4284-9FE2-DCE2A2898C83}"/>
    <cellStyle name="Saída 5 12" xfId="14689" xr:uid="{141ABB72-D444-4D16-8489-BE5BE769A0DA}"/>
    <cellStyle name="Saída 5 13" xfId="14690" xr:uid="{B6224106-0109-4C18-B2A3-7270F756A2E2}"/>
    <cellStyle name="Saída 5 14" xfId="14691" xr:uid="{FA0ABBDC-7732-4D7B-86BF-BCC815A1FABD}"/>
    <cellStyle name="Saída 5 15" xfId="14692" xr:uid="{C5883DF5-DB34-42A2-85CE-27F3C6FEDEC7}"/>
    <cellStyle name="Saída 5 16" xfId="14693" xr:uid="{9445E4F1-5434-4FB5-9ABD-332C8CEFA831}"/>
    <cellStyle name="Saída 5 17" xfId="14694" xr:uid="{5BAA682C-B973-49A6-A4ED-47A607F1C75A}"/>
    <cellStyle name="Saída 5 18" xfId="14695" xr:uid="{D7BED359-495A-497F-A33A-5B5EBBB40B8F}"/>
    <cellStyle name="Saída 5 19" xfId="14696" xr:uid="{9049CC43-FDF9-4CCC-A3AB-6418306A7BF0}"/>
    <cellStyle name="Saída 5 2" xfId="14697" xr:uid="{6F21092C-E455-4560-9DA8-36B44E7C7343}"/>
    <cellStyle name="Saída 5 2 10" xfId="14698" xr:uid="{DE661F6D-9CFD-431A-BC1D-1CF2A42F8776}"/>
    <cellStyle name="Saída 5 2 11" xfId="14699" xr:uid="{7B7FE412-7AA8-406E-BB1A-D13AF34DA45C}"/>
    <cellStyle name="Saída 5 2 12" xfId="14700" xr:uid="{65368ADB-1E37-410C-BA82-00D22E6A4103}"/>
    <cellStyle name="Saída 5 2 13" xfId="14701" xr:uid="{C3AD8C94-04D5-4969-ADAB-BF51B91E1B9A}"/>
    <cellStyle name="Saída 5 2 14" xfId="14702" xr:uid="{BD9FF0B1-903E-4244-AC60-75ABDBB2E559}"/>
    <cellStyle name="Saída 5 2 15" xfId="14703" xr:uid="{507D7F03-07F5-496F-BC89-ADB5D9218714}"/>
    <cellStyle name="Saída 5 2 16" xfId="14704" xr:uid="{EC5C8D16-4966-410D-B950-D40CF6F1FB71}"/>
    <cellStyle name="Saída 5 2 17" xfId="14705" xr:uid="{E038DA35-4BF5-49F3-BAE7-C01ACE7C951F}"/>
    <cellStyle name="Saída 5 2 18" xfId="14706" xr:uid="{1AE79D8B-40BA-4B98-BA49-4C4FB4F07079}"/>
    <cellStyle name="Saída 5 2 19" xfId="14707" xr:uid="{316AD466-D350-4F85-B234-9AA5A3B9FDCF}"/>
    <cellStyle name="Saída 5 2 2" xfId="14708" xr:uid="{0D87E1E3-BF63-4A0E-B22C-9DD0956AD650}"/>
    <cellStyle name="Saída 5 2 3" xfId="14709" xr:uid="{B17B0463-3BC6-4CB9-B1EB-24522E205800}"/>
    <cellStyle name="Saída 5 2 4" xfId="14710" xr:uid="{C5EE4EB4-828D-4582-8B80-6178961249FC}"/>
    <cellStyle name="Saída 5 2 5" xfId="14711" xr:uid="{285A1AF8-3C1A-4F0C-A408-37A113378B8F}"/>
    <cellStyle name="Saída 5 2 6" xfId="14712" xr:uid="{27852047-9422-470C-819B-F961A437831D}"/>
    <cellStyle name="Saída 5 2 7" xfId="14713" xr:uid="{EFF6F363-F9C3-4C07-9491-BE7CB9FFE023}"/>
    <cellStyle name="Saída 5 2 8" xfId="14714" xr:uid="{BC9C83CE-534B-4A1C-B3F1-BE136D4B1600}"/>
    <cellStyle name="Saída 5 2 9" xfId="14715" xr:uid="{BB16F48E-2570-4CF0-BF6C-B86964FD842F}"/>
    <cellStyle name="Saída 5 2_2013" xfId="14716" xr:uid="{AD0116B4-0278-4D18-ACF2-3D1F6B435FD3}"/>
    <cellStyle name="Saída 5 20" xfId="14717" xr:uid="{0D3D2664-2A43-4D43-86E8-38586E54BBF9}"/>
    <cellStyle name="Saída 5 3" xfId="14718" xr:uid="{A7271D16-F8F5-4116-8351-4924FCBD01C5}"/>
    <cellStyle name="Saída 5 4" xfId="14719" xr:uid="{D12E3C30-F33F-44AA-A49A-CFFC111C92AC}"/>
    <cellStyle name="Saída 5 5" xfId="14720" xr:uid="{3CB97257-5A40-455E-9B6C-BE9E012A9041}"/>
    <cellStyle name="Saída 5 6" xfId="14721" xr:uid="{9FB720D5-6220-43F5-A9D0-980658B329B6}"/>
    <cellStyle name="Saída 5 7" xfId="14722" xr:uid="{4F83E5AC-4404-4C00-81EB-72B3AA32C80E}"/>
    <cellStyle name="Saída 5 8" xfId="14723" xr:uid="{B1B4CE8B-432E-4069-ADC0-5D0BE5CE73F2}"/>
    <cellStyle name="Saída 5 9" xfId="14724" xr:uid="{28E50D25-ABBC-40C1-98A1-F915FE3EB967}"/>
    <cellStyle name="Saída 5_2013" xfId="14725" xr:uid="{9E974656-358C-46E4-9551-0D40A4AE7840}"/>
    <cellStyle name="Saída 6" xfId="14726" xr:uid="{4346B932-32B2-4F9E-BF74-F26E9ABB3371}"/>
    <cellStyle name="Saída 6 10" xfId="14727" xr:uid="{001F2FD9-6595-4F5B-8F20-44C053B452D4}"/>
    <cellStyle name="Saída 6 11" xfId="14728" xr:uid="{723788AF-E115-4588-B820-A0B83781635E}"/>
    <cellStyle name="Saída 6 12" xfId="14729" xr:uid="{B41E92B0-EAC2-4211-903F-2B4D503049F6}"/>
    <cellStyle name="Saída 6 13" xfId="14730" xr:uid="{CDA2FD92-89A2-44CF-96CF-E1E7EB031460}"/>
    <cellStyle name="Saída 6 14" xfId="14731" xr:uid="{17E4891A-5391-4882-8D8F-0BA1E8240627}"/>
    <cellStyle name="Saída 6 15" xfId="14732" xr:uid="{BE1B83E9-3506-431F-9AF3-A299751D118E}"/>
    <cellStyle name="Saída 6 16" xfId="14733" xr:uid="{4C23F35F-DDEB-43FF-BF24-93AB97952AA2}"/>
    <cellStyle name="Saída 6 17" xfId="14734" xr:uid="{B543A70B-8444-4755-BE43-AE77CD70DC12}"/>
    <cellStyle name="Saída 6 18" xfId="14735" xr:uid="{0EEF251B-A8FF-46E9-B9E1-C5C0088B1035}"/>
    <cellStyle name="Saída 6 19" xfId="14736" xr:uid="{038B5D21-5AF0-4237-A080-5A75E44F63B3}"/>
    <cellStyle name="Saída 6 2" xfId="14737" xr:uid="{AC4DF913-D942-40A4-A097-C010EEC3F3CE}"/>
    <cellStyle name="Saída 6 2 10" xfId="14738" xr:uid="{07FA0761-4E67-4D1B-AB4E-D06FF313029A}"/>
    <cellStyle name="Saída 6 2 11" xfId="14739" xr:uid="{90517B84-4395-44CE-97D2-30DBE3A74995}"/>
    <cellStyle name="Saída 6 2 12" xfId="14740" xr:uid="{FC119978-7C99-4896-A10D-1D023E0C112D}"/>
    <cellStyle name="Saída 6 2 13" xfId="14741" xr:uid="{496DE133-8FB0-414B-B73C-68CCECB17E4F}"/>
    <cellStyle name="Saída 6 2 14" xfId="14742" xr:uid="{9202AFC7-6AE9-4A82-BC7D-10F2C801A50F}"/>
    <cellStyle name="Saída 6 2 15" xfId="14743" xr:uid="{7A29BB6D-26C6-4BA7-96DD-4C4BC57C19D8}"/>
    <cellStyle name="Saída 6 2 16" xfId="14744" xr:uid="{B7F81EB0-4492-475F-BB07-80A4201C0D67}"/>
    <cellStyle name="Saída 6 2 17" xfId="14745" xr:uid="{0711A50B-9CAB-40B4-894E-AB086E37C88F}"/>
    <cellStyle name="Saída 6 2 18" xfId="14746" xr:uid="{90431C57-0E64-4517-92A0-2F4DC978F367}"/>
    <cellStyle name="Saída 6 2 19" xfId="14747" xr:uid="{54C7EE2A-A9ED-4DB2-B444-293B3DF76532}"/>
    <cellStyle name="Saída 6 2 2" xfId="14748" xr:uid="{3F1D7332-2621-41ED-9DB2-C22DCBBB144E}"/>
    <cellStyle name="Saída 6 2 3" xfId="14749" xr:uid="{CC159A81-E0ED-4C31-9F95-1668FF0E70BB}"/>
    <cellStyle name="Saída 6 2 4" xfId="14750" xr:uid="{0C65AD38-659A-4B8C-969F-2F3069FE6656}"/>
    <cellStyle name="Saída 6 2 5" xfId="14751" xr:uid="{46AE5488-BAEA-4621-8C28-1F3C820C6D9A}"/>
    <cellStyle name="Saída 6 2 6" xfId="14752" xr:uid="{B2A99F7C-9339-401A-BAD2-162246ABBF44}"/>
    <cellStyle name="Saída 6 2 7" xfId="14753" xr:uid="{202A0F7D-7258-45E9-AC8E-73123EE6C91D}"/>
    <cellStyle name="Saída 6 2 8" xfId="14754" xr:uid="{8A3D3B89-02BA-4561-A9D2-41BAC2CBC057}"/>
    <cellStyle name="Saída 6 2 9" xfId="14755" xr:uid="{788EE64F-6D93-40DB-9258-921CFF528C01}"/>
    <cellStyle name="Saída 6 2_2013" xfId="14756" xr:uid="{DC877892-AC15-4421-A151-866009A90A7C}"/>
    <cellStyle name="Saída 6 20" xfId="14757" xr:uid="{3CCEC81D-E365-48DF-9CDE-BAC4AFE095CA}"/>
    <cellStyle name="Saída 6 3" xfId="14758" xr:uid="{0430E189-3FAC-48C4-8320-6C84ADA78442}"/>
    <cellStyle name="Saída 6 4" xfId="14759" xr:uid="{A829845F-A021-4C1A-9EB1-BDFF27D3BE8E}"/>
    <cellStyle name="Saída 6 5" xfId="14760" xr:uid="{6E683B2D-4B39-40A2-98DF-EFA797C7F490}"/>
    <cellStyle name="Saída 6 6" xfId="14761" xr:uid="{1C198902-C69E-460F-A7E1-FA55A7839297}"/>
    <cellStyle name="Saída 6 7" xfId="14762" xr:uid="{C0BFBD7F-1333-4526-833E-E237DAC9A4CF}"/>
    <cellStyle name="Saída 6 8" xfId="14763" xr:uid="{83D899E4-DE2D-432B-916C-BC64F01E8E40}"/>
    <cellStyle name="Saída 6 9" xfId="14764" xr:uid="{CC09F6CC-71D5-48B3-9E85-EE10CEF0DEC8}"/>
    <cellStyle name="Saída 6_2013" xfId="14765" xr:uid="{C47E376C-C5E0-4810-AD83-179ED0838665}"/>
    <cellStyle name="Saída 7" xfId="14766" xr:uid="{2AD36B71-B99D-45AB-9C3D-A4FF7F052F51}"/>
    <cellStyle name="Saída 7 10" xfId="14767" xr:uid="{F3097368-6100-4F9E-ABB2-6F283E67C46B}"/>
    <cellStyle name="Saída 7 11" xfId="14768" xr:uid="{612AFB3D-908F-4B45-8931-F28C4C732775}"/>
    <cellStyle name="Saída 7 12" xfId="14769" xr:uid="{51C90070-0FDE-47A8-B2D7-407F8F56898F}"/>
    <cellStyle name="Saída 7 13" xfId="14770" xr:uid="{2678E47A-12A9-4C7F-BB42-68B68A4BFD9B}"/>
    <cellStyle name="Saída 7 14" xfId="14771" xr:uid="{C2A74035-9ABD-46D2-9186-8A8DB7FE5706}"/>
    <cellStyle name="Saída 7 15" xfId="14772" xr:uid="{B8309CCA-C8C3-4004-A053-1B055E477FB8}"/>
    <cellStyle name="Saída 7 16" xfId="14773" xr:uid="{79931447-2F64-46F1-A1AA-294C3C8821F1}"/>
    <cellStyle name="Saída 7 17" xfId="14774" xr:uid="{A34DA0EF-67FD-4DAB-9F38-BA79D32CE906}"/>
    <cellStyle name="Saída 7 18" xfId="14775" xr:uid="{37AB2059-F72E-417C-9E62-6A70A91E2662}"/>
    <cellStyle name="Saída 7 19" xfId="14776" xr:uid="{0C1BC263-D720-4024-8C98-E7617898E5E7}"/>
    <cellStyle name="Saída 7 2" xfId="14777" xr:uid="{203C7712-6C37-4FA2-908A-63262B36C76C}"/>
    <cellStyle name="Saída 7 2 10" xfId="14778" xr:uid="{E10BE8B8-191E-477C-8C7D-C57042F51B58}"/>
    <cellStyle name="Saída 7 2 11" xfId="14779" xr:uid="{9E0A7D05-2A73-4BE9-A7AE-3F147E813AA4}"/>
    <cellStyle name="Saída 7 2 12" xfId="14780" xr:uid="{B7A56FD5-1209-4AB8-8280-4B1AB833B9B4}"/>
    <cellStyle name="Saída 7 2 13" xfId="14781" xr:uid="{C056B0EA-4B21-49AC-9FBB-651802C7D250}"/>
    <cellStyle name="Saída 7 2 14" xfId="14782" xr:uid="{48C8E94B-24AB-48C6-B5C3-CB115283DF62}"/>
    <cellStyle name="Saída 7 2 15" xfId="14783" xr:uid="{E2C8B0CE-76DC-4221-B27D-E2646351C67B}"/>
    <cellStyle name="Saída 7 2 16" xfId="14784" xr:uid="{57975E68-7561-420E-8515-67D5D740A4A2}"/>
    <cellStyle name="Saída 7 2 17" xfId="14785" xr:uid="{533C5595-BC9C-4221-8C28-86A97E673A5F}"/>
    <cellStyle name="Saída 7 2 18" xfId="14786" xr:uid="{A0E97485-8D87-4C0B-AFB2-0E5CC65F9D06}"/>
    <cellStyle name="Saída 7 2 19" xfId="14787" xr:uid="{533EFA63-39A7-4A17-9580-07B201EBBA6A}"/>
    <cellStyle name="Saída 7 2 2" xfId="14788" xr:uid="{2EEFA5B3-30C1-45EE-9417-0CB4AEBB11C9}"/>
    <cellStyle name="Saída 7 2 3" xfId="14789" xr:uid="{C95BD611-FF36-4DF5-B571-2D835D14BAC5}"/>
    <cellStyle name="Saída 7 2 4" xfId="14790" xr:uid="{788032B2-7A7E-4029-9662-A8AC1AABF916}"/>
    <cellStyle name="Saída 7 2 5" xfId="14791" xr:uid="{29FE8D76-C0B5-43C3-9CC7-4E31745374CB}"/>
    <cellStyle name="Saída 7 2 6" xfId="14792" xr:uid="{D1A8EBEA-D2A5-4E5B-B86E-46B20180D871}"/>
    <cellStyle name="Saída 7 2 7" xfId="14793" xr:uid="{90375F9B-A452-4347-8283-82E7D08862B8}"/>
    <cellStyle name="Saída 7 2 8" xfId="14794" xr:uid="{AD616448-1C39-47BE-AD9C-A947CD30AB39}"/>
    <cellStyle name="Saída 7 2 9" xfId="14795" xr:uid="{03DFECC6-C2E8-4216-A0A1-50043FE8083A}"/>
    <cellStyle name="Saída 7 2_2013" xfId="14796" xr:uid="{7B3499AE-0208-4EA4-AC0B-09C9D8681334}"/>
    <cellStyle name="Saída 7 20" xfId="14797" xr:uid="{BB8BC31E-125C-452F-97B6-AF5F84845F6F}"/>
    <cellStyle name="Saída 7 3" xfId="14798" xr:uid="{8B10045A-D0A7-4DCC-876A-FA5222C53390}"/>
    <cellStyle name="Saída 7 4" xfId="14799" xr:uid="{F5C962FE-685E-451D-8219-A59AB3509284}"/>
    <cellStyle name="Saída 7 5" xfId="14800" xr:uid="{F3E905A8-81FD-4FC8-A284-B024D6DD1AFE}"/>
    <cellStyle name="Saída 7 6" xfId="14801" xr:uid="{3E55CE1A-5008-43D2-9711-05EB8CBDC727}"/>
    <cellStyle name="Saída 7 7" xfId="14802" xr:uid="{F274D47D-54C5-4AD0-A630-73D3375C4C9B}"/>
    <cellStyle name="Saída 7 8" xfId="14803" xr:uid="{938FBA8C-06C7-4BB0-9FF2-64ED566FC856}"/>
    <cellStyle name="Saída 7 9" xfId="14804" xr:uid="{D45B84C7-E8AD-4F78-BDBE-86F6F231443C}"/>
    <cellStyle name="Saída 7_2013" xfId="14805" xr:uid="{6C2B4A7C-4675-4D4D-93C2-3C666DE12B92}"/>
    <cellStyle name="Saída 8" xfId="14806" xr:uid="{4A2A9A92-B963-4E0D-BF96-07B2A4D493E9}"/>
    <cellStyle name="Saída 8 10" xfId="14807" xr:uid="{56FE5B2E-0F0D-48D7-AB80-09F7179F91BB}"/>
    <cellStyle name="Saída 8 11" xfId="14808" xr:uid="{2A72E804-87DE-49A2-B2EC-348C610660AB}"/>
    <cellStyle name="Saída 8 12" xfId="14809" xr:uid="{11B01615-4896-443E-A49B-54A955420F39}"/>
    <cellStyle name="Saída 8 13" xfId="14810" xr:uid="{B202CCE0-0C4B-4ABE-AEA8-62196A1D63F0}"/>
    <cellStyle name="Saída 8 14" xfId="14811" xr:uid="{D73BCEB7-3004-41F7-8761-3582C5B688B3}"/>
    <cellStyle name="Saída 8 15" xfId="14812" xr:uid="{F4C9FA3F-95CC-4AFF-A611-EBE0A4581DB9}"/>
    <cellStyle name="Saída 8 16" xfId="14813" xr:uid="{5DCD96AC-86BA-4FF3-9A75-CC08BC2B108D}"/>
    <cellStyle name="Saída 8 17" xfId="14814" xr:uid="{D3425B2A-3CE6-488F-A908-8DFEA0E2E76D}"/>
    <cellStyle name="Saída 8 18" xfId="14815" xr:uid="{4ABC2606-6686-47AA-A4D8-DDC55DC18CB5}"/>
    <cellStyle name="Saída 8 19" xfId="14816" xr:uid="{6ACBA360-0E67-431E-9C06-7565212A1F64}"/>
    <cellStyle name="Saída 8 2" xfId="14817" xr:uid="{FA133147-6505-45C2-ADF6-DE7060E39B53}"/>
    <cellStyle name="Saída 8 3" xfId="14818" xr:uid="{313C2D2E-3FF4-4D82-8D1D-6CCA22E1CA0C}"/>
    <cellStyle name="Saída 8 4" xfId="14819" xr:uid="{A95C3B26-0AA4-4AB6-8032-71385EA000E8}"/>
    <cellStyle name="Saída 8 5" xfId="14820" xr:uid="{E8A3BAA7-68C4-43D2-BE34-CEDEDCA8A47D}"/>
    <cellStyle name="Saída 8 6" xfId="14821" xr:uid="{AC50A798-476C-4861-A5D7-D1FEB88B2985}"/>
    <cellStyle name="Saída 8 7" xfId="14822" xr:uid="{F0987051-9EE4-4ECD-B204-CB7DA25ECED5}"/>
    <cellStyle name="Saída 8 8" xfId="14823" xr:uid="{12A9903E-858C-4677-90F3-42108295D32C}"/>
    <cellStyle name="Saída 8 9" xfId="14824" xr:uid="{787BE196-13AD-46CA-A777-2FD46D7E38C6}"/>
    <cellStyle name="Saída 8_2013" xfId="14825" xr:uid="{E6717488-D572-45B2-9920-B5C5DAD71CAE}"/>
    <cellStyle name="Saída 9" xfId="14826" xr:uid="{61EC3E17-2336-4495-8267-561514F85164}"/>
    <cellStyle name="Saída_2013" xfId="14827" xr:uid="{C65F8F5E-69AF-4E92-A6B9-31EBC5474899}"/>
    <cellStyle name="Schlecht" xfId="14828" xr:uid="{D381D382-BF76-4133-AE01-29C134E6983F}"/>
    <cellStyle name="Schlecht 2" xfId="14829" xr:uid="{7AABF7B3-CD0E-4B81-93C1-2DE5CDFC4DCC}"/>
    <cellStyle name="Schlecht_2013" xfId="14830" xr:uid="{9F4C961E-AF4B-4DCB-A1C0-D191AD50D2B1}"/>
    <cellStyle name="Selittävä teksti" xfId="14831" xr:uid="{F6BC5699-0F3B-47D5-B692-296C76279550}"/>
    <cellStyle name="Selittävä teksti 2" xfId="14832" xr:uid="{E0E5447C-8BD8-4827-B176-9E3A976D2185}"/>
    <cellStyle name="Selittävä teksti_2013" xfId="14833" xr:uid="{B8128D14-C6A9-40C5-BB90-65CA0300D095}"/>
    <cellStyle name="Shade" xfId="14834" xr:uid="{42F533F5-029B-42D3-BB3F-1C41192D3EB3}"/>
    <cellStyle name="Shade 2" xfId="14835" xr:uid="{EF7BBCFC-12FD-46D7-B080-9179AB86551B}"/>
    <cellStyle name="Shade 2 2" xfId="14836" xr:uid="{B643958F-A8CC-4374-8D06-B23C7771ACC3}"/>
    <cellStyle name="Shade 2_2013" xfId="14837" xr:uid="{EA442762-B985-4175-A70C-B1EFD257FB49}"/>
    <cellStyle name="Shade 3" xfId="14838" xr:uid="{DA70E123-8025-44E7-8353-C8E88FE7E6BF}"/>
    <cellStyle name="Shade_2013" xfId="14839" xr:uid="{C846C27F-0D66-452F-B4F5-AD99785AFBD9}"/>
    <cellStyle name="Sheet Title" xfId="14840" xr:uid="{B9340C8B-C279-470B-B221-7C96B06495CA}"/>
    <cellStyle name="Standaard__Mailout" xfId="14841" xr:uid="{B4BE0472-5DE5-4CBB-ACB9-72B67B4A0C24}"/>
    <cellStyle name="Sterling" xfId="14842" xr:uid="{81219981-481A-498F-B4A8-4392347A69E9}"/>
    <cellStyle name="Stil 1" xfId="14843" xr:uid="{914B2F66-534B-4191-9E12-3C0F6BECEEE3}"/>
    <cellStyle name="Style 1" xfId="14844" xr:uid="{182E34ED-E27F-42FE-B6CF-897C827E1BE4}"/>
    <cellStyle name="Style 1 2" xfId="14845" xr:uid="{58B07507-BC6D-4B0D-BF85-54B26F6CF092}"/>
    <cellStyle name="Style 1 3" xfId="14846" xr:uid="{55B58873-7D64-4D09-ADFF-8B49450E2049}"/>
    <cellStyle name="Style 1_2013" xfId="14847" xr:uid="{A1274A0C-57A2-4C5A-815F-562BC9176089}"/>
    <cellStyle name="Sub heading" xfId="14848" xr:uid="{F7A95608-458E-4C71-B871-B6F9592FB090}"/>
    <cellStyle name="Summa" xfId="14849" xr:uid="{32C6877B-E662-4F46-8684-FCCC2F4FA44D}"/>
    <cellStyle name="Summa 10" xfId="14850" xr:uid="{F27E59F7-A8A3-465E-A34C-96DC8ECFD1A4}"/>
    <cellStyle name="Summa 11" xfId="14851" xr:uid="{1E0DB706-FBE4-4988-A389-A36DBD056635}"/>
    <cellStyle name="Summa 12" xfId="14852" xr:uid="{BFCF691C-A1AC-4F79-9204-A6E41AEAF564}"/>
    <cellStyle name="Summa 13" xfId="14853" xr:uid="{3F86AF40-ECF7-4F80-9825-072356206AE9}"/>
    <cellStyle name="Summa 14" xfId="14854" xr:uid="{6C2978F2-D6FB-4CE9-B017-E93E18E5F83C}"/>
    <cellStyle name="Summa 15" xfId="14855" xr:uid="{5569E6F9-3909-49A1-A3A0-F696B6380B8C}"/>
    <cellStyle name="Summa 16" xfId="14856" xr:uid="{E1372A8B-0693-455B-B673-35B2309E15A4}"/>
    <cellStyle name="Summa 17" xfId="14857" xr:uid="{394F51FE-FBE5-4DAB-B8DB-82092D7C5BFF}"/>
    <cellStyle name="Summa 18" xfId="14858" xr:uid="{6724F686-B0CC-4FEF-80F0-C92A658D1088}"/>
    <cellStyle name="Summa 19" xfId="14859" xr:uid="{2F22ECED-94AB-4689-AE97-DAA1F615C998}"/>
    <cellStyle name="Summa 2" xfId="14860" xr:uid="{7201EEF5-090A-4A38-B363-AB01D12F4642}"/>
    <cellStyle name="Summa 2 10" xfId="14861" xr:uid="{594A76BF-DDB0-4181-834E-EDB5BAF619B7}"/>
    <cellStyle name="Summa 2 11" xfId="14862" xr:uid="{DCC41BC2-CFB1-446F-AE32-296CAA061A61}"/>
    <cellStyle name="Summa 2 12" xfId="14863" xr:uid="{D0563B36-D191-42D6-BD55-E90032FF38C9}"/>
    <cellStyle name="Summa 2 13" xfId="14864" xr:uid="{735DDB23-349F-4A93-9C51-2DFE54851FB5}"/>
    <cellStyle name="Summa 2 14" xfId="14865" xr:uid="{8E260894-771C-4E61-A3C9-B99F7E6A5030}"/>
    <cellStyle name="Summa 2 15" xfId="14866" xr:uid="{CC70038A-BA11-4ED5-8840-38C5CF81C2D4}"/>
    <cellStyle name="Summa 2 16" xfId="14867" xr:uid="{0F6E6980-4664-484F-96CD-4AD26B161F42}"/>
    <cellStyle name="Summa 2 17" xfId="14868" xr:uid="{BC05195B-84A8-407C-A657-47D2A7D6225D}"/>
    <cellStyle name="Summa 2 18" xfId="14869" xr:uid="{1B09D493-5AE6-4E98-8F34-2DB5C8CF0D2F}"/>
    <cellStyle name="Summa 2 19" xfId="14870" xr:uid="{1ADE1CC9-494F-4DA3-BC3B-FF7BB081DFE6}"/>
    <cellStyle name="Summa 2 2" xfId="14871" xr:uid="{57E2CC09-76BE-4F80-B39C-10A434F11195}"/>
    <cellStyle name="Summa 2 2 10" xfId="14872" xr:uid="{53829078-37CE-40BB-A85F-16053B121B3E}"/>
    <cellStyle name="Summa 2 2 11" xfId="14873" xr:uid="{D64F52FA-37A9-43E7-A131-88453DB8D150}"/>
    <cellStyle name="Summa 2 2 12" xfId="14874" xr:uid="{A93B48CD-3D8A-45CA-B77C-868F1CA45FEF}"/>
    <cellStyle name="Summa 2 2 13" xfId="14875" xr:uid="{35B44122-5B98-45BC-9092-32490E33CA9F}"/>
    <cellStyle name="Summa 2 2 14" xfId="14876" xr:uid="{6655EA16-CED2-4062-B0E7-9BE76C846D7F}"/>
    <cellStyle name="Summa 2 2 15" xfId="14877" xr:uid="{E925CE24-5893-4AC7-AC14-70EDD9DEF781}"/>
    <cellStyle name="Summa 2 2 16" xfId="14878" xr:uid="{373FBC98-F493-4159-82DC-97922BA0FB74}"/>
    <cellStyle name="Summa 2 2 17" xfId="14879" xr:uid="{59B80718-2225-468B-BC93-1F9016E50CEB}"/>
    <cellStyle name="Summa 2 2 18" xfId="14880" xr:uid="{6DA16A2B-8142-4A2B-8ADB-ABC4B71594D7}"/>
    <cellStyle name="Summa 2 2 19" xfId="14881" xr:uid="{7A03E71E-0D56-4E1B-9F3E-E8CADE745A66}"/>
    <cellStyle name="Summa 2 2 2" xfId="14882" xr:uid="{2CA78404-93C7-47D7-9535-A380BD8838B7}"/>
    <cellStyle name="Summa 2 2 2 10" xfId="14883" xr:uid="{A15608D1-1164-4C17-9F50-62FC6930A22E}"/>
    <cellStyle name="Summa 2 2 2 11" xfId="14884" xr:uid="{A5DDC7B6-32F0-45AC-BC02-18BB2E1ECCBE}"/>
    <cellStyle name="Summa 2 2 2 12" xfId="14885" xr:uid="{3996E1C4-BAA1-4289-B244-31EFF73A083D}"/>
    <cellStyle name="Summa 2 2 2 13" xfId="14886" xr:uid="{3BA9886E-5928-4491-BFB5-035A7B5C9CA2}"/>
    <cellStyle name="Summa 2 2 2 14" xfId="14887" xr:uid="{9A08651A-E265-4A5A-AFE2-D0DAE01EE1E4}"/>
    <cellStyle name="Summa 2 2 2 15" xfId="14888" xr:uid="{4F8475F4-D1A6-4B9F-9A88-3A928F3EA536}"/>
    <cellStyle name="Summa 2 2 2 16" xfId="14889" xr:uid="{938CB0B5-6F1C-4F2A-A219-E015CE0DA683}"/>
    <cellStyle name="Summa 2 2 2 17" xfId="14890" xr:uid="{D367CA51-2AE9-4775-8FC2-7A8593D283B6}"/>
    <cellStyle name="Summa 2 2 2 18" xfId="14891" xr:uid="{4A98CA2C-5C1D-46BF-A962-F3EBDAFBB4C3}"/>
    <cellStyle name="Summa 2 2 2 19" xfId="14892" xr:uid="{40267E74-8C61-4331-B047-A81F2D72C031}"/>
    <cellStyle name="Summa 2 2 2 2" xfId="14893" xr:uid="{1C56392F-79D7-488F-B293-029FD8D6A57B}"/>
    <cellStyle name="Summa 2 2 2 2 10" xfId="14894" xr:uid="{350A8507-2949-45CE-BE35-5183178E9100}"/>
    <cellStyle name="Summa 2 2 2 2 11" xfId="14895" xr:uid="{8CC6A337-E7D4-47C6-A9D3-D99CCFFFA327}"/>
    <cellStyle name="Summa 2 2 2 2 12" xfId="14896" xr:uid="{80D275E2-9799-4588-AF58-DE3F217A7723}"/>
    <cellStyle name="Summa 2 2 2 2 13" xfId="14897" xr:uid="{D47EB542-533A-4977-95A7-C1E503431B1C}"/>
    <cellStyle name="Summa 2 2 2 2 14" xfId="14898" xr:uid="{1DF47080-1F66-4873-B9F1-2B43EA005FE2}"/>
    <cellStyle name="Summa 2 2 2 2 15" xfId="14899" xr:uid="{4382AA78-5500-40CC-931E-F1FC4645685C}"/>
    <cellStyle name="Summa 2 2 2 2 16" xfId="14900" xr:uid="{4FABA9B2-08D4-4A84-9907-0B4C069CB58D}"/>
    <cellStyle name="Summa 2 2 2 2 17" xfId="14901" xr:uid="{9A2C5BF2-9039-40C3-82BD-E725E1D28351}"/>
    <cellStyle name="Summa 2 2 2 2 18" xfId="14902" xr:uid="{657AEAB8-1308-4009-8E9C-E43CF44C57C7}"/>
    <cellStyle name="Summa 2 2 2 2 19" xfId="14903" xr:uid="{064E6488-68F5-49B1-BC05-984ED52F2F63}"/>
    <cellStyle name="Summa 2 2 2 2 2" xfId="14904" xr:uid="{6D6C2858-304C-4A06-93DC-340887861EC5}"/>
    <cellStyle name="Summa 2 2 2 2 3" xfId="14905" xr:uid="{F7C26D55-2DAB-4E1F-8281-C830245289B7}"/>
    <cellStyle name="Summa 2 2 2 2 4" xfId="14906" xr:uid="{74D1C17D-E197-4489-AED4-6B6247A00A48}"/>
    <cellStyle name="Summa 2 2 2 2 5" xfId="14907" xr:uid="{4ADA7AD3-120D-466B-9706-47E8984F5B07}"/>
    <cellStyle name="Summa 2 2 2 2 6" xfId="14908" xr:uid="{3DF50A3F-18E8-4D51-9D2A-B1BCAF937AD3}"/>
    <cellStyle name="Summa 2 2 2 2 7" xfId="14909" xr:uid="{BB024A42-D4E9-40A3-B444-01EAD89ACE07}"/>
    <cellStyle name="Summa 2 2 2 2 8" xfId="14910" xr:uid="{A0F2ACF3-0EAB-409C-8FCB-4C6394BC657E}"/>
    <cellStyle name="Summa 2 2 2 2 9" xfId="14911" xr:uid="{7E5009EE-3E00-4174-97BE-18F60A3249B1}"/>
    <cellStyle name="Summa 2 2 2 2_2013" xfId="14912" xr:uid="{29F7BC56-014D-49D3-9EF6-57243B964148}"/>
    <cellStyle name="Summa 2 2 2 20" xfId="14913" xr:uid="{12BDDE4F-E028-41B2-9B99-F241B2D5585E}"/>
    <cellStyle name="Summa 2 2 2 3" xfId="14914" xr:uid="{730BABE9-7D94-4B66-8A50-4AC42708CAD9}"/>
    <cellStyle name="Summa 2 2 2 4" xfId="14915" xr:uid="{2639E70D-F69E-40F1-9627-241E9CE6014C}"/>
    <cellStyle name="Summa 2 2 2 5" xfId="14916" xr:uid="{5CAA5F5E-E075-4493-9891-EE49936AB829}"/>
    <cellStyle name="Summa 2 2 2 6" xfId="14917" xr:uid="{DFDDD91F-CB12-4409-BDE2-67A2E149C8B4}"/>
    <cellStyle name="Summa 2 2 2 7" xfId="14918" xr:uid="{25DC94F8-2CCE-4E98-80CE-0D491CEEDB19}"/>
    <cellStyle name="Summa 2 2 2 8" xfId="14919" xr:uid="{BC21E92D-A950-4B44-88AA-C5E779865E43}"/>
    <cellStyle name="Summa 2 2 2 9" xfId="14920" xr:uid="{00922192-8A9C-4D95-9885-25F65A7144ED}"/>
    <cellStyle name="Summa 2 2 2_2013" xfId="14921" xr:uid="{6265E1B0-A89A-43D6-903E-5B517B3EDAB6}"/>
    <cellStyle name="Summa 2 2 20" xfId="14922" xr:uid="{D23E665A-C608-457C-92CC-937EEFB41343}"/>
    <cellStyle name="Summa 2 2 21" xfId="14923" xr:uid="{B81E977C-222B-4C41-80DF-8408A4C92CBD}"/>
    <cellStyle name="Summa 2 2 22" xfId="14924" xr:uid="{E556B1C8-642F-4A0B-8888-B5D597A76224}"/>
    <cellStyle name="Summa 2 2 23" xfId="14925" xr:uid="{9EC6F950-F3C8-4D78-9235-8CF720CA7934}"/>
    <cellStyle name="Summa 2 2 3" xfId="14926" xr:uid="{FE1321E9-5C0C-4517-B20E-C99466A73BEF}"/>
    <cellStyle name="Summa 2 2 3 10" xfId="14927" xr:uid="{FEF1C0A2-1E4C-4CC0-BFE0-2DE8380FF5D2}"/>
    <cellStyle name="Summa 2 2 3 11" xfId="14928" xr:uid="{AE09A6BA-E88D-4D15-BFB4-24413CFEFFFA}"/>
    <cellStyle name="Summa 2 2 3 12" xfId="14929" xr:uid="{199D4513-77ED-451C-A820-C8039C5EEC28}"/>
    <cellStyle name="Summa 2 2 3 13" xfId="14930" xr:uid="{F94AB708-8163-49D6-96D3-05E40AB0E07A}"/>
    <cellStyle name="Summa 2 2 3 14" xfId="14931" xr:uid="{1D0D649A-D8B8-4335-A91A-62EBD25A2288}"/>
    <cellStyle name="Summa 2 2 3 15" xfId="14932" xr:uid="{0C6D4307-E24A-45FA-89E5-ADB016341AA9}"/>
    <cellStyle name="Summa 2 2 3 16" xfId="14933" xr:uid="{6D301CF7-0402-4E3E-9C4D-05556F09D086}"/>
    <cellStyle name="Summa 2 2 3 17" xfId="14934" xr:uid="{B281BC8A-20CE-4116-AF1E-7C8000CE49DA}"/>
    <cellStyle name="Summa 2 2 3 18" xfId="14935" xr:uid="{827453E5-55D3-4C90-A959-062D1B6C22FE}"/>
    <cellStyle name="Summa 2 2 3 19" xfId="14936" xr:uid="{9A305BC1-2B47-49A4-B45E-DAE2E123ADE7}"/>
    <cellStyle name="Summa 2 2 3 2" xfId="14937" xr:uid="{7F2A6A84-F35B-4EE5-ACB9-09FB35EC8929}"/>
    <cellStyle name="Summa 2 2 3 2 10" xfId="14938" xr:uid="{9E252CEE-B451-4239-93EC-0E594D63DEBE}"/>
    <cellStyle name="Summa 2 2 3 2 11" xfId="14939" xr:uid="{2A3192C9-978B-456B-9CA6-3B2BE8811908}"/>
    <cellStyle name="Summa 2 2 3 2 12" xfId="14940" xr:uid="{8ADA280E-05DC-4725-B28C-E5578B8A4BFA}"/>
    <cellStyle name="Summa 2 2 3 2 13" xfId="14941" xr:uid="{68447FAE-46B1-4C71-A457-443E32EC4FA2}"/>
    <cellStyle name="Summa 2 2 3 2 14" xfId="14942" xr:uid="{14BDD6AB-8556-446F-A7C7-699B21B24C28}"/>
    <cellStyle name="Summa 2 2 3 2 15" xfId="14943" xr:uid="{AFED8F48-E48C-495A-99D1-CDE9A6137700}"/>
    <cellStyle name="Summa 2 2 3 2 16" xfId="14944" xr:uid="{199C3318-2CE2-4DEF-82D3-867E032A73F3}"/>
    <cellStyle name="Summa 2 2 3 2 17" xfId="14945" xr:uid="{C7412553-10DE-4C14-B852-A632E7CDB21F}"/>
    <cellStyle name="Summa 2 2 3 2 18" xfId="14946" xr:uid="{472E1664-4CF8-4A65-90F4-393E51E896E6}"/>
    <cellStyle name="Summa 2 2 3 2 19" xfId="14947" xr:uid="{93D3BF60-1459-4CC1-BBBE-3B994C83FDBC}"/>
    <cellStyle name="Summa 2 2 3 2 2" xfId="14948" xr:uid="{17A59260-E886-495D-9355-DC809F9904E0}"/>
    <cellStyle name="Summa 2 2 3 2 3" xfId="14949" xr:uid="{73714A12-0F0C-4319-B371-2FF0E04398D1}"/>
    <cellStyle name="Summa 2 2 3 2 4" xfId="14950" xr:uid="{3123D18A-141A-4C49-9E58-A9A49AB6463F}"/>
    <cellStyle name="Summa 2 2 3 2 5" xfId="14951" xr:uid="{7315DFDE-C1F5-440B-A141-88D0D4BE09FA}"/>
    <cellStyle name="Summa 2 2 3 2 6" xfId="14952" xr:uid="{52B93924-ADFD-4CA5-98C7-6532D828862E}"/>
    <cellStyle name="Summa 2 2 3 2 7" xfId="14953" xr:uid="{50CC3306-FA53-43ED-A72F-96AD145D7EDE}"/>
    <cellStyle name="Summa 2 2 3 2 8" xfId="14954" xr:uid="{B491B4A5-2D8F-4815-97BF-180750E55A3E}"/>
    <cellStyle name="Summa 2 2 3 2 9" xfId="14955" xr:uid="{580A3024-521D-4A32-8997-71893A58B23B}"/>
    <cellStyle name="Summa 2 2 3 2_2013" xfId="14956" xr:uid="{859934E1-FC86-4B53-BE10-B5CB883B6ACC}"/>
    <cellStyle name="Summa 2 2 3 20" xfId="14957" xr:uid="{3D78482E-A515-4060-8BB5-957D3B5934AD}"/>
    <cellStyle name="Summa 2 2 3 3" xfId="14958" xr:uid="{5A9F369C-EFAF-4946-9C76-BB566E4388D2}"/>
    <cellStyle name="Summa 2 2 3 4" xfId="14959" xr:uid="{D6F6E9A6-86BF-45B1-83F5-636CD019F4DC}"/>
    <cellStyle name="Summa 2 2 3 5" xfId="14960" xr:uid="{178A9E6A-FADE-4549-8C60-1B64F35BBFFA}"/>
    <cellStyle name="Summa 2 2 3 6" xfId="14961" xr:uid="{9B503A47-60A9-4CB2-B9A2-0AC359549898}"/>
    <cellStyle name="Summa 2 2 3 7" xfId="14962" xr:uid="{88115D18-4CD7-4729-AFBD-6F632CA78923}"/>
    <cellStyle name="Summa 2 2 3 8" xfId="14963" xr:uid="{C6AA0B0A-D04A-4105-A557-A5E6E35F0854}"/>
    <cellStyle name="Summa 2 2 3 9" xfId="14964" xr:uid="{861C5BE2-DA8F-425B-A302-7C3A16C9FA73}"/>
    <cellStyle name="Summa 2 2 3_2013" xfId="14965" xr:uid="{541FDCD6-4458-4E35-A259-9B45A667B649}"/>
    <cellStyle name="Summa 2 2 4" xfId="14966" xr:uid="{B045170C-001E-4E46-A7A5-C79D27744490}"/>
    <cellStyle name="Summa 2 2 4 10" xfId="14967" xr:uid="{0B5EE124-6A35-4936-A35E-4D55D655C5C6}"/>
    <cellStyle name="Summa 2 2 4 11" xfId="14968" xr:uid="{E269ACA2-4562-4946-8511-4C10F6C16073}"/>
    <cellStyle name="Summa 2 2 4 12" xfId="14969" xr:uid="{B1219DC6-B91B-4690-B127-BFAFE7992E5D}"/>
    <cellStyle name="Summa 2 2 4 13" xfId="14970" xr:uid="{ECF55A62-1F21-47F5-9E18-B11AD6927E00}"/>
    <cellStyle name="Summa 2 2 4 14" xfId="14971" xr:uid="{0AA9713E-4AED-4EE1-806D-79767F21E5E1}"/>
    <cellStyle name="Summa 2 2 4 15" xfId="14972" xr:uid="{D46431C7-ECC6-481E-B063-B7B6DD72DAF8}"/>
    <cellStyle name="Summa 2 2 4 16" xfId="14973" xr:uid="{41C365BB-8774-442E-ACEC-BD4B62906F67}"/>
    <cellStyle name="Summa 2 2 4 17" xfId="14974" xr:uid="{CDD2D406-D7CD-4D6B-9F7F-3392FBED5874}"/>
    <cellStyle name="Summa 2 2 4 18" xfId="14975" xr:uid="{4A1019FD-CC65-4C25-ACE9-9D42DD9F2D13}"/>
    <cellStyle name="Summa 2 2 4 19" xfId="14976" xr:uid="{5A08F9A2-7E4F-4503-9CB1-D969D0D2D3F1}"/>
    <cellStyle name="Summa 2 2 4 2" xfId="14977" xr:uid="{6242F042-561D-4F53-82D6-86010E53534C}"/>
    <cellStyle name="Summa 2 2 4 2 10" xfId="14978" xr:uid="{610A6D86-7536-497A-8A4A-F6FAC7ABC1F4}"/>
    <cellStyle name="Summa 2 2 4 2 11" xfId="14979" xr:uid="{08FE8A70-4D77-4164-9C61-40FBAEA6699C}"/>
    <cellStyle name="Summa 2 2 4 2 12" xfId="14980" xr:uid="{6E469C9F-1D6B-44FE-8C6E-F53FC6D0B360}"/>
    <cellStyle name="Summa 2 2 4 2 13" xfId="14981" xr:uid="{3F37B3AF-6C68-4FBE-8D0B-F864D1DA5640}"/>
    <cellStyle name="Summa 2 2 4 2 14" xfId="14982" xr:uid="{0E17410D-272E-4699-844A-A7860DC9C9AB}"/>
    <cellStyle name="Summa 2 2 4 2 15" xfId="14983" xr:uid="{251BAEB8-FCC1-45E0-8379-9310F8D18CDB}"/>
    <cellStyle name="Summa 2 2 4 2 16" xfId="14984" xr:uid="{4AA8183B-75C3-4822-A889-91883ED64C10}"/>
    <cellStyle name="Summa 2 2 4 2 17" xfId="14985" xr:uid="{0D0EE5B8-028A-4A13-AE5C-8A75393EDF57}"/>
    <cellStyle name="Summa 2 2 4 2 18" xfId="14986" xr:uid="{15ACCBF3-CE1D-45A5-8C10-A37C0BD4F651}"/>
    <cellStyle name="Summa 2 2 4 2 19" xfId="14987" xr:uid="{4A48E363-1D2B-4269-92D7-0B46C12622CF}"/>
    <cellStyle name="Summa 2 2 4 2 2" xfId="14988" xr:uid="{F4C054F5-8547-4D3C-96FB-14B924633A4A}"/>
    <cellStyle name="Summa 2 2 4 2 3" xfId="14989" xr:uid="{4DA66C35-CA09-4CB2-8F57-B1C7778C35A3}"/>
    <cellStyle name="Summa 2 2 4 2 4" xfId="14990" xr:uid="{B63B855C-4BC2-4478-ABDD-501C0C7595C4}"/>
    <cellStyle name="Summa 2 2 4 2 5" xfId="14991" xr:uid="{232739F0-95EB-4F37-9801-84DFC99467A0}"/>
    <cellStyle name="Summa 2 2 4 2 6" xfId="14992" xr:uid="{B78189DF-7DCF-45D6-82C7-0606445D2F8F}"/>
    <cellStyle name="Summa 2 2 4 2 7" xfId="14993" xr:uid="{373CD7AB-0D48-4302-BB4A-417F82ED1199}"/>
    <cellStyle name="Summa 2 2 4 2 8" xfId="14994" xr:uid="{7E2C4F35-4645-4B16-9A14-D215F26B2136}"/>
    <cellStyle name="Summa 2 2 4 2 9" xfId="14995" xr:uid="{D91039D6-C525-4E4B-A8B1-DB1CB4E1208F}"/>
    <cellStyle name="Summa 2 2 4 2_2013" xfId="14996" xr:uid="{F63D188F-A414-4906-A32D-06A64B93CD13}"/>
    <cellStyle name="Summa 2 2 4 20" xfId="14997" xr:uid="{27F4B6FF-6CD7-4974-BBF8-E11071D6A77F}"/>
    <cellStyle name="Summa 2 2 4 3" xfId="14998" xr:uid="{58D60C8D-58C0-47E5-A1C4-B3B64C10E552}"/>
    <cellStyle name="Summa 2 2 4 4" xfId="14999" xr:uid="{6DB8EA22-76F3-4CB0-9F05-0EAD7B62B46B}"/>
    <cellStyle name="Summa 2 2 4 5" xfId="15000" xr:uid="{FF0C0668-C0FF-4391-A722-A9EE91E18658}"/>
    <cellStyle name="Summa 2 2 4 6" xfId="15001" xr:uid="{53037167-7A15-4DDE-9FCA-F72C7AEBC311}"/>
    <cellStyle name="Summa 2 2 4 7" xfId="15002" xr:uid="{AB6E2CDB-5DA1-4002-80DE-1EB195326F7E}"/>
    <cellStyle name="Summa 2 2 4 8" xfId="15003" xr:uid="{EB178457-2088-4AB7-A70E-C862916C100E}"/>
    <cellStyle name="Summa 2 2 4 9" xfId="15004" xr:uid="{8143E4DC-F7DC-446A-BE5F-C22CCD653F9E}"/>
    <cellStyle name="Summa 2 2 4_2013" xfId="15005" xr:uid="{D72694E6-9606-4D44-8593-5BA3D55204F1}"/>
    <cellStyle name="Summa 2 2 5" xfId="15006" xr:uid="{A281713A-5B2D-4FEC-B2C2-DAEF8C82DEFF}"/>
    <cellStyle name="Summa 2 2 5 10" xfId="15007" xr:uid="{AF14EAE4-E14C-4CED-BB51-43A58CB2DB62}"/>
    <cellStyle name="Summa 2 2 5 11" xfId="15008" xr:uid="{F9568782-366F-4B9D-8A8E-3BA088F9DAA2}"/>
    <cellStyle name="Summa 2 2 5 12" xfId="15009" xr:uid="{65485981-F8DE-416C-AD07-B3F0A432C2A2}"/>
    <cellStyle name="Summa 2 2 5 13" xfId="15010" xr:uid="{F28BE264-FD2A-42A5-A4FD-9A4C27175677}"/>
    <cellStyle name="Summa 2 2 5 14" xfId="15011" xr:uid="{FE62CCF4-F21A-4B25-8AA2-1CE525D8E87B}"/>
    <cellStyle name="Summa 2 2 5 15" xfId="15012" xr:uid="{3CE16460-1122-4034-9FED-CD16A177DBFE}"/>
    <cellStyle name="Summa 2 2 5 16" xfId="15013" xr:uid="{913BDEB4-DAFA-4256-B039-C7333B71897E}"/>
    <cellStyle name="Summa 2 2 5 17" xfId="15014" xr:uid="{DAD1A714-4564-41C8-8946-DAC3ABEDF111}"/>
    <cellStyle name="Summa 2 2 5 18" xfId="15015" xr:uid="{844A9D82-FDCD-4360-ACBB-81E3419E529C}"/>
    <cellStyle name="Summa 2 2 5 19" xfId="15016" xr:uid="{E21FC912-77F1-4E91-9A9C-1ADF0AB8A06D}"/>
    <cellStyle name="Summa 2 2 5 2" xfId="15017" xr:uid="{3EA5112E-E729-40C0-B4FE-5C3F12F389EF}"/>
    <cellStyle name="Summa 2 2 5 3" xfId="15018" xr:uid="{8CDD08AB-9A4D-4B3E-A639-BDE942C0CCA1}"/>
    <cellStyle name="Summa 2 2 5 4" xfId="15019" xr:uid="{0CD1C110-2C02-4D52-9759-50122F455B58}"/>
    <cellStyle name="Summa 2 2 5 5" xfId="15020" xr:uid="{D8CADDAD-024E-4059-9867-EB83000AD18C}"/>
    <cellStyle name="Summa 2 2 5 6" xfId="15021" xr:uid="{BE3A994C-B531-4E20-B018-299612FB9B2F}"/>
    <cellStyle name="Summa 2 2 5 7" xfId="15022" xr:uid="{A222FA0A-596B-45E2-AE61-9B53174E53E0}"/>
    <cellStyle name="Summa 2 2 5 8" xfId="15023" xr:uid="{95037790-580D-4DED-A29D-98DD2E6FCA13}"/>
    <cellStyle name="Summa 2 2 5 9" xfId="15024" xr:uid="{A719D909-3552-4B9E-8F0E-8F2815D239ED}"/>
    <cellStyle name="Summa 2 2 5_2013" xfId="15025" xr:uid="{270D596D-C7E1-4424-B102-8AAEDBA3FBDC}"/>
    <cellStyle name="Summa 2 2 6" xfId="15026" xr:uid="{1034D64E-8175-4162-BEE5-0D443EA3065E}"/>
    <cellStyle name="Summa 2 2 7" xfId="15027" xr:uid="{BF13916F-8202-4392-A966-31D53C82C032}"/>
    <cellStyle name="Summa 2 2 8" xfId="15028" xr:uid="{E2BE271B-D663-4D9E-92C5-EF1BB6962B50}"/>
    <cellStyle name="Summa 2 2 9" xfId="15029" xr:uid="{91F004AE-7F75-4AB9-853B-31EBA89A0CCB}"/>
    <cellStyle name="Summa 2 2_2013" xfId="15030" xr:uid="{29FECF2E-7F83-45E2-82E7-BF8FBE2505A5}"/>
    <cellStyle name="Summa 2 20" xfId="15031" xr:uid="{A4D5A0E7-4780-466A-8B58-18452881EC27}"/>
    <cellStyle name="Summa 2 21" xfId="15032" xr:uid="{19468382-578B-42D3-829B-50F07AF3F96D}"/>
    <cellStyle name="Summa 2 22" xfId="15033" xr:uid="{C81543C1-8730-4A77-A55E-A755D89DC344}"/>
    <cellStyle name="Summa 2 23" xfId="15034" xr:uid="{5D007F2D-5AF9-4020-BAD9-E4FB16376C15}"/>
    <cellStyle name="Summa 2 24" xfId="15035" xr:uid="{9601183B-9A72-48FA-9590-5DF786AD483E}"/>
    <cellStyle name="Summa 2 3" xfId="15036" xr:uid="{14A0BCC6-FA48-434B-8BC9-7F9F73CEB400}"/>
    <cellStyle name="Summa 2 3 10" xfId="15037" xr:uid="{ABC46B9C-F552-4854-B084-0A76A1817A73}"/>
    <cellStyle name="Summa 2 3 11" xfId="15038" xr:uid="{746656E6-C63B-4D90-8BEA-E118DF7C3495}"/>
    <cellStyle name="Summa 2 3 12" xfId="15039" xr:uid="{CC1A8770-4DBE-4713-B93D-9031C77E9C36}"/>
    <cellStyle name="Summa 2 3 13" xfId="15040" xr:uid="{A0635A14-1755-4641-A9A1-78438E922AE0}"/>
    <cellStyle name="Summa 2 3 14" xfId="15041" xr:uid="{9BF60DDB-529C-4C7F-9881-CC502A7CEB53}"/>
    <cellStyle name="Summa 2 3 15" xfId="15042" xr:uid="{E6549BCF-4E15-4536-A469-C8ED41A47B7F}"/>
    <cellStyle name="Summa 2 3 16" xfId="15043" xr:uid="{DA40EAD3-3F7B-4723-8A81-41583917B2B1}"/>
    <cellStyle name="Summa 2 3 17" xfId="15044" xr:uid="{25AC6B72-5400-4595-A352-702DB9296421}"/>
    <cellStyle name="Summa 2 3 18" xfId="15045" xr:uid="{8F7947CB-4F2E-4BF9-9983-2644646375FF}"/>
    <cellStyle name="Summa 2 3 19" xfId="15046" xr:uid="{DCE4D875-57FA-43BA-8F94-8F7CC45F15EF}"/>
    <cellStyle name="Summa 2 3 2" xfId="15047" xr:uid="{084A7BB7-65BC-419B-9720-1B53246E22DF}"/>
    <cellStyle name="Summa 2 3 2 10" xfId="15048" xr:uid="{DCB589E9-7698-4023-8CCF-A9CA9FC25DCA}"/>
    <cellStyle name="Summa 2 3 2 11" xfId="15049" xr:uid="{EFF42ABC-F366-4601-8A47-D28369866634}"/>
    <cellStyle name="Summa 2 3 2 12" xfId="15050" xr:uid="{BB7577A9-95CF-4755-9AB3-B83FA13CF36D}"/>
    <cellStyle name="Summa 2 3 2 13" xfId="15051" xr:uid="{7A2246CA-DABB-4311-A80A-A63105FA3AE0}"/>
    <cellStyle name="Summa 2 3 2 14" xfId="15052" xr:uid="{90E06B9B-297F-4F1A-9416-9AAFC5145D2D}"/>
    <cellStyle name="Summa 2 3 2 15" xfId="15053" xr:uid="{A9548587-598F-4189-ABE2-37B5D42DF240}"/>
    <cellStyle name="Summa 2 3 2 16" xfId="15054" xr:uid="{A4BEBE9E-D8E0-4CB3-9BA7-E3F4A93CE16F}"/>
    <cellStyle name="Summa 2 3 2 17" xfId="15055" xr:uid="{A216CE61-369D-42E4-91CC-B3E524F16F01}"/>
    <cellStyle name="Summa 2 3 2 18" xfId="15056" xr:uid="{E80B36B2-97ED-4F79-A6A2-5D49DF8E9E52}"/>
    <cellStyle name="Summa 2 3 2 19" xfId="15057" xr:uid="{55920FA6-705F-4E37-A15E-BE621FBDA891}"/>
    <cellStyle name="Summa 2 3 2 2" xfId="15058" xr:uid="{D0D90DB5-5C24-4249-954C-14592F6D0537}"/>
    <cellStyle name="Summa 2 3 2 3" xfId="15059" xr:uid="{03951BD2-3061-4B14-A5BD-9995D15DDC29}"/>
    <cellStyle name="Summa 2 3 2 4" xfId="15060" xr:uid="{00341098-1088-469E-BE07-539DCD12BE83}"/>
    <cellStyle name="Summa 2 3 2 5" xfId="15061" xr:uid="{BB23B6AC-4274-40B6-845D-B467D2B5D571}"/>
    <cellStyle name="Summa 2 3 2 6" xfId="15062" xr:uid="{ECC4DD9A-AE74-4530-A6AB-32CDAF60BEA5}"/>
    <cellStyle name="Summa 2 3 2 7" xfId="15063" xr:uid="{AB56650E-494C-422E-8D3A-914762D5211D}"/>
    <cellStyle name="Summa 2 3 2 8" xfId="15064" xr:uid="{146C2220-7EDE-401D-BCF8-A35D671B0CF1}"/>
    <cellStyle name="Summa 2 3 2 9" xfId="15065" xr:uid="{1E4D8CEF-9C9B-4359-A1B4-E1A6EF6FA8EE}"/>
    <cellStyle name="Summa 2 3 2_2013" xfId="15066" xr:uid="{920D1819-5939-4EDF-98C2-00DD1CC8D2F2}"/>
    <cellStyle name="Summa 2 3 20" xfId="15067" xr:uid="{7386CAD9-6151-44D9-B684-D2777B34284B}"/>
    <cellStyle name="Summa 2 3 3" xfId="15068" xr:uid="{F0C61930-43C7-4D85-BF1D-36CD5FEDF736}"/>
    <cellStyle name="Summa 2 3 4" xfId="15069" xr:uid="{9176FEF2-EDE1-47BE-A295-213401D8F5BD}"/>
    <cellStyle name="Summa 2 3 5" xfId="15070" xr:uid="{DB7796F7-38E6-45A5-AD96-32E2AF0D4678}"/>
    <cellStyle name="Summa 2 3 6" xfId="15071" xr:uid="{B2FBF4DB-AAC7-43D1-A82B-9282F1966F2C}"/>
    <cellStyle name="Summa 2 3 7" xfId="15072" xr:uid="{110EEE16-E235-483B-90C5-966CF65860E0}"/>
    <cellStyle name="Summa 2 3 8" xfId="15073" xr:uid="{5B82006F-2DCE-4E4A-9170-7C9801D19D98}"/>
    <cellStyle name="Summa 2 3 9" xfId="15074" xr:uid="{CC8233C5-DDF5-412D-85AC-3517539B69D3}"/>
    <cellStyle name="Summa 2 3_2013" xfId="15075" xr:uid="{6243C598-D92D-4D3B-937B-2756429EA4B5}"/>
    <cellStyle name="Summa 2 4" xfId="15076" xr:uid="{8100938D-7E2F-400E-80D3-FCAEE44A895F}"/>
    <cellStyle name="Summa 2 4 10" xfId="15077" xr:uid="{17AB114F-89DE-4FF0-85D3-00DBE045F70C}"/>
    <cellStyle name="Summa 2 4 11" xfId="15078" xr:uid="{8B7CE1A4-835F-4CEF-B747-431E6A4759ED}"/>
    <cellStyle name="Summa 2 4 12" xfId="15079" xr:uid="{B1A29961-3D86-45D1-9F80-AA6D9C071C39}"/>
    <cellStyle name="Summa 2 4 13" xfId="15080" xr:uid="{D2715153-49E9-4164-ADB3-F0D8905DFF47}"/>
    <cellStyle name="Summa 2 4 14" xfId="15081" xr:uid="{AF7D9FCD-D719-47BB-85CA-12C72B0A40D2}"/>
    <cellStyle name="Summa 2 4 15" xfId="15082" xr:uid="{2B4934D7-C156-497A-A901-61408F79E043}"/>
    <cellStyle name="Summa 2 4 16" xfId="15083" xr:uid="{5989E0DC-D006-498B-8615-D6A7D2665D2A}"/>
    <cellStyle name="Summa 2 4 17" xfId="15084" xr:uid="{C7C3C617-7FB2-4E97-B2CA-D43D3A0BA43A}"/>
    <cellStyle name="Summa 2 4 18" xfId="15085" xr:uid="{606E9CF7-8987-4B7F-BB54-1395F96E91D5}"/>
    <cellStyle name="Summa 2 4 19" xfId="15086" xr:uid="{5D87FED5-95CD-416B-85B1-6EF5A4CF1384}"/>
    <cellStyle name="Summa 2 4 2" xfId="15087" xr:uid="{4B7F0705-F943-48C3-8B6B-AE567DA0ECEC}"/>
    <cellStyle name="Summa 2 4 2 10" xfId="15088" xr:uid="{60227D0C-8A53-40D5-AB77-21B7687A843F}"/>
    <cellStyle name="Summa 2 4 2 11" xfId="15089" xr:uid="{8D6DCC81-062E-4C0D-8B20-DDDD622B6C2F}"/>
    <cellStyle name="Summa 2 4 2 12" xfId="15090" xr:uid="{10A54B0D-1A6F-4FD9-BB8A-4F88023B4465}"/>
    <cellStyle name="Summa 2 4 2 13" xfId="15091" xr:uid="{170E18AC-5E42-4E9A-9E90-35227624CAEB}"/>
    <cellStyle name="Summa 2 4 2 14" xfId="15092" xr:uid="{8EA696FC-5399-4708-BF8E-05C120BE1446}"/>
    <cellStyle name="Summa 2 4 2 15" xfId="15093" xr:uid="{B0677338-FF92-4F60-833D-A973A675B8C5}"/>
    <cellStyle name="Summa 2 4 2 16" xfId="15094" xr:uid="{AA2647A5-626E-40AB-BD78-0A14F9CE6962}"/>
    <cellStyle name="Summa 2 4 2 17" xfId="15095" xr:uid="{E08C83F7-1529-437C-A8E2-A92ED911A385}"/>
    <cellStyle name="Summa 2 4 2 18" xfId="15096" xr:uid="{C89A1F73-C1B5-4C7B-B561-F675A9044B36}"/>
    <cellStyle name="Summa 2 4 2 19" xfId="15097" xr:uid="{CEE44058-1426-4F5E-8DD6-42D424448A18}"/>
    <cellStyle name="Summa 2 4 2 2" xfId="15098" xr:uid="{BFAC91A3-A874-4B3B-883E-348CDD04D6B0}"/>
    <cellStyle name="Summa 2 4 2 3" xfId="15099" xr:uid="{E31338AB-36FF-464E-9A06-D33A53F8607E}"/>
    <cellStyle name="Summa 2 4 2 4" xfId="15100" xr:uid="{AA63155C-52CB-468A-9DDA-919E9077EFA5}"/>
    <cellStyle name="Summa 2 4 2 5" xfId="15101" xr:uid="{B742B28D-F88A-4D58-806B-DAECFE5DF806}"/>
    <cellStyle name="Summa 2 4 2 6" xfId="15102" xr:uid="{94707D4E-DD7F-4418-9966-354DDDADAC00}"/>
    <cellStyle name="Summa 2 4 2 7" xfId="15103" xr:uid="{D450B11D-D85F-4F41-95BB-26BC87CE9706}"/>
    <cellStyle name="Summa 2 4 2 8" xfId="15104" xr:uid="{772B2535-1B99-4A91-843C-97205CE6CF65}"/>
    <cellStyle name="Summa 2 4 2 9" xfId="15105" xr:uid="{CE0DE121-E07D-456B-8217-E24EB3E3129D}"/>
    <cellStyle name="Summa 2 4 2_2013" xfId="15106" xr:uid="{99C7C5EA-B068-427E-AA3D-B78B9D2E9C7D}"/>
    <cellStyle name="Summa 2 4 20" xfId="15107" xr:uid="{F6F23F1D-2055-4743-BC79-035D267BB63D}"/>
    <cellStyle name="Summa 2 4 3" xfId="15108" xr:uid="{955C8132-F72F-4ECE-938D-BD03559BE923}"/>
    <cellStyle name="Summa 2 4 4" xfId="15109" xr:uid="{B728B4EB-6B4E-4583-8668-194DD3902525}"/>
    <cellStyle name="Summa 2 4 5" xfId="15110" xr:uid="{84DABA90-EF3C-41DF-B15F-DFA893022309}"/>
    <cellStyle name="Summa 2 4 6" xfId="15111" xr:uid="{DC30AE0C-3685-424F-AE11-0839A2CDF06F}"/>
    <cellStyle name="Summa 2 4 7" xfId="15112" xr:uid="{5A7EF75B-519F-4D12-8FB0-3A7D9E6F6DF4}"/>
    <cellStyle name="Summa 2 4 8" xfId="15113" xr:uid="{10E6F4EF-9A90-4F60-AEDD-8DFCE9160BA2}"/>
    <cellStyle name="Summa 2 4 9" xfId="15114" xr:uid="{BF673B29-2EEF-44EA-82A1-7690D2225375}"/>
    <cellStyle name="Summa 2 4_2013" xfId="15115" xr:uid="{83142F1C-1D5F-406E-8591-EDBC94EB7C5E}"/>
    <cellStyle name="Summa 2 5" xfId="15116" xr:uid="{25A26937-F35B-4DF2-A84E-095679BEADC6}"/>
    <cellStyle name="Summa 2 5 10" xfId="15117" xr:uid="{77CF3DB3-0B53-42E6-B223-E71021AC4937}"/>
    <cellStyle name="Summa 2 5 11" xfId="15118" xr:uid="{24586D35-355B-489D-AB0B-95584BE4AB1B}"/>
    <cellStyle name="Summa 2 5 12" xfId="15119" xr:uid="{B18C36DC-9FCD-4F13-8570-4C6A2D9DFEFC}"/>
    <cellStyle name="Summa 2 5 13" xfId="15120" xr:uid="{D3B2676E-3C31-4E3C-A817-C978CE6842E6}"/>
    <cellStyle name="Summa 2 5 14" xfId="15121" xr:uid="{425FC09E-C760-436B-A098-682F8C5A0501}"/>
    <cellStyle name="Summa 2 5 15" xfId="15122" xr:uid="{3EB1A166-B406-4B79-838E-F74A552DF5CD}"/>
    <cellStyle name="Summa 2 5 16" xfId="15123" xr:uid="{3C1CA8DD-AACB-4E4F-B4BE-AEA365C53D3C}"/>
    <cellStyle name="Summa 2 5 17" xfId="15124" xr:uid="{8A67920E-BE24-4CD1-92CA-F7605B72B118}"/>
    <cellStyle name="Summa 2 5 18" xfId="15125" xr:uid="{FBB9C765-7D80-4358-B510-F2AD00DF18D7}"/>
    <cellStyle name="Summa 2 5 19" xfId="15126" xr:uid="{BE860808-A9CE-477E-8B8A-A42A1FB5A21E}"/>
    <cellStyle name="Summa 2 5 2" xfId="15127" xr:uid="{3745275B-8D34-4B35-9892-DDA0AE3CA43C}"/>
    <cellStyle name="Summa 2 5 2 10" xfId="15128" xr:uid="{C4A0EC3E-2161-4D6C-A5BA-2681A026DC14}"/>
    <cellStyle name="Summa 2 5 2 11" xfId="15129" xr:uid="{EF42209E-B97E-4204-AD4F-06FA1762F4C9}"/>
    <cellStyle name="Summa 2 5 2 12" xfId="15130" xr:uid="{6DBB649F-463A-47CD-AA98-0571B8D5EA17}"/>
    <cellStyle name="Summa 2 5 2 13" xfId="15131" xr:uid="{E3D5CCCB-E3A3-428F-B734-9DFFC3BCCAA3}"/>
    <cellStyle name="Summa 2 5 2 14" xfId="15132" xr:uid="{9C0DA2B2-BF42-4DFF-8701-F58FB8D6FD75}"/>
    <cellStyle name="Summa 2 5 2 15" xfId="15133" xr:uid="{008B30F5-D468-43A2-B925-CB3D15B30636}"/>
    <cellStyle name="Summa 2 5 2 16" xfId="15134" xr:uid="{1B783636-1A8F-41A5-8C46-BC608523A048}"/>
    <cellStyle name="Summa 2 5 2 17" xfId="15135" xr:uid="{7088CE6B-DBB6-49B5-B7DA-14B72E496B25}"/>
    <cellStyle name="Summa 2 5 2 18" xfId="15136" xr:uid="{BF640850-2121-4785-9233-14E363C660EA}"/>
    <cellStyle name="Summa 2 5 2 19" xfId="15137" xr:uid="{54E64CF5-518D-4410-B750-B24FC6D78267}"/>
    <cellStyle name="Summa 2 5 2 2" xfId="15138" xr:uid="{A67CE9DA-160B-4312-A638-6AD4E8FA9EA7}"/>
    <cellStyle name="Summa 2 5 2 3" xfId="15139" xr:uid="{56B08E4E-E9E2-4A44-AE93-9367ECF630D5}"/>
    <cellStyle name="Summa 2 5 2 4" xfId="15140" xr:uid="{78194FB3-D5DF-45EF-8837-2E901C66E29A}"/>
    <cellStyle name="Summa 2 5 2 5" xfId="15141" xr:uid="{2A1593EA-2594-46B8-B340-4C5D799B6E84}"/>
    <cellStyle name="Summa 2 5 2 6" xfId="15142" xr:uid="{3DC145DF-370F-4018-AB7D-33B9C5D5E699}"/>
    <cellStyle name="Summa 2 5 2 7" xfId="15143" xr:uid="{F3E84096-F62B-49B2-B058-A52016CAD1C6}"/>
    <cellStyle name="Summa 2 5 2 8" xfId="15144" xr:uid="{6BE6AFB2-126D-4F24-A37A-75607378EDFA}"/>
    <cellStyle name="Summa 2 5 2 9" xfId="15145" xr:uid="{C76CD3BE-E7FF-4D23-803C-7205A5A389FB}"/>
    <cellStyle name="Summa 2 5 2_2013" xfId="15146" xr:uid="{755FAEAC-9B2A-4A2B-B458-401D709B4308}"/>
    <cellStyle name="Summa 2 5 20" xfId="15147" xr:uid="{3153A79F-574C-495A-82CA-2A495BA53B36}"/>
    <cellStyle name="Summa 2 5 3" xfId="15148" xr:uid="{B68E9D3A-F244-497B-87DD-1C75116B0610}"/>
    <cellStyle name="Summa 2 5 4" xfId="15149" xr:uid="{B32548E2-FEBF-496A-A04B-3814EBB25EF2}"/>
    <cellStyle name="Summa 2 5 5" xfId="15150" xr:uid="{8EA5E355-AE6B-4BCD-AE53-727F06B00F2F}"/>
    <cellStyle name="Summa 2 5 6" xfId="15151" xr:uid="{FB689EB3-A624-48F2-A8CD-0E43B7392F8E}"/>
    <cellStyle name="Summa 2 5 7" xfId="15152" xr:uid="{9662C677-F9C4-4D86-A613-7508A905EEDB}"/>
    <cellStyle name="Summa 2 5 8" xfId="15153" xr:uid="{F49E8C93-9354-4C6C-A209-D9A6C47A49E1}"/>
    <cellStyle name="Summa 2 5 9" xfId="15154" xr:uid="{345F20BB-F9C6-4FCF-9F13-84BCFF509265}"/>
    <cellStyle name="Summa 2 5_2013" xfId="15155" xr:uid="{82812A2C-96EB-4BCF-BEE6-34E7BCD2333F}"/>
    <cellStyle name="Summa 2 6" xfId="15156" xr:uid="{80249A38-A00F-4DFD-921E-DE472C58E615}"/>
    <cellStyle name="Summa 2 6 10" xfId="15157" xr:uid="{655B353E-A053-410F-BC9C-63DBA7B7E52F}"/>
    <cellStyle name="Summa 2 6 11" xfId="15158" xr:uid="{8240B7D4-F4C7-441A-A188-52EDD1A8F8B7}"/>
    <cellStyle name="Summa 2 6 12" xfId="15159" xr:uid="{B81598FF-E21E-49B4-867F-3E6807253B06}"/>
    <cellStyle name="Summa 2 6 13" xfId="15160" xr:uid="{4B1AC751-B73D-4F96-8441-95A445FDB590}"/>
    <cellStyle name="Summa 2 6 14" xfId="15161" xr:uid="{6D4E7318-66B6-4177-9E5E-91B137B96699}"/>
    <cellStyle name="Summa 2 6 15" xfId="15162" xr:uid="{3D82D816-7855-4C5D-9C2B-C11579E7B3DD}"/>
    <cellStyle name="Summa 2 6 16" xfId="15163" xr:uid="{8A2629B2-4DE4-49BD-AEAF-EB5C3F89BA62}"/>
    <cellStyle name="Summa 2 6 17" xfId="15164" xr:uid="{05A675DE-54AB-443B-B4A4-BEAA514B91D7}"/>
    <cellStyle name="Summa 2 6 18" xfId="15165" xr:uid="{B3FAF04C-6719-4B73-AFD3-C0FCC648E162}"/>
    <cellStyle name="Summa 2 6 19" xfId="15166" xr:uid="{89BAB8E5-D995-420E-BC81-AFBE4AB0B917}"/>
    <cellStyle name="Summa 2 6 2" xfId="15167" xr:uid="{77B301D4-A0BD-425E-BC8F-E36FF02A80A5}"/>
    <cellStyle name="Summa 2 6 3" xfId="15168" xr:uid="{0404972C-5329-4EDD-9F82-B7D33EEDCF4F}"/>
    <cellStyle name="Summa 2 6 4" xfId="15169" xr:uid="{F206AB5E-5DF5-4ACE-BBEF-DE2AE4A1C0B0}"/>
    <cellStyle name="Summa 2 6 5" xfId="15170" xr:uid="{EBC57550-DABF-4457-BFBB-713A8057549A}"/>
    <cellStyle name="Summa 2 6 6" xfId="15171" xr:uid="{124190EA-48C1-4DD8-84BD-3DB2BF33FD91}"/>
    <cellStyle name="Summa 2 6 7" xfId="15172" xr:uid="{868D32A2-7D22-4B1F-BF30-EFEE8715DCFD}"/>
    <cellStyle name="Summa 2 6 8" xfId="15173" xr:uid="{D9B5AA80-2BAC-4343-961D-DBC3E4CA4BCC}"/>
    <cellStyle name="Summa 2 6 9" xfId="15174" xr:uid="{C94184AC-17DC-4C9C-B2A8-075E119F5ABF}"/>
    <cellStyle name="Summa 2 6_2013" xfId="15175" xr:uid="{49036B06-A21B-4443-878D-45A48ED3826C}"/>
    <cellStyle name="Summa 2 7" xfId="15176" xr:uid="{21807074-8761-4A61-9510-9B4F699013C7}"/>
    <cellStyle name="Summa 2 8" xfId="15177" xr:uid="{5E60A69A-2E87-4872-B9A5-C43B9CED835F}"/>
    <cellStyle name="Summa 2 9" xfId="15178" xr:uid="{4352C8B7-F3D2-4FBD-A390-19B9355E7012}"/>
    <cellStyle name="Summa 2_2013" xfId="15179" xr:uid="{67F2332F-566A-4280-B622-7B3BC7EF4266}"/>
    <cellStyle name="Summa 20" xfId="15180" xr:uid="{2794DB2E-327C-4195-9B20-711217608123}"/>
    <cellStyle name="Summa 21" xfId="15181" xr:uid="{BC4D7D5D-4D0A-45D6-B4BF-9A8CBC670E9F}"/>
    <cellStyle name="Summa 22" xfId="15182" xr:uid="{E8B631BF-57CE-4276-9FCB-CA9FD753A586}"/>
    <cellStyle name="Summa 23" xfId="15183" xr:uid="{E3EEA0EA-0AAD-4FC9-8405-9AEB067A801E}"/>
    <cellStyle name="Summa 24" xfId="15184" xr:uid="{D1E5BA3E-CFAD-4B2E-A933-3B153FC763D7}"/>
    <cellStyle name="Summa 25" xfId="15185" xr:uid="{2EE2A4AE-B75A-4601-ACD8-C71D1809CC2A}"/>
    <cellStyle name="Summa 3" xfId="15186" xr:uid="{E43988C2-C148-4D94-9BA2-D16CD0697C66}"/>
    <cellStyle name="Summa 3 10" xfId="15187" xr:uid="{8473E761-2A62-48A5-A44D-37272AD984F1}"/>
    <cellStyle name="Summa 3 11" xfId="15188" xr:uid="{55B6CDCE-84CC-4175-842F-FFA154073690}"/>
    <cellStyle name="Summa 3 12" xfId="15189" xr:uid="{39401682-E072-45D0-9EFC-364F255E642E}"/>
    <cellStyle name="Summa 3 13" xfId="15190" xr:uid="{02ABFC48-0842-435F-8AD3-7E20FD53D583}"/>
    <cellStyle name="Summa 3 14" xfId="15191" xr:uid="{BCAFC794-B979-4695-8402-4775C7E71040}"/>
    <cellStyle name="Summa 3 15" xfId="15192" xr:uid="{BD09C381-E0BA-4D83-B5AB-40A51846B5AA}"/>
    <cellStyle name="Summa 3 16" xfId="15193" xr:uid="{0F6C6875-6D20-47BD-BE2D-B92C8409D834}"/>
    <cellStyle name="Summa 3 17" xfId="15194" xr:uid="{EA9FA7C0-9CD7-46C4-9984-4FED743D247F}"/>
    <cellStyle name="Summa 3 18" xfId="15195" xr:uid="{210E3998-2DB2-4153-950B-1C0DE7207002}"/>
    <cellStyle name="Summa 3 19" xfId="15196" xr:uid="{029FE518-8ED1-43A9-B5AB-16503D4B8C58}"/>
    <cellStyle name="Summa 3 2" xfId="15197" xr:uid="{BEA0796B-B08A-4BD3-82C5-B40B3695F458}"/>
    <cellStyle name="Summa 3 2 10" xfId="15198" xr:uid="{E11E8E6C-A7C5-4DB3-AC25-28070E2B63DD}"/>
    <cellStyle name="Summa 3 2 11" xfId="15199" xr:uid="{167CDFBA-5249-47E4-9F20-A62E4C66A0A4}"/>
    <cellStyle name="Summa 3 2 12" xfId="15200" xr:uid="{E2DAFA9B-15AC-4EB3-832E-7AC7BA75264E}"/>
    <cellStyle name="Summa 3 2 13" xfId="15201" xr:uid="{6E356F9D-AA11-4FF9-999F-1BD278C73AD5}"/>
    <cellStyle name="Summa 3 2 14" xfId="15202" xr:uid="{3AED16F4-2DC1-46D8-8ED3-F3C056B49116}"/>
    <cellStyle name="Summa 3 2 15" xfId="15203" xr:uid="{ABCA57EB-F85B-4010-AAD1-33250900F575}"/>
    <cellStyle name="Summa 3 2 16" xfId="15204" xr:uid="{1F13A4E7-D9F9-46B1-A21A-36D5F3D030E0}"/>
    <cellStyle name="Summa 3 2 17" xfId="15205" xr:uid="{3A0D53DC-6FE6-4118-9A79-F2E4615243A6}"/>
    <cellStyle name="Summa 3 2 18" xfId="15206" xr:uid="{FF6328C4-6AFA-4B0C-BC6D-BF5D25D5396C}"/>
    <cellStyle name="Summa 3 2 19" xfId="15207" xr:uid="{6CBF025D-BE37-483B-A694-07E012080F47}"/>
    <cellStyle name="Summa 3 2 2" xfId="15208" xr:uid="{F486950F-9389-4842-9350-558B55608576}"/>
    <cellStyle name="Summa 3 2 2 10" xfId="15209" xr:uid="{B48B14FB-FBE3-448C-B3E2-D41806B86731}"/>
    <cellStyle name="Summa 3 2 2 11" xfId="15210" xr:uid="{11667C66-B0A8-4F5C-A497-C54D7509AA84}"/>
    <cellStyle name="Summa 3 2 2 12" xfId="15211" xr:uid="{A1C46724-29F5-4379-8DBE-71D1CC90D118}"/>
    <cellStyle name="Summa 3 2 2 13" xfId="15212" xr:uid="{E31E499A-C4CA-4BFD-A7E6-C1625A041811}"/>
    <cellStyle name="Summa 3 2 2 14" xfId="15213" xr:uid="{DC1EC2F6-1277-493E-AE72-4807FDBA6E72}"/>
    <cellStyle name="Summa 3 2 2 15" xfId="15214" xr:uid="{6403DA68-82A2-4535-8A65-5A5EB5AA0266}"/>
    <cellStyle name="Summa 3 2 2 16" xfId="15215" xr:uid="{9449872C-65A4-4701-92DE-0745EA6F6E6A}"/>
    <cellStyle name="Summa 3 2 2 17" xfId="15216" xr:uid="{82322075-D559-4481-8024-05B6405B5321}"/>
    <cellStyle name="Summa 3 2 2 18" xfId="15217" xr:uid="{3E9BE914-6DB3-44BD-BEA0-35FB8730FE50}"/>
    <cellStyle name="Summa 3 2 2 19" xfId="15218" xr:uid="{4314EFC6-3A33-4B8E-B283-08A80BD9C7B9}"/>
    <cellStyle name="Summa 3 2 2 2" xfId="15219" xr:uid="{0CC1D2CE-CA1F-4560-96C2-6A26EE62A1B0}"/>
    <cellStyle name="Summa 3 2 2 2 10" xfId="15220" xr:uid="{1C3BF9CA-1BD7-4047-A687-C7F7F3A75561}"/>
    <cellStyle name="Summa 3 2 2 2 11" xfId="15221" xr:uid="{23A4DFAA-AC3A-4739-9C45-2A56349460A4}"/>
    <cellStyle name="Summa 3 2 2 2 12" xfId="15222" xr:uid="{DEEAB99A-D93B-407D-9860-64161404E146}"/>
    <cellStyle name="Summa 3 2 2 2 13" xfId="15223" xr:uid="{E7032EDB-868D-41F0-92C2-4E18E87C0F75}"/>
    <cellStyle name="Summa 3 2 2 2 14" xfId="15224" xr:uid="{8BE4AF85-C38B-435C-8E6E-046CA11576B2}"/>
    <cellStyle name="Summa 3 2 2 2 15" xfId="15225" xr:uid="{8C800032-F40F-418B-AEB9-5515B4E9370F}"/>
    <cellStyle name="Summa 3 2 2 2 16" xfId="15226" xr:uid="{AA759542-6EB8-4F76-8E9B-B28FCCC4F231}"/>
    <cellStyle name="Summa 3 2 2 2 17" xfId="15227" xr:uid="{244E7740-AF27-4645-8517-2CFA7F43098E}"/>
    <cellStyle name="Summa 3 2 2 2 18" xfId="15228" xr:uid="{2B8D70E6-DD21-4E6B-BEAA-32A389F44076}"/>
    <cellStyle name="Summa 3 2 2 2 19" xfId="15229" xr:uid="{65EA6FCE-4078-45B3-A4AE-0CE05B8D47D0}"/>
    <cellStyle name="Summa 3 2 2 2 2" xfId="15230" xr:uid="{BBA1CCF1-FE1C-4506-A1EB-53ED3244FE72}"/>
    <cellStyle name="Summa 3 2 2 2 3" xfId="15231" xr:uid="{36587479-906E-40CD-B114-886E882956D6}"/>
    <cellStyle name="Summa 3 2 2 2 4" xfId="15232" xr:uid="{21D57B92-7BDB-480F-907A-4A0BA792A69F}"/>
    <cellStyle name="Summa 3 2 2 2 5" xfId="15233" xr:uid="{F6A9D346-132D-4785-826D-A8A346603BBE}"/>
    <cellStyle name="Summa 3 2 2 2 6" xfId="15234" xr:uid="{04ABEF94-D677-4EB8-BECE-C99D8C55D426}"/>
    <cellStyle name="Summa 3 2 2 2 7" xfId="15235" xr:uid="{86D3AFF2-EAA2-4632-A7D1-49F0FF9146D3}"/>
    <cellStyle name="Summa 3 2 2 2 8" xfId="15236" xr:uid="{54531371-3FE4-4AE1-814F-ACA487FE937E}"/>
    <cellStyle name="Summa 3 2 2 2 9" xfId="15237" xr:uid="{CF8F2C3B-F64E-46F0-90FA-35D1203B323E}"/>
    <cellStyle name="Summa 3 2 2 2_2013" xfId="15238" xr:uid="{6D67E273-A1B9-4D04-BE20-01AB9AC421CC}"/>
    <cellStyle name="Summa 3 2 2 20" xfId="15239" xr:uid="{B7335A6B-AE81-485E-B23A-8075CB103EC1}"/>
    <cellStyle name="Summa 3 2 2 3" xfId="15240" xr:uid="{85E34B12-8E8B-408E-B902-419BFEED92D0}"/>
    <cellStyle name="Summa 3 2 2 4" xfId="15241" xr:uid="{02AD59C3-215B-40FC-804B-83F36BD74039}"/>
    <cellStyle name="Summa 3 2 2 5" xfId="15242" xr:uid="{9445E5FB-4C12-4B2F-BB4F-57C455645C41}"/>
    <cellStyle name="Summa 3 2 2 6" xfId="15243" xr:uid="{A8E492A0-B81B-41CC-BDF8-D94CA65CD9FE}"/>
    <cellStyle name="Summa 3 2 2 7" xfId="15244" xr:uid="{E8822095-5068-4E19-8C21-04A516D67657}"/>
    <cellStyle name="Summa 3 2 2 8" xfId="15245" xr:uid="{7076FC26-27C4-4AE5-B096-46FF2801EEE4}"/>
    <cellStyle name="Summa 3 2 2 9" xfId="15246" xr:uid="{0320AE0C-F2F8-45E9-AF1F-96DA51CD12ED}"/>
    <cellStyle name="Summa 3 2 2_2013" xfId="15247" xr:uid="{EE3057B8-74EF-44F4-8784-50CD82D228E2}"/>
    <cellStyle name="Summa 3 2 20" xfId="15248" xr:uid="{4A24E206-A0D9-485C-9784-841166F81DDF}"/>
    <cellStyle name="Summa 3 2 21" xfId="15249" xr:uid="{84E9139B-F525-493B-9A82-E5ECD937C630}"/>
    <cellStyle name="Summa 3 2 22" xfId="15250" xr:uid="{EEDD081F-9471-4A3A-8706-B2A052287391}"/>
    <cellStyle name="Summa 3 2 23" xfId="15251" xr:uid="{605C91A8-7FD1-4E95-B9CB-7388B7303796}"/>
    <cellStyle name="Summa 3 2 3" xfId="15252" xr:uid="{7F0DD432-9065-42BC-BFAB-5F25A699C54E}"/>
    <cellStyle name="Summa 3 2 3 10" xfId="15253" xr:uid="{80E3EC73-28E2-4CDB-BF74-A152E0D66643}"/>
    <cellStyle name="Summa 3 2 3 11" xfId="15254" xr:uid="{B4A5534B-4CBE-46F2-A09E-819CAC529882}"/>
    <cellStyle name="Summa 3 2 3 12" xfId="15255" xr:uid="{3BE0AD75-638C-4611-B4FC-B6D9128D107F}"/>
    <cellStyle name="Summa 3 2 3 13" xfId="15256" xr:uid="{7EADA42B-AC8F-47EE-9CB6-0391F89DBAEC}"/>
    <cellStyle name="Summa 3 2 3 14" xfId="15257" xr:uid="{061858C1-A4E9-4E7A-B263-2344E7804ED7}"/>
    <cellStyle name="Summa 3 2 3 15" xfId="15258" xr:uid="{733FE105-5ED9-4E85-A20D-40DE973389F7}"/>
    <cellStyle name="Summa 3 2 3 16" xfId="15259" xr:uid="{0592B9E1-0B61-4DED-AEA4-7DF8039F2776}"/>
    <cellStyle name="Summa 3 2 3 17" xfId="15260" xr:uid="{6287EFA9-9E9D-47D6-BA4A-21FB766E4BB1}"/>
    <cellStyle name="Summa 3 2 3 18" xfId="15261" xr:uid="{D062FFAD-7552-40D8-BCFA-F5C7B04FA560}"/>
    <cellStyle name="Summa 3 2 3 19" xfId="15262" xr:uid="{35484D58-6968-4D0F-805F-FC7B0B561C8C}"/>
    <cellStyle name="Summa 3 2 3 2" xfId="15263" xr:uid="{3446C130-43C3-4B91-A46E-BAB510393913}"/>
    <cellStyle name="Summa 3 2 3 2 10" xfId="15264" xr:uid="{EA013429-3256-42D1-ABA2-EC6239C288BA}"/>
    <cellStyle name="Summa 3 2 3 2 11" xfId="15265" xr:uid="{A070A8C6-4820-4A7C-89E6-34688C5FA80A}"/>
    <cellStyle name="Summa 3 2 3 2 12" xfId="15266" xr:uid="{6BDCB855-08F2-47F0-A167-68ADF8E67484}"/>
    <cellStyle name="Summa 3 2 3 2 13" xfId="15267" xr:uid="{ABEC55DC-B4AE-4527-87AE-953DB8E1CC55}"/>
    <cellStyle name="Summa 3 2 3 2 14" xfId="15268" xr:uid="{4BFBBEAE-9BEF-435A-80B6-9E2E376F91BF}"/>
    <cellStyle name="Summa 3 2 3 2 15" xfId="15269" xr:uid="{0DEC88E7-4519-4B93-97CA-957D7B6D4FD7}"/>
    <cellStyle name="Summa 3 2 3 2 16" xfId="15270" xr:uid="{0ED4E96D-347A-43A8-9BA9-31D31BD25076}"/>
    <cellStyle name="Summa 3 2 3 2 17" xfId="15271" xr:uid="{4E3C0AEE-9DF8-43C1-A19D-6B9FD17BD89B}"/>
    <cellStyle name="Summa 3 2 3 2 18" xfId="15272" xr:uid="{6E31429D-FD14-4F2E-80E3-00B7D5CCC89C}"/>
    <cellStyle name="Summa 3 2 3 2 19" xfId="15273" xr:uid="{00FCBBE8-77CB-4BCC-B56E-ED3586D74577}"/>
    <cellStyle name="Summa 3 2 3 2 2" xfId="15274" xr:uid="{3D2B7EBF-CEF1-42FE-BF8A-C56ED8AA2175}"/>
    <cellStyle name="Summa 3 2 3 2 3" xfId="15275" xr:uid="{1D0167DE-B03B-4833-A781-19B46773C636}"/>
    <cellStyle name="Summa 3 2 3 2 4" xfId="15276" xr:uid="{6A537FE3-27E4-48C7-AC5D-BF0920211E57}"/>
    <cellStyle name="Summa 3 2 3 2 5" xfId="15277" xr:uid="{830AB292-AD42-44CB-88FC-D7FBD70B75B0}"/>
    <cellStyle name="Summa 3 2 3 2 6" xfId="15278" xr:uid="{2176812A-12C5-47A6-806D-F1310CC53650}"/>
    <cellStyle name="Summa 3 2 3 2 7" xfId="15279" xr:uid="{F10A4348-1AEF-487D-BB3D-849E86CF2A7D}"/>
    <cellStyle name="Summa 3 2 3 2 8" xfId="15280" xr:uid="{7EC015DC-138B-40E7-808F-3DBB577AC9A5}"/>
    <cellStyle name="Summa 3 2 3 2 9" xfId="15281" xr:uid="{7F25FEFA-3585-4DE4-A18F-E7889B182378}"/>
    <cellStyle name="Summa 3 2 3 2_2013" xfId="15282" xr:uid="{71F39B58-9F0A-4504-AD43-2C8A2936424D}"/>
    <cellStyle name="Summa 3 2 3 20" xfId="15283" xr:uid="{431158F9-F40A-4D3E-B3B8-ED9FE903D975}"/>
    <cellStyle name="Summa 3 2 3 3" xfId="15284" xr:uid="{C1CE4113-6350-461E-A45A-16C5D1685DA0}"/>
    <cellStyle name="Summa 3 2 3 4" xfId="15285" xr:uid="{935E8E23-EB6D-45B4-B77C-B35F2BD67687}"/>
    <cellStyle name="Summa 3 2 3 5" xfId="15286" xr:uid="{BAD674CB-48ED-4439-B34B-25F874B9526F}"/>
    <cellStyle name="Summa 3 2 3 6" xfId="15287" xr:uid="{D1A1565F-8E46-4CC4-82D0-A4B5CB625B19}"/>
    <cellStyle name="Summa 3 2 3 7" xfId="15288" xr:uid="{2FDB8EDC-BB82-4FF6-90B2-A0597C37DD89}"/>
    <cellStyle name="Summa 3 2 3 8" xfId="15289" xr:uid="{1EFA20F4-6347-49F1-9461-D1FEC7D56C4D}"/>
    <cellStyle name="Summa 3 2 3 9" xfId="15290" xr:uid="{D5AF0958-D9AB-4488-B936-DDDA4E7012CC}"/>
    <cellStyle name="Summa 3 2 3_2013" xfId="15291" xr:uid="{69A87628-EFBC-4E15-A05B-7F040DE3CF72}"/>
    <cellStyle name="Summa 3 2 4" xfId="15292" xr:uid="{543B619B-AA83-4D91-AA54-2DB2EDE9DF8C}"/>
    <cellStyle name="Summa 3 2 4 10" xfId="15293" xr:uid="{373546E2-EC2E-4730-A9F3-36FABA8A3F0B}"/>
    <cellStyle name="Summa 3 2 4 11" xfId="15294" xr:uid="{5B215143-D665-4DF3-A966-25D7D56204AD}"/>
    <cellStyle name="Summa 3 2 4 12" xfId="15295" xr:uid="{EA4C6590-6736-4184-85B2-6D66B2EA7918}"/>
    <cellStyle name="Summa 3 2 4 13" xfId="15296" xr:uid="{F5BC6026-98A4-4CF2-A56B-876594ED1B08}"/>
    <cellStyle name="Summa 3 2 4 14" xfId="15297" xr:uid="{3565BF13-05FB-4633-A336-CB1FC5A4DD4D}"/>
    <cellStyle name="Summa 3 2 4 15" xfId="15298" xr:uid="{02BACDC2-01EB-4017-A8E3-F4D411C21ABC}"/>
    <cellStyle name="Summa 3 2 4 16" xfId="15299" xr:uid="{4B7AFA2E-6F68-45AB-89C7-E391A59EEF7C}"/>
    <cellStyle name="Summa 3 2 4 17" xfId="15300" xr:uid="{260AB1E1-62A7-4995-B915-C59166FD5260}"/>
    <cellStyle name="Summa 3 2 4 18" xfId="15301" xr:uid="{19704C59-1E03-4F72-A003-ADA96FF7AA57}"/>
    <cellStyle name="Summa 3 2 4 19" xfId="15302" xr:uid="{A3042D68-4615-4CD5-BC72-663FB9881817}"/>
    <cellStyle name="Summa 3 2 4 2" xfId="15303" xr:uid="{E31580B6-A57D-42E6-A20F-46385D3844D9}"/>
    <cellStyle name="Summa 3 2 4 2 10" xfId="15304" xr:uid="{99E88C7B-6AEB-4031-BD1B-6E34681F0F7D}"/>
    <cellStyle name="Summa 3 2 4 2 11" xfId="15305" xr:uid="{5F01B8F4-D444-497E-A775-94979A963D45}"/>
    <cellStyle name="Summa 3 2 4 2 12" xfId="15306" xr:uid="{7824B1E6-91D5-451D-9A7A-F398B79E7524}"/>
    <cellStyle name="Summa 3 2 4 2 13" xfId="15307" xr:uid="{A576B41A-5D81-4BCB-BE10-BA14810B1A67}"/>
    <cellStyle name="Summa 3 2 4 2 14" xfId="15308" xr:uid="{42BFE970-55EE-4A49-A200-29120329AB6E}"/>
    <cellStyle name="Summa 3 2 4 2 15" xfId="15309" xr:uid="{1F1F165F-CB3A-4B4C-AA6C-54BE85AF0688}"/>
    <cellStyle name="Summa 3 2 4 2 16" xfId="15310" xr:uid="{E50C6D88-33F0-44DC-91A5-222872A2BCF4}"/>
    <cellStyle name="Summa 3 2 4 2 17" xfId="15311" xr:uid="{485475AB-96A6-4178-9410-EC70CB6CA92D}"/>
    <cellStyle name="Summa 3 2 4 2 18" xfId="15312" xr:uid="{DCF10E14-6A51-4A07-94E1-C4405B53804B}"/>
    <cellStyle name="Summa 3 2 4 2 19" xfId="15313" xr:uid="{0D891E7F-EDBB-4E50-A2D9-1A0B99BA514A}"/>
    <cellStyle name="Summa 3 2 4 2 2" xfId="15314" xr:uid="{48524A0B-ADFF-4723-95D8-56071DEFAB6A}"/>
    <cellStyle name="Summa 3 2 4 2 3" xfId="15315" xr:uid="{18A0607C-37F2-42CA-9B8E-CB23BE436F60}"/>
    <cellStyle name="Summa 3 2 4 2 4" xfId="15316" xr:uid="{327FF35F-7660-4A01-BE36-048399A74B30}"/>
    <cellStyle name="Summa 3 2 4 2 5" xfId="15317" xr:uid="{B389CB8F-BF1D-45B8-A1D5-31CAA7398A0C}"/>
    <cellStyle name="Summa 3 2 4 2 6" xfId="15318" xr:uid="{4A270ACE-181B-476C-A8F1-E39B9F8DFE8E}"/>
    <cellStyle name="Summa 3 2 4 2 7" xfId="15319" xr:uid="{31D57210-4B1D-476E-A1C3-2EA1C8B0070B}"/>
    <cellStyle name="Summa 3 2 4 2 8" xfId="15320" xr:uid="{8AF3F477-0854-4F39-B26F-D6A0E43EF6DB}"/>
    <cellStyle name="Summa 3 2 4 2 9" xfId="15321" xr:uid="{57608EDD-99BE-46BB-BC3C-D24A51FBD641}"/>
    <cellStyle name="Summa 3 2 4 2_2013" xfId="15322" xr:uid="{0670AE6C-3B4F-44B0-A432-E68B9CA0D029}"/>
    <cellStyle name="Summa 3 2 4 20" xfId="15323" xr:uid="{1720969F-7A7A-423E-8CD1-A0D2FD6AD615}"/>
    <cellStyle name="Summa 3 2 4 3" xfId="15324" xr:uid="{69147874-9EF8-4F18-AECF-3A13D218009C}"/>
    <cellStyle name="Summa 3 2 4 4" xfId="15325" xr:uid="{B1153EC4-AA75-4104-8C25-9BA2A751D6FF}"/>
    <cellStyle name="Summa 3 2 4 5" xfId="15326" xr:uid="{53D684F0-A049-40FC-B660-971EC7E8837C}"/>
    <cellStyle name="Summa 3 2 4 6" xfId="15327" xr:uid="{5DE3B77E-57D9-4CD0-A5C9-313101E7DC11}"/>
    <cellStyle name="Summa 3 2 4 7" xfId="15328" xr:uid="{CDDA28AC-0157-4A56-8F09-C5C0E3671F4C}"/>
    <cellStyle name="Summa 3 2 4 8" xfId="15329" xr:uid="{198F6E9D-2460-45E4-98B7-D7DD6888F702}"/>
    <cellStyle name="Summa 3 2 4 9" xfId="15330" xr:uid="{7FBF9480-69C8-4D61-A75F-26933DC5F47C}"/>
    <cellStyle name="Summa 3 2 4_2013" xfId="15331" xr:uid="{BAB1F661-2773-406B-912E-A27307FB885D}"/>
    <cellStyle name="Summa 3 2 5" xfId="15332" xr:uid="{E608511B-6865-44AF-9BC7-E8616E1FD04F}"/>
    <cellStyle name="Summa 3 2 5 10" xfId="15333" xr:uid="{8C205834-85C9-4DA0-B7C8-B6B16F824911}"/>
    <cellStyle name="Summa 3 2 5 11" xfId="15334" xr:uid="{EC8E62F4-D69E-4544-BF11-C5B50158914D}"/>
    <cellStyle name="Summa 3 2 5 12" xfId="15335" xr:uid="{D57D239A-0221-45A0-BD60-549AB086051C}"/>
    <cellStyle name="Summa 3 2 5 13" xfId="15336" xr:uid="{93931BAD-E1D9-4B29-9EDA-F97A89E81033}"/>
    <cellStyle name="Summa 3 2 5 14" xfId="15337" xr:uid="{3F65ECE6-8F34-4C3E-9E59-E2C404102D85}"/>
    <cellStyle name="Summa 3 2 5 15" xfId="15338" xr:uid="{A9769045-4B82-499A-86B5-F196A7295151}"/>
    <cellStyle name="Summa 3 2 5 16" xfId="15339" xr:uid="{49C734EB-FFCD-4DFA-B53B-A87DC3E316D2}"/>
    <cellStyle name="Summa 3 2 5 17" xfId="15340" xr:uid="{256816C2-4AFF-4889-9B22-4D9AE4DF5FD5}"/>
    <cellStyle name="Summa 3 2 5 18" xfId="15341" xr:uid="{A4F91E5C-C388-4694-907E-3660CD90E1E7}"/>
    <cellStyle name="Summa 3 2 5 19" xfId="15342" xr:uid="{2CFE30CE-D6FF-413E-B30F-F8C7A066D470}"/>
    <cellStyle name="Summa 3 2 5 2" xfId="15343" xr:uid="{12EB2313-4926-470B-95E3-FCA607E3B590}"/>
    <cellStyle name="Summa 3 2 5 3" xfId="15344" xr:uid="{423736EC-DB88-4C87-9BA4-BAD4721070F9}"/>
    <cellStyle name="Summa 3 2 5 4" xfId="15345" xr:uid="{361DE5BF-634A-47D1-B98A-F617FD15D084}"/>
    <cellStyle name="Summa 3 2 5 5" xfId="15346" xr:uid="{29FFEDC3-2297-4302-A01D-97C369BD9823}"/>
    <cellStyle name="Summa 3 2 5 6" xfId="15347" xr:uid="{896D6B28-DC8C-4B8D-8943-72291D36E4BB}"/>
    <cellStyle name="Summa 3 2 5 7" xfId="15348" xr:uid="{8EF9F5D3-AC44-424B-AF2C-1BDA137BEF2D}"/>
    <cellStyle name="Summa 3 2 5 8" xfId="15349" xr:uid="{04D3FFF9-A532-46D8-9104-28CA7FFCEFC3}"/>
    <cellStyle name="Summa 3 2 5 9" xfId="15350" xr:uid="{E19E0A4E-98D8-4751-B20A-3F95C5CF07ED}"/>
    <cellStyle name="Summa 3 2 5_2013" xfId="15351" xr:uid="{8AF5FCF0-A974-4E59-B891-0CFBA39A127B}"/>
    <cellStyle name="Summa 3 2 6" xfId="15352" xr:uid="{A12FFBBC-0B7C-49D8-8197-35B06A67691E}"/>
    <cellStyle name="Summa 3 2 7" xfId="15353" xr:uid="{D39226F0-D0A2-4CBD-9AC9-49EC12742B9C}"/>
    <cellStyle name="Summa 3 2 8" xfId="15354" xr:uid="{4A01338D-3F21-4A2B-A1E9-CAB95E2D2F84}"/>
    <cellStyle name="Summa 3 2 9" xfId="15355" xr:uid="{9250C814-2AFE-4256-BCDA-BFCC7362F04A}"/>
    <cellStyle name="Summa 3 2_2013" xfId="15356" xr:uid="{6ADEEDB9-54AC-4F9C-9979-80895E92C199}"/>
    <cellStyle name="Summa 3 20" xfId="15357" xr:uid="{212D974C-E346-446C-9215-35EACFEB6387}"/>
    <cellStyle name="Summa 3 21" xfId="15358" xr:uid="{DF6ACBF5-143C-43DE-868B-DE03093C1F09}"/>
    <cellStyle name="Summa 3 22" xfId="15359" xr:uid="{EE051C07-BBF6-4214-A85A-0745463857A8}"/>
    <cellStyle name="Summa 3 23" xfId="15360" xr:uid="{C1DB0321-964F-4CFD-9CA2-626BAB611EA7}"/>
    <cellStyle name="Summa 3 24" xfId="15361" xr:uid="{53D501B7-40AC-447C-9AD9-256D7A3463B1}"/>
    <cellStyle name="Summa 3 3" xfId="15362" xr:uid="{3360BB99-4AB6-4531-89A1-535C176D8BF6}"/>
    <cellStyle name="Summa 3 3 10" xfId="15363" xr:uid="{A48BB82F-104B-4CDE-98E7-0C909B56B6E1}"/>
    <cellStyle name="Summa 3 3 11" xfId="15364" xr:uid="{2C410B59-8190-416D-980A-2C66FA18E01A}"/>
    <cellStyle name="Summa 3 3 12" xfId="15365" xr:uid="{777D12FF-EDE3-44A4-B6EA-5C82E77CE788}"/>
    <cellStyle name="Summa 3 3 13" xfId="15366" xr:uid="{038E4AC7-EDD3-4F13-B230-4BD616DB7B57}"/>
    <cellStyle name="Summa 3 3 14" xfId="15367" xr:uid="{B6C96FA1-16BF-4656-8110-6CC4B1AE86DB}"/>
    <cellStyle name="Summa 3 3 15" xfId="15368" xr:uid="{13D333BF-FF38-43BA-A881-A09BA9E79D13}"/>
    <cellStyle name="Summa 3 3 16" xfId="15369" xr:uid="{C4F5D598-D324-413B-AE7D-ACC9E27AEE68}"/>
    <cellStyle name="Summa 3 3 17" xfId="15370" xr:uid="{7308D98B-5DF3-4C5C-8779-C0013F8EC504}"/>
    <cellStyle name="Summa 3 3 18" xfId="15371" xr:uid="{909B0A2F-7390-446C-9C6C-AFD0F289152B}"/>
    <cellStyle name="Summa 3 3 19" xfId="15372" xr:uid="{0C2BAAE5-CFDF-40D8-BAF5-C00F565B0F26}"/>
    <cellStyle name="Summa 3 3 2" xfId="15373" xr:uid="{DE68FA2F-4E09-49C8-A39C-F0C71A7AC73C}"/>
    <cellStyle name="Summa 3 3 2 10" xfId="15374" xr:uid="{23B769DB-B060-4AAC-A854-3625A8B1754C}"/>
    <cellStyle name="Summa 3 3 2 11" xfId="15375" xr:uid="{CF438602-68C7-4C7F-A037-BE7C059D3F2D}"/>
    <cellStyle name="Summa 3 3 2 12" xfId="15376" xr:uid="{B7DBC446-B1AB-4128-ACC4-1A8E18336FFE}"/>
    <cellStyle name="Summa 3 3 2 13" xfId="15377" xr:uid="{60081EDC-5D08-4F3C-A226-A10BD68FC80F}"/>
    <cellStyle name="Summa 3 3 2 14" xfId="15378" xr:uid="{93BA90E1-306E-49FE-9879-F596A332EA0E}"/>
    <cellStyle name="Summa 3 3 2 15" xfId="15379" xr:uid="{EBF73081-C3D0-4330-B41F-4842C3188D9A}"/>
    <cellStyle name="Summa 3 3 2 16" xfId="15380" xr:uid="{E12EBE56-D93D-44CD-9E19-140241ED8F4D}"/>
    <cellStyle name="Summa 3 3 2 17" xfId="15381" xr:uid="{B915641A-A081-43A4-A618-29744B1139CE}"/>
    <cellStyle name="Summa 3 3 2 18" xfId="15382" xr:uid="{352BA682-DEBB-4B7D-B60C-9F4D92CBB177}"/>
    <cellStyle name="Summa 3 3 2 19" xfId="15383" xr:uid="{3C26DE4A-1789-4823-BD5D-D9533084E7D0}"/>
    <cellStyle name="Summa 3 3 2 2" xfId="15384" xr:uid="{0D262F69-BC9B-49FC-9867-0AC1592240FD}"/>
    <cellStyle name="Summa 3 3 2 3" xfId="15385" xr:uid="{4043647A-4F0B-4332-8689-4FF5C7DE2D57}"/>
    <cellStyle name="Summa 3 3 2 4" xfId="15386" xr:uid="{19D4B9D2-2F6A-4C3F-ABCC-5691D8437838}"/>
    <cellStyle name="Summa 3 3 2 5" xfId="15387" xr:uid="{16661DB5-AC12-4302-8D1C-BE7DCF940E51}"/>
    <cellStyle name="Summa 3 3 2 6" xfId="15388" xr:uid="{F2413EDA-D35B-42E3-A83B-338EB0EF25D4}"/>
    <cellStyle name="Summa 3 3 2 7" xfId="15389" xr:uid="{4BE781AA-3C36-4D3C-969A-A605D093CF7D}"/>
    <cellStyle name="Summa 3 3 2 8" xfId="15390" xr:uid="{7ADE24DF-9CF0-4999-B748-5B74DF2A04B8}"/>
    <cellStyle name="Summa 3 3 2 9" xfId="15391" xr:uid="{C3646BA1-4E97-490B-B36C-7D1B9BF658E1}"/>
    <cellStyle name="Summa 3 3 2_2013" xfId="15392" xr:uid="{093713C3-87CC-45C4-8399-7746EDDF1709}"/>
    <cellStyle name="Summa 3 3 20" xfId="15393" xr:uid="{EEB1672A-D1ED-48A9-8E48-2862FE6557DF}"/>
    <cellStyle name="Summa 3 3 3" xfId="15394" xr:uid="{119D72D5-93FD-47F0-B03A-8E8F70C62292}"/>
    <cellStyle name="Summa 3 3 4" xfId="15395" xr:uid="{51AF3B96-532D-4DA6-A2B0-FF86BD68254C}"/>
    <cellStyle name="Summa 3 3 5" xfId="15396" xr:uid="{F6E1823F-7169-4419-86F2-7AA44D754B16}"/>
    <cellStyle name="Summa 3 3 6" xfId="15397" xr:uid="{4E25E48E-4A44-4257-B35D-3F0F789F76E7}"/>
    <cellStyle name="Summa 3 3 7" xfId="15398" xr:uid="{FC0FD106-5460-45E2-976C-5F1379492166}"/>
    <cellStyle name="Summa 3 3 8" xfId="15399" xr:uid="{0EA6CB5B-544D-4F7F-A1E9-ED37CD2FB2C1}"/>
    <cellStyle name="Summa 3 3 9" xfId="15400" xr:uid="{39EFEA2D-B2B3-4E5E-A602-6E4F75DAD27D}"/>
    <cellStyle name="Summa 3 3_2013" xfId="15401" xr:uid="{AE4CE408-EA83-4FC8-B895-A5AEFF3D09E9}"/>
    <cellStyle name="Summa 3 4" xfId="15402" xr:uid="{8FFCAE7E-09CB-483C-BF36-F8E38A674E33}"/>
    <cellStyle name="Summa 3 4 10" xfId="15403" xr:uid="{4A125C33-A439-44A4-B756-72BFBE62675A}"/>
    <cellStyle name="Summa 3 4 11" xfId="15404" xr:uid="{F1906343-320B-4DC5-AB5D-0ABC2386367A}"/>
    <cellStyle name="Summa 3 4 12" xfId="15405" xr:uid="{79BBA231-C292-43BD-85A2-5A0B82E441D8}"/>
    <cellStyle name="Summa 3 4 13" xfId="15406" xr:uid="{CC9B4FDC-4EC7-484C-8222-DF5724FAD177}"/>
    <cellStyle name="Summa 3 4 14" xfId="15407" xr:uid="{36E72AD4-E2FC-46C2-816D-4176D872A896}"/>
    <cellStyle name="Summa 3 4 15" xfId="15408" xr:uid="{E2F62049-D3DA-4C27-8D0B-3C0893735996}"/>
    <cellStyle name="Summa 3 4 16" xfId="15409" xr:uid="{F577FA76-C9CF-48FE-93B1-D68F6A1E8737}"/>
    <cellStyle name="Summa 3 4 17" xfId="15410" xr:uid="{92146A3B-F8A1-4574-8B03-7CDBF10D4610}"/>
    <cellStyle name="Summa 3 4 18" xfId="15411" xr:uid="{49299518-348E-4F8C-843E-FE6308983D76}"/>
    <cellStyle name="Summa 3 4 19" xfId="15412" xr:uid="{35A4D4A0-2D5B-4C9D-AF13-9035BF950DAA}"/>
    <cellStyle name="Summa 3 4 2" xfId="15413" xr:uid="{161F1E4C-F56D-4FFE-80D1-F2787251B823}"/>
    <cellStyle name="Summa 3 4 2 10" xfId="15414" xr:uid="{FCDA1A10-4DCB-4C99-A6FE-6552F1C9687C}"/>
    <cellStyle name="Summa 3 4 2 11" xfId="15415" xr:uid="{69B4AFF5-B2D2-430A-AF70-711CBAB5928B}"/>
    <cellStyle name="Summa 3 4 2 12" xfId="15416" xr:uid="{168B8B21-44A5-4180-BB4D-63E4CF92ECCA}"/>
    <cellStyle name="Summa 3 4 2 13" xfId="15417" xr:uid="{A54D2C36-6B3F-495B-891D-6945E630BD0B}"/>
    <cellStyle name="Summa 3 4 2 14" xfId="15418" xr:uid="{B2752DE2-81DD-4B45-B996-1967C805E67F}"/>
    <cellStyle name="Summa 3 4 2 15" xfId="15419" xr:uid="{3BF4E93C-C05D-4A9F-B35C-6F170743B923}"/>
    <cellStyle name="Summa 3 4 2 16" xfId="15420" xr:uid="{026D79A2-70BC-40DD-A4F5-8683A32B203B}"/>
    <cellStyle name="Summa 3 4 2 17" xfId="15421" xr:uid="{6AAE35CE-8AC6-4C34-B61A-6B47F6AAD01F}"/>
    <cellStyle name="Summa 3 4 2 18" xfId="15422" xr:uid="{CC8C1FD7-0CF7-4979-9CF4-3C9E23D46166}"/>
    <cellStyle name="Summa 3 4 2 19" xfId="15423" xr:uid="{9828DF5A-3601-4569-8947-600FD3E4A89F}"/>
    <cellStyle name="Summa 3 4 2 2" xfId="15424" xr:uid="{E9F7DDE2-8924-4383-8029-B9E663B613F0}"/>
    <cellStyle name="Summa 3 4 2 3" xfId="15425" xr:uid="{C901FAE4-AE69-4F8A-A8DA-56167211DB31}"/>
    <cellStyle name="Summa 3 4 2 4" xfId="15426" xr:uid="{514FB1A9-178B-49EA-ACC4-9F73F1F7DD01}"/>
    <cellStyle name="Summa 3 4 2 5" xfId="15427" xr:uid="{B147032E-BC34-4352-BA32-E657B8328227}"/>
    <cellStyle name="Summa 3 4 2 6" xfId="15428" xr:uid="{77EC0FEB-A7BD-4855-A4C4-B2714CCBF0B1}"/>
    <cellStyle name="Summa 3 4 2 7" xfId="15429" xr:uid="{1021EDAF-200E-4221-B73C-8FB48F95FC13}"/>
    <cellStyle name="Summa 3 4 2 8" xfId="15430" xr:uid="{99F7B16D-3BA3-4BF0-BDB8-AC849F80A0A6}"/>
    <cellStyle name="Summa 3 4 2 9" xfId="15431" xr:uid="{FC3C8B47-05E1-46F2-B755-0A797A8EC709}"/>
    <cellStyle name="Summa 3 4 2_2013" xfId="15432" xr:uid="{6C118C8E-EB0B-48E4-8511-BEC9AD4B87F5}"/>
    <cellStyle name="Summa 3 4 20" xfId="15433" xr:uid="{E1D6C8E9-A48D-4E9E-A1E7-6D0C37E40AF5}"/>
    <cellStyle name="Summa 3 4 3" xfId="15434" xr:uid="{20068C09-483A-41CD-A7A7-3B9823F5C66A}"/>
    <cellStyle name="Summa 3 4 4" xfId="15435" xr:uid="{A1C33FA4-850F-47B4-84ED-54F1D02C6AD8}"/>
    <cellStyle name="Summa 3 4 5" xfId="15436" xr:uid="{E4C7B688-1FA8-4E80-954F-67B3B60301DE}"/>
    <cellStyle name="Summa 3 4 6" xfId="15437" xr:uid="{3D8AE9A7-FBBB-4899-92AB-B14C406EBBB2}"/>
    <cellStyle name="Summa 3 4 7" xfId="15438" xr:uid="{AF7A5983-43AF-40E0-BC97-BBB050D9A874}"/>
    <cellStyle name="Summa 3 4 8" xfId="15439" xr:uid="{A9A01EF4-41DA-4C57-82BF-7458C8F41BE5}"/>
    <cellStyle name="Summa 3 4 9" xfId="15440" xr:uid="{AA85C32B-3601-4773-8B10-D0572F5F83FB}"/>
    <cellStyle name="Summa 3 4_2013" xfId="15441" xr:uid="{DA01B7BB-3F79-46E6-A283-C42E8B235354}"/>
    <cellStyle name="Summa 3 5" xfId="15442" xr:uid="{3F0DE3ED-A293-4904-88F5-D09958E9AAF0}"/>
    <cellStyle name="Summa 3 5 10" xfId="15443" xr:uid="{7C46ABE9-60F6-42E1-8F6E-F3752CBE6081}"/>
    <cellStyle name="Summa 3 5 11" xfId="15444" xr:uid="{34D49015-2C27-472A-8523-5C0C1E479DAC}"/>
    <cellStyle name="Summa 3 5 12" xfId="15445" xr:uid="{018300FD-227C-4032-9444-34CF84767944}"/>
    <cellStyle name="Summa 3 5 13" xfId="15446" xr:uid="{70C68A6D-40F3-453B-BDA9-6B9D1DE1E1BC}"/>
    <cellStyle name="Summa 3 5 14" xfId="15447" xr:uid="{D9A9F5A7-1B19-4BB2-8CAE-961BF95E1A71}"/>
    <cellStyle name="Summa 3 5 15" xfId="15448" xr:uid="{998F44B0-84F0-456A-9C3F-E79C7677A60F}"/>
    <cellStyle name="Summa 3 5 16" xfId="15449" xr:uid="{3109D0C1-F975-4AC5-93FE-58937DA57B0E}"/>
    <cellStyle name="Summa 3 5 17" xfId="15450" xr:uid="{57121356-62FB-47D7-A491-7099291040DE}"/>
    <cellStyle name="Summa 3 5 18" xfId="15451" xr:uid="{E78626FC-1639-4F33-A232-823B3C1A3254}"/>
    <cellStyle name="Summa 3 5 19" xfId="15452" xr:uid="{49F47E42-8C04-42F3-A0A6-D37D56006BD1}"/>
    <cellStyle name="Summa 3 5 2" xfId="15453" xr:uid="{D267163F-32CA-49E3-AA58-E74F1DE6ED2D}"/>
    <cellStyle name="Summa 3 5 2 10" xfId="15454" xr:uid="{5FD41209-BCBB-4D4C-9A1F-B96A3FAB51F4}"/>
    <cellStyle name="Summa 3 5 2 11" xfId="15455" xr:uid="{65B1D107-9D7F-417F-BBCE-D50771EDF918}"/>
    <cellStyle name="Summa 3 5 2 12" xfId="15456" xr:uid="{B2BE8998-19A2-4B91-A571-D37370BDABE2}"/>
    <cellStyle name="Summa 3 5 2 13" xfId="15457" xr:uid="{4AE2DA69-0F9C-4DB2-99E9-91EF87347745}"/>
    <cellStyle name="Summa 3 5 2 14" xfId="15458" xr:uid="{3987822A-1C11-49B4-9DE2-AD4DE673E5AB}"/>
    <cellStyle name="Summa 3 5 2 15" xfId="15459" xr:uid="{C3FDA33F-EC4B-4D6D-92B3-C5A12C03AABF}"/>
    <cellStyle name="Summa 3 5 2 16" xfId="15460" xr:uid="{434B2575-117B-404D-90A2-979A257A9D48}"/>
    <cellStyle name="Summa 3 5 2 17" xfId="15461" xr:uid="{2F9B8851-F0E9-4371-9952-5BE977C9B52D}"/>
    <cellStyle name="Summa 3 5 2 18" xfId="15462" xr:uid="{30B95AC7-F9F9-4C75-811C-22C34EA6FF39}"/>
    <cellStyle name="Summa 3 5 2 19" xfId="15463" xr:uid="{6EFA4D68-7179-414A-8730-E47DF79658D9}"/>
    <cellStyle name="Summa 3 5 2 2" xfId="15464" xr:uid="{E3CC6438-4B7E-447E-B714-BCDDFB9C749F}"/>
    <cellStyle name="Summa 3 5 2 3" xfId="15465" xr:uid="{09119A32-95FB-420C-9607-E3EB62A0C87D}"/>
    <cellStyle name="Summa 3 5 2 4" xfId="15466" xr:uid="{617ADB3B-0235-434C-BAD5-7E472AE05823}"/>
    <cellStyle name="Summa 3 5 2 5" xfId="15467" xr:uid="{EE9941BE-8FE7-4C97-99AA-7441DD4FBEDC}"/>
    <cellStyle name="Summa 3 5 2 6" xfId="15468" xr:uid="{E33313F6-E371-440B-9244-6B54B52EFE01}"/>
    <cellStyle name="Summa 3 5 2 7" xfId="15469" xr:uid="{792CAB8B-25B1-4FFF-AF1E-AB10B6709E97}"/>
    <cellStyle name="Summa 3 5 2 8" xfId="15470" xr:uid="{C9C262CA-74DB-4F43-89E6-FAE5F7001E4D}"/>
    <cellStyle name="Summa 3 5 2 9" xfId="15471" xr:uid="{C6920796-B3AD-4274-82FD-902B9578A275}"/>
    <cellStyle name="Summa 3 5 2_2013" xfId="15472" xr:uid="{7F0DCA33-C890-46F7-8E48-890D28C872AD}"/>
    <cellStyle name="Summa 3 5 20" xfId="15473" xr:uid="{6B33450F-C872-4EF0-A002-EC108F3C5191}"/>
    <cellStyle name="Summa 3 5 3" xfId="15474" xr:uid="{493BA90C-2A8A-4BCA-9AC2-1E81BB4EE192}"/>
    <cellStyle name="Summa 3 5 4" xfId="15475" xr:uid="{E8A106E5-8702-4D3B-A981-D8B8390DD021}"/>
    <cellStyle name="Summa 3 5 5" xfId="15476" xr:uid="{43CD4241-60C3-4C99-A4B0-A21373C37BF6}"/>
    <cellStyle name="Summa 3 5 6" xfId="15477" xr:uid="{F5F0DD74-9F73-4386-BCDC-820F36E8B4F5}"/>
    <cellStyle name="Summa 3 5 7" xfId="15478" xr:uid="{AAE8AC9B-D8B1-4353-873A-9418AC766EBB}"/>
    <cellStyle name="Summa 3 5 8" xfId="15479" xr:uid="{6F629B33-60B7-477C-9872-82973F547A80}"/>
    <cellStyle name="Summa 3 5 9" xfId="15480" xr:uid="{17A84570-BE70-4F55-AE5A-024E6FDA7B53}"/>
    <cellStyle name="Summa 3 5_2013" xfId="15481" xr:uid="{3AEDDFB4-9848-4CA4-8EF9-E107EE76D4C6}"/>
    <cellStyle name="Summa 3 6" xfId="15482" xr:uid="{623ADE92-F486-4273-BC62-7A3FFF12AD6F}"/>
    <cellStyle name="Summa 3 6 10" xfId="15483" xr:uid="{66F831AF-9926-4DDA-A312-14FA429A4E04}"/>
    <cellStyle name="Summa 3 6 11" xfId="15484" xr:uid="{D863C218-A7A5-489B-8F16-DAA6339C17FA}"/>
    <cellStyle name="Summa 3 6 12" xfId="15485" xr:uid="{4CBA0222-A093-47F2-96D1-5BECF4ABB876}"/>
    <cellStyle name="Summa 3 6 13" xfId="15486" xr:uid="{2A01C96D-B62A-4667-8001-3E2D3B9F0C85}"/>
    <cellStyle name="Summa 3 6 14" xfId="15487" xr:uid="{1C0E6738-A034-4407-B831-B71A042FED93}"/>
    <cellStyle name="Summa 3 6 15" xfId="15488" xr:uid="{9DC9F3C5-01D8-4DA0-9639-E4349C9D047F}"/>
    <cellStyle name="Summa 3 6 16" xfId="15489" xr:uid="{D4C0B8EF-31EE-44A8-8B74-9ED0CC0ECD90}"/>
    <cellStyle name="Summa 3 6 17" xfId="15490" xr:uid="{18C5FE1D-DF22-4829-9CB6-D79364AB0109}"/>
    <cellStyle name="Summa 3 6 18" xfId="15491" xr:uid="{4B54DCB7-9604-40F6-910F-3227FA458AA6}"/>
    <cellStyle name="Summa 3 6 19" xfId="15492" xr:uid="{D6FC9B56-1AEB-45F1-BB73-A5695A18DBC2}"/>
    <cellStyle name="Summa 3 6 2" xfId="15493" xr:uid="{D56FB29E-E8C1-4780-BB58-953EC54C12D3}"/>
    <cellStyle name="Summa 3 6 3" xfId="15494" xr:uid="{909B4602-F5CD-4B62-8F36-E168596123B5}"/>
    <cellStyle name="Summa 3 6 4" xfId="15495" xr:uid="{5E3CFA5D-897A-4A20-BE42-CBD5A0F9D12B}"/>
    <cellStyle name="Summa 3 6 5" xfId="15496" xr:uid="{85DA6F83-28F8-4095-8668-C2847B899F4D}"/>
    <cellStyle name="Summa 3 6 6" xfId="15497" xr:uid="{234FD7FC-DCA1-45C6-A819-B2F8A767F9EC}"/>
    <cellStyle name="Summa 3 6 7" xfId="15498" xr:uid="{5391A939-1752-46A1-8A61-4734FB8DF5F4}"/>
    <cellStyle name="Summa 3 6 8" xfId="15499" xr:uid="{E4E19A8D-C1C4-4297-B852-54D691D9C18F}"/>
    <cellStyle name="Summa 3 6 9" xfId="15500" xr:uid="{2674D39C-BA11-48F8-B58E-7718EB956411}"/>
    <cellStyle name="Summa 3 6_2013" xfId="15501" xr:uid="{D0B1ADCD-42FD-4288-BE15-DB88AC2F7DE5}"/>
    <cellStyle name="Summa 3 7" xfId="15502" xr:uid="{E917C212-E452-4FF5-9AFF-72701A3BA3C3}"/>
    <cellStyle name="Summa 3 8" xfId="15503" xr:uid="{61954F90-8FA9-4E8D-BE99-6BAE260C8B61}"/>
    <cellStyle name="Summa 3 9" xfId="15504" xr:uid="{8F5A1AB2-848A-4650-9DE7-48743B2D3E94}"/>
    <cellStyle name="Summa 3_2013" xfId="15505" xr:uid="{448313F9-0CB2-4BFB-940D-169301832519}"/>
    <cellStyle name="Summa 4" xfId="15506" xr:uid="{C96E42AC-9383-4482-893E-D9F3C515C20F}"/>
    <cellStyle name="Summa 4 10" xfId="15507" xr:uid="{83EAB054-A2BC-4E73-8794-C7AF98C300B8}"/>
    <cellStyle name="Summa 4 11" xfId="15508" xr:uid="{7076C7F4-80CB-4044-A1CB-7BC5A9C84E31}"/>
    <cellStyle name="Summa 4 12" xfId="15509" xr:uid="{01BF2A35-DD57-4345-9315-B02BF3324428}"/>
    <cellStyle name="Summa 4 13" xfId="15510" xr:uid="{666971C3-2C58-4E91-8A95-40F50B1D3435}"/>
    <cellStyle name="Summa 4 14" xfId="15511" xr:uid="{F5964CEB-5D26-4D33-BB25-9EC0CE7252AA}"/>
    <cellStyle name="Summa 4 15" xfId="15512" xr:uid="{2B4CFC19-E050-483D-BB21-EA51B394E299}"/>
    <cellStyle name="Summa 4 16" xfId="15513" xr:uid="{CDB2482E-D63F-4468-9018-D0236F8408DE}"/>
    <cellStyle name="Summa 4 17" xfId="15514" xr:uid="{3C4761CB-3DDC-4F05-BC6C-979AB4454634}"/>
    <cellStyle name="Summa 4 18" xfId="15515" xr:uid="{ED62A692-2F6E-49C2-8576-3F76119D8B21}"/>
    <cellStyle name="Summa 4 19" xfId="15516" xr:uid="{5EC56D7B-837D-4C55-B8F0-CF7017588F78}"/>
    <cellStyle name="Summa 4 2" xfId="15517" xr:uid="{A2D73F96-5319-4912-A98A-18D3136093CE}"/>
    <cellStyle name="Summa 4 2 10" xfId="15518" xr:uid="{C3651426-FAAB-4CE4-941C-A81645AF755D}"/>
    <cellStyle name="Summa 4 2 11" xfId="15519" xr:uid="{71178D97-821F-4FC3-A4B6-B3BC7ACB3A8F}"/>
    <cellStyle name="Summa 4 2 12" xfId="15520" xr:uid="{FF6B5450-7049-4669-989B-2B55C98389B5}"/>
    <cellStyle name="Summa 4 2 13" xfId="15521" xr:uid="{3898A578-0E79-4934-8662-5B293CF93618}"/>
    <cellStyle name="Summa 4 2 14" xfId="15522" xr:uid="{1E74CA3E-BD7E-4DB4-9C6D-2AD8DA94F957}"/>
    <cellStyle name="Summa 4 2 15" xfId="15523" xr:uid="{5C026D4A-C3E6-41F6-8D76-6AFBE22C1675}"/>
    <cellStyle name="Summa 4 2 16" xfId="15524" xr:uid="{AA7C1F85-D97B-4B9C-9DC6-EFE272F1FFB5}"/>
    <cellStyle name="Summa 4 2 17" xfId="15525" xr:uid="{C31CFD7E-BAD8-4926-A069-EB688BA1548B}"/>
    <cellStyle name="Summa 4 2 18" xfId="15526" xr:uid="{CC3533B0-E314-490C-8505-24D70DE7194A}"/>
    <cellStyle name="Summa 4 2 19" xfId="15527" xr:uid="{030F8BB6-CD0F-4AE8-ABE0-C61DF6845181}"/>
    <cellStyle name="Summa 4 2 2" xfId="15528" xr:uid="{5303B771-808C-4BF2-90D6-DEE26A4957A9}"/>
    <cellStyle name="Summa 4 2 2 10" xfId="15529" xr:uid="{974BC560-C675-4499-8A85-884890CFB9EF}"/>
    <cellStyle name="Summa 4 2 2 11" xfId="15530" xr:uid="{280231F8-4F73-4DB4-BE44-B69070EEA996}"/>
    <cellStyle name="Summa 4 2 2 12" xfId="15531" xr:uid="{5AB93913-92E6-4934-939B-7DC22D0604FA}"/>
    <cellStyle name="Summa 4 2 2 13" xfId="15532" xr:uid="{AE9DEF64-715D-4C9B-997E-4039588D9394}"/>
    <cellStyle name="Summa 4 2 2 14" xfId="15533" xr:uid="{C1BB9413-51AD-438B-B1A7-E62F3D4FA1F4}"/>
    <cellStyle name="Summa 4 2 2 15" xfId="15534" xr:uid="{3082AA7F-0FA4-46F3-AB01-0B4FE3107BBA}"/>
    <cellStyle name="Summa 4 2 2 16" xfId="15535" xr:uid="{595B9CEB-AAAD-498B-B3A7-6F48D211B0E7}"/>
    <cellStyle name="Summa 4 2 2 17" xfId="15536" xr:uid="{17FB9FB6-0128-4F89-8993-EA062E53DD3D}"/>
    <cellStyle name="Summa 4 2 2 18" xfId="15537" xr:uid="{584C33B5-1760-4CCA-9FA0-CF0EE0F8D6B6}"/>
    <cellStyle name="Summa 4 2 2 19" xfId="15538" xr:uid="{3DF1B637-E6F6-4330-8C76-37C74D358744}"/>
    <cellStyle name="Summa 4 2 2 2" xfId="15539" xr:uid="{F8A515D5-11C5-4152-8BC6-1FDE4CD8F286}"/>
    <cellStyle name="Summa 4 2 2 3" xfId="15540" xr:uid="{A62BBB42-6644-4FB0-9B95-82D245573E0F}"/>
    <cellStyle name="Summa 4 2 2 4" xfId="15541" xr:uid="{95EABB51-A8CF-4D6A-B36B-0602E04DECCE}"/>
    <cellStyle name="Summa 4 2 2 5" xfId="15542" xr:uid="{4AC377F1-4BC6-4B4C-9391-FEF2897CDA36}"/>
    <cellStyle name="Summa 4 2 2 6" xfId="15543" xr:uid="{D03B4B6B-7E44-45AE-B087-F2BBB3CA7993}"/>
    <cellStyle name="Summa 4 2 2 7" xfId="15544" xr:uid="{B2377505-74FB-4BB9-9265-F27195468BB7}"/>
    <cellStyle name="Summa 4 2 2 8" xfId="15545" xr:uid="{4CB48911-18C5-409A-A191-B76CC3298A31}"/>
    <cellStyle name="Summa 4 2 2 9" xfId="15546" xr:uid="{03B216BE-E7AB-4294-9861-A9B3BADF6C7C}"/>
    <cellStyle name="Summa 4 2 2_2013" xfId="15547" xr:uid="{74F4D3A8-4346-45FC-8AF9-DA2E89CC3A5D}"/>
    <cellStyle name="Summa 4 2 20" xfId="15548" xr:uid="{A3F8CBE5-BD31-4764-A1B7-65DC88B1CFBF}"/>
    <cellStyle name="Summa 4 2 3" xfId="15549" xr:uid="{B9BE02B4-CA22-4876-8A7B-C2A5A0FD0E2D}"/>
    <cellStyle name="Summa 4 2 4" xfId="15550" xr:uid="{34218B51-6FD6-45E1-9BE1-23930D059201}"/>
    <cellStyle name="Summa 4 2 5" xfId="15551" xr:uid="{70DCD840-96A3-40AE-8033-8824FA34A302}"/>
    <cellStyle name="Summa 4 2 6" xfId="15552" xr:uid="{7BC36717-ADB1-4545-900E-ABCE22103617}"/>
    <cellStyle name="Summa 4 2 7" xfId="15553" xr:uid="{65F83108-0CE0-4C7F-A375-7DF1B71D4E1A}"/>
    <cellStyle name="Summa 4 2 8" xfId="15554" xr:uid="{C4E3F7E4-F556-4B1F-92C5-37100715D48F}"/>
    <cellStyle name="Summa 4 2 9" xfId="15555" xr:uid="{1E569DCC-C00C-41A1-8B32-35E522F33617}"/>
    <cellStyle name="Summa 4 2_2013" xfId="15556" xr:uid="{F8B3CD87-0E8F-4869-BE1B-35C77FEA86AA}"/>
    <cellStyle name="Summa 4 20" xfId="15557" xr:uid="{A18D19AC-990E-4F9E-990E-88D2B24A6857}"/>
    <cellStyle name="Summa 4 21" xfId="15558" xr:uid="{A02A2A41-7404-4D15-937B-7ED0922FCE5D}"/>
    <cellStyle name="Summa 4 22" xfId="15559" xr:uid="{C9C441B7-6992-4A21-8B53-02BB8734D222}"/>
    <cellStyle name="Summa 4 23" xfId="15560" xr:uid="{257C8045-8855-425A-A254-ADD649E8D229}"/>
    <cellStyle name="Summa 4 3" xfId="15561" xr:uid="{ACB5ED76-0095-4616-A0BC-7D4EBEE419A7}"/>
    <cellStyle name="Summa 4 3 10" xfId="15562" xr:uid="{4509FF13-0122-4927-8678-78C5F12FEEC0}"/>
    <cellStyle name="Summa 4 3 11" xfId="15563" xr:uid="{E5CB6137-A3F7-46BC-8948-8F3843A6812C}"/>
    <cellStyle name="Summa 4 3 12" xfId="15564" xr:uid="{EF68A958-5DC6-4FFC-AF42-D8C760731C49}"/>
    <cellStyle name="Summa 4 3 13" xfId="15565" xr:uid="{221873CB-D2DA-4AF2-8075-FACF6AC604E5}"/>
    <cellStyle name="Summa 4 3 14" xfId="15566" xr:uid="{CCFF34D3-DAF1-4FC5-858A-C01D8CA69E2F}"/>
    <cellStyle name="Summa 4 3 15" xfId="15567" xr:uid="{9A6655A0-DBB6-4D43-95AE-2C18D7103398}"/>
    <cellStyle name="Summa 4 3 16" xfId="15568" xr:uid="{A865B77F-AB06-4F0C-B59F-9DB5F38D62E8}"/>
    <cellStyle name="Summa 4 3 17" xfId="15569" xr:uid="{EB7D00BA-57D9-43E7-A2CB-3D6D0CB8A221}"/>
    <cellStyle name="Summa 4 3 18" xfId="15570" xr:uid="{BC69986F-9937-460F-BAA9-7950A2A46D46}"/>
    <cellStyle name="Summa 4 3 19" xfId="15571" xr:uid="{E131AFA9-164E-4632-A37E-5DF260AA5D46}"/>
    <cellStyle name="Summa 4 3 2" xfId="15572" xr:uid="{623306C6-C630-45FE-864A-9401139E4E81}"/>
    <cellStyle name="Summa 4 3 2 10" xfId="15573" xr:uid="{1CD20E1F-2338-414E-8F2E-3B7182C8B143}"/>
    <cellStyle name="Summa 4 3 2 11" xfId="15574" xr:uid="{0BA55B7E-F83B-4444-8697-26D8D8E453ED}"/>
    <cellStyle name="Summa 4 3 2 12" xfId="15575" xr:uid="{52A66AC5-1F00-4C6C-BECB-AF53875F32D0}"/>
    <cellStyle name="Summa 4 3 2 13" xfId="15576" xr:uid="{EFB372A2-7C49-4DC0-88C7-8C53767BBB12}"/>
    <cellStyle name="Summa 4 3 2 14" xfId="15577" xr:uid="{B4A37790-AEFA-4245-BF8B-D88E3733D5EB}"/>
    <cellStyle name="Summa 4 3 2 15" xfId="15578" xr:uid="{F295E4EF-CD4D-45F5-A300-F5DF9D3CBD66}"/>
    <cellStyle name="Summa 4 3 2 16" xfId="15579" xr:uid="{89D5F1AD-1D78-43E1-A4E9-F38B9E8D0119}"/>
    <cellStyle name="Summa 4 3 2 17" xfId="15580" xr:uid="{B126EFFE-10C9-475A-B551-F917218A25CE}"/>
    <cellStyle name="Summa 4 3 2 18" xfId="15581" xr:uid="{61448911-8549-46BF-814D-18510749310A}"/>
    <cellStyle name="Summa 4 3 2 19" xfId="15582" xr:uid="{1A5C7EB9-9091-46BD-9BF8-06AEB3604DC0}"/>
    <cellStyle name="Summa 4 3 2 2" xfId="15583" xr:uid="{BEEF67AA-94AC-4BBD-BC85-EA3E41B81765}"/>
    <cellStyle name="Summa 4 3 2 3" xfId="15584" xr:uid="{FA45526C-4E4E-421C-8ADB-AF463F0EB279}"/>
    <cellStyle name="Summa 4 3 2 4" xfId="15585" xr:uid="{C1B1CD06-0092-4CCA-9FE1-EF9C70ED629C}"/>
    <cellStyle name="Summa 4 3 2 5" xfId="15586" xr:uid="{98B0A47D-2173-4A74-83A9-F9D1D79FBE97}"/>
    <cellStyle name="Summa 4 3 2 6" xfId="15587" xr:uid="{93B412F0-15B7-4D17-B0BD-A9D173C15732}"/>
    <cellStyle name="Summa 4 3 2 7" xfId="15588" xr:uid="{5608806A-526A-4957-93A3-C128309C350B}"/>
    <cellStyle name="Summa 4 3 2 8" xfId="15589" xr:uid="{D06D63DD-DB64-42B4-83BD-485A9D140EB1}"/>
    <cellStyle name="Summa 4 3 2 9" xfId="15590" xr:uid="{C55E8B96-12F3-4FDF-A98B-1080AAC14A70}"/>
    <cellStyle name="Summa 4 3 2_2013" xfId="15591" xr:uid="{AAAC435F-354B-448B-ABF7-0DC37DCC05F3}"/>
    <cellStyle name="Summa 4 3 20" xfId="15592" xr:uid="{F1B6E4B0-18E0-4BE0-A61B-5DB5FD8E3EF9}"/>
    <cellStyle name="Summa 4 3 3" xfId="15593" xr:uid="{0B3D0DF6-93D8-49A4-B7F0-12D4B564CD0A}"/>
    <cellStyle name="Summa 4 3 4" xfId="15594" xr:uid="{6CC5086B-8C44-4F09-91D9-8FF57B01BCAC}"/>
    <cellStyle name="Summa 4 3 5" xfId="15595" xr:uid="{55DF97EF-1803-44E2-B7A1-273F6BB63FDB}"/>
    <cellStyle name="Summa 4 3 6" xfId="15596" xr:uid="{C3A9475F-717D-4256-BD86-B8F503273CB2}"/>
    <cellStyle name="Summa 4 3 7" xfId="15597" xr:uid="{C900B9A3-48B2-44B2-B166-0A78239D394C}"/>
    <cellStyle name="Summa 4 3 8" xfId="15598" xr:uid="{B13C2A67-50BE-40F1-92B6-744F60A5518A}"/>
    <cellStyle name="Summa 4 3 9" xfId="15599" xr:uid="{A0F2BDD6-779B-447B-B28D-189F48E2B33C}"/>
    <cellStyle name="Summa 4 3_2013" xfId="15600" xr:uid="{ADF7AB37-9919-41E7-ACF1-3A15F343FADF}"/>
    <cellStyle name="Summa 4 4" xfId="15601" xr:uid="{4202E030-72E8-4700-83C1-0B883E43440C}"/>
    <cellStyle name="Summa 4 4 10" xfId="15602" xr:uid="{F5CE3E72-7488-407F-A894-13970C4522FB}"/>
    <cellStyle name="Summa 4 4 11" xfId="15603" xr:uid="{EF08C4AA-F897-4CD5-9C28-4D6BA1C63704}"/>
    <cellStyle name="Summa 4 4 12" xfId="15604" xr:uid="{8FE1EE7B-C4B8-4B43-BDA9-32C7EC941DE1}"/>
    <cellStyle name="Summa 4 4 13" xfId="15605" xr:uid="{3DE8EF01-CA4F-4C60-904A-08377BA196EB}"/>
    <cellStyle name="Summa 4 4 14" xfId="15606" xr:uid="{61D0ABC4-696C-40EC-BC4A-C40C0A482006}"/>
    <cellStyle name="Summa 4 4 15" xfId="15607" xr:uid="{44C12A84-629E-4A7D-8DA0-4979C775B2EB}"/>
    <cellStyle name="Summa 4 4 16" xfId="15608" xr:uid="{CA3E5A80-C714-4E65-BA0F-8127F5E803FD}"/>
    <cellStyle name="Summa 4 4 17" xfId="15609" xr:uid="{40880F33-7E53-4316-83C9-94EA2767F771}"/>
    <cellStyle name="Summa 4 4 18" xfId="15610" xr:uid="{17634DB2-C377-45CF-B4A0-EA52F136D147}"/>
    <cellStyle name="Summa 4 4 19" xfId="15611" xr:uid="{D3D3E9A0-AF2B-4F65-8CD8-EE544ADF4702}"/>
    <cellStyle name="Summa 4 4 2" xfId="15612" xr:uid="{D72F95AB-A125-4C5F-80D9-3F9F4787024E}"/>
    <cellStyle name="Summa 4 4 2 10" xfId="15613" xr:uid="{008356D0-7E2C-485E-B131-CCC94DF18B9C}"/>
    <cellStyle name="Summa 4 4 2 11" xfId="15614" xr:uid="{3BFF9CC4-5C00-467A-90C6-B5401F698A1A}"/>
    <cellStyle name="Summa 4 4 2 12" xfId="15615" xr:uid="{B9C9C34A-D221-4640-8FF7-C51FBD4B90D6}"/>
    <cellStyle name="Summa 4 4 2 13" xfId="15616" xr:uid="{E9F00922-9EDE-448C-B4E8-D7C261CC76F1}"/>
    <cellStyle name="Summa 4 4 2 14" xfId="15617" xr:uid="{5D32C46C-08FC-4358-8423-4C4843BB6FF9}"/>
    <cellStyle name="Summa 4 4 2 15" xfId="15618" xr:uid="{B5CCC63B-F701-490F-888B-49CA59087AEC}"/>
    <cellStyle name="Summa 4 4 2 16" xfId="15619" xr:uid="{D2C82517-4414-4694-A398-A2952D273A87}"/>
    <cellStyle name="Summa 4 4 2 17" xfId="15620" xr:uid="{EC3A8646-7179-4AB5-9138-62937AD55506}"/>
    <cellStyle name="Summa 4 4 2 18" xfId="15621" xr:uid="{0EFFC867-5DF5-4420-BC5A-3C948B6C2B9F}"/>
    <cellStyle name="Summa 4 4 2 19" xfId="15622" xr:uid="{0BF43B30-24E1-4CAC-8D3D-6976C7ECE117}"/>
    <cellStyle name="Summa 4 4 2 2" xfId="15623" xr:uid="{612257E4-4927-4516-90FD-5489B04845D6}"/>
    <cellStyle name="Summa 4 4 2 3" xfId="15624" xr:uid="{79104449-2BA0-49F3-9ECE-AA0391EFED83}"/>
    <cellStyle name="Summa 4 4 2 4" xfId="15625" xr:uid="{11ED6B7A-5DB5-4C23-A22F-76BBD4C46ED6}"/>
    <cellStyle name="Summa 4 4 2 5" xfId="15626" xr:uid="{22518815-41EA-437E-9A18-6AFA53FBD385}"/>
    <cellStyle name="Summa 4 4 2 6" xfId="15627" xr:uid="{A8FC6149-25FD-421B-B8BC-E3E3D5304989}"/>
    <cellStyle name="Summa 4 4 2 7" xfId="15628" xr:uid="{14EB7B82-F698-48F6-933B-C0664095B89D}"/>
    <cellStyle name="Summa 4 4 2 8" xfId="15629" xr:uid="{DA30522A-D536-40AB-8393-EB502B508ECC}"/>
    <cellStyle name="Summa 4 4 2 9" xfId="15630" xr:uid="{1F13DF61-59E9-4DD2-BC5A-CA7F68AF9F0E}"/>
    <cellStyle name="Summa 4 4 2_2013" xfId="15631" xr:uid="{787DBE14-FA3B-4009-8023-9DF85D170024}"/>
    <cellStyle name="Summa 4 4 20" xfId="15632" xr:uid="{874E17FE-2785-4B05-9CE7-7A737510AE08}"/>
    <cellStyle name="Summa 4 4 3" xfId="15633" xr:uid="{0F5AC0D7-8738-4877-B082-CC57951DE341}"/>
    <cellStyle name="Summa 4 4 4" xfId="15634" xr:uid="{E942893F-A6CB-49DD-9998-F89EA9240F37}"/>
    <cellStyle name="Summa 4 4 5" xfId="15635" xr:uid="{F21B1A29-70EB-4D9C-A0B6-286490B2FAF2}"/>
    <cellStyle name="Summa 4 4 6" xfId="15636" xr:uid="{E8E51E34-7B3C-4E58-8FA3-2AEE11DACF38}"/>
    <cellStyle name="Summa 4 4 7" xfId="15637" xr:uid="{16E375C3-4960-46FC-9542-C127F4FD3820}"/>
    <cellStyle name="Summa 4 4 8" xfId="15638" xr:uid="{8EFCC225-3FDE-49FE-9B8E-972B7D27F946}"/>
    <cellStyle name="Summa 4 4 9" xfId="15639" xr:uid="{C74BCDFD-AC84-4CB9-B8BB-C9134E9C1107}"/>
    <cellStyle name="Summa 4 4_2013" xfId="15640" xr:uid="{C8C9E858-E3BC-4C1F-BB8F-29511D67D744}"/>
    <cellStyle name="Summa 4 5" xfId="15641" xr:uid="{D7E1C3B7-8B27-40C8-BD99-EB0C81D35BB0}"/>
    <cellStyle name="Summa 4 5 10" xfId="15642" xr:uid="{5FCAA9D1-8A3B-4E47-AE27-C6FF434FDA29}"/>
    <cellStyle name="Summa 4 5 11" xfId="15643" xr:uid="{9E0B26D1-5771-46BF-AEC0-820A422C3179}"/>
    <cellStyle name="Summa 4 5 12" xfId="15644" xr:uid="{4A1985EB-3407-433E-89A2-04042035BD05}"/>
    <cellStyle name="Summa 4 5 13" xfId="15645" xr:uid="{070F8BFC-75F1-4891-A3CD-E53DBB05AAA3}"/>
    <cellStyle name="Summa 4 5 14" xfId="15646" xr:uid="{49E03459-6855-4F14-BB01-7D815A7DFE77}"/>
    <cellStyle name="Summa 4 5 15" xfId="15647" xr:uid="{B15D0402-72F4-400B-8B93-4E1DAA7B9525}"/>
    <cellStyle name="Summa 4 5 16" xfId="15648" xr:uid="{74C581D3-13F0-4A06-B4A5-EF3DF595435E}"/>
    <cellStyle name="Summa 4 5 17" xfId="15649" xr:uid="{A733A556-3BC6-427A-9519-F0849E8F07DC}"/>
    <cellStyle name="Summa 4 5 18" xfId="15650" xr:uid="{C6A8137E-9C51-4BB1-8969-DCAFE814CF6D}"/>
    <cellStyle name="Summa 4 5 19" xfId="15651" xr:uid="{89E2280C-1D7B-49F5-80BD-20A2A99D4332}"/>
    <cellStyle name="Summa 4 5 2" xfId="15652" xr:uid="{12A820F3-7843-49A8-84DA-1BF8188D5580}"/>
    <cellStyle name="Summa 4 5 3" xfId="15653" xr:uid="{6C04E250-E476-462A-97D7-10856AD8C583}"/>
    <cellStyle name="Summa 4 5 4" xfId="15654" xr:uid="{59DCA9D5-CB69-4C17-A963-6DC3EFC8D39A}"/>
    <cellStyle name="Summa 4 5 5" xfId="15655" xr:uid="{F38E3781-F531-42FC-A2A2-C9F211D97A9C}"/>
    <cellStyle name="Summa 4 5 6" xfId="15656" xr:uid="{00B17765-7D91-48C8-A0B0-2DB22FE6DBF0}"/>
    <cellStyle name="Summa 4 5 7" xfId="15657" xr:uid="{E9713C14-2714-43DC-915A-FAC6362238D0}"/>
    <cellStyle name="Summa 4 5 8" xfId="15658" xr:uid="{B773AE9A-D982-4E92-97D6-5D4EE86A5164}"/>
    <cellStyle name="Summa 4 5 9" xfId="15659" xr:uid="{08DF88F8-1241-4025-B976-257E75F247D3}"/>
    <cellStyle name="Summa 4 5_2013" xfId="15660" xr:uid="{3148F84F-75AB-4A86-A439-DA9E6F78387A}"/>
    <cellStyle name="Summa 4 6" xfId="15661" xr:uid="{F19207DD-156C-476D-8EAE-6BCDFBE65B83}"/>
    <cellStyle name="Summa 4 7" xfId="15662" xr:uid="{82DFA0DD-BBF9-4F69-8D66-14423441C994}"/>
    <cellStyle name="Summa 4 8" xfId="15663" xr:uid="{EC15424A-59E0-419D-A63A-BD023CD11CA9}"/>
    <cellStyle name="Summa 4 9" xfId="15664" xr:uid="{FC021E80-D625-4CE1-A36E-8A4E44EF2904}"/>
    <cellStyle name="Summa 4_2013" xfId="15665" xr:uid="{68C70BA9-7E81-47EB-8E60-38CAE584061A}"/>
    <cellStyle name="Summa 5" xfId="15666" xr:uid="{5F4854C3-0E77-44C6-9AA6-C5BB54577F56}"/>
    <cellStyle name="Summa 5 10" xfId="15667" xr:uid="{1C96307C-BBB4-47CD-9188-F5014145733D}"/>
    <cellStyle name="Summa 5 11" xfId="15668" xr:uid="{7C0002C9-316E-4532-9BFE-D23A688AD215}"/>
    <cellStyle name="Summa 5 12" xfId="15669" xr:uid="{02B2B86E-061A-4675-8B19-71A5A54A23B0}"/>
    <cellStyle name="Summa 5 13" xfId="15670" xr:uid="{33D9ACCE-686C-48B8-BA66-FCCC5DA73669}"/>
    <cellStyle name="Summa 5 14" xfId="15671" xr:uid="{1DAF0A85-0CAF-44EF-BA73-1E8901CA6BC1}"/>
    <cellStyle name="Summa 5 15" xfId="15672" xr:uid="{C7CFD63B-9682-42DD-BCDC-257237A5B83D}"/>
    <cellStyle name="Summa 5 16" xfId="15673" xr:uid="{4ED5CCAA-55AE-4DD9-96EE-B5D2EE877B8B}"/>
    <cellStyle name="Summa 5 17" xfId="15674" xr:uid="{2A8A6DF0-EEB9-4EBD-BB2E-C6F5A1930958}"/>
    <cellStyle name="Summa 5 18" xfId="15675" xr:uid="{6250BB77-3D88-4572-91CD-46CC54EF1167}"/>
    <cellStyle name="Summa 5 19" xfId="15676" xr:uid="{B9F6E533-5822-4C10-8D09-402A7E83DF1D}"/>
    <cellStyle name="Summa 5 2" xfId="15677" xr:uid="{67898E22-FF1B-4489-ADFF-5DF7E3F5EB7B}"/>
    <cellStyle name="Summa 5 2 10" xfId="15678" xr:uid="{A5791CA7-F05F-48E0-ABAE-CEB62F17BC17}"/>
    <cellStyle name="Summa 5 2 11" xfId="15679" xr:uid="{B0CB775D-6167-44B1-AD39-E2A2F73C7410}"/>
    <cellStyle name="Summa 5 2 12" xfId="15680" xr:uid="{71B89AAA-D090-4F1E-B709-60B9EC28FAFE}"/>
    <cellStyle name="Summa 5 2 13" xfId="15681" xr:uid="{4A08B6F1-D0A7-4E77-AE9F-8AC0D0AAE456}"/>
    <cellStyle name="Summa 5 2 14" xfId="15682" xr:uid="{B8C39DEA-DFDE-460C-8022-FA71C37294C0}"/>
    <cellStyle name="Summa 5 2 15" xfId="15683" xr:uid="{E5066E20-9F8C-4DB9-A418-3A8AC7EEE534}"/>
    <cellStyle name="Summa 5 2 16" xfId="15684" xr:uid="{EBBBB2A3-300E-40CF-AF21-CA578BA71451}"/>
    <cellStyle name="Summa 5 2 17" xfId="15685" xr:uid="{92B0DEE4-E965-4EAE-A2F7-333CA8147E5D}"/>
    <cellStyle name="Summa 5 2 18" xfId="15686" xr:uid="{DCD39411-98F7-487D-83C4-EBCC124CE5F7}"/>
    <cellStyle name="Summa 5 2 19" xfId="15687" xr:uid="{DFD03EED-0361-4DA8-9F8A-3F1D0DE5A129}"/>
    <cellStyle name="Summa 5 2 2" xfId="15688" xr:uid="{5EBA14B4-B7BD-46BC-9CD3-BCEFA63A6179}"/>
    <cellStyle name="Summa 5 2 3" xfId="15689" xr:uid="{738B2DC9-E396-44C8-BC9D-A591EB638A17}"/>
    <cellStyle name="Summa 5 2 4" xfId="15690" xr:uid="{428A8BE5-8015-4F9E-AFC1-884325E897AA}"/>
    <cellStyle name="Summa 5 2 5" xfId="15691" xr:uid="{0F6AD04D-DA9B-4419-8B8A-C01CDC9831D2}"/>
    <cellStyle name="Summa 5 2 6" xfId="15692" xr:uid="{89DF1867-F31B-476C-BAA8-869755425029}"/>
    <cellStyle name="Summa 5 2 7" xfId="15693" xr:uid="{8AA7B551-1247-4CAD-A18E-5DE697BFB0E8}"/>
    <cellStyle name="Summa 5 2 8" xfId="15694" xr:uid="{C2CF1E74-86EF-4E4E-AB05-2F8195712460}"/>
    <cellStyle name="Summa 5 2 9" xfId="15695" xr:uid="{24DFB510-E046-45CE-A404-261155EFC0F4}"/>
    <cellStyle name="Summa 5 2_2013" xfId="15696" xr:uid="{71217B01-C444-416B-B1FD-171505713B26}"/>
    <cellStyle name="Summa 5 20" xfId="15697" xr:uid="{1285E96F-A886-4128-A291-D9E543B9B3AB}"/>
    <cellStyle name="Summa 5 3" xfId="15698" xr:uid="{857BFFF1-ED4F-4A5A-8710-F982367544DD}"/>
    <cellStyle name="Summa 5 4" xfId="15699" xr:uid="{C8C3AD5C-61E9-4AF1-816D-FBCA93D69EB4}"/>
    <cellStyle name="Summa 5 5" xfId="15700" xr:uid="{4A3607C9-B958-40FF-B461-297C4FF8F6BC}"/>
    <cellStyle name="Summa 5 6" xfId="15701" xr:uid="{630727AC-9AAD-4ECA-88F5-4634AA958428}"/>
    <cellStyle name="Summa 5 7" xfId="15702" xr:uid="{2E3DAF74-AE3A-438A-A2BE-586172419476}"/>
    <cellStyle name="Summa 5 8" xfId="15703" xr:uid="{ACED49CF-4438-45CF-8A9E-EB71D7A0825D}"/>
    <cellStyle name="Summa 5 9" xfId="15704" xr:uid="{AF7733C3-0F46-4E66-B8E1-C545DFC5CA5E}"/>
    <cellStyle name="Summa 5_2013" xfId="15705" xr:uid="{FB1197B6-AD41-465A-9A3E-F02FA86B422B}"/>
    <cellStyle name="Summa 6" xfId="15706" xr:uid="{5C002AF2-38BE-4921-B4A6-BD384F1BBA2A}"/>
    <cellStyle name="Summa 6 10" xfId="15707" xr:uid="{0E29A372-5FBB-462B-B5A5-D5DE8F86C42C}"/>
    <cellStyle name="Summa 6 11" xfId="15708" xr:uid="{9860BCEE-E8A0-48D7-AD90-D2EA6803D4F3}"/>
    <cellStyle name="Summa 6 12" xfId="15709" xr:uid="{F66F689E-6268-481A-89D4-B2F238F39D14}"/>
    <cellStyle name="Summa 6 13" xfId="15710" xr:uid="{AE50B59D-1F7B-4E88-AE8D-BFD6B14D6021}"/>
    <cellStyle name="Summa 6 14" xfId="15711" xr:uid="{0DDE1F1D-8859-4735-B5A8-59CF424079D5}"/>
    <cellStyle name="Summa 6 15" xfId="15712" xr:uid="{69C6D412-B46E-414F-A20D-D73C7FD83F01}"/>
    <cellStyle name="Summa 6 16" xfId="15713" xr:uid="{5058E638-9719-495F-992B-FD269D1E937A}"/>
    <cellStyle name="Summa 6 17" xfId="15714" xr:uid="{C97EABDB-F28B-46B4-A5F1-19C2F5FE4A84}"/>
    <cellStyle name="Summa 6 18" xfId="15715" xr:uid="{7C480DF1-777F-4AF6-836A-4A03794FF0F2}"/>
    <cellStyle name="Summa 6 19" xfId="15716" xr:uid="{893BB2F5-61BA-4EBA-8EB1-6082DEA36BDF}"/>
    <cellStyle name="Summa 6 2" xfId="15717" xr:uid="{071896D4-3975-469B-B4FB-765FE0C8893C}"/>
    <cellStyle name="Summa 6 2 10" xfId="15718" xr:uid="{A4DAD434-92D9-4F80-B090-0530B9EE9AD3}"/>
    <cellStyle name="Summa 6 2 11" xfId="15719" xr:uid="{E0EF902F-95EA-46E2-9E2C-6E83AE7739E3}"/>
    <cellStyle name="Summa 6 2 12" xfId="15720" xr:uid="{07045C11-4DA8-409B-B2D7-6EC259C02221}"/>
    <cellStyle name="Summa 6 2 13" xfId="15721" xr:uid="{CF3A3309-33D6-4024-A0F6-3BD40D4F3392}"/>
    <cellStyle name="Summa 6 2 14" xfId="15722" xr:uid="{123D6E76-06A9-477D-91BC-DBD3A603798D}"/>
    <cellStyle name="Summa 6 2 15" xfId="15723" xr:uid="{1229D2C4-8BC6-4C2B-B3EB-02AE60F6A104}"/>
    <cellStyle name="Summa 6 2 16" xfId="15724" xr:uid="{9E56EAF9-A13E-4219-991E-B060E57F84E8}"/>
    <cellStyle name="Summa 6 2 17" xfId="15725" xr:uid="{2A4254BD-30E5-4CE7-9194-A859599869C4}"/>
    <cellStyle name="Summa 6 2 18" xfId="15726" xr:uid="{DD6C10D5-7A49-4398-9827-E35A6607A4EF}"/>
    <cellStyle name="Summa 6 2 19" xfId="15727" xr:uid="{0F266E05-C898-4CAB-BA6A-473C62E0BB8B}"/>
    <cellStyle name="Summa 6 2 2" xfId="15728" xr:uid="{2035BDF5-D6D9-4518-A0BC-29B644F0478A}"/>
    <cellStyle name="Summa 6 2 3" xfId="15729" xr:uid="{7427A5F6-8410-40D5-A594-64CD63B5E447}"/>
    <cellStyle name="Summa 6 2 4" xfId="15730" xr:uid="{6E06F362-F9C9-4A6C-8B99-0AE50FBE09E0}"/>
    <cellStyle name="Summa 6 2 5" xfId="15731" xr:uid="{CC3B6D9E-A08D-48EF-9624-3CC9E6B42B54}"/>
    <cellStyle name="Summa 6 2 6" xfId="15732" xr:uid="{B171977F-1482-4C27-A439-E6B8DF71BB18}"/>
    <cellStyle name="Summa 6 2 7" xfId="15733" xr:uid="{9D281FC1-5E4A-4A21-8C03-C858D040B006}"/>
    <cellStyle name="Summa 6 2 8" xfId="15734" xr:uid="{051C1636-2BFF-4BFB-B591-2040A1DDF4BB}"/>
    <cellStyle name="Summa 6 2 9" xfId="15735" xr:uid="{DC85E5A6-DE50-4631-A683-871F93DE0D04}"/>
    <cellStyle name="Summa 6 2_2013" xfId="15736" xr:uid="{81CD4615-B092-4D27-98EA-0C50D38BFE26}"/>
    <cellStyle name="Summa 6 20" xfId="15737" xr:uid="{1D85B8CE-F35E-45CC-9F25-C5275519649D}"/>
    <cellStyle name="Summa 6 3" xfId="15738" xr:uid="{068287FA-077E-4B88-9349-0B727EF51FBE}"/>
    <cellStyle name="Summa 6 4" xfId="15739" xr:uid="{1FDF43BB-AA39-4F25-861B-66D2F0BCCD30}"/>
    <cellStyle name="Summa 6 5" xfId="15740" xr:uid="{2D0E75E5-0EA9-41DD-A0A4-0FC2FEAB83B2}"/>
    <cellStyle name="Summa 6 6" xfId="15741" xr:uid="{999FD3D3-DADC-4EC2-B198-9377516B2ADA}"/>
    <cellStyle name="Summa 6 7" xfId="15742" xr:uid="{2C4921B6-05F9-48C6-9398-BDA8FD4946D1}"/>
    <cellStyle name="Summa 6 8" xfId="15743" xr:uid="{3DA8F54B-67A0-4E8E-A57D-152EB94CA816}"/>
    <cellStyle name="Summa 6 9" xfId="15744" xr:uid="{FD0896F3-042F-4977-B2A8-2956E3A1E61D}"/>
    <cellStyle name="Summa 6_2013" xfId="15745" xr:uid="{CE982FC7-6BDA-47ED-822F-C86BCDA73954}"/>
    <cellStyle name="Summa 7" xfId="15746" xr:uid="{39A994D4-8A27-4E9A-905F-F0534B416ADC}"/>
    <cellStyle name="Summa 7 10" xfId="15747" xr:uid="{C4A418AD-5A5D-445D-8CD9-725C83802984}"/>
    <cellStyle name="Summa 7 11" xfId="15748" xr:uid="{88B5A783-F34D-436D-8AAA-DC62D7A09036}"/>
    <cellStyle name="Summa 7 12" xfId="15749" xr:uid="{8A01D0D1-3F75-46EC-9349-9D67F6DD4FFB}"/>
    <cellStyle name="Summa 7 13" xfId="15750" xr:uid="{0465B560-F8C2-49BA-9216-88C4220D16EC}"/>
    <cellStyle name="Summa 7 14" xfId="15751" xr:uid="{35B3458A-7D76-45E8-8D02-33C9703DD4AA}"/>
    <cellStyle name="Summa 7 15" xfId="15752" xr:uid="{B60B6773-B2F5-4D69-82C4-6F21E9C188A7}"/>
    <cellStyle name="Summa 7 16" xfId="15753" xr:uid="{C17C2656-1F27-4902-B9C4-4628D54EB91D}"/>
    <cellStyle name="Summa 7 17" xfId="15754" xr:uid="{2F4049AB-BEFD-4F1C-99F9-65E205858AC1}"/>
    <cellStyle name="Summa 7 18" xfId="15755" xr:uid="{286D4528-7B52-4169-AC81-A804D8EEF022}"/>
    <cellStyle name="Summa 7 19" xfId="15756" xr:uid="{5D90C8F5-8D2A-458D-BC52-DA13B95E3D6C}"/>
    <cellStyle name="Summa 7 2" xfId="15757" xr:uid="{F3964452-05F8-4C59-8380-E2E28C7E495C}"/>
    <cellStyle name="Summa 7 2 10" xfId="15758" xr:uid="{956296B0-FCF4-4AD7-B8B5-F997D02FC215}"/>
    <cellStyle name="Summa 7 2 11" xfId="15759" xr:uid="{8076DA04-A5FD-46AD-B7C6-C171BDF037BF}"/>
    <cellStyle name="Summa 7 2 12" xfId="15760" xr:uid="{69CD3581-516E-4CA9-9372-A869CA3CB2CB}"/>
    <cellStyle name="Summa 7 2 13" xfId="15761" xr:uid="{6A9C3FD1-A1E8-487E-BF4D-C45724D23846}"/>
    <cellStyle name="Summa 7 2 14" xfId="15762" xr:uid="{4D158A59-819E-4827-BDA1-37D6603D5E95}"/>
    <cellStyle name="Summa 7 2 15" xfId="15763" xr:uid="{6792ABCF-C6C8-44EB-9644-CEC9412FD49B}"/>
    <cellStyle name="Summa 7 2 16" xfId="15764" xr:uid="{C29CBF69-432A-4018-B420-5F93B5E54836}"/>
    <cellStyle name="Summa 7 2 17" xfId="15765" xr:uid="{F43CE2B7-6A4F-401B-8C0E-91CB443295B7}"/>
    <cellStyle name="Summa 7 2 18" xfId="15766" xr:uid="{F5A1A106-5C18-4139-9F77-7C87B36EBD96}"/>
    <cellStyle name="Summa 7 2 19" xfId="15767" xr:uid="{491DFD9A-BD61-4141-AC2B-377E17C6E2F0}"/>
    <cellStyle name="Summa 7 2 2" xfId="15768" xr:uid="{863C9797-7866-49FD-9F2E-394B398F8F92}"/>
    <cellStyle name="Summa 7 2 3" xfId="15769" xr:uid="{F075A389-840D-4D2D-A4AA-DDE4B2EDAD70}"/>
    <cellStyle name="Summa 7 2 4" xfId="15770" xr:uid="{96CDBAFB-CD77-48F6-A735-2FE611493141}"/>
    <cellStyle name="Summa 7 2 5" xfId="15771" xr:uid="{2D5AFBB4-DBE1-4086-9092-FDB0550D3617}"/>
    <cellStyle name="Summa 7 2 6" xfId="15772" xr:uid="{DA3943DB-B4C0-427A-8122-930287749582}"/>
    <cellStyle name="Summa 7 2 7" xfId="15773" xr:uid="{2B859EE3-F51B-417F-A1B7-FA19D544A809}"/>
    <cellStyle name="Summa 7 2 8" xfId="15774" xr:uid="{BF12D3D9-C7AA-41AB-AFCB-B4E628A036F0}"/>
    <cellStyle name="Summa 7 2 9" xfId="15775" xr:uid="{6ABF9A94-A454-4E4A-86A3-69B8678865D3}"/>
    <cellStyle name="Summa 7 2_2013" xfId="15776" xr:uid="{42D5DE3C-136F-4D45-946E-06675FFF6455}"/>
    <cellStyle name="Summa 7 20" xfId="15777" xr:uid="{FD3859CC-49AC-4E01-AAAC-F19F43D807A1}"/>
    <cellStyle name="Summa 7 3" xfId="15778" xr:uid="{F9A9D303-CCAE-4168-9C43-8A17D1619DD1}"/>
    <cellStyle name="Summa 7 4" xfId="15779" xr:uid="{407ECE73-6770-403F-BC1E-750B07D48ACC}"/>
    <cellStyle name="Summa 7 5" xfId="15780" xr:uid="{610EB468-784C-4FB7-876B-CB9BAB97F6D3}"/>
    <cellStyle name="Summa 7 6" xfId="15781" xr:uid="{61FD5DFA-0934-472A-9CFB-526DE70B20AE}"/>
    <cellStyle name="Summa 7 7" xfId="15782" xr:uid="{3C5044C2-AD04-4E51-AAFA-3DB98FA11F42}"/>
    <cellStyle name="Summa 7 8" xfId="15783" xr:uid="{F21F9568-9791-4A5F-9617-68786933655B}"/>
    <cellStyle name="Summa 7 9" xfId="15784" xr:uid="{050F24BA-8A04-41A8-995E-FC6547BAFC11}"/>
    <cellStyle name="Summa 7_2013" xfId="15785" xr:uid="{7E5F3679-406E-4BFC-8ACF-36C3D508DE72}"/>
    <cellStyle name="Summa 8" xfId="15786" xr:uid="{2249BAF4-5021-460A-B665-6D378DE6A9D1}"/>
    <cellStyle name="Summa 8 10" xfId="15787" xr:uid="{3D3A105D-BC24-45F6-AE3C-67EBD52EAAEC}"/>
    <cellStyle name="Summa 8 11" xfId="15788" xr:uid="{FC3F5926-0495-45A5-BA67-993AB12A224E}"/>
    <cellStyle name="Summa 8 12" xfId="15789" xr:uid="{CE634B27-FEAD-433F-BA16-2C4A4623FC6D}"/>
    <cellStyle name="Summa 8 13" xfId="15790" xr:uid="{EF879ACA-68F7-4D1E-A37E-8AE9CFD75C20}"/>
    <cellStyle name="Summa 8 14" xfId="15791" xr:uid="{E792576F-E851-400D-9C43-50E69E143E6B}"/>
    <cellStyle name="Summa 8 15" xfId="15792" xr:uid="{9DA78384-996D-427B-929F-CAA3CDE2945F}"/>
    <cellStyle name="Summa 8 16" xfId="15793" xr:uid="{D723AC72-4F7E-4ECA-BA5A-BCC2D77A5413}"/>
    <cellStyle name="Summa 8 17" xfId="15794" xr:uid="{E20FCDB6-1B3E-4836-90A4-F303F71473E6}"/>
    <cellStyle name="Summa 8 18" xfId="15795" xr:uid="{32F69A13-B95A-4719-B6F1-315EE54C8D98}"/>
    <cellStyle name="Summa 8 19" xfId="15796" xr:uid="{4BB7317E-3B98-460A-8707-278B0A9A16B8}"/>
    <cellStyle name="Summa 8 2" xfId="15797" xr:uid="{62BBA852-DFFD-406E-9C2C-D8C87E1A685C}"/>
    <cellStyle name="Summa 8 3" xfId="15798" xr:uid="{C72A2B3B-E7A0-4959-A63A-50DC0C530EDD}"/>
    <cellStyle name="Summa 8 4" xfId="15799" xr:uid="{E2991A43-A005-417D-9012-BCE159F3CFEA}"/>
    <cellStyle name="Summa 8 5" xfId="15800" xr:uid="{9456024A-B5E4-484D-A695-21B45559C2F5}"/>
    <cellStyle name="Summa 8 6" xfId="15801" xr:uid="{EB1F4806-AC9F-44CF-8DEF-230BDB0AE78E}"/>
    <cellStyle name="Summa 8 7" xfId="15802" xr:uid="{25A9C807-635C-4DC8-B3CF-4C0EF2F6C457}"/>
    <cellStyle name="Summa 8 8" xfId="15803" xr:uid="{83E67317-E891-4C5F-8B43-26E2798E6169}"/>
    <cellStyle name="Summa 8 9" xfId="15804" xr:uid="{514A9073-219A-4EBF-9063-4C13540D6615}"/>
    <cellStyle name="Summa 8_2013" xfId="15805" xr:uid="{973C2CA9-886B-4BE5-BF32-66F432996739}"/>
    <cellStyle name="Summa 9" xfId="15806" xr:uid="{843E0BC9-6D88-4153-8A5F-6A0977500350}"/>
    <cellStyle name="Summa_2013" xfId="15807" xr:uid="{FD14F6FF-4DC5-4767-9FB6-F39D426EFE24}"/>
    <cellStyle name="Syöttö" xfId="15808" xr:uid="{F2D83C81-FE19-449D-9901-B01835800A57}"/>
    <cellStyle name="Syöttö 10" xfId="15809" xr:uid="{472E7AB9-4AD1-4CFE-B519-540A24669E77}"/>
    <cellStyle name="Syöttö 11" xfId="15810" xr:uid="{833381AC-F7E3-4F70-B0C0-1FB6DBF321A1}"/>
    <cellStyle name="Syöttö 12" xfId="15811" xr:uid="{6F7CE1A5-7C88-4092-B85C-14BD7C105BCB}"/>
    <cellStyle name="Syöttö 13" xfId="15812" xr:uid="{D71A899E-757F-42A1-9D70-E23C63D3942F}"/>
    <cellStyle name="Syöttö 14" xfId="15813" xr:uid="{384EDFBD-1170-4AF4-8C32-1F974F4EEB80}"/>
    <cellStyle name="Syöttö 15" xfId="15814" xr:uid="{C627814E-C1F7-45F8-BA0F-CB6D787F92F7}"/>
    <cellStyle name="Syöttö 16" xfId="15815" xr:uid="{740C2833-4228-4AA8-AC40-95125759C9D7}"/>
    <cellStyle name="Syöttö 17" xfId="15816" xr:uid="{214D37A0-8445-4349-8D61-F9D8EAFB2738}"/>
    <cellStyle name="Syöttö 18" xfId="15817" xr:uid="{5CBE348B-61DB-4960-A493-FF49B1CEB162}"/>
    <cellStyle name="Syöttö 19" xfId="15818" xr:uid="{0FBA27B8-E9D8-494B-8607-834FA30390AA}"/>
    <cellStyle name="Syöttö 2" xfId="15819" xr:uid="{A62D27CA-3D2D-486E-BA1C-F8743757CC29}"/>
    <cellStyle name="Syöttö 2 10" xfId="15820" xr:uid="{66FED3A7-5FC0-4FAB-A6CC-26BC40C92D45}"/>
    <cellStyle name="Syöttö 2 11" xfId="15821" xr:uid="{E0E22766-7E9D-4FBD-A3E9-8C8B81270D80}"/>
    <cellStyle name="Syöttö 2 12" xfId="15822" xr:uid="{B14E1FF1-DFE9-494C-8A56-1FCCECAA5826}"/>
    <cellStyle name="Syöttö 2 13" xfId="15823" xr:uid="{F0400DA5-FCE9-4345-A79C-6741F073B38D}"/>
    <cellStyle name="Syöttö 2 14" xfId="15824" xr:uid="{63AF010E-7CE5-4E9F-A01C-6F78E30EBECB}"/>
    <cellStyle name="Syöttö 2 15" xfId="15825" xr:uid="{E22C3E9B-E0B4-4B21-9C91-A87CBA1C201E}"/>
    <cellStyle name="Syöttö 2 16" xfId="15826" xr:uid="{12CA28CE-8C96-4781-9429-CA810E00A388}"/>
    <cellStyle name="Syöttö 2 17" xfId="15827" xr:uid="{D78DE9D5-BED0-4F3C-BCD6-E8A6BF5E129A}"/>
    <cellStyle name="Syöttö 2 18" xfId="15828" xr:uid="{474210BA-A982-486A-BB33-86B746EF97EF}"/>
    <cellStyle name="Syöttö 2 19" xfId="15829" xr:uid="{EC020BD8-2ECC-49BE-990B-B087658F375E}"/>
    <cellStyle name="Syöttö 2 2" xfId="15830" xr:uid="{DA74CD1D-3F71-4072-9A04-99C68F851ECD}"/>
    <cellStyle name="Syöttö 2 2 10" xfId="15831" xr:uid="{D289634C-6258-432D-B8FF-F5FA23CDAFB1}"/>
    <cellStyle name="Syöttö 2 2 11" xfId="15832" xr:uid="{1C7CE200-6E2E-42BF-8F85-CB671D92F326}"/>
    <cellStyle name="Syöttö 2 2 12" xfId="15833" xr:uid="{87403F81-A6A2-4BB7-A7E1-D3E83C93C458}"/>
    <cellStyle name="Syöttö 2 2 13" xfId="15834" xr:uid="{679B8417-466D-4D87-B70C-F15D66E81989}"/>
    <cellStyle name="Syöttö 2 2 14" xfId="15835" xr:uid="{85B01EDA-FBEA-41E8-AA05-05A0EC1792E3}"/>
    <cellStyle name="Syöttö 2 2 15" xfId="15836" xr:uid="{42F88389-A3CD-4338-A0FF-87DDE612932D}"/>
    <cellStyle name="Syöttö 2 2 16" xfId="15837" xr:uid="{0AB1297B-5BF6-4BDF-97CA-0CAD30F88753}"/>
    <cellStyle name="Syöttö 2 2 17" xfId="15838" xr:uid="{74481C0E-9375-4C64-B421-BD9C6D4DA693}"/>
    <cellStyle name="Syöttö 2 2 18" xfId="15839" xr:uid="{AF6AF025-6012-46C1-B19B-DC9813F4510B}"/>
    <cellStyle name="Syöttö 2 2 19" xfId="15840" xr:uid="{31F7D3C5-0133-48A5-AB3D-4E377FE4EEA5}"/>
    <cellStyle name="Syöttö 2 2 2" xfId="15841" xr:uid="{835D173D-C396-494C-A0A4-3C0BD1C8E22F}"/>
    <cellStyle name="Syöttö 2 2 2 10" xfId="15842" xr:uid="{EBF6F4C2-BEC6-4D53-99B7-1BCECFD6C970}"/>
    <cellStyle name="Syöttö 2 2 2 11" xfId="15843" xr:uid="{2A399803-6E73-4EA4-A2BC-4943F1E034EC}"/>
    <cellStyle name="Syöttö 2 2 2 12" xfId="15844" xr:uid="{76BB740A-090B-4ED3-A02C-C7AC3CF889F7}"/>
    <cellStyle name="Syöttö 2 2 2 13" xfId="15845" xr:uid="{99534153-C11D-4F6C-AB0F-7311EF7B91BC}"/>
    <cellStyle name="Syöttö 2 2 2 14" xfId="15846" xr:uid="{27140525-237A-4200-9C78-6ACB79BAC175}"/>
    <cellStyle name="Syöttö 2 2 2 15" xfId="15847" xr:uid="{0FFB5F00-9CED-4542-968A-FC9337109ABC}"/>
    <cellStyle name="Syöttö 2 2 2 16" xfId="15848" xr:uid="{6E810C1E-B33A-4EBC-8B54-79AFD2862DF2}"/>
    <cellStyle name="Syöttö 2 2 2 17" xfId="15849" xr:uid="{0782817A-BEB7-4FE2-B815-369B4CE732AA}"/>
    <cellStyle name="Syöttö 2 2 2 18" xfId="15850" xr:uid="{A6377C2A-8EFE-4281-AC77-CDB3425C3FEA}"/>
    <cellStyle name="Syöttö 2 2 2 19" xfId="15851" xr:uid="{D235EC75-85DD-4198-BD0A-D2FE0F933B71}"/>
    <cellStyle name="Syöttö 2 2 2 19 2" xfId="15852" xr:uid="{4C0DDE71-DFEF-4161-A595-9FD4896E465A}"/>
    <cellStyle name="Syöttö 2 2 2 19_2013" xfId="15853" xr:uid="{8A38C925-48E6-4985-843C-97BCB25FFEE9}"/>
    <cellStyle name="Syöttö 2 2 2 2" xfId="15854" xr:uid="{0A5B47EC-E1FB-403C-BBE0-C490D85689AC}"/>
    <cellStyle name="Syöttö 2 2 2 2 10" xfId="15855" xr:uid="{FE8E416D-D6A9-47D4-B8B3-C17BA72D4F8D}"/>
    <cellStyle name="Syöttö 2 2 2 2 11" xfId="15856" xr:uid="{2754A054-411F-4C1B-8985-DEFAAEBA59F2}"/>
    <cellStyle name="Syöttö 2 2 2 2 12" xfId="15857" xr:uid="{1D069427-CF16-4FA0-9ECF-2BB35D4B90D1}"/>
    <cellStyle name="Syöttö 2 2 2 2 13" xfId="15858" xr:uid="{1845DFA8-B2F5-4721-9EEB-F49B1612F662}"/>
    <cellStyle name="Syöttö 2 2 2 2 14" xfId="15859" xr:uid="{6BB347B3-9363-4F7A-8678-C448936DD571}"/>
    <cellStyle name="Syöttö 2 2 2 2 15" xfId="15860" xr:uid="{529ED6E8-677B-4954-B435-DA1A6A610C59}"/>
    <cellStyle name="Syöttö 2 2 2 2 16" xfId="15861" xr:uid="{A2775881-4D74-4241-869E-4AD50813F5BE}"/>
    <cellStyle name="Syöttö 2 2 2 2 17" xfId="15862" xr:uid="{59A80522-8A3B-49CF-90A7-CF3B61EC93C4}"/>
    <cellStyle name="Syöttö 2 2 2 2 18" xfId="15863" xr:uid="{C3142488-D081-493D-821B-A6A67EC8D254}"/>
    <cellStyle name="Syöttö 2 2 2 2 18 2" xfId="15864" xr:uid="{D57000F3-C4B9-479B-8DD5-537933DE52E9}"/>
    <cellStyle name="Syöttö 2 2 2 2 18_2013" xfId="15865" xr:uid="{3CA9F598-A59C-4633-9E7E-C3F9E653F218}"/>
    <cellStyle name="Syöttö 2 2 2 2 19" xfId="15866" xr:uid="{01943E67-3F16-45DA-829B-1A73E9E95794}"/>
    <cellStyle name="Syöttö 2 2 2 2 2" xfId="15867" xr:uid="{40E4AD35-8501-4010-AB94-636E86E87EC9}"/>
    <cellStyle name="Syöttö 2 2 2 2 3" xfId="15868" xr:uid="{86479366-4E61-41E6-9236-96938F37503E}"/>
    <cellStyle name="Syöttö 2 2 2 2 4" xfId="15869" xr:uid="{0139F78D-75C0-43C3-8144-25B8C1E05AE6}"/>
    <cellStyle name="Syöttö 2 2 2 2 5" xfId="15870" xr:uid="{8630F2BC-FA80-4261-A50F-93F15CED0967}"/>
    <cellStyle name="Syöttö 2 2 2 2 6" xfId="15871" xr:uid="{E0FB396D-7BD8-4371-B644-928EFFCA89D6}"/>
    <cellStyle name="Syöttö 2 2 2 2 7" xfId="15872" xr:uid="{478571A8-7DAA-4210-97BD-E64E3F49BF1A}"/>
    <cellStyle name="Syöttö 2 2 2 2 8" xfId="15873" xr:uid="{B283D8A7-3D36-4DF6-A036-DD9729616B5F}"/>
    <cellStyle name="Syöttö 2 2 2 2 9" xfId="15874" xr:uid="{D53A3C9B-3D14-4AE9-95EA-7FEA47D8D352}"/>
    <cellStyle name="Syöttö 2 2 2 2_2013" xfId="15875" xr:uid="{F2F8682C-0358-4171-B025-CC710EE329D7}"/>
    <cellStyle name="Syöttö 2 2 2 20" xfId="15876" xr:uid="{18777208-2121-4F6C-843E-4B7F5D880D26}"/>
    <cellStyle name="Syöttö 2 2 2 3" xfId="15877" xr:uid="{A454D5EE-F08A-43A6-A8B0-E444506FBBFB}"/>
    <cellStyle name="Syöttö 2 2 2 4" xfId="15878" xr:uid="{1BEE09D8-A342-490C-83B6-4BA80B9184EA}"/>
    <cellStyle name="Syöttö 2 2 2 5" xfId="15879" xr:uid="{D5EB6DD7-506E-4CE5-9A16-1579B14C6DCF}"/>
    <cellStyle name="Syöttö 2 2 2 6" xfId="15880" xr:uid="{59C51C74-1AAB-464E-84C5-B823A7D62AFD}"/>
    <cellStyle name="Syöttö 2 2 2 7" xfId="15881" xr:uid="{DBC969E8-E712-40C9-8EA3-DF7E3A9DD42D}"/>
    <cellStyle name="Syöttö 2 2 2 8" xfId="15882" xr:uid="{D8534403-CAFA-4D46-B72C-687A5E354A4C}"/>
    <cellStyle name="Syöttö 2 2 2 9" xfId="15883" xr:uid="{8DFDABB7-F8C0-490C-863A-56706E4B9BA7}"/>
    <cellStyle name="Syöttö 2 2 2_2013" xfId="15884" xr:uid="{D23921A2-6190-48F8-A44F-8F9501C31249}"/>
    <cellStyle name="Syöttö 2 2 20" xfId="15885" xr:uid="{F4C5C0E1-9F23-465F-882F-C17A74F22F9A}"/>
    <cellStyle name="Syöttö 2 2 21" xfId="15886" xr:uid="{CDA8E1CF-1C7E-48A7-95BD-BE7458DC1039}"/>
    <cellStyle name="Syöttö 2 2 22" xfId="15887" xr:uid="{31A2F991-55DF-43D8-A7E6-A1F120D13977}"/>
    <cellStyle name="Syöttö 2 2 22 2" xfId="15888" xr:uid="{940F851C-F8EE-4A95-B52C-5443DD7BF125}"/>
    <cellStyle name="Syöttö 2 2 22_2013" xfId="15889" xr:uid="{9DFEFB39-605A-401C-B095-36D05AABF26D}"/>
    <cellStyle name="Syöttö 2 2 23" xfId="15890" xr:uid="{054EC54F-072A-4F68-B728-2B26D6F4BF71}"/>
    <cellStyle name="Syöttö 2 2 3" xfId="15891" xr:uid="{479EE282-E905-40DF-A4E9-8DFF71599C51}"/>
    <cellStyle name="Syöttö 2 2 3 10" xfId="15892" xr:uid="{1C54F43C-A297-4276-973D-7F3A02570C31}"/>
    <cellStyle name="Syöttö 2 2 3 11" xfId="15893" xr:uid="{1B27C209-4D16-4FA9-B92A-2E3D7F8377BA}"/>
    <cellStyle name="Syöttö 2 2 3 12" xfId="15894" xr:uid="{12ADEBF1-C200-4C46-BCD0-744DB8145F13}"/>
    <cellStyle name="Syöttö 2 2 3 13" xfId="15895" xr:uid="{AEDF117A-AD05-4D99-8A86-01385D9D4223}"/>
    <cellStyle name="Syöttö 2 2 3 14" xfId="15896" xr:uid="{01C17CD4-6067-4D7C-B6E2-3D2DBD471469}"/>
    <cellStyle name="Syöttö 2 2 3 15" xfId="15897" xr:uid="{0459C41C-24CD-4415-9625-960D66A891AE}"/>
    <cellStyle name="Syöttö 2 2 3 16" xfId="15898" xr:uid="{28CA7553-686E-485F-AB76-BE193A919003}"/>
    <cellStyle name="Syöttö 2 2 3 17" xfId="15899" xr:uid="{8F3D49EF-DED2-499C-91D6-90FBF41B6D88}"/>
    <cellStyle name="Syöttö 2 2 3 18" xfId="15900" xr:uid="{F4A0FC40-3127-431E-AF76-D4BE09099D41}"/>
    <cellStyle name="Syöttö 2 2 3 19" xfId="15901" xr:uid="{3E885C98-5DEF-4AD5-9D82-C754F0920C01}"/>
    <cellStyle name="Syöttö 2 2 3 19 2" xfId="15902" xr:uid="{ACCAD6CD-6528-48A7-83D7-686EFAAF598D}"/>
    <cellStyle name="Syöttö 2 2 3 19_2013" xfId="15903" xr:uid="{F82FAE6C-F67F-42C3-81C1-200C070C61FA}"/>
    <cellStyle name="Syöttö 2 2 3 2" xfId="15904" xr:uid="{48037C12-F530-466C-A664-C5CE06EA1E28}"/>
    <cellStyle name="Syöttö 2 2 3 2 10" xfId="15905" xr:uid="{26A7442D-862C-4FB8-B36F-6B5D61FD98C3}"/>
    <cellStyle name="Syöttö 2 2 3 2 11" xfId="15906" xr:uid="{585B73D8-F2C8-48B1-964B-AB729BBCCF59}"/>
    <cellStyle name="Syöttö 2 2 3 2 12" xfId="15907" xr:uid="{E12F7EDF-1BC9-424C-ADCC-37B9EED7F838}"/>
    <cellStyle name="Syöttö 2 2 3 2 13" xfId="15908" xr:uid="{DB13342E-AC57-4F42-8E31-82D09ACFA1A2}"/>
    <cellStyle name="Syöttö 2 2 3 2 14" xfId="15909" xr:uid="{38FAB022-F766-41F3-B889-1C780AE9260B}"/>
    <cellStyle name="Syöttö 2 2 3 2 15" xfId="15910" xr:uid="{4FD7FE0A-B000-4118-ADC1-65166E0A1C2C}"/>
    <cellStyle name="Syöttö 2 2 3 2 16" xfId="15911" xr:uid="{70F93EC1-3A04-4117-9A09-E13C63143E14}"/>
    <cellStyle name="Syöttö 2 2 3 2 17" xfId="15912" xr:uid="{04D35483-2A98-42F2-BFB6-784773820694}"/>
    <cellStyle name="Syöttö 2 2 3 2 18" xfId="15913" xr:uid="{A802715B-CD01-42E3-A379-6A5060964F55}"/>
    <cellStyle name="Syöttö 2 2 3 2 18 2" xfId="15914" xr:uid="{A794F826-F580-4504-AB99-1FDDD42F171C}"/>
    <cellStyle name="Syöttö 2 2 3 2 18_2013" xfId="15915" xr:uid="{5277F2B3-0A8C-4852-9A45-C2ED445D1179}"/>
    <cellStyle name="Syöttö 2 2 3 2 19" xfId="15916" xr:uid="{70839449-FD65-46DC-AB98-1A0F7ECDD6A4}"/>
    <cellStyle name="Syöttö 2 2 3 2 2" xfId="15917" xr:uid="{D1BF555A-D06B-478A-BF41-3C2DECCA4CE1}"/>
    <cellStyle name="Syöttö 2 2 3 2 3" xfId="15918" xr:uid="{912EFF54-A75E-4733-B4FD-6C3A40107639}"/>
    <cellStyle name="Syöttö 2 2 3 2 4" xfId="15919" xr:uid="{B8ACA207-AC73-4D56-9C56-C8F72ED4511C}"/>
    <cellStyle name="Syöttö 2 2 3 2 5" xfId="15920" xr:uid="{45F69611-A1D2-4F32-AAF4-D54BF33251A0}"/>
    <cellStyle name="Syöttö 2 2 3 2 6" xfId="15921" xr:uid="{FA13AA59-8A70-44A2-8ABE-3B1B14F38875}"/>
    <cellStyle name="Syöttö 2 2 3 2 7" xfId="15922" xr:uid="{F3E95CAB-F491-46A7-81EE-E30D58CC8A99}"/>
    <cellStyle name="Syöttö 2 2 3 2 8" xfId="15923" xr:uid="{13287924-BF18-477B-8B82-DBED0A880FA4}"/>
    <cellStyle name="Syöttö 2 2 3 2 9" xfId="15924" xr:uid="{61481614-05A7-4DC5-9CD3-EFA778614CA7}"/>
    <cellStyle name="Syöttö 2 2 3 2_2013" xfId="15925" xr:uid="{F3533D2F-8AC6-4301-AC88-B0F36D9F6808}"/>
    <cellStyle name="Syöttö 2 2 3 20" xfId="15926" xr:uid="{2F444F0B-C752-4508-8429-1AAB98F20D0C}"/>
    <cellStyle name="Syöttö 2 2 3 3" xfId="15927" xr:uid="{E64528EF-AC27-4AD5-96ED-25B44FF14137}"/>
    <cellStyle name="Syöttö 2 2 3 4" xfId="15928" xr:uid="{13E25CDA-1E91-4232-8A29-596C287A6373}"/>
    <cellStyle name="Syöttö 2 2 3 5" xfId="15929" xr:uid="{7ADD1A1D-5C5B-4105-BF1E-FE3A6AA7ABC2}"/>
    <cellStyle name="Syöttö 2 2 3 6" xfId="15930" xr:uid="{73382D53-CE66-4C76-AAA0-A6182E766D3A}"/>
    <cellStyle name="Syöttö 2 2 3 7" xfId="15931" xr:uid="{F90CAB29-7058-4247-9180-417AF957EFCC}"/>
    <cellStyle name="Syöttö 2 2 3 8" xfId="15932" xr:uid="{4FF0BAC6-C3CE-473A-8603-23EAAA348755}"/>
    <cellStyle name="Syöttö 2 2 3 9" xfId="15933" xr:uid="{F316404E-1887-4997-9C3D-A6CD1F6330B1}"/>
    <cellStyle name="Syöttö 2 2 3_2013" xfId="15934" xr:uid="{497984E6-5097-4861-96B5-58D0A86D0DCE}"/>
    <cellStyle name="Syöttö 2 2 4" xfId="15935" xr:uid="{D027163D-016B-4D02-A14B-7638A89EB7BB}"/>
    <cellStyle name="Syöttö 2 2 4 10" xfId="15936" xr:uid="{C317D34C-F827-4C34-BE33-C3230C73F576}"/>
    <cellStyle name="Syöttö 2 2 4 11" xfId="15937" xr:uid="{88BC5F7D-EAE5-4AB2-9BD0-DD2D185C8095}"/>
    <cellStyle name="Syöttö 2 2 4 12" xfId="15938" xr:uid="{AD8890D5-9CCD-437C-B543-BCDFC62D9526}"/>
    <cellStyle name="Syöttö 2 2 4 13" xfId="15939" xr:uid="{8392E3AD-DD01-4C0C-A6B2-08675C49C992}"/>
    <cellStyle name="Syöttö 2 2 4 14" xfId="15940" xr:uid="{36D08BB5-3B35-497C-ABEF-5E0A21934D97}"/>
    <cellStyle name="Syöttö 2 2 4 15" xfId="15941" xr:uid="{B13AA668-6EA6-45E3-90A3-7BE4091FEBE1}"/>
    <cellStyle name="Syöttö 2 2 4 16" xfId="15942" xr:uid="{3321FDC8-1614-4478-8DE7-DEEA21019A53}"/>
    <cellStyle name="Syöttö 2 2 4 17" xfId="15943" xr:uid="{E91772A9-1CDB-4B4D-83E3-3D71C4F2FFE7}"/>
    <cellStyle name="Syöttö 2 2 4 18" xfId="15944" xr:uid="{059C8FA3-359D-4269-B990-469A93128895}"/>
    <cellStyle name="Syöttö 2 2 4 19" xfId="15945" xr:uid="{66C834BB-E05B-48AD-A122-84B624869843}"/>
    <cellStyle name="Syöttö 2 2 4 19 2" xfId="15946" xr:uid="{5C9D174A-7D90-487A-AB54-B47063B4FECB}"/>
    <cellStyle name="Syöttö 2 2 4 19_2013" xfId="15947" xr:uid="{643F8EB1-3FF6-4183-B0D8-D7BC3D69A0B9}"/>
    <cellStyle name="Syöttö 2 2 4 2" xfId="15948" xr:uid="{2C8BF461-68FC-4F0B-BA0E-FA264E1B8764}"/>
    <cellStyle name="Syöttö 2 2 4 2 10" xfId="15949" xr:uid="{16AB92D1-74B6-40AD-91CF-DF60CEB2AE9A}"/>
    <cellStyle name="Syöttö 2 2 4 2 11" xfId="15950" xr:uid="{B880F3AC-1146-4981-B2F4-233327321BC5}"/>
    <cellStyle name="Syöttö 2 2 4 2 12" xfId="15951" xr:uid="{0C8E5375-3026-4FFF-ABCE-32C794658E4D}"/>
    <cellStyle name="Syöttö 2 2 4 2 13" xfId="15952" xr:uid="{2C59A3C0-0297-4D28-89CD-BF79693AA999}"/>
    <cellStyle name="Syöttö 2 2 4 2 14" xfId="15953" xr:uid="{EE114D74-A7C1-4666-BB93-142A348F4CDF}"/>
    <cellStyle name="Syöttö 2 2 4 2 15" xfId="15954" xr:uid="{2D5E8F8C-B1FA-459B-9714-44AD4ECED848}"/>
    <cellStyle name="Syöttö 2 2 4 2 16" xfId="15955" xr:uid="{CC741788-ACAC-431B-A120-0A99E0D77A55}"/>
    <cellStyle name="Syöttö 2 2 4 2 17" xfId="15956" xr:uid="{8CCDB5FD-A48B-4D1A-9AFF-B5714968F544}"/>
    <cellStyle name="Syöttö 2 2 4 2 18" xfId="15957" xr:uid="{3F40769A-E6B9-43E7-9BC5-062681E1C371}"/>
    <cellStyle name="Syöttö 2 2 4 2 18 2" xfId="15958" xr:uid="{20669843-19B1-4644-B2A5-A013E6938B0B}"/>
    <cellStyle name="Syöttö 2 2 4 2 18_2013" xfId="15959" xr:uid="{20F4D148-D586-40FA-84E2-82C2319AE9ED}"/>
    <cellStyle name="Syöttö 2 2 4 2 19" xfId="15960" xr:uid="{21ECA29C-71CF-4D97-ABA6-B7FC24326215}"/>
    <cellStyle name="Syöttö 2 2 4 2 2" xfId="15961" xr:uid="{5C77A4B9-2D2C-4E05-ABE6-9D438439FB3C}"/>
    <cellStyle name="Syöttö 2 2 4 2 3" xfId="15962" xr:uid="{20BB011A-B358-4E37-AC8F-A61564D877D4}"/>
    <cellStyle name="Syöttö 2 2 4 2 4" xfId="15963" xr:uid="{09101D92-2DF3-415B-AAD7-480B2B4ADB24}"/>
    <cellStyle name="Syöttö 2 2 4 2 5" xfId="15964" xr:uid="{DF0D3AE2-F5DA-432C-B321-0EF627F13513}"/>
    <cellStyle name="Syöttö 2 2 4 2 6" xfId="15965" xr:uid="{86DF0F93-C4C9-4A80-81F3-B75029D0E656}"/>
    <cellStyle name="Syöttö 2 2 4 2 7" xfId="15966" xr:uid="{72874401-93B1-40F7-AF89-CEFB05636E9B}"/>
    <cellStyle name="Syöttö 2 2 4 2 8" xfId="15967" xr:uid="{22B17936-D236-453A-960E-1957C3FDA8D6}"/>
    <cellStyle name="Syöttö 2 2 4 2 9" xfId="15968" xr:uid="{9326D580-6091-4D6C-89C5-32ECAB1DA85B}"/>
    <cellStyle name="Syöttö 2 2 4 2_2013" xfId="15969" xr:uid="{DD2FA9A2-3112-484D-84C4-027C3B2FE6E3}"/>
    <cellStyle name="Syöttö 2 2 4 20" xfId="15970" xr:uid="{2C34F5E6-DBBE-4E58-8BD0-C6E34589A889}"/>
    <cellStyle name="Syöttö 2 2 4 3" xfId="15971" xr:uid="{1B4C87E8-48C1-4E39-A91C-369AD2247308}"/>
    <cellStyle name="Syöttö 2 2 4 4" xfId="15972" xr:uid="{653D72FE-C693-43AF-B4E9-61DDF772451A}"/>
    <cellStyle name="Syöttö 2 2 4 5" xfId="15973" xr:uid="{651D4E7A-845E-4E1C-B903-80F1A45BACE2}"/>
    <cellStyle name="Syöttö 2 2 4 6" xfId="15974" xr:uid="{5D2BCFA8-4E5D-4D79-950C-2B712FF0C04D}"/>
    <cellStyle name="Syöttö 2 2 4 7" xfId="15975" xr:uid="{E29E2371-2523-49D7-9CE8-924EDD689A83}"/>
    <cellStyle name="Syöttö 2 2 4 8" xfId="15976" xr:uid="{BBB11037-F9C2-436F-912F-065F8DCF1277}"/>
    <cellStyle name="Syöttö 2 2 4 9" xfId="15977" xr:uid="{ECE43568-53B0-4033-819F-14303C891B6F}"/>
    <cellStyle name="Syöttö 2 2 4_2013" xfId="15978" xr:uid="{E03ECE4C-E1E7-4070-B331-965C715530EC}"/>
    <cellStyle name="Syöttö 2 2 5" xfId="15979" xr:uid="{C37217AB-A55D-42C0-805B-F3CE0745A914}"/>
    <cellStyle name="Syöttö 2 2 5 10" xfId="15980" xr:uid="{7491343F-C1D8-49F6-943D-C3FC6C422DBE}"/>
    <cellStyle name="Syöttö 2 2 5 11" xfId="15981" xr:uid="{FE88513F-E2A7-429A-83C1-228834A54BE0}"/>
    <cellStyle name="Syöttö 2 2 5 12" xfId="15982" xr:uid="{2C0B3A8C-BA84-4A1F-8D62-9F1B0B9C580C}"/>
    <cellStyle name="Syöttö 2 2 5 13" xfId="15983" xr:uid="{8F1D0092-9951-476B-AC41-7E546A59C322}"/>
    <cellStyle name="Syöttö 2 2 5 14" xfId="15984" xr:uid="{CDD76BF3-D457-4606-92B6-D5C9EAD3A566}"/>
    <cellStyle name="Syöttö 2 2 5 15" xfId="15985" xr:uid="{93B7F383-145E-466D-82EF-CBAD227D72E2}"/>
    <cellStyle name="Syöttö 2 2 5 16" xfId="15986" xr:uid="{ADACF49B-1AAF-49E3-AC63-8DC6CFBEC8FD}"/>
    <cellStyle name="Syöttö 2 2 5 17" xfId="15987" xr:uid="{B9468E2E-E45F-457E-BBA4-43964BF4F8E2}"/>
    <cellStyle name="Syöttö 2 2 5 18" xfId="15988" xr:uid="{B077487E-2A92-4C33-8297-746C739D998F}"/>
    <cellStyle name="Syöttö 2 2 5 18 2" xfId="15989" xr:uid="{69F2D795-1223-47ED-8F3D-E9A31EF69EF3}"/>
    <cellStyle name="Syöttö 2 2 5 18_2013" xfId="15990" xr:uid="{B1A31F6F-2371-4D82-941F-477CCF66D13B}"/>
    <cellStyle name="Syöttö 2 2 5 19" xfId="15991" xr:uid="{6DD68106-0107-4704-A484-9AF59A18E060}"/>
    <cellStyle name="Syöttö 2 2 5 2" xfId="15992" xr:uid="{25766851-8EA3-41A8-A558-4586D8F4DE46}"/>
    <cellStyle name="Syöttö 2 2 5 3" xfId="15993" xr:uid="{5C3F8F55-F72F-42C1-8119-E1B91497F617}"/>
    <cellStyle name="Syöttö 2 2 5 4" xfId="15994" xr:uid="{708EA58D-FDDE-4F39-B112-DF3C8DBE38AC}"/>
    <cellStyle name="Syöttö 2 2 5 5" xfId="15995" xr:uid="{81749D2D-3FD6-4ADA-9250-BCB638786BFC}"/>
    <cellStyle name="Syöttö 2 2 5 6" xfId="15996" xr:uid="{10796C31-8AD2-445D-B684-E65EE1F4D404}"/>
    <cellStyle name="Syöttö 2 2 5 7" xfId="15997" xr:uid="{36B01CBA-AB21-4403-A9DC-6A35FF62C7E7}"/>
    <cellStyle name="Syöttö 2 2 5 8" xfId="15998" xr:uid="{269D7094-F90D-4CA9-961B-7278FEA4C485}"/>
    <cellStyle name="Syöttö 2 2 5 9" xfId="15999" xr:uid="{678BA708-B6AA-498E-B471-14F2DC16CE04}"/>
    <cellStyle name="Syöttö 2 2 5_2013" xfId="16000" xr:uid="{03E2BA06-14D0-48EB-B329-72DE3AB6704E}"/>
    <cellStyle name="Syöttö 2 2 6" xfId="16001" xr:uid="{1135D3B2-9832-42F8-87CB-DC34CB69F420}"/>
    <cellStyle name="Syöttö 2 2 7" xfId="16002" xr:uid="{F72BD252-A0A3-4FC5-B4E2-40861D4E42BF}"/>
    <cellStyle name="Syöttö 2 2 8" xfId="16003" xr:uid="{A334022B-85FA-4C75-A983-54571E5B46F0}"/>
    <cellStyle name="Syöttö 2 2 9" xfId="16004" xr:uid="{0F688CF7-4E3E-4C78-A0DE-D422E732E16C}"/>
    <cellStyle name="Syöttö 2 2_2013" xfId="16005" xr:uid="{6874C3FB-F965-42BD-BF63-E364C9E563F0}"/>
    <cellStyle name="Syöttö 2 20" xfId="16006" xr:uid="{19CDC7DE-27A2-443F-98DA-AF3A16C96098}"/>
    <cellStyle name="Syöttö 2 21" xfId="16007" xr:uid="{5E57EBFE-0CB3-4D65-992C-6E02869136E9}"/>
    <cellStyle name="Syöttö 2 22" xfId="16008" xr:uid="{719938B9-4EE7-4233-B402-688BB8537CB8}"/>
    <cellStyle name="Syöttö 2 23" xfId="16009" xr:uid="{C1361A1C-9F08-4482-B26C-2DDB204B7AA5}"/>
    <cellStyle name="Syöttö 2 23 2" xfId="16010" xr:uid="{37ECA7FD-D8FA-4EB2-BDA2-C1BA63F51307}"/>
    <cellStyle name="Syöttö 2 23_2013" xfId="16011" xr:uid="{AA7E7860-F550-4570-A38C-C8BFAD6CE1B0}"/>
    <cellStyle name="Syöttö 2 24" xfId="16012" xr:uid="{4645EA70-464F-44BA-905C-08A388C3A60C}"/>
    <cellStyle name="Syöttö 2 3" xfId="16013" xr:uid="{07A8DC53-1E3A-41DF-9688-3B22A958A64F}"/>
    <cellStyle name="Syöttö 2 3 10" xfId="16014" xr:uid="{E1883F2E-D59D-4EE3-A5DF-2B5D718DB4D2}"/>
    <cellStyle name="Syöttö 2 3 11" xfId="16015" xr:uid="{CC9D5D19-6889-48DA-8B71-07B7FFD40115}"/>
    <cellStyle name="Syöttö 2 3 12" xfId="16016" xr:uid="{555A4591-290A-4073-9BEE-88F564B5E5CC}"/>
    <cellStyle name="Syöttö 2 3 13" xfId="16017" xr:uid="{DAB5DABC-B66A-480C-8083-B64BD035E333}"/>
    <cellStyle name="Syöttö 2 3 14" xfId="16018" xr:uid="{84562F82-1F55-4FB5-B6ED-4C1E249954D7}"/>
    <cellStyle name="Syöttö 2 3 15" xfId="16019" xr:uid="{D04A5DB6-A2DE-4C4A-A1C9-507E06059665}"/>
    <cellStyle name="Syöttö 2 3 16" xfId="16020" xr:uid="{B49FFB0D-3E8E-4BB4-A841-932C50B2A429}"/>
    <cellStyle name="Syöttö 2 3 17" xfId="16021" xr:uid="{34442372-87BC-461B-9240-674D709098F5}"/>
    <cellStyle name="Syöttö 2 3 18" xfId="16022" xr:uid="{E542D2BB-C95C-4BCF-9451-95DA2893DD27}"/>
    <cellStyle name="Syöttö 2 3 19" xfId="16023" xr:uid="{106FB3BB-FBBD-47B4-AE8B-5880ADBDC907}"/>
    <cellStyle name="Syöttö 2 3 19 2" xfId="16024" xr:uid="{33C8986B-322C-47AD-A196-C8725482F62B}"/>
    <cellStyle name="Syöttö 2 3 19_2013" xfId="16025" xr:uid="{F2916109-C6B0-47DA-B0F3-E75F84403A5F}"/>
    <cellStyle name="Syöttö 2 3 2" xfId="16026" xr:uid="{8131330D-E71F-432E-9C92-4896EBB31463}"/>
    <cellStyle name="Syöttö 2 3 2 10" xfId="16027" xr:uid="{E042138F-D4FD-408E-A17B-1C02D5200954}"/>
    <cellStyle name="Syöttö 2 3 2 11" xfId="16028" xr:uid="{D6E2D284-96A6-427E-A62B-A00F72517198}"/>
    <cellStyle name="Syöttö 2 3 2 12" xfId="16029" xr:uid="{2F35EEC8-F262-49D1-B979-39D0D5A6E94A}"/>
    <cellStyle name="Syöttö 2 3 2 13" xfId="16030" xr:uid="{27AA78FD-407A-4BC8-922B-B134F205EF71}"/>
    <cellStyle name="Syöttö 2 3 2 14" xfId="16031" xr:uid="{2BF50140-111F-4B13-A5AC-68D043EC8F51}"/>
    <cellStyle name="Syöttö 2 3 2 15" xfId="16032" xr:uid="{B7985538-6FD7-42D1-99EA-F9EAB8F2D3AD}"/>
    <cellStyle name="Syöttö 2 3 2 16" xfId="16033" xr:uid="{4546248F-D2C4-4185-B4B9-11E9F52CB78D}"/>
    <cellStyle name="Syöttö 2 3 2 17" xfId="16034" xr:uid="{549FB3D7-C6CC-4E4B-974D-EA89C9F1E5B5}"/>
    <cellStyle name="Syöttö 2 3 2 18" xfId="16035" xr:uid="{02C6A024-35CD-497E-9299-B7600F614127}"/>
    <cellStyle name="Syöttö 2 3 2 18 2" xfId="16036" xr:uid="{A375A1DC-3011-46E4-8FF9-A6C7AE930717}"/>
    <cellStyle name="Syöttö 2 3 2 18_2013" xfId="16037" xr:uid="{1D74AF02-8EDD-4CBA-99D4-4C9FA912DF52}"/>
    <cellStyle name="Syöttö 2 3 2 19" xfId="16038" xr:uid="{1F32612B-58E4-4380-A697-40B87F462E68}"/>
    <cellStyle name="Syöttö 2 3 2 2" xfId="16039" xr:uid="{BA54B517-E3D7-4D8C-8ACE-4E62BDF3D7BE}"/>
    <cellStyle name="Syöttö 2 3 2 3" xfId="16040" xr:uid="{662A6B5A-A487-469D-A0A7-1A1CB6EB3F47}"/>
    <cellStyle name="Syöttö 2 3 2 4" xfId="16041" xr:uid="{4D566E2B-EF81-4C10-83BD-274EE89D44CD}"/>
    <cellStyle name="Syöttö 2 3 2 5" xfId="16042" xr:uid="{AA8ADADD-9A14-410A-B0C7-D6AAD4D4C522}"/>
    <cellStyle name="Syöttö 2 3 2 6" xfId="16043" xr:uid="{D1ACD294-23CB-4D24-85B0-277B5ABC44B0}"/>
    <cellStyle name="Syöttö 2 3 2 7" xfId="16044" xr:uid="{2D2EED92-F026-4C96-93E0-BA9FCFF0EEDF}"/>
    <cellStyle name="Syöttö 2 3 2 8" xfId="16045" xr:uid="{317692ED-6D20-4325-B247-50D01488DF99}"/>
    <cellStyle name="Syöttö 2 3 2 9" xfId="16046" xr:uid="{3643916E-6BA7-4EDF-969B-F3AD9B3E4467}"/>
    <cellStyle name="Syöttö 2 3 2_2013" xfId="16047" xr:uid="{5694EEC0-0A64-41B0-921B-A802CACE8B09}"/>
    <cellStyle name="Syöttö 2 3 20" xfId="16048" xr:uid="{36AB0CEE-88C1-460A-A210-2B09EBFC4636}"/>
    <cellStyle name="Syöttö 2 3 3" xfId="16049" xr:uid="{10801A9F-461E-456B-AC9F-8F09F773333F}"/>
    <cellStyle name="Syöttö 2 3 4" xfId="16050" xr:uid="{C5609C75-F749-4A84-BE90-DF6CD2D7F699}"/>
    <cellStyle name="Syöttö 2 3 5" xfId="16051" xr:uid="{8FFECFE4-B168-4EB4-A1F5-89A88275D42D}"/>
    <cellStyle name="Syöttö 2 3 6" xfId="16052" xr:uid="{3D90C248-1F8E-46A4-8353-AD61D09808D5}"/>
    <cellStyle name="Syöttö 2 3 7" xfId="16053" xr:uid="{348324C3-C7FF-48BD-8CF2-21D243A609ED}"/>
    <cellStyle name="Syöttö 2 3 8" xfId="16054" xr:uid="{7CDB679E-D338-4077-A54C-0B1734E4A278}"/>
    <cellStyle name="Syöttö 2 3 9" xfId="16055" xr:uid="{1398F14A-86BC-4EF6-9188-329B5EB575CE}"/>
    <cellStyle name="Syöttö 2 3_2013" xfId="16056" xr:uid="{0228CE57-743F-4A4B-97B6-168E9006FD5A}"/>
    <cellStyle name="Syöttö 2 4" xfId="16057" xr:uid="{FDD1801A-B3B1-4431-8F23-F7A8AA6F3027}"/>
    <cellStyle name="Syöttö 2 4 10" xfId="16058" xr:uid="{1A3EBB70-4648-414D-9C64-071CB9AD3095}"/>
    <cellStyle name="Syöttö 2 4 11" xfId="16059" xr:uid="{B44B5F28-D638-44AC-ABD6-FCB92EE290C1}"/>
    <cellStyle name="Syöttö 2 4 12" xfId="16060" xr:uid="{441DAB68-FE13-4881-9FCB-034DDC26630D}"/>
    <cellStyle name="Syöttö 2 4 13" xfId="16061" xr:uid="{E4FE6643-FE4D-458A-87AE-13FEAC167AC7}"/>
    <cellStyle name="Syöttö 2 4 14" xfId="16062" xr:uid="{84219530-8831-4102-ABAC-0BE9C2C3A4D8}"/>
    <cellStyle name="Syöttö 2 4 15" xfId="16063" xr:uid="{BE405E71-18B9-4EEC-BE1A-630FBA3ADB81}"/>
    <cellStyle name="Syöttö 2 4 16" xfId="16064" xr:uid="{FB4FDE55-92FA-4658-8EB5-096D92FF4A80}"/>
    <cellStyle name="Syöttö 2 4 17" xfId="16065" xr:uid="{579A65CD-8972-4A2D-8092-A2A92D17985B}"/>
    <cellStyle name="Syöttö 2 4 18" xfId="16066" xr:uid="{80C0FDB5-4F64-4D02-A0BC-7BB4A9856ED8}"/>
    <cellStyle name="Syöttö 2 4 19" xfId="16067" xr:uid="{5BFC6B7A-9D61-414A-9C93-B30D2E901C06}"/>
    <cellStyle name="Syöttö 2 4 19 2" xfId="16068" xr:uid="{19D78C86-3395-4396-BF06-A3813C9BC6BC}"/>
    <cellStyle name="Syöttö 2 4 19_2013" xfId="16069" xr:uid="{1CD5CEE3-0865-4FDB-A64A-2D0B9E2112EF}"/>
    <cellStyle name="Syöttö 2 4 2" xfId="16070" xr:uid="{0274C225-8CBD-4164-914A-84585AF49F1B}"/>
    <cellStyle name="Syöttö 2 4 2 10" xfId="16071" xr:uid="{19AB174D-C121-4160-BBD6-30C5642C631E}"/>
    <cellStyle name="Syöttö 2 4 2 11" xfId="16072" xr:uid="{09B81784-B17D-47AF-A25B-81D034D53068}"/>
    <cellStyle name="Syöttö 2 4 2 12" xfId="16073" xr:uid="{772404E1-3018-4E92-9749-6BD9FAB8C64C}"/>
    <cellStyle name="Syöttö 2 4 2 13" xfId="16074" xr:uid="{4F1C6F05-C6F2-4520-961D-0AA62EBE3E39}"/>
    <cellStyle name="Syöttö 2 4 2 14" xfId="16075" xr:uid="{82BEFD2D-20AD-43BD-8E6E-D43677E1646C}"/>
    <cellStyle name="Syöttö 2 4 2 15" xfId="16076" xr:uid="{90F856DD-64CB-4372-9DF3-A252212D87C9}"/>
    <cellStyle name="Syöttö 2 4 2 16" xfId="16077" xr:uid="{DBDD25DE-2A89-4E1A-A7FF-0DD994FFAA8E}"/>
    <cellStyle name="Syöttö 2 4 2 17" xfId="16078" xr:uid="{BD130358-B4F1-4346-B577-0814BD8D6FFD}"/>
    <cellStyle name="Syöttö 2 4 2 18" xfId="16079" xr:uid="{62FA15D0-67F9-46B7-8E2E-440C54ADE483}"/>
    <cellStyle name="Syöttö 2 4 2 18 2" xfId="16080" xr:uid="{42FC0249-94EA-4492-BBD4-B0F18ECFCF64}"/>
    <cellStyle name="Syöttö 2 4 2 18_2013" xfId="16081" xr:uid="{D0F6C7BC-C44D-46EC-8A2B-ED49EDE16C14}"/>
    <cellStyle name="Syöttö 2 4 2 19" xfId="16082" xr:uid="{125D293F-B14C-4A11-9081-293D0FC368B8}"/>
    <cellStyle name="Syöttö 2 4 2 2" xfId="16083" xr:uid="{C743B114-CC10-4DF2-95B4-96F5E222E43E}"/>
    <cellStyle name="Syöttö 2 4 2 3" xfId="16084" xr:uid="{DFC3243B-907C-43D2-B74E-0F6FFC222591}"/>
    <cellStyle name="Syöttö 2 4 2 4" xfId="16085" xr:uid="{0FF82D87-E3E3-455D-B515-363525A7CD81}"/>
    <cellStyle name="Syöttö 2 4 2 5" xfId="16086" xr:uid="{66363FC0-C38F-42C8-AE4D-5772965CA9F1}"/>
    <cellStyle name="Syöttö 2 4 2 6" xfId="16087" xr:uid="{9BC64CCC-C789-4BAE-804E-D944C90D479E}"/>
    <cellStyle name="Syöttö 2 4 2 7" xfId="16088" xr:uid="{08236567-5183-4CA5-859E-E397E36FA72E}"/>
    <cellStyle name="Syöttö 2 4 2 8" xfId="16089" xr:uid="{97781EE4-DC32-4734-91B3-10A866405895}"/>
    <cellStyle name="Syöttö 2 4 2 9" xfId="16090" xr:uid="{CF729BB3-D66F-4511-A1B6-F0CC23AFE769}"/>
    <cellStyle name="Syöttö 2 4 2_2013" xfId="16091" xr:uid="{6D1E719A-CB73-4BD1-9E83-5F1088761EEE}"/>
    <cellStyle name="Syöttö 2 4 20" xfId="16092" xr:uid="{E27B23A9-622B-4829-A60A-F2DE2914FF98}"/>
    <cellStyle name="Syöttö 2 4 3" xfId="16093" xr:uid="{27DA9CCE-1166-4FB5-BA05-13572564E72A}"/>
    <cellStyle name="Syöttö 2 4 4" xfId="16094" xr:uid="{6C1DC845-1BAA-4241-B759-F52C6CBDFD46}"/>
    <cellStyle name="Syöttö 2 4 5" xfId="16095" xr:uid="{4D032D17-0353-4D89-9807-56249D94315D}"/>
    <cellStyle name="Syöttö 2 4 6" xfId="16096" xr:uid="{2890FE0F-0CE1-4AA8-A006-8D438B486932}"/>
    <cellStyle name="Syöttö 2 4 7" xfId="16097" xr:uid="{0311648E-F94B-45AE-86D5-3593FAADB635}"/>
    <cellStyle name="Syöttö 2 4 8" xfId="16098" xr:uid="{3B19739E-E6CC-4BB3-B60A-3B851C94ABB9}"/>
    <cellStyle name="Syöttö 2 4 9" xfId="16099" xr:uid="{457C21D4-8A60-43DF-ACB1-84D72B6BCE67}"/>
    <cellStyle name="Syöttö 2 4_2013" xfId="16100" xr:uid="{A81D299B-BCC3-4964-8715-18ECE0C0E463}"/>
    <cellStyle name="Syöttö 2 5" xfId="16101" xr:uid="{59351B39-E156-4949-BE86-80A14C49991B}"/>
    <cellStyle name="Syöttö 2 5 10" xfId="16102" xr:uid="{B4B45012-7C6F-4465-9378-ADD2C51A729A}"/>
    <cellStyle name="Syöttö 2 5 11" xfId="16103" xr:uid="{C06849D9-7F2D-4D61-BB75-7B6A8A92D2D3}"/>
    <cellStyle name="Syöttö 2 5 12" xfId="16104" xr:uid="{270CA993-1BE9-44A2-ACF4-74D9B155B124}"/>
    <cellStyle name="Syöttö 2 5 13" xfId="16105" xr:uid="{B57F422C-A8CC-4B24-876D-78F7C8D2BADE}"/>
    <cellStyle name="Syöttö 2 5 14" xfId="16106" xr:uid="{8AC835E2-67B7-4C9B-A0F6-72F3C29B55F2}"/>
    <cellStyle name="Syöttö 2 5 15" xfId="16107" xr:uid="{42F06666-17FD-49F7-B928-F39675E95D29}"/>
    <cellStyle name="Syöttö 2 5 16" xfId="16108" xr:uid="{68DC0D3B-5358-4763-8EC3-A7870A595896}"/>
    <cellStyle name="Syöttö 2 5 17" xfId="16109" xr:uid="{213B3744-C6DA-4786-B8FF-4916262E419F}"/>
    <cellStyle name="Syöttö 2 5 18" xfId="16110" xr:uid="{6C259A87-7B41-46C4-B82A-3BCAEE871329}"/>
    <cellStyle name="Syöttö 2 5 19" xfId="16111" xr:uid="{EB852609-6D42-4CD5-A3F7-EB89FBC2F60A}"/>
    <cellStyle name="Syöttö 2 5 19 2" xfId="16112" xr:uid="{225EF8DC-1DC8-4E28-B37A-776CB851EA00}"/>
    <cellStyle name="Syöttö 2 5 19_2013" xfId="16113" xr:uid="{B5C72080-AF60-425E-AB8A-7FD3C5B937FF}"/>
    <cellStyle name="Syöttö 2 5 2" xfId="16114" xr:uid="{478B91D1-F260-4662-B201-9A03DF03A74F}"/>
    <cellStyle name="Syöttö 2 5 2 10" xfId="16115" xr:uid="{6299ABD4-8312-4EB7-8B63-26BEA84EB863}"/>
    <cellStyle name="Syöttö 2 5 2 11" xfId="16116" xr:uid="{ED52D5C2-8874-4402-A6B2-26F5EB918A40}"/>
    <cellStyle name="Syöttö 2 5 2 12" xfId="16117" xr:uid="{89EE2E2B-8C81-466C-99EB-A3B5F97A3D46}"/>
    <cellStyle name="Syöttö 2 5 2 13" xfId="16118" xr:uid="{427F5222-A0F4-4BE0-82A6-ABBBBBEBE4C9}"/>
    <cellStyle name="Syöttö 2 5 2 14" xfId="16119" xr:uid="{906DA755-387A-4E50-A649-0ABB3855EEB0}"/>
    <cellStyle name="Syöttö 2 5 2 15" xfId="16120" xr:uid="{B28CFCB3-0903-4216-8100-CEC2496BBF92}"/>
    <cellStyle name="Syöttö 2 5 2 16" xfId="16121" xr:uid="{5027DBB1-F33F-4404-A6F7-D28F17566BFC}"/>
    <cellStyle name="Syöttö 2 5 2 17" xfId="16122" xr:uid="{0A58AEF6-4446-4E3C-929A-8260C1950115}"/>
    <cellStyle name="Syöttö 2 5 2 18" xfId="16123" xr:uid="{867437FE-043D-4B07-B844-925CA183100E}"/>
    <cellStyle name="Syöttö 2 5 2 18 2" xfId="16124" xr:uid="{9C90A3C4-C581-445F-8A69-30C144F30975}"/>
    <cellStyle name="Syöttö 2 5 2 18_2013" xfId="16125" xr:uid="{07893666-C9E7-4B9B-AE6B-5EF6623DF5F4}"/>
    <cellStyle name="Syöttö 2 5 2 19" xfId="16126" xr:uid="{4D013E19-3155-461E-BB19-D31F437ED90F}"/>
    <cellStyle name="Syöttö 2 5 2 2" xfId="16127" xr:uid="{39EFB1E2-D003-48F5-9863-BA354AD78989}"/>
    <cellStyle name="Syöttö 2 5 2 3" xfId="16128" xr:uid="{47BD67FB-2EAE-4149-B522-F494AE6E6E03}"/>
    <cellStyle name="Syöttö 2 5 2 4" xfId="16129" xr:uid="{40212C1D-5D5E-4D5A-8708-BDD66E2C32CB}"/>
    <cellStyle name="Syöttö 2 5 2 5" xfId="16130" xr:uid="{4474FC6F-9920-4B71-8399-6BF467755FD1}"/>
    <cellStyle name="Syöttö 2 5 2 6" xfId="16131" xr:uid="{89E34CBE-894A-4247-A6B4-FF071AF7DA2C}"/>
    <cellStyle name="Syöttö 2 5 2 7" xfId="16132" xr:uid="{038E4774-0320-4182-8679-B8D4807F74A7}"/>
    <cellStyle name="Syöttö 2 5 2 8" xfId="16133" xr:uid="{7C0E5A71-7727-4F88-B2C2-FD0B61B61AD7}"/>
    <cellStyle name="Syöttö 2 5 2 9" xfId="16134" xr:uid="{CBBF0C07-DB91-4872-9E46-C0BFD9BF49B1}"/>
    <cellStyle name="Syöttö 2 5 2_2013" xfId="16135" xr:uid="{4C509C29-AB85-4B37-BAB9-1645EDAF0497}"/>
    <cellStyle name="Syöttö 2 5 20" xfId="16136" xr:uid="{F085DA2A-CE83-435F-97F5-A59A67B8C483}"/>
    <cellStyle name="Syöttö 2 5 3" xfId="16137" xr:uid="{CF214E10-E2AC-4436-90B4-EE5C6710BEDD}"/>
    <cellStyle name="Syöttö 2 5 4" xfId="16138" xr:uid="{E39418AE-2139-48DB-912F-AB1FC5803A6C}"/>
    <cellStyle name="Syöttö 2 5 5" xfId="16139" xr:uid="{672935B9-E288-47E2-AA8A-58C3240C9FB1}"/>
    <cellStyle name="Syöttö 2 5 6" xfId="16140" xr:uid="{2769A4E9-89FB-40B8-9776-E4B37AF60929}"/>
    <cellStyle name="Syöttö 2 5 7" xfId="16141" xr:uid="{F1173517-2F68-4ED5-A1D7-1452181FE0E1}"/>
    <cellStyle name="Syöttö 2 5 8" xfId="16142" xr:uid="{1E738B02-71B8-47DC-9BCF-E4FE819D90EE}"/>
    <cellStyle name="Syöttö 2 5 9" xfId="16143" xr:uid="{2F69672C-0BFC-4B96-A608-68D6364B73A8}"/>
    <cellStyle name="Syöttö 2 5_2013" xfId="16144" xr:uid="{8BEF6759-863E-497B-A69B-5ABF7200DBB8}"/>
    <cellStyle name="Syöttö 2 6" xfId="16145" xr:uid="{2765BAC8-9FBD-4BF2-BAA7-21D7561EF1E5}"/>
    <cellStyle name="Syöttö 2 6 10" xfId="16146" xr:uid="{1BD9DD93-9BB6-43BF-AC0E-78D6EB04B506}"/>
    <cellStyle name="Syöttö 2 6 11" xfId="16147" xr:uid="{145300D3-84E1-4DAC-B6BD-C99E4992EADE}"/>
    <cellStyle name="Syöttö 2 6 12" xfId="16148" xr:uid="{B88C328E-A240-407F-BFF1-CDDBCADA2106}"/>
    <cellStyle name="Syöttö 2 6 13" xfId="16149" xr:uid="{5C1BE455-5D04-438F-8D47-24D7FE977DC7}"/>
    <cellStyle name="Syöttö 2 6 14" xfId="16150" xr:uid="{B79E7EB6-BDAB-4A8A-BC7B-61E52416197E}"/>
    <cellStyle name="Syöttö 2 6 15" xfId="16151" xr:uid="{6B7FB528-2FC2-4C4F-83AC-143754B6C20C}"/>
    <cellStyle name="Syöttö 2 6 16" xfId="16152" xr:uid="{2D52BA30-4293-4951-B81B-8DB32792170A}"/>
    <cellStyle name="Syöttö 2 6 17" xfId="16153" xr:uid="{3D418704-45DF-4ACD-8887-1E205B04BC0F}"/>
    <cellStyle name="Syöttö 2 6 18" xfId="16154" xr:uid="{0F2ED9D5-3F8C-4254-9CFC-8415B8DB9093}"/>
    <cellStyle name="Syöttö 2 6 18 2" xfId="16155" xr:uid="{6090863E-B8D7-4551-9B9B-8E48D4C02907}"/>
    <cellStyle name="Syöttö 2 6 18_2013" xfId="16156" xr:uid="{033DC1EA-5B99-4F51-9192-F7801B3453A9}"/>
    <cellStyle name="Syöttö 2 6 19" xfId="16157" xr:uid="{2F7DCCF9-CB8C-48E2-8F97-2F521CCE8B8D}"/>
    <cellStyle name="Syöttö 2 6 2" xfId="16158" xr:uid="{447205A3-FA01-4A81-B5EA-79548925E105}"/>
    <cellStyle name="Syöttö 2 6 3" xfId="16159" xr:uid="{BFBF3379-6A05-4641-80BC-8715B346FECB}"/>
    <cellStyle name="Syöttö 2 6 4" xfId="16160" xr:uid="{AC648740-E4FB-4AA5-96FA-86BFB2C8BC7B}"/>
    <cellStyle name="Syöttö 2 6 5" xfId="16161" xr:uid="{C6574A25-9707-4BFB-817F-C498EA1852DB}"/>
    <cellStyle name="Syöttö 2 6 6" xfId="16162" xr:uid="{F4C10E2D-95D2-436B-A22B-D4CE60AA31EB}"/>
    <cellStyle name="Syöttö 2 6 7" xfId="16163" xr:uid="{13B73BBF-79DE-46D1-BF7D-258532E5D118}"/>
    <cellStyle name="Syöttö 2 6 8" xfId="16164" xr:uid="{96CCD133-7E1E-4485-BB53-FA0D1F5591FA}"/>
    <cellStyle name="Syöttö 2 6 9" xfId="16165" xr:uid="{D7D0EDA0-2FF7-4C7B-AEA5-D80826A19700}"/>
    <cellStyle name="Syöttö 2 6_2013" xfId="16166" xr:uid="{18FF3A00-CA0B-45CF-A6B6-AD841F7E7387}"/>
    <cellStyle name="Syöttö 2 7" xfId="16167" xr:uid="{BD449884-EF3C-4417-AF14-491B288CC1D4}"/>
    <cellStyle name="Syöttö 2 8" xfId="16168" xr:uid="{BFA15BF9-2DB3-4258-BE3A-2651F7DF97A0}"/>
    <cellStyle name="Syöttö 2 9" xfId="16169" xr:uid="{59E6447E-43BD-42D0-B9D7-00F62B519579}"/>
    <cellStyle name="Syöttö 2_2013" xfId="16170" xr:uid="{9E34644E-573D-487C-934A-48ED9D8484E4}"/>
    <cellStyle name="Syöttö 20" xfId="16171" xr:uid="{0107CD90-E0D1-4E49-9951-7B20E96F6522}"/>
    <cellStyle name="Syöttö 21" xfId="16172" xr:uid="{0AB20354-E3A3-4526-A7D1-8FDD583DACFA}"/>
    <cellStyle name="Syöttö 22" xfId="16173" xr:uid="{DB702B59-D68F-4CAD-9490-A3994FB18265}"/>
    <cellStyle name="Syöttö 23" xfId="16174" xr:uid="{AAF13B3F-8B60-4294-819E-EDA22C3C44BF}"/>
    <cellStyle name="Syöttö 24" xfId="16175" xr:uid="{694B2743-C774-4D65-9157-389B32A04920}"/>
    <cellStyle name="Syöttö 25" xfId="16176" xr:uid="{7FFCAAD4-E148-4DC0-A7CB-15AD172B5F53}"/>
    <cellStyle name="Syöttö 26" xfId="16177" xr:uid="{FBA1B75F-C876-4F64-8E28-A1653F14817E}"/>
    <cellStyle name="Syöttö 27" xfId="16178" xr:uid="{847DEDF7-7B5A-4B48-A05D-443970D0C542}"/>
    <cellStyle name="Syöttö 3" xfId="16179" xr:uid="{B2E2233B-B8E3-47AB-86FF-9AADBCBF8847}"/>
    <cellStyle name="Syöttö 3 10" xfId="16180" xr:uid="{89083CD8-8D88-497B-95A1-5310A3175A39}"/>
    <cellStyle name="Syöttö 3 11" xfId="16181" xr:uid="{95302DD4-DFFD-4DBB-AEA3-37741E8D0DC6}"/>
    <cellStyle name="Syöttö 3 12" xfId="16182" xr:uid="{B55C54EB-6F27-4F31-899F-85541356ABE1}"/>
    <cellStyle name="Syöttö 3 13" xfId="16183" xr:uid="{D572E181-0D6B-4850-8E47-65B98A5918DA}"/>
    <cellStyle name="Syöttö 3 14" xfId="16184" xr:uid="{3BA87737-E1DD-4298-9821-8B67F154EA78}"/>
    <cellStyle name="Syöttö 3 15" xfId="16185" xr:uid="{458CE4FF-AA4D-473F-A154-B7A3A32E0938}"/>
    <cellStyle name="Syöttö 3 16" xfId="16186" xr:uid="{B9CD9B04-49CA-4227-8DC7-2086D1AFD182}"/>
    <cellStyle name="Syöttö 3 17" xfId="16187" xr:uid="{086402A0-433B-4F39-8FDA-9A1A8B31AEA0}"/>
    <cellStyle name="Syöttö 3 18" xfId="16188" xr:uid="{E3DB116F-C45B-4326-AC3A-1A0FDADA286F}"/>
    <cellStyle name="Syöttö 3 19" xfId="16189" xr:uid="{D3DD45D5-2216-4AF8-AE88-0CEC2626529F}"/>
    <cellStyle name="Syöttö 3 2" xfId="16190" xr:uid="{EDA5831F-E9B5-45C5-BC0C-2F246755E7E8}"/>
    <cellStyle name="Syöttö 3 2 10" xfId="16191" xr:uid="{EAFAB636-3277-4D29-8983-B5C3E83AC305}"/>
    <cellStyle name="Syöttö 3 2 11" xfId="16192" xr:uid="{C251C675-55B6-4FF8-8462-7C3A6BFFE41C}"/>
    <cellStyle name="Syöttö 3 2 12" xfId="16193" xr:uid="{8B1F6ECF-9394-4FEC-8E0D-004E05249B34}"/>
    <cellStyle name="Syöttö 3 2 13" xfId="16194" xr:uid="{F5B3AF91-6630-46E6-B4D0-F955BAA9FF77}"/>
    <cellStyle name="Syöttö 3 2 14" xfId="16195" xr:uid="{4AAA765A-C972-44C1-AB4F-89BD6A7C8D3C}"/>
    <cellStyle name="Syöttö 3 2 15" xfId="16196" xr:uid="{3D490AAD-97E0-4CCC-828A-1E8F93499EE6}"/>
    <cellStyle name="Syöttö 3 2 16" xfId="16197" xr:uid="{9D701A26-AE80-4186-9009-DDBD61F292E5}"/>
    <cellStyle name="Syöttö 3 2 17" xfId="16198" xr:uid="{F818A7AF-7C27-415F-99F2-2598D36B8DAA}"/>
    <cellStyle name="Syöttö 3 2 18" xfId="16199" xr:uid="{7D56E913-51F4-4DF8-B108-1B884B166D0D}"/>
    <cellStyle name="Syöttö 3 2 19" xfId="16200" xr:uid="{549F7584-1E5B-4693-97C7-2C2B77CDC9FE}"/>
    <cellStyle name="Syöttö 3 2 2" xfId="16201" xr:uid="{B64864B1-D351-481B-9614-DDB3F53670FB}"/>
    <cellStyle name="Syöttö 3 2 2 10" xfId="16202" xr:uid="{8162C4B8-69EF-492F-B787-F3871CE9E927}"/>
    <cellStyle name="Syöttö 3 2 2 11" xfId="16203" xr:uid="{C3286811-0EC1-4123-86E8-4C12B35718A4}"/>
    <cellStyle name="Syöttö 3 2 2 12" xfId="16204" xr:uid="{EE0B00C6-9596-418D-92AD-6397120FEFF8}"/>
    <cellStyle name="Syöttö 3 2 2 13" xfId="16205" xr:uid="{94FD3FAB-3E71-4F7B-88E8-FA328A5EA2F8}"/>
    <cellStyle name="Syöttö 3 2 2 14" xfId="16206" xr:uid="{4EF880AA-8EBF-4C57-B62A-6BFE048F8E2A}"/>
    <cellStyle name="Syöttö 3 2 2 15" xfId="16207" xr:uid="{35D4063C-A258-4803-AEF6-409235D737A5}"/>
    <cellStyle name="Syöttö 3 2 2 16" xfId="16208" xr:uid="{02D43B16-6ECE-4367-A50D-3F53F73C6A9F}"/>
    <cellStyle name="Syöttö 3 2 2 17" xfId="16209" xr:uid="{F9190578-4CF2-4EAC-8145-845B2A0ECFC4}"/>
    <cellStyle name="Syöttö 3 2 2 18" xfId="16210" xr:uid="{752A036A-1515-4A65-B740-EA8493F51AB4}"/>
    <cellStyle name="Syöttö 3 2 2 19" xfId="16211" xr:uid="{E3566CA2-F659-4458-BC89-A322FED8EDF5}"/>
    <cellStyle name="Syöttö 3 2 2 19 2" xfId="16212" xr:uid="{9BA386B5-6E14-47A4-8E77-58552B93BD3D}"/>
    <cellStyle name="Syöttö 3 2 2 19_2013" xfId="16213" xr:uid="{1CC9D963-AAF3-446C-8972-42C4357803A0}"/>
    <cellStyle name="Syöttö 3 2 2 2" xfId="16214" xr:uid="{BC552661-33F2-4CAB-9482-015849CC4C6F}"/>
    <cellStyle name="Syöttö 3 2 2 2 10" xfId="16215" xr:uid="{A29D9D52-24C2-4A8E-84A6-691BD37547EB}"/>
    <cellStyle name="Syöttö 3 2 2 2 11" xfId="16216" xr:uid="{A73A2968-04ED-4E85-A895-AD685C455024}"/>
    <cellStyle name="Syöttö 3 2 2 2 12" xfId="16217" xr:uid="{ACC267E5-DBF7-4719-98A4-37CAB768FD76}"/>
    <cellStyle name="Syöttö 3 2 2 2 13" xfId="16218" xr:uid="{BA4EDFCD-3FA9-422D-BF35-CF667D6D6449}"/>
    <cellStyle name="Syöttö 3 2 2 2 14" xfId="16219" xr:uid="{C947A984-080C-400F-AF8B-ADEF1BD7A2A3}"/>
    <cellStyle name="Syöttö 3 2 2 2 15" xfId="16220" xr:uid="{3A8FAE61-7E50-45FE-AC33-5E59E8161E0F}"/>
    <cellStyle name="Syöttö 3 2 2 2 16" xfId="16221" xr:uid="{CB9F0BFB-F37A-4D47-BB0C-1688609A39A9}"/>
    <cellStyle name="Syöttö 3 2 2 2 17" xfId="16222" xr:uid="{9F050336-138B-4600-A2C1-05996C98AAA8}"/>
    <cellStyle name="Syöttö 3 2 2 2 18" xfId="16223" xr:uid="{EC498CA0-AEC1-49F3-9E8A-D0DA2ACFAB90}"/>
    <cellStyle name="Syöttö 3 2 2 2 18 2" xfId="16224" xr:uid="{13424754-D0C2-4473-A8B7-6413EF5A29EE}"/>
    <cellStyle name="Syöttö 3 2 2 2 18_2013" xfId="16225" xr:uid="{5AD36B9A-68EA-4CA2-A9F9-0DF52FAB8650}"/>
    <cellStyle name="Syöttö 3 2 2 2 19" xfId="16226" xr:uid="{454A0AD9-B91B-4DFC-985E-45A5FC5C50F9}"/>
    <cellStyle name="Syöttö 3 2 2 2 2" xfId="16227" xr:uid="{BAD18AEA-0DDB-45B6-BA80-4179164F15BF}"/>
    <cellStyle name="Syöttö 3 2 2 2 3" xfId="16228" xr:uid="{5E3F72BD-9073-4A4C-B14D-E7AE2DAA708A}"/>
    <cellStyle name="Syöttö 3 2 2 2 4" xfId="16229" xr:uid="{A052160F-1CA5-467E-81BC-6F9D5C11AD36}"/>
    <cellStyle name="Syöttö 3 2 2 2 5" xfId="16230" xr:uid="{E5BA7ADB-E18C-43D7-9750-71D248BFBB9A}"/>
    <cellStyle name="Syöttö 3 2 2 2 6" xfId="16231" xr:uid="{74A23570-54DD-47BB-8160-63B7165446E2}"/>
    <cellStyle name="Syöttö 3 2 2 2 7" xfId="16232" xr:uid="{A10ED238-65B7-4E0F-9FAF-31A1A36758FF}"/>
    <cellStyle name="Syöttö 3 2 2 2 8" xfId="16233" xr:uid="{9EA2A098-43D7-4D40-A117-9FDC921F2E5C}"/>
    <cellStyle name="Syöttö 3 2 2 2 9" xfId="16234" xr:uid="{A382684B-6EEA-4691-BA7E-FB7FE3497EDA}"/>
    <cellStyle name="Syöttö 3 2 2 2_2013" xfId="16235" xr:uid="{8680927C-C74B-446E-BD92-C6AB80644204}"/>
    <cellStyle name="Syöttö 3 2 2 20" xfId="16236" xr:uid="{959FC991-45C5-41C4-ADAE-086F0B513693}"/>
    <cellStyle name="Syöttö 3 2 2 3" xfId="16237" xr:uid="{0781C32E-3C1D-43C3-8405-34611646CCEC}"/>
    <cellStyle name="Syöttö 3 2 2 4" xfId="16238" xr:uid="{C08F5924-F27F-4CD5-B61F-235E5651CB39}"/>
    <cellStyle name="Syöttö 3 2 2 5" xfId="16239" xr:uid="{35C285B1-6C17-4F31-A8F4-F30155CB822E}"/>
    <cellStyle name="Syöttö 3 2 2 6" xfId="16240" xr:uid="{7A57C2BB-8CDE-4691-BAC8-6FC5D3DF7DEB}"/>
    <cellStyle name="Syöttö 3 2 2 7" xfId="16241" xr:uid="{66B5C869-39FF-4F1C-8A39-0057FCA1F6F0}"/>
    <cellStyle name="Syöttö 3 2 2 8" xfId="16242" xr:uid="{6A5BD68B-7233-4BCE-8D75-20DFA2F89B59}"/>
    <cellStyle name="Syöttö 3 2 2 9" xfId="16243" xr:uid="{5F7B7954-A420-492B-81EE-19E5386E1D71}"/>
    <cellStyle name="Syöttö 3 2 2_2013" xfId="16244" xr:uid="{12EED7B6-8F48-4D75-9DEA-80A5C530E9CC}"/>
    <cellStyle name="Syöttö 3 2 20" xfId="16245" xr:uid="{8A379555-2A20-4FEF-AA22-23FE515613AB}"/>
    <cellStyle name="Syöttö 3 2 21" xfId="16246" xr:uid="{046F11CC-AC65-47F0-B260-4441702FE1B8}"/>
    <cellStyle name="Syöttö 3 2 22" xfId="16247" xr:uid="{F88E322D-133F-4515-90EE-9E0F5FB6487D}"/>
    <cellStyle name="Syöttö 3 2 22 2" xfId="16248" xr:uid="{FAA8D504-3638-4767-96E4-7902BBE6886A}"/>
    <cellStyle name="Syöttö 3 2 22_2013" xfId="16249" xr:uid="{DDB0DF5B-FA6E-40CD-A1A1-BA1425B7433A}"/>
    <cellStyle name="Syöttö 3 2 23" xfId="16250" xr:uid="{04775460-3847-49AB-ABFE-15B9EE473C5C}"/>
    <cellStyle name="Syöttö 3 2 3" xfId="16251" xr:uid="{45334CF1-CE39-4ED4-A8FD-435CD4319177}"/>
    <cellStyle name="Syöttö 3 2 3 10" xfId="16252" xr:uid="{F060DE1E-C529-4745-91D2-6663ABA1DA17}"/>
    <cellStyle name="Syöttö 3 2 3 11" xfId="16253" xr:uid="{8CDF4BF1-8ED9-419C-8EC5-F8652951E3A5}"/>
    <cellStyle name="Syöttö 3 2 3 12" xfId="16254" xr:uid="{041487D1-B8E4-4893-AC5F-D0C4AD068F31}"/>
    <cellStyle name="Syöttö 3 2 3 13" xfId="16255" xr:uid="{98537703-3C7E-4CAD-9FCD-4E9DC34AB146}"/>
    <cellStyle name="Syöttö 3 2 3 14" xfId="16256" xr:uid="{CADFA2A0-09A9-4807-87E8-807EC9A53F00}"/>
    <cellStyle name="Syöttö 3 2 3 15" xfId="16257" xr:uid="{6116A82B-6624-4FC4-87A3-A38644DA5E17}"/>
    <cellStyle name="Syöttö 3 2 3 16" xfId="16258" xr:uid="{B2DD5D7E-C856-4CC2-9D89-C6709AAB3916}"/>
    <cellStyle name="Syöttö 3 2 3 17" xfId="16259" xr:uid="{48A5D344-4443-4CF5-92A0-07DA04A95047}"/>
    <cellStyle name="Syöttö 3 2 3 18" xfId="16260" xr:uid="{E9B856AD-D62F-4224-A1FB-369A1C5B7E50}"/>
    <cellStyle name="Syöttö 3 2 3 19" xfId="16261" xr:uid="{F8B56661-7A93-40AF-95D2-95D435907680}"/>
    <cellStyle name="Syöttö 3 2 3 19 2" xfId="16262" xr:uid="{59D3CB7A-F598-4F67-9CC5-663226FA97CD}"/>
    <cellStyle name="Syöttö 3 2 3 19_2013" xfId="16263" xr:uid="{07C71012-621E-453A-B96A-5948DB5AD5F1}"/>
    <cellStyle name="Syöttö 3 2 3 2" xfId="16264" xr:uid="{84319169-E91C-4C0A-9D18-377D165739C8}"/>
    <cellStyle name="Syöttö 3 2 3 2 10" xfId="16265" xr:uid="{4C4F0B8E-A32F-430E-A317-D0BDD3E7749F}"/>
    <cellStyle name="Syöttö 3 2 3 2 11" xfId="16266" xr:uid="{42670DFB-5B2D-42B4-97C9-46EB0F603FDE}"/>
    <cellStyle name="Syöttö 3 2 3 2 12" xfId="16267" xr:uid="{82127B5A-3ADA-494F-9FC2-78BE3B8EBBE1}"/>
    <cellStyle name="Syöttö 3 2 3 2 13" xfId="16268" xr:uid="{B6A51A06-6ADE-4C39-B076-F9568F7D7FC3}"/>
    <cellStyle name="Syöttö 3 2 3 2 14" xfId="16269" xr:uid="{E361341C-FF32-4B4C-B079-1D45C37ABBCA}"/>
    <cellStyle name="Syöttö 3 2 3 2 15" xfId="16270" xr:uid="{5DABC500-BA0E-4D91-9445-F8976A4F9F12}"/>
    <cellStyle name="Syöttö 3 2 3 2 16" xfId="16271" xr:uid="{0C46E850-310C-4357-AA92-A23D1031D763}"/>
    <cellStyle name="Syöttö 3 2 3 2 17" xfId="16272" xr:uid="{7BE9C4DA-421E-42D1-A45F-6D91ECB125B9}"/>
    <cellStyle name="Syöttö 3 2 3 2 18" xfId="16273" xr:uid="{64948CBF-36C2-40FA-94F2-6C932E259BB0}"/>
    <cellStyle name="Syöttö 3 2 3 2 18 2" xfId="16274" xr:uid="{6CF7180E-0CBB-44F0-A47D-D6D99C7045EC}"/>
    <cellStyle name="Syöttö 3 2 3 2 18_2013" xfId="16275" xr:uid="{DF18F92C-E601-48D3-A5F3-AEA9A4FFFD52}"/>
    <cellStyle name="Syöttö 3 2 3 2 19" xfId="16276" xr:uid="{9809CF24-4E3B-4F53-9C62-CAB2C2E05EAC}"/>
    <cellStyle name="Syöttö 3 2 3 2 2" xfId="16277" xr:uid="{AA2BCE83-AB4F-4309-A5AA-B449F3C1D01D}"/>
    <cellStyle name="Syöttö 3 2 3 2 3" xfId="16278" xr:uid="{C56B4692-D456-4FD0-8F2E-3663A9320676}"/>
    <cellStyle name="Syöttö 3 2 3 2 4" xfId="16279" xr:uid="{A3C97112-957C-4EB7-BEA5-7D95D3ED373F}"/>
    <cellStyle name="Syöttö 3 2 3 2 5" xfId="16280" xr:uid="{38202D0A-C82F-40D1-9889-3C2D37D03F5B}"/>
    <cellStyle name="Syöttö 3 2 3 2 6" xfId="16281" xr:uid="{9BF0ADAC-6DB0-49FE-B454-BD4DB863559F}"/>
    <cellStyle name="Syöttö 3 2 3 2 7" xfId="16282" xr:uid="{B0663703-7A26-4ED4-A1CD-42BC7880D3D4}"/>
    <cellStyle name="Syöttö 3 2 3 2 8" xfId="16283" xr:uid="{AEBC9438-C00F-4836-B509-6D71BCCD6AA4}"/>
    <cellStyle name="Syöttö 3 2 3 2 9" xfId="16284" xr:uid="{1A08B059-947D-4990-B6F9-7C29F30934C7}"/>
    <cellStyle name="Syöttö 3 2 3 2_2013" xfId="16285" xr:uid="{1FCE9FBC-57AE-4EF8-B9B9-29FAE1684E1A}"/>
    <cellStyle name="Syöttö 3 2 3 20" xfId="16286" xr:uid="{BAE7DE3D-D2F9-4B1D-B371-5A608C870480}"/>
    <cellStyle name="Syöttö 3 2 3 3" xfId="16287" xr:uid="{5DBB504B-CEB5-49DF-9957-0927DAE058D9}"/>
    <cellStyle name="Syöttö 3 2 3 4" xfId="16288" xr:uid="{E98402B5-4732-43E0-87B8-4590061200BB}"/>
    <cellStyle name="Syöttö 3 2 3 5" xfId="16289" xr:uid="{05FCE9A8-C09B-44C9-BE47-DD841F256CA6}"/>
    <cellStyle name="Syöttö 3 2 3 6" xfId="16290" xr:uid="{818A1660-339C-4481-B9CA-C61468937448}"/>
    <cellStyle name="Syöttö 3 2 3 7" xfId="16291" xr:uid="{1EF941BA-632B-42C9-898E-01B4CAEDDB5A}"/>
    <cellStyle name="Syöttö 3 2 3 8" xfId="16292" xr:uid="{8CA7D05C-2BEE-4805-AA1F-4E182E94A46E}"/>
    <cellStyle name="Syöttö 3 2 3 9" xfId="16293" xr:uid="{56A74EAE-757E-4B0E-9718-3BB0EEF6A8F6}"/>
    <cellStyle name="Syöttö 3 2 3_2013" xfId="16294" xr:uid="{C7666532-AE33-492E-A19C-C955467562AA}"/>
    <cellStyle name="Syöttö 3 2 4" xfId="16295" xr:uid="{70F1E144-60CD-41DF-8F0C-9FFD674E4A1F}"/>
    <cellStyle name="Syöttö 3 2 4 10" xfId="16296" xr:uid="{030C17C6-57A4-4FC7-85BD-38299FF0E253}"/>
    <cellStyle name="Syöttö 3 2 4 11" xfId="16297" xr:uid="{AFEA6458-F872-4B03-A1C2-2E50240E0890}"/>
    <cellStyle name="Syöttö 3 2 4 12" xfId="16298" xr:uid="{2CC82EF7-7853-449B-95A0-01B8F3F85AD6}"/>
    <cellStyle name="Syöttö 3 2 4 13" xfId="16299" xr:uid="{65FF5CF4-4DDF-474A-97BC-D90E02AD975F}"/>
    <cellStyle name="Syöttö 3 2 4 14" xfId="16300" xr:uid="{3154696F-744A-4533-BA67-B39F6F50D7C4}"/>
    <cellStyle name="Syöttö 3 2 4 15" xfId="16301" xr:uid="{B3FED318-5122-499B-A2C0-FB9FFBD3602D}"/>
    <cellStyle name="Syöttö 3 2 4 16" xfId="16302" xr:uid="{98A44963-1834-4BD3-A7C7-A39040CA9941}"/>
    <cellStyle name="Syöttö 3 2 4 17" xfId="16303" xr:uid="{83077C4B-CE86-4616-A43A-2C83601F0142}"/>
    <cellStyle name="Syöttö 3 2 4 18" xfId="16304" xr:uid="{8AD070F9-7FFD-49D8-94F0-15AD6B828CC0}"/>
    <cellStyle name="Syöttö 3 2 4 19" xfId="16305" xr:uid="{27E63047-7B85-4171-B9A0-466D546AD1A8}"/>
    <cellStyle name="Syöttö 3 2 4 19 2" xfId="16306" xr:uid="{998819A8-BB46-446C-8F04-4DB28F50A005}"/>
    <cellStyle name="Syöttö 3 2 4 19_2013" xfId="16307" xr:uid="{46AB2B01-5982-4112-ABFE-13D6D7A890C9}"/>
    <cellStyle name="Syöttö 3 2 4 2" xfId="16308" xr:uid="{1C93B796-BB3D-4C25-A1E3-39424528A4DB}"/>
    <cellStyle name="Syöttö 3 2 4 2 10" xfId="16309" xr:uid="{24764DF6-9F43-4D47-829B-2AFD1CDB3FDB}"/>
    <cellStyle name="Syöttö 3 2 4 2 11" xfId="16310" xr:uid="{EC39C512-60D1-4AA6-8C96-AB4C662AE21B}"/>
    <cellStyle name="Syöttö 3 2 4 2 12" xfId="16311" xr:uid="{26659B62-F212-4B24-9182-B00E754213E2}"/>
    <cellStyle name="Syöttö 3 2 4 2 13" xfId="16312" xr:uid="{C8308ABF-3AF5-401C-8D52-5F71BF2452B7}"/>
    <cellStyle name="Syöttö 3 2 4 2 14" xfId="16313" xr:uid="{B7B2B6F7-60AE-4826-9854-DAEE012A279B}"/>
    <cellStyle name="Syöttö 3 2 4 2 15" xfId="16314" xr:uid="{4306AD1B-1351-4C3C-A337-D7AEF6391925}"/>
    <cellStyle name="Syöttö 3 2 4 2 16" xfId="16315" xr:uid="{39F47800-7BA5-4447-9250-0AE64DDC150D}"/>
    <cellStyle name="Syöttö 3 2 4 2 17" xfId="16316" xr:uid="{C5FAE81D-3874-4C1B-984E-EC2C49DC1F0A}"/>
    <cellStyle name="Syöttö 3 2 4 2 18" xfId="16317" xr:uid="{A064BBFE-4A73-41FB-B587-EDB6AFC4D992}"/>
    <cellStyle name="Syöttö 3 2 4 2 18 2" xfId="16318" xr:uid="{CC302DAD-E533-48EC-B474-8F4C6E73CB80}"/>
    <cellStyle name="Syöttö 3 2 4 2 18_2013" xfId="16319" xr:uid="{06A0632C-F969-48F7-9908-2C968F1B378F}"/>
    <cellStyle name="Syöttö 3 2 4 2 19" xfId="16320" xr:uid="{AF275385-273B-4322-9CAC-ECB33DC7D26B}"/>
    <cellStyle name="Syöttö 3 2 4 2 2" xfId="16321" xr:uid="{BEF6B051-878F-4E66-AB67-8D4920232D42}"/>
    <cellStyle name="Syöttö 3 2 4 2 3" xfId="16322" xr:uid="{B0FE5B92-1046-4BD4-B575-50689BAAD7C9}"/>
    <cellStyle name="Syöttö 3 2 4 2 4" xfId="16323" xr:uid="{E7E9E326-372D-4C96-B0BE-88F78FC34CB8}"/>
    <cellStyle name="Syöttö 3 2 4 2 5" xfId="16324" xr:uid="{D75F83CA-10D4-4454-8FB0-A538BC13315B}"/>
    <cellStyle name="Syöttö 3 2 4 2 6" xfId="16325" xr:uid="{ACE6CE0F-024F-4A1E-8C50-7F75E568AD05}"/>
    <cellStyle name="Syöttö 3 2 4 2 7" xfId="16326" xr:uid="{1A600DDE-F1C9-4605-A808-F35159F51DB5}"/>
    <cellStyle name="Syöttö 3 2 4 2 8" xfId="16327" xr:uid="{D84032E7-FC61-4EFD-9E84-95A7FE64BB88}"/>
    <cellStyle name="Syöttö 3 2 4 2 9" xfId="16328" xr:uid="{EC2B4C18-1677-46F4-A360-FC98B48D3EC0}"/>
    <cellStyle name="Syöttö 3 2 4 2_2013" xfId="16329" xr:uid="{81E5B837-F3D0-4B72-9891-6894D1EE9713}"/>
    <cellStyle name="Syöttö 3 2 4 20" xfId="16330" xr:uid="{07DAAAF2-E249-44C2-BA87-BB71B56E79F6}"/>
    <cellStyle name="Syöttö 3 2 4 3" xfId="16331" xr:uid="{84E92DD8-837C-4C5C-B9B2-BF54FC346D4B}"/>
    <cellStyle name="Syöttö 3 2 4 4" xfId="16332" xr:uid="{9E4F1070-F78F-49F4-B6C3-8A44C00925C6}"/>
    <cellStyle name="Syöttö 3 2 4 5" xfId="16333" xr:uid="{1389CA80-0744-4C33-B8A1-E0107E06866B}"/>
    <cellStyle name="Syöttö 3 2 4 6" xfId="16334" xr:uid="{14BBA184-E9F2-4A2B-9C64-B92FEAA67EA0}"/>
    <cellStyle name="Syöttö 3 2 4 7" xfId="16335" xr:uid="{745A91EC-CE99-4E47-94D3-8483CD4A1084}"/>
    <cellStyle name="Syöttö 3 2 4 8" xfId="16336" xr:uid="{DED170A6-9262-4E2D-A93B-1296664393B5}"/>
    <cellStyle name="Syöttö 3 2 4 9" xfId="16337" xr:uid="{E20255ED-F3B9-4BF7-AEF0-CCEE2D8D0291}"/>
    <cellStyle name="Syöttö 3 2 4_2013" xfId="16338" xr:uid="{41B59564-CD85-4BBC-BD93-DC85430FDAC2}"/>
    <cellStyle name="Syöttö 3 2 5" xfId="16339" xr:uid="{4DD79635-D75C-4092-AE0D-9F01EC04A33E}"/>
    <cellStyle name="Syöttö 3 2 5 10" xfId="16340" xr:uid="{46E843F6-3E07-4D85-92A9-6BFE1F07C641}"/>
    <cellStyle name="Syöttö 3 2 5 11" xfId="16341" xr:uid="{ED33F88D-D4BD-44A9-AAAE-08A273281DA4}"/>
    <cellStyle name="Syöttö 3 2 5 12" xfId="16342" xr:uid="{4ADABB34-BB6A-438F-9B75-3816F24028BB}"/>
    <cellStyle name="Syöttö 3 2 5 13" xfId="16343" xr:uid="{90FA200E-051A-4C27-9608-F85126AA24A1}"/>
    <cellStyle name="Syöttö 3 2 5 14" xfId="16344" xr:uid="{6C37DF38-E59D-41B4-A308-2750298C0E5F}"/>
    <cellStyle name="Syöttö 3 2 5 15" xfId="16345" xr:uid="{203B2802-020F-4CC7-9BF3-E3953734C873}"/>
    <cellStyle name="Syöttö 3 2 5 16" xfId="16346" xr:uid="{EF304E76-5728-4196-AD1E-EB1B75BBEE5D}"/>
    <cellStyle name="Syöttö 3 2 5 17" xfId="16347" xr:uid="{9D0D02B8-F47D-456C-B810-1643340BB295}"/>
    <cellStyle name="Syöttö 3 2 5 18" xfId="16348" xr:uid="{486D436D-87C5-4301-B60A-1323A0B7B1A7}"/>
    <cellStyle name="Syöttö 3 2 5 18 2" xfId="16349" xr:uid="{D422571D-C236-46ED-A39C-5FE7109BCE16}"/>
    <cellStyle name="Syöttö 3 2 5 18_2013" xfId="16350" xr:uid="{DE0BE291-AD42-4805-AF49-93880680C08F}"/>
    <cellStyle name="Syöttö 3 2 5 19" xfId="16351" xr:uid="{A38F7684-44E3-4228-9C9D-59656C9ECDB8}"/>
    <cellStyle name="Syöttö 3 2 5 2" xfId="16352" xr:uid="{A398FC52-1532-45B3-81EC-460CC36812DC}"/>
    <cellStyle name="Syöttö 3 2 5 3" xfId="16353" xr:uid="{0070CDFC-2FB2-470B-A48A-0C685AEFFF4D}"/>
    <cellStyle name="Syöttö 3 2 5 4" xfId="16354" xr:uid="{F7F36EEF-3577-407A-B021-27C0B952744E}"/>
    <cellStyle name="Syöttö 3 2 5 5" xfId="16355" xr:uid="{C34AD985-6F15-4B72-9C12-BF61E93455C9}"/>
    <cellStyle name="Syöttö 3 2 5 6" xfId="16356" xr:uid="{8FD3A9EF-CE34-4302-8E40-899291D35DF9}"/>
    <cellStyle name="Syöttö 3 2 5 7" xfId="16357" xr:uid="{EACCB411-F7D8-4572-BA1A-DFE4CA33024B}"/>
    <cellStyle name="Syöttö 3 2 5 8" xfId="16358" xr:uid="{52D4DF77-3E80-4BD9-92DE-AC2C50135A7C}"/>
    <cellStyle name="Syöttö 3 2 5 9" xfId="16359" xr:uid="{77EEABE3-8BDE-4919-AFD4-B6DBFAAE512E}"/>
    <cellStyle name="Syöttö 3 2 5_2013" xfId="16360" xr:uid="{E96F71DB-E503-4E89-89B6-5307B25FABA5}"/>
    <cellStyle name="Syöttö 3 2 6" xfId="16361" xr:uid="{640F8A4B-3755-415C-8755-B4C83E460047}"/>
    <cellStyle name="Syöttö 3 2 7" xfId="16362" xr:uid="{6C3B757F-23D0-4891-8A57-7240A4B298A7}"/>
    <cellStyle name="Syöttö 3 2 8" xfId="16363" xr:uid="{CD7D30B1-0061-40A6-B4DB-88CCF22CEE72}"/>
    <cellStyle name="Syöttö 3 2 9" xfId="16364" xr:uid="{6910DC55-E7F4-41C5-897A-C35FB83BE8EC}"/>
    <cellStyle name="Syöttö 3 2_2013" xfId="16365" xr:uid="{FF8F4B53-8920-4476-A771-10F40206DE16}"/>
    <cellStyle name="Syöttö 3 20" xfId="16366" xr:uid="{4D67EB52-423D-4C91-B503-27DFE7402BB2}"/>
    <cellStyle name="Syöttö 3 21" xfId="16367" xr:uid="{D0FE5484-4486-4299-95A4-F842E4BA1418}"/>
    <cellStyle name="Syöttö 3 22" xfId="16368" xr:uid="{4C4D4623-685B-4741-A3ED-9E381C37532B}"/>
    <cellStyle name="Syöttö 3 23" xfId="16369" xr:uid="{6A55295A-BF7A-452B-BCF4-7AE8F14F9A80}"/>
    <cellStyle name="Syöttö 3 23 2" xfId="16370" xr:uid="{A6505BA2-F685-44B3-873A-52DB06F84A59}"/>
    <cellStyle name="Syöttö 3 23_2013" xfId="16371" xr:uid="{B01F30B7-6BE4-401D-8719-B1556521BC41}"/>
    <cellStyle name="Syöttö 3 24" xfId="16372" xr:uid="{A356D6B7-D3FD-4132-BA01-94F39C9CA234}"/>
    <cellStyle name="Syöttö 3 3" xfId="16373" xr:uid="{A7908D6C-9FC6-445B-B763-B130A367077D}"/>
    <cellStyle name="Syöttö 3 3 10" xfId="16374" xr:uid="{929F7976-EB93-4EAA-A0D4-FD950EEA1219}"/>
    <cellStyle name="Syöttö 3 3 11" xfId="16375" xr:uid="{DCB1B7DB-1F83-4406-9E2A-595EF5BF60D7}"/>
    <cellStyle name="Syöttö 3 3 12" xfId="16376" xr:uid="{3E4C2756-ADE8-4871-9777-BA94CE5644B1}"/>
    <cellStyle name="Syöttö 3 3 13" xfId="16377" xr:uid="{7E256470-B11B-4B5D-8955-CB64BFAF19C5}"/>
    <cellStyle name="Syöttö 3 3 14" xfId="16378" xr:uid="{54E0E705-37CA-4A41-968B-E580A2E69A4D}"/>
    <cellStyle name="Syöttö 3 3 15" xfId="16379" xr:uid="{22008131-0B4F-4F60-A553-ED80F1BA52E9}"/>
    <cellStyle name="Syöttö 3 3 16" xfId="16380" xr:uid="{28DB4BD5-D1C3-4ABF-9C22-F15D1094704A}"/>
    <cellStyle name="Syöttö 3 3 17" xfId="16381" xr:uid="{8EE741EB-176D-4CCE-812B-F397AD6D6E22}"/>
    <cellStyle name="Syöttö 3 3 18" xfId="16382" xr:uid="{0124BE5A-0A65-4236-83BD-6AB918B3C0BA}"/>
    <cellStyle name="Syöttö 3 3 19" xfId="16383" xr:uid="{F99E5268-72D4-4E23-8A26-95EA26F54CBF}"/>
    <cellStyle name="Syöttö 3 3 19 2" xfId="16384" xr:uid="{0D06CC8F-BD09-4351-BE6F-1F93C862EE50}"/>
    <cellStyle name="Syöttö 3 3 19_2013" xfId="16385" xr:uid="{72AAD002-C8A2-4C1F-93FB-01CB378E1B5A}"/>
    <cellStyle name="Syöttö 3 3 2" xfId="16386" xr:uid="{D875CB6C-D182-45B3-B095-B960904BB7E8}"/>
    <cellStyle name="Syöttö 3 3 2 10" xfId="16387" xr:uid="{A3735B0E-EF77-4C02-837C-224EE2E199DA}"/>
    <cellStyle name="Syöttö 3 3 2 11" xfId="16388" xr:uid="{94D2E887-91C0-432F-8817-14EA64347D99}"/>
    <cellStyle name="Syöttö 3 3 2 12" xfId="16389" xr:uid="{81AFE2BF-32ED-4006-8235-E3B3D5183E4B}"/>
    <cellStyle name="Syöttö 3 3 2 13" xfId="16390" xr:uid="{5C572E86-0779-423F-9509-6BD8A0B48EF1}"/>
    <cellStyle name="Syöttö 3 3 2 14" xfId="16391" xr:uid="{58C6CACD-40C5-4C12-B598-AF9FDE2BFB8C}"/>
    <cellStyle name="Syöttö 3 3 2 15" xfId="16392" xr:uid="{D9410352-124B-453A-92D8-CB74D768EBFC}"/>
    <cellStyle name="Syöttö 3 3 2 16" xfId="16393" xr:uid="{0AC1268B-EC95-48C7-A62C-D60A2F69405A}"/>
    <cellStyle name="Syöttö 3 3 2 17" xfId="16394" xr:uid="{C11B955B-79A8-4486-AD23-A9D145A37254}"/>
    <cellStyle name="Syöttö 3 3 2 18" xfId="16395" xr:uid="{884485EA-EF87-4F0F-A8B4-33EBF0D1916A}"/>
    <cellStyle name="Syöttö 3 3 2 18 2" xfId="16396" xr:uid="{8A383530-3BF3-4DC7-8487-84754C924E1F}"/>
    <cellStyle name="Syöttö 3 3 2 18_2013" xfId="16397" xr:uid="{5624856F-3B04-4040-9D41-2388CD5F0958}"/>
    <cellStyle name="Syöttö 3 3 2 19" xfId="16398" xr:uid="{C9D5A6DB-A2F4-459E-9CB5-88A52931A226}"/>
    <cellStyle name="Syöttö 3 3 2 2" xfId="16399" xr:uid="{0AB2D52F-252D-4064-A79B-7BF71F84BEF7}"/>
    <cellStyle name="Syöttö 3 3 2 3" xfId="16400" xr:uid="{C8E38BE4-A38F-47D4-9031-3C9443004FCC}"/>
    <cellStyle name="Syöttö 3 3 2 4" xfId="16401" xr:uid="{E107CEE0-2897-46C6-A845-415BF44063D5}"/>
    <cellStyle name="Syöttö 3 3 2 5" xfId="16402" xr:uid="{84B70774-DA2D-410D-BFE6-F6A404A301B9}"/>
    <cellStyle name="Syöttö 3 3 2 6" xfId="16403" xr:uid="{7809ADCE-BD5F-445A-A88C-B75E6B652C53}"/>
    <cellStyle name="Syöttö 3 3 2 7" xfId="16404" xr:uid="{57597C02-6712-4D95-89A8-28219692F4D5}"/>
    <cellStyle name="Syöttö 3 3 2 8" xfId="16405" xr:uid="{08C3500D-9210-4A87-A037-AB0A6D032B46}"/>
    <cellStyle name="Syöttö 3 3 2 9" xfId="16406" xr:uid="{F2ABF307-088E-4B7C-B3CC-CC525F5788AC}"/>
    <cellStyle name="Syöttö 3 3 2_2013" xfId="16407" xr:uid="{562FBF4B-8EF4-4046-ABF5-B0ACB603C5B7}"/>
    <cellStyle name="Syöttö 3 3 20" xfId="16408" xr:uid="{36AF0517-D1BF-4B0C-9D01-EFF19E6A7FDB}"/>
    <cellStyle name="Syöttö 3 3 3" xfId="16409" xr:uid="{641D8E6F-CDC3-4084-B17D-B22D96C58E9A}"/>
    <cellStyle name="Syöttö 3 3 4" xfId="16410" xr:uid="{4AF53CFD-2D55-402E-97BA-CE7AF58F4B4D}"/>
    <cellStyle name="Syöttö 3 3 5" xfId="16411" xr:uid="{923F7105-E2E9-4D86-957B-44B41946528B}"/>
    <cellStyle name="Syöttö 3 3 6" xfId="16412" xr:uid="{1CCFF4D1-B73A-4E55-A17C-F757C4613741}"/>
    <cellStyle name="Syöttö 3 3 7" xfId="16413" xr:uid="{8F45AEED-53AA-4500-A364-0E4FB0E548C7}"/>
    <cellStyle name="Syöttö 3 3 8" xfId="16414" xr:uid="{ED6FBEE4-8078-42D0-B739-345D929171E0}"/>
    <cellStyle name="Syöttö 3 3 9" xfId="16415" xr:uid="{54A0B163-6D6F-44A1-B0BF-AEE079ABDDB1}"/>
    <cellStyle name="Syöttö 3 3_2013" xfId="16416" xr:uid="{FF002009-70C8-41ED-B0A5-7B9E12373C89}"/>
    <cellStyle name="Syöttö 3 4" xfId="16417" xr:uid="{3F94B9D6-91BA-40A1-B42F-404F8BD59DCD}"/>
    <cellStyle name="Syöttö 3 4 10" xfId="16418" xr:uid="{6E4ED01C-7D43-4C5A-A536-B9975F924603}"/>
    <cellStyle name="Syöttö 3 4 11" xfId="16419" xr:uid="{AF137201-ACFB-4A5F-A58C-5F2A2F631668}"/>
    <cellStyle name="Syöttö 3 4 12" xfId="16420" xr:uid="{0DEC825D-E4D5-4DC9-9760-90506ACE37EA}"/>
    <cellStyle name="Syöttö 3 4 13" xfId="16421" xr:uid="{FFB94830-A1E2-493A-8127-2964715DD285}"/>
    <cellStyle name="Syöttö 3 4 14" xfId="16422" xr:uid="{AAAE5793-D274-4C76-9E8A-58DDB2AB5CFC}"/>
    <cellStyle name="Syöttö 3 4 15" xfId="16423" xr:uid="{7247B0F4-6D79-4520-A51A-7C7D90DE8007}"/>
    <cellStyle name="Syöttö 3 4 16" xfId="16424" xr:uid="{652772B6-C36A-4534-9B3F-A97FE82A4C83}"/>
    <cellStyle name="Syöttö 3 4 17" xfId="16425" xr:uid="{601DA9DA-F726-4E1D-817A-1245827FA2E0}"/>
    <cellStyle name="Syöttö 3 4 18" xfId="16426" xr:uid="{9F4F7023-9435-438C-830A-7C249E743981}"/>
    <cellStyle name="Syöttö 3 4 19" xfId="16427" xr:uid="{ABFF033B-473C-4D87-A65F-D23ACDD1B92E}"/>
    <cellStyle name="Syöttö 3 4 19 2" xfId="16428" xr:uid="{D4140B6C-51C4-4B07-AD05-DAA352263D6F}"/>
    <cellStyle name="Syöttö 3 4 19_2013" xfId="16429" xr:uid="{391CE736-3AE7-4355-91A8-2AB3F5162F6F}"/>
    <cellStyle name="Syöttö 3 4 2" xfId="16430" xr:uid="{69F42F81-2E63-4D4F-95B8-6A3C47E32B2E}"/>
    <cellStyle name="Syöttö 3 4 2 10" xfId="16431" xr:uid="{ADDA4164-FCDF-45FD-92DE-51822C5C4FA3}"/>
    <cellStyle name="Syöttö 3 4 2 11" xfId="16432" xr:uid="{2BA6C178-DEBC-4095-BFE1-87428AA47020}"/>
    <cellStyle name="Syöttö 3 4 2 12" xfId="16433" xr:uid="{6503CA31-E991-43A2-9035-4B495EEF1F87}"/>
    <cellStyle name="Syöttö 3 4 2 13" xfId="16434" xr:uid="{7AF8D6C7-8CF5-4242-A6CE-D0152240F644}"/>
    <cellStyle name="Syöttö 3 4 2 14" xfId="16435" xr:uid="{B66DA4A5-1463-4700-BFDF-86096F3EC73C}"/>
    <cellStyle name="Syöttö 3 4 2 15" xfId="16436" xr:uid="{CCFA23B2-2A30-40DD-A29C-11F6A2E99C29}"/>
    <cellStyle name="Syöttö 3 4 2 16" xfId="16437" xr:uid="{5BBEFF6D-A882-4516-A7BC-5DEE7609E699}"/>
    <cellStyle name="Syöttö 3 4 2 17" xfId="16438" xr:uid="{FE053623-DEA4-4363-9B16-EFF0230FAFBF}"/>
    <cellStyle name="Syöttö 3 4 2 18" xfId="16439" xr:uid="{FAD73F74-501B-4CD0-9CF3-4D466CF31DD8}"/>
    <cellStyle name="Syöttö 3 4 2 18 2" xfId="16440" xr:uid="{F2D56231-6C7B-4AEA-806A-4FED923D3E26}"/>
    <cellStyle name="Syöttö 3 4 2 18_2013" xfId="16441" xr:uid="{AF13BCAF-E315-4AE7-B9E1-7F0DAD2127EF}"/>
    <cellStyle name="Syöttö 3 4 2 19" xfId="16442" xr:uid="{80AA1B61-DD2F-47BC-A027-61BB0621B9F4}"/>
    <cellStyle name="Syöttö 3 4 2 2" xfId="16443" xr:uid="{80A797F3-5114-454F-B388-7F167253DEA2}"/>
    <cellStyle name="Syöttö 3 4 2 3" xfId="16444" xr:uid="{58416FDF-D9D3-4F18-B682-363B955A377C}"/>
    <cellStyle name="Syöttö 3 4 2 4" xfId="16445" xr:uid="{BC65D5F3-8B62-4923-B9CE-09BE90EBC5A4}"/>
    <cellStyle name="Syöttö 3 4 2 5" xfId="16446" xr:uid="{57EA92E3-D930-4D9B-A1D4-5F71CBD66502}"/>
    <cellStyle name="Syöttö 3 4 2 6" xfId="16447" xr:uid="{B0DB3BD0-65E8-43E4-99F6-3DCFEC10A402}"/>
    <cellStyle name="Syöttö 3 4 2 7" xfId="16448" xr:uid="{66284C12-B0D7-4040-BE80-40E83491D494}"/>
    <cellStyle name="Syöttö 3 4 2 8" xfId="16449" xr:uid="{769F2580-7E00-47B4-8458-53600D92D9FC}"/>
    <cellStyle name="Syöttö 3 4 2 9" xfId="16450" xr:uid="{CE18B417-1E7C-4A14-B448-1982B0871E7F}"/>
    <cellStyle name="Syöttö 3 4 2_2013" xfId="16451" xr:uid="{7E123B89-A3DE-4D2A-BCA6-F7DB4A5325E0}"/>
    <cellStyle name="Syöttö 3 4 20" xfId="16452" xr:uid="{5824588F-F69F-4121-8676-BBAFC588221B}"/>
    <cellStyle name="Syöttö 3 4 3" xfId="16453" xr:uid="{C354C29C-9392-43A5-ABC2-CBB0961D9313}"/>
    <cellStyle name="Syöttö 3 4 4" xfId="16454" xr:uid="{A920E7DF-0E09-4EAA-9A50-72358A7B4357}"/>
    <cellStyle name="Syöttö 3 4 5" xfId="16455" xr:uid="{29E4B883-972D-4783-A4EE-5BC65E868A06}"/>
    <cellStyle name="Syöttö 3 4 6" xfId="16456" xr:uid="{1543661D-6DBE-42AA-93E6-2633E89F149B}"/>
    <cellStyle name="Syöttö 3 4 7" xfId="16457" xr:uid="{8B2D1121-FCF6-4B0A-8DE2-053E3E68D874}"/>
    <cellStyle name="Syöttö 3 4 8" xfId="16458" xr:uid="{49B658F2-45C6-4A79-BDC0-DBAC435FB43D}"/>
    <cellStyle name="Syöttö 3 4 9" xfId="16459" xr:uid="{E5C8E2FC-AA41-46B5-8895-9A6BE393110B}"/>
    <cellStyle name="Syöttö 3 4_2013" xfId="16460" xr:uid="{C33F9E79-48F3-4B02-B888-4652C5C1E630}"/>
    <cellStyle name="Syöttö 3 5" xfId="16461" xr:uid="{E879D8CA-A44F-4728-B101-BBB4A3A8EF00}"/>
    <cellStyle name="Syöttö 3 5 10" xfId="16462" xr:uid="{EF473962-3A01-4C1B-A2AB-E95ABB600B25}"/>
    <cellStyle name="Syöttö 3 5 11" xfId="16463" xr:uid="{010B271A-79EC-47E3-A459-C0347C78C939}"/>
    <cellStyle name="Syöttö 3 5 12" xfId="16464" xr:uid="{1D448AD3-C8CD-450C-A6A7-96B3396E551E}"/>
    <cellStyle name="Syöttö 3 5 13" xfId="16465" xr:uid="{F1C6F640-4F5B-480C-A729-34AA0C1940C3}"/>
    <cellStyle name="Syöttö 3 5 14" xfId="16466" xr:uid="{733FE7C4-15B6-4FA2-A018-F878FED955BC}"/>
    <cellStyle name="Syöttö 3 5 15" xfId="16467" xr:uid="{B9EA6EA3-EC1D-4C4A-908E-1DF6142AE950}"/>
    <cellStyle name="Syöttö 3 5 16" xfId="16468" xr:uid="{91FD5FEA-3344-4232-AD39-9BECC7496AB8}"/>
    <cellStyle name="Syöttö 3 5 17" xfId="16469" xr:uid="{FD19DC47-85DC-4429-B6C8-69713BF50779}"/>
    <cellStyle name="Syöttö 3 5 18" xfId="16470" xr:uid="{09342ADF-EB18-4DDB-8429-62CAF83ED9F3}"/>
    <cellStyle name="Syöttö 3 5 19" xfId="16471" xr:uid="{A860DD0B-4D9D-42D9-B5EE-AB967A419A80}"/>
    <cellStyle name="Syöttö 3 5 19 2" xfId="16472" xr:uid="{F7732788-3FA1-48F6-A002-4AF0A5810E3E}"/>
    <cellStyle name="Syöttö 3 5 19_2013" xfId="16473" xr:uid="{480F0FF8-DDD0-4AB1-9774-0814FF1C5A07}"/>
    <cellStyle name="Syöttö 3 5 2" xfId="16474" xr:uid="{B58224D8-2306-49AC-8B5F-A2001761B9DC}"/>
    <cellStyle name="Syöttö 3 5 2 10" xfId="16475" xr:uid="{AA895BC2-E504-48E2-BDC2-2DAC35333DA3}"/>
    <cellStyle name="Syöttö 3 5 2 11" xfId="16476" xr:uid="{8618DE6D-D73F-4B90-B06F-11202126C122}"/>
    <cellStyle name="Syöttö 3 5 2 12" xfId="16477" xr:uid="{B554A186-C969-461A-BC67-EEED565AFBC6}"/>
    <cellStyle name="Syöttö 3 5 2 13" xfId="16478" xr:uid="{9165F2F1-8B12-4877-AC46-C097BA55AE5A}"/>
    <cellStyle name="Syöttö 3 5 2 14" xfId="16479" xr:uid="{867463E0-BAD9-4719-BEA7-BA728163A613}"/>
    <cellStyle name="Syöttö 3 5 2 15" xfId="16480" xr:uid="{CB80EE30-E7C6-4F4C-B8B8-0D8652BB814C}"/>
    <cellStyle name="Syöttö 3 5 2 16" xfId="16481" xr:uid="{4A535921-CF5A-4232-A3A7-C4612E33419A}"/>
    <cellStyle name="Syöttö 3 5 2 17" xfId="16482" xr:uid="{7F5EABE9-CD9A-4D5D-9479-0E3700E9BEFA}"/>
    <cellStyle name="Syöttö 3 5 2 18" xfId="16483" xr:uid="{F65F00EF-9BBF-466C-BA37-A11F45B8BCD5}"/>
    <cellStyle name="Syöttö 3 5 2 18 2" xfId="16484" xr:uid="{30C0521F-C8E7-4F3A-867D-FA6433A59366}"/>
    <cellStyle name="Syöttö 3 5 2 18_2013" xfId="16485" xr:uid="{798C4D57-43FC-46EA-AA13-663CD1B8C248}"/>
    <cellStyle name="Syöttö 3 5 2 19" xfId="16486" xr:uid="{C59678EC-8781-4362-B74E-FAEE373DF1CF}"/>
    <cellStyle name="Syöttö 3 5 2 2" xfId="16487" xr:uid="{8DF54300-ACF5-4250-98D0-25AD350BBB86}"/>
    <cellStyle name="Syöttö 3 5 2 3" xfId="16488" xr:uid="{48DC0B47-D50A-4300-9C43-590DCEB475E4}"/>
    <cellStyle name="Syöttö 3 5 2 4" xfId="16489" xr:uid="{FC7F5EF8-5F26-41BF-BB92-5D82EA9265CF}"/>
    <cellStyle name="Syöttö 3 5 2 5" xfId="16490" xr:uid="{83BEE208-D88D-499A-AB03-3B0B534BFDBD}"/>
    <cellStyle name="Syöttö 3 5 2 6" xfId="16491" xr:uid="{3AB2049E-638F-44A4-8593-6F3D0948867B}"/>
    <cellStyle name="Syöttö 3 5 2 7" xfId="16492" xr:uid="{FF8C50D7-F40E-4839-8508-66F3E666B7FF}"/>
    <cellStyle name="Syöttö 3 5 2 8" xfId="16493" xr:uid="{ABE78C12-D81F-4D27-BD83-3A0985CA3793}"/>
    <cellStyle name="Syöttö 3 5 2 9" xfId="16494" xr:uid="{19AEAE19-4AFA-4410-B0E6-E65DB1932F84}"/>
    <cellStyle name="Syöttö 3 5 2_2013" xfId="16495" xr:uid="{96504420-4BBC-40BE-B8CD-063D1754BA95}"/>
    <cellStyle name="Syöttö 3 5 20" xfId="16496" xr:uid="{B8FB367A-B905-4FD7-BCF0-FF338AF2FD60}"/>
    <cellStyle name="Syöttö 3 5 3" xfId="16497" xr:uid="{51D96ABD-27D0-4E8A-BB5C-8A4E6B8DF2F8}"/>
    <cellStyle name="Syöttö 3 5 4" xfId="16498" xr:uid="{D43ABD76-3F06-4FFF-8E59-DF3C441B8024}"/>
    <cellStyle name="Syöttö 3 5 5" xfId="16499" xr:uid="{FBC983ED-9CD3-4C2F-9EA0-BCA035E79872}"/>
    <cellStyle name="Syöttö 3 5 6" xfId="16500" xr:uid="{1ED22BAA-4CA9-4D23-8554-A369CAC8E957}"/>
    <cellStyle name="Syöttö 3 5 7" xfId="16501" xr:uid="{E00C3585-E97E-4AC7-B987-7C28EFBF9DB7}"/>
    <cellStyle name="Syöttö 3 5 8" xfId="16502" xr:uid="{290AB604-AE7F-4D18-BBCD-2E546A52B008}"/>
    <cellStyle name="Syöttö 3 5 9" xfId="16503" xr:uid="{2CC69D76-B9DE-45A2-843A-B6DB440BD669}"/>
    <cellStyle name="Syöttö 3 5_2013" xfId="16504" xr:uid="{9B78A6B5-B694-4B3A-9C10-9CA6D451DBAF}"/>
    <cellStyle name="Syöttö 3 6" xfId="16505" xr:uid="{D8AB0E27-5FE9-471D-AFA1-AF69190AB10B}"/>
    <cellStyle name="Syöttö 3 6 10" xfId="16506" xr:uid="{70BCDA9E-7C0D-4F41-B920-F15FB356AF4A}"/>
    <cellStyle name="Syöttö 3 6 11" xfId="16507" xr:uid="{4819CE90-21F3-4062-9027-021EF56CDF3D}"/>
    <cellStyle name="Syöttö 3 6 12" xfId="16508" xr:uid="{13BF1D73-B2EE-40B6-A3D3-98B61AB74B53}"/>
    <cellStyle name="Syöttö 3 6 13" xfId="16509" xr:uid="{C5425BA2-EC48-4B7D-B297-71F2F730B195}"/>
    <cellStyle name="Syöttö 3 6 14" xfId="16510" xr:uid="{C4CD5975-CFD4-4301-A2A9-3F6C5BF62ACF}"/>
    <cellStyle name="Syöttö 3 6 15" xfId="16511" xr:uid="{DFFF031F-6ACA-455E-A2B7-6BD9A98331F4}"/>
    <cellStyle name="Syöttö 3 6 16" xfId="16512" xr:uid="{6B91E362-746B-476A-8550-772CCA84BC2A}"/>
    <cellStyle name="Syöttö 3 6 17" xfId="16513" xr:uid="{CA781179-45D9-4580-9D31-1340CC0368F6}"/>
    <cellStyle name="Syöttö 3 6 18" xfId="16514" xr:uid="{2257BA83-EC3C-4453-8808-EF5F77809FCD}"/>
    <cellStyle name="Syöttö 3 6 18 2" xfId="16515" xr:uid="{42EEF69A-9241-4259-8D9C-A226FDE74886}"/>
    <cellStyle name="Syöttö 3 6 18_2013" xfId="16516" xr:uid="{8F720F58-E7CE-4332-A3C8-88F44299AF1F}"/>
    <cellStyle name="Syöttö 3 6 19" xfId="16517" xr:uid="{DA76A911-4623-43CE-AC56-6295E656B4BE}"/>
    <cellStyle name="Syöttö 3 6 2" xfId="16518" xr:uid="{BCEDB767-F56A-4AF8-A7D3-ADE4E24A02B7}"/>
    <cellStyle name="Syöttö 3 6 3" xfId="16519" xr:uid="{6BCD7FF9-E8C6-486F-810B-CF8C9D8C533D}"/>
    <cellStyle name="Syöttö 3 6 4" xfId="16520" xr:uid="{B92A226E-5947-4FCD-8293-2A0125F37B66}"/>
    <cellStyle name="Syöttö 3 6 5" xfId="16521" xr:uid="{2C6BE910-0970-4E73-BFC0-A9E4BCFCF2D0}"/>
    <cellStyle name="Syöttö 3 6 6" xfId="16522" xr:uid="{4189D81C-313E-4F77-9482-CEB67FF20386}"/>
    <cellStyle name="Syöttö 3 6 7" xfId="16523" xr:uid="{4D5ECE20-CDF7-4AA0-94D8-4A5A8DDA6930}"/>
    <cellStyle name="Syöttö 3 6 8" xfId="16524" xr:uid="{CD21D73E-24C0-4A1A-98E3-107EA6B48D67}"/>
    <cellStyle name="Syöttö 3 6 9" xfId="16525" xr:uid="{76A9E74A-6EE3-4587-88CC-8DD32BB443F9}"/>
    <cellStyle name="Syöttö 3 6_2013" xfId="16526" xr:uid="{CA9F144E-C569-4AFC-A7F7-DC48135FCE7B}"/>
    <cellStyle name="Syöttö 3 7" xfId="16527" xr:uid="{F6B58758-CCEE-4395-851A-23FB452CA686}"/>
    <cellStyle name="Syöttö 3 8" xfId="16528" xr:uid="{8143325A-07BB-4413-A2C0-CF9BBC55A379}"/>
    <cellStyle name="Syöttö 3 9" xfId="16529" xr:uid="{65F06088-76BB-428D-9C6F-2838A9B2B621}"/>
    <cellStyle name="Syöttö 3_2013" xfId="16530" xr:uid="{1B3BBD61-639E-423E-9AE5-6FC0A8F0FF33}"/>
    <cellStyle name="Syöttö 4" xfId="16531" xr:uid="{5EA37B62-D91C-44A3-AF9C-EFF595F04E6E}"/>
    <cellStyle name="Syöttö 4 10" xfId="16532" xr:uid="{94507BC4-8B2D-4954-AC7F-F835CAFFB9AF}"/>
    <cellStyle name="Syöttö 4 11" xfId="16533" xr:uid="{711FE9CD-EDB9-4458-8EC7-ACA3FA58B35C}"/>
    <cellStyle name="Syöttö 4 12" xfId="16534" xr:uid="{B841E1FD-2767-4D28-B7F3-CB6CF52E13ED}"/>
    <cellStyle name="Syöttö 4 13" xfId="16535" xr:uid="{A25C9193-BB89-46FE-A465-294498672713}"/>
    <cellStyle name="Syöttö 4 14" xfId="16536" xr:uid="{2CBC4D38-A0BA-4EE3-AD44-129CB237398B}"/>
    <cellStyle name="Syöttö 4 15" xfId="16537" xr:uid="{9A0D1FAF-4380-4125-B8E1-2D4779AD861B}"/>
    <cellStyle name="Syöttö 4 16" xfId="16538" xr:uid="{DF587BE3-FC40-48BA-B4B8-20C891C7D5D4}"/>
    <cellStyle name="Syöttö 4 17" xfId="16539" xr:uid="{CA4669FE-3973-44F0-9CCA-5C760BBC4E58}"/>
    <cellStyle name="Syöttö 4 18" xfId="16540" xr:uid="{C2FC623A-94E3-4365-B361-DF7C6152F5DA}"/>
    <cellStyle name="Syöttö 4 19" xfId="16541" xr:uid="{5D580C91-4564-4A49-A2AD-88391502823B}"/>
    <cellStyle name="Syöttö 4 2" xfId="16542" xr:uid="{F319D911-6F85-49E6-B64F-49215E7EB787}"/>
    <cellStyle name="Syöttö 4 2 10" xfId="16543" xr:uid="{E15C5FEE-6C07-4162-9C41-AE97929FE0DB}"/>
    <cellStyle name="Syöttö 4 2 11" xfId="16544" xr:uid="{A0F054CB-78C5-4B41-B9A1-2BF6D68A6150}"/>
    <cellStyle name="Syöttö 4 2 12" xfId="16545" xr:uid="{4E48F19B-905F-4E9E-B3EC-56E758E7238D}"/>
    <cellStyle name="Syöttö 4 2 13" xfId="16546" xr:uid="{BBEE3913-E650-4208-B260-FB88DD69C20A}"/>
    <cellStyle name="Syöttö 4 2 14" xfId="16547" xr:uid="{25CFBCD1-6046-4B35-BD72-EE70A7AC3701}"/>
    <cellStyle name="Syöttö 4 2 15" xfId="16548" xr:uid="{D57F037C-A599-4820-A4C0-5E2E98FCED03}"/>
    <cellStyle name="Syöttö 4 2 16" xfId="16549" xr:uid="{0A9A5C76-D083-4984-B0AE-60D9D0CA1739}"/>
    <cellStyle name="Syöttö 4 2 17" xfId="16550" xr:uid="{20EF6260-2F3C-417F-9FD4-C124E9CFF6F8}"/>
    <cellStyle name="Syöttö 4 2 18" xfId="16551" xr:uid="{BC2C264A-0705-44B8-BE21-8827B8E2041F}"/>
    <cellStyle name="Syöttö 4 2 19" xfId="16552" xr:uid="{6A6312EE-8C6C-4A0D-B4B8-68B5C025DC7C}"/>
    <cellStyle name="Syöttö 4 2 19 2" xfId="16553" xr:uid="{82EF0B3C-CEB8-4FCE-8008-89C5319ABBE9}"/>
    <cellStyle name="Syöttö 4 2 19_2013" xfId="16554" xr:uid="{16C16513-28FB-440D-9D7C-DB9A8949D87E}"/>
    <cellStyle name="Syöttö 4 2 2" xfId="16555" xr:uid="{B496E82C-FD63-475D-BB5C-467F43E1746C}"/>
    <cellStyle name="Syöttö 4 2 2 10" xfId="16556" xr:uid="{3969FA36-6877-4CC5-B475-A101EE71D61C}"/>
    <cellStyle name="Syöttö 4 2 2 11" xfId="16557" xr:uid="{08580696-FF74-42A7-B04E-8E06AAD0A0CE}"/>
    <cellStyle name="Syöttö 4 2 2 12" xfId="16558" xr:uid="{5109A88C-4427-44D4-AAE5-997660CC760F}"/>
    <cellStyle name="Syöttö 4 2 2 13" xfId="16559" xr:uid="{B5A76D52-43E8-47B9-A78D-70B5EC49F174}"/>
    <cellStyle name="Syöttö 4 2 2 14" xfId="16560" xr:uid="{13147DEE-290B-4DF5-A4F1-F850A53A6419}"/>
    <cellStyle name="Syöttö 4 2 2 15" xfId="16561" xr:uid="{BA57AC1C-AAB6-446E-B15B-7804AB577E96}"/>
    <cellStyle name="Syöttö 4 2 2 16" xfId="16562" xr:uid="{A62A343F-6A31-43E5-A6C0-A33DC59C13AE}"/>
    <cellStyle name="Syöttö 4 2 2 17" xfId="16563" xr:uid="{120331B1-6285-428B-A701-D4F6473EBE99}"/>
    <cellStyle name="Syöttö 4 2 2 18" xfId="16564" xr:uid="{EC6D77EB-A953-4373-9023-80751722BCDD}"/>
    <cellStyle name="Syöttö 4 2 2 18 2" xfId="16565" xr:uid="{122E9EA2-D76C-4D9D-A902-0AB685370C30}"/>
    <cellStyle name="Syöttö 4 2 2 18_2013" xfId="16566" xr:uid="{0788873A-254B-4738-BC8D-57F7DD260185}"/>
    <cellStyle name="Syöttö 4 2 2 19" xfId="16567" xr:uid="{733BE56A-D6AC-4554-AC0C-D9EED6C845C1}"/>
    <cellStyle name="Syöttö 4 2 2 2" xfId="16568" xr:uid="{387BF7F8-86C4-44F1-BEF9-19C9D34377AB}"/>
    <cellStyle name="Syöttö 4 2 2 3" xfId="16569" xr:uid="{B9A87808-35DE-4B50-A996-E50C48262B8E}"/>
    <cellStyle name="Syöttö 4 2 2 4" xfId="16570" xr:uid="{98AB48F4-EC7E-44AB-9FC6-D46332A1D739}"/>
    <cellStyle name="Syöttö 4 2 2 5" xfId="16571" xr:uid="{478F8E79-6838-407E-8D5A-42A3B470E688}"/>
    <cellStyle name="Syöttö 4 2 2 6" xfId="16572" xr:uid="{E51169F3-7774-4C63-A6B3-95941C9965E2}"/>
    <cellStyle name="Syöttö 4 2 2 7" xfId="16573" xr:uid="{FB17DAA3-9A8A-4B06-9C8F-490E22DF71B9}"/>
    <cellStyle name="Syöttö 4 2 2 8" xfId="16574" xr:uid="{90958DDE-1300-4CB6-869C-244CBC6C200E}"/>
    <cellStyle name="Syöttö 4 2 2 9" xfId="16575" xr:uid="{1AB9B9B7-A31B-4513-AD22-1FE54265D45C}"/>
    <cellStyle name="Syöttö 4 2 2_2013" xfId="16576" xr:uid="{ACF4C19C-8884-4A79-870A-1ECF690B3E4B}"/>
    <cellStyle name="Syöttö 4 2 20" xfId="16577" xr:uid="{BF2ACF4F-0673-4C89-97C8-BC19BEED9429}"/>
    <cellStyle name="Syöttö 4 2 3" xfId="16578" xr:uid="{917A541F-15DF-4DAD-B6D4-4C1E75BD668F}"/>
    <cellStyle name="Syöttö 4 2 4" xfId="16579" xr:uid="{99423B1D-9C64-4916-8490-953E62D17D8A}"/>
    <cellStyle name="Syöttö 4 2 5" xfId="16580" xr:uid="{55B8E769-AC7F-4DA2-B45A-4531C1C780A0}"/>
    <cellStyle name="Syöttö 4 2 6" xfId="16581" xr:uid="{C8594906-47DB-4D93-9A62-2340FA5658E1}"/>
    <cellStyle name="Syöttö 4 2 7" xfId="16582" xr:uid="{8F7F65C6-5280-4666-A7AA-028EF1F540ED}"/>
    <cellStyle name="Syöttö 4 2 8" xfId="16583" xr:uid="{2324627C-5767-4325-B492-55D55A728E66}"/>
    <cellStyle name="Syöttö 4 2 9" xfId="16584" xr:uid="{796C05A0-27D3-4EF7-8A0E-32BA9942BFDE}"/>
    <cellStyle name="Syöttö 4 2_2013" xfId="16585" xr:uid="{60DE743D-7645-4F0E-972D-055FB37B8924}"/>
    <cellStyle name="Syöttö 4 20" xfId="16586" xr:uid="{6FD7EC39-50EC-40C2-9742-FF6BCD20E85A}"/>
    <cellStyle name="Syöttö 4 21" xfId="16587" xr:uid="{37E5DC63-5964-4BD8-9C7E-343437A0B9EF}"/>
    <cellStyle name="Syöttö 4 22" xfId="16588" xr:uid="{CAC2A779-5327-4235-AB19-2FCE52ABC66F}"/>
    <cellStyle name="Syöttö 4 22 2" xfId="16589" xr:uid="{01FCCFDA-8AAE-438E-B790-98634BA7B40E}"/>
    <cellStyle name="Syöttö 4 22_2013" xfId="16590" xr:uid="{B751BCFF-08A4-4D21-B7C4-DD2447E0442D}"/>
    <cellStyle name="Syöttö 4 23" xfId="16591" xr:uid="{60F7D807-0303-495C-8F53-508BED1D5711}"/>
    <cellStyle name="Syöttö 4 3" xfId="16592" xr:uid="{5FE21B64-2CF0-4D5E-B5CF-480662D3AC2B}"/>
    <cellStyle name="Syöttö 4 3 10" xfId="16593" xr:uid="{43B42C79-2693-49A3-9DDE-836E9BEBD994}"/>
    <cellStyle name="Syöttö 4 3 11" xfId="16594" xr:uid="{655D7F7F-5669-4EEF-8B66-023549541A39}"/>
    <cellStyle name="Syöttö 4 3 12" xfId="16595" xr:uid="{2F465949-83C1-483E-A30F-9A809A1C0F06}"/>
    <cellStyle name="Syöttö 4 3 13" xfId="16596" xr:uid="{C34D0B37-09BA-42DE-AD59-24F36CF986BD}"/>
    <cellStyle name="Syöttö 4 3 14" xfId="16597" xr:uid="{58235AB2-8B5E-4A4D-BB01-CC83351D0381}"/>
    <cellStyle name="Syöttö 4 3 15" xfId="16598" xr:uid="{9AB04629-4187-4DE3-A4E4-C00830B40B96}"/>
    <cellStyle name="Syöttö 4 3 16" xfId="16599" xr:uid="{6A94FCF9-DD1E-4ABA-B9C7-CD72244BDD6B}"/>
    <cellStyle name="Syöttö 4 3 17" xfId="16600" xr:uid="{4BD082F2-6014-4E17-9F0F-FBBC0DDA4D1F}"/>
    <cellStyle name="Syöttö 4 3 18" xfId="16601" xr:uid="{2DC371CF-B0B2-4C33-AB9B-12C944A31741}"/>
    <cellStyle name="Syöttö 4 3 19" xfId="16602" xr:uid="{0E266629-39DD-43D7-94A5-D9CFE9C900EA}"/>
    <cellStyle name="Syöttö 4 3 19 2" xfId="16603" xr:uid="{C7727FBF-4C26-47A4-94F7-D2B660FDB8D5}"/>
    <cellStyle name="Syöttö 4 3 19_2013" xfId="16604" xr:uid="{52DBD8C1-5574-42FB-9C21-9631175B157B}"/>
    <cellStyle name="Syöttö 4 3 2" xfId="16605" xr:uid="{DB432FB9-2A6C-4688-9721-18BDC6A82C7A}"/>
    <cellStyle name="Syöttö 4 3 2 10" xfId="16606" xr:uid="{52AA84C5-2D22-4588-8566-12A1A7A38251}"/>
    <cellStyle name="Syöttö 4 3 2 11" xfId="16607" xr:uid="{ABA608D1-248C-4941-8BF3-EB902E422221}"/>
    <cellStyle name="Syöttö 4 3 2 12" xfId="16608" xr:uid="{51FD6E63-60CD-4C36-BBDF-5302FF4C57AC}"/>
    <cellStyle name="Syöttö 4 3 2 13" xfId="16609" xr:uid="{9E5E233D-DF30-4B9A-9414-11C756B93B15}"/>
    <cellStyle name="Syöttö 4 3 2 14" xfId="16610" xr:uid="{9907F126-2CF4-4833-9309-00FC7B988B7A}"/>
    <cellStyle name="Syöttö 4 3 2 15" xfId="16611" xr:uid="{F08B9D5D-9FBD-42D3-BA59-4B4664256C96}"/>
    <cellStyle name="Syöttö 4 3 2 16" xfId="16612" xr:uid="{98995F43-DB69-409D-9D3F-140DD4B5A687}"/>
    <cellStyle name="Syöttö 4 3 2 17" xfId="16613" xr:uid="{16DDF092-3274-403E-8C73-6469C9D0EC2A}"/>
    <cellStyle name="Syöttö 4 3 2 18" xfId="16614" xr:uid="{8AB4D906-3C1F-4CE3-8EDD-F6BAB9A10D8D}"/>
    <cellStyle name="Syöttö 4 3 2 18 2" xfId="16615" xr:uid="{0966BA5D-4898-45C5-A59E-6DB5BFC84230}"/>
    <cellStyle name="Syöttö 4 3 2 18_2013" xfId="16616" xr:uid="{9D3AF5FB-9957-40D1-9295-80F4DD0956E7}"/>
    <cellStyle name="Syöttö 4 3 2 19" xfId="16617" xr:uid="{85FADC68-0BE4-4777-AF16-7C6BD7C9FEC7}"/>
    <cellStyle name="Syöttö 4 3 2 2" xfId="16618" xr:uid="{ED2D22F9-A13A-4D4D-9B69-F5D9E848A441}"/>
    <cellStyle name="Syöttö 4 3 2 3" xfId="16619" xr:uid="{2D413584-80BD-4A7F-814A-C9BC4B511361}"/>
    <cellStyle name="Syöttö 4 3 2 4" xfId="16620" xr:uid="{B86AB682-3DC9-4D2B-94ED-B4B30A852F16}"/>
    <cellStyle name="Syöttö 4 3 2 5" xfId="16621" xr:uid="{E5789940-758D-4A47-BC79-5E42D314E559}"/>
    <cellStyle name="Syöttö 4 3 2 6" xfId="16622" xr:uid="{238F7986-05F3-471A-AE91-D70647AE127B}"/>
    <cellStyle name="Syöttö 4 3 2 7" xfId="16623" xr:uid="{9EF70FBA-E1D2-45DD-A637-8ED967B4591A}"/>
    <cellStyle name="Syöttö 4 3 2 8" xfId="16624" xr:uid="{90D3B449-AD2E-42AE-B991-0444BED46F1E}"/>
    <cellStyle name="Syöttö 4 3 2 9" xfId="16625" xr:uid="{59EC60AB-2E2D-469C-A685-27BD88DF1AA2}"/>
    <cellStyle name="Syöttö 4 3 2_2013" xfId="16626" xr:uid="{3D3D495E-E79D-4ECB-BDD9-EDE00FFA09F7}"/>
    <cellStyle name="Syöttö 4 3 20" xfId="16627" xr:uid="{08B903F8-D8BC-42C4-8142-8DF04CD3603D}"/>
    <cellStyle name="Syöttö 4 3 3" xfId="16628" xr:uid="{693F2D64-685F-4057-BD98-D41E5030BA92}"/>
    <cellStyle name="Syöttö 4 3 4" xfId="16629" xr:uid="{7A66ADDE-9147-4A8B-A769-A6364D2E4234}"/>
    <cellStyle name="Syöttö 4 3 5" xfId="16630" xr:uid="{7FB3E494-6424-403E-B16B-D125FA2F26C0}"/>
    <cellStyle name="Syöttö 4 3 6" xfId="16631" xr:uid="{56915DFE-A610-45E8-9954-2CAE244526E9}"/>
    <cellStyle name="Syöttö 4 3 7" xfId="16632" xr:uid="{F13CCDCF-A73B-4818-8012-E1D1F8C3478C}"/>
    <cellStyle name="Syöttö 4 3 8" xfId="16633" xr:uid="{B87887E5-71D9-47A4-B470-07ECCAC977B7}"/>
    <cellStyle name="Syöttö 4 3 9" xfId="16634" xr:uid="{35AABA35-88F6-4CC2-9E87-5BD27935755D}"/>
    <cellStyle name="Syöttö 4 3_2013" xfId="16635" xr:uid="{47FEAB14-39E4-4F51-BA1B-AC533CBC61DF}"/>
    <cellStyle name="Syöttö 4 4" xfId="16636" xr:uid="{35C6D4DB-4873-4B54-B66E-500470A9F072}"/>
    <cellStyle name="Syöttö 4 4 10" xfId="16637" xr:uid="{DD72E543-B958-4D1F-B9D0-D2D70B78DCE4}"/>
    <cellStyle name="Syöttö 4 4 11" xfId="16638" xr:uid="{3511F1D8-F9FE-463D-9C74-CD032F5BD399}"/>
    <cellStyle name="Syöttö 4 4 12" xfId="16639" xr:uid="{CD223A2E-6A54-402F-AA06-E7CB9D7FC0A4}"/>
    <cellStyle name="Syöttö 4 4 13" xfId="16640" xr:uid="{F774ADAF-BB99-4B71-B934-247D6A4973B9}"/>
    <cellStyle name="Syöttö 4 4 14" xfId="16641" xr:uid="{C818A723-EBB8-4C8E-88B6-F1387D63438C}"/>
    <cellStyle name="Syöttö 4 4 15" xfId="16642" xr:uid="{11230088-DC9A-4B0D-9869-7391BA3B49F8}"/>
    <cellStyle name="Syöttö 4 4 16" xfId="16643" xr:uid="{7EF9CDE7-E7C0-4F6B-B711-27104B63A377}"/>
    <cellStyle name="Syöttö 4 4 17" xfId="16644" xr:uid="{B994FF5E-CDF2-4BF8-AC32-F38CA34E553D}"/>
    <cellStyle name="Syöttö 4 4 18" xfId="16645" xr:uid="{FFAF1214-F761-46C1-8572-973ADDBDC21F}"/>
    <cellStyle name="Syöttö 4 4 19" xfId="16646" xr:uid="{5F9322F4-C576-42AE-951E-F43C406CD82D}"/>
    <cellStyle name="Syöttö 4 4 19 2" xfId="16647" xr:uid="{DA189E4D-6E62-4121-8073-CDC73F12F621}"/>
    <cellStyle name="Syöttö 4 4 19_2013" xfId="16648" xr:uid="{8BC985D8-7973-4EE7-B607-8E4442541259}"/>
    <cellStyle name="Syöttö 4 4 2" xfId="16649" xr:uid="{2B1EF92E-7EC0-4E47-9624-8605E5B721BB}"/>
    <cellStyle name="Syöttö 4 4 2 10" xfId="16650" xr:uid="{976A65FC-9D1C-49E0-B93E-7DCFA5F417C6}"/>
    <cellStyle name="Syöttö 4 4 2 11" xfId="16651" xr:uid="{743933AE-FB0B-45DF-A40B-24CBD8224C5A}"/>
    <cellStyle name="Syöttö 4 4 2 12" xfId="16652" xr:uid="{0F6D6CBB-3E1D-4514-AE52-C39C905542F0}"/>
    <cellStyle name="Syöttö 4 4 2 13" xfId="16653" xr:uid="{D182A883-F01A-4CF9-82BE-9720DC2AAF8E}"/>
    <cellStyle name="Syöttö 4 4 2 14" xfId="16654" xr:uid="{CCF87755-0EA1-452E-9497-77C096A53F9A}"/>
    <cellStyle name="Syöttö 4 4 2 15" xfId="16655" xr:uid="{F9A5C08A-6184-418B-9DC2-FEFF7D43E6C0}"/>
    <cellStyle name="Syöttö 4 4 2 16" xfId="16656" xr:uid="{4F9CB153-F9BF-4AC0-8731-4ED699D0A6C5}"/>
    <cellStyle name="Syöttö 4 4 2 17" xfId="16657" xr:uid="{959264BD-63FC-49B8-AF67-38D572E76154}"/>
    <cellStyle name="Syöttö 4 4 2 18" xfId="16658" xr:uid="{271820F3-FA88-4EC7-81C7-BDD3D39CF65F}"/>
    <cellStyle name="Syöttö 4 4 2 18 2" xfId="16659" xr:uid="{26F75811-21F2-45A8-9234-D7EE0FB19164}"/>
    <cellStyle name="Syöttö 4 4 2 18_2013" xfId="16660" xr:uid="{5205732F-EFB5-41A3-9F94-782C8429A754}"/>
    <cellStyle name="Syöttö 4 4 2 19" xfId="16661" xr:uid="{5D4185CD-7B13-4BC2-9529-F86C3FBF77AC}"/>
    <cellStyle name="Syöttö 4 4 2 2" xfId="16662" xr:uid="{95827DCD-E45C-4D8D-9087-F63AA7FC28F6}"/>
    <cellStyle name="Syöttö 4 4 2 3" xfId="16663" xr:uid="{0FF49A60-9EB2-401F-A8CB-9314336C45AF}"/>
    <cellStyle name="Syöttö 4 4 2 4" xfId="16664" xr:uid="{F1CE30BF-AF97-4980-8431-3B8D14874CAD}"/>
    <cellStyle name="Syöttö 4 4 2 5" xfId="16665" xr:uid="{A88A0E7A-A9D6-4FBC-B3DA-5DBA7E1B1DDC}"/>
    <cellStyle name="Syöttö 4 4 2 6" xfId="16666" xr:uid="{BF0F0164-441E-4470-9D24-6152F405B5D5}"/>
    <cellStyle name="Syöttö 4 4 2 7" xfId="16667" xr:uid="{46FF6DAB-5439-499A-A1F1-98C0ECCFE09A}"/>
    <cellStyle name="Syöttö 4 4 2 8" xfId="16668" xr:uid="{2987BD46-3C87-4E93-93FB-A161FE36EB80}"/>
    <cellStyle name="Syöttö 4 4 2 9" xfId="16669" xr:uid="{99F8BB4A-92A3-450B-8AC6-FCC10CCCF1F0}"/>
    <cellStyle name="Syöttö 4 4 2_2013" xfId="16670" xr:uid="{6FA41D26-23A9-4751-9A11-DA603DB584C6}"/>
    <cellStyle name="Syöttö 4 4 20" xfId="16671" xr:uid="{325554F1-5FE3-41AB-BB01-C187C1AC979A}"/>
    <cellStyle name="Syöttö 4 4 3" xfId="16672" xr:uid="{3BCE0BB8-6CF9-4B10-A647-F37F81F13C42}"/>
    <cellStyle name="Syöttö 4 4 4" xfId="16673" xr:uid="{6B25D4F2-2F7C-4AAF-814C-4AF8B47181F3}"/>
    <cellStyle name="Syöttö 4 4 5" xfId="16674" xr:uid="{08506306-8DEA-445A-8BF8-FB7BDD6E266D}"/>
    <cellStyle name="Syöttö 4 4 6" xfId="16675" xr:uid="{14003AA0-2D6A-45D5-AE74-44A88E323F57}"/>
    <cellStyle name="Syöttö 4 4 7" xfId="16676" xr:uid="{1C65F419-6713-4693-9403-C0B4ACCCEF76}"/>
    <cellStyle name="Syöttö 4 4 8" xfId="16677" xr:uid="{F7F9E6BD-46D1-4A25-ADAA-C0F15E8A9AD3}"/>
    <cellStyle name="Syöttö 4 4 9" xfId="16678" xr:uid="{C4851C78-E8D2-41BD-BFA8-84B728270AB3}"/>
    <cellStyle name="Syöttö 4 4_2013" xfId="16679" xr:uid="{ACEACEBD-3DDA-4549-A4EC-D68A5E0973F2}"/>
    <cellStyle name="Syöttö 4 5" xfId="16680" xr:uid="{992F7A95-ED2E-44DD-AE92-367B74FD83F4}"/>
    <cellStyle name="Syöttö 4 5 10" xfId="16681" xr:uid="{E6ABB727-E554-45F9-83F2-CE186F2D241E}"/>
    <cellStyle name="Syöttö 4 5 11" xfId="16682" xr:uid="{432EA112-6930-4969-9023-65B705B4E838}"/>
    <cellStyle name="Syöttö 4 5 12" xfId="16683" xr:uid="{6E951AC6-8133-427A-99D5-2E8BF01E97DB}"/>
    <cellStyle name="Syöttö 4 5 13" xfId="16684" xr:uid="{D2C98FA0-65E0-4EF1-8C73-980B8A1399ED}"/>
    <cellStyle name="Syöttö 4 5 14" xfId="16685" xr:uid="{8FE0F271-0110-4739-AEB8-5BE06CBBC146}"/>
    <cellStyle name="Syöttö 4 5 15" xfId="16686" xr:uid="{C0DA1F9F-7887-427C-A1DE-33FE711C35D1}"/>
    <cellStyle name="Syöttö 4 5 16" xfId="16687" xr:uid="{D04A3E97-061C-4323-80EA-1174C6C19D3C}"/>
    <cellStyle name="Syöttö 4 5 17" xfId="16688" xr:uid="{410F4EFE-9260-40BE-9D3D-F721110107D5}"/>
    <cellStyle name="Syöttö 4 5 18" xfId="16689" xr:uid="{D3E113EA-F6BF-4603-8855-A24675771AA0}"/>
    <cellStyle name="Syöttö 4 5 18 2" xfId="16690" xr:uid="{8FE8ED7C-4914-42BE-A309-54EFB463EACB}"/>
    <cellStyle name="Syöttö 4 5 18_2013" xfId="16691" xr:uid="{E7229505-0F7C-4073-B1EC-2AC2E41A4D5D}"/>
    <cellStyle name="Syöttö 4 5 19" xfId="16692" xr:uid="{943332F0-8E4E-47A2-9F7D-DBEC717CEC59}"/>
    <cellStyle name="Syöttö 4 5 2" xfId="16693" xr:uid="{9AF457E3-65E0-4389-8DC8-CE2D239D1369}"/>
    <cellStyle name="Syöttö 4 5 3" xfId="16694" xr:uid="{807F9E9C-6A15-407A-B4C5-86AC11C281D2}"/>
    <cellStyle name="Syöttö 4 5 4" xfId="16695" xr:uid="{20915C18-3C89-4099-894B-13AD9E88C671}"/>
    <cellStyle name="Syöttö 4 5 5" xfId="16696" xr:uid="{62367721-ED43-4636-9214-052F6F9F8867}"/>
    <cellStyle name="Syöttö 4 5 6" xfId="16697" xr:uid="{BECDE568-D65F-443F-B21F-B9CE340BE006}"/>
    <cellStyle name="Syöttö 4 5 7" xfId="16698" xr:uid="{C3631290-E64E-4F50-A262-DF76D57C10E9}"/>
    <cellStyle name="Syöttö 4 5 8" xfId="16699" xr:uid="{C689079D-B12E-47A7-B41B-0910248BE962}"/>
    <cellStyle name="Syöttö 4 5 9" xfId="16700" xr:uid="{34A38D39-C3FE-45E7-9D10-A00DEDC4CFED}"/>
    <cellStyle name="Syöttö 4 5_2013" xfId="16701" xr:uid="{B503296B-3AF8-4D8A-B95B-CA7D14E755C0}"/>
    <cellStyle name="Syöttö 4 6" xfId="16702" xr:uid="{D8188CCD-E287-43A5-87F8-AD500788FD19}"/>
    <cellStyle name="Syöttö 4 7" xfId="16703" xr:uid="{A1343D67-7657-4064-901C-4481EF9E6C21}"/>
    <cellStyle name="Syöttö 4 8" xfId="16704" xr:uid="{DBD81CAB-FC66-471C-BB1A-BCC5283E58B4}"/>
    <cellStyle name="Syöttö 4 9" xfId="16705" xr:uid="{66ED9656-5225-4678-BDE3-F34719A28324}"/>
    <cellStyle name="Syöttö 4_2013" xfId="16706" xr:uid="{78B926AE-A6DE-4302-9860-242899172B99}"/>
    <cellStyle name="Syöttö 5" xfId="16707" xr:uid="{6BD3BB88-E797-45CF-BAB6-C3346390EE38}"/>
    <cellStyle name="Syöttö 5 10" xfId="16708" xr:uid="{E7206924-61BD-4983-AA93-583F60310DB4}"/>
    <cellStyle name="Syöttö 5 11" xfId="16709" xr:uid="{CF8B846A-ED4F-402F-B9C2-43A6E58F2D38}"/>
    <cellStyle name="Syöttö 5 12" xfId="16710" xr:uid="{0B20A016-96DF-4DF5-8BF0-74057BD85FC8}"/>
    <cellStyle name="Syöttö 5 13" xfId="16711" xr:uid="{34C6C674-52D5-4B4B-A3B7-D843B4C46E22}"/>
    <cellStyle name="Syöttö 5 14" xfId="16712" xr:uid="{1AD1D47E-57C9-4C72-8837-EC4F3676ECB7}"/>
    <cellStyle name="Syöttö 5 15" xfId="16713" xr:uid="{ED5D1685-FB8D-41D5-89B8-B5610B55A2F0}"/>
    <cellStyle name="Syöttö 5 16" xfId="16714" xr:uid="{AD069F18-71DF-467A-84F2-D3A27F38D630}"/>
    <cellStyle name="Syöttö 5 17" xfId="16715" xr:uid="{4B265F59-56CD-4364-BB6E-C34EE5038E22}"/>
    <cellStyle name="Syöttö 5 18" xfId="16716" xr:uid="{9B897929-FD96-4299-AA05-A4CF81DDB454}"/>
    <cellStyle name="Syöttö 5 19" xfId="16717" xr:uid="{045326A0-CA34-4E15-9C54-69B441C2AF55}"/>
    <cellStyle name="Syöttö 5 19 2" xfId="16718" xr:uid="{BD7BC786-2E64-4D1F-A6F7-BAF3CB490BE0}"/>
    <cellStyle name="Syöttö 5 19_2013" xfId="16719" xr:uid="{1474C239-A477-4ABF-B913-EDB4229F75FB}"/>
    <cellStyle name="Syöttö 5 2" xfId="16720" xr:uid="{68AAF44C-A16D-4DE1-9C52-358970B53273}"/>
    <cellStyle name="Syöttö 5 2 10" xfId="16721" xr:uid="{054056A6-D15A-4EDF-A2A2-5AA1CDCD4539}"/>
    <cellStyle name="Syöttö 5 2 11" xfId="16722" xr:uid="{84589DF3-B282-4CE6-9BF0-01FE50BAE5D1}"/>
    <cellStyle name="Syöttö 5 2 12" xfId="16723" xr:uid="{829FD7AC-8AE5-4028-B095-0D80C17ED5C2}"/>
    <cellStyle name="Syöttö 5 2 13" xfId="16724" xr:uid="{84E50610-E68A-438A-BE5B-9B56C77506FD}"/>
    <cellStyle name="Syöttö 5 2 14" xfId="16725" xr:uid="{8B732962-BD9D-47A2-A977-993923A24F58}"/>
    <cellStyle name="Syöttö 5 2 15" xfId="16726" xr:uid="{8560E6C1-8918-4592-8F4A-135FCA3A1499}"/>
    <cellStyle name="Syöttö 5 2 16" xfId="16727" xr:uid="{D34D31BF-16B8-4AF7-8E38-B16038906565}"/>
    <cellStyle name="Syöttö 5 2 17" xfId="16728" xr:uid="{7441B836-6126-4E8B-9195-0AC4FC12212F}"/>
    <cellStyle name="Syöttö 5 2 18" xfId="16729" xr:uid="{61A06F0D-CA12-4425-B6C0-E909C1B4EE51}"/>
    <cellStyle name="Syöttö 5 2 18 2" xfId="16730" xr:uid="{26F92754-641E-4BB5-9A2A-5107CC35DFF1}"/>
    <cellStyle name="Syöttö 5 2 18_2013" xfId="16731" xr:uid="{B279EE93-055A-4233-86AD-CEA92F8EF7A0}"/>
    <cellStyle name="Syöttö 5 2 19" xfId="16732" xr:uid="{556FD695-25E7-4DF5-AAB3-08529F183879}"/>
    <cellStyle name="Syöttö 5 2 2" xfId="16733" xr:uid="{12AAFFBA-D7AC-48CD-A7D9-EA31EE03454C}"/>
    <cellStyle name="Syöttö 5 2 3" xfId="16734" xr:uid="{74BD6704-20CE-49C9-A94B-9D1D5EDAC396}"/>
    <cellStyle name="Syöttö 5 2 4" xfId="16735" xr:uid="{28C8A64C-B193-4A3F-973B-91412072DFEF}"/>
    <cellStyle name="Syöttö 5 2 5" xfId="16736" xr:uid="{1BA01F49-3677-4D79-9953-1DBC5F4AD3BA}"/>
    <cellStyle name="Syöttö 5 2 6" xfId="16737" xr:uid="{7122920F-12B1-4F39-A56F-AB3281885BB2}"/>
    <cellStyle name="Syöttö 5 2 7" xfId="16738" xr:uid="{D8A8B201-97E0-4FCB-9784-3B85819A86CE}"/>
    <cellStyle name="Syöttö 5 2 8" xfId="16739" xr:uid="{E40BE0FC-5907-4D4E-9C51-04972898B529}"/>
    <cellStyle name="Syöttö 5 2 9" xfId="16740" xr:uid="{27BEDD6A-9251-4F36-B70A-69DA2CEB5E8A}"/>
    <cellStyle name="Syöttö 5 2_2013" xfId="16741" xr:uid="{E5056753-E962-4CA2-9A7C-193E2D44256D}"/>
    <cellStyle name="Syöttö 5 20" xfId="16742" xr:uid="{8D71C252-0B5E-4774-810E-15B38E06B808}"/>
    <cellStyle name="Syöttö 5 3" xfId="16743" xr:uid="{EB4913D1-4644-4511-9BD6-45D98EDD634E}"/>
    <cellStyle name="Syöttö 5 4" xfId="16744" xr:uid="{8D2BE1E0-C1BC-4713-9BBB-6BE1F728EC1F}"/>
    <cellStyle name="Syöttö 5 5" xfId="16745" xr:uid="{CE3022B9-F8CD-4A83-B3F7-9CA71467EC21}"/>
    <cellStyle name="Syöttö 5 6" xfId="16746" xr:uid="{D66CDC81-9852-457B-ADB2-6ABD0BE832EA}"/>
    <cellStyle name="Syöttö 5 7" xfId="16747" xr:uid="{C57A470A-D8A0-4E8A-B277-31636EF97546}"/>
    <cellStyle name="Syöttö 5 8" xfId="16748" xr:uid="{F18293B1-B71A-44E9-9399-CE6D4A90F5A9}"/>
    <cellStyle name="Syöttö 5 9" xfId="16749" xr:uid="{D2724E99-1700-465F-8661-786A65D9087A}"/>
    <cellStyle name="Syöttö 5_2013" xfId="16750" xr:uid="{FC5A6D70-C015-46A1-85C6-004DE36E9F24}"/>
    <cellStyle name="Syöttö 6" xfId="16751" xr:uid="{17D49B59-F407-4AA0-9FB5-5E6608EFAA9C}"/>
    <cellStyle name="Syöttö 6 10" xfId="16752" xr:uid="{BB9491C0-35C5-4E56-A6DF-E69A541439C4}"/>
    <cellStyle name="Syöttö 6 11" xfId="16753" xr:uid="{03325D97-69C3-4325-9229-8B16AE661A35}"/>
    <cellStyle name="Syöttö 6 12" xfId="16754" xr:uid="{6A27B0AD-D7F2-4D91-9D5B-245CF3E62DD3}"/>
    <cellStyle name="Syöttö 6 13" xfId="16755" xr:uid="{A99C772D-2214-4836-AD9F-33D2CD629343}"/>
    <cellStyle name="Syöttö 6 14" xfId="16756" xr:uid="{0D3B750F-58A1-4F30-8EA3-2CE14CFF8B15}"/>
    <cellStyle name="Syöttö 6 15" xfId="16757" xr:uid="{FB6D812F-4D18-448E-B58F-10C28CCBC850}"/>
    <cellStyle name="Syöttö 6 16" xfId="16758" xr:uid="{773589EF-7B73-4AE3-B254-3D8EC3883E98}"/>
    <cellStyle name="Syöttö 6 17" xfId="16759" xr:uid="{B4A71C4F-B61F-41E9-BAC2-8812750E4C4E}"/>
    <cellStyle name="Syöttö 6 18" xfId="16760" xr:uid="{7BAC453F-2A0D-47A1-BA07-214B2EF0BC99}"/>
    <cellStyle name="Syöttö 6 19" xfId="16761" xr:uid="{31BCDA82-74AE-4E1F-B31C-52A2EF318184}"/>
    <cellStyle name="Syöttö 6 19 2" xfId="16762" xr:uid="{AEB4560B-E145-4C2C-83A8-858918E61873}"/>
    <cellStyle name="Syöttö 6 19_2013" xfId="16763" xr:uid="{0D926408-11D2-48D3-8E1E-2C22987AC08E}"/>
    <cellStyle name="Syöttö 6 2" xfId="16764" xr:uid="{EC122532-F83A-4502-A320-EDE86E332A75}"/>
    <cellStyle name="Syöttö 6 2 10" xfId="16765" xr:uid="{AF9CF613-671B-43DB-AC54-5B267E159BB3}"/>
    <cellStyle name="Syöttö 6 2 11" xfId="16766" xr:uid="{8CB87250-9052-468F-8FBC-B861E0B7F063}"/>
    <cellStyle name="Syöttö 6 2 12" xfId="16767" xr:uid="{0582B7B3-3636-4300-8D4B-CD803E370ADB}"/>
    <cellStyle name="Syöttö 6 2 13" xfId="16768" xr:uid="{48B2FDB7-9C32-487C-A701-D9ECD772FDC2}"/>
    <cellStyle name="Syöttö 6 2 14" xfId="16769" xr:uid="{CAF12811-138F-4548-9DDF-9FE6E572D037}"/>
    <cellStyle name="Syöttö 6 2 15" xfId="16770" xr:uid="{75C04D93-D435-4E89-9E62-C1F0D6AE0BC8}"/>
    <cellStyle name="Syöttö 6 2 16" xfId="16771" xr:uid="{D71E8B25-84BD-4888-B5F1-80072F89BC9A}"/>
    <cellStyle name="Syöttö 6 2 17" xfId="16772" xr:uid="{383627A8-57FC-47A9-A9D6-00AA354A1B9A}"/>
    <cellStyle name="Syöttö 6 2 18" xfId="16773" xr:uid="{9C1B5D39-38CA-44F9-A4C1-6C63090FFDF2}"/>
    <cellStyle name="Syöttö 6 2 18 2" xfId="16774" xr:uid="{A56E1835-3F5B-4D55-AA49-40E91E2DE2AD}"/>
    <cellStyle name="Syöttö 6 2 18_2013" xfId="16775" xr:uid="{CABF259A-252F-4649-891F-8D6F5BB047CF}"/>
    <cellStyle name="Syöttö 6 2 19" xfId="16776" xr:uid="{17C4A4F4-9E6C-4100-9EDB-20E7F8BA1BA4}"/>
    <cellStyle name="Syöttö 6 2 2" xfId="16777" xr:uid="{1FDF31D0-8356-4A47-A174-701CCF944A7F}"/>
    <cellStyle name="Syöttö 6 2 3" xfId="16778" xr:uid="{CC097A2A-C572-4B61-B65D-18F40D8084A1}"/>
    <cellStyle name="Syöttö 6 2 4" xfId="16779" xr:uid="{E8A33946-B3A6-417A-9EB4-7B2B432FD94A}"/>
    <cellStyle name="Syöttö 6 2 5" xfId="16780" xr:uid="{DDC560C3-A49B-4752-83FF-52580FFB522F}"/>
    <cellStyle name="Syöttö 6 2 6" xfId="16781" xr:uid="{4B445AC9-22A2-419D-9294-E8851798FAB2}"/>
    <cellStyle name="Syöttö 6 2 7" xfId="16782" xr:uid="{E7AA94A0-B448-47CF-9A8D-B0A8A458A488}"/>
    <cellStyle name="Syöttö 6 2 8" xfId="16783" xr:uid="{E33D4FD8-AE10-4D60-83CD-50BAE12D64C9}"/>
    <cellStyle name="Syöttö 6 2 9" xfId="16784" xr:uid="{306D7C72-C77C-47C7-BA2D-4DFFE1498815}"/>
    <cellStyle name="Syöttö 6 2_2013" xfId="16785" xr:uid="{59E9EF74-C44B-4185-B615-9BB67205DCFC}"/>
    <cellStyle name="Syöttö 6 20" xfId="16786" xr:uid="{69753595-1DE2-49C5-A8E7-E619F22587C8}"/>
    <cellStyle name="Syöttö 6 3" xfId="16787" xr:uid="{54A870A9-D997-4A69-8EAF-B4AA3F9A97C8}"/>
    <cellStyle name="Syöttö 6 4" xfId="16788" xr:uid="{F01AB478-C849-4038-9E8A-0A2B2B7F6C66}"/>
    <cellStyle name="Syöttö 6 5" xfId="16789" xr:uid="{ED697833-0B24-47F5-9C0A-18FAED76F6CE}"/>
    <cellStyle name="Syöttö 6 6" xfId="16790" xr:uid="{6759B1CE-CF45-4A8F-BA35-59005D8B7D14}"/>
    <cellStyle name="Syöttö 6 7" xfId="16791" xr:uid="{EABFB2F4-DB4B-4162-B311-65D2D2EC40F6}"/>
    <cellStyle name="Syöttö 6 8" xfId="16792" xr:uid="{C4E82606-15B9-4CA9-9727-F12202F4283B}"/>
    <cellStyle name="Syöttö 6 9" xfId="16793" xr:uid="{484B917E-F5D3-49A9-8C50-400F162700FE}"/>
    <cellStyle name="Syöttö 6_2013" xfId="16794" xr:uid="{E91F439C-80F1-4B90-9755-445D4056424E}"/>
    <cellStyle name="Syöttö 7" xfId="16795" xr:uid="{3A738911-549A-4ABE-ADDC-80FE0A967947}"/>
    <cellStyle name="Syöttö 7 10" xfId="16796" xr:uid="{6D37A316-D565-4C75-A5CA-734326C888E1}"/>
    <cellStyle name="Syöttö 7 11" xfId="16797" xr:uid="{5E3141D2-D056-4C50-91FF-745F49959E4C}"/>
    <cellStyle name="Syöttö 7 12" xfId="16798" xr:uid="{C6508620-508C-472F-AF6C-FE8CF9B0E121}"/>
    <cellStyle name="Syöttö 7 13" xfId="16799" xr:uid="{78F1534E-D431-4104-89FF-A0E8D362C64C}"/>
    <cellStyle name="Syöttö 7 14" xfId="16800" xr:uid="{0E7DA3E5-BCCD-4B5E-B818-9A3751BF7AE3}"/>
    <cellStyle name="Syöttö 7 15" xfId="16801" xr:uid="{7141008E-7F14-46FA-A447-2B15363E6B31}"/>
    <cellStyle name="Syöttö 7 16" xfId="16802" xr:uid="{1B68D166-9720-4447-973A-E891149991D2}"/>
    <cellStyle name="Syöttö 7 17" xfId="16803" xr:uid="{E9E3C228-04A5-472C-95C1-9F8881832244}"/>
    <cellStyle name="Syöttö 7 18" xfId="16804" xr:uid="{52431FC7-70C8-422E-9BB4-8F4ED4C7348C}"/>
    <cellStyle name="Syöttö 7 19" xfId="16805" xr:uid="{48C305C4-FF02-445C-B5F3-1ED6864D4D6B}"/>
    <cellStyle name="Syöttö 7 19 2" xfId="16806" xr:uid="{E170316A-F409-4506-97E8-359E9EDF2151}"/>
    <cellStyle name="Syöttö 7 19_2013" xfId="16807" xr:uid="{800E4276-18E4-4C1B-B28F-DC2C03FF3718}"/>
    <cellStyle name="Syöttö 7 2" xfId="16808" xr:uid="{21167B3E-02A1-4BFD-93D0-3C2513AB3F65}"/>
    <cellStyle name="Syöttö 7 2 10" xfId="16809" xr:uid="{C432722F-E1AD-429A-BB22-53EEE063AC43}"/>
    <cellStyle name="Syöttö 7 2 11" xfId="16810" xr:uid="{D3EBB24D-40B7-475A-B531-27D86C0C85CD}"/>
    <cellStyle name="Syöttö 7 2 12" xfId="16811" xr:uid="{FBEE7811-5673-49EF-B9CA-2EE496B430A3}"/>
    <cellStyle name="Syöttö 7 2 13" xfId="16812" xr:uid="{EAEC6AFA-FF6A-4A1F-BEBB-0D61754EEE80}"/>
    <cellStyle name="Syöttö 7 2 14" xfId="16813" xr:uid="{26216634-BBF6-4CBA-AE43-231E24ACB607}"/>
    <cellStyle name="Syöttö 7 2 15" xfId="16814" xr:uid="{EE5AECE9-0DEC-48A7-A09D-0B5A0D44C7CB}"/>
    <cellStyle name="Syöttö 7 2 16" xfId="16815" xr:uid="{7DD7671C-522D-4609-BA14-FCDD3D0271F2}"/>
    <cellStyle name="Syöttö 7 2 17" xfId="16816" xr:uid="{70D6D938-E0D0-4D4D-A7FC-F97EB1CAC061}"/>
    <cellStyle name="Syöttö 7 2 18" xfId="16817" xr:uid="{B30BCC08-065A-4931-A3DA-4C3B69FC9960}"/>
    <cellStyle name="Syöttö 7 2 18 2" xfId="16818" xr:uid="{AE065FE6-3765-4D0C-B056-927EF213969B}"/>
    <cellStyle name="Syöttö 7 2 18_2013" xfId="16819" xr:uid="{74EE0005-8B34-4E24-BD87-9A795A445832}"/>
    <cellStyle name="Syöttö 7 2 19" xfId="16820" xr:uid="{A7E4E5AD-0569-49A1-B45C-9D38D73DE679}"/>
    <cellStyle name="Syöttö 7 2 2" xfId="16821" xr:uid="{F2C3E6E2-429C-4380-90F6-BAB828308E2A}"/>
    <cellStyle name="Syöttö 7 2 3" xfId="16822" xr:uid="{65A6D8F0-B921-45AC-A76A-5FE8F7C621D1}"/>
    <cellStyle name="Syöttö 7 2 4" xfId="16823" xr:uid="{5449F2EF-35B6-47D9-AF38-7AE4E459BA0F}"/>
    <cellStyle name="Syöttö 7 2 5" xfId="16824" xr:uid="{2AFCC742-AD7D-4606-8DB8-2E77C1C6C8AD}"/>
    <cellStyle name="Syöttö 7 2 6" xfId="16825" xr:uid="{53BF3ADA-D90D-42C7-9047-0E46CB896870}"/>
    <cellStyle name="Syöttö 7 2 7" xfId="16826" xr:uid="{F18D0F5B-D1F2-4154-B5ED-D23D8F705161}"/>
    <cellStyle name="Syöttö 7 2 8" xfId="16827" xr:uid="{4155E225-CB6A-4538-8A1C-7EF9E4F90915}"/>
    <cellStyle name="Syöttö 7 2 9" xfId="16828" xr:uid="{3E0AD19F-DB5D-4992-8989-EEABAC529F5D}"/>
    <cellStyle name="Syöttö 7 2_2013" xfId="16829" xr:uid="{454BEF82-9CCA-48AA-8E2F-91EE321BDB06}"/>
    <cellStyle name="Syöttö 7 20" xfId="16830" xr:uid="{15A49F41-EFC6-4A3B-B6C8-2003BC09E451}"/>
    <cellStyle name="Syöttö 7 3" xfId="16831" xr:uid="{1CCE67D5-87DE-4A4E-B906-A1091656A4B2}"/>
    <cellStyle name="Syöttö 7 4" xfId="16832" xr:uid="{D4C2DF89-C350-4010-ADE3-5595FC6F1945}"/>
    <cellStyle name="Syöttö 7 5" xfId="16833" xr:uid="{7FC9C2A8-F90A-4FD9-866C-E37F80CDAC01}"/>
    <cellStyle name="Syöttö 7 6" xfId="16834" xr:uid="{AE769AFC-8528-4CDD-A643-28B0EE63D9F7}"/>
    <cellStyle name="Syöttö 7 7" xfId="16835" xr:uid="{33D6A378-8C00-4FBC-916A-832546F8C7AE}"/>
    <cellStyle name="Syöttö 7 8" xfId="16836" xr:uid="{50B77E99-3CA4-46A0-83E1-80661EC8209B}"/>
    <cellStyle name="Syöttö 7 9" xfId="16837" xr:uid="{1A2F24A1-D3B3-4DEB-ABEB-A3507BF4354E}"/>
    <cellStyle name="Syöttö 7_2013" xfId="16838" xr:uid="{A0ADC3C5-9564-4EF9-8E25-E6F188DA943F}"/>
    <cellStyle name="Syöttö 8" xfId="16839" xr:uid="{A56AE6A5-47A0-41B5-B7B7-B11460BE4562}"/>
    <cellStyle name="Syöttö 8 10" xfId="16840" xr:uid="{10F49751-C932-41AA-B36F-042EFA5425F8}"/>
    <cellStyle name="Syöttö 8 11" xfId="16841" xr:uid="{A8A9F52E-8728-4191-8870-22444FBEC202}"/>
    <cellStyle name="Syöttö 8 12" xfId="16842" xr:uid="{0A916D27-ABE7-4258-B82B-1B1CB70994FB}"/>
    <cellStyle name="Syöttö 8 13" xfId="16843" xr:uid="{6E07A816-1578-4295-9947-E5CD3EA0D51A}"/>
    <cellStyle name="Syöttö 8 14" xfId="16844" xr:uid="{CDEEE745-4E2B-456D-B253-7B5E5038FF2F}"/>
    <cellStyle name="Syöttö 8 15" xfId="16845" xr:uid="{BE454679-5A59-466C-9E81-F6967CEE453A}"/>
    <cellStyle name="Syöttö 8 16" xfId="16846" xr:uid="{4DE1FDFD-1522-4DC4-9E8E-F1D9AB79B61C}"/>
    <cellStyle name="Syöttö 8 17" xfId="16847" xr:uid="{1A99757E-5C3F-4635-9B01-8E52A764047C}"/>
    <cellStyle name="Syöttö 8 18" xfId="16848" xr:uid="{A55BFFB5-FD62-4C8E-9B93-DE0CD497B223}"/>
    <cellStyle name="Syöttö 8 18 2" xfId="16849" xr:uid="{8B40E553-45A0-4FD3-9CE2-DF19349DE07C}"/>
    <cellStyle name="Syöttö 8 18_2013" xfId="16850" xr:uid="{38DAC884-F2A9-4C5E-A10B-5B0C0D390E48}"/>
    <cellStyle name="Syöttö 8 19" xfId="16851" xr:uid="{E55C58C0-9D4C-4B96-93B1-5403A0A746E5}"/>
    <cellStyle name="Syöttö 8 2" xfId="16852" xr:uid="{FE04BB89-021C-4593-AA98-A03FE27A508C}"/>
    <cellStyle name="Syöttö 8 3" xfId="16853" xr:uid="{1EF8914D-959F-4BDC-9D7D-6D73015D07F0}"/>
    <cellStyle name="Syöttö 8 4" xfId="16854" xr:uid="{D864D53C-99FF-4E9B-846B-075FB2949A70}"/>
    <cellStyle name="Syöttö 8 5" xfId="16855" xr:uid="{70C524F1-9EF6-4747-AE9C-98A58B5E94E3}"/>
    <cellStyle name="Syöttö 8 6" xfId="16856" xr:uid="{B1ADF697-BDF1-4070-B617-D5785BD39BC6}"/>
    <cellStyle name="Syöttö 8 7" xfId="16857" xr:uid="{E47F67BD-56D3-44E1-B853-592A4B99E1D7}"/>
    <cellStyle name="Syöttö 8 8" xfId="16858" xr:uid="{87F279C8-0753-4314-A99A-4C8E57E4D766}"/>
    <cellStyle name="Syöttö 8 9" xfId="16859" xr:uid="{42F9D3DB-E07B-4F80-9E66-BDA00CA4DEC4}"/>
    <cellStyle name="Syöttö 8_2013" xfId="16860" xr:uid="{5743B68C-F647-4A8E-A705-D5C35B85F6DD}"/>
    <cellStyle name="Syöttö 9" xfId="16861" xr:uid="{4BEA70EE-22C8-4F8E-879F-23F6A63373D2}"/>
    <cellStyle name="Syöttö_2013" xfId="16862" xr:uid="{BC463FF8-7610-415F-821B-4914F4F2618A}"/>
    <cellStyle name="Tarkistussolu" xfId="16863" xr:uid="{BF0365DE-E8B8-451E-AE2B-7099E395801B}"/>
    <cellStyle name="Tarkistussolu 2" xfId="16864" xr:uid="{D0AE998F-3DBA-42E4-BE5F-ABDC723F71E0}"/>
    <cellStyle name="Tarkistussolu_2013" xfId="16865" xr:uid="{7BDEF2E3-0957-4A5F-B147-D574D3D929B2}"/>
    <cellStyle name="Testo avviso" xfId="16866" xr:uid="{792EC656-0D08-4BD9-9077-AAE9CCB100B3}"/>
    <cellStyle name="Testo descrittivo" xfId="16867" xr:uid="{F44F82C4-7281-44DA-883A-48B6A4615A0B}"/>
    <cellStyle name="Texto de Aviso" xfId="16868" xr:uid="{F214ABE6-8532-4AC1-B6A8-A3FBAC520653}"/>
    <cellStyle name="Texto de Aviso 2" xfId="16869" xr:uid="{7A400A14-7221-4D0E-808D-F6C3DDF30384}"/>
    <cellStyle name="Texto de Aviso_2013" xfId="16870" xr:uid="{84A18B87-46AC-472B-8668-F334B5EC7826}"/>
    <cellStyle name="Texto Explicativo" xfId="16871" xr:uid="{DAFCBBAC-D2F7-43C9-8327-E9B9ACD9A809}"/>
    <cellStyle name="Texto Explicativo 2" xfId="16872" xr:uid="{56D11AD9-6B97-4A9B-B125-48CDFBF23EE1}"/>
    <cellStyle name="Texto Explicativo_2013" xfId="16873" xr:uid="{E964A114-AB21-4334-B057-9C021F259F0A}"/>
    <cellStyle name="Title 2" xfId="16874" xr:uid="{ED613236-70A7-42D3-9C6A-AB3311AC8B2B}"/>
    <cellStyle name="Title 2 2" xfId="16875" xr:uid="{606D6DC0-BA4F-448D-AC66-69DFCC02E223}"/>
    <cellStyle name="Title 2 2 2" xfId="16876" xr:uid="{9C99ABEF-1785-4A97-9BFB-6898E0C0CE9E}"/>
    <cellStyle name="Title 2 2_2013" xfId="16877" xr:uid="{98F3F416-41A8-4837-9F17-6E3FC9D9209B}"/>
    <cellStyle name="Title 2 3" xfId="16878" xr:uid="{355CCF3B-F168-4DC8-9BCB-97B8A35EFB28}"/>
    <cellStyle name="Title 2 3 2" xfId="16879" xr:uid="{5372BA89-9E05-4344-B536-CAD452A6D981}"/>
    <cellStyle name="Title 2 3_2013" xfId="16880" xr:uid="{6B1DD083-4260-47F7-8D6A-4680873D8887}"/>
    <cellStyle name="Title 2 4" xfId="16881" xr:uid="{2B6A2E08-FA70-4EC0-BF9B-5291C399D82A}"/>
    <cellStyle name="Title 2 5" xfId="16882" xr:uid="{BFE92CBC-2A2E-47D1-8A23-B4497DD34D2A}"/>
    <cellStyle name="Title 2_2013" xfId="16883" xr:uid="{0AC5BE8B-3AFA-4B4E-BABD-B0D28A9BA800}"/>
    <cellStyle name="Title 3" xfId="16884" xr:uid="{D6119003-0123-4DDF-9176-6ED86E41F97C}"/>
    <cellStyle name="Titolo" xfId="16885" xr:uid="{401521AF-B77B-4555-91D6-82B4D395DF26}"/>
    <cellStyle name="Titolo 1" xfId="16886" xr:uid="{9F72C0E1-DCBC-4F61-B2B5-C3796EB5E3CC}"/>
    <cellStyle name="Titolo 2" xfId="16887" xr:uid="{98D5CC75-8070-4AA3-8347-D8417661B55D}"/>
    <cellStyle name="Titolo 3" xfId="16888" xr:uid="{0E58AE28-0CE7-4B18-9804-DDD49DB7E6D7}"/>
    <cellStyle name="Titolo 4" xfId="16889" xr:uid="{3D5BD6CF-22EC-4CAA-91D7-E9746B2B9D75}"/>
    <cellStyle name="Titolo_2013" xfId="16890" xr:uid="{F916D555-EB0B-458B-B8B9-C52F158D25D7}"/>
    <cellStyle name="Título" xfId="16891" xr:uid="{9070A518-5FA6-41A6-8F57-6C11B9FEC68E}"/>
    <cellStyle name="Título 2" xfId="16892" xr:uid="{72FE427F-143F-40A6-9594-56348ED80DE5}"/>
    <cellStyle name="Título_2013" xfId="16893" xr:uid="{418E28F8-C428-48D2-9231-4E019C5346D5}"/>
    <cellStyle name="To check" xfId="16894" xr:uid="{95AF79DD-4FDC-42C1-B412-F7A378AF0F8A}"/>
    <cellStyle name="To check 2" xfId="16895" xr:uid="{423F3880-ACCE-4173-BF14-E4E6284FD239}"/>
    <cellStyle name="To check 2 2" xfId="16896" xr:uid="{FE39888A-402B-4E25-AC8A-1EA0E4C1953C}"/>
    <cellStyle name="To check 2_2013" xfId="16897" xr:uid="{1140FFF1-239C-45A7-9C9A-B84D313B5BAD}"/>
    <cellStyle name="To check 3" xfId="16898" xr:uid="{FF262E10-CC5B-414E-979B-21DD97B87DDC}"/>
    <cellStyle name="To check_2013" xfId="16899" xr:uid="{A84CFBA3-17FB-484E-B644-4B5DF1FE7AB1}"/>
    <cellStyle name="Total 10" xfId="16900" xr:uid="{7363F7B7-04F0-49C9-8781-343D8864ED27}"/>
    <cellStyle name="Total 2" xfId="16901" xr:uid="{81C9942A-761D-42A1-9842-2AA1A33C0F7A}"/>
    <cellStyle name="Total 2 10" xfId="16902" xr:uid="{C499CC9B-339C-44F6-8047-3EE60E9C3826}"/>
    <cellStyle name="Total 2 11" xfId="16903" xr:uid="{D87CB6B8-5FBB-4970-9CB8-E42F5687DA56}"/>
    <cellStyle name="Total 2 12" xfId="16904" xr:uid="{187862EC-1CB1-4602-B7A9-FBC3CFE6B551}"/>
    <cellStyle name="Total 2 13" xfId="16905" xr:uid="{99ECBFD9-63B2-42B2-BF53-3265A3BA0AE9}"/>
    <cellStyle name="Total 2 14" xfId="16906" xr:uid="{B38C997C-1DC4-4F45-B43A-DF83E4B3C0EC}"/>
    <cellStyle name="Total 2 15" xfId="16907" xr:uid="{A47D7727-7D77-4354-8F15-130E7BE64F1C}"/>
    <cellStyle name="Total 2 16" xfId="16908" xr:uid="{DAE82252-445C-47B9-BAF9-55BB861AB966}"/>
    <cellStyle name="Total 2 17" xfId="16909" xr:uid="{2D182B5A-E1D4-409C-9309-7BF26A202742}"/>
    <cellStyle name="Total 2 18" xfId="16910" xr:uid="{3E80D3E5-F45D-46ED-B5E4-D15F2EB2006A}"/>
    <cellStyle name="Total 2 19" xfId="16911" xr:uid="{36C9B6C1-2AA1-4C46-A4D2-DE553E5F8904}"/>
    <cellStyle name="Total 2 2" xfId="16912" xr:uid="{A566C2AA-6F25-4D35-8D98-19929CB399C5}"/>
    <cellStyle name="Total 2 2 10" xfId="16913" xr:uid="{10BF2E1F-B118-48A1-8238-80E433B0FFFC}"/>
    <cellStyle name="Total 2 2 11" xfId="16914" xr:uid="{F2274AC9-613E-4AE8-A428-485F0054FB32}"/>
    <cellStyle name="Total 2 2 12" xfId="16915" xr:uid="{144BEA39-934A-4EC0-AFC0-28DC31DB9A0C}"/>
    <cellStyle name="Total 2 2 13" xfId="16916" xr:uid="{AB271729-5B34-41C5-A886-B94EB38F4E85}"/>
    <cellStyle name="Total 2 2 14" xfId="16917" xr:uid="{CB8B64E8-2EB2-45B6-AB07-1AC5DA1256F7}"/>
    <cellStyle name="Total 2 2 15" xfId="16918" xr:uid="{AE80A26B-49AB-459A-8B7F-E98E863BC00A}"/>
    <cellStyle name="Total 2 2 16" xfId="16919" xr:uid="{A7032060-4426-45C1-AD8F-FB7436363485}"/>
    <cellStyle name="Total 2 2 17" xfId="16920" xr:uid="{EDB8F0A8-238D-46E4-A4F1-94B56F3F7CC3}"/>
    <cellStyle name="Total 2 2 18" xfId="16921" xr:uid="{66F91D5C-0A4E-416F-854D-E2E0BF574FE1}"/>
    <cellStyle name="Total 2 2 19" xfId="16922" xr:uid="{4602DB36-E109-4E51-B497-07A402810088}"/>
    <cellStyle name="Total 2 2 2" xfId="16923" xr:uid="{F833ED70-B919-4D7C-8EAD-042A467EF211}"/>
    <cellStyle name="Total 2 2 2 10" xfId="16924" xr:uid="{BC201CC7-6048-497D-AB9E-B0801B684CA0}"/>
    <cellStyle name="Total 2 2 2 11" xfId="16925" xr:uid="{68774FB3-0FFE-4E4B-9EB6-8162BF2567CD}"/>
    <cellStyle name="Total 2 2 2 12" xfId="16926" xr:uid="{DE8D1F30-5619-420E-B3D5-E9A0791989E8}"/>
    <cellStyle name="Total 2 2 2 13" xfId="16927" xr:uid="{D5E06B95-DBE8-43AA-B22A-4CE972A24CD4}"/>
    <cellStyle name="Total 2 2 2 14" xfId="16928" xr:uid="{810ABC8A-057A-4615-B0DA-9434B6A15D3F}"/>
    <cellStyle name="Total 2 2 2 15" xfId="16929" xr:uid="{CB532328-2981-4B5E-8D4B-9C15809B57C8}"/>
    <cellStyle name="Total 2 2 2 16" xfId="16930" xr:uid="{02EA67B3-EFE5-40F4-A403-8D9A7F132E55}"/>
    <cellStyle name="Total 2 2 2 17" xfId="16931" xr:uid="{A42E14A3-AFC1-459B-934A-B88D37854924}"/>
    <cellStyle name="Total 2 2 2 18" xfId="16932" xr:uid="{015529FA-4638-40CE-BEA5-49B0EA7F3811}"/>
    <cellStyle name="Total 2 2 2 19" xfId="16933" xr:uid="{59DA4F26-761D-49F9-946E-40AEE3F490AC}"/>
    <cellStyle name="Total 2 2 2 2" xfId="16934" xr:uid="{4B0C1FF4-789E-4BE2-AF15-AB0E7E4555AF}"/>
    <cellStyle name="Total 2 2 2 2 10" xfId="16935" xr:uid="{61F42189-175E-4305-81DE-B8F3F06D27E2}"/>
    <cellStyle name="Total 2 2 2 2 11" xfId="16936" xr:uid="{D403DE9E-52F8-427E-BEFD-312FB8A24A54}"/>
    <cellStyle name="Total 2 2 2 2 12" xfId="16937" xr:uid="{60876CE1-192D-417A-B892-4FE3DEDBE681}"/>
    <cellStyle name="Total 2 2 2 2 13" xfId="16938" xr:uid="{82B204F2-1454-4BD1-97C0-3FAD843648F6}"/>
    <cellStyle name="Total 2 2 2 2 14" xfId="16939" xr:uid="{67BA912E-AA51-4037-B5C4-C529BA0D56CB}"/>
    <cellStyle name="Total 2 2 2 2 15" xfId="16940" xr:uid="{88C9BABB-CDE2-45C4-9D7B-D089640AA14C}"/>
    <cellStyle name="Total 2 2 2 2 16" xfId="16941" xr:uid="{487DF184-64EC-4149-AA89-09CCE5DDC1D3}"/>
    <cellStyle name="Total 2 2 2 2 17" xfId="16942" xr:uid="{1BDBC171-9124-4B2F-87DF-B004DF8AB4AB}"/>
    <cellStyle name="Total 2 2 2 2 18" xfId="16943" xr:uid="{B1966E3E-4CF0-4136-BB0F-2B784F367E85}"/>
    <cellStyle name="Total 2 2 2 2 19" xfId="16944" xr:uid="{171A638F-946E-45C3-9B65-43D64ACAA3E2}"/>
    <cellStyle name="Total 2 2 2 2 2" xfId="16945" xr:uid="{851A2561-2FE2-46D2-9138-95F8856375E6}"/>
    <cellStyle name="Total 2 2 2 2 2 10" xfId="16946" xr:uid="{348B9C1B-F96E-4B48-BCD2-EE906CAE3970}"/>
    <cellStyle name="Total 2 2 2 2 2 11" xfId="16947" xr:uid="{7183B2D9-918B-4705-BBFD-C8B5158E48FD}"/>
    <cellStyle name="Total 2 2 2 2 2 12" xfId="16948" xr:uid="{B78D60DD-B2E1-484E-A8F5-FB8BACA2E803}"/>
    <cellStyle name="Total 2 2 2 2 2 13" xfId="16949" xr:uid="{C11E13A6-40CB-4783-AFE1-F1D1ACF193B3}"/>
    <cellStyle name="Total 2 2 2 2 2 14" xfId="16950" xr:uid="{67953815-4982-48C8-A914-94AD69FE652E}"/>
    <cellStyle name="Total 2 2 2 2 2 15" xfId="16951" xr:uid="{1F97BAFF-051E-4C33-A01E-B53382A30780}"/>
    <cellStyle name="Total 2 2 2 2 2 16" xfId="16952" xr:uid="{666FDFDD-F090-4BD5-B17F-3F030ACB7450}"/>
    <cellStyle name="Total 2 2 2 2 2 17" xfId="16953" xr:uid="{FF987927-DEB7-4A8D-BFED-CB7941E07439}"/>
    <cellStyle name="Total 2 2 2 2 2 18" xfId="16954" xr:uid="{23490022-8C34-4427-8D45-D1F71C161B93}"/>
    <cellStyle name="Total 2 2 2 2 2 19" xfId="16955" xr:uid="{59D91EC6-A2DC-4928-8DA6-4AD27F089D4E}"/>
    <cellStyle name="Total 2 2 2 2 2 2" xfId="16956" xr:uid="{50B0ADBA-8638-47EA-8595-C820B20C4B64}"/>
    <cellStyle name="Total 2 2 2 2 2 3" xfId="16957" xr:uid="{0C3FD82D-36E2-48BE-896B-A616CAB9070D}"/>
    <cellStyle name="Total 2 2 2 2 2 4" xfId="16958" xr:uid="{01D5D620-A122-418B-8C73-5487FA2816EF}"/>
    <cellStyle name="Total 2 2 2 2 2 5" xfId="16959" xr:uid="{7460E93B-C394-4A84-A24D-CAB120650CF8}"/>
    <cellStyle name="Total 2 2 2 2 2 6" xfId="16960" xr:uid="{62ACEB53-0551-475F-8F30-ECDCB8183867}"/>
    <cellStyle name="Total 2 2 2 2 2 7" xfId="16961" xr:uid="{B63CBD36-7C46-483B-B79C-F56D892ABDB2}"/>
    <cellStyle name="Total 2 2 2 2 2 8" xfId="16962" xr:uid="{F61D788C-2D1F-4E40-9A58-7538A7387B28}"/>
    <cellStyle name="Total 2 2 2 2 2 9" xfId="16963" xr:uid="{750EAB30-96CE-4159-A642-F4A60B6B135C}"/>
    <cellStyle name="Total 2 2 2 2 2_2013" xfId="16964" xr:uid="{08151925-7ED5-401F-8A3C-5BBBF7259D9D}"/>
    <cellStyle name="Total 2 2 2 2 20" xfId="16965" xr:uid="{C23DB938-1664-4349-8204-C8E20876E04E}"/>
    <cellStyle name="Total 2 2 2 2 3" xfId="16966" xr:uid="{F82E2DDF-85B8-4452-9AD4-0BE624DDB9F7}"/>
    <cellStyle name="Total 2 2 2 2 4" xfId="16967" xr:uid="{150C6EE6-EE02-4384-9BE9-A906EE3C860D}"/>
    <cellStyle name="Total 2 2 2 2 5" xfId="16968" xr:uid="{3E7ECBCD-DCDA-4FD6-A4C9-C02D76313F25}"/>
    <cellStyle name="Total 2 2 2 2 6" xfId="16969" xr:uid="{AF194C4C-02AA-42B1-AF0B-4A8B9DCB9622}"/>
    <cellStyle name="Total 2 2 2 2 7" xfId="16970" xr:uid="{45C67F55-FD47-4D78-8B5F-A5E8E45DBEBA}"/>
    <cellStyle name="Total 2 2 2 2 8" xfId="16971" xr:uid="{8C7C8AFE-0454-474A-90C1-C4AAC88C87FC}"/>
    <cellStyle name="Total 2 2 2 2 9" xfId="16972" xr:uid="{53198AB3-A872-4383-B2D5-FA21D02399EC}"/>
    <cellStyle name="Total 2 2 2 2_2013" xfId="16973" xr:uid="{DF301BFA-AFCB-4841-B0F9-7FA4EAF8FF94}"/>
    <cellStyle name="Total 2 2 2 20" xfId="16974" xr:uid="{0FE9EED4-A72D-490B-BB5D-A0A22055D88D}"/>
    <cellStyle name="Total 2 2 2 21" xfId="16975" xr:uid="{DF378922-FB78-49D6-967B-E5857CCA4C86}"/>
    <cellStyle name="Total 2 2 2 22" xfId="16976" xr:uid="{C92FDED3-1884-496B-B750-9F1D0BA737C3}"/>
    <cellStyle name="Total 2 2 2 23" xfId="16977" xr:uid="{CDD5B351-5A27-4EBA-BF27-F595AABE3183}"/>
    <cellStyle name="Total 2 2 2 3" xfId="16978" xr:uid="{F81FB784-65D8-4592-B19C-60B9B0DA6F82}"/>
    <cellStyle name="Total 2 2 2 3 10" xfId="16979" xr:uid="{E03ABD7D-4DD9-4EC7-B88A-3812A094A440}"/>
    <cellStyle name="Total 2 2 2 3 11" xfId="16980" xr:uid="{EF38B065-7FF7-43B0-9D35-3DB2146D5A89}"/>
    <cellStyle name="Total 2 2 2 3 12" xfId="16981" xr:uid="{92150BAC-5937-4CB1-8C66-B5B7F2B43EFA}"/>
    <cellStyle name="Total 2 2 2 3 13" xfId="16982" xr:uid="{55ED80C8-AF36-45C8-BA58-12C9E76902BE}"/>
    <cellStyle name="Total 2 2 2 3 14" xfId="16983" xr:uid="{CA4FB44A-98B5-47D9-A254-99034AA6B710}"/>
    <cellStyle name="Total 2 2 2 3 15" xfId="16984" xr:uid="{948759F0-AA6D-4FDE-817C-46A82A0E84BD}"/>
    <cellStyle name="Total 2 2 2 3 16" xfId="16985" xr:uid="{A6A36EF7-CA0E-4060-A9B3-965A366FE621}"/>
    <cellStyle name="Total 2 2 2 3 17" xfId="16986" xr:uid="{0A853C8F-E337-4E98-8F02-BE2B7BAEEC8F}"/>
    <cellStyle name="Total 2 2 2 3 18" xfId="16987" xr:uid="{A6EA51AC-8A75-452E-AA91-379D2EB695CF}"/>
    <cellStyle name="Total 2 2 2 3 19" xfId="16988" xr:uid="{27579353-23ED-41BB-A0E6-FD45AEB4FFBB}"/>
    <cellStyle name="Total 2 2 2 3 2" xfId="16989" xr:uid="{22FAE48E-BB49-494A-ABDA-25EA820B4C8A}"/>
    <cellStyle name="Total 2 2 2 3 2 10" xfId="16990" xr:uid="{79173F67-092E-4A9D-AF66-A46D35211403}"/>
    <cellStyle name="Total 2 2 2 3 2 11" xfId="16991" xr:uid="{7FFCA107-B63A-4C51-91C4-379E84FE0D73}"/>
    <cellStyle name="Total 2 2 2 3 2 12" xfId="16992" xr:uid="{5A212489-34F0-4826-8B1A-76A7CA029A84}"/>
    <cellStyle name="Total 2 2 2 3 2 13" xfId="16993" xr:uid="{B8025376-3AAF-444A-8437-6626AF9EAC9E}"/>
    <cellStyle name="Total 2 2 2 3 2 14" xfId="16994" xr:uid="{08218D1C-2AB8-47AF-9489-586F318A9A7E}"/>
    <cellStyle name="Total 2 2 2 3 2 15" xfId="16995" xr:uid="{3C717D0A-DA22-4DA0-BBFF-F2D99C263E98}"/>
    <cellStyle name="Total 2 2 2 3 2 16" xfId="16996" xr:uid="{D99C9D39-CEF3-4481-92D1-01C857C294DD}"/>
    <cellStyle name="Total 2 2 2 3 2 17" xfId="16997" xr:uid="{C085033B-8524-4253-BC7B-4E15AF6C0BA8}"/>
    <cellStyle name="Total 2 2 2 3 2 18" xfId="16998" xr:uid="{B35C970C-60E1-4D87-9B15-98B7780DE83F}"/>
    <cellStyle name="Total 2 2 2 3 2 19" xfId="16999" xr:uid="{203EDC19-3EDA-441F-B857-28FC138AE35C}"/>
    <cellStyle name="Total 2 2 2 3 2 2" xfId="17000" xr:uid="{01C3D70E-C63B-492D-A40A-606392F54EC8}"/>
    <cellStyle name="Total 2 2 2 3 2 3" xfId="17001" xr:uid="{3C7A555E-7B9B-41FA-8FCB-D8C1346CA509}"/>
    <cellStyle name="Total 2 2 2 3 2 4" xfId="17002" xr:uid="{650056A3-5ED0-436C-8B45-EF165159F152}"/>
    <cellStyle name="Total 2 2 2 3 2 5" xfId="17003" xr:uid="{71D6E046-1732-4B55-B67F-E17977001574}"/>
    <cellStyle name="Total 2 2 2 3 2 6" xfId="17004" xr:uid="{939CA3D9-9070-4587-8214-5B4876F47F29}"/>
    <cellStyle name="Total 2 2 2 3 2 7" xfId="17005" xr:uid="{19B422B4-EFD9-49AE-B02D-6854168A34DF}"/>
    <cellStyle name="Total 2 2 2 3 2 8" xfId="17006" xr:uid="{96FDB3D6-1C8F-469D-A1AA-DCEE61D3AA65}"/>
    <cellStyle name="Total 2 2 2 3 2 9" xfId="17007" xr:uid="{0DF24EF7-EF84-4E98-ADA7-4EFDC74A6822}"/>
    <cellStyle name="Total 2 2 2 3 2_2013" xfId="17008" xr:uid="{0869DF16-178D-4425-8707-9F7DA787E174}"/>
    <cellStyle name="Total 2 2 2 3 20" xfId="17009" xr:uid="{26D4855E-36DB-4910-B439-C221F18439E2}"/>
    <cellStyle name="Total 2 2 2 3 3" xfId="17010" xr:uid="{77CBC795-041D-496C-B6A7-D0F27ACB4DFE}"/>
    <cellStyle name="Total 2 2 2 3 4" xfId="17011" xr:uid="{44CBAD7C-013E-40A1-9F3F-8B581D980219}"/>
    <cellStyle name="Total 2 2 2 3 5" xfId="17012" xr:uid="{2E0A0960-F270-4447-B908-DEF2AA055B83}"/>
    <cellStyle name="Total 2 2 2 3 6" xfId="17013" xr:uid="{C64234AA-603D-4A58-840D-39265F9AC1BF}"/>
    <cellStyle name="Total 2 2 2 3 7" xfId="17014" xr:uid="{09F9B37E-5914-4AD3-BC6D-57F35C7BC3C7}"/>
    <cellStyle name="Total 2 2 2 3 8" xfId="17015" xr:uid="{A6CE9EB7-3162-4A9E-8BA6-DE4771FDA87B}"/>
    <cellStyle name="Total 2 2 2 3 9" xfId="17016" xr:uid="{A44EAA2F-19B4-4A30-A309-FF8E4B66E8D0}"/>
    <cellStyle name="Total 2 2 2 3_2013" xfId="17017" xr:uid="{10147E61-FFAC-4611-9962-57BC7183CB7E}"/>
    <cellStyle name="Total 2 2 2 4" xfId="17018" xr:uid="{1F4EC560-FC34-4A7E-8A35-18AFE96EF9E0}"/>
    <cellStyle name="Total 2 2 2 4 10" xfId="17019" xr:uid="{FEB00CA6-0B45-457B-BFD2-9C0891F87B92}"/>
    <cellStyle name="Total 2 2 2 4 11" xfId="17020" xr:uid="{6B75E801-425A-45F5-9384-1FD1C4D52207}"/>
    <cellStyle name="Total 2 2 2 4 12" xfId="17021" xr:uid="{66AF07E1-D563-462B-8BF5-66BA7AB2823A}"/>
    <cellStyle name="Total 2 2 2 4 13" xfId="17022" xr:uid="{CBAD117D-D8C6-4631-9D7B-E17B3D604F89}"/>
    <cellStyle name="Total 2 2 2 4 14" xfId="17023" xr:uid="{A9B3AB04-EE04-428A-869D-766CC15C6A06}"/>
    <cellStyle name="Total 2 2 2 4 15" xfId="17024" xr:uid="{0F23953C-D271-46B4-AF29-8ED77B8588C9}"/>
    <cellStyle name="Total 2 2 2 4 16" xfId="17025" xr:uid="{6991E73B-776A-4618-B495-0B7180BE96BC}"/>
    <cellStyle name="Total 2 2 2 4 17" xfId="17026" xr:uid="{217EF984-9DE0-44BD-8A92-BDE6AC38717A}"/>
    <cellStyle name="Total 2 2 2 4 18" xfId="17027" xr:uid="{1E5A96BF-E3F7-4B49-A23B-EEDBCA290FEB}"/>
    <cellStyle name="Total 2 2 2 4 19" xfId="17028" xr:uid="{3686A36F-71E1-48D6-B30A-98B8996075B1}"/>
    <cellStyle name="Total 2 2 2 4 2" xfId="17029" xr:uid="{C9B2CFFA-E341-40EC-9CE5-77348C6D0F3C}"/>
    <cellStyle name="Total 2 2 2 4 2 10" xfId="17030" xr:uid="{487C5456-3606-4B81-B799-2C69D412C30D}"/>
    <cellStyle name="Total 2 2 2 4 2 11" xfId="17031" xr:uid="{273CB424-4A17-4E98-A642-3B881E467FAF}"/>
    <cellStyle name="Total 2 2 2 4 2 12" xfId="17032" xr:uid="{6DBF0561-38C7-4ABD-93B4-4316AE9D589F}"/>
    <cellStyle name="Total 2 2 2 4 2 13" xfId="17033" xr:uid="{F86F89FE-C3AC-4A35-A7CC-BA75F4BE8F37}"/>
    <cellStyle name="Total 2 2 2 4 2 14" xfId="17034" xr:uid="{0420CF97-6B4C-4EB4-B02F-53FA7A1A9358}"/>
    <cellStyle name="Total 2 2 2 4 2 15" xfId="17035" xr:uid="{F5330F71-C345-402A-B9CC-FEF64B57D7BF}"/>
    <cellStyle name="Total 2 2 2 4 2 16" xfId="17036" xr:uid="{E3F7349F-AD5B-4DF1-AB39-0259557C02B8}"/>
    <cellStyle name="Total 2 2 2 4 2 17" xfId="17037" xr:uid="{EA11CE75-4301-4458-9718-61E11387DF9B}"/>
    <cellStyle name="Total 2 2 2 4 2 18" xfId="17038" xr:uid="{2B59BBB0-FBED-40D3-B763-182C0AC96A42}"/>
    <cellStyle name="Total 2 2 2 4 2 19" xfId="17039" xr:uid="{2FCB93EA-160A-44D7-9633-4A094C3718DA}"/>
    <cellStyle name="Total 2 2 2 4 2 2" xfId="17040" xr:uid="{94A6D66E-713D-4776-A2FF-B73D7CBF0608}"/>
    <cellStyle name="Total 2 2 2 4 2 3" xfId="17041" xr:uid="{43E40169-E773-486B-9F65-C8F5D2C7152E}"/>
    <cellStyle name="Total 2 2 2 4 2 4" xfId="17042" xr:uid="{695FD910-77FB-45DD-8D54-E48171828B89}"/>
    <cellStyle name="Total 2 2 2 4 2 5" xfId="17043" xr:uid="{2143FA55-4062-4367-AF79-2BC8D0CCABA0}"/>
    <cellStyle name="Total 2 2 2 4 2 6" xfId="17044" xr:uid="{84C66ED4-3726-40D2-A3C5-6EBC622BED47}"/>
    <cellStyle name="Total 2 2 2 4 2 7" xfId="17045" xr:uid="{50B00B01-402F-449A-A6F0-4B2CBF8A5649}"/>
    <cellStyle name="Total 2 2 2 4 2 8" xfId="17046" xr:uid="{07382475-5DF3-44BC-9C5B-EF81B1D2B66A}"/>
    <cellStyle name="Total 2 2 2 4 2 9" xfId="17047" xr:uid="{A7F20B33-93EF-455C-88AF-120BEC5A65D8}"/>
    <cellStyle name="Total 2 2 2 4 2_2013" xfId="17048" xr:uid="{58D7F686-C190-4B5F-BBC1-29057BE0DA66}"/>
    <cellStyle name="Total 2 2 2 4 20" xfId="17049" xr:uid="{4F6B47E1-5512-4F27-8DD2-904E35C926D1}"/>
    <cellStyle name="Total 2 2 2 4 3" xfId="17050" xr:uid="{E4B147CD-D318-41AE-810B-3E0D2DF6B444}"/>
    <cellStyle name="Total 2 2 2 4 4" xfId="17051" xr:uid="{623F7162-2D4B-451B-868E-484CB29B7154}"/>
    <cellStyle name="Total 2 2 2 4 5" xfId="17052" xr:uid="{99CD7185-7BED-4313-B9A6-8B30406D87E4}"/>
    <cellStyle name="Total 2 2 2 4 6" xfId="17053" xr:uid="{76C20629-71F3-44D8-B394-175F656EFBD8}"/>
    <cellStyle name="Total 2 2 2 4 7" xfId="17054" xr:uid="{3AC7E2D8-ABE0-4E24-AFAC-DD3A3B1210E3}"/>
    <cellStyle name="Total 2 2 2 4 8" xfId="17055" xr:uid="{6111395B-EC50-4F14-BA64-2A3FC15F6A02}"/>
    <cellStyle name="Total 2 2 2 4 9" xfId="17056" xr:uid="{E670D2E6-66AB-44B7-944D-DD54B631D0DE}"/>
    <cellStyle name="Total 2 2 2 4_2013" xfId="17057" xr:uid="{EC721206-A7D9-461F-B87E-7CFD6700EAAA}"/>
    <cellStyle name="Total 2 2 2 5" xfId="17058" xr:uid="{20774646-1F0D-4F88-B7A3-964020999D10}"/>
    <cellStyle name="Total 2 2 2 5 10" xfId="17059" xr:uid="{2DAB33B4-A9C4-4B22-BEB4-DF97977AFFDD}"/>
    <cellStyle name="Total 2 2 2 5 11" xfId="17060" xr:uid="{5B9B84C2-33C8-462B-BC6B-01FE8C0E2F6D}"/>
    <cellStyle name="Total 2 2 2 5 12" xfId="17061" xr:uid="{8E889C41-8468-4A1B-B690-B972A2083579}"/>
    <cellStyle name="Total 2 2 2 5 13" xfId="17062" xr:uid="{D89D10FA-4F17-497B-A85D-5C0BC69A9180}"/>
    <cellStyle name="Total 2 2 2 5 14" xfId="17063" xr:uid="{2399934C-5886-43B2-A233-E144FC894B46}"/>
    <cellStyle name="Total 2 2 2 5 15" xfId="17064" xr:uid="{02E237A5-6215-4FED-8B7F-8CC38B109118}"/>
    <cellStyle name="Total 2 2 2 5 16" xfId="17065" xr:uid="{7CCE27EB-88AC-4EF0-B986-E7C4C3364703}"/>
    <cellStyle name="Total 2 2 2 5 17" xfId="17066" xr:uid="{E670E079-E316-487A-98C3-9B59F6290293}"/>
    <cellStyle name="Total 2 2 2 5 18" xfId="17067" xr:uid="{B329096A-44F5-4A3E-9B22-8A9C76B93CFB}"/>
    <cellStyle name="Total 2 2 2 5 19" xfId="17068" xr:uid="{9A3F54DC-30A9-4AAE-A8D0-FCC965013664}"/>
    <cellStyle name="Total 2 2 2 5 2" xfId="17069" xr:uid="{47008E6D-A251-4658-89D7-377FB4DCE46A}"/>
    <cellStyle name="Total 2 2 2 5 3" xfId="17070" xr:uid="{DAB15E7E-A72F-4D13-BF61-DC86A9D454F2}"/>
    <cellStyle name="Total 2 2 2 5 4" xfId="17071" xr:uid="{95E5429F-4E2C-43A2-AFB7-BC429A1938DE}"/>
    <cellStyle name="Total 2 2 2 5 5" xfId="17072" xr:uid="{35C5C839-F682-4B42-812F-97CE61C2CA2D}"/>
    <cellStyle name="Total 2 2 2 5 6" xfId="17073" xr:uid="{8CA6B59F-164D-4C6B-8819-D9E07F4C5482}"/>
    <cellStyle name="Total 2 2 2 5 7" xfId="17074" xr:uid="{A5D2E03F-AF4F-4363-AEB5-B9D9414F87E3}"/>
    <cellStyle name="Total 2 2 2 5 8" xfId="17075" xr:uid="{DD6370D6-FBDA-47F4-91F1-FDB232F31B8E}"/>
    <cellStyle name="Total 2 2 2 5 9" xfId="17076" xr:uid="{0820EE1A-C554-46C4-9C4A-B9E9A20CD0F4}"/>
    <cellStyle name="Total 2 2 2 5_2013" xfId="17077" xr:uid="{19EBED34-8DBC-43B7-A816-AA4896DA2418}"/>
    <cellStyle name="Total 2 2 2 6" xfId="17078" xr:uid="{AB23CF75-B85C-44B8-AB86-17FC96E5F982}"/>
    <cellStyle name="Total 2 2 2 7" xfId="17079" xr:uid="{1BCCA21F-86E4-49F7-B9A7-FE5B46AB1F08}"/>
    <cellStyle name="Total 2 2 2 8" xfId="17080" xr:uid="{0038132B-1443-4102-ADB6-041F122EB1CB}"/>
    <cellStyle name="Total 2 2 2 9" xfId="17081" xr:uid="{46106542-28B6-46AD-B4BC-DF04A1B0AA20}"/>
    <cellStyle name="Total 2 2 2_2013" xfId="17082" xr:uid="{8C80D586-7CC2-41B8-B380-145B42F9F506}"/>
    <cellStyle name="Total 2 2 20" xfId="17083" xr:uid="{965AFFC4-9D95-430A-B4D7-E7F7E21AFC39}"/>
    <cellStyle name="Total 2 2 21" xfId="17084" xr:uid="{5EB98DF9-2342-40E7-8B62-1CE378EFC8E7}"/>
    <cellStyle name="Total 2 2 22" xfId="17085" xr:uid="{451A460C-9053-400B-9EFA-EB28FED1A452}"/>
    <cellStyle name="Total 2 2 23" xfId="17086" xr:uid="{597A5D22-8F0E-45EE-8E62-348E12F509E3}"/>
    <cellStyle name="Total 2 2 24" xfId="17087" xr:uid="{F029BB44-4E3B-4C44-9A4D-076B3DE25F7F}"/>
    <cellStyle name="Total 2 2 25" xfId="17088" xr:uid="{B34C298C-EA5A-48C9-91B2-53A2FB777967}"/>
    <cellStyle name="Total 2 2 3" xfId="17089" xr:uid="{7323FB24-0D48-4751-82A6-7A7E1726BB33}"/>
    <cellStyle name="Total 2 2 3 10" xfId="17090" xr:uid="{C15A7724-5ABB-4DF9-9F98-5C8A5E2253AF}"/>
    <cellStyle name="Total 2 2 3 11" xfId="17091" xr:uid="{C69C495D-D1A6-4CB2-8975-1F84C8E8B9EA}"/>
    <cellStyle name="Total 2 2 3 12" xfId="17092" xr:uid="{05496714-C12E-4A3B-9A83-1F618522B5A2}"/>
    <cellStyle name="Total 2 2 3 13" xfId="17093" xr:uid="{C757C5FF-E7D5-4CF5-83C3-A3B784F9A71E}"/>
    <cellStyle name="Total 2 2 3 14" xfId="17094" xr:uid="{31348C96-E2E5-43B7-B40F-2D8D94A8B041}"/>
    <cellStyle name="Total 2 2 3 15" xfId="17095" xr:uid="{86FC8F0D-60AC-467A-9879-EDC255E45225}"/>
    <cellStyle name="Total 2 2 3 16" xfId="17096" xr:uid="{FF53219E-1BA1-4F62-9099-4074E487499D}"/>
    <cellStyle name="Total 2 2 3 17" xfId="17097" xr:uid="{C23A5777-D1E9-4E78-93AF-DC2ED4106593}"/>
    <cellStyle name="Total 2 2 3 18" xfId="17098" xr:uid="{487D6AFE-2AF0-404C-9742-B23900051F67}"/>
    <cellStyle name="Total 2 2 3 19" xfId="17099" xr:uid="{2908B69B-9B8A-4759-88EA-F5C9DFBC6FCD}"/>
    <cellStyle name="Total 2 2 3 2" xfId="17100" xr:uid="{DB029381-B1CC-48EE-BA18-68744E293698}"/>
    <cellStyle name="Total 2 2 3 2 10" xfId="17101" xr:uid="{D6657E64-317C-4B06-888F-D1382E5E2DBD}"/>
    <cellStyle name="Total 2 2 3 2 11" xfId="17102" xr:uid="{16AA4FAD-DB52-4839-B159-5B2766A21BF8}"/>
    <cellStyle name="Total 2 2 3 2 12" xfId="17103" xr:uid="{42B99128-E38B-4E99-B633-8E4F536BD473}"/>
    <cellStyle name="Total 2 2 3 2 13" xfId="17104" xr:uid="{6119ADC9-3D26-4D5B-A65C-B6DD57A2FF10}"/>
    <cellStyle name="Total 2 2 3 2 14" xfId="17105" xr:uid="{B246CE3A-4919-4C29-B982-083D6980E431}"/>
    <cellStyle name="Total 2 2 3 2 15" xfId="17106" xr:uid="{0A2BC457-6F0A-4BA8-BCE7-10F35C5DC371}"/>
    <cellStyle name="Total 2 2 3 2 16" xfId="17107" xr:uid="{5CFADC47-C1D5-4E66-AA77-241A4850CFBA}"/>
    <cellStyle name="Total 2 2 3 2 17" xfId="17108" xr:uid="{E1FC1A43-68D5-47AE-9232-10EED0409C5C}"/>
    <cellStyle name="Total 2 2 3 2 18" xfId="17109" xr:uid="{7ED54FED-945B-442B-8B43-D99D835FA991}"/>
    <cellStyle name="Total 2 2 3 2 19" xfId="17110" xr:uid="{162F0BC5-D1EE-43D4-87B1-A562548E84E7}"/>
    <cellStyle name="Total 2 2 3 2 2" xfId="17111" xr:uid="{9369F137-2A13-4615-96F8-43A6E15FB10B}"/>
    <cellStyle name="Total 2 2 3 2 3" xfId="17112" xr:uid="{3FFA8D3F-443D-4809-BA78-6B9E03022E76}"/>
    <cellStyle name="Total 2 2 3 2 4" xfId="17113" xr:uid="{9E93D503-8E48-47C6-A2A6-76CBA3C658DE}"/>
    <cellStyle name="Total 2 2 3 2 5" xfId="17114" xr:uid="{4C240B7D-B835-4A6B-9146-A55841358BE2}"/>
    <cellStyle name="Total 2 2 3 2 6" xfId="17115" xr:uid="{6C55BE30-6374-4E92-BABD-1069D09B85E0}"/>
    <cellStyle name="Total 2 2 3 2 7" xfId="17116" xr:uid="{32CBE8C8-3B02-4180-891A-AF44FBCEC5EF}"/>
    <cellStyle name="Total 2 2 3 2 8" xfId="17117" xr:uid="{3B2DA2B9-01CC-4945-A843-47DA246DA17D}"/>
    <cellStyle name="Total 2 2 3 2 9" xfId="17118" xr:uid="{BCE76B88-C1C6-4499-8001-F1B2601666FC}"/>
    <cellStyle name="Total 2 2 3 2_2013" xfId="17119" xr:uid="{8BA7EE64-6679-420B-A4F5-ADE231C20DD5}"/>
    <cellStyle name="Total 2 2 3 20" xfId="17120" xr:uid="{062C7A36-727A-45F2-844D-03F2A2142F52}"/>
    <cellStyle name="Total 2 2 3 3" xfId="17121" xr:uid="{07D2FBEF-ABDB-4934-8F76-2757DF3EF133}"/>
    <cellStyle name="Total 2 2 3 4" xfId="17122" xr:uid="{431949F9-D1EA-4BA6-86C6-72087E3A7492}"/>
    <cellStyle name="Total 2 2 3 5" xfId="17123" xr:uid="{71761212-4313-479C-AB8C-2CF21CE51785}"/>
    <cellStyle name="Total 2 2 3 6" xfId="17124" xr:uid="{1D212065-72DD-4591-840E-BCEAE286DD1E}"/>
    <cellStyle name="Total 2 2 3 7" xfId="17125" xr:uid="{59AB71AB-3BD5-48E9-87B5-D7F09964625F}"/>
    <cellStyle name="Total 2 2 3 8" xfId="17126" xr:uid="{C17F1474-2D81-4B62-ABA1-4E0FD83AEC74}"/>
    <cellStyle name="Total 2 2 3 9" xfId="17127" xr:uid="{48059A45-DDE7-45A1-A073-EF41ED008043}"/>
    <cellStyle name="Total 2 2 3_2013" xfId="17128" xr:uid="{1DFDD8B8-6748-4A4F-9747-5311FD153CA1}"/>
    <cellStyle name="Total 2 2 4" xfId="17129" xr:uid="{908164F3-F300-49DB-9204-D9814B3EFE42}"/>
    <cellStyle name="Total 2 2 4 10" xfId="17130" xr:uid="{10AF6FBE-EC7D-45BB-8DB7-DD4D46B20395}"/>
    <cellStyle name="Total 2 2 4 11" xfId="17131" xr:uid="{E9A32A2E-1822-4C6E-AC7F-89D09FD46F94}"/>
    <cellStyle name="Total 2 2 4 12" xfId="17132" xr:uid="{9129DB55-51B9-4F65-979E-AFE12D88AFA5}"/>
    <cellStyle name="Total 2 2 4 13" xfId="17133" xr:uid="{28A68F28-5DC7-44A4-A757-6CFF642C1C3A}"/>
    <cellStyle name="Total 2 2 4 14" xfId="17134" xr:uid="{5CFF9F78-B2F7-4844-80FF-98B691D33F9A}"/>
    <cellStyle name="Total 2 2 4 15" xfId="17135" xr:uid="{35401CC1-3B38-497E-8570-1BDF70AD8B30}"/>
    <cellStyle name="Total 2 2 4 16" xfId="17136" xr:uid="{D4DDAF94-849C-4E3D-B53A-FA93063E053A}"/>
    <cellStyle name="Total 2 2 4 17" xfId="17137" xr:uid="{E25043AB-4B44-442A-BE07-6607E9DE9D0D}"/>
    <cellStyle name="Total 2 2 4 18" xfId="17138" xr:uid="{C077E394-CAA4-44F0-AD69-CEADBF173A3B}"/>
    <cellStyle name="Total 2 2 4 19" xfId="17139" xr:uid="{EBBD162D-C8B5-4646-B79B-B6CAB593606C}"/>
    <cellStyle name="Total 2 2 4 2" xfId="17140" xr:uid="{21CE5812-3A4A-42C2-9D3D-DE5E5FE92BFC}"/>
    <cellStyle name="Total 2 2 4 2 10" xfId="17141" xr:uid="{2995532F-B5BC-4A9C-AC57-3A287B4152C3}"/>
    <cellStyle name="Total 2 2 4 2 11" xfId="17142" xr:uid="{822564FC-DAB9-4EC2-9822-EB46ED6ABA73}"/>
    <cellStyle name="Total 2 2 4 2 12" xfId="17143" xr:uid="{22574209-BE30-461E-B9F2-0DD527A5AA8E}"/>
    <cellStyle name="Total 2 2 4 2 13" xfId="17144" xr:uid="{83BFA7A9-A510-4B50-A498-CAFDDF33AB05}"/>
    <cellStyle name="Total 2 2 4 2 14" xfId="17145" xr:uid="{24110AB7-5702-4769-A23D-EC4F6BDD4FA5}"/>
    <cellStyle name="Total 2 2 4 2 15" xfId="17146" xr:uid="{DBF1A236-79BA-40AD-B957-1B516715F340}"/>
    <cellStyle name="Total 2 2 4 2 16" xfId="17147" xr:uid="{096AD47D-FD99-4EBA-A32B-F2FCA9405D49}"/>
    <cellStyle name="Total 2 2 4 2 17" xfId="17148" xr:uid="{E9E618C0-8445-47B0-AE71-35A57D49D7BE}"/>
    <cellStyle name="Total 2 2 4 2 18" xfId="17149" xr:uid="{41A61459-5798-486F-AC6D-7C60CAFE4714}"/>
    <cellStyle name="Total 2 2 4 2 19" xfId="17150" xr:uid="{F627A051-99DB-4FF8-B615-35C34C9BED5C}"/>
    <cellStyle name="Total 2 2 4 2 2" xfId="17151" xr:uid="{540D60BA-FC3C-4131-869B-9A8977CAFABB}"/>
    <cellStyle name="Total 2 2 4 2 3" xfId="17152" xr:uid="{47680B35-4DA5-4622-B349-AA29DE410110}"/>
    <cellStyle name="Total 2 2 4 2 4" xfId="17153" xr:uid="{5D84CBA3-810B-47A8-8BF4-987F4319BD45}"/>
    <cellStyle name="Total 2 2 4 2 5" xfId="17154" xr:uid="{C1CB9D74-A479-4513-B26C-802E1A04BC93}"/>
    <cellStyle name="Total 2 2 4 2 6" xfId="17155" xr:uid="{07D68D65-E032-467B-AD09-5B5BF25D8456}"/>
    <cellStyle name="Total 2 2 4 2 7" xfId="17156" xr:uid="{C9251ABE-C0BA-44E9-A639-D841908A4F8A}"/>
    <cellStyle name="Total 2 2 4 2 8" xfId="17157" xr:uid="{50ECDB23-AB44-42D9-9AE1-DC20813ED92B}"/>
    <cellStyle name="Total 2 2 4 2 9" xfId="17158" xr:uid="{7A209AEC-FC68-4ABA-8A7B-07558CB3DCA0}"/>
    <cellStyle name="Total 2 2 4 2_2013" xfId="17159" xr:uid="{FFC8AF83-94F9-48E5-94A2-4E40055F83F7}"/>
    <cellStyle name="Total 2 2 4 20" xfId="17160" xr:uid="{C30DF557-D674-48E4-81C2-7DFCF39991BD}"/>
    <cellStyle name="Total 2 2 4 3" xfId="17161" xr:uid="{72A45579-F377-4A8A-949F-822C9E53BB87}"/>
    <cellStyle name="Total 2 2 4 4" xfId="17162" xr:uid="{DBFB743A-9468-4628-B8CB-B13E16F8BDD1}"/>
    <cellStyle name="Total 2 2 4 5" xfId="17163" xr:uid="{C1BE6248-DBC2-4759-ABB5-B20DB78E8365}"/>
    <cellStyle name="Total 2 2 4 6" xfId="17164" xr:uid="{4AAECAAE-20A2-4A7B-B389-EEE33032DDED}"/>
    <cellStyle name="Total 2 2 4 7" xfId="17165" xr:uid="{08CA5BD4-7712-4C24-BF14-7143774475DF}"/>
    <cellStyle name="Total 2 2 4 8" xfId="17166" xr:uid="{E608BE45-4292-4B9D-9342-BC7FD5682F03}"/>
    <cellStyle name="Total 2 2 4 9" xfId="17167" xr:uid="{DF460380-4167-4F58-9499-741161C8ECDE}"/>
    <cellStyle name="Total 2 2 4_2013" xfId="17168" xr:uid="{F28337D9-BC3E-4B96-A68A-D2861DF2623C}"/>
    <cellStyle name="Total 2 2 5" xfId="17169" xr:uid="{94AC1E7D-126F-48AF-BBAF-99BAC2F99A4C}"/>
    <cellStyle name="Total 2 2 5 10" xfId="17170" xr:uid="{17A7D851-2BF9-440A-9536-5C7D6D4D2444}"/>
    <cellStyle name="Total 2 2 5 11" xfId="17171" xr:uid="{2D31BFA9-4E9C-4D7A-8B10-EBD9971F1BC9}"/>
    <cellStyle name="Total 2 2 5 12" xfId="17172" xr:uid="{A215EE3E-6ADF-4D6E-8118-E587576C3C40}"/>
    <cellStyle name="Total 2 2 5 13" xfId="17173" xr:uid="{618B2F96-2D0F-4ACD-B6F0-ABCDECE16699}"/>
    <cellStyle name="Total 2 2 5 14" xfId="17174" xr:uid="{9D481E2E-AAE1-40F5-988A-9A9694950DB9}"/>
    <cellStyle name="Total 2 2 5 15" xfId="17175" xr:uid="{7CFD86DA-C77E-499F-B2DD-BAE9FD79E370}"/>
    <cellStyle name="Total 2 2 5 16" xfId="17176" xr:uid="{AC324E7C-074C-421C-AE1D-3287A8B594C5}"/>
    <cellStyle name="Total 2 2 5 17" xfId="17177" xr:uid="{4A9B4775-89CC-4813-B59D-5417030BD675}"/>
    <cellStyle name="Total 2 2 5 18" xfId="17178" xr:uid="{1BE61FAC-0464-4B06-A2B6-881866CC3BC6}"/>
    <cellStyle name="Total 2 2 5 19" xfId="17179" xr:uid="{7BE8B237-A2FD-424B-905B-29809B4E63B9}"/>
    <cellStyle name="Total 2 2 5 2" xfId="17180" xr:uid="{AB9D176C-1627-4E4B-A78B-FC20F0A659CD}"/>
    <cellStyle name="Total 2 2 5 2 10" xfId="17181" xr:uid="{B10AA52B-3190-4AC2-BDF4-1E9194A5657F}"/>
    <cellStyle name="Total 2 2 5 2 11" xfId="17182" xr:uid="{39A454CA-DFB6-413F-85AC-6B9E03889FE2}"/>
    <cellStyle name="Total 2 2 5 2 12" xfId="17183" xr:uid="{36E681DC-34C2-4A75-8058-C857418DBC3B}"/>
    <cellStyle name="Total 2 2 5 2 13" xfId="17184" xr:uid="{6FDCE890-2BF6-4723-91B9-90F266ADD684}"/>
    <cellStyle name="Total 2 2 5 2 14" xfId="17185" xr:uid="{B7CA7094-0F01-4646-A50A-EB24B6AF9517}"/>
    <cellStyle name="Total 2 2 5 2 15" xfId="17186" xr:uid="{26F07B24-72BC-42E4-8B3A-E69025B43DFB}"/>
    <cellStyle name="Total 2 2 5 2 16" xfId="17187" xr:uid="{C98907DC-84B7-48E4-989D-4540E9EF0A3B}"/>
    <cellStyle name="Total 2 2 5 2 17" xfId="17188" xr:uid="{65783049-05B3-40BD-A616-F2D08AA27917}"/>
    <cellStyle name="Total 2 2 5 2 18" xfId="17189" xr:uid="{DE53ACBC-FDF4-4A0C-A9CB-1553F34F7626}"/>
    <cellStyle name="Total 2 2 5 2 19" xfId="17190" xr:uid="{87AE32F0-EBDC-48EE-AF86-E8D0DEC6CAAD}"/>
    <cellStyle name="Total 2 2 5 2 2" xfId="17191" xr:uid="{0A767061-C46D-4D42-A4C3-F7291F56C9CE}"/>
    <cellStyle name="Total 2 2 5 2 3" xfId="17192" xr:uid="{3B6DA220-422B-41D0-A19F-D98BA74FA2DD}"/>
    <cellStyle name="Total 2 2 5 2 4" xfId="17193" xr:uid="{843316C4-1EA3-4B7A-B9DE-0D8B5F0DCAF5}"/>
    <cellStyle name="Total 2 2 5 2 5" xfId="17194" xr:uid="{18F83637-E508-4049-9A0A-69A9347B7B71}"/>
    <cellStyle name="Total 2 2 5 2 6" xfId="17195" xr:uid="{5976ECB8-3E59-4FCE-BCF3-7CE91F2F787C}"/>
    <cellStyle name="Total 2 2 5 2 7" xfId="17196" xr:uid="{126D3CD6-95CD-47E8-9F18-877F7FD2454D}"/>
    <cellStyle name="Total 2 2 5 2 8" xfId="17197" xr:uid="{CF902075-D4F8-461B-B17C-F776F6D1DE7D}"/>
    <cellStyle name="Total 2 2 5 2 9" xfId="17198" xr:uid="{158A3B28-976F-4E93-93C7-6123D22C8AD4}"/>
    <cellStyle name="Total 2 2 5 2_2013" xfId="17199" xr:uid="{F2FE459C-F4CC-43F9-A1CA-720EF6D45704}"/>
    <cellStyle name="Total 2 2 5 20" xfId="17200" xr:uid="{A465ED0A-1478-48D4-A9A1-6F01D022D977}"/>
    <cellStyle name="Total 2 2 5 3" xfId="17201" xr:uid="{7A1E5ECD-89D5-4FDD-8C1D-154351264A21}"/>
    <cellStyle name="Total 2 2 5 4" xfId="17202" xr:uid="{F552B73A-3E83-416F-ABE7-9829605C5A4B}"/>
    <cellStyle name="Total 2 2 5 5" xfId="17203" xr:uid="{862FD6FA-9304-4F8E-845C-35AB4BBC214F}"/>
    <cellStyle name="Total 2 2 5 6" xfId="17204" xr:uid="{29F2E6E8-928B-4C69-BF48-3E407E76EE56}"/>
    <cellStyle name="Total 2 2 5 7" xfId="17205" xr:uid="{6DD7D54A-21CD-461C-A629-3B5B5443F5B9}"/>
    <cellStyle name="Total 2 2 5 8" xfId="17206" xr:uid="{652AF8C8-8593-4664-8B7D-25375534647C}"/>
    <cellStyle name="Total 2 2 5 9" xfId="17207" xr:uid="{43B7A0C4-AAB5-40B2-9A18-C0CB5636A5A2}"/>
    <cellStyle name="Total 2 2 5_2013" xfId="17208" xr:uid="{E7460BD2-396B-46D2-81A4-B2687D90FD11}"/>
    <cellStyle name="Total 2 2 6" xfId="17209" xr:uid="{0BE138CC-F5AD-4D54-81DA-1E7863AAAB68}"/>
    <cellStyle name="Total 2 2 6 10" xfId="17210" xr:uid="{E849378C-1B36-482E-A156-E3F8ECCDBD05}"/>
    <cellStyle name="Total 2 2 6 11" xfId="17211" xr:uid="{0DBE7134-A34E-4210-9B15-EE298CB48CAC}"/>
    <cellStyle name="Total 2 2 6 12" xfId="17212" xr:uid="{7ACA1FCB-C7A0-4BFC-A484-CD44C5F81D27}"/>
    <cellStyle name="Total 2 2 6 13" xfId="17213" xr:uid="{C2452063-7261-4C75-AB9E-9076FAAC5B1E}"/>
    <cellStyle name="Total 2 2 6 14" xfId="17214" xr:uid="{1F400230-322A-44F4-8D24-F4FFC4B1CEDD}"/>
    <cellStyle name="Total 2 2 6 15" xfId="17215" xr:uid="{1E628970-0D66-4C2F-8A6A-163FC7CF5F5F}"/>
    <cellStyle name="Total 2 2 6 16" xfId="17216" xr:uid="{8C442DFD-96B5-4244-AE74-0F984A3E698C}"/>
    <cellStyle name="Total 2 2 6 17" xfId="17217" xr:uid="{D9B640FC-FFE8-45DD-9759-9A68A87DEAB8}"/>
    <cellStyle name="Total 2 2 6 18" xfId="17218" xr:uid="{7485B803-4900-4E2F-9BE0-1F688570C521}"/>
    <cellStyle name="Total 2 2 6 19" xfId="17219" xr:uid="{12A253C4-4139-4E3A-8138-68607AEACB44}"/>
    <cellStyle name="Total 2 2 6 2" xfId="17220" xr:uid="{E291CC89-2981-4268-8EC7-37289381C0C6}"/>
    <cellStyle name="Total 2 2 6 3" xfId="17221" xr:uid="{428F9D59-FB0E-417A-A35F-FD90EF75BEB4}"/>
    <cellStyle name="Total 2 2 6 4" xfId="17222" xr:uid="{57A78702-8B2A-4DA6-BD2E-AD2BC3F8F63B}"/>
    <cellStyle name="Total 2 2 6 5" xfId="17223" xr:uid="{B9CCF46A-D0E7-4296-B31B-4D9B0827E377}"/>
    <cellStyle name="Total 2 2 6 6" xfId="17224" xr:uid="{0FCFDA17-3062-4BCF-B975-90E031DA8C8E}"/>
    <cellStyle name="Total 2 2 6 7" xfId="17225" xr:uid="{9A43ABAA-BD4B-4E3F-B413-839AAA0A7ECE}"/>
    <cellStyle name="Total 2 2 6 8" xfId="17226" xr:uid="{43D23DA6-DE0F-4AA2-A0AA-0D4F646D3904}"/>
    <cellStyle name="Total 2 2 6 9" xfId="17227" xr:uid="{DBE712FE-C190-4D27-9025-3130D8ED8FB3}"/>
    <cellStyle name="Total 2 2 6_2013" xfId="17228" xr:uid="{2D148756-DFF8-475D-B70B-39BE93B25499}"/>
    <cellStyle name="Total 2 2 7" xfId="17229" xr:uid="{8831738E-28AF-49C9-AFDA-D4F38DE38610}"/>
    <cellStyle name="Total 2 2 8" xfId="17230" xr:uid="{7018E34B-608F-42AE-8596-542AEE367435}"/>
    <cellStyle name="Total 2 2 9" xfId="17231" xr:uid="{2B595FCD-F81A-46A1-BA46-20078916A559}"/>
    <cellStyle name="Total 2 2_2013" xfId="17232" xr:uid="{545B1791-A104-40B5-A0FD-578E61A55409}"/>
    <cellStyle name="Total 2 20" xfId="17233" xr:uid="{25B99F15-7D0D-4B68-8F4E-BEAE3CC20E77}"/>
    <cellStyle name="Total 2 21" xfId="17234" xr:uid="{54DE8874-2DB0-4938-A38B-116C0AE5AD72}"/>
    <cellStyle name="Total 2 22" xfId="17235" xr:uid="{EC844437-5BD2-48D6-A259-E6CBD9E86784}"/>
    <cellStyle name="Total 2 23" xfId="17236" xr:uid="{EE8EBD5D-3E14-4DFC-9D2A-8D89E82A7370}"/>
    <cellStyle name="Total 2 24" xfId="17237" xr:uid="{98ECEEC1-366D-4170-8068-60E0CA6D22AE}"/>
    <cellStyle name="Total 2 25" xfId="17238" xr:uid="{AE146E3F-BA11-4E28-94EC-442C8CEA5577}"/>
    <cellStyle name="Total 2 26" xfId="17239" xr:uid="{4E007EC4-A223-4C75-87D0-9407CD3DEF12}"/>
    <cellStyle name="Total 2 27" xfId="17240" xr:uid="{E70E1A7C-CEFB-4AC2-8D41-F812FBDB23C0}"/>
    <cellStyle name="Total 2 3" xfId="17241" xr:uid="{3314BFAF-5515-4F17-B3D6-39AB41511541}"/>
    <cellStyle name="Total 2 3 10" xfId="17242" xr:uid="{D669F28D-E67E-41B6-A0C8-FE4B3F302FF2}"/>
    <cellStyle name="Total 2 3 11" xfId="17243" xr:uid="{287EFDEA-869B-4D3D-A5E0-AAC6B5745E77}"/>
    <cellStyle name="Total 2 3 12" xfId="17244" xr:uid="{0B9A8EE0-16DE-48DC-BD34-09CB5E680631}"/>
    <cellStyle name="Total 2 3 13" xfId="17245" xr:uid="{B2122D63-7BBC-4C0F-8B8B-DB72C963CCBE}"/>
    <cellStyle name="Total 2 3 14" xfId="17246" xr:uid="{2A4371D8-A99E-4384-9AFE-C5EB881E14F1}"/>
    <cellStyle name="Total 2 3 15" xfId="17247" xr:uid="{841DF00B-1160-4DFF-88EE-EEA7EDCDBF53}"/>
    <cellStyle name="Total 2 3 16" xfId="17248" xr:uid="{9C226899-587E-49A3-B5FA-A89D2187F20D}"/>
    <cellStyle name="Total 2 3 17" xfId="17249" xr:uid="{5D944049-D17F-4217-9DCD-E4E26202D949}"/>
    <cellStyle name="Total 2 3 18" xfId="17250" xr:uid="{47E9721C-783D-433D-9A50-FB543233D590}"/>
    <cellStyle name="Total 2 3 19" xfId="17251" xr:uid="{5EB2B7FD-A3AB-4123-B047-A8D8E6991E7B}"/>
    <cellStyle name="Total 2 3 2" xfId="17252" xr:uid="{90A800CF-3362-402E-AB55-660CD5B4B7C2}"/>
    <cellStyle name="Total 2 3 2 10" xfId="17253" xr:uid="{76C85F76-146C-455D-97EE-BE219DA54D0A}"/>
    <cellStyle name="Total 2 3 2 11" xfId="17254" xr:uid="{286BAB7E-6157-456D-8820-8254A7844E33}"/>
    <cellStyle name="Total 2 3 2 12" xfId="17255" xr:uid="{5F8F61E2-BF5D-4D13-95F4-165B0F7E3C99}"/>
    <cellStyle name="Total 2 3 2 13" xfId="17256" xr:uid="{C0910117-D1DD-4F40-A5AD-EB8F3F81AA54}"/>
    <cellStyle name="Total 2 3 2 14" xfId="17257" xr:uid="{70CA6746-281F-408C-ADC1-B9770A314D4F}"/>
    <cellStyle name="Total 2 3 2 15" xfId="17258" xr:uid="{2223596C-E997-4351-ACB3-6A520E831A95}"/>
    <cellStyle name="Total 2 3 2 16" xfId="17259" xr:uid="{094E7158-E058-4F66-9795-6DFC320DC141}"/>
    <cellStyle name="Total 2 3 2 17" xfId="17260" xr:uid="{34775604-C733-483A-BC73-5D5DD56F8616}"/>
    <cellStyle name="Total 2 3 2 18" xfId="17261" xr:uid="{A8C966EA-9560-4A60-9885-DC1007F4AF1D}"/>
    <cellStyle name="Total 2 3 2 19" xfId="17262" xr:uid="{6408F643-338F-4A7D-B7FC-6C766133BCD1}"/>
    <cellStyle name="Total 2 3 2 2" xfId="17263" xr:uid="{4E1A4A9C-8637-4611-B87E-9CA669B1BF65}"/>
    <cellStyle name="Total 2 3 2 2 10" xfId="17264" xr:uid="{D65EB379-8F3C-4E2C-877A-B24041E8DD11}"/>
    <cellStyle name="Total 2 3 2 2 11" xfId="17265" xr:uid="{5EC59534-5BF0-42F2-8763-9FC8B9C686BE}"/>
    <cellStyle name="Total 2 3 2 2 12" xfId="17266" xr:uid="{550A9215-80A2-4869-8B15-2D9F53D64238}"/>
    <cellStyle name="Total 2 3 2 2 13" xfId="17267" xr:uid="{A9AB1143-DD9B-499F-A043-A14FBCC4CD50}"/>
    <cellStyle name="Total 2 3 2 2 14" xfId="17268" xr:uid="{1225DC85-B971-48FE-B1FA-855CEC91044F}"/>
    <cellStyle name="Total 2 3 2 2 15" xfId="17269" xr:uid="{0D9FC26A-E22F-4609-8F95-642564CF9CCF}"/>
    <cellStyle name="Total 2 3 2 2 16" xfId="17270" xr:uid="{C900A86D-8EB6-440C-B6E1-76324E491BAB}"/>
    <cellStyle name="Total 2 3 2 2 17" xfId="17271" xr:uid="{BF7E46ED-A5AA-465B-BB73-BA12BB3E5A05}"/>
    <cellStyle name="Total 2 3 2 2 18" xfId="17272" xr:uid="{EF054626-27B1-4AC8-B408-D8591005922C}"/>
    <cellStyle name="Total 2 3 2 2 19" xfId="17273" xr:uid="{421E409D-DC99-4CA6-BA18-B47D994004ED}"/>
    <cellStyle name="Total 2 3 2 2 2" xfId="17274" xr:uid="{8E211C64-EC24-4BEC-AE27-323C5A0A34AA}"/>
    <cellStyle name="Total 2 3 2 2 2 10" xfId="17275" xr:uid="{57740A4B-9554-4194-8982-84F61394B27A}"/>
    <cellStyle name="Total 2 3 2 2 2 11" xfId="17276" xr:uid="{C14207F8-9A05-409F-8EF2-7F2CA54E5124}"/>
    <cellStyle name="Total 2 3 2 2 2 12" xfId="17277" xr:uid="{4E5928D8-748C-41AA-BCE6-7AF6598A7CEA}"/>
    <cellStyle name="Total 2 3 2 2 2 13" xfId="17278" xr:uid="{C20D4EDB-3E6D-4478-ADA7-AC955CF8462C}"/>
    <cellStyle name="Total 2 3 2 2 2 14" xfId="17279" xr:uid="{CECE4E56-95CE-40DF-A637-5211568E7003}"/>
    <cellStyle name="Total 2 3 2 2 2 15" xfId="17280" xr:uid="{FB7B58E5-B655-4E7D-A513-09F05988ADA2}"/>
    <cellStyle name="Total 2 3 2 2 2 16" xfId="17281" xr:uid="{379B6550-7C3E-4AE7-A9BF-EEE11F825977}"/>
    <cellStyle name="Total 2 3 2 2 2 17" xfId="17282" xr:uid="{6D1708D7-5408-42D4-97B4-C5814CB243E1}"/>
    <cellStyle name="Total 2 3 2 2 2 18" xfId="17283" xr:uid="{A49741AD-8EE5-451D-8008-1276931490B5}"/>
    <cellStyle name="Total 2 3 2 2 2 19" xfId="17284" xr:uid="{A5D4E6EF-9D31-47DB-B07B-E7E894C1121A}"/>
    <cellStyle name="Total 2 3 2 2 2 2" xfId="17285" xr:uid="{352AADF1-8426-4B05-8A3A-5CD433DE6A2F}"/>
    <cellStyle name="Total 2 3 2 2 2 3" xfId="17286" xr:uid="{DFD40A0B-DA6B-425F-95FD-63D570E96924}"/>
    <cellStyle name="Total 2 3 2 2 2 4" xfId="17287" xr:uid="{8F9C28EB-E1F5-4C2E-927A-EF01A735D743}"/>
    <cellStyle name="Total 2 3 2 2 2 5" xfId="17288" xr:uid="{E25E5274-B636-4479-A218-0D863DE31503}"/>
    <cellStyle name="Total 2 3 2 2 2 6" xfId="17289" xr:uid="{88A8E2AF-FF24-4D79-BDE4-C5C377F7CC57}"/>
    <cellStyle name="Total 2 3 2 2 2 7" xfId="17290" xr:uid="{21BE87F2-6B99-4290-AFDA-D39F799EE98E}"/>
    <cellStyle name="Total 2 3 2 2 2 8" xfId="17291" xr:uid="{FE4A61B9-5F93-44DB-821B-F98A27D0F36F}"/>
    <cellStyle name="Total 2 3 2 2 2 9" xfId="17292" xr:uid="{6C4C49EC-B868-4CC9-A9E6-6713F9D6A477}"/>
    <cellStyle name="Total 2 3 2 2 2_2013" xfId="17293" xr:uid="{E49E9143-356E-435A-9F9F-4D4B649447FD}"/>
    <cellStyle name="Total 2 3 2 2 20" xfId="17294" xr:uid="{23EFBD20-0CF3-4B7D-B619-7C3B2A0FAF7A}"/>
    <cellStyle name="Total 2 3 2 2 3" xfId="17295" xr:uid="{4ABD6D92-E1CB-4D0C-999F-AE8AFB809A7D}"/>
    <cellStyle name="Total 2 3 2 2 4" xfId="17296" xr:uid="{123AAED7-6799-4AC7-BFA8-7EB9E3362C7E}"/>
    <cellStyle name="Total 2 3 2 2 5" xfId="17297" xr:uid="{2C0C0CB2-40FD-43A1-A8D1-60C0FFE113A7}"/>
    <cellStyle name="Total 2 3 2 2 6" xfId="17298" xr:uid="{BDCC766D-BE4D-444D-8515-629A1095A9AE}"/>
    <cellStyle name="Total 2 3 2 2 7" xfId="17299" xr:uid="{F5329A7C-6A57-48B8-A9BC-6AF66B888629}"/>
    <cellStyle name="Total 2 3 2 2 8" xfId="17300" xr:uid="{2C458451-9574-40D3-85DB-8D100C925C94}"/>
    <cellStyle name="Total 2 3 2 2 9" xfId="17301" xr:uid="{472E19DC-1ED1-485F-A309-E677356B255B}"/>
    <cellStyle name="Total 2 3 2 2_2013" xfId="17302" xr:uid="{8ACFC4EB-76DE-4A53-BBD2-76768156EC8C}"/>
    <cellStyle name="Total 2 3 2 20" xfId="17303" xr:uid="{8D56C8B1-D3B6-4D26-97BB-219FA5510878}"/>
    <cellStyle name="Total 2 3 2 21" xfId="17304" xr:uid="{28AC0FCA-BF12-488E-BE83-971314DA3BA5}"/>
    <cellStyle name="Total 2 3 2 22" xfId="17305" xr:uid="{F26C98DA-A7FA-4AE6-A1DD-93DCC478A4CF}"/>
    <cellStyle name="Total 2 3 2 23" xfId="17306" xr:uid="{35C1608A-8A7D-4B77-9887-03E766307DD8}"/>
    <cellStyle name="Total 2 3 2 3" xfId="17307" xr:uid="{4B515A54-030E-4B69-992C-E8A27216709E}"/>
    <cellStyle name="Total 2 3 2 3 10" xfId="17308" xr:uid="{86A96C48-B6DB-4C88-9DDD-DA52177C4992}"/>
    <cellStyle name="Total 2 3 2 3 11" xfId="17309" xr:uid="{B7D5024C-10EE-4FAB-98B2-8E5F9AB34464}"/>
    <cellStyle name="Total 2 3 2 3 12" xfId="17310" xr:uid="{3FD46D50-9808-40C8-9C89-2D2301C23CD3}"/>
    <cellStyle name="Total 2 3 2 3 13" xfId="17311" xr:uid="{4608E9A8-9D60-432A-BE5B-BD322542D6AE}"/>
    <cellStyle name="Total 2 3 2 3 14" xfId="17312" xr:uid="{DFDBD287-BA2A-47B0-9E36-804F2A4A93F6}"/>
    <cellStyle name="Total 2 3 2 3 15" xfId="17313" xr:uid="{AFF60CB3-9E6E-4225-8853-098618E108A3}"/>
    <cellStyle name="Total 2 3 2 3 16" xfId="17314" xr:uid="{CDAD90FA-BF5B-4B29-BC85-85D040D6C6CF}"/>
    <cellStyle name="Total 2 3 2 3 17" xfId="17315" xr:uid="{9DB3E728-06B3-4114-BABD-8B462DFBE129}"/>
    <cellStyle name="Total 2 3 2 3 18" xfId="17316" xr:uid="{38132B95-C0FB-4F97-B805-1B600387113E}"/>
    <cellStyle name="Total 2 3 2 3 19" xfId="17317" xr:uid="{30778433-DBB0-4A7F-9E7C-60DA57F15A18}"/>
    <cellStyle name="Total 2 3 2 3 2" xfId="17318" xr:uid="{63FCD9FA-82CF-4962-9BF9-DF0F0A1457BC}"/>
    <cellStyle name="Total 2 3 2 3 2 10" xfId="17319" xr:uid="{3CC5A09D-7758-450C-A8E1-2ABF66283FDF}"/>
    <cellStyle name="Total 2 3 2 3 2 11" xfId="17320" xr:uid="{45B16BAF-CA71-46D0-BFEA-DB3AF7F21C3E}"/>
    <cellStyle name="Total 2 3 2 3 2 12" xfId="17321" xr:uid="{1140A6A1-9AD0-4D36-AF52-F871F5CD6EFE}"/>
    <cellStyle name="Total 2 3 2 3 2 13" xfId="17322" xr:uid="{19584BF8-8350-4768-B2B3-B3F39CE49B6D}"/>
    <cellStyle name="Total 2 3 2 3 2 14" xfId="17323" xr:uid="{770C61DE-BC7B-473A-9753-0096713C923F}"/>
    <cellStyle name="Total 2 3 2 3 2 15" xfId="17324" xr:uid="{D9C465F5-D8C6-4777-A985-1321C8C50F86}"/>
    <cellStyle name="Total 2 3 2 3 2 16" xfId="17325" xr:uid="{525B23DF-97A2-4226-886D-F79E52947417}"/>
    <cellStyle name="Total 2 3 2 3 2 17" xfId="17326" xr:uid="{361B0127-3A78-4B3D-9545-06D4E0A26E33}"/>
    <cellStyle name="Total 2 3 2 3 2 18" xfId="17327" xr:uid="{522BC7BC-F6F9-4A33-9B66-A8CACCA9A6B7}"/>
    <cellStyle name="Total 2 3 2 3 2 19" xfId="17328" xr:uid="{83669782-3DDA-440F-97D9-53027FCCFA9D}"/>
    <cellStyle name="Total 2 3 2 3 2 2" xfId="17329" xr:uid="{7121A1AD-AFE8-46C2-90E5-62FF5ECF2DF4}"/>
    <cellStyle name="Total 2 3 2 3 2 3" xfId="17330" xr:uid="{3B2C2CA5-33DB-40B9-AE5E-F9786079FFA3}"/>
    <cellStyle name="Total 2 3 2 3 2 4" xfId="17331" xr:uid="{BF555A2C-B8AB-482D-BF1F-FDA496FF6E86}"/>
    <cellStyle name="Total 2 3 2 3 2 5" xfId="17332" xr:uid="{79EBA9F8-4900-4AC1-9FF9-03D121C57A8B}"/>
    <cellStyle name="Total 2 3 2 3 2 6" xfId="17333" xr:uid="{9278E5F3-CC5B-4F32-8DA5-493AAC76A334}"/>
    <cellStyle name="Total 2 3 2 3 2 7" xfId="17334" xr:uid="{745B7537-E5FF-4EFA-AE71-5C0E83F5CC1C}"/>
    <cellStyle name="Total 2 3 2 3 2 8" xfId="17335" xr:uid="{D2D8EDBC-09C0-47BB-B864-61020CAB4F40}"/>
    <cellStyle name="Total 2 3 2 3 2 9" xfId="17336" xr:uid="{31705714-B542-4B19-A67B-2A7F76B8E81B}"/>
    <cellStyle name="Total 2 3 2 3 2_2013" xfId="17337" xr:uid="{483316F1-05C3-45C9-9D8B-2C2861015E22}"/>
    <cellStyle name="Total 2 3 2 3 20" xfId="17338" xr:uid="{1E132771-05FC-4567-91B1-E37BF9799157}"/>
    <cellStyle name="Total 2 3 2 3 3" xfId="17339" xr:uid="{274C24F3-80FA-495C-9895-8CC6F251C882}"/>
    <cellStyle name="Total 2 3 2 3 4" xfId="17340" xr:uid="{B5AAEA5F-5B4B-4786-819D-7BF69F844037}"/>
    <cellStyle name="Total 2 3 2 3 5" xfId="17341" xr:uid="{9E37B7E2-C86F-4BCF-AAB4-26C968BD0B1E}"/>
    <cellStyle name="Total 2 3 2 3 6" xfId="17342" xr:uid="{FA308FEE-7ED3-4621-A250-66B8E831607C}"/>
    <cellStyle name="Total 2 3 2 3 7" xfId="17343" xr:uid="{CAF83369-1A70-4DDD-AA80-042FC6928C51}"/>
    <cellStyle name="Total 2 3 2 3 8" xfId="17344" xr:uid="{D93E72F9-971B-4C22-A8DC-990B897464A1}"/>
    <cellStyle name="Total 2 3 2 3 9" xfId="17345" xr:uid="{0C245E3E-2FE9-4118-B389-D313E27F8336}"/>
    <cellStyle name="Total 2 3 2 3_2013" xfId="17346" xr:uid="{83EE52F4-62CC-4332-9C09-211DA824C614}"/>
    <cellStyle name="Total 2 3 2 4" xfId="17347" xr:uid="{5DC19C20-0C9E-4742-AC1D-F5647A61303F}"/>
    <cellStyle name="Total 2 3 2 4 10" xfId="17348" xr:uid="{242D6063-F15C-4AD5-87C4-BF9DD3886AAF}"/>
    <cellStyle name="Total 2 3 2 4 11" xfId="17349" xr:uid="{468B8819-4CB6-441C-89A0-54C35BA1631A}"/>
    <cellStyle name="Total 2 3 2 4 12" xfId="17350" xr:uid="{F1726815-69D2-4F89-9ED7-EE8FD885B0C4}"/>
    <cellStyle name="Total 2 3 2 4 13" xfId="17351" xr:uid="{36534D92-34D7-4840-9505-902DC15B647F}"/>
    <cellStyle name="Total 2 3 2 4 14" xfId="17352" xr:uid="{9FAD7D56-9076-41BB-8DFE-BC59BDC8F61D}"/>
    <cellStyle name="Total 2 3 2 4 15" xfId="17353" xr:uid="{AA2C232C-A319-4215-86DB-E159CA26470B}"/>
    <cellStyle name="Total 2 3 2 4 16" xfId="17354" xr:uid="{6AD7FB1E-1662-47DB-984F-B4C312D08C12}"/>
    <cellStyle name="Total 2 3 2 4 17" xfId="17355" xr:uid="{70752A99-D216-4184-A35F-C3767556468B}"/>
    <cellStyle name="Total 2 3 2 4 18" xfId="17356" xr:uid="{7BC1A135-F994-481A-BC23-0A3382D7BE8B}"/>
    <cellStyle name="Total 2 3 2 4 19" xfId="17357" xr:uid="{94AD12C5-B071-489A-B30E-6AC9E7F9D06C}"/>
    <cellStyle name="Total 2 3 2 4 2" xfId="17358" xr:uid="{52FDB0D4-F68F-45BF-B55F-1E48AAC4CAE8}"/>
    <cellStyle name="Total 2 3 2 4 2 10" xfId="17359" xr:uid="{C953676A-66D9-4154-9CD7-7252CDD40BF9}"/>
    <cellStyle name="Total 2 3 2 4 2 11" xfId="17360" xr:uid="{1F63C8E2-27A3-4B66-8F25-837DFE7E0BF0}"/>
    <cellStyle name="Total 2 3 2 4 2 12" xfId="17361" xr:uid="{A25F33B2-E176-4564-97B1-0DE7114D8AE1}"/>
    <cellStyle name="Total 2 3 2 4 2 13" xfId="17362" xr:uid="{7EAABE10-2B70-444A-A9BE-EBB2231CD804}"/>
    <cellStyle name="Total 2 3 2 4 2 14" xfId="17363" xr:uid="{CE8979D4-18CD-4711-B1E5-643D36C97951}"/>
    <cellStyle name="Total 2 3 2 4 2 15" xfId="17364" xr:uid="{DAE4F88F-F882-445D-A995-6674950FCE12}"/>
    <cellStyle name="Total 2 3 2 4 2 16" xfId="17365" xr:uid="{4BA70183-CF6D-448A-A5B4-02863123A300}"/>
    <cellStyle name="Total 2 3 2 4 2 17" xfId="17366" xr:uid="{3906F52B-F440-4D6A-9458-14FCE864983A}"/>
    <cellStyle name="Total 2 3 2 4 2 18" xfId="17367" xr:uid="{AEEE9425-5CE8-4618-BE11-9F09EDDE0F50}"/>
    <cellStyle name="Total 2 3 2 4 2 19" xfId="17368" xr:uid="{331D1D4B-77BB-4B7A-8DA7-745624293046}"/>
    <cellStyle name="Total 2 3 2 4 2 2" xfId="17369" xr:uid="{A3E6D632-2A87-42D0-BB70-ECCC332B0A0B}"/>
    <cellStyle name="Total 2 3 2 4 2 3" xfId="17370" xr:uid="{BCFB9A06-46D2-4ADD-9547-49852AEC367C}"/>
    <cellStyle name="Total 2 3 2 4 2 4" xfId="17371" xr:uid="{68103D5E-825F-4E2C-997D-DD0B0AF60794}"/>
    <cellStyle name="Total 2 3 2 4 2 5" xfId="17372" xr:uid="{5DE82A48-53EA-4419-B824-6523673FFD4D}"/>
    <cellStyle name="Total 2 3 2 4 2 6" xfId="17373" xr:uid="{6E2A3C22-8ABA-421C-A407-B4CF7E8FE75C}"/>
    <cellStyle name="Total 2 3 2 4 2 7" xfId="17374" xr:uid="{84E4CD43-A6D4-4968-A3BD-4F1DF5363A8D}"/>
    <cellStyle name="Total 2 3 2 4 2 8" xfId="17375" xr:uid="{65E442B7-9DC7-4D5C-BC3E-533C056393E2}"/>
    <cellStyle name="Total 2 3 2 4 2 9" xfId="17376" xr:uid="{7B8F4C1F-0A5B-4342-9FCA-B05AC6E4AECE}"/>
    <cellStyle name="Total 2 3 2 4 2_2013" xfId="17377" xr:uid="{5A7694FF-9DAC-4007-B0B8-26F96C60779E}"/>
    <cellStyle name="Total 2 3 2 4 20" xfId="17378" xr:uid="{667D2369-EB2B-46C4-957D-DB865C053AB4}"/>
    <cellStyle name="Total 2 3 2 4 3" xfId="17379" xr:uid="{E1683A3A-6573-454A-88C7-0DB07E070812}"/>
    <cellStyle name="Total 2 3 2 4 4" xfId="17380" xr:uid="{6D94F855-C69C-44B5-85E5-005F3178859A}"/>
    <cellStyle name="Total 2 3 2 4 5" xfId="17381" xr:uid="{45E2E5BA-DF17-472C-AD6F-C8D091C07407}"/>
    <cellStyle name="Total 2 3 2 4 6" xfId="17382" xr:uid="{C0F13499-1629-4556-9BB3-13E46F22CDF0}"/>
    <cellStyle name="Total 2 3 2 4 7" xfId="17383" xr:uid="{57ACA9FD-36C0-4DE7-BAF7-B7D95C87C40D}"/>
    <cellStyle name="Total 2 3 2 4 8" xfId="17384" xr:uid="{332E27DD-E266-4B33-A853-23B2F7A9DDEC}"/>
    <cellStyle name="Total 2 3 2 4 9" xfId="17385" xr:uid="{588956E9-3A2E-436B-966A-6A93F1F52A21}"/>
    <cellStyle name="Total 2 3 2 4_2013" xfId="17386" xr:uid="{0AD5F75E-63BF-408A-90A6-2E8C7FA42EC5}"/>
    <cellStyle name="Total 2 3 2 5" xfId="17387" xr:uid="{90829049-C3F9-42B7-A239-8E6ACE1F022F}"/>
    <cellStyle name="Total 2 3 2 5 10" xfId="17388" xr:uid="{57E8F3A7-C9E9-4297-A3CC-FD5C257D602E}"/>
    <cellStyle name="Total 2 3 2 5 11" xfId="17389" xr:uid="{1BB68F1A-D3FE-44B2-8499-3FFCDE55035B}"/>
    <cellStyle name="Total 2 3 2 5 12" xfId="17390" xr:uid="{8FEA0DA8-3937-4B9E-873D-012121BDD01B}"/>
    <cellStyle name="Total 2 3 2 5 13" xfId="17391" xr:uid="{C21ECE52-419A-43C6-A1A9-1B8B46D62FAF}"/>
    <cellStyle name="Total 2 3 2 5 14" xfId="17392" xr:uid="{35A89710-F494-4A68-A78F-FC6B3F065EC9}"/>
    <cellStyle name="Total 2 3 2 5 15" xfId="17393" xr:uid="{D15FD062-25F7-4905-9813-1452E6DA8A7F}"/>
    <cellStyle name="Total 2 3 2 5 16" xfId="17394" xr:uid="{49835272-2FE9-453E-A6B3-85B8179C0C2B}"/>
    <cellStyle name="Total 2 3 2 5 17" xfId="17395" xr:uid="{492362DB-811D-4409-8DBA-5EDB214C8A0A}"/>
    <cellStyle name="Total 2 3 2 5 18" xfId="17396" xr:uid="{0EF503F3-413C-4B14-AE87-80C1D731E91D}"/>
    <cellStyle name="Total 2 3 2 5 19" xfId="17397" xr:uid="{BEFCF53E-11E0-4C3D-85AA-F8AC8A366E61}"/>
    <cellStyle name="Total 2 3 2 5 2" xfId="17398" xr:uid="{7F129024-E0B2-4867-BA74-02BEC355CB7D}"/>
    <cellStyle name="Total 2 3 2 5 3" xfId="17399" xr:uid="{93B03366-E460-46F8-A8FF-60E0AC75D03C}"/>
    <cellStyle name="Total 2 3 2 5 4" xfId="17400" xr:uid="{026B3DBA-95D5-4209-A858-EF46B520D869}"/>
    <cellStyle name="Total 2 3 2 5 5" xfId="17401" xr:uid="{C8872C24-E26B-4094-A949-01103CF6DE24}"/>
    <cellStyle name="Total 2 3 2 5 6" xfId="17402" xr:uid="{D8262A2C-0129-4FB1-87B1-E828C5B0E8EF}"/>
    <cellStyle name="Total 2 3 2 5 7" xfId="17403" xr:uid="{554C9008-23C2-4272-97D0-5BA0B55401B1}"/>
    <cellStyle name="Total 2 3 2 5 8" xfId="17404" xr:uid="{B4BE8CC7-473D-469C-A1FC-12CC7E8EFEDC}"/>
    <cellStyle name="Total 2 3 2 5 9" xfId="17405" xr:uid="{3174364D-71B4-4DE8-BBF4-8FE0294AF4ED}"/>
    <cellStyle name="Total 2 3 2 5_2013" xfId="17406" xr:uid="{76A6ACE7-8C61-4A97-A1A1-FCC203AE0ED1}"/>
    <cellStyle name="Total 2 3 2 6" xfId="17407" xr:uid="{5620FF44-C553-4B2C-82E5-CF205400D6CD}"/>
    <cellStyle name="Total 2 3 2 7" xfId="17408" xr:uid="{F8D149AD-43EA-4610-A9D6-CE0163A4148B}"/>
    <cellStyle name="Total 2 3 2 8" xfId="17409" xr:uid="{15F0A4BE-B7E6-4BE3-8CDA-70E0EA1DFB7A}"/>
    <cellStyle name="Total 2 3 2 9" xfId="17410" xr:uid="{53D091ED-BB40-40C4-BC4E-342497A417C7}"/>
    <cellStyle name="Total 2 3 2_2013" xfId="17411" xr:uid="{C1561CDE-C65D-44C6-8536-9782F46D5EBF}"/>
    <cellStyle name="Total 2 3 20" xfId="17412" xr:uid="{9C6BDFA0-B94A-41D7-A3B2-0CC6367291BD}"/>
    <cellStyle name="Total 2 3 21" xfId="17413" xr:uid="{0F66BD29-CA1E-4733-B827-601C1F80482D}"/>
    <cellStyle name="Total 2 3 22" xfId="17414" xr:uid="{55958D16-7F2A-4A59-B6C8-E5976EAD3042}"/>
    <cellStyle name="Total 2 3 23" xfId="17415" xr:uid="{F2B7BBF0-B5D4-49FE-A0D2-63B4E484A2FE}"/>
    <cellStyle name="Total 2 3 24" xfId="17416" xr:uid="{F07C7F29-0117-4291-9AEB-5338DF5CE9F3}"/>
    <cellStyle name="Total 2 3 25" xfId="17417" xr:uid="{6597A760-5051-4780-A698-48115BE42479}"/>
    <cellStyle name="Total 2 3 3" xfId="17418" xr:uid="{D9A1965A-170F-48A0-8CE0-8D6AC3DFB7EC}"/>
    <cellStyle name="Total 2 3 3 10" xfId="17419" xr:uid="{A06C5B73-24AC-4929-AE5C-0778D52556AA}"/>
    <cellStyle name="Total 2 3 3 11" xfId="17420" xr:uid="{0EEEE658-8D44-4D9C-91A0-8670699DF17D}"/>
    <cellStyle name="Total 2 3 3 12" xfId="17421" xr:uid="{23890975-EF90-44CE-8E8A-E4E42352918E}"/>
    <cellStyle name="Total 2 3 3 13" xfId="17422" xr:uid="{111FE7AD-0E10-48C1-BDDC-90D21278BBD5}"/>
    <cellStyle name="Total 2 3 3 14" xfId="17423" xr:uid="{67CDC6C5-C89C-4B34-A084-30909F64089B}"/>
    <cellStyle name="Total 2 3 3 15" xfId="17424" xr:uid="{CDD277E1-3AAF-4C6A-B099-67F526517A81}"/>
    <cellStyle name="Total 2 3 3 16" xfId="17425" xr:uid="{2A502E61-DD98-47BB-9990-790290F08313}"/>
    <cellStyle name="Total 2 3 3 17" xfId="17426" xr:uid="{7FC27291-1F94-488B-A2ED-563B730B76AF}"/>
    <cellStyle name="Total 2 3 3 18" xfId="17427" xr:uid="{7F7F1F0A-E203-4AC3-BC73-0A888D132833}"/>
    <cellStyle name="Total 2 3 3 19" xfId="17428" xr:uid="{5E2A0BFA-38FA-4358-89CC-681041DE97BC}"/>
    <cellStyle name="Total 2 3 3 2" xfId="17429" xr:uid="{4BF69E88-9991-4C03-805C-791FAF12B8A9}"/>
    <cellStyle name="Total 2 3 3 2 10" xfId="17430" xr:uid="{34D72058-9107-40C5-900B-D5C9A2473939}"/>
    <cellStyle name="Total 2 3 3 2 11" xfId="17431" xr:uid="{7A87BF50-D806-4E51-BDAC-22CF1835BD82}"/>
    <cellStyle name="Total 2 3 3 2 12" xfId="17432" xr:uid="{5586BCAD-A9D8-41BA-9D2E-EEA3573C2C6A}"/>
    <cellStyle name="Total 2 3 3 2 13" xfId="17433" xr:uid="{2ECA239A-697A-44E9-8C2A-B8FFDAAEA79F}"/>
    <cellStyle name="Total 2 3 3 2 14" xfId="17434" xr:uid="{2BD2865D-70C6-4B82-A962-E64DF3B42812}"/>
    <cellStyle name="Total 2 3 3 2 15" xfId="17435" xr:uid="{1C555DD4-5735-4E86-8755-D30CB07B0232}"/>
    <cellStyle name="Total 2 3 3 2 16" xfId="17436" xr:uid="{FC348E35-EBAF-4BCF-830C-008F2DE4DE05}"/>
    <cellStyle name="Total 2 3 3 2 17" xfId="17437" xr:uid="{6B2AEBB6-1277-4543-88D0-14D6216F772D}"/>
    <cellStyle name="Total 2 3 3 2 18" xfId="17438" xr:uid="{6F5CF5CA-0CF6-479A-8B85-4A15B1593E42}"/>
    <cellStyle name="Total 2 3 3 2 19" xfId="17439" xr:uid="{BC63E6DE-AC64-4270-9A5F-6D95FE599F3F}"/>
    <cellStyle name="Total 2 3 3 2 2" xfId="17440" xr:uid="{0E34DFD8-E5AA-4623-A644-6AAF7B2DDD60}"/>
    <cellStyle name="Total 2 3 3 2 2 10" xfId="17441" xr:uid="{77F29F2E-1F26-463C-A6DA-07055CD9D625}"/>
    <cellStyle name="Total 2 3 3 2 2 11" xfId="17442" xr:uid="{A6AE6D8E-21AD-476D-8D0D-88D9935B3C64}"/>
    <cellStyle name="Total 2 3 3 2 2 12" xfId="17443" xr:uid="{1FD45D1B-C2A4-4984-B7D8-4CD448990F14}"/>
    <cellStyle name="Total 2 3 3 2 2 13" xfId="17444" xr:uid="{AD041456-54FF-4D41-A8DB-974C182BE7EC}"/>
    <cellStyle name="Total 2 3 3 2 2 14" xfId="17445" xr:uid="{BF84B81D-CBB7-4FBD-A5FA-211BED099042}"/>
    <cellStyle name="Total 2 3 3 2 2 15" xfId="17446" xr:uid="{EE28A098-0681-45D8-9FF2-0F0D2537BB90}"/>
    <cellStyle name="Total 2 3 3 2 2 16" xfId="17447" xr:uid="{04A776DF-DA85-4963-9E96-CFCD4689CC3C}"/>
    <cellStyle name="Total 2 3 3 2 2 17" xfId="17448" xr:uid="{1AD2DA4E-9C84-4029-92A4-C0393365DF2A}"/>
    <cellStyle name="Total 2 3 3 2 2 18" xfId="17449" xr:uid="{C88EC9FC-9F2D-47E9-BFDA-D1FB3251ABE2}"/>
    <cellStyle name="Total 2 3 3 2 2 19" xfId="17450" xr:uid="{853375BC-C783-41D9-B379-C035945047DF}"/>
    <cellStyle name="Total 2 3 3 2 2 2" xfId="17451" xr:uid="{21224A01-D07E-4821-9965-624185C32842}"/>
    <cellStyle name="Total 2 3 3 2 2 3" xfId="17452" xr:uid="{9B047A55-D603-4D0D-9ED9-BCD69BA91982}"/>
    <cellStyle name="Total 2 3 3 2 2 4" xfId="17453" xr:uid="{18696A1A-40FD-4141-A63B-CADA689D662E}"/>
    <cellStyle name="Total 2 3 3 2 2 5" xfId="17454" xr:uid="{0AD0F21D-AD8C-43E4-81AC-0160C3545EFC}"/>
    <cellStyle name="Total 2 3 3 2 2 6" xfId="17455" xr:uid="{B9B227DA-4454-4CBC-A7BF-9A1543BB6F23}"/>
    <cellStyle name="Total 2 3 3 2 2 7" xfId="17456" xr:uid="{1E846788-4D36-44AB-8A5B-4D5D492E9862}"/>
    <cellStyle name="Total 2 3 3 2 2 8" xfId="17457" xr:uid="{CCC2B7D6-6E65-4102-9B33-23193513FE8C}"/>
    <cellStyle name="Total 2 3 3 2 2 9" xfId="17458" xr:uid="{67544DE3-D0A6-4FB5-8F0F-059F9E74EF81}"/>
    <cellStyle name="Total 2 3 3 2 2_2013" xfId="17459" xr:uid="{4332420C-FE81-483A-B31D-454807FA1D0C}"/>
    <cellStyle name="Total 2 3 3 2 20" xfId="17460" xr:uid="{73C999A2-BF09-4201-A7F1-D24C3215CE63}"/>
    <cellStyle name="Total 2 3 3 2 3" xfId="17461" xr:uid="{0A5BACE9-5B20-4F6D-A7F8-AC8030ADDB4B}"/>
    <cellStyle name="Total 2 3 3 2 4" xfId="17462" xr:uid="{6CE05816-0ED2-4E66-8C81-101C7DC6873D}"/>
    <cellStyle name="Total 2 3 3 2 5" xfId="17463" xr:uid="{9FE514FA-3CA1-44DB-96DB-37D3590A9666}"/>
    <cellStyle name="Total 2 3 3 2 6" xfId="17464" xr:uid="{DF0A224A-7D48-424E-809F-82F5F88322C0}"/>
    <cellStyle name="Total 2 3 3 2 7" xfId="17465" xr:uid="{E68C6FEF-B7F6-45B5-8E61-301646A77D4E}"/>
    <cellStyle name="Total 2 3 3 2 8" xfId="17466" xr:uid="{BC339FBB-A314-4893-850E-C8BB31A71B1C}"/>
    <cellStyle name="Total 2 3 3 2 9" xfId="17467" xr:uid="{05B4EC99-27C5-4734-8048-64491E1C9D6F}"/>
    <cellStyle name="Total 2 3 3 2_2013" xfId="17468" xr:uid="{C7FAD56E-3FD9-4BAF-8F1C-E549C0EECE4A}"/>
    <cellStyle name="Total 2 3 3 20" xfId="17469" xr:uid="{11D621B5-400E-4E9C-ADC5-C6E08FB19513}"/>
    <cellStyle name="Total 2 3 3 21" xfId="17470" xr:uid="{E82B9D91-6EC7-4995-9515-0A0DB43AE699}"/>
    <cellStyle name="Total 2 3 3 22" xfId="17471" xr:uid="{4A35F2B1-0BF4-4594-B019-AE52BBC2B009}"/>
    <cellStyle name="Total 2 3 3 3" xfId="17472" xr:uid="{D19D8B08-C44C-4C29-B78C-08E1CFAE3D37}"/>
    <cellStyle name="Total 2 3 3 3 10" xfId="17473" xr:uid="{9B6CA7E6-B8F8-4082-B9D1-0CF59A8DADF8}"/>
    <cellStyle name="Total 2 3 3 3 11" xfId="17474" xr:uid="{12FB1EFB-E202-4C6B-AA30-6B0D486F74CF}"/>
    <cellStyle name="Total 2 3 3 3 12" xfId="17475" xr:uid="{0B544470-16E8-4522-A2C6-57C25614F233}"/>
    <cellStyle name="Total 2 3 3 3 13" xfId="17476" xr:uid="{CC483366-9AC6-4A22-84F7-571E7094F8FA}"/>
    <cellStyle name="Total 2 3 3 3 14" xfId="17477" xr:uid="{04831D96-B767-446A-B9A9-9163EB32B59B}"/>
    <cellStyle name="Total 2 3 3 3 15" xfId="17478" xr:uid="{7C23E7A7-650A-4D8E-954B-861C3CC4C45F}"/>
    <cellStyle name="Total 2 3 3 3 16" xfId="17479" xr:uid="{A34D469D-3198-40E4-99D8-28D229E9CA20}"/>
    <cellStyle name="Total 2 3 3 3 17" xfId="17480" xr:uid="{41A1C67C-8843-4197-893D-F2146591E0CA}"/>
    <cellStyle name="Total 2 3 3 3 18" xfId="17481" xr:uid="{7ADA88EA-3EE2-48BB-966E-22D302AFCB1F}"/>
    <cellStyle name="Total 2 3 3 3 19" xfId="17482" xr:uid="{5CA8D881-A736-4C23-B474-EDA4EB41A646}"/>
    <cellStyle name="Total 2 3 3 3 2" xfId="17483" xr:uid="{656915AE-4BCE-4A29-92B9-86020E6114A0}"/>
    <cellStyle name="Total 2 3 3 3 2 10" xfId="17484" xr:uid="{6CFA8447-A0B0-4C0D-9FE5-B21C8B3E6F00}"/>
    <cellStyle name="Total 2 3 3 3 2 11" xfId="17485" xr:uid="{AC34244F-509F-458E-A23D-CA84EB57FD14}"/>
    <cellStyle name="Total 2 3 3 3 2 12" xfId="17486" xr:uid="{57C9CAA0-1E8F-426C-95F3-91AD2A5855C9}"/>
    <cellStyle name="Total 2 3 3 3 2 13" xfId="17487" xr:uid="{9699EF8B-66CF-41EE-A008-0C047BEBFAF0}"/>
    <cellStyle name="Total 2 3 3 3 2 14" xfId="17488" xr:uid="{243D6595-22BA-47BF-AE3B-046EBC669DC2}"/>
    <cellStyle name="Total 2 3 3 3 2 15" xfId="17489" xr:uid="{7CB1A7A1-89C9-4747-B40F-16DE407C3A44}"/>
    <cellStyle name="Total 2 3 3 3 2 16" xfId="17490" xr:uid="{50125F78-D98F-4E35-AD8C-ED1BEF7C67EE}"/>
    <cellStyle name="Total 2 3 3 3 2 17" xfId="17491" xr:uid="{173FBADE-F382-4DBB-97EC-FC017D7325A6}"/>
    <cellStyle name="Total 2 3 3 3 2 18" xfId="17492" xr:uid="{F55C4084-FEE8-4C8E-8665-836C154562F2}"/>
    <cellStyle name="Total 2 3 3 3 2 19" xfId="17493" xr:uid="{5799E074-6288-4DCB-9409-81EF7ED70177}"/>
    <cellStyle name="Total 2 3 3 3 2 2" xfId="17494" xr:uid="{20F11D45-83BD-4609-AC40-4137F5DCA394}"/>
    <cellStyle name="Total 2 3 3 3 2 3" xfId="17495" xr:uid="{70832E20-C58D-4AD0-8546-2681E25D93D1}"/>
    <cellStyle name="Total 2 3 3 3 2 4" xfId="17496" xr:uid="{671D84AF-7426-4813-9B3E-4101BCF0F1B2}"/>
    <cellStyle name="Total 2 3 3 3 2 5" xfId="17497" xr:uid="{DF2D6A12-EC81-4058-965F-77E2F7A44269}"/>
    <cellStyle name="Total 2 3 3 3 2 6" xfId="17498" xr:uid="{47D95FBD-C065-45AD-9A77-17C022F5D9F3}"/>
    <cellStyle name="Total 2 3 3 3 2 7" xfId="17499" xr:uid="{1118D137-3EAF-4A64-B4DB-E509E376CD63}"/>
    <cellStyle name="Total 2 3 3 3 2 8" xfId="17500" xr:uid="{B082BD25-404D-48FC-B0CE-15AE0BBDF2A3}"/>
    <cellStyle name="Total 2 3 3 3 2 9" xfId="17501" xr:uid="{A5E1B420-B11A-4384-8073-2232B8F56992}"/>
    <cellStyle name="Total 2 3 3 3 2_2013" xfId="17502" xr:uid="{6679B3B1-2D1E-4C7B-AF2C-659BC31E1CD0}"/>
    <cellStyle name="Total 2 3 3 3 20" xfId="17503" xr:uid="{E74A0E45-08CC-4CEC-B615-16E593CC73D9}"/>
    <cellStyle name="Total 2 3 3 3 3" xfId="17504" xr:uid="{8E920663-4267-4E8C-A603-E09B8492F667}"/>
    <cellStyle name="Total 2 3 3 3 4" xfId="17505" xr:uid="{90FB7D83-8A8B-479F-95D3-B1F55C5EA31F}"/>
    <cellStyle name="Total 2 3 3 3 5" xfId="17506" xr:uid="{4DF42A95-F98E-481B-A20E-19122C292D9D}"/>
    <cellStyle name="Total 2 3 3 3 6" xfId="17507" xr:uid="{995ECF91-C450-49EA-B55D-54E5F948877E}"/>
    <cellStyle name="Total 2 3 3 3 7" xfId="17508" xr:uid="{7D22A050-370E-401D-8D41-EC6915912F05}"/>
    <cellStyle name="Total 2 3 3 3 8" xfId="17509" xr:uid="{E563AAD2-D49F-493D-9A1D-AB5832542951}"/>
    <cellStyle name="Total 2 3 3 3 9" xfId="17510" xr:uid="{5CCDECEF-7BE7-4558-B34F-8077831F9C5C}"/>
    <cellStyle name="Total 2 3 3 3_2013" xfId="17511" xr:uid="{0950A691-F8F7-4069-B78A-724C2729BB2F}"/>
    <cellStyle name="Total 2 3 3 4" xfId="17512" xr:uid="{2364EB44-EE61-45CB-8A2E-A7229ECC8F1A}"/>
    <cellStyle name="Total 2 3 3 4 10" xfId="17513" xr:uid="{1C1A19BF-157E-4F2D-BC8F-617B4F520D26}"/>
    <cellStyle name="Total 2 3 3 4 11" xfId="17514" xr:uid="{B951A4D2-1530-4D0E-AE8C-BDFDB4846CDD}"/>
    <cellStyle name="Total 2 3 3 4 12" xfId="17515" xr:uid="{F97448F1-924C-4F85-84D7-951F7A07A50A}"/>
    <cellStyle name="Total 2 3 3 4 13" xfId="17516" xr:uid="{EA778B2A-6819-42B6-90E1-B106BBD3EC05}"/>
    <cellStyle name="Total 2 3 3 4 14" xfId="17517" xr:uid="{7FEAF2A2-A861-4D5B-AD33-14F40CF26000}"/>
    <cellStyle name="Total 2 3 3 4 15" xfId="17518" xr:uid="{25F78F06-FB3D-43F3-A6A3-38D9A2F15F56}"/>
    <cellStyle name="Total 2 3 3 4 16" xfId="17519" xr:uid="{988C1670-9B4E-4186-BDCD-EB9A77C9069F}"/>
    <cellStyle name="Total 2 3 3 4 17" xfId="17520" xr:uid="{0C5889D2-3A94-44BA-87FF-1C51671EA2D2}"/>
    <cellStyle name="Total 2 3 3 4 18" xfId="17521" xr:uid="{AFFD8DBC-A05C-48CA-A943-ACD4C47FCE88}"/>
    <cellStyle name="Total 2 3 3 4 19" xfId="17522" xr:uid="{200AECC3-B68C-48A8-B65D-E44DC4420F02}"/>
    <cellStyle name="Total 2 3 3 4 2" xfId="17523" xr:uid="{1A5A6D95-5621-4003-8978-079466A74CEA}"/>
    <cellStyle name="Total 2 3 3 4 3" xfId="17524" xr:uid="{FA818BDA-3319-4668-9ED1-5F0CA2F8D33D}"/>
    <cellStyle name="Total 2 3 3 4 4" xfId="17525" xr:uid="{2DEE0C6C-067F-4139-9126-F808E0E86633}"/>
    <cellStyle name="Total 2 3 3 4 5" xfId="17526" xr:uid="{205D9489-FAEC-4741-A69A-3EFADCFA1F76}"/>
    <cellStyle name="Total 2 3 3 4 6" xfId="17527" xr:uid="{D6D8E41F-D6BC-4204-922E-CE0CB052B197}"/>
    <cellStyle name="Total 2 3 3 4 7" xfId="17528" xr:uid="{F5EC1F68-51B4-457D-9885-8CFC1425BF05}"/>
    <cellStyle name="Total 2 3 3 4 8" xfId="17529" xr:uid="{1C2354D7-CF45-41EA-8182-1774C8C59DD1}"/>
    <cellStyle name="Total 2 3 3 4 9" xfId="17530" xr:uid="{C327B772-D21E-4321-BA83-15E91734E48A}"/>
    <cellStyle name="Total 2 3 3 4_2013" xfId="17531" xr:uid="{056D5852-A902-403A-A81C-ED9061B8AD7D}"/>
    <cellStyle name="Total 2 3 3 5" xfId="17532" xr:uid="{71C5C55F-A361-42F8-A358-46E2383E8877}"/>
    <cellStyle name="Total 2 3 3 6" xfId="17533" xr:uid="{21CDA2A2-5E31-4B4F-AB40-DAECCD4E92AD}"/>
    <cellStyle name="Total 2 3 3 7" xfId="17534" xr:uid="{F2BECB6E-795D-4B17-838B-36FF2578DACB}"/>
    <cellStyle name="Total 2 3 3 8" xfId="17535" xr:uid="{58A4C445-C804-41A1-BE43-86525EB7326C}"/>
    <cellStyle name="Total 2 3 3 9" xfId="17536" xr:uid="{3108D334-5FD4-4DF9-A097-4A596FC584DC}"/>
    <cellStyle name="Total 2 3 3_2013" xfId="17537" xr:uid="{8623DD06-0A3F-4A09-8362-0182F28F65D5}"/>
    <cellStyle name="Total 2 3 4" xfId="17538" xr:uid="{6575E628-643A-4CFC-B349-3A9194F602BD}"/>
    <cellStyle name="Total 2 3 4 10" xfId="17539" xr:uid="{D0A7EF92-5B3F-4784-B854-52DE685FD1CF}"/>
    <cellStyle name="Total 2 3 4 11" xfId="17540" xr:uid="{C999750B-6EFE-4B9E-86E0-ADBD6290B80F}"/>
    <cellStyle name="Total 2 3 4 12" xfId="17541" xr:uid="{439A1FE2-5E05-4561-9275-486C9C5D7C46}"/>
    <cellStyle name="Total 2 3 4 13" xfId="17542" xr:uid="{D9A31B78-8580-430E-9B03-B87D6E0A41AB}"/>
    <cellStyle name="Total 2 3 4 14" xfId="17543" xr:uid="{C747DA91-EDD0-494C-9EC5-EF15E6C226EC}"/>
    <cellStyle name="Total 2 3 4 15" xfId="17544" xr:uid="{FDCFAF05-1DC0-48F0-A432-CBD493A6C283}"/>
    <cellStyle name="Total 2 3 4 16" xfId="17545" xr:uid="{3C63099C-704D-4CC8-AB56-5A42DE41E458}"/>
    <cellStyle name="Total 2 3 4 17" xfId="17546" xr:uid="{450BF13F-3F4E-42B2-94A5-7EBC05FC4402}"/>
    <cellStyle name="Total 2 3 4 18" xfId="17547" xr:uid="{21C77CF4-3E21-4983-BC1F-C1A49F1C76BD}"/>
    <cellStyle name="Total 2 3 4 19" xfId="17548" xr:uid="{32DE605A-339C-4E90-959D-4A3908B42AD2}"/>
    <cellStyle name="Total 2 3 4 2" xfId="17549" xr:uid="{46362E7E-A3EC-454B-86DE-3690826D8F25}"/>
    <cellStyle name="Total 2 3 4 2 10" xfId="17550" xr:uid="{A1E02A86-E206-478C-AA47-8464FD98726B}"/>
    <cellStyle name="Total 2 3 4 2 11" xfId="17551" xr:uid="{852E9BF5-3EDC-4A53-AA7F-063955920EAA}"/>
    <cellStyle name="Total 2 3 4 2 12" xfId="17552" xr:uid="{D5E3C65F-07A7-4610-9A7F-1EDCE763C0D4}"/>
    <cellStyle name="Total 2 3 4 2 13" xfId="17553" xr:uid="{013E949D-A1EF-4C3A-BF78-398F63149E3B}"/>
    <cellStyle name="Total 2 3 4 2 14" xfId="17554" xr:uid="{51E6D8C7-3943-4B57-8E51-22BA9348E6E5}"/>
    <cellStyle name="Total 2 3 4 2 15" xfId="17555" xr:uid="{34321370-9BD1-419A-8373-6B1D0F09DC3F}"/>
    <cellStyle name="Total 2 3 4 2 16" xfId="17556" xr:uid="{A58C2CF1-4B82-4301-B5D2-75168B64F986}"/>
    <cellStyle name="Total 2 3 4 2 17" xfId="17557" xr:uid="{4702852C-E464-47D7-80A7-999FF99773BD}"/>
    <cellStyle name="Total 2 3 4 2 18" xfId="17558" xr:uid="{C3FA07A2-8FBF-4EA5-B573-171738FB8012}"/>
    <cellStyle name="Total 2 3 4 2 19" xfId="17559" xr:uid="{D03E20CC-925A-4A17-8FEC-1043588B2D31}"/>
    <cellStyle name="Total 2 3 4 2 2" xfId="17560" xr:uid="{7C8F83E6-EA23-44E5-BABA-D3E1F9AADB51}"/>
    <cellStyle name="Total 2 3 4 2 3" xfId="17561" xr:uid="{608CB255-10C6-4A33-A552-331E96A619F9}"/>
    <cellStyle name="Total 2 3 4 2 4" xfId="17562" xr:uid="{7CA66859-B0AC-4F58-BFAF-EC7AAD0B6ECB}"/>
    <cellStyle name="Total 2 3 4 2 5" xfId="17563" xr:uid="{785839C4-8C90-4EE7-B58C-1AA15C19A580}"/>
    <cellStyle name="Total 2 3 4 2 6" xfId="17564" xr:uid="{79705E64-A54E-4CDD-A961-D5DC0E823856}"/>
    <cellStyle name="Total 2 3 4 2 7" xfId="17565" xr:uid="{6F79F9E3-1B2F-4E05-B22D-1092FFAEFCA2}"/>
    <cellStyle name="Total 2 3 4 2 8" xfId="17566" xr:uid="{6A88CB83-DADA-47D5-B5EA-2F8E0D3481C7}"/>
    <cellStyle name="Total 2 3 4 2 9" xfId="17567" xr:uid="{087C9788-4A6A-4BCE-B3E3-3560F201673C}"/>
    <cellStyle name="Total 2 3 4 2_2013" xfId="17568" xr:uid="{DFCBD2E7-850E-45E0-9EAD-CDDB83C391AF}"/>
    <cellStyle name="Total 2 3 4 20" xfId="17569" xr:uid="{C3DAC489-F417-4134-B49E-74C26FEB9903}"/>
    <cellStyle name="Total 2 3 4 3" xfId="17570" xr:uid="{6C36512C-6010-471D-8308-12AC9C61D651}"/>
    <cellStyle name="Total 2 3 4 4" xfId="17571" xr:uid="{6CF6E17E-85CA-4DBA-9BB3-E4B1E6EAE62E}"/>
    <cellStyle name="Total 2 3 4 5" xfId="17572" xr:uid="{2E6E3010-D33F-4C55-8074-A59C6AD7E97B}"/>
    <cellStyle name="Total 2 3 4 6" xfId="17573" xr:uid="{E30E036F-2E3B-4F4C-B323-D928AE729EA4}"/>
    <cellStyle name="Total 2 3 4 7" xfId="17574" xr:uid="{7BF70849-2B31-4FE1-9B38-6AED66ECA17A}"/>
    <cellStyle name="Total 2 3 4 8" xfId="17575" xr:uid="{7F8FF86F-2E0C-49D6-AF47-FCEFE84C76B8}"/>
    <cellStyle name="Total 2 3 4 9" xfId="17576" xr:uid="{CD0F4E91-2FD6-41D8-AE18-B839A236CBC7}"/>
    <cellStyle name="Total 2 3 4_2013" xfId="17577" xr:uid="{730FE48C-3C00-48D1-9095-19AF9D9A1DCD}"/>
    <cellStyle name="Total 2 3 5" xfId="17578" xr:uid="{62C63B76-C652-4A7F-85B7-D8876B5102CC}"/>
    <cellStyle name="Total 2 3 5 10" xfId="17579" xr:uid="{D94936C2-D632-4132-BA0F-3803510C33CA}"/>
    <cellStyle name="Total 2 3 5 11" xfId="17580" xr:uid="{447E3933-BA8C-4CBB-930E-6635BE8A8969}"/>
    <cellStyle name="Total 2 3 5 12" xfId="17581" xr:uid="{791D0676-BB6C-46FA-9C94-88F4115FA4C7}"/>
    <cellStyle name="Total 2 3 5 13" xfId="17582" xr:uid="{5395BA7D-D4EC-4283-B526-A897CFB59B99}"/>
    <cellStyle name="Total 2 3 5 14" xfId="17583" xr:uid="{DD5480F2-C9D9-4BB6-9CA0-0C57D2532387}"/>
    <cellStyle name="Total 2 3 5 15" xfId="17584" xr:uid="{BF78BF59-A846-4C2D-9779-2F1DD10B9BDB}"/>
    <cellStyle name="Total 2 3 5 16" xfId="17585" xr:uid="{1878DC7B-CBD7-4A31-A6CA-7ED2140F1C46}"/>
    <cellStyle name="Total 2 3 5 17" xfId="17586" xr:uid="{67450DED-18AD-4ED4-B971-594C52EDED34}"/>
    <cellStyle name="Total 2 3 5 18" xfId="17587" xr:uid="{832117F1-126F-449F-9946-A46D6A2C89F7}"/>
    <cellStyle name="Total 2 3 5 19" xfId="17588" xr:uid="{9C87EC48-A62A-44FD-9580-650323D26D94}"/>
    <cellStyle name="Total 2 3 5 2" xfId="17589" xr:uid="{3C594BB3-76A6-4986-82C0-DA97337B7295}"/>
    <cellStyle name="Total 2 3 5 2 10" xfId="17590" xr:uid="{FDA9A2A6-671B-48CB-94C6-9061D8864A39}"/>
    <cellStyle name="Total 2 3 5 2 11" xfId="17591" xr:uid="{24F81234-D155-4AD7-96F1-5EEC23FB4A8E}"/>
    <cellStyle name="Total 2 3 5 2 12" xfId="17592" xr:uid="{FA623C2E-1D50-4EF9-A69F-90EFAA8C255C}"/>
    <cellStyle name="Total 2 3 5 2 13" xfId="17593" xr:uid="{7B78D94B-4ED1-4D8C-99D1-E0409DB3258E}"/>
    <cellStyle name="Total 2 3 5 2 14" xfId="17594" xr:uid="{00A33F0D-660D-4270-8A88-D65CD1D9A722}"/>
    <cellStyle name="Total 2 3 5 2 15" xfId="17595" xr:uid="{38B83912-727B-46AD-9246-744CF2D0C0F5}"/>
    <cellStyle name="Total 2 3 5 2 16" xfId="17596" xr:uid="{CDA2426C-50F8-4A01-B4A8-76147833C353}"/>
    <cellStyle name="Total 2 3 5 2 17" xfId="17597" xr:uid="{DAB91013-E7D1-4095-9D2B-C2496BAA9FF2}"/>
    <cellStyle name="Total 2 3 5 2 18" xfId="17598" xr:uid="{13176325-B090-4828-9BE1-1A6419C48F32}"/>
    <cellStyle name="Total 2 3 5 2 19" xfId="17599" xr:uid="{47B3715A-5505-4500-9F6C-27552EED52CF}"/>
    <cellStyle name="Total 2 3 5 2 2" xfId="17600" xr:uid="{ED0B33FD-0C09-45F4-97DE-9DB888C6ACB9}"/>
    <cellStyle name="Total 2 3 5 2 3" xfId="17601" xr:uid="{3F14C70C-FCF8-42DF-A710-338CB7B30627}"/>
    <cellStyle name="Total 2 3 5 2 4" xfId="17602" xr:uid="{459CABE5-68DC-4569-A9CB-7D6DA337902A}"/>
    <cellStyle name="Total 2 3 5 2 5" xfId="17603" xr:uid="{974FEDC4-B8F1-494A-85E8-27D44057B013}"/>
    <cellStyle name="Total 2 3 5 2 6" xfId="17604" xr:uid="{762F3069-B4F3-49C2-B9DC-A2314C3946CD}"/>
    <cellStyle name="Total 2 3 5 2 7" xfId="17605" xr:uid="{FD034A62-8EB5-483A-AF73-050EB6AF5F22}"/>
    <cellStyle name="Total 2 3 5 2 8" xfId="17606" xr:uid="{3211DC84-BE5C-434B-8F2F-01C5B55184D8}"/>
    <cellStyle name="Total 2 3 5 2 9" xfId="17607" xr:uid="{ED93E5AF-EA4F-40B5-92E1-2C94DFDBD36D}"/>
    <cellStyle name="Total 2 3 5 2_2013" xfId="17608" xr:uid="{C24B8549-9117-4819-BBA2-3DF66508BB58}"/>
    <cellStyle name="Total 2 3 5 20" xfId="17609" xr:uid="{483E0BE5-A0FF-457B-A9E7-8402663DD84D}"/>
    <cellStyle name="Total 2 3 5 3" xfId="17610" xr:uid="{1A25BC1B-5D78-4D79-AA05-BBA70DB4B353}"/>
    <cellStyle name="Total 2 3 5 4" xfId="17611" xr:uid="{20BCF9DE-8594-4B48-8588-1364A869F383}"/>
    <cellStyle name="Total 2 3 5 5" xfId="17612" xr:uid="{54A1F574-8B34-4999-B173-C7C365D537C4}"/>
    <cellStyle name="Total 2 3 5 6" xfId="17613" xr:uid="{88F5B261-2184-41FC-B1DE-0C8A12BA3488}"/>
    <cellStyle name="Total 2 3 5 7" xfId="17614" xr:uid="{389DCC71-1BD2-473A-89D6-D42DB12DF0C8}"/>
    <cellStyle name="Total 2 3 5 8" xfId="17615" xr:uid="{6F761EA0-BEF9-4F51-9888-8BCCDA195730}"/>
    <cellStyle name="Total 2 3 5 9" xfId="17616" xr:uid="{17D38DCA-DCD9-4B10-BBA1-088CE8C8A5FB}"/>
    <cellStyle name="Total 2 3 5_2013" xfId="17617" xr:uid="{54DEE9BE-6B84-49A0-AC04-91E6D6A860D6}"/>
    <cellStyle name="Total 2 3 6" xfId="17618" xr:uid="{F7671693-B93D-41BB-8346-FE33A502671C}"/>
    <cellStyle name="Total 2 3 6 10" xfId="17619" xr:uid="{22D893DA-7909-4BE6-B8AA-83B7E4EFB361}"/>
    <cellStyle name="Total 2 3 6 11" xfId="17620" xr:uid="{B0DE8DE7-2017-4B9E-AFC0-57CCDE760937}"/>
    <cellStyle name="Total 2 3 6 12" xfId="17621" xr:uid="{D5B0644A-1A49-4362-9EC9-AA75C68E899A}"/>
    <cellStyle name="Total 2 3 6 13" xfId="17622" xr:uid="{2F87A589-F1EC-485A-8C6A-5F77700C8A48}"/>
    <cellStyle name="Total 2 3 6 14" xfId="17623" xr:uid="{EC811F23-FEDA-4249-85A6-64EB34BAFB37}"/>
    <cellStyle name="Total 2 3 6 15" xfId="17624" xr:uid="{671047CC-3D74-4230-8C2B-5135683B2A41}"/>
    <cellStyle name="Total 2 3 6 16" xfId="17625" xr:uid="{37D81AC1-3169-4150-BACC-EF1942E7089D}"/>
    <cellStyle name="Total 2 3 6 17" xfId="17626" xr:uid="{E2465B69-76DC-4BDE-A933-6D0E6DB0714D}"/>
    <cellStyle name="Total 2 3 6 18" xfId="17627" xr:uid="{00E4A0F5-2D47-4BFC-8797-655516D370B5}"/>
    <cellStyle name="Total 2 3 6 19" xfId="17628" xr:uid="{DC292689-8464-4B40-8902-3CE37037F883}"/>
    <cellStyle name="Total 2 3 6 2" xfId="17629" xr:uid="{F0C3BBFD-CE7F-4D81-BC58-CD69A468D62A}"/>
    <cellStyle name="Total 2 3 6 2 10" xfId="17630" xr:uid="{FF9D072C-736A-4666-8782-E2598829C453}"/>
    <cellStyle name="Total 2 3 6 2 11" xfId="17631" xr:uid="{1F1964E4-3658-4938-980D-41A6B64C542B}"/>
    <cellStyle name="Total 2 3 6 2 12" xfId="17632" xr:uid="{1813D574-6590-42A8-89CB-BEF79A47CDA6}"/>
    <cellStyle name="Total 2 3 6 2 13" xfId="17633" xr:uid="{728EB2B5-DEEA-4684-A3FC-76A489B86E97}"/>
    <cellStyle name="Total 2 3 6 2 14" xfId="17634" xr:uid="{688508B4-5429-4CA4-9D11-B99B0FC9C66F}"/>
    <cellStyle name="Total 2 3 6 2 15" xfId="17635" xr:uid="{A7575EB2-5485-41CC-AC40-C4914DFBF480}"/>
    <cellStyle name="Total 2 3 6 2 16" xfId="17636" xr:uid="{D176EE42-8B3D-4DB6-A0CF-EDE39108D1DD}"/>
    <cellStyle name="Total 2 3 6 2 17" xfId="17637" xr:uid="{0BA37714-6DE2-45E8-8E80-78E26925FFC0}"/>
    <cellStyle name="Total 2 3 6 2 18" xfId="17638" xr:uid="{78F19357-C0BB-4319-B6F3-68B1A88606D1}"/>
    <cellStyle name="Total 2 3 6 2 19" xfId="17639" xr:uid="{902243B4-DACC-45F9-B920-D6A6707DF7C7}"/>
    <cellStyle name="Total 2 3 6 2 2" xfId="17640" xr:uid="{28E60499-3884-431E-AEB7-5A82606A7FD3}"/>
    <cellStyle name="Total 2 3 6 2 3" xfId="17641" xr:uid="{A600648C-8D0A-4F34-8C32-F1E5137B3FB0}"/>
    <cellStyle name="Total 2 3 6 2 4" xfId="17642" xr:uid="{1535F582-4DA2-44C5-AF72-AD3AEF98ECAE}"/>
    <cellStyle name="Total 2 3 6 2 5" xfId="17643" xr:uid="{86DA9F90-8A1A-4051-8417-AB9D0B354227}"/>
    <cellStyle name="Total 2 3 6 2 6" xfId="17644" xr:uid="{0AB599DC-963A-4504-AF87-2325FB0A3A13}"/>
    <cellStyle name="Total 2 3 6 2 7" xfId="17645" xr:uid="{6C3BD54D-7466-4EAC-816D-F040F81F06DA}"/>
    <cellStyle name="Total 2 3 6 2 8" xfId="17646" xr:uid="{1232AA7C-EAD0-43E4-81B0-A09FCBF82DA6}"/>
    <cellStyle name="Total 2 3 6 2 9" xfId="17647" xr:uid="{64B45052-D371-4A7F-B7A5-0008A652D8B8}"/>
    <cellStyle name="Total 2 3 6 2_2013" xfId="17648" xr:uid="{56EEC975-0C9D-4D58-BB67-162F3BA17BD7}"/>
    <cellStyle name="Total 2 3 6 20" xfId="17649" xr:uid="{7C03677E-C66A-445E-8186-1CE4D005CDB9}"/>
    <cellStyle name="Total 2 3 6 3" xfId="17650" xr:uid="{49CE2C2D-5F82-4573-B238-0ED62AEAF360}"/>
    <cellStyle name="Total 2 3 6 4" xfId="17651" xr:uid="{B72A846A-40E2-4683-A333-CC85E028D2E5}"/>
    <cellStyle name="Total 2 3 6 5" xfId="17652" xr:uid="{E16FB113-EB68-4717-9C4A-1B1C30D456D2}"/>
    <cellStyle name="Total 2 3 6 6" xfId="17653" xr:uid="{F6C648B3-23F2-478B-9D01-0B1A076B926B}"/>
    <cellStyle name="Total 2 3 6 7" xfId="17654" xr:uid="{308A8692-12C2-491F-A33F-1A9FAA4374E4}"/>
    <cellStyle name="Total 2 3 6 8" xfId="17655" xr:uid="{519B35D7-025B-46E6-B010-FC54E41C5FCB}"/>
    <cellStyle name="Total 2 3 6 9" xfId="17656" xr:uid="{A83DD45D-44B0-4EAB-9472-78A36EE61DAD}"/>
    <cellStyle name="Total 2 3 6_2013" xfId="17657" xr:uid="{F9D4B615-7037-4908-BE00-851501EC1D14}"/>
    <cellStyle name="Total 2 3 7" xfId="17658" xr:uid="{B1E34279-BE7F-4D38-92CD-C4FE5069C17B}"/>
    <cellStyle name="Total 2 3 7 10" xfId="17659" xr:uid="{E5D2A3DD-88E6-4FB8-B044-EAC085E13A99}"/>
    <cellStyle name="Total 2 3 7 11" xfId="17660" xr:uid="{CA85691A-9AA1-49E0-A7A6-B70F13A0DB1C}"/>
    <cellStyle name="Total 2 3 7 12" xfId="17661" xr:uid="{05603E1F-896F-41D4-9F9B-29A1D011F32E}"/>
    <cellStyle name="Total 2 3 7 13" xfId="17662" xr:uid="{A03F25E1-3E9B-48A0-926E-41CCB743A317}"/>
    <cellStyle name="Total 2 3 7 14" xfId="17663" xr:uid="{DB9FB005-745D-4BCA-B337-7E6B18420B38}"/>
    <cellStyle name="Total 2 3 7 15" xfId="17664" xr:uid="{970C3849-A73B-4613-90BE-A9574EE28D19}"/>
    <cellStyle name="Total 2 3 7 16" xfId="17665" xr:uid="{BA5C5815-0D7A-4395-9D19-1EE4D95977C1}"/>
    <cellStyle name="Total 2 3 7 17" xfId="17666" xr:uid="{201F1B74-E98E-4F10-921E-F10AB96FD42D}"/>
    <cellStyle name="Total 2 3 7 18" xfId="17667" xr:uid="{5A82D8F6-2DCD-4893-B7D6-E4C908CD9B10}"/>
    <cellStyle name="Total 2 3 7 19" xfId="17668" xr:uid="{ADF9E446-04DF-401F-B6F7-100D4C643222}"/>
    <cellStyle name="Total 2 3 7 2" xfId="17669" xr:uid="{2B105CC0-F870-4072-8332-7D3254D2B886}"/>
    <cellStyle name="Total 2 3 7 3" xfId="17670" xr:uid="{5ECC3888-8226-4C2B-B636-AB7A95EEE07E}"/>
    <cellStyle name="Total 2 3 7 4" xfId="17671" xr:uid="{81775593-4740-4FCE-AB20-EA2F84DCC634}"/>
    <cellStyle name="Total 2 3 7 5" xfId="17672" xr:uid="{8F0D182A-739E-49AB-9466-9C673400EE06}"/>
    <cellStyle name="Total 2 3 7 6" xfId="17673" xr:uid="{111CE466-C627-4423-9967-ECC1E466D7E8}"/>
    <cellStyle name="Total 2 3 7 7" xfId="17674" xr:uid="{D90616F3-C8F1-4E45-ADE7-66570CE5EEEC}"/>
    <cellStyle name="Total 2 3 7 8" xfId="17675" xr:uid="{F9854B3C-EE47-4288-8319-2F9DED2B168E}"/>
    <cellStyle name="Total 2 3 7 9" xfId="17676" xr:uid="{53875EB3-E4D4-4D1F-B2E8-20056AD432A1}"/>
    <cellStyle name="Total 2 3 7_2013" xfId="17677" xr:uid="{63E5B8B8-199D-40AF-9C07-B7BAF998C5D6}"/>
    <cellStyle name="Total 2 3 8" xfId="17678" xr:uid="{EA5E4354-5E64-4673-96C1-4CC05DBF4025}"/>
    <cellStyle name="Total 2 3 9" xfId="17679" xr:uid="{3AAE5170-7B57-45E3-BF3B-2F495F2A46B6}"/>
    <cellStyle name="Total 2 3_2013" xfId="17680" xr:uid="{F3994E84-970F-4839-B610-E2523D1D97BF}"/>
    <cellStyle name="Total 2 4" xfId="17681" xr:uid="{644B23BE-23F5-482B-AF74-505A215DB36D}"/>
    <cellStyle name="Total 2 4 10" xfId="17682" xr:uid="{C559FDF5-4B9D-4FBD-97E7-80C04A0A0D01}"/>
    <cellStyle name="Total 2 4 11" xfId="17683" xr:uid="{E61F2472-BAF5-4B38-AF3E-1CF5421A15AD}"/>
    <cellStyle name="Total 2 4 12" xfId="17684" xr:uid="{94F4C497-8143-4E17-B78A-5F4D2FE6485D}"/>
    <cellStyle name="Total 2 4 13" xfId="17685" xr:uid="{32CBCD19-FB28-4C94-BC45-5A43E2F2DB78}"/>
    <cellStyle name="Total 2 4 14" xfId="17686" xr:uid="{8B32B041-6C62-4AD6-A5F4-41F0126E6D32}"/>
    <cellStyle name="Total 2 4 15" xfId="17687" xr:uid="{C62756BD-201B-4DDB-B540-53F8144C2485}"/>
    <cellStyle name="Total 2 4 16" xfId="17688" xr:uid="{593D3D8E-3C48-48E5-8E0C-8213A97E5FA6}"/>
    <cellStyle name="Total 2 4 17" xfId="17689" xr:uid="{4B06A1DC-4EA8-4984-A563-2556066D8C65}"/>
    <cellStyle name="Total 2 4 18" xfId="17690" xr:uid="{0AD78BE8-73B8-4283-B9C6-E6280D06D8AE}"/>
    <cellStyle name="Total 2 4 19" xfId="17691" xr:uid="{AD131BE9-27C7-4477-B479-2122B0210DEC}"/>
    <cellStyle name="Total 2 4 2" xfId="17692" xr:uid="{9F03D926-451F-4E8F-87C8-2F3C3C420503}"/>
    <cellStyle name="Total 2 4 2 10" xfId="17693" xr:uid="{00F86171-9BC9-4420-AAEA-48790417553C}"/>
    <cellStyle name="Total 2 4 2 11" xfId="17694" xr:uid="{59762559-20A5-4F3F-8A12-856EEBEEB60E}"/>
    <cellStyle name="Total 2 4 2 12" xfId="17695" xr:uid="{8D751A38-FC41-4656-8075-F070EBAFC6AF}"/>
    <cellStyle name="Total 2 4 2 13" xfId="17696" xr:uid="{3C8090BC-F11E-4DEB-9ECC-BD7516AC9616}"/>
    <cellStyle name="Total 2 4 2 14" xfId="17697" xr:uid="{51EEC32E-7234-49E1-A6E2-B1B14F5D7CD0}"/>
    <cellStyle name="Total 2 4 2 15" xfId="17698" xr:uid="{2A9160E5-FBEC-4F73-8F9E-04B55C952D54}"/>
    <cellStyle name="Total 2 4 2 16" xfId="17699" xr:uid="{9469C5F0-8C56-4704-B7C6-03B5E78F14ED}"/>
    <cellStyle name="Total 2 4 2 17" xfId="17700" xr:uid="{AB289E5B-E442-4979-A49B-65998222184F}"/>
    <cellStyle name="Total 2 4 2 18" xfId="17701" xr:uid="{EEBC7B0E-2EA7-43AB-AF21-9779C71A66E6}"/>
    <cellStyle name="Total 2 4 2 19" xfId="17702" xr:uid="{9EBAAFFD-8988-4408-8ACC-FCE8CD4DBEF2}"/>
    <cellStyle name="Total 2 4 2 2" xfId="17703" xr:uid="{A5147652-4BD1-4120-B3C4-1D094D55D0F5}"/>
    <cellStyle name="Total 2 4 2 2 10" xfId="17704" xr:uid="{148276DD-8E63-4D16-8BB6-D3F02E972661}"/>
    <cellStyle name="Total 2 4 2 2 11" xfId="17705" xr:uid="{C8715541-A23C-4D82-A3B6-A742BAB3D48C}"/>
    <cellStyle name="Total 2 4 2 2 12" xfId="17706" xr:uid="{12589ADF-00DA-43C0-94D7-DBB79968A846}"/>
    <cellStyle name="Total 2 4 2 2 13" xfId="17707" xr:uid="{9E837153-D559-4F50-A259-FA0D8A9F543F}"/>
    <cellStyle name="Total 2 4 2 2 14" xfId="17708" xr:uid="{E61675E8-DAA5-418D-96E9-2A493D642BAE}"/>
    <cellStyle name="Total 2 4 2 2 15" xfId="17709" xr:uid="{F300721A-1312-42EB-B24C-6DCA6E447D12}"/>
    <cellStyle name="Total 2 4 2 2 16" xfId="17710" xr:uid="{F93A6C26-6BB7-46E6-AC17-F1EE15E88B85}"/>
    <cellStyle name="Total 2 4 2 2 17" xfId="17711" xr:uid="{8DEE432E-CA86-4816-8C45-4201F7AF662D}"/>
    <cellStyle name="Total 2 4 2 2 18" xfId="17712" xr:uid="{835B0C41-6227-473B-811E-7031E569ACCE}"/>
    <cellStyle name="Total 2 4 2 2 19" xfId="17713" xr:uid="{5283A341-3735-4799-B719-147BE1884523}"/>
    <cellStyle name="Total 2 4 2 2 2" xfId="17714" xr:uid="{78537B20-9E66-40CB-9BA4-EB130800A0D7}"/>
    <cellStyle name="Total 2 4 2 2 3" xfId="17715" xr:uid="{3ABD298A-E12A-4700-92AB-F147377277BB}"/>
    <cellStyle name="Total 2 4 2 2 4" xfId="17716" xr:uid="{EEFE9BB4-677C-477A-8B36-2F4D0ABFC6D5}"/>
    <cellStyle name="Total 2 4 2 2 5" xfId="17717" xr:uid="{A9655115-288A-463E-A451-858E119037ED}"/>
    <cellStyle name="Total 2 4 2 2 6" xfId="17718" xr:uid="{FDAF835C-B2FA-4D7E-AE7B-BBBE4D9FF2E2}"/>
    <cellStyle name="Total 2 4 2 2 7" xfId="17719" xr:uid="{F9300A2B-C333-45F0-8FAE-0D9DCB803536}"/>
    <cellStyle name="Total 2 4 2 2 8" xfId="17720" xr:uid="{F733012E-1E89-474D-A828-3F1DEEB93F6A}"/>
    <cellStyle name="Total 2 4 2 2 9" xfId="17721" xr:uid="{A3C631C2-CAEA-4BBD-8F90-67439D8D84A0}"/>
    <cellStyle name="Total 2 4 2 2_2013" xfId="17722" xr:uid="{340C28FA-5301-45C1-A4E3-CF4E2A4E177E}"/>
    <cellStyle name="Total 2 4 2 20" xfId="17723" xr:uid="{0EA7F65B-BB33-41CA-8FE5-3066FDBFE59F}"/>
    <cellStyle name="Total 2 4 2 3" xfId="17724" xr:uid="{C95751E9-B1FE-4ED8-99D5-C340B96F4D4C}"/>
    <cellStyle name="Total 2 4 2 4" xfId="17725" xr:uid="{2F2E790D-54C6-492F-AF63-F2D913ECDF00}"/>
    <cellStyle name="Total 2 4 2 5" xfId="17726" xr:uid="{1709902D-89D5-466A-9790-19B176B93D15}"/>
    <cellStyle name="Total 2 4 2 6" xfId="17727" xr:uid="{7FB8A78E-214B-413C-988F-3CADFCBD7B7B}"/>
    <cellStyle name="Total 2 4 2 7" xfId="17728" xr:uid="{8396A0D9-551F-4445-AB31-07171228E8CE}"/>
    <cellStyle name="Total 2 4 2 8" xfId="17729" xr:uid="{06F1E528-8B0B-4D72-9867-09DFD8F02713}"/>
    <cellStyle name="Total 2 4 2 9" xfId="17730" xr:uid="{8BD2453D-3D6D-4FBC-BFA7-BCFA40B8C89B}"/>
    <cellStyle name="Total 2 4 2_2013" xfId="17731" xr:uid="{691C228E-D490-4521-8AEC-CC99078466C1}"/>
    <cellStyle name="Total 2 4 20" xfId="17732" xr:uid="{44C78A2F-517D-4AC5-8081-AD349451B47D}"/>
    <cellStyle name="Total 2 4 21" xfId="17733" xr:uid="{B6B656D1-89DD-424E-844D-79A22EE7DBB3}"/>
    <cellStyle name="Total 2 4 22" xfId="17734" xr:uid="{E2A2219F-8602-4FFA-8C59-6B3536CBF2D5}"/>
    <cellStyle name="Total 2 4 23" xfId="17735" xr:uid="{CBF53F62-C604-4800-845F-CC662B19519A}"/>
    <cellStyle name="Total 2 4 24" xfId="17736" xr:uid="{55413325-D45A-45C2-89F6-A32560073F5A}"/>
    <cellStyle name="Total 2 4 3" xfId="17737" xr:uid="{A919C997-3BF5-4281-A551-9D0FF903AE4A}"/>
    <cellStyle name="Total 2 4 3 10" xfId="17738" xr:uid="{70FBCDB9-1516-41F1-85EB-9422A3664A6B}"/>
    <cellStyle name="Total 2 4 3 11" xfId="17739" xr:uid="{19EA9309-9B1C-4276-BC51-6B9273FA69A1}"/>
    <cellStyle name="Total 2 4 3 12" xfId="17740" xr:uid="{295A5198-9C76-49A0-964F-D19DD6E649F5}"/>
    <cellStyle name="Total 2 4 3 13" xfId="17741" xr:uid="{60DE8EC9-A6B4-41A0-87AA-BCD2212805CE}"/>
    <cellStyle name="Total 2 4 3 14" xfId="17742" xr:uid="{1F901B02-FBA7-4109-B16A-DBD1AA4EF379}"/>
    <cellStyle name="Total 2 4 3 15" xfId="17743" xr:uid="{67123B39-FC01-4CA6-A222-69874C2434B3}"/>
    <cellStyle name="Total 2 4 3 16" xfId="17744" xr:uid="{49A2CF64-7BB5-4B15-BDE0-46DED5A5449C}"/>
    <cellStyle name="Total 2 4 3 17" xfId="17745" xr:uid="{47103CD4-1E1A-4FF5-9F22-D9D648F6FAD2}"/>
    <cellStyle name="Total 2 4 3 18" xfId="17746" xr:uid="{2F3FD883-B56E-4A50-B5F9-9306DE24AC5A}"/>
    <cellStyle name="Total 2 4 3 19" xfId="17747" xr:uid="{DF1D2738-6654-4476-A4ED-CEAA25FC0AA4}"/>
    <cellStyle name="Total 2 4 3 2" xfId="17748" xr:uid="{9FA2FCCA-82E7-4F3D-ABA0-F6538DBE5136}"/>
    <cellStyle name="Total 2 4 3 2 10" xfId="17749" xr:uid="{0A2EDDF5-C831-457A-954B-78404653CB58}"/>
    <cellStyle name="Total 2 4 3 2 11" xfId="17750" xr:uid="{4196F2B3-B259-4C91-A1EF-55B8A5B85238}"/>
    <cellStyle name="Total 2 4 3 2 12" xfId="17751" xr:uid="{87A7EBE2-8D04-486A-8DC9-95C8DD91A5B7}"/>
    <cellStyle name="Total 2 4 3 2 13" xfId="17752" xr:uid="{30F01CD3-9586-4F1E-8BE7-DBB303086C79}"/>
    <cellStyle name="Total 2 4 3 2 14" xfId="17753" xr:uid="{E26715BB-DD88-41D6-9EEC-63FD6F78801C}"/>
    <cellStyle name="Total 2 4 3 2 15" xfId="17754" xr:uid="{CA029F7E-1144-47A5-97CB-971AAE9D9C3D}"/>
    <cellStyle name="Total 2 4 3 2 16" xfId="17755" xr:uid="{BBF2B1D5-A9C7-474C-B08F-60821E88EACE}"/>
    <cellStyle name="Total 2 4 3 2 17" xfId="17756" xr:uid="{CA4AA39E-55EF-4F40-97D6-0A73895FA7B0}"/>
    <cellStyle name="Total 2 4 3 2 18" xfId="17757" xr:uid="{47FEE085-0333-4BAB-82AE-3218EAA560DC}"/>
    <cellStyle name="Total 2 4 3 2 19" xfId="17758" xr:uid="{717E4956-081A-43A0-BF49-88E3A9F2A65A}"/>
    <cellStyle name="Total 2 4 3 2 2" xfId="17759" xr:uid="{0617FD47-55BE-4FCD-A649-BD909151AEC6}"/>
    <cellStyle name="Total 2 4 3 2 3" xfId="17760" xr:uid="{D49439D8-23F6-4324-9D27-263566F89905}"/>
    <cellStyle name="Total 2 4 3 2 4" xfId="17761" xr:uid="{59F86526-132C-4FEA-AA22-8E3D59801304}"/>
    <cellStyle name="Total 2 4 3 2 5" xfId="17762" xr:uid="{D279271E-7E2A-4460-8884-F295160B2997}"/>
    <cellStyle name="Total 2 4 3 2 6" xfId="17763" xr:uid="{C50F55B8-66F3-4C63-A32E-072A932A5413}"/>
    <cellStyle name="Total 2 4 3 2 7" xfId="17764" xr:uid="{B6DD1055-5D56-4B21-A94A-DC66D15C6C7D}"/>
    <cellStyle name="Total 2 4 3 2 8" xfId="17765" xr:uid="{94BD7112-B5B2-49B7-B531-6B6CC3B46E14}"/>
    <cellStyle name="Total 2 4 3 2 9" xfId="17766" xr:uid="{67BFE0B9-D94B-45D6-A5D1-6C609D82A3A9}"/>
    <cellStyle name="Total 2 4 3 2_2013" xfId="17767" xr:uid="{59C698C5-CC65-4A4F-8981-930CB4D9CC8A}"/>
    <cellStyle name="Total 2 4 3 20" xfId="17768" xr:uid="{6E6BE12B-FB18-41F8-805C-007C8A8D23AB}"/>
    <cellStyle name="Total 2 4 3 3" xfId="17769" xr:uid="{CE3CE2D1-7D8D-440D-B6DD-64000CCC7C79}"/>
    <cellStyle name="Total 2 4 3 4" xfId="17770" xr:uid="{18E9A1FD-698A-4EE2-9613-4A98AFF12D8B}"/>
    <cellStyle name="Total 2 4 3 5" xfId="17771" xr:uid="{7A494E88-21A8-471E-8F30-709CE89E6AE6}"/>
    <cellStyle name="Total 2 4 3 6" xfId="17772" xr:uid="{3AB00FC5-F7F8-4E6D-AC8B-F37A1B7286B0}"/>
    <cellStyle name="Total 2 4 3 7" xfId="17773" xr:uid="{B007253E-75F2-4AC9-93ED-33BF56D555E2}"/>
    <cellStyle name="Total 2 4 3 8" xfId="17774" xr:uid="{9C1DD42D-F9AA-4A11-AE8E-869EB5E8A20B}"/>
    <cellStyle name="Total 2 4 3 9" xfId="17775" xr:uid="{6AE5E861-C7B8-4E47-BF62-B699C12E4E03}"/>
    <cellStyle name="Total 2 4 3_2013" xfId="17776" xr:uid="{0C93ADD4-3242-441A-8924-6AB5B2E8FFD9}"/>
    <cellStyle name="Total 2 4 4" xfId="17777" xr:uid="{DD9C0082-39C0-4A8D-ABD2-9DF44C188BB8}"/>
    <cellStyle name="Total 2 4 4 10" xfId="17778" xr:uid="{EE616101-E2C0-47C6-A2E2-2A81005FFCA4}"/>
    <cellStyle name="Total 2 4 4 11" xfId="17779" xr:uid="{E99CEF6C-D444-4BE4-A883-50A6C97732EF}"/>
    <cellStyle name="Total 2 4 4 12" xfId="17780" xr:uid="{EAE8FF7C-A165-4FB3-A77B-8EF01F205C4A}"/>
    <cellStyle name="Total 2 4 4 13" xfId="17781" xr:uid="{FFABB742-88EC-4441-82A6-7F2D573ED13A}"/>
    <cellStyle name="Total 2 4 4 14" xfId="17782" xr:uid="{2E4216B5-9F8A-4006-9CDE-1D05C247C0F4}"/>
    <cellStyle name="Total 2 4 4 15" xfId="17783" xr:uid="{4BDE3C02-3B0F-42A6-AB2B-052968FCC2D1}"/>
    <cellStyle name="Total 2 4 4 16" xfId="17784" xr:uid="{C66D67F9-4E3D-4B3C-8592-7CAEB66369EE}"/>
    <cellStyle name="Total 2 4 4 17" xfId="17785" xr:uid="{56F8257B-5E07-497C-B850-ED8B5E1D43E4}"/>
    <cellStyle name="Total 2 4 4 18" xfId="17786" xr:uid="{86193431-FEB1-43D0-B384-441BBCCBC4F5}"/>
    <cellStyle name="Total 2 4 4 19" xfId="17787" xr:uid="{9D0D4AD2-59CA-4FD7-BB18-828DCEB01066}"/>
    <cellStyle name="Total 2 4 4 2" xfId="17788" xr:uid="{535A60CA-61A9-436F-8631-BBD3A1088511}"/>
    <cellStyle name="Total 2 4 4 2 10" xfId="17789" xr:uid="{98A3B628-CB11-40CE-85A5-826CDD178A68}"/>
    <cellStyle name="Total 2 4 4 2 11" xfId="17790" xr:uid="{425519C7-CF84-42E6-9DD7-9784FA037C28}"/>
    <cellStyle name="Total 2 4 4 2 12" xfId="17791" xr:uid="{02F1F00A-3954-42ED-B305-55D8E0C42DFE}"/>
    <cellStyle name="Total 2 4 4 2 13" xfId="17792" xr:uid="{C930AAC9-1112-4027-B805-7EA017C615A5}"/>
    <cellStyle name="Total 2 4 4 2 14" xfId="17793" xr:uid="{0A0AD504-9C5A-4587-B831-8CB0ED32CB87}"/>
    <cellStyle name="Total 2 4 4 2 15" xfId="17794" xr:uid="{CBE13003-83B7-4455-81AA-DD2CB5D1DEBE}"/>
    <cellStyle name="Total 2 4 4 2 16" xfId="17795" xr:uid="{823233BC-6F60-4C5F-9FB7-0351269291C9}"/>
    <cellStyle name="Total 2 4 4 2 17" xfId="17796" xr:uid="{AFE74090-D70A-46A4-A783-351C7758D5CC}"/>
    <cellStyle name="Total 2 4 4 2 18" xfId="17797" xr:uid="{68B8F2DD-0B46-47B1-BEAC-A8D5356F85B0}"/>
    <cellStyle name="Total 2 4 4 2 19" xfId="17798" xr:uid="{FAD067A7-B545-414E-BEB2-8AB58399125A}"/>
    <cellStyle name="Total 2 4 4 2 2" xfId="17799" xr:uid="{D974C0D6-E2A7-4E7A-80AD-BCD42F160615}"/>
    <cellStyle name="Total 2 4 4 2 3" xfId="17800" xr:uid="{17D6B725-85C8-43E5-AA13-7DB0437BAD3F}"/>
    <cellStyle name="Total 2 4 4 2 4" xfId="17801" xr:uid="{E612B109-7049-4C60-8601-D56AC8113EA0}"/>
    <cellStyle name="Total 2 4 4 2 5" xfId="17802" xr:uid="{AEF9C7D9-3132-4574-93A4-34DFC08C5724}"/>
    <cellStyle name="Total 2 4 4 2 6" xfId="17803" xr:uid="{94D6E4B9-81C1-4EDF-AFFA-FB0AECDE71B2}"/>
    <cellStyle name="Total 2 4 4 2 7" xfId="17804" xr:uid="{B33F81A3-DD3E-4644-A765-117DB8DCAFD5}"/>
    <cellStyle name="Total 2 4 4 2 8" xfId="17805" xr:uid="{6D45F305-B20B-4103-A9C6-54B89BCF7908}"/>
    <cellStyle name="Total 2 4 4 2 9" xfId="17806" xr:uid="{E4964DDF-B606-4437-B7BC-C04716994A51}"/>
    <cellStyle name="Total 2 4 4 2_2013" xfId="17807" xr:uid="{60AFE33C-0EAD-4973-8E25-A2032F48EE56}"/>
    <cellStyle name="Total 2 4 4 20" xfId="17808" xr:uid="{1A44F53D-0F17-46F0-A5CF-A96A887719A2}"/>
    <cellStyle name="Total 2 4 4 3" xfId="17809" xr:uid="{47E3E829-4D7D-4C7C-922E-2E7CE6C6816D}"/>
    <cellStyle name="Total 2 4 4 4" xfId="17810" xr:uid="{2F861AD2-7E70-42D8-99E0-2470A48E91BF}"/>
    <cellStyle name="Total 2 4 4 5" xfId="17811" xr:uid="{56E8F5F1-192B-434C-A6A8-87752B5E9F53}"/>
    <cellStyle name="Total 2 4 4 6" xfId="17812" xr:uid="{2F946354-9D2E-472D-9ED6-875DB1D2815F}"/>
    <cellStyle name="Total 2 4 4 7" xfId="17813" xr:uid="{9830E09C-0FC9-4743-B0BA-390049C6B81E}"/>
    <cellStyle name="Total 2 4 4 8" xfId="17814" xr:uid="{D62C57D9-8641-4050-A30D-0ECC1C1A38F1}"/>
    <cellStyle name="Total 2 4 4 9" xfId="17815" xr:uid="{0168BED2-5A57-4016-9E92-DC86C714621F}"/>
    <cellStyle name="Total 2 4 4_2013" xfId="17816" xr:uid="{BD1E74A3-69BB-46AE-ACA4-9AA6CBA2DC30}"/>
    <cellStyle name="Total 2 4 5" xfId="17817" xr:uid="{31E977A0-D818-4F24-935B-A911EB87903E}"/>
    <cellStyle name="Total 2 4 5 10" xfId="17818" xr:uid="{B5D01AD1-478F-4428-A139-956F2F971580}"/>
    <cellStyle name="Total 2 4 5 11" xfId="17819" xr:uid="{F8D8347B-B904-47A3-96EB-3015621F1AEF}"/>
    <cellStyle name="Total 2 4 5 12" xfId="17820" xr:uid="{0B164790-8294-4D78-9DAB-C7F84F40CA3C}"/>
    <cellStyle name="Total 2 4 5 13" xfId="17821" xr:uid="{16518C53-A638-4E43-BEE1-FE64F1E99975}"/>
    <cellStyle name="Total 2 4 5 14" xfId="17822" xr:uid="{5CC557DC-23FD-4C6B-9852-D832CE4D16C8}"/>
    <cellStyle name="Total 2 4 5 15" xfId="17823" xr:uid="{2EB5789C-355F-4BDF-9ECA-587769C96959}"/>
    <cellStyle name="Total 2 4 5 16" xfId="17824" xr:uid="{3C70560C-BA3D-49ED-8437-EEADDE305618}"/>
    <cellStyle name="Total 2 4 5 17" xfId="17825" xr:uid="{BCEE72C4-5BE3-4773-BFBF-DB6A3C369C90}"/>
    <cellStyle name="Total 2 4 5 18" xfId="17826" xr:uid="{8EACDCCF-2FCA-4CEF-979A-ECF902FB077E}"/>
    <cellStyle name="Total 2 4 5 19" xfId="17827" xr:uid="{DF6A90E2-CB7A-4B5D-A50E-159FA845AA2D}"/>
    <cellStyle name="Total 2 4 5 2" xfId="17828" xr:uid="{F89997D1-5AC3-4F4C-9B09-83B626C98147}"/>
    <cellStyle name="Total 2 4 5 3" xfId="17829" xr:uid="{1D406F16-4141-4D8F-82CD-D1DC8AEA8D23}"/>
    <cellStyle name="Total 2 4 5 4" xfId="17830" xr:uid="{9EA1835A-445A-42F7-94FE-9A0E7ACAD914}"/>
    <cellStyle name="Total 2 4 5 5" xfId="17831" xr:uid="{4CB1A81D-B6B3-4CFA-AB96-76EC655F3FAF}"/>
    <cellStyle name="Total 2 4 5 6" xfId="17832" xr:uid="{77E76D05-259B-4EFC-AFB4-8BC690DDE057}"/>
    <cellStyle name="Total 2 4 5 7" xfId="17833" xr:uid="{C43CD473-0662-4C17-905E-228F8BFB3635}"/>
    <cellStyle name="Total 2 4 5 8" xfId="17834" xr:uid="{E8130F3D-7EEF-4620-AC5C-B4851DA7DEFE}"/>
    <cellStyle name="Total 2 4 5 9" xfId="17835" xr:uid="{850A9D4B-9AAF-4E1B-B774-C65864E3E1DE}"/>
    <cellStyle name="Total 2 4 5_2013" xfId="17836" xr:uid="{FFFE00F0-D88B-48E3-8B2B-87E7E45F5418}"/>
    <cellStyle name="Total 2 4 6" xfId="17837" xr:uid="{48A340AC-10FD-48DA-AD87-8681AAF783E6}"/>
    <cellStyle name="Total 2 4 7" xfId="17838" xr:uid="{7A77D1E0-8D61-4632-8120-24E5C8737FF3}"/>
    <cellStyle name="Total 2 4 8" xfId="17839" xr:uid="{37720041-C5F8-4EA9-B215-10C40BFD479B}"/>
    <cellStyle name="Total 2 4 9" xfId="17840" xr:uid="{B8967153-210A-419D-8DCA-B8B66C52C194}"/>
    <cellStyle name="Total 2 4_2013" xfId="17841" xr:uid="{3442BC10-D887-4324-AB31-2B7B9EFD8C9A}"/>
    <cellStyle name="Total 2 5" xfId="17842" xr:uid="{3C628E07-A6FC-4BFC-BF70-425C02A690ED}"/>
    <cellStyle name="Total 2 5 10" xfId="17843" xr:uid="{88A369DC-86DD-414D-92E5-C6B27FE1F8D3}"/>
    <cellStyle name="Total 2 5 11" xfId="17844" xr:uid="{3F7927FA-4065-4166-82D4-26CC08A416C1}"/>
    <cellStyle name="Total 2 5 12" xfId="17845" xr:uid="{3D1FAEB3-6450-407D-8BB1-E2490340E455}"/>
    <cellStyle name="Total 2 5 13" xfId="17846" xr:uid="{EE97F406-ADC0-430C-8EF1-5095B0403AAF}"/>
    <cellStyle name="Total 2 5 14" xfId="17847" xr:uid="{770D9FC4-727A-4269-BA9F-BF7E5F91D47F}"/>
    <cellStyle name="Total 2 5 15" xfId="17848" xr:uid="{8FF3F8E6-69C9-4FE5-A4EF-E95015D35CFD}"/>
    <cellStyle name="Total 2 5 16" xfId="17849" xr:uid="{6C77D24C-D865-441E-990D-90F99FCE5ABA}"/>
    <cellStyle name="Total 2 5 17" xfId="17850" xr:uid="{5E2AEF52-542B-4788-8FE5-5A3F7863B776}"/>
    <cellStyle name="Total 2 5 18" xfId="17851" xr:uid="{4EE954B8-FA38-481C-B1AA-CC8AE4746AC5}"/>
    <cellStyle name="Total 2 5 19" xfId="17852" xr:uid="{A767F1CD-9C1A-47C5-A155-8EA41907C4E0}"/>
    <cellStyle name="Total 2 5 2" xfId="17853" xr:uid="{5DF29A42-3B66-4FF4-B737-1638ED5655C3}"/>
    <cellStyle name="Total 2 5 2 10" xfId="17854" xr:uid="{E9348421-6A73-409B-A615-7B954308190B}"/>
    <cellStyle name="Total 2 5 2 11" xfId="17855" xr:uid="{347842C3-916E-4293-A139-32CEA1F747AD}"/>
    <cellStyle name="Total 2 5 2 12" xfId="17856" xr:uid="{43F0671E-FBE6-4A0D-8D95-73CA6C83295C}"/>
    <cellStyle name="Total 2 5 2 13" xfId="17857" xr:uid="{ED3D4B1A-1DCA-4D27-9FA2-F519C3936351}"/>
    <cellStyle name="Total 2 5 2 14" xfId="17858" xr:uid="{72970687-A97B-4877-939B-EFDD287C9A0B}"/>
    <cellStyle name="Total 2 5 2 15" xfId="17859" xr:uid="{5318D978-2AA4-4182-801D-F2831595D317}"/>
    <cellStyle name="Total 2 5 2 16" xfId="17860" xr:uid="{4E82CA77-2440-4062-9518-DC18D2203E06}"/>
    <cellStyle name="Total 2 5 2 17" xfId="17861" xr:uid="{7DE20C82-4B99-4EE3-B8EA-6D90742AFE65}"/>
    <cellStyle name="Total 2 5 2 18" xfId="17862" xr:uid="{5F4DB016-9969-4100-BBB6-B18CFC73D04E}"/>
    <cellStyle name="Total 2 5 2 19" xfId="17863" xr:uid="{0CBCB403-54BA-4096-A2BD-3606A56BF7B5}"/>
    <cellStyle name="Total 2 5 2 2" xfId="17864" xr:uid="{C5218416-9164-442F-9C2D-6FD88BF86153}"/>
    <cellStyle name="Total 2 5 2 3" xfId="17865" xr:uid="{D48134A3-B627-4D24-A2A6-9783521188BB}"/>
    <cellStyle name="Total 2 5 2 4" xfId="17866" xr:uid="{D6B90BC9-E15F-421C-89D2-8A9A2869CD39}"/>
    <cellStyle name="Total 2 5 2 5" xfId="17867" xr:uid="{51D5C7C0-4B7F-4244-BC80-4E49D88DA7AD}"/>
    <cellStyle name="Total 2 5 2 6" xfId="17868" xr:uid="{B34F1682-7B67-41CD-B83B-0A623F9BFD0E}"/>
    <cellStyle name="Total 2 5 2 7" xfId="17869" xr:uid="{C6FFFAE2-C38B-447B-ABB7-C9D2D7E69735}"/>
    <cellStyle name="Total 2 5 2 8" xfId="17870" xr:uid="{1785A72F-4F20-4B27-8DF5-33A6CCB665E9}"/>
    <cellStyle name="Total 2 5 2 9" xfId="17871" xr:uid="{67799F3B-583F-4834-AAEE-124818D06076}"/>
    <cellStyle name="Total 2 5 2_2013" xfId="17872" xr:uid="{095073AD-5520-44D7-A61C-7B976204FC68}"/>
    <cellStyle name="Total 2 5 20" xfId="17873" xr:uid="{5DF63F6F-B487-47DB-A645-C7468E63567D}"/>
    <cellStyle name="Total 2 5 3" xfId="17874" xr:uid="{694C76FA-3180-4CDA-AE23-EB50F1C8D780}"/>
    <cellStyle name="Total 2 5 4" xfId="17875" xr:uid="{A1E56310-EC7F-41C5-9605-E96D07EE6731}"/>
    <cellStyle name="Total 2 5 5" xfId="17876" xr:uid="{BEE6F5F2-F302-43DD-A309-F4FB44F1E506}"/>
    <cellStyle name="Total 2 5 6" xfId="17877" xr:uid="{17F952F6-A328-4064-9DA4-87FC8D21445C}"/>
    <cellStyle name="Total 2 5 7" xfId="17878" xr:uid="{AD1F16B4-3C35-4664-843B-1E45137FE59F}"/>
    <cellStyle name="Total 2 5 8" xfId="17879" xr:uid="{6A7B24E5-7C57-43F5-A33B-C52F3763900F}"/>
    <cellStyle name="Total 2 5 9" xfId="17880" xr:uid="{C9692955-36D6-44D9-A2C5-50E2A89E2234}"/>
    <cellStyle name="Total 2 5_2013" xfId="17881" xr:uid="{43C26E03-B994-4266-A6DC-D4334B2B7525}"/>
    <cellStyle name="Total 2 6" xfId="17882" xr:uid="{591A185B-F443-4763-B083-78EBBCE2049E}"/>
    <cellStyle name="Total 2 6 10" xfId="17883" xr:uid="{39BED96B-57AD-4ADA-AA41-7BA8AFF72009}"/>
    <cellStyle name="Total 2 6 11" xfId="17884" xr:uid="{3F054F7B-1A2E-48D8-8839-03C9F3502CF7}"/>
    <cellStyle name="Total 2 6 12" xfId="17885" xr:uid="{67A37DED-E250-4AB6-AD5C-47A7EE0A0B40}"/>
    <cellStyle name="Total 2 6 13" xfId="17886" xr:uid="{111932BB-7D17-4636-86D0-7EE6DC6A7EBC}"/>
    <cellStyle name="Total 2 6 14" xfId="17887" xr:uid="{713F2602-EE93-4F89-95FA-2FBFB5AA9BD2}"/>
    <cellStyle name="Total 2 6 15" xfId="17888" xr:uid="{837C01AA-169A-4AFC-9AEA-6BFC9284412B}"/>
    <cellStyle name="Total 2 6 16" xfId="17889" xr:uid="{C4B37612-4CE2-4C90-ABB7-43B3A85A7AAF}"/>
    <cellStyle name="Total 2 6 17" xfId="17890" xr:uid="{42E8AE3A-2EB1-4A40-9842-EACDB1DA3714}"/>
    <cellStyle name="Total 2 6 18" xfId="17891" xr:uid="{D71769E9-376B-488D-BB84-F8BCF5378FF3}"/>
    <cellStyle name="Total 2 6 19" xfId="17892" xr:uid="{1C2A3444-E0CF-4231-9313-A2C07D4A37EF}"/>
    <cellStyle name="Total 2 6 2" xfId="17893" xr:uid="{42FCD037-A9DE-45A4-9AD0-C86D612E3013}"/>
    <cellStyle name="Total 2 6 2 10" xfId="17894" xr:uid="{FCE32BED-B344-43BB-8249-1F4263DFD524}"/>
    <cellStyle name="Total 2 6 2 11" xfId="17895" xr:uid="{993F1162-AA5C-4511-B262-D9E6394D1B91}"/>
    <cellStyle name="Total 2 6 2 12" xfId="17896" xr:uid="{991AA18D-3B01-4666-AAAA-B7949767F9DA}"/>
    <cellStyle name="Total 2 6 2 13" xfId="17897" xr:uid="{7A600EC3-CD7A-4516-8E7E-14815B16C54D}"/>
    <cellStyle name="Total 2 6 2 14" xfId="17898" xr:uid="{2AB6079B-AD3D-4CCA-930A-2B90BDF53EF8}"/>
    <cellStyle name="Total 2 6 2 15" xfId="17899" xr:uid="{F89EE3F9-88A1-4F6F-B32B-09714660F28A}"/>
    <cellStyle name="Total 2 6 2 16" xfId="17900" xr:uid="{4EC30794-E8D2-4A28-B275-8B9331161AE6}"/>
    <cellStyle name="Total 2 6 2 17" xfId="17901" xr:uid="{88CAB78D-FA68-4F1A-89F4-739EFBE508F9}"/>
    <cellStyle name="Total 2 6 2 18" xfId="17902" xr:uid="{6BEF729D-BC7F-45FB-BEA5-0C1C2DB3674B}"/>
    <cellStyle name="Total 2 6 2 19" xfId="17903" xr:uid="{773728FF-9F8B-4D4E-AD7F-FF2F162B1527}"/>
    <cellStyle name="Total 2 6 2 2" xfId="17904" xr:uid="{F08A886A-00CB-4949-8DC2-F460D8D73A7B}"/>
    <cellStyle name="Total 2 6 2 3" xfId="17905" xr:uid="{E2FA81EA-F961-4129-B5EC-062E01FE7876}"/>
    <cellStyle name="Total 2 6 2 4" xfId="17906" xr:uid="{EA22F4DC-07B0-4346-87A1-205D3AB7F6DE}"/>
    <cellStyle name="Total 2 6 2 5" xfId="17907" xr:uid="{308EADE4-BEC7-4304-839D-58ACF27C93BF}"/>
    <cellStyle name="Total 2 6 2 6" xfId="17908" xr:uid="{F3E857A0-CE43-4D28-9722-29DF4AD7DE09}"/>
    <cellStyle name="Total 2 6 2 7" xfId="17909" xr:uid="{1C6C1243-EB7A-465E-B36A-099F47AB75DB}"/>
    <cellStyle name="Total 2 6 2 8" xfId="17910" xr:uid="{34CE6BEC-D8BB-4718-BC7C-AA6302D04D59}"/>
    <cellStyle name="Total 2 6 2 9" xfId="17911" xr:uid="{9FE3B2B0-BA9B-4503-82EA-BA238B6C0A67}"/>
    <cellStyle name="Total 2 6 2_2013" xfId="17912" xr:uid="{BE192C3C-443C-43A1-B56E-2509E2473C51}"/>
    <cellStyle name="Total 2 6 20" xfId="17913" xr:uid="{E6C79002-90A0-4D76-9781-6D83DBB5A8EA}"/>
    <cellStyle name="Total 2 6 3" xfId="17914" xr:uid="{2AE85DC7-CB80-46F9-8200-F31150E46D6C}"/>
    <cellStyle name="Total 2 6 4" xfId="17915" xr:uid="{A23C8948-2056-4A6A-9F19-5C2A61F9220D}"/>
    <cellStyle name="Total 2 6 5" xfId="17916" xr:uid="{24D6051F-6C40-44EC-95A2-06E8DAA93471}"/>
    <cellStyle name="Total 2 6 6" xfId="17917" xr:uid="{65BD4266-5C4D-44BE-98DD-147877F0472B}"/>
    <cellStyle name="Total 2 6 7" xfId="17918" xr:uid="{3275A847-ADB9-40DA-A7DE-5546A3F2DB26}"/>
    <cellStyle name="Total 2 6 8" xfId="17919" xr:uid="{D916C2F0-38B8-4277-93E3-48C14083D5E2}"/>
    <cellStyle name="Total 2 6 9" xfId="17920" xr:uid="{601937A5-9B8F-4A92-AFD7-5A39207AE7E3}"/>
    <cellStyle name="Total 2 6_2013" xfId="17921" xr:uid="{4861B4A8-9733-478B-800A-EB561B577D31}"/>
    <cellStyle name="Total 2 7" xfId="17922" xr:uid="{1DFC5BA4-B130-4691-8FAA-6D4C4E69B8EA}"/>
    <cellStyle name="Total 2 7 10" xfId="17923" xr:uid="{ECE8DFB5-0A83-4BE4-AD6D-1F52E68B14EF}"/>
    <cellStyle name="Total 2 7 11" xfId="17924" xr:uid="{F1DA23EF-90FA-433A-8CA0-B195FB5F9C5F}"/>
    <cellStyle name="Total 2 7 12" xfId="17925" xr:uid="{5A7480C3-F919-414B-A5FE-E3815E5A6753}"/>
    <cellStyle name="Total 2 7 13" xfId="17926" xr:uid="{871BD3E6-7384-4C83-B54C-9DA07F4C5843}"/>
    <cellStyle name="Total 2 7 14" xfId="17927" xr:uid="{F3B72522-B8F2-45D5-B5C6-DF4F21D2A63C}"/>
    <cellStyle name="Total 2 7 15" xfId="17928" xr:uid="{D56DBCDB-7A8E-4C94-A819-D5EDECDABFDB}"/>
    <cellStyle name="Total 2 7 16" xfId="17929" xr:uid="{8743A4E8-FE8C-490A-9D19-A44AE33D6470}"/>
    <cellStyle name="Total 2 7 17" xfId="17930" xr:uid="{49BF8C2C-28F6-4B7C-9F00-77E257AC691A}"/>
    <cellStyle name="Total 2 7 18" xfId="17931" xr:uid="{849E1540-A9C9-47CB-A229-6E9BCE6A2F78}"/>
    <cellStyle name="Total 2 7 19" xfId="17932" xr:uid="{40FB535A-4922-4C4F-B32E-FC65E8B1257A}"/>
    <cellStyle name="Total 2 7 2" xfId="17933" xr:uid="{BF35CF81-F00D-46FB-991D-F15AEFF7CE91}"/>
    <cellStyle name="Total 2 7 2 10" xfId="17934" xr:uid="{55993B4E-8D9C-4E1C-BDA0-7252E95711AA}"/>
    <cellStyle name="Total 2 7 2 11" xfId="17935" xr:uid="{F2577995-0B6E-453A-97DD-299D335D5F4E}"/>
    <cellStyle name="Total 2 7 2 12" xfId="17936" xr:uid="{B8AD1337-59DC-4D26-8004-A28588DA8583}"/>
    <cellStyle name="Total 2 7 2 13" xfId="17937" xr:uid="{B579F2ED-48DE-4B12-8F9E-4BF24C40E413}"/>
    <cellStyle name="Total 2 7 2 14" xfId="17938" xr:uid="{7D96EDB2-BB47-470A-93C5-B439B3FE2DC1}"/>
    <cellStyle name="Total 2 7 2 15" xfId="17939" xr:uid="{AB9C82DC-B433-468B-879D-BFFC723BE77F}"/>
    <cellStyle name="Total 2 7 2 16" xfId="17940" xr:uid="{6FD9F23E-87E3-4DF2-8226-CEA62A4222D7}"/>
    <cellStyle name="Total 2 7 2 17" xfId="17941" xr:uid="{C8EE1462-E5B8-4436-BC84-EAF866B346C6}"/>
    <cellStyle name="Total 2 7 2 18" xfId="17942" xr:uid="{4C606988-76EB-44AE-82C2-464059FE5D46}"/>
    <cellStyle name="Total 2 7 2 19" xfId="17943" xr:uid="{0E02C244-8790-4554-AB9B-01046394C97D}"/>
    <cellStyle name="Total 2 7 2 2" xfId="17944" xr:uid="{7ED0403A-3C75-4300-AF6C-FEA9B0050E92}"/>
    <cellStyle name="Total 2 7 2 3" xfId="17945" xr:uid="{5C01659F-4AEB-4DB5-8309-509B9E560336}"/>
    <cellStyle name="Total 2 7 2 4" xfId="17946" xr:uid="{C6E221DC-037B-4670-A793-A519A450538D}"/>
    <cellStyle name="Total 2 7 2 5" xfId="17947" xr:uid="{DD6C0128-5FA1-4BC9-9D61-44DB2183D71E}"/>
    <cellStyle name="Total 2 7 2 6" xfId="17948" xr:uid="{842B56D6-D86B-4AEB-A7D2-352017B2CF21}"/>
    <cellStyle name="Total 2 7 2 7" xfId="17949" xr:uid="{78ADADF3-FCB4-4430-811F-411BF574AA7A}"/>
    <cellStyle name="Total 2 7 2 8" xfId="17950" xr:uid="{FFC0803C-BF85-4E47-A14E-66AADD2FEEF1}"/>
    <cellStyle name="Total 2 7 2 9" xfId="17951" xr:uid="{36B57C50-5758-43FA-AC06-9D8B1987AFF3}"/>
    <cellStyle name="Total 2 7 2_2013" xfId="17952" xr:uid="{FE912651-8811-41E1-B586-EECB38CB242D}"/>
    <cellStyle name="Total 2 7 20" xfId="17953" xr:uid="{1F663A95-0460-4E66-88F5-DCD26EB438AA}"/>
    <cellStyle name="Total 2 7 3" xfId="17954" xr:uid="{40D11248-A377-4E5D-A633-473C219901E2}"/>
    <cellStyle name="Total 2 7 4" xfId="17955" xr:uid="{C25C9D6D-9279-4BAB-BB4D-388DA831F64B}"/>
    <cellStyle name="Total 2 7 5" xfId="17956" xr:uid="{C0F9948D-E49C-409B-974D-3C4CCF59CD35}"/>
    <cellStyle name="Total 2 7 6" xfId="17957" xr:uid="{51CE1E8B-2480-4EB8-8F32-89B32AAB264F}"/>
    <cellStyle name="Total 2 7 7" xfId="17958" xr:uid="{78334E4C-F925-4F3C-A8F6-0E2255E14414}"/>
    <cellStyle name="Total 2 7 8" xfId="17959" xr:uid="{72223B87-0E60-4B92-A35C-AF095C337201}"/>
    <cellStyle name="Total 2 7 9" xfId="17960" xr:uid="{65293C06-131B-47F8-8C38-F45872CFC806}"/>
    <cellStyle name="Total 2 7_2013" xfId="17961" xr:uid="{37BF4C80-D749-445A-AFCA-5E2958577851}"/>
    <cellStyle name="Total 2 8" xfId="17962" xr:uid="{58B8076B-A972-437E-9A10-46678B688A63}"/>
    <cellStyle name="Total 2 8 10" xfId="17963" xr:uid="{DD1E17DF-6EC9-4DEE-987A-9647A40EC15D}"/>
    <cellStyle name="Total 2 8 11" xfId="17964" xr:uid="{B97A58FE-FA19-4B38-A629-D46A25A9DA48}"/>
    <cellStyle name="Total 2 8 12" xfId="17965" xr:uid="{39332A82-C810-4FAB-9CD6-72F64A44AB22}"/>
    <cellStyle name="Total 2 8 13" xfId="17966" xr:uid="{88F714EF-23D6-4AE7-8A97-C073DE3E4E3D}"/>
    <cellStyle name="Total 2 8 14" xfId="17967" xr:uid="{FB983A6B-6376-4F84-801A-542D6318B320}"/>
    <cellStyle name="Total 2 8 15" xfId="17968" xr:uid="{C16A4952-48F5-4EB3-9E91-E951F2E25645}"/>
    <cellStyle name="Total 2 8 16" xfId="17969" xr:uid="{D7D81B6C-5305-49CD-8AA3-5D0D1CBB4DBA}"/>
    <cellStyle name="Total 2 8 17" xfId="17970" xr:uid="{14BFFDCA-7E15-48A1-A665-07FFD74A32F5}"/>
    <cellStyle name="Total 2 8 18" xfId="17971" xr:uid="{BF76BB22-EEA5-45BF-98AB-06E0719ABDEF}"/>
    <cellStyle name="Total 2 8 19" xfId="17972" xr:uid="{7B3C08C5-D9DF-45B4-AF70-19DE049BB7F5}"/>
    <cellStyle name="Total 2 8 2" xfId="17973" xr:uid="{5F3629A1-9E22-45F7-8302-41DEDDA52225}"/>
    <cellStyle name="Total 2 8 3" xfId="17974" xr:uid="{A5C92C0E-9626-441A-B08B-94EB39A82DBD}"/>
    <cellStyle name="Total 2 8 4" xfId="17975" xr:uid="{47E9D1CF-44C0-4172-8B77-8DC162D08729}"/>
    <cellStyle name="Total 2 8 5" xfId="17976" xr:uid="{697F6DDF-884A-4B51-BC1D-499D6172D63D}"/>
    <cellStyle name="Total 2 8 6" xfId="17977" xr:uid="{DA5BA686-A4C9-480B-9272-DF75AC99A553}"/>
    <cellStyle name="Total 2 8 7" xfId="17978" xr:uid="{49044BF5-581A-4290-90A3-E5AC6B15FF8D}"/>
    <cellStyle name="Total 2 8 8" xfId="17979" xr:uid="{F6F5B344-59FF-4396-87B1-AA3AF1BB61CD}"/>
    <cellStyle name="Total 2 8 9" xfId="17980" xr:uid="{8BCB37EF-45DB-4AD4-95DD-5D6BCE82D354}"/>
    <cellStyle name="Total 2 8_2013" xfId="17981" xr:uid="{1BD2D74F-46DD-4D27-8243-55FF678D9310}"/>
    <cellStyle name="Total 2 9" xfId="17982" xr:uid="{95D43637-313C-4B88-BF8D-2E663EDE5B19}"/>
    <cellStyle name="Total 2_2013" xfId="17983" xr:uid="{44CDDEAE-E758-4F8D-82E0-8453437BF60C}"/>
    <cellStyle name="Total 3" xfId="17984" xr:uid="{AF8EBD2A-B561-4F1D-9CCD-EA27CABBC6BD}"/>
    <cellStyle name="Total 3 10" xfId="17985" xr:uid="{53222EBD-5FFE-4E20-8C75-9AC52CF6D83F}"/>
    <cellStyle name="Total 3 11" xfId="17986" xr:uid="{920DC5D2-FD34-458B-BDB0-BD9C07379891}"/>
    <cellStyle name="Total 3 12" xfId="17987" xr:uid="{D2419185-9D61-47F3-A174-424BA50C4AA4}"/>
    <cellStyle name="Total 3 13" xfId="17988" xr:uid="{F98638E8-EFFD-40E1-82A9-4D5B6752E9D3}"/>
    <cellStyle name="Total 3 14" xfId="17989" xr:uid="{74D316B0-9081-4D2C-82EE-BEF37C154C06}"/>
    <cellStyle name="Total 3 15" xfId="17990" xr:uid="{0CC54F72-3AA0-40D5-86F5-077F37ED50BC}"/>
    <cellStyle name="Total 3 16" xfId="17991" xr:uid="{CD8DD7B2-F525-4ED7-AB37-2FF31F81BFE0}"/>
    <cellStyle name="Total 3 17" xfId="17992" xr:uid="{C8EA4462-E57E-46FF-924B-38BDA9EEA436}"/>
    <cellStyle name="Total 3 18" xfId="17993" xr:uid="{7BB4BCDC-352F-4389-AD83-0FABC14C9A3E}"/>
    <cellStyle name="Total 3 19" xfId="17994" xr:uid="{9C34DCD4-401A-4741-9920-92FA031B62BE}"/>
    <cellStyle name="Total 3 2" xfId="17995" xr:uid="{56116090-DA96-47AC-8FCC-2EF5ED1F211F}"/>
    <cellStyle name="Total 3 2 10" xfId="17996" xr:uid="{92A2EC62-8BDC-4AB0-BBF5-D35C4E14C158}"/>
    <cellStyle name="Total 3 2 11" xfId="17997" xr:uid="{9413AD62-0707-4A39-A940-1A33F4518ABE}"/>
    <cellStyle name="Total 3 2 12" xfId="17998" xr:uid="{5A6207D9-62E2-40A6-B389-BA277A121898}"/>
    <cellStyle name="Total 3 2 13" xfId="17999" xr:uid="{F4952404-F285-4E4D-9297-7175317DB55C}"/>
    <cellStyle name="Total 3 2 14" xfId="18000" xr:uid="{EEB42A70-57C7-41CF-958D-72E23D6D5766}"/>
    <cellStyle name="Total 3 2 15" xfId="18001" xr:uid="{5AA4C0FF-2254-43B6-B12B-8E5359E2AB8E}"/>
    <cellStyle name="Total 3 2 16" xfId="18002" xr:uid="{EB9EBE36-C6C8-4CDA-8DE4-D5616107AA15}"/>
    <cellStyle name="Total 3 2 17" xfId="18003" xr:uid="{09AE4600-B432-40C8-A20A-8E38F86260F5}"/>
    <cellStyle name="Total 3 2 18" xfId="18004" xr:uid="{F656B864-8009-43A7-A68B-2A78806641D2}"/>
    <cellStyle name="Total 3 2 19" xfId="18005" xr:uid="{6DD8F785-27AB-4B68-BEF9-3663EFF8A9B0}"/>
    <cellStyle name="Total 3 2 2" xfId="18006" xr:uid="{F48A818F-EB72-4B75-A511-1B2B472BAEB0}"/>
    <cellStyle name="Total 3 2 2 10" xfId="18007" xr:uid="{4625F855-9FBD-45A4-B513-B3498A384235}"/>
    <cellStyle name="Total 3 2 2 11" xfId="18008" xr:uid="{434EDF1F-C620-4D48-B629-A2DF9A71A6FB}"/>
    <cellStyle name="Total 3 2 2 12" xfId="18009" xr:uid="{4BA3DBD4-22F0-4067-82AD-2CF879A605FD}"/>
    <cellStyle name="Total 3 2 2 13" xfId="18010" xr:uid="{81B32FDD-7F7A-41A5-ABF6-1FB25EAD6D2C}"/>
    <cellStyle name="Total 3 2 2 14" xfId="18011" xr:uid="{303CE32A-109C-4E71-BDE2-603F16E0BB0E}"/>
    <cellStyle name="Total 3 2 2 15" xfId="18012" xr:uid="{89528F68-CA65-4234-8CB5-2628B4A21BEF}"/>
    <cellStyle name="Total 3 2 2 16" xfId="18013" xr:uid="{B8952B08-569F-48C9-9D77-C0A9FFBC849D}"/>
    <cellStyle name="Total 3 2 2 17" xfId="18014" xr:uid="{3DA1F389-AF0A-40B1-97ED-8968E081FE27}"/>
    <cellStyle name="Total 3 2 2 18" xfId="18015" xr:uid="{C912B290-CF00-44F9-BC86-76E90BB48EE0}"/>
    <cellStyle name="Total 3 2 2 19" xfId="18016" xr:uid="{1E0CF3E7-D04C-4549-A964-61A347676397}"/>
    <cellStyle name="Total 3 2 2 2" xfId="18017" xr:uid="{AEEBC7A7-807D-4340-A7F0-A654B45CC850}"/>
    <cellStyle name="Total 3 2 2 2 10" xfId="18018" xr:uid="{FDE7C433-95D4-41BA-BAA2-9C9B7D921F0F}"/>
    <cellStyle name="Total 3 2 2 2 11" xfId="18019" xr:uid="{B06A6ECF-0876-4C8F-8569-72126BF2C950}"/>
    <cellStyle name="Total 3 2 2 2 12" xfId="18020" xr:uid="{B9983CF5-372A-4D35-9DA8-C78873F82CB6}"/>
    <cellStyle name="Total 3 2 2 2 13" xfId="18021" xr:uid="{452F3CEC-F38F-4219-9D43-F61FC033AB5F}"/>
    <cellStyle name="Total 3 2 2 2 14" xfId="18022" xr:uid="{5749F1C9-37C9-4F0D-9F21-38B2264D78BA}"/>
    <cellStyle name="Total 3 2 2 2 15" xfId="18023" xr:uid="{D07A1F1E-19A6-4553-8BA2-CD6A0931E417}"/>
    <cellStyle name="Total 3 2 2 2 16" xfId="18024" xr:uid="{07421A71-7E3B-4404-84AF-0E176DC1348E}"/>
    <cellStyle name="Total 3 2 2 2 17" xfId="18025" xr:uid="{C0B9DAE7-F44A-4491-AC5E-2D03CD8AC4D6}"/>
    <cellStyle name="Total 3 2 2 2 18" xfId="18026" xr:uid="{BA49F921-7C70-462D-8422-D348529541C8}"/>
    <cellStyle name="Total 3 2 2 2 19" xfId="18027" xr:uid="{7D5B1F42-DC85-445F-9D10-59252DA0BD88}"/>
    <cellStyle name="Total 3 2 2 2 2" xfId="18028" xr:uid="{7937710F-19E7-4A4F-8420-45E02AA58982}"/>
    <cellStyle name="Total 3 2 2 2 3" xfId="18029" xr:uid="{4CBA6875-00C5-4A7A-BA75-CF39707F53AD}"/>
    <cellStyle name="Total 3 2 2 2 4" xfId="18030" xr:uid="{B11670B8-6BB5-4A98-A63C-B14D9302BCC6}"/>
    <cellStyle name="Total 3 2 2 2 5" xfId="18031" xr:uid="{0BBB9C70-1D4C-4143-A56C-7016588E917C}"/>
    <cellStyle name="Total 3 2 2 2 6" xfId="18032" xr:uid="{ABA93816-8735-435A-A8C2-CD80799BE27D}"/>
    <cellStyle name="Total 3 2 2 2 7" xfId="18033" xr:uid="{B08BCE00-40DE-4288-A52C-36CBFCEEA62C}"/>
    <cellStyle name="Total 3 2 2 2 8" xfId="18034" xr:uid="{57A104F7-2BE9-49C8-8712-FD1659FA0211}"/>
    <cellStyle name="Total 3 2 2 2 9" xfId="18035" xr:uid="{8E2C91E4-61F3-4CAA-937D-38FC0D19EC22}"/>
    <cellStyle name="Total 3 2 2 2_2013" xfId="18036" xr:uid="{952B1B23-31A4-47E9-9F25-62AD5F437B93}"/>
    <cellStyle name="Total 3 2 2 20" xfId="18037" xr:uid="{43589ED4-56E4-4DB3-82FD-6CA11236D674}"/>
    <cellStyle name="Total 3 2 2 3" xfId="18038" xr:uid="{9FDD1297-EAF1-4578-8C34-DA45CD0532E0}"/>
    <cellStyle name="Total 3 2 2 4" xfId="18039" xr:uid="{78F43DFB-D790-4350-8D1A-DE6FFC8393E3}"/>
    <cellStyle name="Total 3 2 2 5" xfId="18040" xr:uid="{F415934A-20B0-4B0C-B6ED-A62A5D948286}"/>
    <cellStyle name="Total 3 2 2 6" xfId="18041" xr:uid="{0159F140-3247-460D-808B-B76B3248F866}"/>
    <cellStyle name="Total 3 2 2 7" xfId="18042" xr:uid="{0203F0F0-28E7-422E-992A-EF4EC96304B8}"/>
    <cellStyle name="Total 3 2 2 8" xfId="18043" xr:uid="{D4F6A5E8-40D5-4E45-B621-06CB2D683500}"/>
    <cellStyle name="Total 3 2 2 9" xfId="18044" xr:uid="{C6C73920-651D-4DDF-BEE7-F88389958040}"/>
    <cellStyle name="Total 3 2 2_2013" xfId="18045" xr:uid="{3A20BD78-EA8F-467F-902C-DCD004DD9A39}"/>
    <cellStyle name="Total 3 2 20" xfId="18046" xr:uid="{37AAEE66-D2E3-4FB1-951D-828422FE7E46}"/>
    <cellStyle name="Total 3 2 21" xfId="18047" xr:uid="{272FD9F0-96B3-40C1-A60C-988959659EF2}"/>
    <cellStyle name="Total 3 2 22" xfId="18048" xr:uid="{1D5B608C-FCC3-46F0-9C16-87F3147A72B1}"/>
    <cellStyle name="Total 3 2 3" xfId="18049" xr:uid="{50C20808-B408-4C05-A12A-B20E9620D2B5}"/>
    <cellStyle name="Total 3 2 3 10" xfId="18050" xr:uid="{3ACDE97E-FEC0-4AAE-83BA-15072746A146}"/>
    <cellStyle name="Total 3 2 3 11" xfId="18051" xr:uid="{619B0EC9-09F4-4B20-8817-B051876682A7}"/>
    <cellStyle name="Total 3 2 3 12" xfId="18052" xr:uid="{8BEBE30B-2D64-4929-B120-0872F909B0F3}"/>
    <cellStyle name="Total 3 2 3 13" xfId="18053" xr:uid="{541D7C16-29C1-4050-B868-AA79D2C1FB90}"/>
    <cellStyle name="Total 3 2 3 14" xfId="18054" xr:uid="{EDDE5F9C-DBF7-40BB-85D6-002C36A9793F}"/>
    <cellStyle name="Total 3 2 3 15" xfId="18055" xr:uid="{4967937D-CF73-4B93-8831-9887AB4B6804}"/>
    <cellStyle name="Total 3 2 3 16" xfId="18056" xr:uid="{E6BFA731-0434-4389-AFC9-9836A4E8BFD4}"/>
    <cellStyle name="Total 3 2 3 17" xfId="18057" xr:uid="{1040E830-8642-4137-B743-8B97442597F4}"/>
    <cellStyle name="Total 3 2 3 18" xfId="18058" xr:uid="{4901C964-7984-4322-950E-66AF245E6209}"/>
    <cellStyle name="Total 3 2 3 19" xfId="18059" xr:uid="{F2F7F672-7DFF-475C-BDC4-8A3473B404D8}"/>
    <cellStyle name="Total 3 2 3 2" xfId="18060" xr:uid="{0927AC5D-D6EE-45FB-BD8C-9DDC592B5929}"/>
    <cellStyle name="Total 3 2 3 2 10" xfId="18061" xr:uid="{0B5C91BA-FD37-4A23-A2FD-424C8775A4EC}"/>
    <cellStyle name="Total 3 2 3 2 11" xfId="18062" xr:uid="{BF583370-FE24-438A-9938-7F171B306847}"/>
    <cellStyle name="Total 3 2 3 2 12" xfId="18063" xr:uid="{C376020B-7D74-4A64-9840-3858D6330F93}"/>
    <cellStyle name="Total 3 2 3 2 13" xfId="18064" xr:uid="{A916F5DE-5C92-47FE-9302-3EC9D025F538}"/>
    <cellStyle name="Total 3 2 3 2 14" xfId="18065" xr:uid="{1DF3C183-5113-4457-81A0-BC1ACEB3F3C6}"/>
    <cellStyle name="Total 3 2 3 2 15" xfId="18066" xr:uid="{49FB1094-C845-41C2-826F-35E425017676}"/>
    <cellStyle name="Total 3 2 3 2 16" xfId="18067" xr:uid="{8A70D36A-3234-422F-9F15-4B1E5C6B32EB}"/>
    <cellStyle name="Total 3 2 3 2 17" xfId="18068" xr:uid="{E2B20A54-D96C-4E0D-8547-9EBA693C8404}"/>
    <cellStyle name="Total 3 2 3 2 18" xfId="18069" xr:uid="{F8F3F5EF-3BE4-4B5E-A14D-6A014EEBC474}"/>
    <cellStyle name="Total 3 2 3 2 19" xfId="18070" xr:uid="{F0E4E41D-AA2B-421D-B4A3-BCBECF2BB723}"/>
    <cellStyle name="Total 3 2 3 2 2" xfId="18071" xr:uid="{8A0D8151-F001-4804-8CD6-22C291908E02}"/>
    <cellStyle name="Total 3 2 3 2 3" xfId="18072" xr:uid="{503D236E-F202-44CA-AB09-F806FE46BF16}"/>
    <cellStyle name="Total 3 2 3 2 4" xfId="18073" xr:uid="{DE6330A0-43C3-4308-8A69-AEE563DF7129}"/>
    <cellStyle name="Total 3 2 3 2 5" xfId="18074" xr:uid="{37DD7DD0-0F43-48C1-9A9C-025BE431AD0F}"/>
    <cellStyle name="Total 3 2 3 2 6" xfId="18075" xr:uid="{A172D122-E4E6-4440-85A3-2B93311BDFAB}"/>
    <cellStyle name="Total 3 2 3 2 7" xfId="18076" xr:uid="{4EB1502E-D976-4E97-8FC9-0919E7C6C8BD}"/>
    <cellStyle name="Total 3 2 3 2 8" xfId="18077" xr:uid="{DB410284-6013-459C-99BA-C1E9837C9ACB}"/>
    <cellStyle name="Total 3 2 3 2 9" xfId="18078" xr:uid="{82ABF0AF-23D1-4F36-B2A3-005F829656EA}"/>
    <cellStyle name="Total 3 2 3 2_2013" xfId="18079" xr:uid="{B7AE7557-816F-4381-BB7A-F288FF99586F}"/>
    <cellStyle name="Total 3 2 3 20" xfId="18080" xr:uid="{F4C6BDC0-ADD3-4982-9307-B0F090820301}"/>
    <cellStyle name="Total 3 2 3 3" xfId="18081" xr:uid="{8A335AE5-FF4F-4398-9B45-AA4FBBF20399}"/>
    <cellStyle name="Total 3 2 3 4" xfId="18082" xr:uid="{0A370F5D-6EFE-44F4-B97E-FD59D69A7531}"/>
    <cellStyle name="Total 3 2 3 5" xfId="18083" xr:uid="{8C3929F5-A352-4CD9-8FBB-C517EB29C31F}"/>
    <cellStyle name="Total 3 2 3 6" xfId="18084" xr:uid="{063017B6-A522-4163-A223-AB4D536C0F12}"/>
    <cellStyle name="Total 3 2 3 7" xfId="18085" xr:uid="{782B0111-3A85-4EE1-BD06-0D41D8E0E682}"/>
    <cellStyle name="Total 3 2 3 8" xfId="18086" xr:uid="{62012B8F-64BB-4DF6-83B2-C029F3158E78}"/>
    <cellStyle name="Total 3 2 3 9" xfId="18087" xr:uid="{CA4CEB1D-FC66-472F-9A04-D2B5B505D8E9}"/>
    <cellStyle name="Total 3 2 3_2013" xfId="18088" xr:uid="{BC676923-7EF1-4A78-A8E1-32B753FD84DB}"/>
    <cellStyle name="Total 3 2 4" xfId="18089" xr:uid="{3190A294-7E4B-4F90-845D-CCF19D0D163B}"/>
    <cellStyle name="Total 3 2 4 10" xfId="18090" xr:uid="{597878B1-2E21-45A4-B5D3-9AA0497758DC}"/>
    <cellStyle name="Total 3 2 4 11" xfId="18091" xr:uid="{3A7BB5FA-0ECD-4F81-9B36-2581E74B44A9}"/>
    <cellStyle name="Total 3 2 4 12" xfId="18092" xr:uid="{C7F81813-AEE7-41CB-894D-12026B5AEE82}"/>
    <cellStyle name="Total 3 2 4 13" xfId="18093" xr:uid="{50FBB5C3-2AE4-43C7-8CCE-256FECDF225F}"/>
    <cellStyle name="Total 3 2 4 14" xfId="18094" xr:uid="{6C5920A9-E193-4FD4-A9BB-CCA311E4C0D6}"/>
    <cellStyle name="Total 3 2 4 15" xfId="18095" xr:uid="{05BE9185-89BC-4E77-BCD2-E39EBB359363}"/>
    <cellStyle name="Total 3 2 4 16" xfId="18096" xr:uid="{DAB7DF4D-2816-45C8-A951-AA928D1F8D91}"/>
    <cellStyle name="Total 3 2 4 17" xfId="18097" xr:uid="{D4703916-A4E1-492F-90D5-469B50A1EED4}"/>
    <cellStyle name="Total 3 2 4 18" xfId="18098" xr:uid="{7231A643-F13E-4D10-8F71-9A5106007971}"/>
    <cellStyle name="Total 3 2 4 19" xfId="18099" xr:uid="{918A04B3-8E7A-4ADC-940C-96D5A52C0AC5}"/>
    <cellStyle name="Total 3 2 4 2" xfId="18100" xr:uid="{8263F6FC-42D8-4935-9843-A561FD97F027}"/>
    <cellStyle name="Total 3 2 4 3" xfId="18101" xr:uid="{7ABED74E-632B-4190-AD2F-F582CA96E71F}"/>
    <cellStyle name="Total 3 2 4 4" xfId="18102" xr:uid="{2F01A8FC-F733-4A74-9981-ADB164EC9C3E}"/>
    <cellStyle name="Total 3 2 4 5" xfId="18103" xr:uid="{64F09A14-1D76-499E-A5C5-B87C080B6C5D}"/>
    <cellStyle name="Total 3 2 4 6" xfId="18104" xr:uid="{5C2DBA4B-4D96-4BA6-90F5-67E1C58DBC5E}"/>
    <cellStyle name="Total 3 2 4 7" xfId="18105" xr:uid="{7F2E75EC-7B49-41A2-83CB-A138D51377EF}"/>
    <cellStyle name="Total 3 2 4 8" xfId="18106" xr:uid="{C8A2AC7D-8DC4-4963-AA7D-1B29A519C47B}"/>
    <cellStyle name="Total 3 2 4 9" xfId="18107" xr:uid="{80AC9431-E42B-4708-AD35-8969EEF00D83}"/>
    <cellStyle name="Total 3 2 4_2013" xfId="18108" xr:uid="{4D90633C-1283-4E52-8AE7-46143B513802}"/>
    <cellStyle name="Total 3 2 5" xfId="18109" xr:uid="{16968836-F3C3-4D8F-B748-5D6F65E870EE}"/>
    <cellStyle name="Total 3 2 6" xfId="18110" xr:uid="{8CE8EC9E-061E-4C1C-96BF-44294232577C}"/>
    <cellStyle name="Total 3 2 7" xfId="18111" xr:uid="{FF10176F-F2A9-4528-B5A6-43DF257F297C}"/>
    <cellStyle name="Total 3 2 8" xfId="18112" xr:uid="{886C4D29-EAE1-4DE0-AC89-2AD83F8FE110}"/>
    <cellStyle name="Total 3 2 9" xfId="18113" xr:uid="{A20095CD-687F-4D75-953A-A417879B15BD}"/>
    <cellStyle name="Total 3 2_2013" xfId="18114" xr:uid="{160787FD-5CD0-4FAB-9604-B8443E84F105}"/>
    <cellStyle name="Total 3 20" xfId="18115" xr:uid="{E14DD1E0-4AA3-4159-B844-20780B173A5A}"/>
    <cellStyle name="Total 3 21" xfId="18116" xr:uid="{D12B992F-5219-48DB-AE2F-23013766B504}"/>
    <cellStyle name="Total 3 22" xfId="18117" xr:uid="{E13B0F54-25CA-4337-8086-84BBD8FD875D}"/>
    <cellStyle name="Total 3 23" xfId="18118" xr:uid="{769CF86D-8379-4D8F-8DEB-4BBFD8F36B77}"/>
    <cellStyle name="Total 3 24" xfId="18119" xr:uid="{CF0BE22C-B741-4599-8160-BCE98B041F6B}"/>
    <cellStyle name="Total 3 25" xfId="18120" xr:uid="{CEBBE0CC-997B-4F7F-B669-8B476A1DE995}"/>
    <cellStyle name="Total 3 3" xfId="18121" xr:uid="{A64D5EAA-7601-4032-87BB-68AA7F523746}"/>
    <cellStyle name="Total 3 3 10" xfId="18122" xr:uid="{4C57F3A5-228D-4724-8D52-001095CE949B}"/>
    <cellStyle name="Total 3 3 11" xfId="18123" xr:uid="{2609849B-D6B9-4200-AB54-3F35F2666FAA}"/>
    <cellStyle name="Total 3 3 12" xfId="18124" xr:uid="{9F4F1157-7DD6-4620-BA3C-3C3868B1D9E5}"/>
    <cellStyle name="Total 3 3 13" xfId="18125" xr:uid="{DC4FB5C3-B544-4055-9B55-243632A2E1E9}"/>
    <cellStyle name="Total 3 3 14" xfId="18126" xr:uid="{7F0C8BA3-A9F1-4DE5-9B9C-08DBC280606C}"/>
    <cellStyle name="Total 3 3 15" xfId="18127" xr:uid="{F6B908F8-F9D4-4037-985E-B9AF75B36FF7}"/>
    <cellStyle name="Total 3 3 16" xfId="18128" xr:uid="{668179A9-86B2-4A18-A1DF-2C9A382E24C4}"/>
    <cellStyle name="Total 3 3 17" xfId="18129" xr:uid="{67FEA89E-9D30-409B-A30D-CC7BEA84ED2A}"/>
    <cellStyle name="Total 3 3 18" xfId="18130" xr:uid="{C665F4D9-61C1-462F-821C-465A5F5BC2CA}"/>
    <cellStyle name="Total 3 3 19" xfId="18131" xr:uid="{69E1EE5C-B6DA-4FC6-AA21-3A5C0B9C54C5}"/>
    <cellStyle name="Total 3 3 2" xfId="18132" xr:uid="{C3E444AF-8FEC-490F-AE89-72A3BF756AC1}"/>
    <cellStyle name="Total 3 3 2 10" xfId="18133" xr:uid="{411C9909-5E52-46DF-B8C6-1E1F58A31D61}"/>
    <cellStyle name="Total 3 3 2 11" xfId="18134" xr:uid="{7291F7E5-47C5-4628-B255-B28D73D6463F}"/>
    <cellStyle name="Total 3 3 2 12" xfId="18135" xr:uid="{898BAD1B-CF42-4ED4-BFEC-33651BE9F0D1}"/>
    <cellStyle name="Total 3 3 2 13" xfId="18136" xr:uid="{0B041F18-A9F4-4BD1-BC78-971BDD18D256}"/>
    <cellStyle name="Total 3 3 2 14" xfId="18137" xr:uid="{E3327DC6-825B-4C20-99CA-FCB3E6EEDF06}"/>
    <cellStyle name="Total 3 3 2 15" xfId="18138" xr:uid="{5E79076C-AD77-4D13-A669-6F400D5188B3}"/>
    <cellStyle name="Total 3 3 2 16" xfId="18139" xr:uid="{9F4F2CC3-DDD4-4738-92C8-1E127CC3A655}"/>
    <cellStyle name="Total 3 3 2 17" xfId="18140" xr:uid="{CC9903FD-ADD6-4CCB-8418-25F877488E41}"/>
    <cellStyle name="Total 3 3 2 18" xfId="18141" xr:uid="{D962C93D-B63A-4F1F-A779-4ADE20779177}"/>
    <cellStyle name="Total 3 3 2 19" xfId="18142" xr:uid="{BAA1C12E-278B-433D-B703-A028A191EB3A}"/>
    <cellStyle name="Total 3 3 2 2" xfId="18143" xr:uid="{9E2189F1-44F9-4942-8DB9-CFC8447378C3}"/>
    <cellStyle name="Total 3 3 2 2 10" xfId="18144" xr:uid="{79006695-3BF3-4E98-8050-5FF82CC93021}"/>
    <cellStyle name="Total 3 3 2 2 11" xfId="18145" xr:uid="{7013C9E6-E464-4A33-A84E-7E27B4BE95EC}"/>
    <cellStyle name="Total 3 3 2 2 12" xfId="18146" xr:uid="{96FBD68D-C876-4EAC-91CE-E1A2C21D5B6D}"/>
    <cellStyle name="Total 3 3 2 2 13" xfId="18147" xr:uid="{1FBB4978-FF89-4CF0-B78E-4CFEACAD07DF}"/>
    <cellStyle name="Total 3 3 2 2 14" xfId="18148" xr:uid="{980A0A06-21C7-4EE3-BEF5-1F513BD42CAC}"/>
    <cellStyle name="Total 3 3 2 2 15" xfId="18149" xr:uid="{97833556-6184-4E8C-B1C7-329228D97F69}"/>
    <cellStyle name="Total 3 3 2 2 16" xfId="18150" xr:uid="{E35D7B67-8AA2-4B71-8C2F-620F27C0ABEA}"/>
    <cellStyle name="Total 3 3 2 2 17" xfId="18151" xr:uid="{0604DF12-21F8-4848-A813-4B5FAB325B59}"/>
    <cellStyle name="Total 3 3 2 2 18" xfId="18152" xr:uid="{03EDCC82-FC12-4A60-903E-3D5273E82FBD}"/>
    <cellStyle name="Total 3 3 2 2 19" xfId="18153" xr:uid="{242F64B4-8301-4276-A77A-D883154A6D2C}"/>
    <cellStyle name="Total 3 3 2 2 2" xfId="18154" xr:uid="{03100672-BC3F-4193-808C-8EB3B2946381}"/>
    <cellStyle name="Total 3 3 2 2 3" xfId="18155" xr:uid="{C485C5E1-7049-413F-B0C3-39D3D9FDDA2C}"/>
    <cellStyle name="Total 3 3 2 2 4" xfId="18156" xr:uid="{117EDEC9-A18C-4851-803B-EE18E70F3BA0}"/>
    <cellStyle name="Total 3 3 2 2 5" xfId="18157" xr:uid="{B97AEC6C-0CC6-4C15-850D-4FA898DAA178}"/>
    <cellStyle name="Total 3 3 2 2 6" xfId="18158" xr:uid="{C11C412E-AE56-45A2-9CCB-5C19B9195713}"/>
    <cellStyle name="Total 3 3 2 2 7" xfId="18159" xr:uid="{E4CB5131-BB47-4603-A9B1-536C6750B14E}"/>
    <cellStyle name="Total 3 3 2 2 8" xfId="18160" xr:uid="{E6C130C2-4420-43CC-BB24-88B3BD487626}"/>
    <cellStyle name="Total 3 3 2 2 9" xfId="18161" xr:uid="{1BFF0962-6BA6-41ED-9BE1-FDD81188EB77}"/>
    <cellStyle name="Total 3 3 2 2_2013" xfId="18162" xr:uid="{683EF2DD-16C8-4528-B867-E3AEC0DF3543}"/>
    <cellStyle name="Total 3 3 2 20" xfId="18163" xr:uid="{FE17BD64-2DCD-4FAA-A903-D8F53EE2920B}"/>
    <cellStyle name="Total 3 3 2 3" xfId="18164" xr:uid="{5546FCB9-01D3-4B3E-922F-280F08BE031F}"/>
    <cellStyle name="Total 3 3 2 4" xfId="18165" xr:uid="{21AC466B-491E-4967-AC08-6A0BEB9269C3}"/>
    <cellStyle name="Total 3 3 2 5" xfId="18166" xr:uid="{DBF833BB-E7BE-4C0C-B5D0-4DE201BC62A8}"/>
    <cellStyle name="Total 3 3 2 6" xfId="18167" xr:uid="{C72FB77A-5790-410D-B4CA-2858D86A39C1}"/>
    <cellStyle name="Total 3 3 2 7" xfId="18168" xr:uid="{B4B243AE-5DDF-4AD9-B80D-7714F21AC66D}"/>
    <cellStyle name="Total 3 3 2 8" xfId="18169" xr:uid="{88860D7E-BE54-40A0-BD05-031625670D30}"/>
    <cellStyle name="Total 3 3 2 9" xfId="18170" xr:uid="{9D7CB3BA-CFAC-4FFD-98F3-9694448F1C8E}"/>
    <cellStyle name="Total 3 3 2_2013" xfId="18171" xr:uid="{47684AD3-E6FC-4ACB-91BA-BECE6E89FFCC}"/>
    <cellStyle name="Total 3 3 20" xfId="18172" xr:uid="{2B0FDD22-1D94-40A2-AAE8-77B2A732CCAB}"/>
    <cellStyle name="Total 3 3 21" xfId="18173" xr:uid="{0A948D01-1282-42FE-8DBC-FE9C4000BDEA}"/>
    <cellStyle name="Total 3 3 22" xfId="18174" xr:uid="{DB2373BC-FBFC-4033-84E4-6BFAEE36D389}"/>
    <cellStyle name="Total 3 3 3" xfId="18175" xr:uid="{452305BD-0E6D-4D6D-AB49-6CFA6659DCE3}"/>
    <cellStyle name="Total 3 3 3 10" xfId="18176" xr:uid="{975295E5-AE92-4078-AF36-28310674E72E}"/>
    <cellStyle name="Total 3 3 3 11" xfId="18177" xr:uid="{9C7CECD7-36EB-4B7E-BBEE-890A66AFEA6F}"/>
    <cellStyle name="Total 3 3 3 12" xfId="18178" xr:uid="{3D4520AA-9BB7-4E5D-AACD-18D1CF22E734}"/>
    <cellStyle name="Total 3 3 3 13" xfId="18179" xr:uid="{0AAF0424-466C-435C-95A1-2E2267D6319E}"/>
    <cellStyle name="Total 3 3 3 14" xfId="18180" xr:uid="{0183AFBC-E6AB-4134-BAB4-92E4B904AC94}"/>
    <cellStyle name="Total 3 3 3 15" xfId="18181" xr:uid="{DA019575-5479-40DF-9B14-00AABF2B9219}"/>
    <cellStyle name="Total 3 3 3 16" xfId="18182" xr:uid="{12A1C3E9-8E7C-4CAC-BE74-D4F098E172C4}"/>
    <cellStyle name="Total 3 3 3 17" xfId="18183" xr:uid="{0F4D4F87-86B3-4FE4-BB2D-9D098A4A00C3}"/>
    <cellStyle name="Total 3 3 3 18" xfId="18184" xr:uid="{11A4D3F0-D885-47C2-B8C3-2D39E9338F14}"/>
    <cellStyle name="Total 3 3 3 19" xfId="18185" xr:uid="{04152EEC-B3BD-4801-B0EC-E7FA5A3995F7}"/>
    <cellStyle name="Total 3 3 3 2" xfId="18186" xr:uid="{1AB14F28-8E67-4CC1-A7E7-53A255359F82}"/>
    <cellStyle name="Total 3 3 3 2 10" xfId="18187" xr:uid="{E6CD7F8E-6021-415F-9273-EB23A5DABBFD}"/>
    <cellStyle name="Total 3 3 3 2 11" xfId="18188" xr:uid="{CBD54BFF-761F-4288-B6BB-A79A48B144D8}"/>
    <cellStyle name="Total 3 3 3 2 12" xfId="18189" xr:uid="{6AF061E2-CA47-47FC-AF6F-3D362587EEF0}"/>
    <cellStyle name="Total 3 3 3 2 13" xfId="18190" xr:uid="{C30B6241-CD40-457B-B48E-F6AAB7E35299}"/>
    <cellStyle name="Total 3 3 3 2 14" xfId="18191" xr:uid="{D9F1D4DA-9E76-4826-868D-87376589D24B}"/>
    <cellStyle name="Total 3 3 3 2 15" xfId="18192" xr:uid="{0C86F387-56A5-43D0-868F-A6B74501D8D1}"/>
    <cellStyle name="Total 3 3 3 2 16" xfId="18193" xr:uid="{D4B01E49-179A-4338-ADDC-B206E70732BD}"/>
    <cellStyle name="Total 3 3 3 2 17" xfId="18194" xr:uid="{452DB163-9D8D-4EE3-8AD2-62A9437F785D}"/>
    <cellStyle name="Total 3 3 3 2 18" xfId="18195" xr:uid="{52F8A37F-0CFC-4F91-B3DB-3AEA1150A130}"/>
    <cellStyle name="Total 3 3 3 2 19" xfId="18196" xr:uid="{B68380AB-9DE6-42E7-B518-40FE44A6433C}"/>
    <cellStyle name="Total 3 3 3 2 2" xfId="18197" xr:uid="{4AD0CF6B-A6E2-4973-A31D-E9DDC95BA83A}"/>
    <cellStyle name="Total 3 3 3 2 3" xfId="18198" xr:uid="{F19E2256-1E7E-4BB6-95DC-1C45AA1CBE69}"/>
    <cellStyle name="Total 3 3 3 2 4" xfId="18199" xr:uid="{232DDA1E-D9E0-4B17-A525-FF89E35A2A30}"/>
    <cellStyle name="Total 3 3 3 2 5" xfId="18200" xr:uid="{5F2C7245-EE28-46AF-96C7-2C1C58967B07}"/>
    <cellStyle name="Total 3 3 3 2 6" xfId="18201" xr:uid="{EC918F47-F906-410B-82A9-4F1F0EEAC3C2}"/>
    <cellStyle name="Total 3 3 3 2 7" xfId="18202" xr:uid="{BA6DDCD9-BA4E-4D86-BA8F-830D7F86E802}"/>
    <cellStyle name="Total 3 3 3 2 8" xfId="18203" xr:uid="{6EA4C0FF-E18A-4721-A798-8BC94EAF2FB5}"/>
    <cellStyle name="Total 3 3 3 2 9" xfId="18204" xr:uid="{9F7AC4FB-C3F6-44D5-A128-8F4FAAE10B39}"/>
    <cellStyle name="Total 3 3 3 2_2013" xfId="18205" xr:uid="{DBE577A3-E986-4C43-900B-B09D7A40FAC7}"/>
    <cellStyle name="Total 3 3 3 20" xfId="18206" xr:uid="{3D8B1930-E248-4A28-B069-469957E92109}"/>
    <cellStyle name="Total 3 3 3 3" xfId="18207" xr:uid="{5EAB018F-EB6A-496F-A046-3532C3FA69CC}"/>
    <cellStyle name="Total 3 3 3 4" xfId="18208" xr:uid="{071EBD3D-ED42-40BC-8A6C-389F97185DFE}"/>
    <cellStyle name="Total 3 3 3 5" xfId="18209" xr:uid="{CDD1078D-6E01-440A-90E6-A284AF2F3738}"/>
    <cellStyle name="Total 3 3 3 6" xfId="18210" xr:uid="{2A7F07C4-A413-4C62-958A-AB3C56E09EF5}"/>
    <cellStyle name="Total 3 3 3 7" xfId="18211" xr:uid="{796DE7A0-583F-40B1-AB91-6B3E83970ED7}"/>
    <cellStyle name="Total 3 3 3 8" xfId="18212" xr:uid="{B58FD713-DF07-4A00-A0EE-FB497A1EEFB6}"/>
    <cellStyle name="Total 3 3 3 9" xfId="18213" xr:uid="{7FE1860A-96D1-44FE-8829-F951AD825B86}"/>
    <cellStyle name="Total 3 3 3_2013" xfId="18214" xr:uid="{4965E251-3E8E-4081-BBF6-0CD02E39EC30}"/>
    <cellStyle name="Total 3 3 4" xfId="18215" xr:uid="{270146FE-6D34-4CF8-B81D-584691ABCEC9}"/>
    <cellStyle name="Total 3 3 4 10" xfId="18216" xr:uid="{65D19B00-8E6E-4B8C-BCD4-3D906085D82B}"/>
    <cellStyle name="Total 3 3 4 11" xfId="18217" xr:uid="{0C862B3F-C14B-42FA-A0C0-657B13FFE1A0}"/>
    <cellStyle name="Total 3 3 4 12" xfId="18218" xr:uid="{9234ACAB-FA1F-4D86-8CC3-E2830268D862}"/>
    <cellStyle name="Total 3 3 4 13" xfId="18219" xr:uid="{F039EB91-44F9-4935-819D-237CB944CD8C}"/>
    <cellStyle name="Total 3 3 4 14" xfId="18220" xr:uid="{711D91D6-3B51-4D0D-B5CA-D1701F6C8BAA}"/>
    <cellStyle name="Total 3 3 4 15" xfId="18221" xr:uid="{9DCDB89A-62FF-4900-AAC0-B2D885C71A8F}"/>
    <cellStyle name="Total 3 3 4 16" xfId="18222" xr:uid="{BE27F938-6D95-442D-AC61-05D1C9F887D4}"/>
    <cellStyle name="Total 3 3 4 17" xfId="18223" xr:uid="{3E372197-13E8-4EB8-A17F-1967AEBAC302}"/>
    <cellStyle name="Total 3 3 4 18" xfId="18224" xr:uid="{989054D9-1A8F-4FE2-86A5-B27199AE77EC}"/>
    <cellStyle name="Total 3 3 4 19" xfId="18225" xr:uid="{A84F2F29-77F8-43F2-A33F-99DD54207072}"/>
    <cellStyle name="Total 3 3 4 2" xfId="18226" xr:uid="{2A4E605D-DF4D-4A61-8489-14B4944ABBC7}"/>
    <cellStyle name="Total 3 3 4 3" xfId="18227" xr:uid="{2674BEAA-6554-4861-A174-51A26713501C}"/>
    <cellStyle name="Total 3 3 4 4" xfId="18228" xr:uid="{7D2FB652-AD58-4EDD-B31E-AEABF0851FF8}"/>
    <cellStyle name="Total 3 3 4 5" xfId="18229" xr:uid="{294D1F1A-7495-4E19-B400-4790E0D8E9CE}"/>
    <cellStyle name="Total 3 3 4 6" xfId="18230" xr:uid="{E97B899C-B137-4F10-A3D5-B7DFDFF2F3A4}"/>
    <cellStyle name="Total 3 3 4 7" xfId="18231" xr:uid="{A194449A-8581-423D-B9AB-E44A8A6CA69F}"/>
    <cellStyle name="Total 3 3 4 8" xfId="18232" xr:uid="{FDD28B3F-ACF0-4C5F-A330-8D811D64BC17}"/>
    <cellStyle name="Total 3 3 4 9" xfId="18233" xr:uid="{CCD78103-1D93-4680-8B65-2FFB1E5EF93A}"/>
    <cellStyle name="Total 3 3 4_2013" xfId="18234" xr:uid="{E1933C00-7F16-4C78-A196-AEA6D5D5BEF9}"/>
    <cellStyle name="Total 3 3 5" xfId="18235" xr:uid="{431EE4AB-2209-44E4-BA06-8B24D1CAC017}"/>
    <cellStyle name="Total 3 3 6" xfId="18236" xr:uid="{CF2D09BA-77E4-49B7-BC38-FFABFF4DD941}"/>
    <cellStyle name="Total 3 3 7" xfId="18237" xr:uid="{154E3BAF-BAB6-49A6-BE8F-7FB642E10684}"/>
    <cellStyle name="Total 3 3 8" xfId="18238" xr:uid="{84ED7E8B-FC21-4789-82A8-5E6FB7010BC4}"/>
    <cellStyle name="Total 3 3 9" xfId="18239" xr:uid="{0D658B37-08F4-485B-9EB8-6B41DD8856C8}"/>
    <cellStyle name="Total 3 3_2013" xfId="18240" xr:uid="{5E47992F-4A16-490E-BF7E-C3BF9E8DAF50}"/>
    <cellStyle name="Total 3 4" xfId="18241" xr:uid="{5AC2AF45-C8F9-43E8-855F-CD5C009BE476}"/>
    <cellStyle name="Total 3 4 10" xfId="18242" xr:uid="{205241AA-8B65-4312-9309-8DA4BA007344}"/>
    <cellStyle name="Total 3 4 11" xfId="18243" xr:uid="{470F145C-FA7F-4FE3-B5D0-CD7C9F20002D}"/>
    <cellStyle name="Total 3 4 12" xfId="18244" xr:uid="{0AEE7206-5237-4605-BD78-DE1F87F0872A}"/>
    <cellStyle name="Total 3 4 13" xfId="18245" xr:uid="{6BF7BDC6-67F5-4DCF-AEF0-365F89843885}"/>
    <cellStyle name="Total 3 4 14" xfId="18246" xr:uid="{F7F4D864-20EB-4267-9556-FB7D6E7E33FB}"/>
    <cellStyle name="Total 3 4 15" xfId="18247" xr:uid="{AB479D62-F5C7-4E22-AD6E-0C93E5F455F0}"/>
    <cellStyle name="Total 3 4 16" xfId="18248" xr:uid="{BC06F03B-7235-4ABE-8A48-ED78F9B70F62}"/>
    <cellStyle name="Total 3 4 17" xfId="18249" xr:uid="{6DC28491-CA37-45F5-B964-3F9D6850D697}"/>
    <cellStyle name="Total 3 4 18" xfId="18250" xr:uid="{0D36C350-1FA5-4F26-B261-9F9D4EFB5BB1}"/>
    <cellStyle name="Total 3 4 19" xfId="18251" xr:uid="{2275132F-9BC1-46F3-A244-6B73EFFDF14E}"/>
    <cellStyle name="Total 3 4 2" xfId="18252" xr:uid="{DE6CF363-D400-4CEF-820F-F56767B96ED3}"/>
    <cellStyle name="Total 3 4 2 10" xfId="18253" xr:uid="{43639824-0FCF-4DFC-8DE8-E184211AE9B1}"/>
    <cellStyle name="Total 3 4 2 11" xfId="18254" xr:uid="{A7EE451D-E895-4AEF-BDEC-73D3D0C25F69}"/>
    <cellStyle name="Total 3 4 2 12" xfId="18255" xr:uid="{CF4EF52C-A946-4B31-AADD-26D65E299DD3}"/>
    <cellStyle name="Total 3 4 2 13" xfId="18256" xr:uid="{A3883D4F-3648-45D3-A74D-F425C6C9E13D}"/>
    <cellStyle name="Total 3 4 2 14" xfId="18257" xr:uid="{A36B5B76-2759-4175-B143-9AEA92932274}"/>
    <cellStyle name="Total 3 4 2 15" xfId="18258" xr:uid="{E140B7F8-AAAE-49AF-9985-885E3D6FD278}"/>
    <cellStyle name="Total 3 4 2 16" xfId="18259" xr:uid="{567054C8-F4C1-42A6-9DF3-A501355A1167}"/>
    <cellStyle name="Total 3 4 2 17" xfId="18260" xr:uid="{65692327-86A5-4567-B95C-9AA54D7940B9}"/>
    <cellStyle name="Total 3 4 2 18" xfId="18261" xr:uid="{E9A5D281-67A8-412B-A742-3E5F441C2CCB}"/>
    <cellStyle name="Total 3 4 2 19" xfId="18262" xr:uid="{1F7D3320-E234-4211-80DC-EB8FB9B1D882}"/>
    <cellStyle name="Total 3 4 2 2" xfId="18263" xr:uid="{3B8D6606-F47E-4774-9BBB-D0D88D3DB2A5}"/>
    <cellStyle name="Total 3 4 2 3" xfId="18264" xr:uid="{7E4D8163-3152-4C3F-9894-3100F1E0AD8D}"/>
    <cellStyle name="Total 3 4 2 4" xfId="18265" xr:uid="{598384F7-6DB6-4C10-9E02-6AFF53AD301D}"/>
    <cellStyle name="Total 3 4 2 5" xfId="18266" xr:uid="{53A93058-C368-42F5-BCC3-CEDFE401B89A}"/>
    <cellStyle name="Total 3 4 2 6" xfId="18267" xr:uid="{919EA65B-DDDB-4D0F-95C3-59476DB78DBA}"/>
    <cellStyle name="Total 3 4 2 7" xfId="18268" xr:uid="{0F66BCE8-9DBE-411C-8222-65A5E52A1417}"/>
    <cellStyle name="Total 3 4 2 8" xfId="18269" xr:uid="{651CE6AB-11AA-4D90-89C6-9061D9E407B3}"/>
    <cellStyle name="Total 3 4 2 9" xfId="18270" xr:uid="{605CF398-C55D-4AFD-B988-6348AB4FC64B}"/>
    <cellStyle name="Total 3 4 2_2013" xfId="18271" xr:uid="{9055CCD3-EE5D-449B-A9E6-E1CE11B657E9}"/>
    <cellStyle name="Total 3 4 20" xfId="18272" xr:uid="{C1B9ADA3-6844-4F44-89E6-5C157E608761}"/>
    <cellStyle name="Total 3 4 3" xfId="18273" xr:uid="{7980DB71-5FB2-4A32-A4F4-CCBC29A798EC}"/>
    <cellStyle name="Total 3 4 4" xfId="18274" xr:uid="{1934304B-CBE7-40A9-8ACA-DC50A0807D4C}"/>
    <cellStyle name="Total 3 4 5" xfId="18275" xr:uid="{473DDFA1-15B2-4486-B908-3AAEEB10F97A}"/>
    <cellStyle name="Total 3 4 6" xfId="18276" xr:uid="{3B01DB9C-E22D-4CEB-8B02-57F9A260BCC1}"/>
    <cellStyle name="Total 3 4 7" xfId="18277" xr:uid="{6783766F-21B9-4D12-B282-886BB0CFE04B}"/>
    <cellStyle name="Total 3 4 8" xfId="18278" xr:uid="{7E27DD8B-C306-409F-8132-1DB213EE6EAA}"/>
    <cellStyle name="Total 3 4 9" xfId="18279" xr:uid="{48F2D14B-867F-48DE-ADC4-F49FCA83938D}"/>
    <cellStyle name="Total 3 4_2013" xfId="18280" xr:uid="{2A58128C-4C75-48FB-AD93-3EBBCE06D16E}"/>
    <cellStyle name="Total 3 5" xfId="18281" xr:uid="{34B1A065-B18D-4416-A9F4-9AE33795A2C6}"/>
    <cellStyle name="Total 3 5 10" xfId="18282" xr:uid="{0B1BCCD6-71CE-4AB8-ADA4-EC7522B7AAED}"/>
    <cellStyle name="Total 3 5 11" xfId="18283" xr:uid="{ADF5F89F-F09A-440A-802E-C71DDC5B1EB5}"/>
    <cellStyle name="Total 3 5 12" xfId="18284" xr:uid="{649D0D84-0700-4D5D-A11F-7E63F61BEA12}"/>
    <cellStyle name="Total 3 5 13" xfId="18285" xr:uid="{1C2FD595-DD2C-4965-AB98-53BDEC1DAC17}"/>
    <cellStyle name="Total 3 5 14" xfId="18286" xr:uid="{32685CDA-4737-4CE3-BA90-1265B3331657}"/>
    <cellStyle name="Total 3 5 15" xfId="18287" xr:uid="{068636F7-85D5-49CD-BC10-54E46756DB16}"/>
    <cellStyle name="Total 3 5 16" xfId="18288" xr:uid="{52CFDBB7-8AB1-430E-A796-356D0E9135A2}"/>
    <cellStyle name="Total 3 5 17" xfId="18289" xr:uid="{246A70A8-58D0-4BC4-B641-5BB2B32B7E41}"/>
    <cellStyle name="Total 3 5 18" xfId="18290" xr:uid="{9B324FAB-6589-4741-B7AF-2B0863D2ED89}"/>
    <cellStyle name="Total 3 5 19" xfId="18291" xr:uid="{AF869DB3-8923-4416-A252-173A28B7D378}"/>
    <cellStyle name="Total 3 5 2" xfId="18292" xr:uid="{75857891-56FD-47D1-8CA6-5FF5C203A174}"/>
    <cellStyle name="Total 3 5 2 10" xfId="18293" xr:uid="{BD7895D0-4230-43A7-A319-285964F04D23}"/>
    <cellStyle name="Total 3 5 2 11" xfId="18294" xr:uid="{2EC1F492-9A82-41D0-BCB1-3AE221607156}"/>
    <cellStyle name="Total 3 5 2 12" xfId="18295" xr:uid="{7AA7C710-DE6D-421B-8E24-0622D3763B14}"/>
    <cellStyle name="Total 3 5 2 13" xfId="18296" xr:uid="{551A63AB-FAA9-403B-80BC-0E62C21B39D5}"/>
    <cellStyle name="Total 3 5 2 14" xfId="18297" xr:uid="{3602E031-1251-479C-9557-CDC09CE32028}"/>
    <cellStyle name="Total 3 5 2 15" xfId="18298" xr:uid="{9C8BD6D9-8763-466F-B9A2-327878600FFD}"/>
    <cellStyle name="Total 3 5 2 16" xfId="18299" xr:uid="{628E3BD1-26D8-4808-9A10-D66810C6DEC1}"/>
    <cellStyle name="Total 3 5 2 17" xfId="18300" xr:uid="{4CC63E8B-A87B-4BA6-B019-00D20F1CF1DA}"/>
    <cellStyle name="Total 3 5 2 18" xfId="18301" xr:uid="{E970528D-337B-4D68-8E40-34215075B563}"/>
    <cellStyle name="Total 3 5 2 19" xfId="18302" xr:uid="{664EC5A8-5FB4-43A8-BCA4-43C9CE096485}"/>
    <cellStyle name="Total 3 5 2 2" xfId="18303" xr:uid="{04832D2D-DEA9-457B-A463-D4022A7E61BE}"/>
    <cellStyle name="Total 3 5 2 3" xfId="18304" xr:uid="{FAEB382C-5781-4998-8CE2-4C48E55BBECF}"/>
    <cellStyle name="Total 3 5 2 4" xfId="18305" xr:uid="{86CE8DEA-315B-4F8E-B72A-E616B47E3B13}"/>
    <cellStyle name="Total 3 5 2 5" xfId="18306" xr:uid="{FC3CAF8D-58BE-492B-9CDD-3A69C8FC1B96}"/>
    <cellStyle name="Total 3 5 2 6" xfId="18307" xr:uid="{DC821858-B247-4686-A8F1-C8394CF0544E}"/>
    <cellStyle name="Total 3 5 2 7" xfId="18308" xr:uid="{B05BFB4E-34FF-4620-B7C9-FF5C7981AE1F}"/>
    <cellStyle name="Total 3 5 2 8" xfId="18309" xr:uid="{C889C934-67A5-4BE8-BD8B-00E596ECD6AC}"/>
    <cellStyle name="Total 3 5 2 9" xfId="18310" xr:uid="{C332A53F-2EFE-48D3-B5ED-9224552C7233}"/>
    <cellStyle name="Total 3 5 2_2013" xfId="18311" xr:uid="{67EA255A-EDCA-49E3-9DE7-F3C0E92439A1}"/>
    <cellStyle name="Total 3 5 20" xfId="18312" xr:uid="{E1596A04-8837-4C26-B249-E090E9357F4B}"/>
    <cellStyle name="Total 3 5 3" xfId="18313" xr:uid="{BB70EACD-F374-4096-BF9F-29E10E10F15A}"/>
    <cellStyle name="Total 3 5 4" xfId="18314" xr:uid="{1E80DECD-E0DB-4740-A720-1F353969A59F}"/>
    <cellStyle name="Total 3 5 5" xfId="18315" xr:uid="{E10A64CC-E1FD-44FA-BD66-83594E1A3C57}"/>
    <cellStyle name="Total 3 5 6" xfId="18316" xr:uid="{0A5062DD-C930-4A97-B9D2-E147B60AFC65}"/>
    <cellStyle name="Total 3 5 7" xfId="18317" xr:uid="{FFB1BC25-6651-4A53-A20E-AB58050586F1}"/>
    <cellStyle name="Total 3 5 8" xfId="18318" xr:uid="{CBBE769B-2CAC-4CFA-8B70-2B1D68766ADD}"/>
    <cellStyle name="Total 3 5 9" xfId="18319" xr:uid="{A7BDB2DB-6E00-4967-B3D2-6940D63962CC}"/>
    <cellStyle name="Total 3 5_2013" xfId="18320" xr:uid="{89F11F72-A350-4A7F-9A1F-7C6DB57F0FE4}"/>
    <cellStyle name="Total 3 6" xfId="18321" xr:uid="{1D10F0FF-D5A5-46F9-80A2-78CCBFA543FC}"/>
    <cellStyle name="Total 3 6 10" xfId="18322" xr:uid="{75B685E8-F341-4DF8-BFB5-71D59C83E7B8}"/>
    <cellStyle name="Total 3 6 11" xfId="18323" xr:uid="{4081681A-13B9-42C2-AF31-0407BFAE4ED5}"/>
    <cellStyle name="Total 3 6 12" xfId="18324" xr:uid="{74DF8AE2-B7CC-4EE5-8CAB-6391F48688A1}"/>
    <cellStyle name="Total 3 6 13" xfId="18325" xr:uid="{CEA6B6AC-CD3D-4443-B099-9D08A34E4099}"/>
    <cellStyle name="Total 3 6 14" xfId="18326" xr:uid="{BF176DA2-5F74-4637-A72F-3F2A76DDD05A}"/>
    <cellStyle name="Total 3 6 15" xfId="18327" xr:uid="{2332072D-3472-492F-A921-C5C377DC4C36}"/>
    <cellStyle name="Total 3 6 16" xfId="18328" xr:uid="{E092586C-7E60-4FAB-88A6-AB6F0815C5FD}"/>
    <cellStyle name="Total 3 6 17" xfId="18329" xr:uid="{DDFF836E-45E7-4178-BCC1-812DA840A04A}"/>
    <cellStyle name="Total 3 6 18" xfId="18330" xr:uid="{D43AC838-62FF-46C0-9C28-B29C83640381}"/>
    <cellStyle name="Total 3 6 19" xfId="18331" xr:uid="{29D82784-A509-4519-A9AD-323E049A42DC}"/>
    <cellStyle name="Total 3 6 2" xfId="18332" xr:uid="{41C53FC9-178D-45F6-A851-30010388CC01}"/>
    <cellStyle name="Total 3 6 3" xfId="18333" xr:uid="{E358062C-7877-43E2-9D45-EDB70C72794A}"/>
    <cellStyle name="Total 3 6 4" xfId="18334" xr:uid="{67B49ADB-420E-4FD8-9DDE-D51F60160A49}"/>
    <cellStyle name="Total 3 6 5" xfId="18335" xr:uid="{6A55CEAC-2B8F-4607-9F8C-D436ECD52DDF}"/>
    <cellStyle name="Total 3 6 6" xfId="18336" xr:uid="{85B00698-F060-49A5-A4CC-EBAA434E8D05}"/>
    <cellStyle name="Total 3 6 7" xfId="18337" xr:uid="{4EBAAB12-7C61-4917-AD37-9E00CDDD3C5B}"/>
    <cellStyle name="Total 3 6 8" xfId="18338" xr:uid="{519C712B-8DED-4C28-AB65-136402B982FF}"/>
    <cellStyle name="Total 3 6 9" xfId="18339" xr:uid="{930B013A-F8AF-4EC2-9F2A-41965EB35E1E}"/>
    <cellStyle name="Total 3 6_2013" xfId="18340" xr:uid="{B39D1539-1EB6-416B-90E6-DC8422F7C571}"/>
    <cellStyle name="Total 3 7" xfId="18341" xr:uid="{28B8FBAB-CF81-4431-B09C-8B8A4B542F81}"/>
    <cellStyle name="Total 3 8" xfId="18342" xr:uid="{3BA7A3F0-FC01-4323-BC90-949BBD5D5857}"/>
    <cellStyle name="Total 3 9" xfId="18343" xr:uid="{E21B4681-1A67-43A4-B8F1-B0F822653804}"/>
    <cellStyle name="Total 3_2013" xfId="18344" xr:uid="{DFFE31CA-5B1D-4076-BA22-3F4A6A617A94}"/>
    <cellStyle name="Total 4" xfId="18345" xr:uid="{189EF616-0771-4B05-A7DE-E533C308CD3F}"/>
    <cellStyle name="Total 4 10" xfId="18346" xr:uid="{6760CA69-B875-40AE-B26C-33A3737DE862}"/>
    <cellStyle name="Total 4 11" xfId="18347" xr:uid="{E918A0F6-E501-4EC7-AB23-C76852604931}"/>
    <cellStyle name="Total 4 12" xfId="18348" xr:uid="{96540404-191C-40AD-B7F2-4A254AB69CBA}"/>
    <cellStyle name="Total 4 13" xfId="18349" xr:uid="{6BFA1BDC-618F-4FB2-8A10-2BA22C4D627E}"/>
    <cellStyle name="Total 4 14" xfId="18350" xr:uid="{EEF460D3-189B-4D01-890D-A5289643938C}"/>
    <cellStyle name="Total 4 15" xfId="18351" xr:uid="{C53301FF-872A-48D1-A370-EF25D259F4E6}"/>
    <cellStyle name="Total 4 16" xfId="18352" xr:uid="{9D2CEE5F-19D7-492E-9D09-D85491448165}"/>
    <cellStyle name="Total 4 17" xfId="18353" xr:uid="{E2956F3D-6C2C-479A-826E-0952A5ED208B}"/>
    <cellStyle name="Total 4 18" xfId="18354" xr:uid="{F69CE752-AB3B-4605-9D3A-C7CB6B85DD7B}"/>
    <cellStyle name="Total 4 19" xfId="18355" xr:uid="{C8DD179E-91A5-4C06-AB43-63DF47ACAF18}"/>
    <cellStyle name="Total 4 2" xfId="18356" xr:uid="{EEE12C50-3A9C-4247-9E6A-588E959317CE}"/>
    <cellStyle name="Total 4 2 10" xfId="18357" xr:uid="{2C61CC74-ECE4-4F53-96EF-F47A73974774}"/>
    <cellStyle name="Total 4 2 11" xfId="18358" xr:uid="{981F4852-6ABB-46CF-9BA7-4C24DA8D068C}"/>
    <cellStyle name="Total 4 2 12" xfId="18359" xr:uid="{3BFE7DB7-A7DD-43F4-912D-FEFB83DEA1F4}"/>
    <cellStyle name="Total 4 2 13" xfId="18360" xr:uid="{8003681D-E5F3-44EF-9540-983347A44483}"/>
    <cellStyle name="Total 4 2 14" xfId="18361" xr:uid="{01743D77-5080-417F-BB7F-E754C3788FBE}"/>
    <cellStyle name="Total 4 2 15" xfId="18362" xr:uid="{CB05BA30-9F11-4644-85E1-C6BDB1194B51}"/>
    <cellStyle name="Total 4 2 16" xfId="18363" xr:uid="{DF47873D-877B-4ED6-BD68-8A55D8C4B2CF}"/>
    <cellStyle name="Total 4 2 17" xfId="18364" xr:uid="{6933F03A-BA2E-4C68-BD21-D5798ACD33F0}"/>
    <cellStyle name="Total 4 2 18" xfId="18365" xr:uid="{0A8C56AA-2D15-49EB-98E0-6164AADD3DBC}"/>
    <cellStyle name="Total 4 2 19" xfId="18366" xr:uid="{E19C6C5E-6CEA-48DC-883B-62BA883A3AA1}"/>
    <cellStyle name="Total 4 2 2" xfId="18367" xr:uid="{55C99EF3-558D-4332-ABF0-68EDA9B40A10}"/>
    <cellStyle name="Total 4 2 2 10" xfId="18368" xr:uid="{FE73F781-7EA0-4762-A02F-6939497B0FA8}"/>
    <cellStyle name="Total 4 2 2 11" xfId="18369" xr:uid="{D472D735-776E-48FE-AE80-1D2DDC008D03}"/>
    <cellStyle name="Total 4 2 2 12" xfId="18370" xr:uid="{8AAA4244-C755-493E-B62D-370AF4755978}"/>
    <cellStyle name="Total 4 2 2 13" xfId="18371" xr:uid="{FBF8AD43-705E-4186-A368-1702C6F07663}"/>
    <cellStyle name="Total 4 2 2 14" xfId="18372" xr:uid="{395C3464-0DC3-4AB1-B3BD-9A74B89E665A}"/>
    <cellStyle name="Total 4 2 2 15" xfId="18373" xr:uid="{97A37DA6-92CD-4C68-ACA0-B49D35F73C07}"/>
    <cellStyle name="Total 4 2 2 16" xfId="18374" xr:uid="{6B8C99C2-8057-4750-90F8-55660ACB6966}"/>
    <cellStyle name="Total 4 2 2 17" xfId="18375" xr:uid="{67D769B2-A046-47EE-B2F8-FA6ED49A949D}"/>
    <cellStyle name="Total 4 2 2 18" xfId="18376" xr:uid="{082BFFAF-D3C7-4D1F-9219-9B89946CBE61}"/>
    <cellStyle name="Total 4 2 2 19" xfId="18377" xr:uid="{765D058E-6F82-43B0-B2AF-EBE1ED15B547}"/>
    <cellStyle name="Total 4 2 2 2" xfId="18378" xr:uid="{6D34F70A-148E-4D18-87E6-BAE49998B3C4}"/>
    <cellStyle name="Total 4 2 2 2 10" xfId="18379" xr:uid="{8EF3090D-027A-4C53-A05C-55F063445716}"/>
    <cellStyle name="Total 4 2 2 2 11" xfId="18380" xr:uid="{98A3BF5F-EBA8-44D3-B802-A441E5E0D3E4}"/>
    <cellStyle name="Total 4 2 2 2 12" xfId="18381" xr:uid="{E53366F7-4CC3-49A8-99EA-37B8C34E20DF}"/>
    <cellStyle name="Total 4 2 2 2 13" xfId="18382" xr:uid="{11FF3CFE-A6E8-49F2-A09C-BB27F4B0A8CE}"/>
    <cellStyle name="Total 4 2 2 2 14" xfId="18383" xr:uid="{BAB53944-9AFE-4202-9A72-F60264ED4D06}"/>
    <cellStyle name="Total 4 2 2 2 15" xfId="18384" xr:uid="{DFE10651-205D-4934-BB12-7C7BE8963071}"/>
    <cellStyle name="Total 4 2 2 2 16" xfId="18385" xr:uid="{10574A36-BB17-4481-BD2A-372519848BB6}"/>
    <cellStyle name="Total 4 2 2 2 17" xfId="18386" xr:uid="{F6B66BC4-D165-4D99-A658-2939EC1B7338}"/>
    <cellStyle name="Total 4 2 2 2 18" xfId="18387" xr:uid="{BCA23C08-6E9E-4690-8463-A0B912B01FA8}"/>
    <cellStyle name="Total 4 2 2 2 19" xfId="18388" xr:uid="{12B21F82-1977-4F19-9820-B4EFF9B849B0}"/>
    <cellStyle name="Total 4 2 2 2 2" xfId="18389" xr:uid="{023723C1-E235-41A4-8616-AC6D2CAF9FFB}"/>
    <cellStyle name="Total 4 2 2 2 3" xfId="18390" xr:uid="{AC244387-68D1-4713-8971-0E30E239C324}"/>
    <cellStyle name="Total 4 2 2 2 4" xfId="18391" xr:uid="{E84BC8E6-7F19-4F24-8BE9-4743B32D7B10}"/>
    <cellStyle name="Total 4 2 2 2 5" xfId="18392" xr:uid="{05411AB1-A953-4549-9BFD-880A8EE05DD2}"/>
    <cellStyle name="Total 4 2 2 2 6" xfId="18393" xr:uid="{8932CD14-3952-4FF7-A428-4F98A15C8E5D}"/>
    <cellStyle name="Total 4 2 2 2 7" xfId="18394" xr:uid="{48C504B6-A97E-485C-9830-C87F82A615F4}"/>
    <cellStyle name="Total 4 2 2 2 8" xfId="18395" xr:uid="{FFEEAD24-78F3-4EE1-8950-C98F6BBC4728}"/>
    <cellStyle name="Total 4 2 2 2 9" xfId="18396" xr:uid="{7EDD4F69-4498-43F6-866E-C73E603E2579}"/>
    <cellStyle name="Total 4 2 2 2_2013" xfId="18397" xr:uid="{4918C6DC-9595-4321-9AE8-E8285785F593}"/>
    <cellStyle name="Total 4 2 2 20" xfId="18398" xr:uid="{420BD099-1A49-480D-A6BE-72BB62AD54A7}"/>
    <cellStyle name="Total 4 2 2 3" xfId="18399" xr:uid="{A1D03C11-DBF2-4136-A64B-A0DE38A375FA}"/>
    <cellStyle name="Total 4 2 2 4" xfId="18400" xr:uid="{B1B07B98-FBD9-40E9-B108-727E6D481969}"/>
    <cellStyle name="Total 4 2 2 5" xfId="18401" xr:uid="{700C7EBB-8FC9-4482-8D37-C6DA5817C3D3}"/>
    <cellStyle name="Total 4 2 2 6" xfId="18402" xr:uid="{30DBABD5-39BD-4F92-BA52-EA5E3BAA1801}"/>
    <cellStyle name="Total 4 2 2 7" xfId="18403" xr:uid="{1CA3E0E3-38E5-4A35-A02B-006B9EFB61AD}"/>
    <cellStyle name="Total 4 2 2 8" xfId="18404" xr:uid="{C40A1A06-A929-4A55-A8D8-57365159B190}"/>
    <cellStyle name="Total 4 2 2 9" xfId="18405" xr:uid="{A2202225-7103-4722-A2FA-E2D8B9CD0F95}"/>
    <cellStyle name="Total 4 2 2_2013" xfId="18406" xr:uid="{7E55DDC1-D424-4989-94DA-BBBE5F957E44}"/>
    <cellStyle name="Total 4 2 20" xfId="18407" xr:uid="{308FFBEA-935A-4198-8D6F-C4E7E59DCA60}"/>
    <cellStyle name="Total 4 2 21" xfId="18408" xr:uid="{A4247AF8-0109-4C8A-B66A-26866B8DFC8C}"/>
    <cellStyle name="Total 4 2 22" xfId="18409" xr:uid="{9B513A8F-3B5C-42A0-8572-13B541E2A947}"/>
    <cellStyle name="Total 4 2 3" xfId="18410" xr:uid="{7C0586B4-F4D1-4200-9F8A-205E610D7266}"/>
    <cellStyle name="Total 4 2 3 10" xfId="18411" xr:uid="{DB1880C4-B51B-4E78-9FF3-DA5B2EF3AC7E}"/>
    <cellStyle name="Total 4 2 3 11" xfId="18412" xr:uid="{81BB1D60-ED74-4560-87D9-4C90E30C97CB}"/>
    <cellStyle name="Total 4 2 3 12" xfId="18413" xr:uid="{21666F65-F043-4CA4-9A17-C792E13D33F0}"/>
    <cellStyle name="Total 4 2 3 13" xfId="18414" xr:uid="{7506940F-EEE7-424C-ACB2-921F700CF0DF}"/>
    <cellStyle name="Total 4 2 3 14" xfId="18415" xr:uid="{EEC7310E-ADEB-4415-850A-09417B3C62F8}"/>
    <cellStyle name="Total 4 2 3 15" xfId="18416" xr:uid="{FEC19335-761A-4EBE-8E50-6B6EA5E0A3A6}"/>
    <cellStyle name="Total 4 2 3 16" xfId="18417" xr:uid="{E5B178D5-7EF9-4BE8-9E7C-5A26F73AE3D0}"/>
    <cellStyle name="Total 4 2 3 17" xfId="18418" xr:uid="{CBD65C3A-3805-4FB6-9EE1-7D190053A59B}"/>
    <cellStyle name="Total 4 2 3 18" xfId="18419" xr:uid="{4471DE66-D6E6-4AA8-8763-B87BFA426188}"/>
    <cellStyle name="Total 4 2 3 19" xfId="18420" xr:uid="{786B3333-168F-4229-A55B-A629A4370B0F}"/>
    <cellStyle name="Total 4 2 3 2" xfId="18421" xr:uid="{5DFE442C-E17B-4D97-ABF4-460216E12D0D}"/>
    <cellStyle name="Total 4 2 3 2 10" xfId="18422" xr:uid="{82440B80-5A04-4617-8A87-670991CA30D7}"/>
    <cellStyle name="Total 4 2 3 2 11" xfId="18423" xr:uid="{6EDE6166-7F46-46C7-989F-2FE5F4471C78}"/>
    <cellStyle name="Total 4 2 3 2 12" xfId="18424" xr:uid="{39CC77CF-0DBF-46C5-93BE-ADBD87F33C47}"/>
    <cellStyle name="Total 4 2 3 2 13" xfId="18425" xr:uid="{62DB46B8-1566-4C14-9C4C-FAE518AF7826}"/>
    <cellStyle name="Total 4 2 3 2 14" xfId="18426" xr:uid="{0D61A150-857C-4A1D-88BE-4EF861667C4E}"/>
    <cellStyle name="Total 4 2 3 2 15" xfId="18427" xr:uid="{D93A2DF2-9013-42F6-B1E9-EFCD3BFEDF49}"/>
    <cellStyle name="Total 4 2 3 2 16" xfId="18428" xr:uid="{74E84005-299A-4898-BF44-F8C6ED6765F6}"/>
    <cellStyle name="Total 4 2 3 2 17" xfId="18429" xr:uid="{A4402A9F-1C71-4140-BF7C-88816E896284}"/>
    <cellStyle name="Total 4 2 3 2 18" xfId="18430" xr:uid="{F009820E-76BB-430F-B24C-E6FCF2F29A08}"/>
    <cellStyle name="Total 4 2 3 2 19" xfId="18431" xr:uid="{B24E75E7-9E98-4608-8B6E-ECCBA6316655}"/>
    <cellStyle name="Total 4 2 3 2 2" xfId="18432" xr:uid="{8BBC743B-25D3-4097-AC65-BA5A61C92356}"/>
    <cellStyle name="Total 4 2 3 2 3" xfId="18433" xr:uid="{AC960C41-49BA-41E0-966E-0A6E16D0F070}"/>
    <cellStyle name="Total 4 2 3 2 4" xfId="18434" xr:uid="{9F47410B-2E74-44BC-89FE-52D4431F5BF2}"/>
    <cellStyle name="Total 4 2 3 2 5" xfId="18435" xr:uid="{3520E648-1594-4AA6-A3E3-3F1ECAE70D04}"/>
    <cellStyle name="Total 4 2 3 2 6" xfId="18436" xr:uid="{3E0ABE97-87A5-4414-B207-2A7CB41AB2F8}"/>
    <cellStyle name="Total 4 2 3 2 7" xfId="18437" xr:uid="{588E634D-BDA3-4D2C-B6B7-0A3CD14F29CF}"/>
    <cellStyle name="Total 4 2 3 2 8" xfId="18438" xr:uid="{82CF6A0A-16CB-468C-8412-DE509DB56BD3}"/>
    <cellStyle name="Total 4 2 3 2 9" xfId="18439" xr:uid="{66ADF95D-6ADB-417C-B419-BB5FF820FD9E}"/>
    <cellStyle name="Total 4 2 3 2_2013" xfId="18440" xr:uid="{BE06C73B-3D55-4781-800C-3E49897F00C9}"/>
    <cellStyle name="Total 4 2 3 20" xfId="18441" xr:uid="{B1CC954F-B468-4C0C-91F9-54DB8795C3A6}"/>
    <cellStyle name="Total 4 2 3 3" xfId="18442" xr:uid="{4539F4C9-A69A-4F64-8D13-B5461C851279}"/>
    <cellStyle name="Total 4 2 3 4" xfId="18443" xr:uid="{0E7A489B-D510-4C83-AECC-051710F5CE06}"/>
    <cellStyle name="Total 4 2 3 5" xfId="18444" xr:uid="{4D21949D-3F6A-4C6F-8A78-4C3F869D4E2D}"/>
    <cellStyle name="Total 4 2 3 6" xfId="18445" xr:uid="{7DBA4795-4467-43DB-8175-F771BA5128ED}"/>
    <cellStyle name="Total 4 2 3 7" xfId="18446" xr:uid="{230BA063-795D-41F0-8F07-842F8103763D}"/>
    <cellStyle name="Total 4 2 3 8" xfId="18447" xr:uid="{D2EAB38D-E220-42DE-A8F5-89BDAC022349}"/>
    <cellStyle name="Total 4 2 3 9" xfId="18448" xr:uid="{7F866DEC-4D26-4B12-9548-BB3EE0D662DA}"/>
    <cellStyle name="Total 4 2 3_2013" xfId="18449" xr:uid="{9A2ACD8A-F26E-432B-B7A0-3923596077BA}"/>
    <cellStyle name="Total 4 2 4" xfId="18450" xr:uid="{B3EBB1E2-5AD3-46D0-BDFC-2199B4503E24}"/>
    <cellStyle name="Total 4 2 4 10" xfId="18451" xr:uid="{66DE3DF9-6056-45CD-9C07-02572C2065C2}"/>
    <cellStyle name="Total 4 2 4 11" xfId="18452" xr:uid="{35CD4D5D-6D45-4269-B126-EB9EFC22E040}"/>
    <cellStyle name="Total 4 2 4 12" xfId="18453" xr:uid="{F94D26A5-A8AF-4A4C-8AF1-1B77049CF2E5}"/>
    <cellStyle name="Total 4 2 4 13" xfId="18454" xr:uid="{C5952284-7C75-4B01-A8D7-FBBD69A86120}"/>
    <cellStyle name="Total 4 2 4 14" xfId="18455" xr:uid="{25D70F2A-3940-42BA-B959-15117D070D07}"/>
    <cellStyle name="Total 4 2 4 15" xfId="18456" xr:uid="{E67F0629-7E9A-4D3A-BECB-D8F619BDBAEF}"/>
    <cellStyle name="Total 4 2 4 16" xfId="18457" xr:uid="{8392FA86-8B14-4730-AB7E-ED7938DF8667}"/>
    <cellStyle name="Total 4 2 4 17" xfId="18458" xr:uid="{DF7EC3BE-B8B2-438B-BD94-1C45898F49F6}"/>
    <cellStyle name="Total 4 2 4 18" xfId="18459" xr:uid="{A2543CAF-D690-4360-A494-024C4FB0EAB9}"/>
    <cellStyle name="Total 4 2 4 19" xfId="18460" xr:uid="{D5F26256-B02F-4D24-B46E-2158CF02F3BD}"/>
    <cellStyle name="Total 4 2 4 2" xfId="18461" xr:uid="{998A4F69-59A3-4FD2-808C-7F673B86C67E}"/>
    <cellStyle name="Total 4 2 4 3" xfId="18462" xr:uid="{317D9713-B592-4772-AA91-A44A37958159}"/>
    <cellStyle name="Total 4 2 4 4" xfId="18463" xr:uid="{73165D95-91E0-4C7E-B0F4-4CE3536BD52B}"/>
    <cellStyle name="Total 4 2 4 5" xfId="18464" xr:uid="{68538A9B-B2EB-40B0-A627-A05761E11581}"/>
    <cellStyle name="Total 4 2 4 6" xfId="18465" xr:uid="{C5DAA617-162F-46BF-9E8B-C57A496B9BDA}"/>
    <cellStyle name="Total 4 2 4 7" xfId="18466" xr:uid="{57A88072-0C0C-4707-AAF6-A73DCB0DC0E5}"/>
    <cellStyle name="Total 4 2 4 8" xfId="18467" xr:uid="{1BF4FE07-AFB5-4E55-A8F4-7BD2AF29D121}"/>
    <cellStyle name="Total 4 2 4 9" xfId="18468" xr:uid="{813E7F95-86B6-4593-8B06-50FBC50342E0}"/>
    <cellStyle name="Total 4 2 4_2013" xfId="18469" xr:uid="{4F08F3F6-4B79-450D-AC13-578E3A3CB763}"/>
    <cellStyle name="Total 4 2 5" xfId="18470" xr:uid="{FB6855F2-5BB0-4AB5-8AA6-D520BC3F32C9}"/>
    <cellStyle name="Total 4 2 6" xfId="18471" xr:uid="{226D29C0-1246-44F2-82E0-771E1149787A}"/>
    <cellStyle name="Total 4 2 7" xfId="18472" xr:uid="{83B32581-0933-44E9-982B-B3CB1FB2CCF3}"/>
    <cellStyle name="Total 4 2 8" xfId="18473" xr:uid="{06349B4C-350A-4696-9D6A-A23CDCC74BE5}"/>
    <cellStyle name="Total 4 2 9" xfId="18474" xr:uid="{C1E86102-C905-4C80-9878-CA47B07E98D5}"/>
    <cellStyle name="Total 4 2_2013" xfId="18475" xr:uid="{A0BB18CF-1F69-4671-8D49-2FF932F6A9F8}"/>
    <cellStyle name="Total 4 20" xfId="18476" xr:uid="{FB12D6FA-2105-4978-8542-5ABA4872AFB6}"/>
    <cellStyle name="Total 4 21" xfId="18477" xr:uid="{35EC8252-C8B5-486C-A6DF-B898FC415F2C}"/>
    <cellStyle name="Total 4 22" xfId="18478" xr:uid="{2887B680-B728-4C24-A841-3820ECD823C1}"/>
    <cellStyle name="Total 4 23" xfId="18479" xr:uid="{E9815883-B396-4E11-BC35-9B7B111B8178}"/>
    <cellStyle name="Total 4 24" xfId="18480" xr:uid="{4C1D1C13-A9A8-41F6-A512-0BBB774E62FA}"/>
    <cellStyle name="Total 4 25" xfId="18481" xr:uid="{8A6FB057-6E39-4036-8719-5D0ED0041F0C}"/>
    <cellStyle name="Total 4 26" xfId="18482" xr:uid="{D838C1E5-8C18-4CF2-BA07-266ED633418D}"/>
    <cellStyle name="Total 4 3" xfId="18483" xr:uid="{46C0F4BF-3995-4051-B70E-54DDACCA513A}"/>
    <cellStyle name="Total 4 3 10" xfId="18484" xr:uid="{6AF1FB76-D734-4DA4-BD3A-452E44F00ED6}"/>
    <cellStyle name="Total 4 3 11" xfId="18485" xr:uid="{69CC99C7-C746-4767-845C-C384F761BEA9}"/>
    <cellStyle name="Total 4 3 12" xfId="18486" xr:uid="{50C6DD93-04C0-4684-AE9D-5D6B440ACB04}"/>
    <cellStyle name="Total 4 3 13" xfId="18487" xr:uid="{FA22E706-5FE1-4C86-B5BF-384C1ABF62C1}"/>
    <cellStyle name="Total 4 3 14" xfId="18488" xr:uid="{440C3FE0-6ECC-4864-B1FD-7871F3A1BD4A}"/>
    <cellStyle name="Total 4 3 15" xfId="18489" xr:uid="{C29FB1EE-68FF-4AEB-97E6-2240C26E97CC}"/>
    <cellStyle name="Total 4 3 16" xfId="18490" xr:uid="{CBE58DC1-9E89-44BC-A09D-66B570BD7256}"/>
    <cellStyle name="Total 4 3 17" xfId="18491" xr:uid="{18FF4252-DE45-4C63-BBF7-678B83D0B6C5}"/>
    <cellStyle name="Total 4 3 18" xfId="18492" xr:uid="{BD17DA87-1FE5-47BB-9162-F44F9B72FD56}"/>
    <cellStyle name="Total 4 3 19" xfId="18493" xr:uid="{7F85C2A5-3A38-4082-8C32-EBE49A1F1071}"/>
    <cellStyle name="Total 4 3 2" xfId="18494" xr:uid="{35CD1779-D0D0-450B-8811-C75306530E63}"/>
    <cellStyle name="Total 4 3 2 10" xfId="18495" xr:uid="{D3DDD0A1-AFA9-4856-A633-759C6A347DF4}"/>
    <cellStyle name="Total 4 3 2 11" xfId="18496" xr:uid="{36D72302-9D22-4709-A0A3-659AB25B65B7}"/>
    <cellStyle name="Total 4 3 2 12" xfId="18497" xr:uid="{25CE0E60-A748-4E37-90D9-E0617A30CABC}"/>
    <cellStyle name="Total 4 3 2 13" xfId="18498" xr:uid="{A2AD1AEC-9F4B-43DD-A85B-FB3BD039D040}"/>
    <cellStyle name="Total 4 3 2 14" xfId="18499" xr:uid="{26A99327-9C3C-4D30-B448-AE419CD3765F}"/>
    <cellStyle name="Total 4 3 2 15" xfId="18500" xr:uid="{68680AAE-75C0-4F66-9CB8-E7649ACFA51B}"/>
    <cellStyle name="Total 4 3 2 16" xfId="18501" xr:uid="{C91B6CD3-7782-41A7-86FF-528A9A749E9D}"/>
    <cellStyle name="Total 4 3 2 17" xfId="18502" xr:uid="{2B3FAB40-1C68-409C-87BA-9833609DE322}"/>
    <cellStyle name="Total 4 3 2 18" xfId="18503" xr:uid="{3FCE62D1-DC83-481B-819C-3EE146D39180}"/>
    <cellStyle name="Total 4 3 2 19" xfId="18504" xr:uid="{926DB3C7-3C84-456E-98BE-6C99D557EED8}"/>
    <cellStyle name="Total 4 3 2 2" xfId="18505" xr:uid="{4FEBE5E8-FFFF-4207-B182-B1AFDFEE4A6B}"/>
    <cellStyle name="Total 4 3 2 3" xfId="18506" xr:uid="{DACD89B8-D68C-4AC6-9AC4-20FCB101028B}"/>
    <cellStyle name="Total 4 3 2 4" xfId="18507" xr:uid="{A00BCF57-C419-4D52-BC06-8937E8E6F912}"/>
    <cellStyle name="Total 4 3 2 5" xfId="18508" xr:uid="{9B937852-4DD4-4B8D-A85C-66C8E9FB05D9}"/>
    <cellStyle name="Total 4 3 2 6" xfId="18509" xr:uid="{5CA2EB73-A94E-4196-82ED-F70A920EFB80}"/>
    <cellStyle name="Total 4 3 2 7" xfId="18510" xr:uid="{278C72FF-6CE0-45A8-B442-7E1D4C578563}"/>
    <cellStyle name="Total 4 3 2 8" xfId="18511" xr:uid="{993EA89A-9DD6-4E7E-8645-0CC0C0A8DCDB}"/>
    <cellStyle name="Total 4 3 2 9" xfId="18512" xr:uid="{88255DBF-89C9-4586-AD93-AA1A143E05B3}"/>
    <cellStyle name="Total 4 3 2_2013" xfId="18513" xr:uid="{DCF6F9E2-7248-4D19-AC66-E4B871757BF5}"/>
    <cellStyle name="Total 4 3 20" xfId="18514" xr:uid="{A44FF6BE-870A-4DCA-98B4-04A17CEDECFE}"/>
    <cellStyle name="Total 4 3 3" xfId="18515" xr:uid="{81745CC6-964B-47EC-8465-262C416FB35A}"/>
    <cellStyle name="Total 4 3 4" xfId="18516" xr:uid="{9F0042DA-0FCF-444A-A1C0-5A62415AEAE8}"/>
    <cellStyle name="Total 4 3 5" xfId="18517" xr:uid="{E5942E7A-650C-46A8-8520-88C60FAB57E4}"/>
    <cellStyle name="Total 4 3 6" xfId="18518" xr:uid="{EAEDD19F-03AB-4A2F-BC8F-C9F9B14ADA2D}"/>
    <cellStyle name="Total 4 3 7" xfId="18519" xr:uid="{C84B989C-F5ED-491C-B229-2E388502D620}"/>
    <cellStyle name="Total 4 3 8" xfId="18520" xr:uid="{DBABE337-0419-4343-80F4-01ABCDB7C011}"/>
    <cellStyle name="Total 4 3 9" xfId="18521" xr:uid="{07CF233B-D864-4097-A590-8882CE95A3D8}"/>
    <cellStyle name="Total 4 3_2013" xfId="18522" xr:uid="{3087706F-9DBA-4207-B1B6-1AAD96457F17}"/>
    <cellStyle name="Total 4 4" xfId="18523" xr:uid="{4C719A4C-B5D4-494C-9D55-1E4AD78317BE}"/>
    <cellStyle name="Total 4 4 10" xfId="18524" xr:uid="{2F9040B1-78C1-4708-A778-2B5AB50E4056}"/>
    <cellStyle name="Total 4 4 11" xfId="18525" xr:uid="{87C44309-C7B2-43D3-A84B-A7AA50DB00BB}"/>
    <cellStyle name="Total 4 4 12" xfId="18526" xr:uid="{7A94CF71-F8BE-4202-9E40-6D9A5B644AE3}"/>
    <cellStyle name="Total 4 4 13" xfId="18527" xr:uid="{DDEE8807-043A-47E1-BE33-3620319F3448}"/>
    <cellStyle name="Total 4 4 14" xfId="18528" xr:uid="{64F6738E-DEB6-4223-9A27-EA8A9DDFF3DD}"/>
    <cellStyle name="Total 4 4 15" xfId="18529" xr:uid="{AE96B210-DD53-45C3-A5EF-6D5248CBEA97}"/>
    <cellStyle name="Total 4 4 16" xfId="18530" xr:uid="{A629D3BA-3366-4099-9928-4E750E2C8076}"/>
    <cellStyle name="Total 4 4 17" xfId="18531" xr:uid="{EF139E49-57A2-434F-B1DE-465DF91495D8}"/>
    <cellStyle name="Total 4 4 18" xfId="18532" xr:uid="{2D37C3D3-D2E3-438D-8E6F-869DA0A13F70}"/>
    <cellStyle name="Total 4 4 19" xfId="18533" xr:uid="{91A0638C-40BA-481F-9CE5-71B81FB066CB}"/>
    <cellStyle name="Total 4 4 2" xfId="18534" xr:uid="{99124FA6-70F0-4FA7-A829-3A6AC9135ED0}"/>
    <cellStyle name="Total 4 4 2 10" xfId="18535" xr:uid="{8F7F7BD7-D72F-4447-8113-A5A4BBF96572}"/>
    <cellStyle name="Total 4 4 2 11" xfId="18536" xr:uid="{03C91213-BFCE-41A8-8DBC-97E91637EEC4}"/>
    <cellStyle name="Total 4 4 2 12" xfId="18537" xr:uid="{B055DBF4-BA23-43BD-BB00-D3B0BD7731C9}"/>
    <cellStyle name="Total 4 4 2 13" xfId="18538" xr:uid="{4213040F-9BDC-4088-8B8A-1CEAC473F523}"/>
    <cellStyle name="Total 4 4 2 14" xfId="18539" xr:uid="{62A1DE11-D8C5-4636-A1F7-7430D34559C9}"/>
    <cellStyle name="Total 4 4 2 15" xfId="18540" xr:uid="{55F17FB2-CB19-402F-B193-0DD5D948C976}"/>
    <cellStyle name="Total 4 4 2 16" xfId="18541" xr:uid="{B0B16061-0396-4E6B-9D58-CEE112A37591}"/>
    <cellStyle name="Total 4 4 2 17" xfId="18542" xr:uid="{1746A9F6-BEDF-4AF0-99E0-5FE824AC43BE}"/>
    <cellStyle name="Total 4 4 2 18" xfId="18543" xr:uid="{F478030C-835A-4B1A-8197-07CF04E913B2}"/>
    <cellStyle name="Total 4 4 2 19" xfId="18544" xr:uid="{08AF2FC2-BFF0-4A1A-8E08-37560A0B2AD5}"/>
    <cellStyle name="Total 4 4 2 2" xfId="18545" xr:uid="{B64FA54D-DFD9-41FD-8CB6-0B11579E1BF7}"/>
    <cellStyle name="Total 4 4 2 3" xfId="18546" xr:uid="{E222BE68-0E4D-43FE-84A8-57EA1D814E01}"/>
    <cellStyle name="Total 4 4 2 4" xfId="18547" xr:uid="{2BB73691-D353-429B-9C49-3FC560BFB81E}"/>
    <cellStyle name="Total 4 4 2 5" xfId="18548" xr:uid="{EF69611B-653D-4BEF-9868-645A0CA854CC}"/>
    <cellStyle name="Total 4 4 2 6" xfId="18549" xr:uid="{3FBDF627-98C0-47BC-9550-E10F60ABFAD6}"/>
    <cellStyle name="Total 4 4 2 7" xfId="18550" xr:uid="{E1092E79-2257-4D3B-BCED-A3EC159BAB83}"/>
    <cellStyle name="Total 4 4 2 8" xfId="18551" xr:uid="{BED90C43-168A-49C2-B623-F46E224797E9}"/>
    <cellStyle name="Total 4 4 2 9" xfId="18552" xr:uid="{F48F92D8-9AC4-42C4-8BEA-79492EB05C85}"/>
    <cellStyle name="Total 4 4 2_2013" xfId="18553" xr:uid="{0160CFF0-36BE-4C35-8617-5D6C4907EF54}"/>
    <cellStyle name="Total 4 4 20" xfId="18554" xr:uid="{75E1EEAF-7ACD-47DD-A7E9-D5591A71D166}"/>
    <cellStyle name="Total 4 4 3" xfId="18555" xr:uid="{BC9C2FD7-D4B4-40CE-9C79-6043FEBFD629}"/>
    <cellStyle name="Total 4 4 4" xfId="18556" xr:uid="{0DC2B7DD-DBB3-4077-B841-423089776FEA}"/>
    <cellStyle name="Total 4 4 5" xfId="18557" xr:uid="{63256307-444A-4EC7-A717-194430B70B1A}"/>
    <cellStyle name="Total 4 4 6" xfId="18558" xr:uid="{B4E84EF0-EE0B-4DA1-A044-D1B0B10066F8}"/>
    <cellStyle name="Total 4 4 7" xfId="18559" xr:uid="{6E0ED22D-75E4-49E8-80BE-1543BBB3469B}"/>
    <cellStyle name="Total 4 4 8" xfId="18560" xr:uid="{75051040-8F63-441C-AFEB-4D34666139EA}"/>
    <cellStyle name="Total 4 4 9" xfId="18561" xr:uid="{8D39EA40-B2C0-41DC-9FCD-9EC157460A00}"/>
    <cellStyle name="Total 4 4_2013" xfId="18562" xr:uid="{0235D9EA-82CD-4F0F-A8C2-16AF37828ACC}"/>
    <cellStyle name="Total 4 5" xfId="18563" xr:uid="{B44BEB1C-FB98-42CC-9E09-CC8CB5948537}"/>
    <cellStyle name="Total 4 5 10" xfId="18564" xr:uid="{EE5F699D-BA5E-4752-B70F-260E1AAA5F16}"/>
    <cellStyle name="Total 4 5 11" xfId="18565" xr:uid="{6C17A5EC-8150-4226-BA02-0E263D1F4C04}"/>
    <cellStyle name="Total 4 5 12" xfId="18566" xr:uid="{05F0A919-437B-4EDB-95EF-A013773CE693}"/>
    <cellStyle name="Total 4 5 13" xfId="18567" xr:uid="{5D92C707-4027-4197-A19C-6238A401265E}"/>
    <cellStyle name="Total 4 5 14" xfId="18568" xr:uid="{DADD241C-5882-4BA6-9446-245E0FC7A6A6}"/>
    <cellStyle name="Total 4 5 15" xfId="18569" xr:uid="{9101AF5E-AAC3-4F36-B10F-7F53E24FA59E}"/>
    <cellStyle name="Total 4 5 16" xfId="18570" xr:uid="{19E74E72-1F6F-4388-B22A-701AF70F1CBA}"/>
    <cellStyle name="Total 4 5 17" xfId="18571" xr:uid="{7649A5C5-CE7C-44B6-866A-C87923E7A343}"/>
    <cellStyle name="Total 4 5 18" xfId="18572" xr:uid="{DD7C3141-F043-44D7-91AA-184B66AD4CD4}"/>
    <cellStyle name="Total 4 5 19" xfId="18573" xr:uid="{04E92552-86E3-4268-88EE-549F408B45FE}"/>
    <cellStyle name="Total 4 5 2" xfId="18574" xr:uid="{6785B795-8BDD-44E2-9BCB-F4FC326C8E8F}"/>
    <cellStyle name="Total 4 5 3" xfId="18575" xr:uid="{71B765D7-F687-4F29-8E8E-096E7B4BF206}"/>
    <cellStyle name="Total 4 5 4" xfId="18576" xr:uid="{302E5AEC-A1A6-4101-B18F-3A8170709989}"/>
    <cellStyle name="Total 4 5 5" xfId="18577" xr:uid="{4546A21B-42B4-4E3C-B768-DD701A4ABDFD}"/>
    <cellStyle name="Total 4 5 6" xfId="18578" xr:uid="{83AAAEE8-ABE1-4B0A-AE86-9B5E12491EAF}"/>
    <cellStyle name="Total 4 5 7" xfId="18579" xr:uid="{446CBECF-67AB-4D27-9A49-1876085419C5}"/>
    <cellStyle name="Total 4 5 8" xfId="18580" xr:uid="{3894E8DC-5B3A-48EC-818B-B29B60753B38}"/>
    <cellStyle name="Total 4 5 9" xfId="18581" xr:uid="{5E5A9386-02FA-4DE2-A344-E1DCB1BBDD0E}"/>
    <cellStyle name="Total 4 5_2013" xfId="18582" xr:uid="{941FA282-38E2-43EB-80FB-7D3AAF66F3F7}"/>
    <cellStyle name="Total 4 6" xfId="18583" xr:uid="{EF89A90D-2399-4622-ACB5-AAE0E5912E75}"/>
    <cellStyle name="Total 4 7" xfId="18584" xr:uid="{9300B791-7EB9-4579-93CE-8D4BBADB71C0}"/>
    <cellStyle name="Total 4 8" xfId="18585" xr:uid="{9522A5FD-50D8-4E29-BE3E-F669CEE06138}"/>
    <cellStyle name="Total 4 9" xfId="18586" xr:uid="{B6D0D767-0CD5-4B73-9F48-98422C046B62}"/>
    <cellStyle name="Total 4_2013" xfId="18587" xr:uid="{7EDF6F83-B273-4093-B1A7-2373C00B65DC}"/>
    <cellStyle name="Total 5" xfId="18588" xr:uid="{0DEDE068-4AC6-486D-8E0D-95DD4ADAB786}"/>
    <cellStyle name="Total 5 10" xfId="18589" xr:uid="{DFF9BFEC-AE6F-4699-BCB9-D6A610593997}"/>
    <cellStyle name="Total 5 11" xfId="18590" xr:uid="{DC025CE6-547F-4902-9226-54D4C479C728}"/>
    <cellStyle name="Total 5 12" xfId="18591" xr:uid="{2664E84B-D604-4304-A5D5-4E740A9B2999}"/>
    <cellStyle name="Total 5 13" xfId="18592" xr:uid="{78F67A6F-3CB0-4CF0-A67E-BB922B0A3810}"/>
    <cellStyle name="Total 5 14" xfId="18593" xr:uid="{C91C1F74-ABB1-40D7-B322-C0DF1483E025}"/>
    <cellStyle name="Total 5 15" xfId="18594" xr:uid="{5582D99B-2F76-4421-A21B-A559B017BC8F}"/>
    <cellStyle name="Total 5 16" xfId="18595" xr:uid="{F48FACED-9EBF-4466-B1E6-8C566DA3D589}"/>
    <cellStyle name="Total 5 17" xfId="18596" xr:uid="{10542499-A779-4FE2-B4BA-F5C2D09A9C74}"/>
    <cellStyle name="Total 5 18" xfId="18597" xr:uid="{7E354DDC-4425-46D5-80E4-3608D6046A82}"/>
    <cellStyle name="Total 5 19" xfId="18598" xr:uid="{478C1FDA-F61A-41E4-90D8-DE793AF650AD}"/>
    <cellStyle name="Total 5 2" xfId="18599" xr:uid="{661FEA07-3724-4F27-B229-BEB1F3C0FC38}"/>
    <cellStyle name="Total 5 3" xfId="18600" xr:uid="{0774D4D5-2983-4B99-B0BA-96D14C5C86D5}"/>
    <cellStyle name="Total 5 4" xfId="18601" xr:uid="{ABA36137-0FA3-4413-BCA9-74FFFF3D9560}"/>
    <cellStyle name="Total 5 5" xfId="18602" xr:uid="{8E344D72-6E25-47E3-BF8B-A1E85019E250}"/>
    <cellStyle name="Total 5 6" xfId="18603" xr:uid="{8CE0BB5C-F50E-4C68-A8A0-2F1D079304E4}"/>
    <cellStyle name="Total 5 7" xfId="18604" xr:uid="{D075DA45-14D7-4A1C-B939-E31F9BB68E3A}"/>
    <cellStyle name="Total 5 8" xfId="18605" xr:uid="{C25C9143-D517-4331-BA02-8421108A8DE2}"/>
    <cellStyle name="Total 5 9" xfId="18606" xr:uid="{DC304705-50CA-4E5A-818C-823200161DB8}"/>
    <cellStyle name="Total 5_2013" xfId="18607" xr:uid="{C7F97AD9-8A4F-4A9C-A03B-975202B99584}"/>
    <cellStyle name="Total 6" xfId="18608" xr:uid="{49929D5E-6AF2-4FF0-BF37-B28D596FCD26}"/>
    <cellStyle name="Total 7" xfId="18609" xr:uid="{BFF414F9-987E-4792-858C-31CC745B1E91}"/>
    <cellStyle name="Total 8" xfId="18610" xr:uid="{15C3E259-973A-4B6C-B495-C3B402ABE232}"/>
    <cellStyle name="Total 9" xfId="18611" xr:uid="{768AF77B-AF88-43CC-89BE-985921053F26}"/>
    <cellStyle name="Total Currency" xfId="18612" xr:uid="{4A113E35-978A-4822-9010-B9E4A2A609EE}"/>
    <cellStyle name="Total Currency 2" xfId="18613" xr:uid="{F59A89BF-DE99-49A6-8AD8-4B66EF5A7EF1}"/>
    <cellStyle name="Total Currency 2 2" xfId="18614" xr:uid="{8E9FF8BC-D5AA-4F66-BBBD-9FCC59B2DA5A}"/>
    <cellStyle name="Total Currency 2_2013" xfId="18615" xr:uid="{98B239CE-440B-4E69-ABCD-69606CC81A6E}"/>
    <cellStyle name="Total Currency 3" xfId="18616" xr:uid="{6D7648A8-6591-4E4E-8BF1-35A4E7EFCC4A}"/>
    <cellStyle name="Total Currency_2013" xfId="18617" xr:uid="{02EB86E0-1D83-4D1B-841C-7C4CC5BF3602}"/>
    <cellStyle name="Totale" xfId="18618" xr:uid="{C398C270-9B10-48D1-8200-679ADA741D6F}"/>
    <cellStyle name="Totale 2" xfId="18619" xr:uid="{18E042EE-A5FF-40F6-8749-DC72CD6C05E7}"/>
    <cellStyle name="Totale_Admissions" xfId="18620" xr:uid="{498729D9-B878-4BDA-85F0-A08B16973C0C}"/>
    <cellStyle name="Tulostus" xfId="18621" xr:uid="{50E6EBB9-6638-4BF5-8696-F5584E99F39A}"/>
    <cellStyle name="Tulostus 10" xfId="18622" xr:uid="{BE0E9B8B-6052-425F-8432-5D6E212B6047}"/>
    <cellStyle name="Tulostus 11" xfId="18623" xr:uid="{EE014EF8-5FF3-4E4C-A0C4-B7AA3F075256}"/>
    <cellStyle name="Tulostus 12" xfId="18624" xr:uid="{1A58930F-BCFE-45A7-9A0D-6AD31FB0D74D}"/>
    <cellStyle name="Tulostus 13" xfId="18625" xr:uid="{5AF9E2CF-7AA7-44CB-A052-D4ADFE49ABB7}"/>
    <cellStyle name="Tulostus 14" xfId="18626" xr:uid="{EDAD2BF2-B2BE-485A-9D31-590EA180FD23}"/>
    <cellStyle name="Tulostus 15" xfId="18627" xr:uid="{DD5865D2-843B-4DEF-A111-3675563CA8E7}"/>
    <cellStyle name="Tulostus 16" xfId="18628" xr:uid="{408F63C0-DF0D-44CD-88CE-79EDF0EFCE8E}"/>
    <cellStyle name="Tulostus 17" xfId="18629" xr:uid="{EB67DA98-2C12-411B-9DF1-24C31908F208}"/>
    <cellStyle name="Tulostus 18" xfId="18630" xr:uid="{7C5B1D7A-7CBD-4CA3-AEEB-CF21D4FD91DE}"/>
    <cellStyle name="Tulostus 19" xfId="18631" xr:uid="{D8761EDF-CBD7-4406-BC1A-60F2AA521F4B}"/>
    <cellStyle name="Tulostus 2" xfId="18632" xr:uid="{222C3B4B-E76E-41CA-B1F7-5ABD9A2244A4}"/>
    <cellStyle name="Tulostus 2 10" xfId="18633" xr:uid="{AE426D54-867C-4F1F-890A-597FD5E829A5}"/>
    <cellStyle name="Tulostus 2 11" xfId="18634" xr:uid="{24B47D9B-A8F9-4EF4-A55D-5D351D913367}"/>
    <cellStyle name="Tulostus 2 12" xfId="18635" xr:uid="{38364FEF-E9BE-49E6-BDE4-C6883AA2A465}"/>
    <cellStyle name="Tulostus 2 13" xfId="18636" xr:uid="{7BA48643-CCD7-465E-8230-A76D7D83FD04}"/>
    <cellStyle name="Tulostus 2 14" xfId="18637" xr:uid="{C1E96835-2AC1-4579-A2F8-90376848BBA3}"/>
    <cellStyle name="Tulostus 2 15" xfId="18638" xr:uid="{3DFC48D5-BF16-4BED-ADA8-391FB788CE30}"/>
    <cellStyle name="Tulostus 2 16" xfId="18639" xr:uid="{E32BE927-53B2-4E31-9260-026C8EE76928}"/>
    <cellStyle name="Tulostus 2 17" xfId="18640" xr:uid="{870F2D14-C533-4322-A424-B300A2DC9ADA}"/>
    <cellStyle name="Tulostus 2 18" xfId="18641" xr:uid="{B68201E2-D60C-438D-B73A-21108902587E}"/>
    <cellStyle name="Tulostus 2 19" xfId="18642" xr:uid="{985A13F3-7542-4A9B-85F5-62AA1F188E6B}"/>
    <cellStyle name="Tulostus 2 2" xfId="18643" xr:uid="{0790243D-AD09-4C50-8643-3DB78D0B8514}"/>
    <cellStyle name="Tulostus 2 2 10" xfId="18644" xr:uid="{EAAABF6C-AD8C-47E5-B20E-BAAEDAB75FCD}"/>
    <cellStyle name="Tulostus 2 2 11" xfId="18645" xr:uid="{AF48521F-EA35-48F0-B2E5-D8DDFBB53E56}"/>
    <cellStyle name="Tulostus 2 2 12" xfId="18646" xr:uid="{3AE8B9C7-6085-4122-9552-5B93B8F750CF}"/>
    <cellStyle name="Tulostus 2 2 13" xfId="18647" xr:uid="{5A8BE23A-F8F4-472A-A8BD-F5A6CBF28C81}"/>
    <cellStyle name="Tulostus 2 2 14" xfId="18648" xr:uid="{F6A8E7BF-486F-4660-B7E3-6F0CB66E34FD}"/>
    <cellStyle name="Tulostus 2 2 15" xfId="18649" xr:uid="{8E310B2F-DA40-4B75-BB32-46168D89FDD8}"/>
    <cellStyle name="Tulostus 2 2 16" xfId="18650" xr:uid="{4B845E89-2F76-4251-8EBE-CD63A6440088}"/>
    <cellStyle name="Tulostus 2 2 17" xfId="18651" xr:uid="{FDCF2BE9-501E-4138-8A51-2A086F8978FA}"/>
    <cellStyle name="Tulostus 2 2 18" xfId="18652" xr:uid="{DED9AA00-A14B-4401-AF03-C94A3BD27E38}"/>
    <cellStyle name="Tulostus 2 2 19" xfId="18653" xr:uid="{C7001600-E4D0-4E6B-A0CF-6FAC7DAC648D}"/>
    <cellStyle name="Tulostus 2 2 2" xfId="18654" xr:uid="{23A8DAA6-981D-4B64-8B6D-86D3B7657F98}"/>
    <cellStyle name="Tulostus 2 2 2 10" xfId="18655" xr:uid="{6118A120-36BA-4EFA-9788-8C4E334F07B7}"/>
    <cellStyle name="Tulostus 2 2 2 11" xfId="18656" xr:uid="{E1D0CEA5-B589-4D29-899C-09FE893721A4}"/>
    <cellStyle name="Tulostus 2 2 2 12" xfId="18657" xr:uid="{4ECD5EE4-8E85-49F2-8BF4-4E7B4107EC22}"/>
    <cellStyle name="Tulostus 2 2 2 13" xfId="18658" xr:uid="{A033B256-008D-47CF-A2A2-38CA376ABCAB}"/>
    <cellStyle name="Tulostus 2 2 2 14" xfId="18659" xr:uid="{E862E66B-A271-48FF-9A53-A7CBF9700653}"/>
    <cellStyle name="Tulostus 2 2 2 15" xfId="18660" xr:uid="{0BF5E35D-722E-4690-881C-DABE5E98D277}"/>
    <cellStyle name="Tulostus 2 2 2 16" xfId="18661" xr:uid="{B34C7532-498B-4506-A64B-D0A8D6ADD0BE}"/>
    <cellStyle name="Tulostus 2 2 2 17" xfId="18662" xr:uid="{0F77070A-6DDD-4797-A47C-73CE0AACC76E}"/>
    <cellStyle name="Tulostus 2 2 2 18" xfId="18663" xr:uid="{72764A74-A1C6-46A2-AAD6-8408EE1DCDEE}"/>
    <cellStyle name="Tulostus 2 2 2 19" xfId="18664" xr:uid="{918AFE72-3030-4370-8A70-1221496B5BB9}"/>
    <cellStyle name="Tulostus 2 2 2 2" xfId="18665" xr:uid="{226F7546-6D8C-447F-876E-1A3C3BE0483A}"/>
    <cellStyle name="Tulostus 2 2 2 2 10" xfId="18666" xr:uid="{5DBF5DEA-68B9-47F4-AD10-87572500BC4F}"/>
    <cellStyle name="Tulostus 2 2 2 2 11" xfId="18667" xr:uid="{2532F794-B7DD-4F49-A18B-1E57A0B5E5AF}"/>
    <cellStyle name="Tulostus 2 2 2 2 12" xfId="18668" xr:uid="{17EE30BD-3A44-4361-A85B-54F79E86A8EB}"/>
    <cellStyle name="Tulostus 2 2 2 2 13" xfId="18669" xr:uid="{766263D7-1E19-4D5B-9FFC-959B5DE12130}"/>
    <cellStyle name="Tulostus 2 2 2 2 14" xfId="18670" xr:uid="{F94F7EF1-9702-4682-B418-504A80BC7E10}"/>
    <cellStyle name="Tulostus 2 2 2 2 15" xfId="18671" xr:uid="{372C3F7C-36D3-44B5-AA83-394F95EF1BBE}"/>
    <cellStyle name="Tulostus 2 2 2 2 16" xfId="18672" xr:uid="{37315662-FA42-4491-8049-2E7A4480A250}"/>
    <cellStyle name="Tulostus 2 2 2 2 17" xfId="18673" xr:uid="{EB8A1135-B7FB-4FC8-ACB6-9673EC45A9F2}"/>
    <cellStyle name="Tulostus 2 2 2 2 18" xfId="18674" xr:uid="{4A7F2AC5-6F3D-49A4-9556-CABA8FCA5D5D}"/>
    <cellStyle name="Tulostus 2 2 2 2 19" xfId="18675" xr:uid="{A49CAB84-9D7E-44FB-86A8-22FD6EA74A83}"/>
    <cellStyle name="Tulostus 2 2 2 2 2" xfId="18676" xr:uid="{011FF118-EE32-454D-9591-9DB11336DC61}"/>
    <cellStyle name="Tulostus 2 2 2 2 3" xfId="18677" xr:uid="{6FF69AB5-58FB-4332-A681-C810B6A10709}"/>
    <cellStyle name="Tulostus 2 2 2 2 4" xfId="18678" xr:uid="{0B995C90-4D79-4DE0-A3F7-6B039BF3A40A}"/>
    <cellStyle name="Tulostus 2 2 2 2 5" xfId="18679" xr:uid="{42614C02-32BC-4B34-8D7F-245BD469AA40}"/>
    <cellStyle name="Tulostus 2 2 2 2 6" xfId="18680" xr:uid="{959377EA-0401-4A67-92D4-97B85CBC3068}"/>
    <cellStyle name="Tulostus 2 2 2 2 7" xfId="18681" xr:uid="{3C5D921D-0BF3-4FCD-A3B0-B01F5FF10131}"/>
    <cellStyle name="Tulostus 2 2 2 2 8" xfId="18682" xr:uid="{A3B3D239-95AC-493A-832B-5649314554D8}"/>
    <cellStyle name="Tulostus 2 2 2 2 9" xfId="18683" xr:uid="{1608C563-7845-4629-9EC9-002D5C872B39}"/>
    <cellStyle name="Tulostus 2 2 2 2_2013" xfId="18684" xr:uid="{2DA3A1CB-3057-4A1B-B0A7-1C9315FBE8F6}"/>
    <cellStyle name="Tulostus 2 2 2 20" xfId="18685" xr:uid="{D496185C-BB2D-46B1-80BE-52E76DCF86FC}"/>
    <cellStyle name="Tulostus 2 2 2 3" xfId="18686" xr:uid="{3F6FCF83-8AF4-4EAD-B09E-1107D71EA61C}"/>
    <cellStyle name="Tulostus 2 2 2 4" xfId="18687" xr:uid="{BF18634E-0B00-437B-8CCF-EF172029FEDD}"/>
    <cellStyle name="Tulostus 2 2 2 5" xfId="18688" xr:uid="{0E42AFC7-F334-47B7-998D-79143D84F80B}"/>
    <cellStyle name="Tulostus 2 2 2 6" xfId="18689" xr:uid="{F9D35B6A-28E3-409E-ABC6-396103F08E80}"/>
    <cellStyle name="Tulostus 2 2 2 7" xfId="18690" xr:uid="{B1401802-65E6-49E4-ADFB-25709CC72AB6}"/>
    <cellStyle name="Tulostus 2 2 2 8" xfId="18691" xr:uid="{592B95E3-60F0-4EBF-9138-609FB2CCBE4E}"/>
    <cellStyle name="Tulostus 2 2 2 9" xfId="18692" xr:uid="{1D244780-DA3A-4C98-AD22-3CFC257E1181}"/>
    <cellStyle name="Tulostus 2 2 2_2013" xfId="18693" xr:uid="{8EFB5473-42DE-4129-9840-38AAA2B3A7A2}"/>
    <cellStyle name="Tulostus 2 2 20" xfId="18694" xr:uid="{37A51E43-9117-4664-996A-B15F20622323}"/>
    <cellStyle name="Tulostus 2 2 21" xfId="18695" xr:uid="{3130F628-3A5E-412C-9A22-C50AFA9C4547}"/>
    <cellStyle name="Tulostus 2 2 22" xfId="18696" xr:uid="{CE8D4062-4B47-4858-86C9-F3A7D0C07E5E}"/>
    <cellStyle name="Tulostus 2 2 23" xfId="18697" xr:uid="{BDE79020-CD31-4C4F-AE5B-924ADD45CF07}"/>
    <cellStyle name="Tulostus 2 2 3" xfId="18698" xr:uid="{3454FF19-43C4-41EA-AEF8-819C18E1BCBD}"/>
    <cellStyle name="Tulostus 2 2 3 10" xfId="18699" xr:uid="{3ABB99DC-0B8A-424D-9064-2294A24DA4B3}"/>
    <cellStyle name="Tulostus 2 2 3 11" xfId="18700" xr:uid="{6862EC96-C148-47BD-B75C-C6FA99F96476}"/>
    <cellStyle name="Tulostus 2 2 3 12" xfId="18701" xr:uid="{6BD158D1-2900-4D57-9B2F-E6E229E7BEF5}"/>
    <cellStyle name="Tulostus 2 2 3 13" xfId="18702" xr:uid="{7F982613-DABF-4CC7-94A8-F9591E22220C}"/>
    <cellStyle name="Tulostus 2 2 3 14" xfId="18703" xr:uid="{C63BC602-40C1-4646-89EE-D36397A16A7B}"/>
    <cellStyle name="Tulostus 2 2 3 15" xfId="18704" xr:uid="{2C972CC9-49FF-40A0-A8F6-5471DFEC2CF7}"/>
    <cellStyle name="Tulostus 2 2 3 16" xfId="18705" xr:uid="{9BDFBFE8-0FEC-4421-983F-F19938EF1F4B}"/>
    <cellStyle name="Tulostus 2 2 3 17" xfId="18706" xr:uid="{61574D9A-EC55-4DC0-B6E6-AFEC3DB516C2}"/>
    <cellStyle name="Tulostus 2 2 3 18" xfId="18707" xr:uid="{33DFBD97-EB4C-4A2C-ABA1-36D4ACC017F7}"/>
    <cellStyle name="Tulostus 2 2 3 19" xfId="18708" xr:uid="{45F52A60-FC29-4A07-B052-17C32573E253}"/>
    <cellStyle name="Tulostus 2 2 3 2" xfId="18709" xr:uid="{151BFFAA-BFE8-4E77-8CFC-02609D2868FF}"/>
    <cellStyle name="Tulostus 2 2 3 2 10" xfId="18710" xr:uid="{D3D758B0-7A94-4381-A796-B5FA96AFDDB6}"/>
    <cellStyle name="Tulostus 2 2 3 2 11" xfId="18711" xr:uid="{E75CBC95-CA89-44FF-904B-89ECF07AF69C}"/>
    <cellStyle name="Tulostus 2 2 3 2 12" xfId="18712" xr:uid="{1E59272B-3DC8-4AAC-AC30-AF80CEB5170C}"/>
    <cellStyle name="Tulostus 2 2 3 2 13" xfId="18713" xr:uid="{038E3B59-A42F-4C76-920A-B0B54E61DB77}"/>
    <cellStyle name="Tulostus 2 2 3 2 14" xfId="18714" xr:uid="{9EF91F7D-1B3D-4139-8E49-91D0F5D43BDD}"/>
    <cellStyle name="Tulostus 2 2 3 2 15" xfId="18715" xr:uid="{A5BA6F34-A772-4BDE-AD6A-2C065806E2E2}"/>
    <cellStyle name="Tulostus 2 2 3 2 16" xfId="18716" xr:uid="{B33AB7A1-F93A-4F5A-B116-C2233DE1FCF0}"/>
    <cellStyle name="Tulostus 2 2 3 2 17" xfId="18717" xr:uid="{D7027449-85DA-4FD7-BC8D-94E3E0BCCC78}"/>
    <cellStyle name="Tulostus 2 2 3 2 18" xfId="18718" xr:uid="{8393636D-7516-42A5-99B2-8F87BC7FDD38}"/>
    <cellStyle name="Tulostus 2 2 3 2 19" xfId="18719" xr:uid="{C4DBE25A-E0B6-4FDD-8365-CCE09A038DBD}"/>
    <cellStyle name="Tulostus 2 2 3 2 2" xfId="18720" xr:uid="{124BC36C-F490-4DDA-853A-F3D7E09D2292}"/>
    <cellStyle name="Tulostus 2 2 3 2 3" xfId="18721" xr:uid="{DA61FCC4-8BE4-4DDF-B3DB-792DCD59D757}"/>
    <cellStyle name="Tulostus 2 2 3 2 4" xfId="18722" xr:uid="{2C9745AA-4923-4BBC-8A3A-C1212DB439E8}"/>
    <cellStyle name="Tulostus 2 2 3 2 5" xfId="18723" xr:uid="{4E2F534A-4DCC-48D6-9594-EB82348903DF}"/>
    <cellStyle name="Tulostus 2 2 3 2 6" xfId="18724" xr:uid="{6CDD4605-EC1E-4913-8626-FFF2BEB1DAF8}"/>
    <cellStyle name="Tulostus 2 2 3 2 7" xfId="18725" xr:uid="{79EC9F34-92C3-462C-B4EE-9D711915DDCC}"/>
    <cellStyle name="Tulostus 2 2 3 2 8" xfId="18726" xr:uid="{CD90917A-3A5C-44E1-A890-62596ED88B95}"/>
    <cellStyle name="Tulostus 2 2 3 2 9" xfId="18727" xr:uid="{95570CD4-858C-452F-8A29-2C42075776DE}"/>
    <cellStyle name="Tulostus 2 2 3 2_2013" xfId="18728" xr:uid="{71B24C7C-C195-44BB-965A-2D7ABBA836BB}"/>
    <cellStyle name="Tulostus 2 2 3 20" xfId="18729" xr:uid="{43839A18-6805-4A78-B130-A60FD40D1408}"/>
    <cellStyle name="Tulostus 2 2 3 3" xfId="18730" xr:uid="{7257A17B-371B-4B3A-AA55-20AC3FDF13E0}"/>
    <cellStyle name="Tulostus 2 2 3 4" xfId="18731" xr:uid="{CF700889-D73F-4E30-B5BC-0ED4ACC0E0DD}"/>
    <cellStyle name="Tulostus 2 2 3 5" xfId="18732" xr:uid="{A87517C1-E20E-4A2E-997A-1EC00BB8A027}"/>
    <cellStyle name="Tulostus 2 2 3 6" xfId="18733" xr:uid="{8D9307A5-F5FE-40AD-AB5A-F8BA75F1DD94}"/>
    <cellStyle name="Tulostus 2 2 3 7" xfId="18734" xr:uid="{52BE6909-0793-4835-B6D8-8EE493ADA4B1}"/>
    <cellStyle name="Tulostus 2 2 3 8" xfId="18735" xr:uid="{9DE9B99D-5CAF-448F-B709-597B28077DB2}"/>
    <cellStyle name="Tulostus 2 2 3 9" xfId="18736" xr:uid="{77E6DD51-B394-4400-9EF5-7C01370E13F4}"/>
    <cellStyle name="Tulostus 2 2 3_2013" xfId="18737" xr:uid="{735495F5-D5CE-451E-B6BB-AF1F26F0A4B4}"/>
    <cellStyle name="Tulostus 2 2 4" xfId="18738" xr:uid="{B5F7C6DD-BAF7-42D7-888F-5DA6B962939C}"/>
    <cellStyle name="Tulostus 2 2 4 10" xfId="18739" xr:uid="{9C4F15EC-9793-4F4A-A72C-3E2DFB8C9384}"/>
    <cellStyle name="Tulostus 2 2 4 11" xfId="18740" xr:uid="{454192CE-9DC4-4761-B06A-EE06ABBF4D54}"/>
    <cellStyle name="Tulostus 2 2 4 12" xfId="18741" xr:uid="{7E27F638-9413-4E9F-BF7A-0AEBA24E00BC}"/>
    <cellStyle name="Tulostus 2 2 4 13" xfId="18742" xr:uid="{30219718-34D7-4CB4-925F-0658A6CEFDFF}"/>
    <cellStyle name="Tulostus 2 2 4 14" xfId="18743" xr:uid="{875C1584-F155-49DB-9F31-E6731F163191}"/>
    <cellStyle name="Tulostus 2 2 4 15" xfId="18744" xr:uid="{B8020D74-F6BE-466B-9CDE-67131CDB0FB8}"/>
    <cellStyle name="Tulostus 2 2 4 16" xfId="18745" xr:uid="{46E11D4D-4FC9-45D8-A67A-188D059A84EF}"/>
    <cellStyle name="Tulostus 2 2 4 17" xfId="18746" xr:uid="{2C1AACAD-7736-49FA-8B28-709B1D18790E}"/>
    <cellStyle name="Tulostus 2 2 4 18" xfId="18747" xr:uid="{D1336F73-CEA1-44C4-8365-0E4E899F5DDD}"/>
    <cellStyle name="Tulostus 2 2 4 19" xfId="18748" xr:uid="{6C85EAAB-BF41-4EA1-B789-803D7467D023}"/>
    <cellStyle name="Tulostus 2 2 4 2" xfId="18749" xr:uid="{0698C2AD-CBE8-4F6A-8590-10F85A9A29EF}"/>
    <cellStyle name="Tulostus 2 2 4 2 10" xfId="18750" xr:uid="{FF180351-3B29-4F5E-94A5-25C9C30F8653}"/>
    <cellStyle name="Tulostus 2 2 4 2 11" xfId="18751" xr:uid="{DDC82C21-E74E-4BA5-A348-05389E15E627}"/>
    <cellStyle name="Tulostus 2 2 4 2 12" xfId="18752" xr:uid="{F986A6F0-8E5A-4352-8CD6-CD3C4385F68D}"/>
    <cellStyle name="Tulostus 2 2 4 2 13" xfId="18753" xr:uid="{3E4D14AE-4112-480A-B553-97DA756BBEAF}"/>
    <cellStyle name="Tulostus 2 2 4 2 14" xfId="18754" xr:uid="{41C95FAF-41F7-4A8C-8A62-E50C498F740F}"/>
    <cellStyle name="Tulostus 2 2 4 2 15" xfId="18755" xr:uid="{95443F4F-FFD5-4357-87A5-10BAFB4A09C6}"/>
    <cellStyle name="Tulostus 2 2 4 2 16" xfId="18756" xr:uid="{47C6F5EE-72FB-458B-8E21-8023F924B752}"/>
    <cellStyle name="Tulostus 2 2 4 2 17" xfId="18757" xr:uid="{18B70DCB-F72A-46CE-B61D-9C61AFC06F52}"/>
    <cellStyle name="Tulostus 2 2 4 2 18" xfId="18758" xr:uid="{5137B8B9-EFDF-47AC-86F4-585A969A6C87}"/>
    <cellStyle name="Tulostus 2 2 4 2 19" xfId="18759" xr:uid="{54460F27-92E5-4E04-9BB1-4DA4A41BA26C}"/>
    <cellStyle name="Tulostus 2 2 4 2 2" xfId="18760" xr:uid="{456BCAAD-44FE-4A3F-866B-65C35093F8F2}"/>
    <cellStyle name="Tulostus 2 2 4 2 3" xfId="18761" xr:uid="{576DFFD2-9976-47A4-84AA-844165E58775}"/>
    <cellStyle name="Tulostus 2 2 4 2 4" xfId="18762" xr:uid="{773AFE24-CBC4-4DF4-9B8E-9FE6CF93E843}"/>
    <cellStyle name="Tulostus 2 2 4 2 5" xfId="18763" xr:uid="{A5D40345-07A8-4D56-AAF7-8F8AC6A948B8}"/>
    <cellStyle name="Tulostus 2 2 4 2 6" xfId="18764" xr:uid="{4EF9806D-7A14-4C3B-9637-2563DBAEE74F}"/>
    <cellStyle name="Tulostus 2 2 4 2 7" xfId="18765" xr:uid="{2E6F635C-515D-42B3-8840-1494E72BC1E5}"/>
    <cellStyle name="Tulostus 2 2 4 2 8" xfId="18766" xr:uid="{DEB16393-E6B0-474D-9442-65BB499780D0}"/>
    <cellStyle name="Tulostus 2 2 4 2 9" xfId="18767" xr:uid="{E5C64C4C-B849-4BB4-A211-3020E02D91F8}"/>
    <cellStyle name="Tulostus 2 2 4 2_2013" xfId="18768" xr:uid="{F00984E1-0A08-41A9-AA1A-265430F33FA2}"/>
    <cellStyle name="Tulostus 2 2 4 20" xfId="18769" xr:uid="{7F8FA43E-3A77-46D7-986B-10928268B662}"/>
    <cellStyle name="Tulostus 2 2 4 3" xfId="18770" xr:uid="{C91A7F7A-A1C4-4D66-A07E-28AB00CE9F63}"/>
    <cellStyle name="Tulostus 2 2 4 4" xfId="18771" xr:uid="{52092531-D819-4B0D-9960-DBC1C2A7900B}"/>
    <cellStyle name="Tulostus 2 2 4 5" xfId="18772" xr:uid="{FEDB5691-8C49-4454-ACA5-2FB924F7320C}"/>
    <cellStyle name="Tulostus 2 2 4 6" xfId="18773" xr:uid="{9F0C26C0-032F-4B5F-A314-291E2DF7F6F7}"/>
    <cellStyle name="Tulostus 2 2 4 7" xfId="18774" xr:uid="{50038BBD-30CE-4698-BFAA-07FA4AE6AB38}"/>
    <cellStyle name="Tulostus 2 2 4 8" xfId="18775" xr:uid="{53980726-D677-451B-9196-6BB678BEDE3E}"/>
    <cellStyle name="Tulostus 2 2 4 9" xfId="18776" xr:uid="{373784C2-3EE1-4A54-B81E-410C45E37F08}"/>
    <cellStyle name="Tulostus 2 2 4_2013" xfId="18777" xr:uid="{74C1E42D-B70C-4017-91D6-D0DA68C05DE3}"/>
    <cellStyle name="Tulostus 2 2 5" xfId="18778" xr:uid="{0BEE79ED-B2EA-45C2-8EF4-D9548C109636}"/>
    <cellStyle name="Tulostus 2 2 5 10" xfId="18779" xr:uid="{F01B94B0-CEFB-4BA1-8E79-FCE706059D06}"/>
    <cellStyle name="Tulostus 2 2 5 11" xfId="18780" xr:uid="{BE5C840E-DA27-49A5-9446-6844F4BB3FEA}"/>
    <cellStyle name="Tulostus 2 2 5 12" xfId="18781" xr:uid="{CFD1289C-D0B0-40AA-8BA8-F3C9C626BBD4}"/>
    <cellStyle name="Tulostus 2 2 5 13" xfId="18782" xr:uid="{0F8AC702-8200-4310-B569-69DFDE0EAC5C}"/>
    <cellStyle name="Tulostus 2 2 5 14" xfId="18783" xr:uid="{414F7135-F3D6-48A3-AEDC-F81CFC3BD679}"/>
    <cellStyle name="Tulostus 2 2 5 15" xfId="18784" xr:uid="{4D9FD12B-FBDD-4214-969E-18418D7C541B}"/>
    <cellStyle name="Tulostus 2 2 5 16" xfId="18785" xr:uid="{5CD0944A-4904-422F-BF33-2E1DB9ED425B}"/>
    <cellStyle name="Tulostus 2 2 5 17" xfId="18786" xr:uid="{8AAE61C7-5C68-4AAC-B87B-AE74C8ADC0E2}"/>
    <cellStyle name="Tulostus 2 2 5 18" xfId="18787" xr:uid="{26180446-052A-433A-A749-5D4761B9369C}"/>
    <cellStyle name="Tulostus 2 2 5 19" xfId="18788" xr:uid="{FCE87983-BB09-4CEF-BABA-C3C730CFB85E}"/>
    <cellStyle name="Tulostus 2 2 5 2" xfId="18789" xr:uid="{B2D1D5C1-8300-4A80-AB77-3022C73BDE1B}"/>
    <cellStyle name="Tulostus 2 2 5 3" xfId="18790" xr:uid="{68D74FF3-8494-4844-949B-1CD3AA51356A}"/>
    <cellStyle name="Tulostus 2 2 5 4" xfId="18791" xr:uid="{9E0A6E53-C4A3-454B-B6EF-4C71D5B86754}"/>
    <cellStyle name="Tulostus 2 2 5 5" xfId="18792" xr:uid="{438218A6-6037-42C2-B1DE-3A25B86FE4DA}"/>
    <cellStyle name="Tulostus 2 2 5 6" xfId="18793" xr:uid="{9E6BE17E-6EF3-4C50-B5CC-A0C319D52F7C}"/>
    <cellStyle name="Tulostus 2 2 5 7" xfId="18794" xr:uid="{5B2CD840-0360-4BC0-8058-6DDC4E2DB42B}"/>
    <cellStyle name="Tulostus 2 2 5 8" xfId="18795" xr:uid="{B3340337-D46D-4FB7-B41D-4DD9CF3AD438}"/>
    <cellStyle name="Tulostus 2 2 5 9" xfId="18796" xr:uid="{67EBE1A3-13DA-437D-BAA3-CFB6D13DD9D0}"/>
    <cellStyle name="Tulostus 2 2 5_2013" xfId="18797" xr:uid="{4A218E96-45BB-41A8-9275-7DF03E20E994}"/>
    <cellStyle name="Tulostus 2 2 6" xfId="18798" xr:uid="{71E08EE9-42B0-43D7-B239-4D4DAFBC19CB}"/>
    <cellStyle name="Tulostus 2 2 7" xfId="18799" xr:uid="{E70C05F7-3F89-4EDE-885F-365CDD913868}"/>
    <cellStyle name="Tulostus 2 2 8" xfId="18800" xr:uid="{34877979-6F14-4DEC-8A85-7EB66641D290}"/>
    <cellStyle name="Tulostus 2 2 9" xfId="18801" xr:uid="{5DF2B927-4F07-487B-817F-3874CB477A80}"/>
    <cellStyle name="Tulostus 2 2_2013" xfId="18802" xr:uid="{C51967E5-AAB7-4D23-AC63-2B088CE9F738}"/>
    <cellStyle name="Tulostus 2 20" xfId="18803" xr:uid="{1E70E7E1-FF51-42C3-A6B0-6F91AE0AD94A}"/>
    <cellStyle name="Tulostus 2 21" xfId="18804" xr:uid="{9EB3EAA7-9219-4CA8-A2D1-F1A5B322CC61}"/>
    <cellStyle name="Tulostus 2 22" xfId="18805" xr:uid="{62102589-1BCD-4BDC-B9B0-2C072CB2D104}"/>
    <cellStyle name="Tulostus 2 23" xfId="18806" xr:uid="{243DF374-E872-44D9-99C3-6A2CC1CF2EFA}"/>
    <cellStyle name="Tulostus 2 24" xfId="18807" xr:uid="{56231A0F-294A-4276-8D07-8F42DF84506D}"/>
    <cellStyle name="Tulostus 2 3" xfId="18808" xr:uid="{1DD5FB4A-7ED0-445D-81E8-8481C39B06F0}"/>
    <cellStyle name="Tulostus 2 3 10" xfId="18809" xr:uid="{A4256436-E404-4F1E-BA59-27B40402DDD1}"/>
    <cellStyle name="Tulostus 2 3 11" xfId="18810" xr:uid="{EB3DE46F-1562-4473-8B0C-D7F8B9E46FC3}"/>
    <cellStyle name="Tulostus 2 3 12" xfId="18811" xr:uid="{A31F5956-67AC-401A-8F8F-29273CF3F6BF}"/>
    <cellStyle name="Tulostus 2 3 13" xfId="18812" xr:uid="{8ADAE5C8-D208-4231-B722-48FA245EE70D}"/>
    <cellStyle name="Tulostus 2 3 14" xfId="18813" xr:uid="{2B1D84DB-B42E-4AD1-825C-A8731951A6E4}"/>
    <cellStyle name="Tulostus 2 3 15" xfId="18814" xr:uid="{52913E97-6146-42F8-BF48-BA8074F1C980}"/>
    <cellStyle name="Tulostus 2 3 16" xfId="18815" xr:uid="{F7B1E738-CB8E-4F0A-80CF-CC24F54B719A}"/>
    <cellStyle name="Tulostus 2 3 17" xfId="18816" xr:uid="{F57B0552-2F11-4914-A5AA-B9B2F853CED7}"/>
    <cellStyle name="Tulostus 2 3 18" xfId="18817" xr:uid="{D5493281-92A8-4F99-B0FD-942581DECEBB}"/>
    <cellStyle name="Tulostus 2 3 19" xfId="18818" xr:uid="{5700C07B-C346-47BB-8A63-69EB74644133}"/>
    <cellStyle name="Tulostus 2 3 2" xfId="18819" xr:uid="{385A1D54-B577-4A35-B1BD-40578E3ED564}"/>
    <cellStyle name="Tulostus 2 3 2 10" xfId="18820" xr:uid="{26A41605-CC57-401E-B13A-CABBC8C05073}"/>
    <cellStyle name="Tulostus 2 3 2 11" xfId="18821" xr:uid="{77DEC043-C743-4C88-A423-184A3F383C8C}"/>
    <cellStyle name="Tulostus 2 3 2 12" xfId="18822" xr:uid="{6E3E51BF-77CE-4F1C-B3D8-AE84E76F0E1B}"/>
    <cellStyle name="Tulostus 2 3 2 13" xfId="18823" xr:uid="{3603DB2B-74AD-42E3-B43B-CA36DCA84C18}"/>
    <cellStyle name="Tulostus 2 3 2 14" xfId="18824" xr:uid="{59E76A8E-5418-4F1B-A876-06F9E8B7CE72}"/>
    <cellStyle name="Tulostus 2 3 2 15" xfId="18825" xr:uid="{48CD7AF4-9E40-42FE-932E-C3D1230474B3}"/>
    <cellStyle name="Tulostus 2 3 2 16" xfId="18826" xr:uid="{311503A8-B79F-4F5C-9317-3648E1D3A0DD}"/>
    <cellStyle name="Tulostus 2 3 2 17" xfId="18827" xr:uid="{1FF5C319-FAC3-4880-A293-136F749C1D00}"/>
    <cellStyle name="Tulostus 2 3 2 18" xfId="18828" xr:uid="{23F1AD47-9B50-4073-A933-888201751210}"/>
    <cellStyle name="Tulostus 2 3 2 19" xfId="18829" xr:uid="{58FC441E-2094-4B47-AB2F-39D8307246C6}"/>
    <cellStyle name="Tulostus 2 3 2 2" xfId="18830" xr:uid="{EEEAFDA6-8B38-4813-8FB3-E1877974EB07}"/>
    <cellStyle name="Tulostus 2 3 2 3" xfId="18831" xr:uid="{953C9A61-034A-49E2-B9CD-DB98A9510845}"/>
    <cellStyle name="Tulostus 2 3 2 4" xfId="18832" xr:uid="{29DBA428-F784-4A5C-AE12-232D81099BE5}"/>
    <cellStyle name="Tulostus 2 3 2 5" xfId="18833" xr:uid="{C8F68460-601E-4CDB-A402-A79162EE58CA}"/>
    <cellStyle name="Tulostus 2 3 2 6" xfId="18834" xr:uid="{7B28BC1B-F751-4739-8896-D6EE42C1B111}"/>
    <cellStyle name="Tulostus 2 3 2 7" xfId="18835" xr:uid="{05DE2B46-C2F3-4C74-B91E-2B36A763C9F2}"/>
    <cellStyle name="Tulostus 2 3 2 8" xfId="18836" xr:uid="{DF95E91C-5BD9-4F5A-B430-49A443CE2027}"/>
    <cellStyle name="Tulostus 2 3 2 9" xfId="18837" xr:uid="{E91BEB71-0492-4DC3-981B-582BEE593548}"/>
    <cellStyle name="Tulostus 2 3 2_2013" xfId="18838" xr:uid="{A496425F-C047-48A0-85C8-3163E1EE17BC}"/>
    <cellStyle name="Tulostus 2 3 20" xfId="18839" xr:uid="{FA9DC0AA-9788-4AB2-B916-168B59F97385}"/>
    <cellStyle name="Tulostus 2 3 3" xfId="18840" xr:uid="{76DF9A5A-2194-48DD-83B6-7E165024EAAB}"/>
    <cellStyle name="Tulostus 2 3 4" xfId="18841" xr:uid="{BC03EA3D-A558-48FE-B53D-3F72D7901B20}"/>
    <cellStyle name="Tulostus 2 3 5" xfId="18842" xr:uid="{E5C76779-0582-4F72-A982-547CF2CEDE21}"/>
    <cellStyle name="Tulostus 2 3 6" xfId="18843" xr:uid="{DCDEAE0F-C015-4C07-81B6-13D887626CD9}"/>
    <cellStyle name="Tulostus 2 3 7" xfId="18844" xr:uid="{C5F91227-E826-4398-B1E3-91139178476A}"/>
    <cellStyle name="Tulostus 2 3 8" xfId="18845" xr:uid="{35925F18-9277-4504-B42D-FABD6155341D}"/>
    <cellStyle name="Tulostus 2 3 9" xfId="18846" xr:uid="{87CA84F7-8629-4854-923A-337C814E6601}"/>
    <cellStyle name="Tulostus 2 3_2013" xfId="18847" xr:uid="{7418D9FA-A71B-488F-8D1C-A20B6969A6B0}"/>
    <cellStyle name="Tulostus 2 4" xfId="18848" xr:uid="{4F61063F-74FF-4319-AB92-C6FF3E3CD659}"/>
    <cellStyle name="Tulostus 2 4 10" xfId="18849" xr:uid="{5473EDA8-BB89-4D14-A950-6F632B4A8615}"/>
    <cellStyle name="Tulostus 2 4 11" xfId="18850" xr:uid="{BEB31881-2C0C-4F0E-B17B-970C108C3A18}"/>
    <cellStyle name="Tulostus 2 4 12" xfId="18851" xr:uid="{C92D0B53-362F-4A3C-9769-B1DCD0E7A13D}"/>
    <cellStyle name="Tulostus 2 4 13" xfId="18852" xr:uid="{D49EFC2F-BA54-4D1B-98BE-A02E9755F8CF}"/>
    <cellStyle name="Tulostus 2 4 14" xfId="18853" xr:uid="{7B5A18B5-359F-42D1-A413-D69E16A1C25F}"/>
    <cellStyle name="Tulostus 2 4 15" xfId="18854" xr:uid="{BEFED64F-7349-4641-BEEF-704A1C6B0A42}"/>
    <cellStyle name="Tulostus 2 4 16" xfId="18855" xr:uid="{636E634F-A74B-4844-8D84-BF0447B8ABF7}"/>
    <cellStyle name="Tulostus 2 4 17" xfId="18856" xr:uid="{A7E82C1C-1599-4B8A-B8AF-4941EF623C72}"/>
    <cellStyle name="Tulostus 2 4 18" xfId="18857" xr:uid="{826BF306-A135-48CB-AA98-615C266665D1}"/>
    <cellStyle name="Tulostus 2 4 19" xfId="18858" xr:uid="{BDB01568-78A8-4E19-82FF-6E1F5C1F49A8}"/>
    <cellStyle name="Tulostus 2 4 2" xfId="18859" xr:uid="{700E8630-3DBD-4C55-A164-43EC114FD470}"/>
    <cellStyle name="Tulostus 2 4 2 10" xfId="18860" xr:uid="{46E86624-1AE1-4ACE-958F-B4F4B57C9DF3}"/>
    <cellStyle name="Tulostus 2 4 2 11" xfId="18861" xr:uid="{7149F56E-3BF6-4E97-A97E-A64BABF4AF1E}"/>
    <cellStyle name="Tulostus 2 4 2 12" xfId="18862" xr:uid="{A86BDBA2-459B-4DC1-B109-CF0848736C70}"/>
    <cellStyle name="Tulostus 2 4 2 13" xfId="18863" xr:uid="{FBF8CC92-42B1-4A74-BF4D-789C80D06B7B}"/>
    <cellStyle name="Tulostus 2 4 2 14" xfId="18864" xr:uid="{183DFD53-5006-4BA4-8073-A1CC693834B0}"/>
    <cellStyle name="Tulostus 2 4 2 15" xfId="18865" xr:uid="{74C57A6D-B8AC-4188-AD60-2A5FFB0B5936}"/>
    <cellStyle name="Tulostus 2 4 2 16" xfId="18866" xr:uid="{4E0EDE31-D1E1-4D55-A7BD-E3CCD4B90A50}"/>
    <cellStyle name="Tulostus 2 4 2 17" xfId="18867" xr:uid="{C1730209-DF70-4507-8B4D-5F0F1A144516}"/>
    <cellStyle name="Tulostus 2 4 2 18" xfId="18868" xr:uid="{28300E1A-BFFE-41DD-8810-58AA1DC9D3DE}"/>
    <cellStyle name="Tulostus 2 4 2 19" xfId="18869" xr:uid="{F67B2FB1-3CC6-412F-9CD9-755BD289A6D9}"/>
    <cellStyle name="Tulostus 2 4 2 2" xfId="18870" xr:uid="{0E8187CE-2C5F-4FB6-BD56-2C4926BB5750}"/>
    <cellStyle name="Tulostus 2 4 2 3" xfId="18871" xr:uid="{5ED03645-065F-4C8A-A424-814039D7712E}"/>
    <cellStyle name="Tulostus 2 4 2 4" xfId="18872" xr:uid="{6261E858-334F-4AC8-A059-400DC8D5204F}"/>
    <cellStyle name="Tulostus 2 4 2 5" xfId="18873" xr:uid="{436838D2-5203-4424-B3E8-D97A841F683B}"/>
    <cellStyle name="Tulostus 2 4 2 6" xfId="18874" xr:uid="{BD2B23CB-6710-48F5-911A-ADD476B59145}"/>
    <cellStyle name="Tulostus 2 4 2 7" xfId="18875" xr:uid="{02B93282-046B-4F9E-AB52-4E531C70DF0C}"/>
    <cellStyle name="Tulostus 2 4 2 8" xfId="18876" xr:uid="{A9683863-EC78-4079-A2B1-556633698F0F}"/>
    <cellStyle name="Tulostus 2 4 2 9" xfId="18877" xr:uid="{B8F6749F-4989-456D-B104-5A498CC8D9EF}"/>
    <cellStyle name="Tulostus 2 4 2_2013" xfId="18878" xr:uid="{8D88E097-978E-4312-A0F2-58B2F4F542E9}"/>
    <cellStyle name="Tulostus 2 4 20" xfId="18879" xr:uid="{BBDDA132-5039-4A0E-8536-F769D1EF72BF}"/>
    <cellStyle name="Tulostus 2 4 3" xfId="18880" xr:uid="{C107DCA0-B0C0-4EC4-BB3F-F2614FC1643C}"/>
    <cellStyle name="Tulostus 2 4 4" xfId="18881" xr:uid="{4F988188-144D-42AF-B607-F1EC9E16EF3C}"/>
    <cellStyle name="Tulostus 2 4 5" xfId="18882" xr:uid="{14F97955-6554-4110-9AED-732AE74AB66E}"/>
    <cellStyle name="Tulostus 2 4 6" xfId="18883" xr:uid="{C634E4CA-5A20-49B7-A194-B6F0F8169DC6}"/>
    <cellStyle name="Tulostus 2 4 7" xfId="18884" xr:uid="{E1305F8C-BEC7-49B8-9785-5B9E06DB7A7C}"/>
    <cellStyle name="Tulostus 2 4 8" xfId="18885" xr:uid="{2CB075D2-86D1-4F85-A1DF-B917184C57C4}"/>
    <cellStyle name="Tulostus 2 4 9" xfId="18886" xr:uid="{B9CB1647-17C9-4C3D-88FB-17726F0B8F6E}"/>
    <cellStyle name="Tulostus 2 4_2013" xfId="18887" xr:uid="{28BEE827-186E-4F28-9F32-3A4204D6781B}"/>
    <cellStyle name="Tulostus 2 5" xfId="18888" xr:uid="{CF2D741B-D162-4E67-8083-A1EA56152087}"/>
    <cellStyle name="Tulostus 2 5 10" xfId="18889" xr:uid="{894FC09E-D20F-401C-A266-360486AE216D}"/>
    <cellStyle name="Tulostus 2 5 11" xfId="18890" xr:uid="{8202EE41-D555-4AF0-BCAA-33D914683B78}"/>
    <cellStyle name="Tulostus 2 5 12" xfId="18891" xr:uid="{6436A82A-FB80-4FC0-B5A3-D553648A4930}"/>
    <cellStyle name="Tulostus 2 5 13" xfId="18892" xr:uid="{37FC23EC-E83D-46B4-9408-E44491388C49}"/>
    <cellStyle name="Tulostus 2 5 14" xfId="18893" xr:uid="{6A926943-46D7-4B64-86EF-70DCE4353330}"/>
    <cellStyle name="Tulostus 2 5 15" xfId="18894" xr:uid="{6973B375-BF4B-4DF1-A10D-10E86350D666}"/>
    <cellStyle name="Tulostus 2 5 16" xfId="18895" xr:uid="{092050D6-6743-402C-B920-17276A947C4C}"/>
    <cellStyle name="Tulostus 2 5 17" xfId="18896" xr:uid="{E79B5875-544B-48C2-94B7-2E3F11E091D7}"/>
    <cellStyle name="Tulostus 2 5 18" xfId="18897" xr:uid="{244372C6-BCE9-4063-AB7E-310DFA03BBF6}"/>
    <cellStyle name="Tulostus 2 5 19" xfId="18898" xr:uid="{23226078-7FFF-4AFD-B41B-3C32DBE5404F}"/>
    <cellStyle name="Tulostus 2 5 2" xfId="18899" xr:uid="{3DD67846-D1FE-4E3F-86AF-F3269FC92F5F}"/>
    <cellStyle name="Tulostus 2 5 2 10" xfId="18900" xr:uid="{D4C8708B-636F-4B74-95F5-FE5730CA2C38}"/>
    <cellStyle name="Tulostus 2 5 2 11" xfId="18901" xr:uid="{3B0509C3-9E5B-4CB0-81CB-3192EEA139CD}"/>
    <cellStyle name="Tulostus 2 5 2 12" xfId="18902" xr:uid="{5E8B8128-4B66-4B0F-85C1-563B4880E9FE}"/>
    <cellStyle name="Tulostus 2 5 2 13" xfId="18903" xr:uid="{FF0180F3-0B12-4935-B472-BBF7B92235DB}"/>
    <cellStyle name="Tulostus 2 5 2 14" xfId="18904" xr:uid="{EA3790E6-080D-4D23-8E2A-8FFD6998EB0B}"/>
    <cellStyle name="Tulostus 2 5 2 15" xfId="18905" xr:uid="{0F13A8A2-8D19-486F-A8B3-D3F96EE56D0A}"/>
    <cellStyle name="Tulostus 2 5 2 16" xfId="18906" xr:uid="{93B87534-3204-4A2B-AE7F-82026FE79DE0}"/>
    <cellStyle name="Tulostus 2 5 2 17" xfId="18907" xr:uid="{01F760D4-652E-4831-8897-EE3D2DCFA08D}"/>
    <cellStyle name="Tulostus 2 5 2 18" xfId="18908" xr:uid="{B78826A2-581C-49BB-83DB-9D0AD88D6554}"/>
    <cellStyle name="Tulostus 2 5 2 19" xfId="18909" xr:uid="{F164FF50-5EA7-4D20-85EA-D88317E39926}"/>
    <cellStyle name="Tulostus 2 5 2 2" xfId="18910" xr:uid="{B0C52DF9-F61D-45EF-8FC7-E20309F6C01A}"/>
    <cellStyle name="Tulostus 2 5 2 3" xfId="18911" xr:uid="{90459F53-F7A5-4D89-BB29-0C92B19E34EE}"/>
    <cellStyle name="Tulostus 2 5 2 4" xfId="18912" xr:uid="{900F8279-D8D9-47B2-B548-CC766E8BD3D2}"/>
    <cellStyle name="Tulostus 2 5 2 5" xfId="18913" xr:uid="{C489FC98-FCA7-467A-A10E-E89AEA9B78D2}"/>
    <cellStyle name="Tulostus 2 5 2 6" xfId="18914" xr:uid="{BF8DA49C-8F20-4BC8-A302-A7F59500495F}"/>
    <cellStyle name="Tulostus 2 5 2 7" xfId="18915" xr:uid="{0A2B0EAC-D356-4A43-BF0E-B36B8E6AEE94}"/>
    <cellStyle name="Tulostus 2 5 2 8" xfId="18916" xr:uid="{F46FAAC4-89F4-43BE-B6C8-77F093E880C2}"/>
    <cellStyle name="Tulostus 2 5 2 9" xfId="18917" xr:uid="{538DA35F-1185-4262-9988-D73C69403065}"/>
    <cellStyle name="Tulostus 2 5 2_2013" xfId="18918" xr:uid="{FB7126BD-C015-4A90-971C-501718956348}"/>
    <cellStyle name="Tulostus 2 5 20" xfId="18919" xr:uid="{57D1FA57-D828-40B6-AF80-A7C4B11F8A12}"/>
    <cellStyle name="Tulostus 2 5 3" xfId="18920" xr:uid="{B24528DE-50B2-4B53-B01C-D31F6E071254}"/>
    <cellStyle name="Tulostus 2 5 4" xfId="18921" xr:uid="{A9FB34F2-37AC-4839-9C8A-71537BAEBD38}"/>
    <cellStyle name="Tulostus 2 5 5" xfId="18922" xr:uid="{FF3B9F0E-F643-4DD2-A58F-8B9C82A3A7FE}"/>
    <cellStyle name="Tulostus 2 5 6" xfId="18923" xr:uid="{AA49F506-9CF3-47D8-9D80-581FC97AE252}"/>
    <cellStyle name="Tulostus 2 5 7" xfId="18924" xr:uid="{6EB603E0-CEB7-4CE3-AA71-BA41A9A733A2}"/>
    <cellStyle name="Tulostus 2 5 8" xfId="18925" xr:uid="{AFD18C94-1067-498A-AF9F-3B8391896C71}"/>
    <cellStyle name="Tulostus 2 5 9" xfId="18926" xr:uid="{4F8DCFEA-A617-49EC-B126-CAA7EE9A5919}"/>
    <cellStyle name="Tulostus 2 5_2013" xfId="18927" xr:uid="{8C7401CD-8DDE-4126-97BB-3BB46F96A3A8}"/>
    <cellStyle name="Tulostus 2 6" xfId="18928" xr:uid="{4ADF596E-0689-4850-99E2-A4C27635A512}"/>
    <cellStyle name="Tulostus 2 6 10" xfId="18929" xr:uid="{A8D942C5-FC7E-4E25-8B5D-E41AFACDF064}"/>
    <cellStyle name="Tulostus 2 6 11" xfId="18930" xr:uid="{C54961C9-4F38-420D-A903-ABF04B483607}"/>
    <cellStyle name="Tulostus 2 6 12" xfId="18931" xr:uid="{5C24D43D-6B8E-47C0-AC78-BDFF3CFD45DF}"/>
    <cellStyle name="Tulostus 2 6 13" xfId="18932" xr:uid="{F0429AF8-CCEB-4C86-948C-66C4CA0FEFEE}"/>
    <cellStyle name="Tulostus 2 6 14" xfId="18933" xr:uid="{9EFEB11E-9F4F-498D-97A5-881ED98B3947}"/>
    <cellStyle name="Tulostus 2 6 15" xfId="18934" xr:uid="{41129EBB-F94B-408E-9BF6-8F0C963DB1E5}"/>
    <cellStyle name="Tulostus 2 6 16" xfId="18935" xr:uid="{5798E0CC-D83E-4260-A999-1CA3E7CCA34F}"/>
    <cellStyle name="Tulostus 2 6 17" xfId="18936" xr:uid="{E11C2E15-161E-46DE-9E74-D8315ABDE0DB}"/>
    <cellStyle name="Tulostus 2 6 18" xfId="18937" xr:uid="{69E720B3-6287-4F18-907F-505DC4C12ADE}"/>
    <cellStyle name="Tulostus 2 6 19" xfId="18938" xr:uid="{202640F3-115D-419F-889D-AAC49D1D1E49}"/>
    <cellStyle name="Tulostus 2 6 2" xfId="18939" xr:uid="{15CE84AD-830D-4B35-A536-17BB6C0F01E6}"/>
    <cellStyle name="Tulostus 2 6 3" xfId="18940" xr:uid="{798769C1-EBD9-41A1-98FF-D38A5FA4053D}"/>
    <cellStyle name="Tulostus 2 6 4" xfId="18941" xr:uid="{6FEFBDB1-CF7D-405E-932C-0CB0D234DC18}"/>
    <cellStyle name="Tulostus 2 6 5" xfId="18942" xr:uid="{6FD07B3D-098D-419A-93D9-FF1836D3B055}"/>
    <cellStyle name="Tulostus 2 6 6" xfId="18943" xr:uid="{2E49FF61-E401-4277-AC25-E6EB69949BE4}"/>
    <cellStyle name="Tulostus 2 6 7" xfId="18944" xr:uid="{E5777403-292D-46D4-A20B-2FEE73E25CA6}"/>
    <cellStyle name="Tulostus 2 6 8" xfId="18945" xr:uid="{4528E620-A9C7-48DF-A520-8765DD259B2D}"/>
    <cellStyle name="Tulostus 2 6 9" xfId="18946" xr:uid="{79E78A49-B4DA-4010-943E-60C90C0043B6}"/>
    <cellStyle name="Tulostus 2 6_2013" xfId="18947" xr:uid="{4362BB9F-AF49-4882-9DBB-D20C5DC37CDB}"/>
    <cellStyle name="Tulostus 2 7" xfId="18948" xr:uid="{85666978-E486-44AA-8582-467F0624EC07}"/>
    <cellStyle name="Tulostus 2 7 2" xfId="18949" xr:uid="{254FA677-453D-4DE9-B951-482C04B3EB97}"/>
    <cellStyle name="Tulostus 2 7_2013" xfId="18950" xr:uid="{52D9173D-50F0-4EA4-A698-F17A2FE29295}"/>
    <cellStyle name="Tulostus 2 8" xfId="18951" xr:uid="{7DB60738-9925-4ABC-991A-AD61BFC03AF8}"/>
    <cellStyle name="Tulostus 2 9" xfId="18952" xr:uid="{F536EF22-1344-4DD7-A06F-340AC4D2E251}"/>
    <cellStyle name="Tulostus 2_2013" xfId="18953" xr:uid="{08EAFEA4-7300-42EC-AC66-26378F52E019}"/>
    <cellStyle name="Tulostus 20" xfId="18954" xr:uid="{D4AA5CFA-B70A-4F49-9443-79E57FF55E72}"/>
    <cellStyle name="Tulostus 21" xfId="18955" xr:uid="{26887B72-605C-4E3A-B484-320348D8A31A}"/>
    <cellStyle name="Tulostus 22" xfId="18956" xr:uid="{946FE944-50AF-4FD8-99B3-4EDFF9682DEA}"/>
    <cellStyle name="Tulostus 23" xfId="18957" xr:uid="{96D46660-D980-46E7-AEF8-8C0230C6D7B1}"/>
    <cellStyle name="Tulostus 24" xfId="18958" xr:uid="{763E7B49-1A43-42AE-B6D6-1A1780C82885}"/>
    <cellStyle name="Tulostus 25" xfId="18959" xr:uid="{DA4E90CF-BD21-4B45-AC50-93ED9408FE80}"/>
    <cellStyle name="Tulostus 26" xfId="18960" xr:uid="{7DF520CB-773F-4C1B-BF35-CD7C589FE215}"/>
    <cellStyle name="Tulostus 27" xfId="18961" xr:uid="{581B267C-A2BE-4D17-B20D-07832EB4D2AD}"/>
    <cellStyle name="Tulostus 3" xfId="18962" xr:uid="{6B1E4BFD-EB6C-49BB-9321-E9097FC59C7E}"/>
    <cellStyle name="Tulostus 3 10" xfId="18963" xr:uid="{537455FC-23BB-4219-8866-1BBA4FE27CFD}"/>
    <cellStyle name="Tulostus 3 11" xfId="18964" xr:uid="{F937FB38-AF9B-4E0C-AAF0-1B970514CDF1}"/>
    <cellStyle name="Tulostus 3 12" xfId="18965" xr:uid="{8F650F95-C51F-46F5-82B6-E8FA99907731}"/>
    <cellStyle name="Tulostus 3 13" xfId="18966" xr:uid="{E6E513DC-6E3B-4361-81AB-B7FAFF846458}"/>
    <cellStyle name="Tulostus 3 14" xfId="18967" xr:uid="{C1BECA18-BA97-4DE6-B986-50625AA3A670}"/>
    <cellStyle name="Tulostus 3 15" xfId="18968" xr:uid="{D5C5DBC3-F606-4F08-AFCA-0FE3E7D6E8EB}"/>
    <cellStyle name="Tulostus 3 16" xfId="18969" xr:uid="{2FB9DE62-E683-4958-8C63-5EC218DEB077}"/>
    <cellStyle name="Tulostus 3 17" xfId="18970" xr:uid="{9D7C18C9-9BD5-4EA9-8BDC-C73E82C04994}"/>
    <cellStyle name="Tulostus 3 18" xfId="18971" xr:uid="{F89D2CBC-FEB1-4DD4-A6A3-E9C57DB0F8E1}"/>
    <cellStyle name="Tulostus 3 19" xfId="18972" xr:uid="{0998483C-7391-42B9-9400-C7AE13AE04C9}"/>
    <cellStyle name="Tulostus 3 2" xfId="18973" xr:uid="{F5D13CC7-D758-464C-BF14-B9E693B4C181}"/>
    <cellStyle name="Tulostus 3 2 10" xfId="18974" xr:uid="{2D175556-51D0-4CDD-8FF7-21074B7717CC}"/>
    <cellStyle name="Tulostus 3 2 11" xfId="18975" xr:uid="{4D4FE0D3-482D-401A-82E9-73C2F386A3B6}"/>
    <cellStyle name="Tulostus 3 2 12" xfId="18976" xr:uid="{5079517D-DCFE-4855-89F6-B1CC0E65223D}"/>
    <cellStyle name="Tulostus 3 2 13" xfId="18977" xr:uid="{55AFE4CF-6E3E-40C3-93C8-FD3DE0964C4D}"/>
    <cellStyle name="Tulostus 3 2 14" xfId="18978" xr:uid="{02FCC1B2-DED9-4B8C-B7D1-E2769522CB63}"/>
    <cellStyle name="Tulostus 3 2 15" xfId="18979" xr:uid="{E1890E73-81E5-4552-92FC-F6432C2916DC}"/>
    <cellStyle name="Tulostus 3 2 16" xfId="18980" xr:uid="{A602F5AC-5A26-4B54-88CA-0B7A68B1391A}"/>
    <cellStyle name="Tulostus 3 2 17" xfId="18981" xr:uid="{F91241E5-1337-47BC-87B9-71D76F4526A4}"/>
    <cellStyle name="Tulostus 3 2 18" xfId="18982" xr:uid="{7CD10D80-7923-4339-AA80-6F72E896D1C8}"/>
    <cellStyle name="Tulostus 3 2 19" xfId="18983" xr:uid="{E0E73CE1-3A69-4035-A561-2D9AFB427CAE}"/>
    <cellStyle name="Tulostus 3 2 2" xfId="18984" xr:uid="{63DC2CAD-A4E8-4552-A42E-51CDDE351F3F}"/>
    <cellStyle name="Tulostus 3 2 2 10" xfId="18985" xr:uid="{388893E1-F2D4-43A0-96FF-23B56B8A4EB2}"/>
    <cellStyle name="Tulostus 3 2 2 11" xfId="18986" xr:uid="{8DCE2EFD-9C4D-42AA-AEC4-54DE200B7D45}"/>
    <cellStyle name="Tulostus 3 2 2 12" xfId="18987" xr:uid="{5F318D4F-EFC7-4D64-91DC-4742C8C20CB3}"/>
    <cellStyle name="Tulostus 3 2 2 13" xfId="18988" xr:uid="{DAFE5AC8-E105-45A8-8FED-E5F9C8807153}"/>
    <cellStyle name="Tulostus 3 2 2 14" xfId="18989" xr:uid="{1D89137A-4AFF-4F86-88E2-F42F7EAAF399}"/>
    <cellStyle name="Tulostus 3 2 2 15" xfId="18990" xr:uid="{331FC54C-CCAC-4672-A684-844F50867AF9}"/>
    <cellStyle name="Tulostus 3 2 2 16" xfId="18991" xr:uid="{D6A84FD5-6D2B-4091-916B-D96595A70B46}"/>
    <cellStyle name="Tulostus 3 2 2 17" xfId="18992" xr:uid="{02807F6B-3CD3-4B38-8820-911DCFC871FF}"/>
    <cellStyle name="Tulostus 3 2 2 18" xfId="18993" xr:uid="{73741F13-B74A-4C26-A579-C8FB84785F88}"/>
    <cellStyle name="Tulostus 3 2 2 19" xfId="18994" xr:uid="{AC8ECE2C-6A36-490C-B276-FDC600C93B96}"/>
    <cellStyle name="Tulostus 3 2 2 2" xfId="18995" xr:uid="{8F148439-E5C1-4B11-B667-377299FCC01D}"/>
    <cellStyle name="Tulostus 3 2 2 2 10" xfId="18996" xr:uid="{0C288719-4359-47EC-8C79-C60EA2A7222A}"/>
    <cellStyle name="Tulostus 3 2 2 2 11" xfId="18997" xr:uid="{21B5AAA3-443D-476C-8C27-BD1DA84E86CF}"/>
    <cellStyle name="Tulostus 3 2 2 2 12" xfId="18998" xr:uid="{EFD64B54-5287-4A9F-AC51-E3AFDD11796D}"/>
    <cellStyle name="Tulostus 3 2 2 2 13" xfId="18999" xr:uid="{C790F5F2-41DF-4FBF-B050-0D2435D1117B}"/>
    <cellStyle name="Tulostus 3 2 2 2 14" xfId="19000" xr:uid="{2E60963E-0D94-45A3-AF70-442F551D0AE3}"/>
    <cellStyle name="Tulostus 3 2 2 2 15" xfId="19001" xr:uid="{3C436121-D9C1-41B0-8CB3-0973F42B98CD}"/>
    <cellStyle name="Tulostus 3 2 2 2 16" xfId="19002" xr:uid="{0DD67A7E-96C5-4827-AD65-C42F57FF66ED}"/>
    <cellStyle name="Tulostus 3 2 2 2 17" xfId="19003" xr:uid="{E6D88C34-1958-43F8-990B-39C7C93470B7}"/>
    <cellStyle name="Tulostus 3 2 2 2 18" xfId="19004" xr:uid="{E654E12F-2FAC-4E40-BBF1-065796C4591B}"/>
    <cellStyle name="Tulostus 3 2 2 2 19" xfId="19005" xr:uid="{7781B9BC-D7B2-47B4-8FE8-32555C1301E6}"/>
    <cellStyle name="Tulostus 3 2 2 2 2" xfId="19006" xr:uid="{65F297A7-69B9-4DFB-8B40-EA25BF6D650A}"/>
    <cellStyle name="Tulostus 3 2 2 2 3" xfId="19007" xr:uid="{0BF73BE1-BD9A-453F-B18D-763199502AD8}"/>
    <cellStyle name="Tulostus 3 2 2 2 4" xfId="19008" xr:uid="{F82FE44F-7F08-4FBD-9D7B-ABE5D85A8F35}"/>
    <cellStyle name="Tulostus 3 2 2 2 5" xfId="19009" xr:uid="{C18B9B63-3057-4A13-A199-624056A2033C}"/>
    <cellStyle name="Tulostus 3 2 2 2 6" xfId="19010" xr:uid="{3FAD00B0-F57D-40E3-A3A4-3F5BC17BD328}"/>
    <cellStyle name="Tulostus 3 2 2 2 7" xfId="19011" xr:uid="{FEDF02C3-1DCE-494B-94AD-DF046865F390}"/>
    <cellStyle name="Tulostus 3 2 2 2 8" xfId="19012" xr:uid="{B746DDB0-0D47-426D-B636-EEEF087B40C6}"/>
    <cellStyle name="Tulostus 3 2 2 2 9" xfId="19013" xr:uid="{8E3BFD44-3A4B-4E67-A0D8-374F49332711}"/>
    <cellStyle name="Tulostus 3 2 2 2_2013" xfId="19014" xr:uid="{243E6C2E-CBBB-4919-9F82-6E4F07B57938}"/>
    <cellStyle name="Tulostus 3 2 2 20" xfId="19015" xr:uid="{473F6B61-66F6-49F1-B5AA-E0786546EFC0}"/>
    <cellStyle name="Tulostus 3 2 2 3" xfId="19016" xr:uid="{6B99F0DB-BADB-4E0D-98A1-957E7A8ACB58}"/>
    <cellStyle name="Tulostus 3 2 2 4" xfId="19017" xr:uid="{F34BBDBA-5ACA-429F-8820-60EE05B0A74C}"/>
    <cellStyle name="Tulostus 3 2 2 5" xfId="19018" xr:uid="{AA918335-63C4-4A6D-8720-EB529D33B9CE}"/>
    <cellStyle name="Tulostus 3 2 2 6" xfId="19019" xr:uid="{6DABBD7D-AE33-434E-B311-9B1F3B01FA93}"/>
    <cellStyle name="Tulostus 3 2 2 7" xfId="19020" xr:uid="{666E670C-E6EC-43CD-89A4-094909215990}"/>
    <cellStyle name="Tulostus 3 2 2 8" xfId="19021" xr:uid="{E774588C-2174-4BC4-B327-C9360C043650}"/>
    <cellStyle name="Tulostus 3 2 2 9" xfId="19022" xr:uid="{6DDD2F40-D080-4F37-B45B-6824FAFAFE94}"/>
    <cellStyle name="Tulostus 3 2 2_2013" xfId="19023" xr:uid="{CB50BAAE-34BA-45BB-B93F-00BE2C16B348}"/>
    <cellStyle name="Tulostus 3 2 20" xfId="19024" xr:uid="{3AB7637D-2A6E-4E09-B533-424FFCCD0324}"/>
    <cellStyle name="Tulostus 3 2 21" xfId="19025" xr:uid="{B5ED9E12-53D4-4499-A6A9-A96DFED576B1}"/>
    <cellStyle name="Tulostus 3 2 22" xfId="19026" xr:uid="{C4AC6A93-600C-4D40-BD37-6C8D5BD0AFD4}"/>
    <cellStyle name="Tulostus 3 2 23" xfId="19027" xr:uid="{E332E5FF-9742-4B44-88D7-BEBDE699C5B1}"/>
    <cellStyle name="Tulostus 3 2 3" xfId="19028" xr:uid="{80D334E9-2044-4A96-8C9F-E16D554A9E06}"/>
    <cellStyle name="Tulostus 3 2 3 10" xfId="19029" xr:uid="{43E7C4B9-D0ED-46E8-A859-6D4AEBE8B8D6}"/>
    <cellStyle name="Tulostus 3 2 3 11" xfId="19030" xr:uid="{FD753539-7D8B-47A0-8A81-15829291D675}"/>
    <cellStyle name="Tulostus 3 2 3 12" xfId="19031" xr:uid="{F4103CF5-BA63-4E20-BAF4-78B408628B89}"/>
    <cellStyle name="Tulostus 3 2 3 13" xfId="19032" xr:uid="{4B41CA82-CF89-4C45-9127-A7DBA0D9BEBB}"/>
    <cellStyle name="Tulostus 3 2 3 14" xfId="19033" xr:uid="{B0B828AF-4EBE-433A-8B1A-80CC49DEF6A3}"/>
    <cellStyle name="Tulostus 3 2 3 15" xfId="19034" xr:uid="{B39F779F-659C-4FF6-B4FB-7BA5FDD20D38}"/>
    <cellStyle name="Tulostus 3 2 3 16" xfId="19035" xr:uid="{EBF9111C-167A-4BBB-BF87-D88679BD15A8}"/>
    <cellStyle name="Tulostus 3 2 3 17" xfId="19036" xr:uid="{E88CA2EF-25AD-42F0-B231-3F8238260443}"/>
    <cellStyle name="Tulostus 3 2 3 18" xfId="19037" xr:uid="{5273A750-4AC5-4AE9-84EB-93FC6D508E7E}"/>
    <cellStyle name="Tulostus 3 2 3 19" xfId="19038" xr:uid="{027E0EDE-DDD3-4648-810D-B38E6A9DC57C}"/>
    <cellStyle name="Tulostus 3 2 3 2" xfId="19039" xr:uid="{2D257853-F45C-4515-BF46-263DB29949BB}"/>
    <cellStyle name="Tulostus 3 2 3 2 10" xfId="19040" xr:uid="{34876735-013E-43C3-9BBC-50474418291A}"/>
    <cellStyle name="Tulostus 3 2 3 2 11" xfId="19041" xr:uid="{D0FD75B5-5063-4CFF-A535-D5384A68A951}"/>
    <cellStyle name="Tulostus 3 2 3 2 12" xfId="19042" xr:uid="{7266C423-B039-4F72-A68C-7290ABBA5A8C}"/>
    <cellStyle name="Tulostus 3 2 3 2 13" xfId="19043" xr:uid="{785829BA-3FD6-4750-B838-B6B8803AC3EA}"/>
    <cellStyle name="Tulostus 3 2 3 2 14" xfId="19044" xr:uid="{442231DC-94E9-4552-93E9-1D9E2EF5A79A}"/>
    <cellStyle name="Tulostus 3 2 3 2 15" xfId="19045" xr:uid="{20B2777A-F362-4CCE-B698-F94882F38F6F}"/>
    <cellStyle name="Tulostus 3 2 3 2 16" xfId="19046" xr:uid="{E6FC61D7-58D6-487D-8E70-12219CA16B1B}"/>
    <cellStyle name="Tulostus 3 2 3 2 17" xfId="19047" xr:uid="{245FB0A1-7A33-4454-851C-60E6EA8F1563}"/>
    <cellStyle name="Tulostus 3 2 3 2 18" xfId="19048" xr:uid="{BF64B370-52F2-46C4-A756-DED0CC6C98F1}"/>
    <cellStyle name="Tulostus 3 2 3 2 19" xfId="19049" xr:uid="{AD4ABFFE-7000-4162-99A7-55B5A997A5A6}"/>
    <cellStyle name="Tulostus 3 2 3 2 2" xfId="19050" xr:uid="{8CA75870-97EA-4AA1-BB37-80B85A7182F7}"/>
    <cellStyle name="Tulostus 3 2 3 2 3" xfId="19051" xr:uid="{76EC71AC-0233-4DC9-BAC7-09DD27229DB6}"/>
    <cellStyle name="Tulostus 3 2 3 2 4" xfId="19052" xr:uid="{9473F785-28E3-4726-8EE1-0CC53CB16BEA}"/>
    <cellStyle name="Tulostus 3 2 3 2 5" xfId="19053" xr:uid="{80AF456B-EF3E-4890-8FAD-A259834CBC3B}"/>
    <cellStyle name="Tulostus 3 2 3 2 6" xfId="19054" xr:uid="{F654A016-7986-4269-B9B8-54A666406725}"/>
    <cellStyle name="Tulostus 3 2 3 2 7" xfId="19055" xr:uid="{DF755F1F-3D15-4B39-A087-B9B9C1CBCCA7}"/>
    <cellStyle name="Tulostus 3 2 3 2 8" xfId="19056" xr:uid="{B3CC711E-8EEC-4361-8020-3185E478BC8D}"/>
    <cellStyle name="Tulostus 3 2 3 2 9" xfId="19057" xr:uid="{5ED151D8-C990-4A2C-ACE1-D317A1D040A2}"/>
    <cellStyle name="Tulostus 3 2 3 2_2013" xfId="19058" xr:uid="{1214FA9F-2A85-41F4-980C-D1605B31B8A2}"/>
    <cellStyle name="Tulostus 3 2 3 20" xfId="19059" xr:uid="{E26A3F8F-D208-416B-9748-7478D137C503}"/>
    <cellStyle name="Tulostus 3 2 3 3" xfId="19060" xr:uid="{9DB4B32F-D1B4-4367-B5A1-A08287507101}"/>
    <cellStyle name="Tulostus 3 2 3 4" xfId="19061" xr:uid="{E7445560-7C55-4BE1-924E-2F2FDCFF8A27}"/>
    <cellStyle name="Tulostus 3 2 3 5" xfId="19062" xr:uid="{E02A3B7A-A99B-479B-92F5-B82B645B73B5}"/>
    <cellStyle name="Tulostus 3 2 3 6" xfId="19063" xr:uid="{853B1907-D4DC-45ED-ACD1-023353A9E25A}"/>
    <cellStyle name="Tulostus 3 2 3 7" xfId="19064" xr:uid="{B4D911D6-A6F7-46B5-AAE9-02477F1008D0}"/>
    <cellStyle name="Tulostus 3 2 3 8" xfId="19065" xr:uid="{DD6B9FBC-16EE-43CE-83FA-0B294832BB35}"/>
    <cellStyle name="Tulostus 3 2 3 9" xfId="19066" xr:uid="{EDE19433-6F07-4129-888B-AADD22AD6830}"/>
    <cellStyle name="Tulostus 3 2 3_2013" xfId="19067" xr:uid="{5931E719-257F-4A63-A193-A5EE3AEA0498}"/>
    <cellStyle name="Tulostus 3 2 4" xfId="19068" xr:uid="{6B4BB8B1-A5AA-49D9-9FB6-25765D3EE8C3}"/>
    <cellStyle name="Tulostus 3 2 4 10" xfId="19069" xr:uid="{590ECAD4-BE01-49AF-A3B9-47EF9A51988C}"/>
    <cellStyle name="Tulostus 3 2 4 11" xfId="19070" xr:uid="{093934B1-F324-4C81-A17F-2836F86D9C9B}"/>
    <cellStyle name="Tulostus 3 2 4 12" xfId="19071" xr:uid="{996E43CF-8821-4E7E-A157-F27522155FF9}"/>
    <cellStyle name="Tulostus 3 2 4 13" xfId="19072" xr:uid="{72B59FD5-1382-4A04-8285-F5328E497F71}"/>
    <cellStyle name="Tulostus 3 2 4 14" xfId="19073" xr:uid="{BDF27155-F78F-41DC-A849-603114D0EE31}"/>
    <cellStyle name="Tulostus 3 2 4 15" xfId="19074" xr:uid="{426B5B04-85AB-4425-B394-4DBBB0C970F5}"/>
    <cellStyle name="Tulostus 3 2 4 16" xfId="19075" xr:uid="{985DAA2A-F906-491D-843D-015B6BA5EC5A}"/>
    <cellStyle name="Tulostus 3 2 4 17" xfId="19076" xr:uid="{CD388D4F-6350-461E-BB33-3B43E2D5D0E6}"/>
    <cellStyle name="Tulostus 3 2 4 18" xfId="19077" xr:uid="{91F4C174-2337-4EF9-8FE4-CE54603895FB}"/>
    <cellStyle name="Tulostus 3 2 4 19" xfId="19078" xr:uid="{F32FFD5A-CA5D-453B-9B42-1FDD90B3FE62}"/>
    <cellStyle name="Tulostus 3 2 4 2" xfId="19079" xr:uid="{A76F042C-6BB6-4ADD-BDDD-2F2D7DDBC411}"/>
    <cellStyle name="Tulostus 3 2 4 2 10" xfId="19080" xr:uid="{BE77896A-60FE-483B-A747-E64F9A296D74}"/>
    <cellStyle name="Tulostus 3 2 4 2 11" xfId="19081" xr:uid="{A19F9A15-A80B-4C47-B156-DBF5E0D62FB6}"/>
    <cellStyle name="Tulostus 3 2 4 2 12" xfId="19082" xr:uid="{C3931D55-A589-4AF0-9F46-FA2051327FE8}"/>
    <cellStyle name="Tulostus 3 2 4 2 13" xfId="19083" xr:uid="{E0E4F9AA-F342-4BF6-B7D9-5927EC174960}"/>
    <cellStyle name="Tulostus 3 2 4 2 14" xfId="19084" xr:uid="{A284FF57-46B5-4EBF-9939-ED5F99C3AD86}"/>
    <cellStyle name="Tulostus 3 2 4 2 15" xfId="19085" xr:uid="{6F065B5B-8F25-4937-BFAE-962A2EF4545D}"/>
    <cellStyle name="Tulostus 3 2 4 2 16" xfId="19086" xr:uid="{F6FBF3F7-0BDE-49EB-8E01-81EDB7C6BCC0}"/>
    <cellStyle name="Tulostus 3 2 4 2 17" xfId="19087" xr:uid="{956D3634-598A-469D-8BEC-CE3AF936858E}"/>
    <cellStyle name="Tulostus 3 2 4 2 18" xfId="19088" xr:uid="{2A8B2BEC-C32D-4AF9-AAEC-550EA98E73E8}"/>
    <cellStyle name="Tulostus 3 2 4 2 19" xfId="19089" xr:uid="{8A4A1499-2C9B-4936-990C-84143159905D}"/>
    <cellStyle name="Tulostus 3 2 4 2 2" xfId="19090" xr:uid="{EFC42359-3C8E-447F-8D0B-7AD4181FF988}"/>
    <cellStyle name="Tulostus 3 2 4 2 3" xfId="19091" xr:uid="{EF117A18-95D2-4CD2-946E-E3D931848014}"/>
    <cellStyle name="Tulostus 3 2 4 2 4" xfId="19092" xr:uid="{D6751EB6-8A96-4A52-A9E0-4595CC39F104}"/>
    <cellStyle name="Tulostus 3 2 4 2 5" xfId="19093" xr:uid="{548321CD-966C-4F0F-9C24-9B670C4B1BD6}"/>
    <cellStyle name="Tulostus 3 2 4 2 6" xfId="19094" xr:uid="{6C7FE41E-0B97-46C8-BF7D-3A10D82816DA}"/>
    <cellStyle name="Tulostus 3 2 4 2 7" xfId="19095" xr:uid="{2ED68BAC-95D0-4C95-A588-C07810A69FF2}"/>
    <cellStyle name="Tulostus 3 2 4 2 8" xfId="19096" xr:uid="{93FD4F14-898D-4662-BD57-3B31578F02DD}"/>
    <cellStyle name="Tulostus 3 2 4 2 9" xfId="19097" xr:uid="{2EC4080D-4C2F-4C03-88D4-21C65E44F671}"/>
    <cellStyle name="Tulostus 3 2 4 2_2013" xfId="19098" xr:uid="{96F2EAA6-6FB4-4A6B-A4CA-C907D20A9E6F}"/>
    <cellStyle name="Tulostus 3 2 4 20" xfId="19099" xr:uid="{2CF41365-13DF-4B14-A8FE-1044120E6A63}"/>
    <cellStyle name="Tulostus 3 2 4 3" xfId="19100" xr:uid="{DBCA25B7-664A-4C33-809B-737C9118027E}"/>
    <cellStyle name="Tulostus 3 2 4 4" xfId="19101" xr:uid="{2A458E32-0813-4D95-A2E2-A5667278136B}"/>
    <cellStyle name="Tulostus 3 2 4 5" xfId="19102" xr:uid="{E856E6CA-10F7-48EF-9A0C-78C463FB4157}"/>
    <cellStyle name="Tulostus 3 2 4 6" xfId="19103" xr:uid="{41AC0907-2AB8-47F7-9685-AEB641DB7641}"/>
    <cellStyle name="Tulostus 3 2 4 7" xfId="19104" xr:uid="{960A79AF-53B7-4B8C-9706-AB7B8CDB903D}"/>
    <cellStyle name="Tulostus 3 2 4 8" xfId="19105" xr:uid="{CE753155-509F-41EE-8C64-A664FC4C81FE}"/>
    <cellStyle name="Tulostus 3 2 4 9" xfId="19106" xr:uid="{855651EF-0D7A-414E-8E84-1C1CBCCED373}"/>
    <cellStyle name="Tulostus 3 2 4_2013" xfId="19107" xr:uid="{79DB041D-F10F-47FC-A1C0-2AF8C588263C}"/>
    <cellStyle name="Tulostus 3 2 5" xfId="19108" xr:uid="{77C83036-7515-4279-AF68-C9678D0F2C94}"/>
    <cellStyle name="Tulostus 3 2 5 10" xfId="19109" xr:uid="{FB8AFC0D-744B-4B69-9370-40FEE75D5AD0}"/>
    <cellStyle name="Tulostus 3 2 5 11" xfId="19110" xr:uid="{2FC43BEA-078C-4C66-BDC7-CBE702F39877}"/>
    <cellStyle name="Tulostus 3 2 5 12" xfId="19111" xr:uid="{23944BFB-B5E1-4296-AC9B-4CF8758DAA40}"/>
    <cellStyle name="Tulostus 3 2 5 13" xfId="19112" xr:uid="{BA37F5EE-B1E8-44A9-A29B-196179DEB9B2}"/>
    <cellStyle name="Tulostus 3 2 5 14" xfId="19113" xr:uid="{D7B748A6-1C05-4523-B515-4DF5A67BEE51}"/>
    <cellStyle name="Tulostus 3 2 5 15" xfId="19114" xr:uid="{1590933B-1A59-4FAA-99B5-7D0370E965F5}"/>
    <cellStyle name="Tulostus 3 2 5 16" xfId="19115" xr:uid="{9A5FF1F7-9C78-482C-8964-F9A85B2BA136}"/>
    <cellStyle name="Tulostus 3 2 5 17" xfId="19116" xr:uid="{0892D9ED-D5C1-46E1-9FC4-DC4479B126C2}"/>
    <cellStyle name="Tulostus 3 2 5 18" xfId="19117" xr:uid="{D2299618-12BF-44BA-BA30-3C5EA9C8B26E}"/>
    <cellStyle name="Tulostus 3 2 5 19" xfId="19118" xr:uid="{DED31496-363F-4918-801E-1B74F5B62561}"/>
    <cellStyle name="Tulostus 3 2 5 2" xfId="19119" xr:uid="{D40776DD-CD59-41BF-B9E6-9C9B190DC212}"/>
    <cellStyle name="Tulostus 3 2 5 3" xfId="19120" xr:uid="{D7144926-069A-478B-8278-9259EC0EAA47}"/>
    <cellStyle name="Tulostus 3 2 5 4" xfId="19121" xr:uid="{E35E5103-D5BE-4664-B8CD-835486446527}"/>
    <cellStyle name="Tulostus 3 2 5 5" xfId="19122" xr:uid="{E96E9D4B-C462-47E1-A304-8C57BF75715B}"/>
    <cellStyle name="Tulostus 3 2 5 6" xfId="19123" xr:uid="{6CF4531B-F0E4-4E80-8401-70C635796728}"/>
    <cellStyle name="Tulostus 3 2 5 7" xfId="19124" xr:uid="{2CF3EF32-B083-4957-9FA3-18012E71FBDD}"/>
    <cellStyle name="Tulostus 3 2 5 8" xfId="19125" xr:uid="{465A1D89-DDA2-4F97-A39A-66EBC052A045}"/>
    <cellStyle name="Tulostus 3 2 5 9" xfId="19126" xr:uid="{05838DE1-69AF-47FC-8C02-A261C459C8A2}"/>
    <cellStyle name="Tulostus 3 2 5_2013" xfId="19127" xr:uid="{44FA88CF-DB94-49CB-8B3E-2CA053E09CD4}"/>
    <cellStyle name="Tulostus 3 2 6" xfId="19128" xr:uid="{85E4C092-D17E-49A0-850A-17CDF9122BBF}"/>
    <cellStyle name="Tulostus 3 2 7" xfId="19129" xr:uid="{08678326-4661-458B-B0BB-BAFA2A8088B4}"/>
    <cellStyle name="Tulostus 3 2 8" xfId="19130" xr:uid="{5FBBCA73-CC15-4EE6-8784-98CB08A16D27}"/>
    <cellStyle name="Tulostus 3 2 9" xfId="19131" xr:uid="{20189984-8DAA-4454-8924-60D22306530C}"/>
    <cellStyle name="Tulostus 3 2_2013" xfId="19132" xr:uid="{5A2FBF4F-D03F-4B03-B589-337D85519E71}"/>
    <cellStyle name="Tulostus 3 20" xfId="19133" xr:uid="{DC4DAC38-D0D3-4DBF-8A9B-F1049DB66F8D}"/>
    <cellStyle name="Tulostus 3 21" xfId="19134" xr:uid="{33D01F3E-ED14-4024-8182-AA9502C7D2A7}"/>
    <cellStyle name="Tulostus 3 22" xfId="19135" xr:uid="{D1894693-E8E1-4624-9B3D-B1BC34B43278}"/>
    <cellStyle name="Tulostus 3 23" xfId="19136" xr:uid="{4334DFBB-B98F-44A1-8582-93F8C8B5BDB0}"/>
    <cellStyle name="Tulostus 3 24" xfId="19137" xr:uid="{268A82AF-E979-4382-9D52-9C4C103BA051}"/>
    <cellStyle name="Tulostus 3 3" xfId="19138" xr:uid="{A21C38E5-6949-4516-A381-D36748705A5E}"/>
    <cellStyle name="Tulostus 3 3 10" xfId="19139" xr:uid="{4156736B-0A61-4613-BFD7-8527D3452140}"/>
    <cellStyle name="Tulostus 3 3 11" xfId="19140" xr:uid="{590A9107-006F-425C-B554-BF17603EE281}"/>
    <cellStyle name="Tulostus 3 3 12" xfId="19141" xr:uid="{A472D7A9-F306-44DA-8F53-18171FB9BEBF}"/>
    <cellStyle name="Tulostus 3 3 13" xfId="19142" xr:uid="{FFC93E6D-BD58-4E3B-B7BC-90136717FD70}"/>
    <cellStyle name="Tulostus 3 3 14" xfId="19143" xr:uid="{B9358239-D4A8-4DEA-BB0A-AB6895ADBD19}"/>
    <cellStyle name="Tulostus 3 3 15" xfId="19144" xr:uid="{26CA71E9-6D79-4676-8121-D5832B2B52C5}"/>
    <cellStyle name="Tulostus 3 3 16" xfId="19145" xr:uid="{31DA0E5D-EF57-4D1D-83DD-49CC7C52E460}"/>
    <cellStyle name="Tulostus 3 3 17" xfId="19146" xr:uid="{30243636-A949-4419-B59C-C10BBA19F965}"/>
    <cellStyle name="Tulostus 3 3 18" xfId="19147" xr:uid="{8C5E3CDF-34AB-4E2F-93CD-82FE0977EFB1}"/>
    <cellStyle name="Tulostus 3 3 19" xfId="19148" xr:uid="{EBE44A97-983F-49E5-8625-1AE5A37FA723}"/>
    <cellStyle name="Tulostus 3 3 2" xfId="19149" xr:uid="{405CA716-DF7B-41E9-B217-CEF7490A7622}"/>
    <cellStyle name="Tulostus 3 3 2 10" xfId="19150" xr:uid="{85878CF2-A572-4B4A-8187-0D5BAE3D2CC3}"/>
    <cellStyle name="Tulostus 3 3 2 11" xfId="19151" xr:uid="{33E9C831-1C67-49B2-AFB2-2963149C7758}"/>
    <cellStyle name="Tulostus 3 3 2 12" xfId="19152" xr:uid="{6FF0BFC9-2F0E-4483-A42C-FBC5BF62D5E4}"/>
    <cellStyle name="Tulostus 3 3 2 13" xfId="19153" xr:uid="{EA441909-D9EC-4E71-9FE8-61742A4BE4CA}"/>
    <cellStyle name="Tulostus 3 3 2 14" xfId="19154" xr:uid="{A866FCE1-F31B-4F81-8EDB-539F6C19BAB5}"/>
    <cellStyle name="Tulostus 3 3 2 15" xfId="19155" xr:uid="{1CE21EB3-AF5B-406A-B605-F1B1C73F74FF}"/>
    <cellStyle name="Tulostus 3 3 2 16" xfId="19156" xr:uid="{2B2AFB06-1BA2-4278-AE1A-8D17C8BB56A1}"/>
    <cellStyle name="Tulostus 3 3 2 17" xfId="19157" xr:uid="{EAF349F7-85E6-4892-9608-5959C1FCD478}"/>
    <cellStyle name="Tulostus 3 3 2 18" xfId="19158" xr:uid="{F56DF91C-935E-4AFF-B076-68DA9E7D57AC}"/>
    <cellStyle name="Tulostus 3 3 2 19" xfId="19159" xr:uid="{01ED802B-BEF8-4923-87A2-1BA48AB7CF58}"/>
    <cellStyle name="Tulostus 3 3 2 2" xfId="19160" xr:uid="{A4628038-64BF-47D0-BC4C-99EC8F90EE1B}"/>
    <cellStyle name="Tulostus 3 3 2 3" xfId="19161" xr:uid="{8DC57635-3DB8-4847-BDE6-F162FF11A27F}"/>
    <cellStyle name="Tulostus 3 3 2 4" xfId="19162" xr:uid="{DE8D3FD3-3436-4CF2-B49A-C69BA28560EA}"/>
    <cellStyle name="Tulostus 3 3 2 5" xfId="19163" xr:uid="{8AB30994-C7E0-43AB-B432-6683FE77FBF6}"/>
    <cellStyle name="Tulostus 3 3 2 6" xfId="19164" xr:uid="{3454BFFA-6F4A-4149-8ED8-C21A33ACF295}"/>
    <cellStyle name="Tulostus 3 3 2 7" xfId="19165" xr:uid="{58C2473F-9C97-4C0E-9451-34AC29ECDDE6}"/>
    <cellStyle name="Tulostus 3 3 2 8" xfId="19166" xr:uid="{D40C09AF-0285-455B-A0FD-EC830AE7DAE8}"/>
    <cellStyle name="Tulostus 3 3 2 9" xfId="19167" xr:uid="{4B665496-8CC7-4FA3-A2DF-FEDE1D723008}"/>
    <cellStyle name="Tulostus 3 3 2_2013" xfId="19168" xr:uid="{F2BBA395-8801-46F1-BEC6-5DEC4B1CA12C}"/>
    <cellStyle name="Tulostus 3 3 20" xfId="19169" xr:uid="{65DD588A-856D-49D9-8D2C-6AACA1A337A1}"/>
    <cellStyle name="Tulostus 3 3 3" xfId="19170" xr:uid="{D4E00598-2D9C-4219-A69F-AB9390F5F908}"/>
    <cellStyle name="Tulostus 3 3 4" xfId="19171" xr:uid="{39879488-549D-4A39-9D78-09E7F7CC88B8}"/>
    <cellStyle name="Tulostus 3 3 5" xfId="19172" xr:uid="{8665FD1B-85F5-42AD-AB55-158CAB0C52F4}"/>
    <cellStyle name="Tulostus 3 3 6" xfId="19173" xr:uid="{75C9D9A5-F0F3-409A-92C8-8DE1F0D27ABF}"/>
    <cellStyle name="Tulostus 3 3 7" xfId="19174" xr:uid="{549BCCDF-F5B2-4E3A-8496-0C87007AA6F6}"/>
    <cellStyle name="Tulostus 3 3 8" xfId="19175" xr:uid="{BA423846-BC51-40DD-BCE1-07C61FC65367}"/>
    <cellStyle name="Tulostus 3 3 9" xfId="19176" xr:uid="{8E175309-9920-4C57-A238-C3A0BFE40D9D}"/>
    <cellStyle name="Tulostus 3 3_2013" xfId="19177" xr:uid="{445D698B-6F7F-49EF-8365-9A7C2AD5B833}"/>
    <cellStyle name="Tulostus 3 4" xfId="19178" xr:uid="{6D95A49E-AAEB-4745-9066-BCAF6848F65C}"/>
    <cellStyle name="Tulostus 3 4 10" xfId="19179" xr:uid="{0FB94E48-5552-4E3D-833E-19CAA8AC7BC8}"/>
    <cellStyle name="Tulostus 3 4 11" xfId="19180" xr:uid="{CE8320A4-98FB-49CA-B1E3-6FB12EC061E0}"/>
    <cellStyle name="Tulostus 3 4 12" xfId="19181" xr:uid="{5096E503-821E-4D21-87CA-981E19610F2B}"/>
    <cellStyle name="Tulostus 3 4 13" xfId="19182" xr:uid="{D99F85BC-6122-4245-81FC-1DC3CAFAC130}"/>
    <cellStyle name="Tulostus 3 4 14" xfId="19183" xr:uid="{70563804-C8FE-4608-BDEC-700B71ED3CAA}"/>
    <cellStyle name="Tulostus 3 4 15" xfId="19184" xr:uid="{07E722AF-0EA2-429C-BB14-D6A96D542576}"/>
    <cellStyle name="Tulostus 3 4 16" xfId="19185" xr:uid="{92BE03D1-A2B3-4D7E-91E9-330D2410A3EB}"/>
    <cellStyle name="Tulostus 3 4 17" xfId="19186" xr:uid="{B48FD128-551B-454C-88F4-37277EED5007}"/>
    <cellStyle name="Tulostus 3 4 18" xfId="19187" xr:uid="{27CD134A-E150-4E44-A0AD-DCFC49D37C8E}"/>
    <cellStyle name="Tulostus 3 4 19" xfId="19188" xr:uid="{0B9C4E15-F3EF-410E-8918-AC8798F8AF5A}"/>
    <cellStyle name="Tulostus 3 4 2" xfId="19189" xr:uid="{03A231C7-F93D-4AF5-9D38-79DBD3FEBE34}"/>
    <cellStyle name="Tulostus 3 4 2 10" xfId="19190" xr:uid="{3859D2A0-2294-455B-AE46-69EAF4C11F96}"/>
    <cellStyle name="Tulostus 3 4 2 11" xfId="19191" xr:uid="{A39FB3B3-FA5E-4A0B-8A0A-E055CE119E01}"/>
    <cellStyle name="Tulostus 3 4 2 12" xfId="19192" xr:uid="{D4B5294C-E5C1-4CB1-ABEF-0400F3B818E1}"/>
    <cellStyle name="Tulostus 3 4 2 13" xfId="19193" xr:uid="{B43667AE-DB0A-4C5C-878E-5C128CB4B787}"/>
    <cellStyle name="Tulostus 3 4 2 14" xfId="19194" xr:uid="{40A77407-39EC-4C3B-8F21-8973A61A6F68}"/>
    <cellStyle name="Tulostus 3 4 2 15" xfId="19195" xr:uid="{FFE8762D-1545-4A7E-AB37-239D5C02A7BC}"/>
    <cellStyle name="Tulostus 3 4 2 16" xfId="19196" xr:uid="{C2C6D8EB-250F-4054-8A7D-B9415E7AED6A}"/>
    <cellStyle name="Tulostus 3 4 2 17" xfId="19197" xr:uid="{50261BB9-D93B-4981-AF9E-F105022DF333}"/>
    <cellStyle name="Tulostus 3 4 2 18" xfId="19198" xr:uid="{BCD91757-9A3D-4923-8BD7-B07CEC700B73}"/>
    <cellStyle name="Tulostus 3 4 2 19" xfId="19199" xr:uid="{553185E2-EF6D-48DF-AC2B-4EA6F5B61C70}"/>
    <cellStyle name="Tulostus 3 4 2 2" xfId="19200" xr:uid="{AFA954FD-20EC-4C82-9E9D-30BAFC6A7A4C}"/>
    <cellStyle name="Tulostus 3 4 2 3" xfId="19201" xr:uid="{4A91FE44-A8B9-4122-9011-ACE3F18BB157}"/>
    <cellStyle name="Tulostus 3 4 2 4" xfId="19202" xr:uid="{6B14C9AA-219B-416F-AC61-14C2E463A539}"/>
    <cellStyle name="Tulostus 3 4 2 5" xfId="19203" xr:uid="{4EB8CC32-7E73-45EA-97FB-C6570CB699B3}"/>
    <cellStyle name="Tulostus 3 4 2 6" xfId="19204" xr:uid="{D93DDB07-005E-4ED8-A5CC-B8F9533B4DB9}"/>
    <cellStyle name="Tulostus 3 4 2 7" xfId="19205" xr:uid="{2CC2BB36-8ACA-4EFF-882C-5B0B28847C37}"/>
    <cellStyle name="Tulostus 3 4 2 8" xfId="19206" xr:uid="{1A7A1548-CD3D-4C64-90B8-3AE4BEBD91D1}"/>
    <cellStyle name="Tulostus 3 4 2 9" xfId="19207" xr:uid="{60282D47-0F37-412F-92C5-72606AB1E2A4}"/>
    <cellStyle name="Tulostus 3 4 2_2013" xfId="19208" xr:uid="{90B36737-1F98-485F-920A-164F7560B127}"/>
    <cellStyle name="Tulostus 3 4 20" xfId="19209" xr:uid="{9F7BC5C6-DC93-42D6-BB03-0B834DCF9FCC}"/>
    <cellStyle name="Tulostus 3 4 3" xfId="19210" xr:uid="{6EB3CADE-B429-4F93-A08C-054AA344A79D}"/>
    <cellStyle name="Tulostus 3 4 4" xfId="19211" xr:uid="{A96F6753-C873-4DF3-BFB3-4D7A71779E41}"/>
    <cellStyle name="Tulostus 3 4 5" xfId="19212" xr:uid="{462D7C48-B5D2-4990-BC98-6EA1065E7DD1}"/>
    <cellStyle name="Tulostus 3 4 6" xfId="19213" xr:uid="{00114808-368D-489F-80E9-58255DDE4541}"/>
    <cellStyle name="Tulostus 3 4 7" xfId="19214" xr:uid="{544FA148-1405-4F3C-9D8C-26F5EF40D2B4}"/>
    <cellStyle name="Tulostus 3 4 8" xfId="19215" xr:uid="{880BBB26-1794-4383-B833-7511CF1AC3F9}"/>
    <cellStyle name="Tulostus 3 4 9" xfId="19216" xr:uid="{5D2B34FF-A2C6-478C-B63B-FF3CB734F375}"/>
    <cellStyle name="Tulostus 3 4_2013" xfId="19217" xr:uid="{63B29FD7-AF13-4C0E-84A8-809D27826D7B}"/>
    <cellStyle name="Tulostus 3 5" xfId="19218" xr:uid="{7B7C1AC4-777B-4051-8326-0D20BF47F307}"/>
    <cellStyle name="Tulostus 3 5 10" xfId="19219" xr:uid="{85F60459-6CA1-40F8-99D3-BE3AB373612E}"/>
    <cellStyle name="Tulostus 3 5 11" xfId="19220" xr:uid="{706490DE-FC2F-42CB-BA78-FAC5AD4E3B53}"/>
    <cellStyle name="Tulostus 3 5 12" xfId="19221" xr:uid="{CE668BEE-3382-4DA1-A35E-FEEC3DD053F7}"/>
    <cellStyle name="Tulostus 3 5 13" xfId="19222" xr:uid="{BDD2C80A-A0D9-4741-BB87-AD0EE9A5CE35}"/>
    <cellStyle name="Tulostus 3 5 14" xfId="19223" xr:uid="{07681054-A8A1-495A-9ECC-541F13E633BE}"/>
    <cellStyle name="Tulostus 3 5 15" xfId="19224" xr:uid="{F867A66E-5AC8-4406-9CA6-866164452341}"/>
    <cellStyle name="Tulostus 3 5 16" xfId="19225" xr:uid="{A9CD5DCC-4CFC-4951-B7F9-DDCA39880CA6}"/>
    <cellStyle name="Tulostus 3 5 17" xfId="19226" xr:uid="{868D86A8-A218-4560-994E-6D4416F4356E}"/>
    <cellStyle name="Tulostus 3 5 18" xfId="19227" xr:uid="{DD14B114-47A1-4A7B-A286-5FD3823073B7}"/>
    <cellStyle name="Tulostus 3 5 19" xfId="19228" xr:uid="{E30DF2B7-77C0-46A5-A9B9-1CD40AC1FD62}"/>
    <cellStyle name="Tulostus 3 5 2" xfId="19229" xr:uid="{2014EF9E-C2C5-47EB-8729-2DBB9CFF3931}"/>
    <cellStyle name="Tulostus 3 5 2 10" xfId="19230" xr:uid="{E67B0AA6-F736-439A-A063-199AA81FC461}"/>
    <cellStyle name="Tulostus 3 5 2 11" xfId="19231" xr:uid="{75A92CD6-D02F-4B55-97A6-6ACBBF2A6974}"/>
    <cellStyle name="Tulostus 3 5 2 12" xfId="19232" xr:uid="{C81195E8-3E3B-40C8-8F8A-1B344A64FC32}"/>
    <cellStyle name="Tulostus 3 5 2 13" xfId="19233" xr:uid="{99A51E6B-011A-4210-B3AE-423DCD0D88D9}"/>
    <cellStyle name="Tulostus 3 5 2 14" xfId="19234" xr:uid="{B2D96379-57DF-47AD-B51C-8BBBF90D45D6}"/>
    <cellStyle name="Tulostus 3 5 2 15" xfId="19235" xr:uid="{96F5A410-9BC3-4C9D-B935-5990540030D7}"/>
    <cellStyle name="Tulostus 3 5 2 16" xfId="19236" xr:uid="{C6F936E2-F2F6-4B9B-AF76-DCCB427D2681}"/>
    <cellStyle name="Tulostus 3 5 2 17" xfId="19237" xr:uid="{FD6E7DED-E02B-46CA-921D-B6F808166B3C}"/>
    <cellStyle name="Tulostus 3 5 2 18" xfId="19238" xr:uid="{FB9958C1-1A5A-452D-8412-61820898DC3B}"/>
    <cellStyle name="Tulostus 3 5 2 19" xfId="19239" xr:uid="{AF8107C9-16CF-45AE-9D53-21D6C67D0218}"/>
    <cellStyle name="Tulostus 3 5 2 2" xfId="19240" xr:uid="{5779061E-C3F6-421A-85F3-B31F49015778}"/>
    <cellStyle name="Tulostus 3 5 2 3" xfId="19241" xr:uid="{7D768485-F8C8-4246-90B9-02B8486B4814}"/>
    <cellStyle name="Tulostus 3 5 2 4" xfId="19242" xr:uid="{1B625FEE-7D31-428C-98C4-5D0F4132FE67}"/>
    <cellStyle name="Tulostus 3 5 2 5" xfId="19243" xr:uid="{4100CD29-AEF5-4FB7-A70C-FED65A863F1C}"/>
    <cellStyle name="Tulostus 3 5 2 6" xfId="19244" xr:uid="{DBAB0FDC-62D6-494C-BAE1-BDEA4D13438F}"/>
    <cellStyle name="Tulostus 3 5 2 7" xfId="19245" xr:uid="{7D3B410D-704F-4017-A143-5CDD4553F881}"/>
    <cellStyle name="Tulostus 3 5 2 8" xfId="19246" xr:uid="{9709289A-218F-4C4B-802D-2DEE58107FC5}"/>
    <cellStyle name="Tulostus 3 5 2 9" xfId="19247" xr:uid="{DBA5EAD6-D8B4-42AD-8023-32C8E6838E25}"/>
    <cellStyle name="Tulostus 3 5 2_2013" xfId="19248" xr:uid="{E55219CC-657D-4D7B-8F6E-ED9201174A5B}"/>
    <cellStyle name="Tulostus 3 5 20" xfId="19249" xr:uid="{F862FCD2-39B8-4914-86E9-D48E9BE7E3B7}"/>
    <cellStyle name="Tulostus 3 5 3" xfId="19250" xr:uid="{CE23171D-F7A0-4941-8536-6562B3136DF4}"/>
    <cellStyle name="Tulostus 3 5 4" xfId="19251" xr:uid="{334099A5-B59B-49B5-B8FF-0CFD9DCB1FCD}"/>
    <cellStyle name="Tulostus 3 5 5" xfId="19252" xr:uid="{5A29425F-46E8-4ECE-B76E-24AE162B548E}"/>
    <cellStyle name="Tulostus 3 5 6" xfId="19253" xr:uid="{47CFD622-F8DB-4003-981B-9EE20FBC5D54}"/>
    <cellStyle name="Tulostus 3 5 7" xfId="19254" xr:uid="{98643F7C-B004-4021-B79F-8F8114E4271D}"/>
    <cellStyle name="Tulostus 3 5 8" xfId="19255" xr:uid="{91AFB254-7CD4-4D78-B41D-EF397747E6B3}"/>
    <cellStyle name="Tulostus 3 5 9" xfId="19256" xr:uid="{23CEE69B-5A92-4971-91F4-A0BF7BF1DD13}"/>
    <cellStyle name="Tulostus 3 5_2013" xfId="19257" xr:uid="{6A15FA31-581E-4FEB-A934-4F206BB0AD7F}"/>
    <cellStyle name="Tulostus 3 6" xfId="19258" xr:uid="{6B0A9675-1879-4F08-A054-72DA5E98568A}"/>
    <cellStyle name="Tulostus 3 6 10" xfId="19259" xr:uid="{E278A54D-7308-449D-A0A9-369070AE12BB}"/>
    <cellStyle name="Tulostus 3 6 11" xfId="19260" xr:uid="{ED616950-5B64-4F0E-AC2F-00847BE6B0C1}"/>
    <cellStyle name="Tulostus 3 6 12" xfId="19261" xr:uid="{72E4A131-3418-4CAD-BFD8-55507442A22E}"/>
    <cellStyle name="Tulostus 3 6 13" xfId="19262" xr:uid="{1FCA8D27-267D-49F0-982E-2E4BC9277453}"/>
    <cellStyle name="Tulostus 3 6 14" xfId="19263" xr:uid="{60E68A20-C198-4B09-A691-520F3F4E5261}"/>
    <cellStyle name="Tulostus 3 6 15" xfId="19264" xr:uid="{946E93FC-04AD-4E06-9964-51DB59875CA9}"/>
    <cellStyle name="Tulostus 3 6 16" xfId="19265" xr:uid="{4BFB7E4A-1907-4159-9F62-9A84D089F8A9}"/>
    <cellStyle name="Tulostus 3 6 17" xfId="19266" xr:uid="{289BB89C-E88F-4FC5-9186-ED878E023CC1}"/>
    <cellStyle name="Tulostus 3 6 18" xfId="19267" xr:uid="{CC26B43B-DC63-4F27-92B3-37AD4EED409C}"/>
    <cellStyle name="Tulostus 3 6 19" xfId="19268" xr:uid="{BDA002C5-EC3A-4E3C-B076-F56E86F0DB95}"/>
    <cellStyle name="Tulostus 3 6 2" xfId="19269" xr:uid="{9D351AE4-65ED-4308-BE92-C17176D06CB0}"/>
    <cellStyle name="Tulostus 3 6 3" xfId="19270" xr:uid="{91E64568-55FC-4903-9132-334E68A6EC18}"/>
    <cellStyle name="Tulostus 3 6 4" xfId="19271" xr:uid="{81019F5F-B95D-49AC-BBBA-45A6525C55F9}"/>
    <cellStyle name="Tulostus 3 6 5" xfId="19272" xr:uid="{6ADD140E-34ED-4CBC-B076-45771F854B30}"/>
    <cellStyle name="Tulostus 3 6 6" xfId="19273" xr:uid="{5BA68FA7-2BA6-4AC2-93E0-BCCF8B1B7A40}"/>
    <cellStyle name="Tulostus 3 6 7" xfId="19274" xr:uid="{4020C235-CCF5-49B3-84D2-723A672DA49F}"/>
    <cellStyle name="Tulostus 3 6 8" xfId="19275" xr:uid="{8C8D5EA2-7252-4850-95D8-8F6D9351E4C4}"/>
    <cellStyle name="Tulostus 3 6 9" xfId="19276" xr:uid="{700205FA-A187-4618-867C-C1C930EC3912}"/>
    <cellStyle name="Tulostus 3 6_2013" xfId="19277" xr:uid="{E02BE1AC-640C-4946-8227-69909B1C905C}"/>
    <cellStyle name="Tulostus 3 7" xfId="19278" xr:uid="{64EB85F1-3A29-4F22-904C-79E44D6AEDA0}"/>
    <cellStyle name="Tulostus 3 7 2" xfId="19279" xr:uid="{C4CFDB0E-B236-4DFC-A2EE-3BD254D5F524}"/>
    <cellStyle name="Tulostus 3 7_2013" xfId="19280" xr:uid="{B0A82483-B5C4-4ABD-B117-BAACD176D038}"/>
    <cellStyle name="Tulostus 3 8" xfId="19281" xr:uid="{59731749-AA0A-4E41-8D3B-EC2856208C65}"/>
    <cellStyle name="Tulostus 3 9" xfId="19282" xr:uid="{E5D94D6E-3305-444E-A9F4-22259347D396}"/>
    <cellStyle name="Tulostus 3_2013" xfId="19283" xr:uid="{4DB8D923-268C-4252-ACAF-D3B5FC1A3C42}"/>
    <cellStyle name="Tulostus 4" xfId="19284" xr:uid="{BE000E2A-339A-4D8F-A37D-7A6D615B9CDC}"/>
    <cellStyle name="Tulostus 4 10" xfId="19285" xr:uid="{82AB7CF0-444A-4AE6-AFBD-0D2E41500A06}"/>
    <cellStyle name="Tulostus 4 11" xfId="19286" xr:uid="{D3C61851-B36D-4973-ABD4-EAF6A29981DF}"/>
    <cellStyle name="Tulostus 4 12" xfId="19287" xr:uid="{D27D21DB-4B0C-4B37-BC6A-8A44EC49EB35}"/>
    <cellStyle name="Tulostus 4 13" xfId="19288" xr:uid="{CF15D6F1-CA1F-4462-8F88-9675EF4304DF}"/>
    <cellStyle name="Tulostus 4 14" xfId="19289" xr:uid="{71072A9E-C479-46FE-9F8A-3E612443EB04}"/>
    <cellStyle name="Tulostus 4 15" xfId="19290" xr:uid="{66279FAF-7EAD-4C51-AF49-676FC39C22C1}"/>
    <cellStyle name="Tulostus 4 16" xfId="19291" xr:uid="{E60278A1-237A-4B6A-B204-991D24BECE18}"/>
    <cellStyle name="Tulostus 4 17" xfId="19292" xr:uid="{2988812D-4BB0-4D41-8A91-35245EFC5A2D}"/>
    <cellStyle name="Tulostus 4 18" xfId="19293" xr:uid="{A69FFC98-64C8-4113-AD80-D55EA39BFEC4}"/>
    <cellStyle name="Tulostus 4 19" xfId="19294" xr:uid="{B3439CE8-2683-4704-B8CF-5E339C1A2E82}"/>
    <cellStyle name="Tulostus 4 2" xfId="19295" xr:uid="{279747E1-2AEA-4788-B77A-5D7E03C2D69C}"/>
    <cellStyle name="Tulostus 4 2 10" xfId="19296" xr:uid="{2D426D95-C4D7-493E-ADA4-ECE28294259C}"/>
    <cellStyle name="Tulostus 4 2 11" xfId="19297" xr:uid="{1F935D90-CEC1-4166-ACF4-A835B5EFA5CC}"/>
    <cellStyle name="Tulostus 4 2 12" xfId="19298" xr:uid="{22B5087E-E39A-4140-9C93-5032E9928055}"/>
    <cellStyle name="Tulostus 4 2 13" xfId="19299" xr:uid="{BE1B8B22-8C96-42A7-B83D-3ADF03C70A23}"/>
    <cellStyle name="Tulostus 4 2 14" xfId="19300" xr:uid="{E02C198A-CB4A-4C25-AB5D-BEAA030F54AC}"/>
    <cellStyle name="Tulostus 4 2 15" xfId="19301" xr:uid="{63D9A3F1-9CF1-40F7-9A07-2B2939025091}"/>
    <cellStyle name="Tulostus 4 2 16" xfId="19302" xr:uid="{3DF28090-9E21-4092-A8E2-F0C140DC9D63}"/>
    <cellStyle name="Tulostus 4 2 17" xfId="19303" xr:uid="{EF20B125-D551-4B41-872D-C9CBBB95A87D}"/>
    <cellStyle name="Tulostus 4 2 18" xfId="19304" xr:uid="{2B935B1C-D03D-4FE8-AC28-5742FAB9D958}"/>
    <cellStyle name="Tulostus 4 2 19" xfId="19305" xr:uid="{1E694FB3-E3E6-4034-BF40-BF331088DB40}"/>
    <cellStyle name="Tulostus 4 2 2" xfId="19306" xr:uid="{A08102DA-5FAC-4910-B0EF-C6FA83767114}"/>
    <cellStyle name="Tulostus 4 2 2 10" xfId="19307" xr:uid="{3424719C-96AA-4DF4-BDEC-FF45AC910B8E}"/>
    <cellStyle name="Tulostus 4 2 2 11" xfId="19308" xr:uid="{DA5F9C6A-083F-4793-9EC2-D7E3F7D7A7CE}"/>
    <cellStyle name="Tulostus 4 2 2 12" xfId="19309" xr:uid="{3903A3C7-ED9B-42FB-A54C-5F819BCA09C8}"/>
    <cellStyle name="Tulostus 4 2 2 13" xfId="19310" xr:uid="{AB51CBA7-FF4D-40E0-A483-21C994A00853}"/>
    <cellStyle name="Tulostus 4 2 2 14" xfId="19311" xr:uid="{6279683A-EDFA-43EF-AD89-0F5D03F4BBDF}"/>
    <cellStyle name="Tulostus 4 2 2 15" xfId="19312" xr:uid="{3B7D5D48-BB8D-4F27-9CD6-F3BA83C0E4B5}"/>
    <cellStyle name="Tulostus 4 2 2 16" xfId="19313" xr:uid="{45C3FF30-874E-4528-987C-4817D4D89047}"/>
    <cellStyle name="Tulostus 4 2 2 17" xfId="19314" xr:uid="{67735432-8AD2-4BBF-9F85-0713D93A6722}"/>
    <cellStyle name="Tulostus 4 2 2 18" xfId="19315" xr:uid="{C3C76600-61D6-4110-BE6A-D9B74FBEC765}"/>
    <cellStyle name="Tulostus 4 2 2 19" xfId="19316" xr:uid="{CEC6B7BD-8EA6-48CB-AD9F-93D62FC64E7A}"/>
    <cellStyle name="Tulostus 4 2 2 2" xfId="19317" xr:uid="{CFD4D046-2A00-4E12-9C55-4A2E027A25BA}"/>
    <cellStyle name="Tulostus 4 2 2 3" xfId="19318" xr:uid="{A5336F42-44A7-4F13-BAD4-B0515865B0B6}"/>
    <cellStyle name="Tulostus 4 2 2 4" xfId="19319" xr:uid="{FE13040B-5D07-492A-832D-56ED1DDC4BAA}"/>
    <cellStyle name="Tulostus 4 2 2 5" xfId="19320" xr:uid="{416934E2-4BE5-4C18-A148-7758A456929A}"/>
    <cellStyle name="Tulostus 4 2 2 6" xfId="19321" xr:uid="{770C13E7-66B1-4ED2-82A7-51514BB0BCEE}"/>
    <cellStyle name="Tulostus 4 2 2 7" xfId="19322" xr:uid="{B8E77FB8-D2B9-47C4-82D8-FA8A009D6CC7}"/>
    <cellStyle name="Tulostus 4 2 2 8" xfId="19323" xr:uid="{DF6337DE-26F1-4A65-B698-451A020CA7F2}"/>
    <cellStyle name="Tulostus 4 2 2 9" xfId="19324" xr:uid="{AF77B352-955F-4AD6-9B21-3D8F3663A74B}"/>
    <cellStyle name="Tulostus 4 2 2_2013" xfId="19325" xr:uid="{A819F814-BFF5-47DC-852A-527E8A830641}"/>
    <cellStyle name="Tulostus 4 2 20" xfId="19326" xr:uid="{DB3764A8-295D-4D62-AAFC-1733F2A65836}"/>
    <cellStyle name="Tulostus 4 2 3" xfId="19327" xr:uid="{362D313C-889C-4CA9-BF73-070E2C529D38}"/>
    <cellStyle name="Tulostus 4 2 4" xfId="19328" xr:uid="{DA4EDBAA-930B-4E2C-9AF1-C82C32716AAA}"/>
    <cellStyle name="Tulostus 4 2 5" xfId="19329" xr:uid="{ACD00BFA-C382-49E0-944B-B3DEAFCE6EBF}"/>
    <cellStyle name="Tulostus 4 2 6" xfId="19330" xr:uid="{270B35DA-F0A1-4C24-8CA3-C8A2C1FA9547}"/>
    <cellStyle name="Tulostus 4 2 7" xfId="19331" xr:uid="{85D53756-6FDF-467A-B9B6-DB9AC25BE1EC}"/>
    <cellStyle name="Tulostus 4 2 8" xfId="19332" xr:uid="{D7134D1C-64C9-4ED2-A1D7-6552AA95ABD5}"/>
    <cellStyle name="Tulostus 4 2 9" xfId="19333" xr:uid="{AE1FB50F-7BF9-41DB-A776-F279B3B39ADA}"/>
    <cellStyle name="Tulostus 4 2_2013" xfId="19334" xr:uid="{7109B82F-4349-4EA0-A75B-2547D97600E4}"/>
    <cellStyle name="Tulostus 4 20" xfId="19335" xr:uid="{88771D4B-921B-4E93-A892-3E9FC0D54137}"/>
    <cellStyle name="Tulostus 4 21" xfId="19336" xr:uid="{D4C43752-8809-4116-A106-9557F8CF9C80}"/>
    <cellStyle name="Tulostus 4 22" xfId="19337" xr:uid="{7CE5AA7F-6E84-4803-BAE8-19F7A8BC384E}"/>
    <cellStyle name="Tulostus 4 23" xfId="19338" xr:uid="{9EDA13F2-D042-4B54-BF20-AADB4BA05795}"/>
    <cellStyle name="Tulostus 4 3" xfId="19339" xr:uid="{B361D109-B454-412D-8E17-825F44D73A3E}"/>
    <cellStyle name="Tulostus 4 3 10" xfId="19340" xr:uid="{B517CCE3-A975-4C50-94BB-B0D1ED479A68}"/>
    <cellStyle name="Tulostus 4 3 11" xfId="19341" xr:uid="{DF86A43B-F8AA-4D2C-8DA0-536C9DD7DE94}"/>
    <cellStyle name="Tulostus 4 3 12" xfId="19342" xr:uid="{09C41CA7-1BA1-4136-8AB1-2574D32A5AC4}"/>
    <cellStyle name="Tulostus 4 3 13" xfId="19343" xr:uid="{7A7DD22D-CF5E-4D52-A6A0-1A9266678225}"/>
    <cellStyle name="Tulostus 4 3 14" xfId="19344" xr:uid="{83A85050-D687-44F6-8141-6C7F4B04E702}"/>
    <cellStyle name="Tulostus 4 3 15" xfId="19345" xr:uid="{11CF17F6-3D0D-4943-A76A-87AE68CD873A}"/>
    <cellStyle name="Tulostus 4 3 16" xfId="19346" xr:uid="{85818CD8-199D-46F1-A258-EDB8FB82AB43}"/>
    <cellStyle name="Tulostus 4 3 17" xfId="19347" xr:uid="{3E34C676-696E-449F-AA0B-DA3A4778A186}"/>
    <cellStyle name="Tulostus 4 3 18" xfId="19348" xr:uid="{51C48E78-B4BD-486C-8E70-F9AF0FCD2F9D}"/>
    <cellStyle name="Tulostus 4 3 19" xfId="19349" xr:uid="{3F97E40D-E839-4BCE-8B72-F74695C92506}"/>
    <cellStyle name="Tulostus 4 3 2" xfId="19350" xr:uid="{9FEC1D3E-135D-4317-8D0E-4064F12A33DF}"/>
    <cellStyle name="Tulostus 4 3 2 10" xfId="19351" xr:uid="{BBCACE10-76AE-4E66-B4DE-7110625C6035}"/>
    <cellStyle name="Tulostus 4 3 2 11" xfId="19352" xr:uid="{76238819-AE31-45BF-A2F2-C0ADB83F8214}"/>
    <cellStyle name="Tulostus 4 3 2 12" xfId="19353" xr:uid="{901E74C9-00BD-47EC-AEDA-0595E8E770A8}"/>
    <cellStyle name="Tulostus 4 3 2 13" xfId="19354" xr:uid="{7D04AF29-7F96-4C91-8EC9-02AD1689896C}"/>
    <cellStyle name="Tulostus 4 3 2 14" xfId="19355" xr:uid="{50E4E3D7-980C-4963-9C37-CCB64C787DD6}"/>
    <cellStyle name="Tulostus 4 3 2 15" xfId="19356" xr:uid="{70727922-4AA6-4CF7-8BB9-C1E3967741C2}"/>
    <cellStyle name="Tulostus 4 3 2 16" xfId="19357" xr:uid="{B56B4B44-028A-4BAF-901B-D8D984F3CA1A}"/>
    <cellStyle name="Tulostus 4 3 2 17" xfId="19358" xr:uid="{327B34C8-6C31-4409-94C1-1045C201011B}"/>
    <cellStyle name="Tulostus 4 3 2 18" xfId="19359" xr:uid="{977900D5-7E0F-495C-BAFC-F08470B02169}"/>
    <cellStyle name="Tulostus 4 3 2 19" xfId="19360" xr:uid="{5F7B4D43-FE44-41E3-A805-E30B2FAF6549}"/>
    <cellStyle name="Tulostus 4 3 2 2" xfId="19361" xr:uid="{1B3FB058-B2A5-481A-97C3-8F318EBE06FE}"/>
    <cellStyle name="Tulostus 4 3 2 3" xfId="19362" xr:uid="{E20309A4-5FF7-48C1-9E74-001C10FF5C14}"/>
    <cellStyle name="Tulostus 4 3 2 4" xfId="19363" xr:uid="{6902730D-1CF3-43BE-BF03-16C5FA6681B9}"/>
    <cellStyle name="Tulostus 4 3 2 5" xfId="19364" xr:uid="{D5E12CD4-DB47-4D32-9A8E-1517DD048DDE}"/>
    <cellStyle name="Tulostus 4 3 2 6" xfId="19365" xr:uid="{1832F34A-C8E2-4BA4-BCCD-3CBC1209479A}"/>
    <cellStyle name="Tulostus 4 3 2 7" xfId="19366" xr:uid="{C72720B5-9591-4CA5-8346-2E1B5D30ED2C}"/>
    <cellStyle name="Tulostus 4 3 2 8" xfId="19367" xr:uid="{4429B4EE-7260-44D6-98F4-1FFEAB38F719}"/>
    <cellStyle name="Tulostus 4 3 2 9" xfId="19368" xr:uid="{8E837A0B-6F0A-4042-AF6C-DB9E696BAA3A}"/>
    <cellStyle name="Tulostus 4 3 2_2013" xfId="19369" xr:uid="{F83176A2-C560-4BF0-AA1C-7FC2032C5FE5}"/>
    <cellStyle name="Tulostus 4 3 20" xfId="19370" xr:uid="{928FBE2D-B944-4BE4-B120-976344F3E676}"/>
    <cellStyle name="Tulostus 4 3 3" xfId="19371" xr:uid="{64501C2D-FDCE-45C8-856A-04398BBB4AD5}"/>
    <cellStyle name="Tulostus 4 3 4" xfId="19372" xr:uid="{3635DE34-2007-409C-937C-9B0CED7238ED}"/>
    <cellStyle name="Tulostus 4 3 5" xfId="19373" xr:uid="{6CB1CF0D-D5C3-43A5-BBF0-FE4D68D9FD89}"/>
    <cellStyle name="Tulostus 4 3 6" xfId="19374" xr:uid="{F54633F3-90F8-4C40-BA66-06E7CA6E948B}"/>
    <cellStyle name="Tulostus 4 3 7" xfId="19375" xr:uid="{BFE6E950-4056-45F0-9467-16E34BC94714}"/>
    <cellStyle name="Tulostus 4 3 8" xfId="19376" xr:uid="{A0324CF8-0747-4EED-AD51-05CCD90DD1C1}"/>
    <cellStyle name="Tulostus 4 3 9" xfId="19377" xr:uid="{EF6EB043-70BE-452A-84B6-BA8EDC1677DD}"/>
    <cellStyle name="Tulostus 4 3_2013" xfId="19378" xr:uid="{FF7A7E7D-74FB-4207-B255-9A3493369F68}"/>
    <cellStyle name="Tulostus 4 4" xfId="19379" xr:uid="{89D9C7B3-35DA-41B2-874F-43F3FE75C236}"/>
    <cellStyle name="Tulostus 4 4 10" xfId="19380" xr:uid="{D73BC3D1-EA77-438B-BBD9-C6265E568F0D}"/>
    <cellStyle name="Tulostus 4 4 11" xfId="19381" xr:uid="{641B3CA7-D2B1-4E98-BDF9-E0F61DA08AA2}"/>
    <cellStyle name="Tulostus 4 4 12" xfId="19382" xr:uid="{A9818ADB-5ECE-4069-8467-4607BF454FA3}"/>
    <cellStyle name="Tulostus 4 4 13" xfId="19383" xr:uid="{3F35661D-8979-45C4-80A0-EE9F6EE353F1}"/>
    <cellStyle name="Tulostus 4 4 14" xfId="19384" xr:uid="{263055D0-5FBF-4AE9-9A72-2ACB12B7A140}"/>
    <cellStyle name="Tulostus 4 4 15" xfId="19385" xr:uid="{69D9F9B9-F7B4-452A-881C-62CBDC106983}"/>
    <cellStyle name="Tulostus 4 4 16" xfId="19386" xr:uid="{FBBAF703-1177-455D-AAAE-314DA183AE08}"/>
    <cellStyle name="Tulostus 4 4 17" xfId="19387" xr:uid="{06C58C62-584E-4A84-9C9A-78C32CD08F2B}"/>
    <cellStyle name="Tulostus 4 4 18" xfId="19388" xr:uid="{6F08EB9F-BC72-49C4-9542-F65E2244FC22}"/>
    <cellStyle name="Tulostus 4 4 19" xfId="19389" xr:uid="{7C0238C6-514E-446E-87AF-609928494FCD}"/>
    <cellStyle name="Tulostus 4 4 2" xfId="19390" xr:uid="{59E96774-DC77-49C6-BF6C-6453644844ED}"/>
    <cellStyle name="Tulostus 4 4 2 10" xfId="19391" xr:uid="{642697D9-4482-4090-A6E6-C83776F37F43}"/>
    <cellStyle name="Tulostus 4 4 2 11" xfId="19392" xr:uid="{64696046-F9EB-478C-84DA-1EAAC7480260}"/>
    <cellStyle name="Tulostus 4 4 2 12" xfId="19393" xr:uid="{E7DE96FC-9A68-4035-B1AB-823307560F97}"/>
    <cellStyle name="Tulostus 4 4 2 13" xfId="19394" xr:uid="{FC8741BD-A7B5-45B5-B7CA-DEC8C031F089}"/>
    <cellStyle name="Tulostus 4 4 2 14" xfId="19395" xr:uid="{5866435B-9C0D-4DAF-B067-D8DF351151C1}"/>
    <cellStyle name="Tulostus 4 4 2 15" xfId="19396" xr:uid="{15F744DA-2B47-4330-A305-1E95D3595504}"/>
    <cellStyle name="Tulostus 4 4 2 16" xfId="19397" xr:uid="{E5E67F8C-6A2C-4E69-BE89-156D0059EBC6}"/>
    <cellStyle name="Tulostus 4 4 2 17" xfId="19398" xr:uid="{30FADB4C-37E9-4A89-A126-2CA0D6DB81D0}"/>
    <cellStyle name="Tulostus 4 4 2 18" xfId="19399" xr:uid="{2941BEF3-B9BF-4EDD-9F53-6CCEF0248F62}"/>
    <cellStyle name="Tulostus 4 4 2 19" xfId="19400" xr:uid="{C9BB9D0E-38D9-42F8-AA08-EE895612CE11}"/>
    <cellStyle name="Tulostus 4 4 2 2" xfId="19401" xr:uid="{79424457-39A4-4A42-8EA5-B9650E7CADBE}"/>
    <cellStyle name="Tulostus 4 4 2 3" xfId="19402" xr:uid="{1344DDD9-6624-4ABF-8D90-591B3F1B8C69}"/>
    <cellStyle name="Tulostus 4 4 2 4" xfId="19403" xr:uid="{7D5C62F3-1F62-446D-AE35-E1BC5C2B8ADF}"/>
    <cellStyle name="Tulostus 4 4 2 5" xfId="19404" xr:uid="{EA8569E1-6D2E-4C42-9D1A-91B5F54192FD}"/>
    <cellStyle name="Tulostus 4 4 2 6" xfId="19405" xr:uid="{5083F8F7-4029-4B55-97EF-EC72934717AC}"/>
    <cellStyle name="Tulostus 4 4 2 7" xfId="19406" xr:uid="{BED0B901-F33C-4199-85EF-3404DADE5562}"/>
    <cellStyle name="Tulostus 4 4 2 8" xfId="19407" xr:uid="{316FB0E9-D72C-49EE-AF34-0FD0123D83C9}"/>
    <cellStyle name="Tulostus 4 4 2 9" xfId="19408" xr:uid="{B6DF0497-9E8E-4891-A0B5-F7E3BCB499D5}"/>
    <cellStyle name="Tulostus 4 4 2_2013" xfId="19409" xr:uid="{6322B519-2AD1-4C1E-A428-76D1993EAD45}"/>
    <cellStyle name="Tulostus 4 4 20" xfId="19410" xr:uid="{A8048DB1-80FD-4D3E-A735-AD06F1A85540}"/>
    <cellStyle name="Tulostus 4 4 3" xfId="19411" xr:uid="{630C91A4-10EB-4AB2-915D-04EAF2748FF3}"/>
    <cellStyle name="Tulostus 4 4 4" xfId="19412" xr:uid="{9820936E-40CE-4BCF-A4D6-0DD698DDD096}"/>
    <cellStyle name="Tulostus 4 4 5" xfId="19413" xr:uid="{15251495-0ED3-4469-B475-609442C0FA17}"/>
    <cellStyle name="Tulostus 4 4 6" xfId="19414" xr:uid="{BFAE945D-9759-40C3-A6F8-20D7B58D50AE}"/>
    <cellStyle name="Tulostus 4 4 7" xfId="19415" xr:uid="{AE093509-A1F0-4714-A869-8120BD0B9DFF}"/>
    <cellStyle name="Tulostus 4 4 8" xfId="19416" xr:uid="{D17A6CC2-0327-4C10-B3B2-EA1ED08FFEFC}"/>
    <cellStyle name="Tulostus 4 4 9" xfId="19417" xr:uid="{F0F50C51-A519-4AAA-9ADB-A6B76274AC57}"/>
    <cellStyle name="Tulostus 4 4_2013" xfId="19418" xr:uid="{AE2D4AFC-0CDB-41DB-9739-5705048FCD54}"/>
    <cellStyle name="Tulostus 4 5" xfId="19419" xr:uid="{D4052110-739E-4B5C-A54F-E1682C9A4CF3}"/>
    <cellStyle name="Tulostus 4 5 10" xfId="19420" xr:uid="{1CB22E3A-BD3A-4DF8-84BE-20490CC39EB8}"/>
    <cellStyle name="Tulostus 4 5 11" xfId="19421" xr:uid="{FECB7CBF-106A-4617-9A33-93EF09FE681C}"/>
    <cellStyle name="Tulostus 4 5 12" xfId="19422" xr:uid="{9F5103A4-1833-422F-ADEF-3D4889652E71}"/>
    <cellStyle name="Tulostus 4 5 13" xfId="19423" xr:uid="{CD90BB80-C2D9-4209-B5BF-6D3DB541A7AB}"/>
    <cellStyle name="Tulostus 4 5 14" xfId="19424" xr:uid="{2F21C289-571B-4D5A-A98D-34A4F51AC786}"/>
    <cellStyle name="Tulostus 4 5 15" xfId="19425" xr:uid="{5A02D6E6-A8B7-4696-A315-6CC97F68DCA9}"/>
    <cellStyle name="Tulostus 4 5 16" xfId="19426" xr:uid="{8B4403FB-23C9-4A37-915A-01ABD98236DF}"/>
    <cellStyle name="Tulostus 4 5 17" xfId="19427" xr:uid="{4C4C5525-0CC5-4BF8-8EC3-1ADD36001F09}"/>
    <cellStyle name="Tulostus 4 5 18" xfId="19428" xr:uid="{F03D9455-DA00-4CB9-A8E7-E527671E3313}"/>
    <cellStyle name="Tulostus 4 5 19" xfId="19429" xr:uid="{A19610E3-328B-4B04-8AD4-A538546CC782}"/>
    <cellStyle name="Tulostus 4 5 2" xfId="19430" xr:uid="{523E3958-3AD5-435D-A1CD-876AD001F669}"/>
    <cellStyle name="Tulostus 4 5 3" xfId="19431" xr:uid="{33B504DE-FA00-457A-BED8-9198EEFD6468}"/>
    <cellStyle name="Tulostus 4 5 4" xfId="19432" xr:uid="{95650683-0E6C-45E5-A08A-BCB28DA41FCB}"/>
    <cellStyle name="Tulostus 4 5 5" xfId="19433" xr:uid="{0825728F-38B3-4CA3-8E15-7C1623C9BB4F}"/>
    <cellStyle name="Tulostus 4 5 6" xfId="19434" xr:uid="{964AA6D3-4ED7-4C6D-A545-D3C8D5CEFFC2}"/>
    <cellStyle name="Tulostus 4 5 7" xfId="19435" xr:uid="{ABA42555-0DAF-44E2-B677-199A28F956A3}"/>
    <cellStyle name="Tulostus 4 5 8" xfId="19436" xr:uid="{CFA515ED-84A0-4252-9C10-6D169337A67E}"/>
    <cellStyle name="Tulostus 4 5 9" xfId="19437" xr:uid="{F6B2420B-FAB5-4655-8783-1C03A9A6AB35}"/>
    <cellStyle name="Tulostus 4 5_2013" xfId="19438" xr:uid="{DE9736EA-8551-4F49-B4CD-088B8A561C18}"/>
    <cellStyle name="Tulostus 4 6" xfId="19439" xr:uid="{D7ED14F2-8B84-4F1F-BF1A-B6DE52FC8B1B}"/>
    <cellStyle name="Tulostus 4 7" xfId="19440" xr:uid="{0A7D8FBF-9AF2-4969-8C98-C4C08D7635ED}"/>
    <cellStyle name="Tulostus 4 8" xfId="19441" xr:uid="{4534FBBC-320A-4954-BC64-A8F491BFD641}"/>
    <cellStyle name="Tulostus 4 9" xfId="19442" xr:uid="{882EDAB5-3FCF-4740-804D-C2E835F7BFA1}"/>
    <cellStyle name="Tulostus 4_2013" xfId="19443" xr:uid="{3AD92F8E-88D3-45DB-8A2A-3D21196A8C07}"/>
    <cellStyle name="Tulostus 5" xfId="19444" xr:uid="{58ADE72E-2A11-466C-8849-D3D3ECD65D11}"/>
    <cellStyle name="Tulostus 5 10" xfId="19445" xr:uid="{772EC07B-23BD-4311-848A-0FE15D5F660F}"/>
    <cellStyle name="Tulostus 5 11" xfId="19446" xr:uid="{782FA0F0-21F1-497A-B4D8-0173C5BB24AB}"/>
    <cellStyle name="Tulostus 5 12" xfId="19447" xr:uid="{EEDB58D7-4505-4F93-99A8-A37EC3838819}"/>
    <cellStyle name="Tulostus 5 13" xfId="19448" xr:uid="{5EC0A1F8-9DAD-42F7-8A0F-2128840E9198}"/>
    <cellStyle name="Tulostus 5 14" xfId="19449" xr:uid="{AE0AE0B2-A481-4A23-85B2-92043EA19954}"/>
    <cellStyle name="Tulostus 5 15" xfId="19450" xr:uid="{D04FB102-1CEB-479A-967B-8C9DA6997EB1}"/>
    <cellStyle name="Tulostus 5 16" xfId="19451" xr:uid="{B636EFFA-ABDC-4DEA-83E8-1300E93C1E97}"/>
    <cellStyle name="Tulostus 5 17" xfId="19452" xr:uid="{DDB1033F-740B-466D-B2F9-1B0EF57D22A8}"/>
    <cellStyle name="Tulostus 5 18" xfId="19453" xr:uid="{712735C1-C112-4B61-B490-417681901B35}"/>
    <cellStyle name="Tulostus 5 19" xfId="19454" xr:uid="{68FCBBFB-4BBD-4A80-8152-B1A31201B1EC}"/>
    <cellStyle name="Tulostus 5 2" xfId="19455" xr:uid="{DEDD6CBB-3AC7-400C-881B-D050161026FB}"/>
    <cellStyle name="Tulostus 5 2 10" xfId="19456" xr:uid="{E47CE228-C340-4CAC-981B-384BBB73A93C}"/>
    <cellStyle name="Tulostus 5 2 11" xfId="19457" xr:uid="{694AAAD4-9406-4239-A8E2-B08ADE4A7C84}"/>
    <cellStyle name="Tulostus 5 2 12" xfId="19458" xr:uid="{CF85B5B0-284F-422B-99FC-B0EF0C22227D}"/>
    <cellStyle name="Tulostus 5 2 13" xfId="19459" xr:uid="{0868E751-D710-4A84-91BF-DEFFB4231667}"/>
    <cellStyle name="Tulostus 5 2 14" xfId="19460" xr:uid="{E206B93D-164B-4D5A-8D0C-F3C0E9864D93}"/>
    <cellStyle name="Tulostus 5 2 15" xfId="19461" xr:uid="{CFA2255C-68F9-4474-B786-3156447B6FF0}"/>
    <cellStyle name="Tulostus 5 2 16" xfId="19462" xr:uid="{F8FC35E4-8478-4AFD-97D6-B69DAC563E09}"/>
    <cellStyle name="Tulostus 5 2 17" xfId="19463" xr:uid="{6EA2C3F9-793D-45B5-9289-5084A48D4185}"/>
    <cellStyle name="Tulostus 5 2 18" xfId="19464" xr:uid="{C89B2E3F-5128-473A-80C6-8CF2C6799936}"/>
    <cellStyle name="Tulostus 5 2 19" xfId="19465" xr:uid="{AEDBC83A-7355-4F4C-AAC5-B39E0445B211}"/>
    <cellStyle name="Tulostus 5 2 2" xfId="19466" xr:uid="{334E3BCC-5FCF-4AD2-8B08-FB48F7A61B4F}"/>
    <cellStyle name="Tulostus 5 2 3" xfId="19467" xr:uid="{ABA83515-85CB-4693-9383-F5749802893B}"/>
    <cellStyle name="Tulostus 5 2 4" xfId="19468" xr:uid="{D4367CBD-AAAF-47E4-BB8F-4F1BE1CEA459}"/>
    <cellStyle name="Tulostus 5 2 5" xfId="19469" xr:uid="{032713CA-FDF4-4B80-83DC-DC7D51E7BF9A}"/>
    <cellStyle name="Tulostus 5 2 6" xfId="19470" xr:uid="{836D1139-BC86-4EC4-8249-4546F0518ECF}"/>
    <cellStyle name="Tulostus 5 2 7" xfId="19471" xr:uid="{B2D4E2EF-2E9E-410A-B696-A83D612AD3DC}"/>
    <cellStyle name="Tulostus 5 2 8" xfId="19472" xr:uid="{157070CC-616C-4DC9-9846-F1072BF9A639}"/>
    <cellStyle name="Tulostus 5 2 9" xfId="19473" xr:uid="{3AD023F7-7889-4DE2-8AB0-956CA2EBE36C}"/>
    <cellStyle name="Tulostus 5 2_2013" xfId="19474" xr:uid="{53BA8671-E928-4E13-9156-AB5E7C58D8C7}"/>
    <cellStyle name="Tulostus 5 20" xfId="19475" xr:uid="{763A6B0B-5E1F-4832-A87A-426575E04BA9}"/>
    <cellStyle name="Tulostus 5 3" xfId="19476" xr:uid="{D1AA3FCE-8AAF-4E44-80A2-E3F94C30EE3B}"/>
    <cellStyle name="Tulostus 5 4" xfId="19477" xr:uid="{31705668-E01B-4893-A5BE-F2CDDB92BA73}"/>
    <cellStyle name="Tulostus 5 5" xfId="19478" xr:uid="{8F56D724-E36B-4E1A-B07F-F8064984946F}"/>
    <cellStyle name="Tulostus 5 6" xfId="19479" xr:uid="{EAEEB33A-07C7-4397-A717-48DE600E2F66}"/>
    <cellStyle name="Tulostus 5 7" xfId="19480" xr:uid="{82059ED8-AEBD-47A4-B26A-CA3BF49DB5C2}"/>
    <cellStyle name="Tulostus 5 8" xfId="19481" xr:uid="{0E5C053B-7F93-4DDC-B23A-B5010584ABED}"/>
    <cellStyle name="Tulostus 5 9" xfId="19482" xr:uid="{CC1ADCA0-60D3-48DA-9737-CAEB629DFFA8}"/>
    <cellStyle name="Tulostus 5_2013" xfId="19483" xr:uid="{AF5B21DF-1DC4-4B37-87A3-A7494839795D}"/>
    <cellStyle name="Tulostus 6" xfId="19484" xr:uid="{626602BB-31AB-4EEE-91C5-945440521A63}"/>
    <cellStyle name="Tulostus 6 10" xfId="19485" xr:uid="{1509EFBE-2E0B-4D9D-84BA-8619D631B05B}"/>
    <cellStyle name="Tulostus 6 11" xfId="19486" xr:uid="{EFAB1330-1D45-49EA-A34F-0EC1A0C4573A}"/>
    <cellStyle name="Tulostus 6 12" xfId="19487" xr:uid="{11B2D0CE-91C5-4900-859E-7EE9B076BDDC}"/>
    <cellStyle name="Tulostus 6 13" xfId="19488" xr:uid="{1C7C47BF-2803-4484-B858-C5858E7E50C0}"/>
    <cellStyle name="Tulostus 6 14" xfId="19489" xr:uid="{0FEA60BC-4EFD-4884-A6ED-E45B0F2740B1}"/>
    <cellStyle name="Tulostus 6 15" xfId="19490" xr:uid="{5BED1D04-A06D-430F-AB7A-E4DE707DD682}"/>
    <cellStyle name="Tulostus 6 16" xfId="19491" xr:uid="{3C558105-B9F2-4274-92D4-54E6F200E20B}"/>
    <cellStyle name="Tulostus 6 17" xfId="19492" xr:uid="{350D746F-1474-498C-88A2-72BE0BA9DBE0}"/>
    <cellStyle name="Tulostus 6 18" xfId="19493" xr:uid="{8360DAB1-2AAF-4C8D-AEA6-09F0E819FE1F}"/>
    <cellStyle name="Tulostus 6 19" xfId="19494" xr:uid="{0439F221-67A0-4CB6-883A-7B8A6AF5DC69}"/>
    <cellStyle name="Tulostus 6 2" xfId="19495" xr:uid="{51DFC2F0-78BD-4700-8973-ABD13C1AB0EC}"/>
    <cellStyle name="Tulostus 6 2 10" xfId="19496" xr:uid="{0EBB764A-8A8A-41D7-A474-22A47AD777C6}"/>
    <cellStyle name="Tulostus 6 2 11" xfId="19497" xr:uid="{7C22BC06-621C-4A68-979F-CA075C8224A5}"/>
    <cellStyle name="Tulostus 6 2 12" xfId="19498" xr:uid="{756BF693-B706-4826-AF70-2218AB36CE84}"/>
    <cellStyle name="Tulostus 6 2 13" xfId="19499" xr:uid="{B9AC1273-EFB6-49AF-AC51-B15E092065A8}"/>
    <cellStyle name="Tulostus 6 2 14" xfId="19500" xr:uid="{5E41E0C8-BEF3-47F6-9108-004389C1AD89}"/>
    <cellStyle name="Tulostus 6 2 15" xfId="19501" xr:uid="{32D3C8BB-BB53-4068-B16C-A9499A846E38}"/>
    <cellStyle name="Tulostus 6 2 16" xfId="19502" xr:uid="{A1B97EEB-A5F9-4273-8A0E-C212B3B0C08B}"/>
    <cellStyle name="Tulostus 6 2 17" xfId="19503" xr:uid="{40907494-7D74-4905-97EF-F976B5FAD481}"/>
    <cellStyle name="Tulostus 6 2 18" xfId="19504" xr:uid="{04BB803B-2E1F-45F7-A117-EE4719D3318A}"/>
    <cellStyle name="Tulostus 6 2 19" xfId="19505" xr:uid="{BFFBFEF6-D20A-48F2-89EF-B8E012706BC2}"/>
    <cellStyle name="Tulostus 6 2 2" xfId="19506" xr:uid="{38654EB9-9D06-41DB-98BF-1F22CF8FC977}"/>
    <cellStyle name="Tulostus 6 2 3" xfId="19507" xr:uid="{A1428EE1-A7C8-47A4-91CA-3A733111014B}"/>
    <cellStyle name="Tulostus 6 2 4" xfId="19508" xr:uid="{D19FD06B-F595-43A3-8FFB-C878D1329534}"/>
    <cellStyle name="Tulostus 6 2 5" xfId="19509" xr:uid="{71F54412-DBE4-4B73-AF2D-84B163C3BE44}"/>
    <cellStyle name="Tulostus 6 2 6" xfId="19510" xr:uid="{74AD8E18-F4E1-4C4B-B65B-A291E245C414}"/>
    <cellStyle name="Tulostus 6 2 7" xfId="19511" xr:uid="{F674B1BD-C87C-4F7E-A0CA-CCEBD7F0D57C}"/>
    <cellStyle name="Tulostus 6 2 8" xfId="19512" xr:uid="{A57C773B-AC71-4E87-A6B5-8AEDC422192F}"/>
    <cellStyle name="Tulostus 6 2 9" xfId="19513" xr:uid="{4E9ECDF8-B9CD-463A-B3D7-7E8FCED049EE}"/>
    <cellStyle name="Tulostus 6 2_2013" xfId="19514" xr:uid="{5424E4DE-2F4D-418D-B692-7E9E50DC5413}"/>
    <cellStyle name="Tulostus 6 20" xfId="19515" xr:uid="{C9731F95-F79A-492F-BF0E-C987EFFA43D9}"/>
    <cellStyle name="Tulostus 6 3" xfId="19516" xr:uid="{B2B604DE-B638-4F2C-A7E5-517447C38B9A}"/>
    <cellStyle name="Tulostus 6 4" xfId="19517" xr:uid="{1E61D410-052F-4083-8A28-9C2F272F45C5}"/>
    <cellStyle name="Tulostus 6 5" xfId="19518" xr:uid="{2CD38E8B-6424-4296-B800-66B0BA2EEC62}"/>
    <cellStyle name="Tulostus 6 6" xfId="19519" xr:uid="{244BDE48-8F5F-4437-AE9B-DD88690F672A}"/>
    <cellStyle name="Tulostus 6 7" xfId="19520" xr:uid="{DFC3C2E4-56A3-4083-AD8A-92503981C384}"/>
    <cellStyle name="Tulostus 6 8" xfId="19521" xr:uid="{14C183B7-E42A-427F-9DB1-D9AEA5D9ECA4}"/>
    <cellStyle name="Tulostus 6 9" xfId="19522" xr:uid="{1A7B33BE-46C3-4BE8-A732-C55A8CEE8001}"/>
    <cellStyle name="Tulostus 6_2013" xfId="19523" xr:uid="{CEF04887-D6BC-4E20-86D6-7DDD38B5981E}"/>
    <cellStyle name="Tulostus 7" xfId="19524" xr:uid="{F84FD345-C49C-4334-828F-8AEA30A27FD6}"/>
    <cellStyle name="Tulostus 7 10" xfId="19525" xr:uid="{353670BF-C7A4-4FA3-97AD-B7F1773FA8C0}"/>
    <cellStyle name="Tulostus 7 11" xfId="19526" xr:uid="{5AE5BD41-48B8-4C29-B1B8-4CC862F8066D}"/>
    <cellStyle name="Tulostus 7 12" xfId="19527" xr:uid="{F0E1C3CE-B88F-4162-9566-30DCA5E77D0C}"/>
    <cellStyle name="Tulostus 7 13" xfId="19528" xr:uid="{37BE9594-8C3B-4EF5-8026-D6D2BC6B4511}"/>
    <cellStyle name="Tulostus 7 14" xfId="19529" xr:uid="{4A3A92FF-F00B-4D72-B63A-285C2A899349}"/>
    <cellStyle name="Tulostus 7 15" xfId="19530" xr:uid="{B15F48F5-4F0C-4587-A1D0-55BE07F6C29C}"/>
    <cellStyle name="Tulostus 7 16" xfId="19531" xr:uid="{5F75B050-9A2D-4E1E-AAD4-B12890294736}"/>
    <cellStyle name="Tulostus 7 17" xfId="19532" xr:uid="{C32678F8-881B-446D-84CF-283C8A8B277D}"/>
    <cellStyle name="Tulostus 7 18" xfId="19533" xr:uid="{A8CD79F6-A2D1-434E-8165-C64D02799304}"/>
    <cellStyle name="Tulostus 7 19" xfId="19534" xr:uid="{7F3B5401-8C63-43EB-842B-EE3F7F390759}"/>
    <cellStyle name="Tulostus 7 2" xfId="19535" xr:uid="{66CEBD7E-597C-413E-85D5-838969FF5E3D}"/>
    <cellStyle name="Tulostus 7 2 10" xfId="19536" xr:uid="{0E52C52D-C059-4A4F-9897-4BE3716CD243}"/>
    <cellStyle name="Tulostus 7 2 11" xfId="19537" xr:uid="{B40FD9F4-8462-41B0-B602-C589B4595140}"/>
    <cellStyle name="Tulostus 7 2 12" xfId="19538" xr:uid="{887A3DA6-EE3A-4C07-ABB8-D37CDD0E0EE7}"/>
    <cellStyle name="Tulostus 7 2 13" xfId="19539" xr:uid="{9CB4BFC2-E431-4AE2-9B94-97A9B2BDD3FF}"/>
    <cellStyle name="Tulostus 7 2 14" xfId="19540" xr:uid="{CEB96375-C83A-4901-A08B-714ADCCBF141}"/>
    <cellStyle name="Tulostus 7 2 15" xfId="19541" xr:uid="{008FE0B1-DDC2-4FDF-B269-E9E8EEAE77F0}"/>
    <cellStyle name="Tulostus 7 2 16" xfId="19542" xr:uid="{E8950322-AA6D-46E3-A52F-209184B5C714}"/>
    <cellStyle name="Tulostus 7 2 17" xfId="19543" xr:uid="{E365BB27-63CF-42C2-8680-E0F1A032DC5D}"/>
    <cellStyle name="Tulostus 7 2 18" xfId="19544" xr:uid="{501BE46B-9A85-4688-98EF-8D0635ED08E9}"/>
    <cellStyle name="Tulostus 7 2 19" xfId="19545" xr:uid="{FABDABED-75F5-4950-A3CB-500E63ABEC33}"/>
    <cellStyle name="Tulostus 7 2 2" xfId="19546" xr:uid="{9FE034C8-5DD3-4965-B9DD-37A2BCF2434D}"/>
    <cellStyle name="Tulostus 7 2 3" xfId="19547" xr:uid="{2771995C-6A01-498C-9B8C-EB6232EF72F1}"/>
    <cellStyle name="Tulostus 7 2 4" xfId="19548" xr:uid="{43E22988-1A7B-4633-92C8-C4ED1F970CA5}"/>
    <cellStyle name="Tulostus 7 2 5" xfId="19549" xr:uid="{B13F9541-35B6-426B-A2CC-7CBF2D5F4EAD}"/>
    <cellStyle name="Tulostus 7 2 6" xfId="19550" xr:uid="{5C6A887B-77F4-44C7-B7B9-4AAA61B91015}"/>
    <cellStyle name="Tulostus 7 2 7" xfId="19551" xr:uid="{F89C41A4-6504-4FD0-8E77-02359496AFB3}"/>
    <cellStyle name="Tulostus 7 2 8" xfId="19552" xr:uid="{765377B1-D814-4414-920F-9B6AD46ECD7A}"/>
    <cellStyle name="Tulostus 7 2 9" xfId="19553" xr:uid="{C1DB1A0B-75B4-435C-A22B-E0C9B152C6EF}"/>
    <cellStyle name="Tulostus 7 2_2013" xfId="19554" xr:uid="{8459BC42-BB3B-4E9E-862D-CFB7977CFBED}"/>
    <cellStyle name="Tulostus 7 20" xfId="19555" xr:uid="{E9B8F1BD-4946-4639-BC42-4A52F8818AF8}"/>
    <cellStyle name="Tulostus 7 3" xfId="19556" xr:uid="{4C017F47-415C-45F9-9CF7-F2F8C1897F8F}"/>
    <cellStyle name="Tulostus 7 4" xfId="19557" xr:uid="{8B5FAB9F-EA80-4B4B-85D7-983321514358}"/>
    <cellStyle name="Tulostus 7 5" xfId="19558" xr:uid="{625DE49B-EE97-4155-B495-59976E95180C}"/>
    <cellStyle name="Tulostus 7 6" xfId="19559" xr:uid="{68DDFEEA-059F-4D2C-BBD3-72E9A57FA6B2}"/>
    <cellStyle name="Tulostus 7 7" xfId="19560" xr:uid="{8005CC52-32F7-4119-B25C-C5A5F820F4F3}"/>
    <cellStyle name="Tulostus 7 8" xfId="19561" xr:uid="{537C0BDB-4C23-4E4B-B1CB-58486A22191E}"/>
    <cellStyle name="Tulostus 7 9" xfId="19562" xr:uid="{EE264D57-D9AB-4FA6-94BA-97F2931EF593}"/>
    <cellStyle name="Tulostus 7_2013" xfId="19563" xr:uid="{91E9F650-082A-47B8-B6CA-CB4B8874218C}"/>
    <cellStyle name="Tulostus 8" xfId="19564" xr:uid="{EA2FDB2C-570F-4162-B564-6E7F946C41B4}"/>
    <cellStyle name="Tulostus 8 10" xfId="19565" xr:uid="{30806535-810F-4C44-B8C5-B7FACF596374}"/>
    <cellStyle name="Tulostus 8 11" xfId="19566" xr:uid="{9A5F16F1-A8A7-4EE7-BDC9-C4B9ED25BADA}"/>
    <cellStyle name="Tulostus 8 12" xfId="19567" xr:uid="{2FA6766F-537C-4971-B7A2-0D675D176BE4}"/>
    <cellStyle name="Tulostus 8 13" xfId="19568" xr:uid="{2EF87F42-8FF8-41FB-8BEB-E0E5EBF63B7C}"/>
    <cellStyle name="Tulostus 8 14" xfId="19569" xr:uid="{4C7F9883-D6A1-49AB-A277-AA601923288A}"/>
    <cellStyle name="Tulostus 8 15" xfId="19570" xr:uid="{20FFA7C2-5C0A-4EE1-9C96-CEE16543534B}"/>
    <cellStyle name="Tulostus 8 16" xfId="19571" xr:uid="{B476C3B5-54D8-4147-A628-0F4AF5B5C344}"/>
    <cellStyle name="Tulostus 8 17" xfId="19572" xr:uid="{08A77DA3-8725-49FF-B238-13852F44C84C}"/>
    <cellStyle name="Tulostus 8 18" xfId="19573" xr:uid="{1A393592-5672-4CF6-9A92-DACE09DDE1FA}"/>
    <cellStyle name="Tulostus 8 19" xfId="19574" xr:uid="{3237448F-7A0B-45D5-9FAF-1F6F7CBD9E3D}"/>
    <cellStyle name="Tulostus 8 2" xfId="19575" xr:uid="{DA9328C0-87BB-4E54-94D9-B4163E6C47CE}"/>
    <cellStyle name="Tulostus 8 3" xfId="19576" xr:uid="{94445565-8048-483D-8E5A-836BB0597BCB}"/>
    <cellStyle name="Tulostus 8 4" xfId="19577" xr:uid="{97E0F80D-B1F1-49CD-8598-0FB20DD92603}"/>
    <cellStyle name="Tulostus 8 5" xfId="19578" xr:uid="{B2C9AA1C-6D51-4AD7-AA3B-ABE789F7569F}"/>
    <cellStyle name="Tulostus 8 6" xfId="19579" xr:uid="{09E6DB21-D90F-4380-9B3B-1F5E7E11CF28}"/>
    <cellStyle name="Tulostus 8 7" xfId="19580" xr:uid="{4E11913C-4E1E-4E95-9BB1-F165A3631C37}"/>
    <cellStyle name="Tulostus 8 8" xfId="19581" xr:uid="{724E438C-5BCF-4881-9BD4-2CAA277F01D7}"/>
    <cellStyle name="Tulostus 8 9" xfId="19582" xr:uid="{6C6DA826-E643-4B6B-A09C-0E8D8A691EF3}"/>
    <cellStyle name="Tulostus 8_2013" xfId="19583" xr:uid="{7A263294-EC5E-40FE-9141-B5B48CBD6F27}"/>
    <cellStyle name="Tulostus 9" xfId="19584" xr:uid="{BBAE1905-A046-41DB-B327-78EB4EF49092}"/>
    <cellStyle name="Tulostus_2013" xfId="19585" xr:uid="{6398AA0C-FD50-4681-A3C3-7F74AFAC5BCC}"/>
    <cellStyle name="Überschrift" xfId="19586" xr:uid="{C8DD3DD0-0FFC-4BD2-A41D-92794D661867}"/>
    <cellStyle name="Überschrift 1" xfId="19587" xr:uid="{FE88DFD1-D4E8-4757-B5D2-E35501378479}"/>
    <cellStyle name="Überschrift 1 2" xfId="19588" xr:uid="{6689F9D3-7940-4A8A-8706-437D0EA84D27}"/>
    <cellStyle name="Überschrift 1_2013" xfId="19589" xr:uid="{0CCBF262-18DC-499E-860D-FBFBA061D789}"/>
    <cellStyle name="Überschrift 2" xfId="19590" xr:uid="{A37FAD21-918C-40F3-B942-A0A088E573EE}"/>
    <cellStyle name="Überschrift 2 2" xfId="19591" xr:uid="{606A340E-A402-4950-B21E-5C2040C513A8}"/>
    <cellStyle name="Überschrift 2_2013" xfId="19592" xr:uid="{C72451C7-80DC-414B-A448-07984C12F0DF}"/>
    <cellStyle name="Überschrift 3" xfId="19593" xr:uid="{2A45B95E-C33E-4BFB-9A0B-6E8047484173}"/>
    <cellStyle name="Überschrift 3 2" xfId="19594" xr:uid="{A70AA1C3-6F31-4315-AF6B-34C4D981CAF0}"/>
    <cellStyle name="Überschrift 3_2013" xfId="19595" xr:uid="{2B3AFE88-1F69-4B3C-BA49-1A445602C10E}"/>
    <cellStyle name="Überschrift 4" xfId="19596" xr:uid="{CBE25289-47AA-4528-96BA-5F1E0E771094}"/>
    <cellStyle name="Überschrift 4 2" xfId="19597" xr:uid="{40F2D0CB-EA09-4A76-9050-0FA48E53A34B}"/>
    <cellStyle name="Überschrift 4_2013" xfId="19598" xr:uid="{663134F9-11A5-4AC5-98A9-B35B5AED5E24}"/>
    <cellStyle name="Überschrift 5" xfId="19599" xr:uid="{03502638-F022-4A82-871B-87B6C3711CC2}"/>
    <cellStyle name="Überschrift_2013" xfId="19600" xr:uid="{A2153F7E-FBD6-4484-A965-38BEE8795217}"/>
    <cellStyle name="Valore non valido" xfId="19601" xr:uid="{9EE81A9B-018C-468B-9950-F238733A585E}"/>
    <cellStyle name="Valore valido" xfId="19602" xr:uid="{960F3A0F-C208-4D55-83FD-00E32732D136}"/>
    <cellStyle name="Valuation" xfId="19603" xr:uid="{2C31BD7B-717F-42A0-B827-2EF5DD207B66}"/>
    <cellStyle name="Variable" xfId="19604" xr:uid="{D0CA3865-41A2-4966-8BBD-0FEEAD7E56C8}"/>
    <cellStyle name="Varoitusteksti" xfId="19605" xr:uid="{C509E713-998E-4721-83E8-375B80C68608}"/>
    <cellStyle name="Varoitusteksti 2" xfId="19606" xr:uid="{62048BE1-C2EF-4D8A-8A32-8713A1992FE0}"/>
    <cellStyle name="Varoitusteksti_2013" xfId="19607" xr:uid="{DD491951-20CB-4F5E-9E22-260F77AD2415}"/>
    <cellStyle name="Verificar Célula" xfId="19608" xr:uid="{32ED27D0-0FC0-494A-8C2B-98A2582C2902}"/>
    <cellStyle name="Verificar Célula 2" xfId="19609" xr:uid="{03EA4D3D-F847-4B53-84DB-0D177E89F291}"/>
    <cellStyle name="Verificar Célula_2013" xfId="19610" xr:uid="{B0A2F6A5-6046-4F5C-BDDA-C84A861D3D41}"/>
    <cellStyle name="Verknüpfte Zelle" xfId="19611" xr:uid="{5DFF04B8-E4AB-4169-940E-A583E0F829AC}"/>
    <cellStyle name="Verknüpfte Zelle 2" xfId="19612" xr:uid="{C67F43E8-23FC-42F6-8322-1C40945F7CD6}"/>
    <cellStyle name="Verknüpfte Zelle_2013" xfId="19613" xr:uid="{B06A5827-5529-4969-901E-A64477A67335}"/>
    <cellStyle name="VodaInput" xfId="19614" xr:uid="{9858E34D-15DB-4D13-B5A2-7A32F2445F8F}"/>
    <cellStyle name="Währung_Cross Sales Format for Heide Park" xfId="19615" xr:uid="{51804C2F-D920-4B27-B507-C8637E46345F}"/>
    <cellStyle name="Warnender Text" xfId="19616" xr:uid="{289993EB-81C1-4343-AB01-7620F36BB6A0}"/>
    <cellStyle name="Warnender Text 2" xfId="19617" xr:uid="{A1CA3D1D-2041-4595-9605-BEA3CE6594C5}"/>
    <cellStyle name="Warnender Text_2013" xfId="19618" xr:uid="{F8B22851-C8D0-47E5-8CCE-11BC24E93275}"/>
    <cellStyle name="Warning Text 2" xfId="19619" xr:uid="{861C0E04-4FFF-4C3F-995A-FCE36BFD82EF}"/>
    <cellStyle name="Warning Text 2 2" xfId="19620" xr:uid="{BF51E3F6-3B83-478D-9F55-55BBEFBC11EF}"/>
    <cellStyle name="Warning Text 2 2 2" xfId="19621" xr:uid="{E45B5379-017B-46D2-928E-42BAA7993F0C}"/>
    <cellStyle name="Warning Text 2 2_2013" xfId="19622" xr:uid="{1843657F-CB89-42DF-BD86-5F9C4ACDEC83}"/>
    <cellStyle name="Warning Text 2 3" xfId="19623" xr:uid="{F1EEF0D1-1DE8-4BC7-A659-63BEE71D13E2}"/>
    <cellStyle name="Warning Text 2 3 2" xfId="19624" xr:uid="{B8F52AAF-4977-4CFB-B925-4835F416D0A5}"/>
    <cellStyle name="Warning Text 2 3 3" xfId="19625" xr:uid="{521E7F0C-8E5B-41D0-8B31-7BB956DFFEDF}"/>
    <cellStyle name="Warning Text 2 3_2013" xfId="19626" xr:uid="{0FF56D38-B16D-497C-BEE1-579229C5B2C4}"/>
    <cellStyle name="Warning Text 2 4" xfId="19627" xr:uid="{702D36A6-D887-46F0-B162-69A153523DF6}"/>
    <cellStyle name="Warning Text 2 5" xfId="19628" xr:uid="{342C5768-0AD7-49EF-8A64-97083B63B8D7}"/>
    <cellStyle name="Warning Text 2_2013" xfId="19629" xr:uid="{B95ED802-AF82-4E53-9C65-566CA88FBFBD}"/>
    <cellStyle name="Warning Text 3" xfId="19630" xr:uid="{623CB70B-7F20-4D20-ADBC-279C98D734C7}"/>
    <cellStyle name="Zelle überprüfen" xfId="19631" xr:uid="{4F9E5253-C549-4030-A182-CC9CE877B5B5}"/>
    <cellStyle name="Zelle überprüfen 2" xfId="19632" xr:uid="{BDFBD67A-9231-4515-87D4-A8A71DA9147C}"/>
    <cellStyle name="Zelle überprüfen_2013" xfId="19633" xr:uid="{A014F884-E162-4640-A690-1670E38543F7}"/>
  </cellStyles>
  <dxfs count="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CWOA%20-%202026%20Live%20Resource%20Model%20-%20Central%20Zone%20(Nexus).xlsm" TargetMode="External"/><Relationship Id="rId2" Type="http://schemas.openxmlformats.org/officeDocument/2006/relationships/externalLinkPath" Target="file:///C:\Users\egurling\Downloads\CWOA%20-%202026%20Live%20Resource%20Model%20-%20Central%20Zone%20(Nexus).xlsm" TargetMode="External"/><Relationship Id="rId1" Type="http://schemas.openxmlformats.org/officeDocument/2006/relationships/externalLinkPath" Target="/Users/egurling/Downloads/CWOA%20-%202026%20Live%20Resource%20Model%20-%20Central%20Zone%20(Nexus).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break-scheduler-v6/break-scheduler/backend/zone-data/Central_Zone.xlsm" TargetMode="External"/><Relationship Id="rId2" Type="http://schemas.openxmlformats.org/officeDocument/2006/relationships/externalLinkPath" Target="file:///C:\Users\egurling\Downloads\break-scheduler-v6\break-scheduler\backend\zone-data\Central_Zone.xlsm" TargetMode="External"/><Relationship Id="rId1" Type="http://schemas.openxmlformats.org/officeDocument/2006/relationships/externalLinkPath" Target="/Users/egurling/Downloads/break-scheduler-v6/break-scheduler/backend/zone-data/Central_Zon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de Mapping"/>
      <sheetName val="Master File"/>
      <sheetName val="Control Sheet"/>
      <sheetName val="Scheduling"/>
      <sheetName val="Closed Days"/>
      <sheetName val="TimePlan"/>
      <sheetName val="Prep"/>
      <sheetName val="Export"/>
      <sheetName val="Change Log"/>
      <sheetName val="Summary"/>
      <sheetName val="Headcount x Day x Unit"/>
      <sheetName val="Headcount x Day x Function"/>
      <sheetName val="Hours x Day x Unit"/>
      <sheetName val="Basic Cost x Day x Unit"/>
      <sheetName val="Hours Detail by Period"/>
      <sheetName val="Cost Detail by Period"/>
      <sheetName val="Cost x Period x Type"/>
      <sheetName val="Training"/>
    </sheetNames>
    <sheetDataSet>
      <sheetData sheetId="0"/>
      <sheetData sheetId="1">
        <row r="5">
          <cell r="B5">
            <v>46019</v>
          </cell>
          <cell r="C5" t="str">
            <v>WT Post Xmas</v>
          </cell>
          <cell r="E5" t="str">
            <v>A</v>
          </cell>
          <cell r="F5" t="str">
            <v>Lodge 4PM</v>
          </cell>
          <cell r="G5" t="str">
            <v>Lodge 4PM</v>
          </cell>
          <cell r="H5" t="str">
            <v>&lt;3,000 | Lodge Entrance | 4pm Close</v>
          </cell>
          <cell r="I5">
            <v>1</v>
          </cell>
        </row>
        <row r="6">
          <cell r="B6">
            <v>46020</v>
          </cell>
          <cell r="C6" t="str">
            <v>WT Post Xmas</v>
          </cell>
          <cell r="E6" t="str">
            <v>B</v>
          </cell>
          <cell r="F6" t="str">
            <v>Lodge 5PM</v>
          </cell>
          <cell r="G6" t="str">
            <v>Lodge 5PM</v>
          </cell>
          <cell r="H6" t="str">
            <v>&lt;3,000 | Lodge Entrance | 5pm Close</v>
          </cell>
          <cell r="I6">
            <v>49</v>
          </cell>
        </row>
        <row r="7">
          <cell r="B7">
            <v>46021</v>
          </cell>
          <cell r="C7" t="str">
            <v>WT Post Xmas</v>
          </cell>
          <cell r="E7" t="str">
            <v>C</v>
          </cell>
          <cell r="F7" t="str">
            <v>Lodge + 5PM</v>
          </cell>
          <cell r="G7" t="str">
            <v>Lodge + 5PM</v>
          </cell>
          <cell r="H7" t="str">
            <v>Up to 4000 | Lodge Entrance | 5pm Close</v>
          </cell>
          <cell r="I7">
            <v>0</v>
          </cell>
        </row>
        <row r="8">
          <cell r="B8">
            <v>46022</v>
          </cell>
          <cell r="C8" t="str">
            <v>WT Post Xmas</v>
          </cell>
          <cell r="E8" t="str">
            <v>D</v>
          </cell>
          <cell r="F8" t="str">
            <v>Lodge + Sch Exp</v>
          </cell>
          <cell r="G8" t="str">
            <v>Lodge + Sch Exp</v>
          </cell>
          <cell r="H8" t="str">
            <v>4,000-8,000 | Day Guests Lodge; Schools to Explorer Entrance | 5pm Close</v>
          </cell>
          <cell r="I8">
            <v>10</v>
          </cell>
        </row>
        <row r="9">
          <cell r="B9">
            <v>46023</v>
          </cell>
          <cell r="C9" t="str">
            <v>Zoo</v>
          </cell>
          <cell r="E9" t="str">
            <v>E</v>
          </cell>
          <cell r="F9" t="str">
            <v>Explorer 5PM</v>
          </cell>
          <cell r="G9" t="str">
            <v>Explorer 5PM</v>
          </cell>
          <cell r="H9" t="str">
            <v>4,000-8,000 | Explorer Entrance | 5pm Close</v>
          </cell>
          <cell r="I9">
            <v>55</v>
          </cell>
        </row>
        <row r="10">
          <cell r="B10">
            <v>46024</v>
          </cell>
          <cell r="C10" t="str">
            <v>Zoo</v>
          </cell>
          <cell r="E10" t="str">
            <v>F</v>
          </cell>
          <cell r="F10" t="str">
            <v>Explorer 6PM</v>
          </cell>
          <cell r="G10" t="str">
            <v>Explorer 6PM</v>
          </cell>
          <cell r="H10" t="str">
            <v>4,000-8,000 | Explorer Entrance | 6pm Close</v>
          </cell>
          <cell r="I10">
            <v>42</v>
          </cell>
        </row>
        <row r="11">
          <cell r="B11">
            <v>46025</v>
          </cell>
          <cell r="C11" t="str">
            <v>Zoo</v>
          </cell>
          <cell r="E11" t="str">
            <v>G</v>
          </cell>
          <cell r="F11" t="str">
            <v>Explorer + 5PM</v>
          </cell>
          <cell r="G11" t="str">
            <v>Explorer + 5PM</v>
          </cell>
          <cell r="H11" t="str">
            <v>8,000-10,000 | Explorer Entrance | 5pm Close</v>
          </cell>
          <cell r="I11">
            <v>10</v>
          </cell>
        </row>
        <row r="12">
          <cell r="B12">
            <v>46026</v>
          </cell>
          <cell r="C12" t="str">
            <v>Zoo</v>
          </cell>
          <cell r="E12" t="str">
            <v>H</v>
          </cell>
          <cell r="F12" t="str">
            <v>Explorer + 6PM</v>
          </cell>
          <cell r="G12" t="str">
            <v>Explorer + 6PM</v>
          </cell>
          <cell r="H12" t="str">
            <v>8,000-10,000 | Explorer Entrance | 6pm Close</v>
          </cell>
          <cell r="I12">
            <v>36</v>
          </cell>
        </row>
        <row r="13">
          <cell r="B13">
            <v>46027</v>
          </cell>
          <cell r="C13" t="str">
            <v>Closed</v>
          </cell>
          <cell r="E13" t="str">
            <v>I</v>
          </cell>
          <cell r="F13" t="str">
            <v>Explorer + 7PM</v>
          </cell>
          <cell r="G13" t="str">
            <v>Explorer + 7PM</v>
          </cell>
          <cell r="H13" t="str">
            <v>8,000-10,000 | Explorer Entrance | 7pm Close</v>
          </cell>
          <cell r="I13">
            <v>10</v>
          </cell>
        </row>
        <row r="14">
          <cell r="B14">
            <v>46028</v>
          </cell>
          <cell r="C14" t="str">
            <v>Closed</v>
          </cell>
          <cell r="E14" t="str">
            <v>J</v>
          </cell>
          <cell r="F14" t="str">
            <v>Zoo</v>
          </cell>
          <cell r="G14" t="str">
            <v>Zoo</v>
          </cell>
          <cell r="H14" t="str">
            <v>Up to 2,000 | Lodge Entrance | 3pm Close</v>
          </cell>
          <cell r="I14">
            <v>28</v>
          </cell>
        </row>
        <row r="15">
          <cell r="B15">
            <v>46029</v>
          </cell>
          <cell r="C15" t="str">
            <v>Closed</v>
          </cell>
          <cell r="E15" t="str">
            <v>K</v>
          </cell>
          <cell r="F15" t="str">
            <v>WT Off-Peak</v>
          </cell>
          <cell r="G15" t="str">
            <v>WT Off-Peak</v>
          </cell>
          <cell r="H15" t="str">
            <v>Up to 1,750 | Lodge Entrance | 3pm Close</v>
          </cell>
          <cell r="I15">
            <v>8</v>
          </cell>
        </row>
        <row r="16">
          <cell r="B16">
            <v>46030</v>
          </cell>
          <cell r="C16" t="str">
            <v>Closed</v>
          </cell>
          <cell r="E16" t="str">
            <v>L</v>
          </cell>
          <cell r="F16" t="str">
            <v>WT Peak</v>
          </cell>
          <cell r="G16" t="str">
            <v>WT Peak</v>
          </cell>
          <cell r="H16" t="str">
            <v>Up to 3,500 | Lodge Entrance | 5pm Close</v>
          </cell>
          <cell r="I16">
            <v>12</v>
          </cell>
        </row>
        <row r="17">
          <cell r="B17">
            <v>46031</v>
          </cell>
          <cell r="C17" t="str">
            <v>Closed</v>
          </cell>
          <cell r="E17" t="str">
            <v>M</v>
          </cell>
          <cell r="F17" t="str">
            <v>WT Peak+</v>
          </cell>
          <cell r="G17"/>
          <cell r="H17" t="str">
            <v>Up to 3,500 | Lodge Entrance | 6:30 pm Close</v>
          </cell>
          <cell r="I17">
            <v>0</v>
          </cell>
        </row>
        <row r="18">
          <cell r="B18">
            <v>46032</v>
          </cell>
          <cell r="C18" t="str">
            <v>Zoo</v>
          </cell>
          <cell r="E18" t="str">
            <v>N</v>
          </cell>
          <cell r="F18" t="str">
            <v>WT Post Xmas</v>
          </cell>
          <cell r="G18" t="str">
            <v>WT Post Xmas</v>
          </cell>
          <cell r="H18" t="str">
            <v>Up to 3,000 | Lodge Entrance | 3pm Close</v>
          </cell>
          <cell r="I18">
            <v>4</v>
          </cell>
        </row>
        <row r="19">
          <cell r="B19">
            <v>46033</v>
          </cell>
          <cell r="C19" t="str">
            <v>Zoo</v>
          </cell>
          <cell r="E19" t="str">
            <v>O</v>
          </cell>
          <cell r="F19" t="str">
            <v>Closed</v>
          </cell>
          <cell r="G19" t="str">
            <v>Closed</v>
          </cell>
          <cell r="H19"/>
          <cell r="I19">
            <v>99</v>
          </cell>
        </row>
        <row r="20">
          <cell r="B20">
            <v>46034</v>
          </cell>
          <cell r="C20" t="str">
            <v>Closed</v>
          </cell>
          <cell r="E20" t="str">
            <v>P</v>
          </cell>
          <cell r="F20"/>
          <cell r="G20"/>
          <cell r="H20"/>
          <cell r="I20">
            <v>0</v>
          </cell>
        </row>
        <row r="21">
          <cell r="B21">
            <v>46035</v>
          </cell>
          <cell r="C21" t="str">
            <v>Closed</v>
          </cell>
          <cell r="E21" t="str">
            <v>Q</v>
          </cell>
          <cell r="F21"/>
          <cell r="G21"/>
          <cell r="H21"/>
          <cell r="I21">
            <v>0</v>
          </cell>
        </row>
        <row r="22">
          <cell r="B22">
            <v>46036</v>
          </cell>
          <cell r="C22" t="str">
            <v>Closed</v>
          </cell>
          <cell r="E22" t="str">
            <v>R</v>
          </cell>
          <cell r="F22"/>
          <cell r="G22"/>
          <cell r="H22"/>
          <cell r="I22">
            <v>0</v>
          </cell>
        </row>
        <row r="23">
          <cell r="B23">
            <v>46037</v>
          </cell>
          <cell r="C23" t="str">
            <v>Closed</v>
          </cell>
          <cell r="E23" t="str">
            <v>S</v>
          </cell>
          <cell r="F23"/>
          <cell r="G23"/>
          <cell r="H23"/>
          <cell r="I23">
            <v>0</v>
          </cell>
        </row>
        <row r="24">
          <cell r="B24">
            <v>46038</v>
          </cell>
          <cell r="C24" t="str">
            <v>Closed</v>
          </cell>
          <cell r="E24" t="str">
            <v>T</v>
          </cell>
          <cell r="F24"/>
          <cell r="G24"/>
          <cell r="H24"/>
          <cell r="I24">
            <v>0</v>
          </cell>
        </row>
        <row r="25">
          <cell r="B25">
            <v>46039</v>
          </cell>
          <cell r="C25" t="str">
            <v>Zoo</v>
          </cell>
          <cell r="E25" t="str">
            <v>U</v>
          </cell>
          <cell r="F25"/>
          <cell r="G25"/>
          <cell r="H25"/>
          <cell r="I25">
            <v>0</v>
          </cell>
        </row>
        <row r="26">
          <cell r="B26">
            <v>46040</v>
          </cell>
          <cell r="C26" t="str">
            <v>Zoo</v>
          </cell>
          <cell r="E26" t="str">
            <v>V</v>
          </cell>
          <cell r="F26"/>
          <cell r="G26"/>
          <cell r="H26"/>
          <cell r="I26">
            <v>0</v>
          </cell>
        </row>
        <row r="27">
          <cell r="B27">
            <v>46041</v>
          </cell>
          <cell r="C27" t="str">
            <v>Closed</v>
          </cell>
          <cell r="E27" t="str">
            <v>W</v>
          </cell>
          <cell r="F27"/>
          <cell r="G27"/>
          <cell r="H27"/>
          <cell r="I27">
            <v>0</v>
          </cell>
        </row>
        <row r="28">
          <cell r="B28">
            <v>46042</v>
          </cell>
          <cell r="C28" t="str">
            <v>Closed</v>
          </cell>
          <cell r="E28" t="str">
            <v>X</v>
          </cell>
          <cell r="F28"/>
          <cell r="G28"/>
          <cell r="H28"/>
          <cell r="I28">
            <v>0</v>
          </cell>
        </row>
        <row r="29">
          <cell r="B29">
            <v>46043</v>
          </cell>
          <cell r="C29" t="str">
            <v>Closed</v>
          </cell>
          <cell r="E29" t="str">
            <v>Y</v>
          </cell>
          <cell r="F29"/>
          <cell r="G29"/>
          <cell r="H29"/>
          <cell r="I29">
            <v>0</v>
          </cell>
        </row>
        <row r="30">
          <cell r="B30">
            <v>46044</v>
          </cell>
          <cell r="C30" t="str">
            <v>Closed</v>
          </cell>
          <cell r="E30" t="str">
            <v>Z</v>
          </cell>
          <cell r="F30"/>
          <cell r="G30"/>
          <cell r="H30"/>
          <cell r="I30">
            <v>0</v>
          </cell>
        </row>
        <row r="31">
          <cell r="B31">
            <v>46045</v>
          </cell>
          <cell r="C31" t="str">
            <v>Closed</v>
          </cell>
        </row>
        <row r="32">
          <cell r="B32">
            <v>46046</v>
          </cell>
          <cell r="C32" t="str">
            <v>Zoo</v>
          </cell>
        </row>
        <row r="33">
          <cell r="B33">
            <v>46047</v>
          </cell>
          <cell r="C33" t="str">
            <v>Zoo</v>
          </cell>
        </row>
        <row r="34">
          <cell r="B34">
            <v>46048</v>
          </cell>
          <cell r="C34" t="str">
            <v>Closed</v>
          </cell>
        </row>
        <row r="35">
          <cell r="B35">
            <v>46049</v>
          </cell>
          <cell r="C35" t="str">
            <v>Closed</v>
          </cell>
        </row>
        <row r="36">
          <cell r="B36">
            <v>46050</v>
          </cell>
          <cell r="C36" t="str">
            <v>Closed</v>
          </cell>
        </row>
        <row r="37">
          <cell r="B37">
            <v>46051</v>
          </cell>
          <cell r="C37" t="str">
            <v>Closed</v>
          </cell>
        </row>
        <row r="38">
          <cell r="B38">
            <v>46052</v>
          </cell>
          <cell r="C38" t="str">
            <v>Closed</v>
          </cell>
        </row>
        <row r="39">
          <cell r="B39">
            <v>46053</v>
          </cell>
          <cell r="C39" t="str">
            <v>Zoo</v>
          </cell>
        </row>
        <row r="40">
          <cell r="B40">
            <v>46054</v>
          </cell>
          <cell r="C40" t="str">
            <v>Zoo</v>
          </cell>
        </row>
        <row r="41">
          <cell r="B41">
            <v>46055</v>
          </cell>
          <cell r="C41" t="str">
            <v>Closed</v>
          </cell>
        </row>
        <row r="42">
          <cell r="B42">
            <v>46056</v>
          </cell>
          <cell r="C42" t="str">
            <v>Closed</v>
          </cell>
        </row>
        <row r="43">
          <cell r="B43">
            <v>46057</v>
          </cell>
          <cell r="C43" t="str">
            <v>Closed</v>
          </cell>
        </row>
        <row r="44">
          <cell r="B44">
            <v>46058</v>
          </cell>
          <cell r="C44" t="str">
            <v>Closed</v>
          </cell>
        </row>
        <row r="45">
          <cell r="B45">
            <v>46059</v>
          </cell>
          <cell r="C45" t="str">
            <v>Closed</v>
          </cell>
        </row>
        <row r="46">
          <cell r="B46">
            <v>46060</v>
          </cell>
          <cell r="C46" t="str">
            <v>Zoo</v>
          </cell>
        </row>
        <row r="47">
          <cell r="B47">
            <v>46061</v>
          </cell>
          <cell r="C47" t="str">
            <v>Zoo</v>
          </cell>
        </row>
        <row r="48">
          <cell r="B48">
            <v>46062</v>
          </cell>
          <cell r="C48" t="str">
            <v>Closed</v>
          </cell>
        </row>
        <row r="49">
          <cell r="B49">
            <v>46063</v>
          </cell>
          <cell r="C49" t="str">
            <v>Closed</v>
          </cell>
        </row>
        <row r="50">
          <cell r="B50">
            <v>46064</v>
          </cell>
          <cell r="C50" t="str">
            <v>Closed</v>
          </cell>
        </row>
        <row r="51">
          <cell r="B51">
            <v>46065</v>
          </cell>
          <cell r="C51" t="str">
            <v>Closed</v>
          </cell>
        </row>
        <row r="52">
          <cell r="B52">
            <v>46066</v>
          </cell>
          <cell r="C52" t="str">
            <v>Zoo</v>
          </cell>
        </row>
        <row r="53">
          <cell r="B53">
            <v>46067</v>
          </cell>
          <cell r="C53" t="str">
            <v>Zoo</v>
          </cell>
        </row>
        <row r="54">
          <cell r="B54">
            <v>46068</v>
          </cell>
          <cell r="C54" t="str">
            <v>Zoo</v>
          </cell>
        </row>
        <row r="55">
          <cell r="B55">
            <v>46069</v>
          </cell>
          <cell r="C55" t="str">
            <v>Zoo</v>
          </cell>
        </row>
        <row r="56">
          <cell r="B56">
            <v>46070</v>
          </cell>
          <cell r="C56" t="str">
            <v>Zoo</v>
          </cell>
        </row>
        <row r="57">
          <cell r="B57">
            <v>46071</v>
          </cell>
          <cell r="C57" t="str">
            <v>Zoo</v>
          </cell>
        </row>
        <row r="58">
          <cell r="B58">
            <v>46072</v>
          </cell>
          <cell r="C58" t="str">
            <v>Zoo</v>
          </cell>
        </row>
        <row r="59">
          <cell r="B59">
            <v>46073</v>
          </cell>
          <cell r="C59" t="str">
            <v>Zoo</v>
          </cell>
        </row>
        <row r="60">
          <cell r="B60">
            <v>46074</v>
          </cell>
          <cell r="C60" t="str">
            <v>Zoo</v>
          </cell>
        </row>
        <row r="61">
          <cell r="B61">
            <v>46075</v>
          </cell>
          <cell r="C61" t="str">
            <v>Zoo</v>
          </cell>
        </row>
        <row r="62">
          <cell r="B62">
            <v>46076</v>
          </cell>
          <cell r="C62" t="str">
            <v>Closed</v>
          </cell>
        </row>
        <row r="63">
          <cell r="B63">
            <v>46077</v>
          </cell>
          <cell r="C63" t="str">
            <v>Closed</v>
          </cell>
        </row>
        <row r="64">
          <cell r="B64">
            <v>46078</v>
          </cell>
          <cell r="C64" t="str">
            <v>Closed</v>
          </cell>
        </row>
        <row r="65">
          <cell r="B65">
            <v>46079</v>
          </cell>
          <cell r="C65" t="str">
            <v>Closed</v>
          </cell>
        </row>
        <row r="66">
          <cell r="B66">
            <v>46080</v>
          </cell>
          <cell r="C66" t="str">
            <v>Closed</v>
          </cell>
        </row>
        <row r="67">
          <cell r="B67">
            <v>46081</v>
          </cell>
          <cell r="C67" t="str">
            <v>Zoo</v>
          </cell>
        </row>
        <row r="68">
          <cell r="B68">
            <v>46082</v>
          </cell>
          <cell r="C68" t="str">
            <v>Zoo</v>
          </cell>
        </row>
        <row r="69">
          <cell r="B69">
            <v>46083</v>
          </cell>
          <cell r="C69" t="str">
            <v>Closed</v>
          </cell>
        </row>
        <row r="70">
          <cell r="B70">
            <v>46084</v>
          </cell>
          <cell r="C70" t="str">
            <v>Closed</v>
          </cell>
        </row>
        <row r="71">
          <cell r="B71">
            <v>46085</v>
          </cell>
          <cell r="C71" t="str">
            <v>Closed</v>
          </cell>
        </row>
        <row r="72">
          <cell r="B72">
            <v>46086</v>
          </cell>
          <cell r="C72" t="str">
            <v>Closed</v>
          </cell>
        </row>
        <row r="73">
          <cell r="B73">
            <v>46087</v>
          </cell>
          <cell r="C73" t="str">
            <v>Closed</v>
          </cell>
        </row>
        <row r="74">
          <cell r="B74">
            <v>46088</v>
          </cell>
          <cell r="C74" t="str">
            <v>Zoo</v>
          </cell>
        </row>
        <row r="75">
          <cell r="B75">
            <v>46089</v>
          </cell>
          <cell r="C75" t="str">
            <v>Zoo</v>
          </cell>
        </row>
        <row r="76">
          <cell r="B76">
            <v>46090</v>
          </cell>
          <cell r="C76" t="str">
            <v>Closed</v>
          </cell>
        </row>
        <row r="77">
          <cell r="B77">
            <v>46091</v>
          </cell>
          <cell r="C77" t="str">
            <v>Closed</v>
          </cell>
        </row>
        <row r="78">
          <cell r="B78">
            <v>46092</v>
          </cell>
          <cell r="C78" t="str">
            <v>Closed</v>
          </cell>
        </row>
        <row r="79">
          <cell r="B79">
            <v>46093</v>
          </cell>
          <cell r="C79" t="str">
            <v>Closed</v>
          </cell>
        </row>
        <row r="80">
          <cell r="B80">
            <v>46094</v>
          </cell>
          <cell r="C80" t="str">
            <v>Closed</v>
          </cell>
        </row>
        <row r="81">
          <cell r="B81">
            <v>46095</v>
          </cell>
          <cell r="C81" t="str">
            <v>Lodge 4PM</v>
          </cell>
        </row>
        <row r="82">
          <cell r="B82">
            <v>46096</v>
          </cell>
          <cell r="C82" t="str">
            <v>Explorer 5PM</v>
          </cell>
        </row>
        <row r="83">
          <cell r="B83">
            <v>46097</v>
          </cell>
          <cell r="C83" t="str">
            <v>Closed</v>
          </cell>
        </row>
        <row r="84">
          <cell r="B84">
            <v>46098</v>
          </cell>
          <cell r="C84" t="str">
            <v>Closed</v>
          </cell>
        </row>
        <row r="85">
          <cell r="B85">
            <v>46099</v>
          </cell>
          <cell r="C85" t="str">
            <v>Closed</v>
          </cell>
        </row>
        <row r="86">
          <cell r="B86">
            <v>46100</v>
          </cell>
          <cell r="C86" t="str">
            <v>Closed</v>
          </cell>
        </row>
        <row r="87">
          <cell r="B87">
            <v>46101</v>
          </cell>
          <cell r="C87" t="str">
            <v>Explorer 5PM</v>
          </cell>
        </row>
        <row r="88">
          <cell r="B88">
            <v>46102</v>
          </cell>
          <cell r="C88" t="str">
            <v>Explorer 5PM</v>
          </cell>
        </row>
        <row r="89">
          <cell r="B89">
            <v>46103</v>
          </cell>
          <cell r="C89" t="str">
            <v>Explorer 5PM</v>
          </cell>
        </row>
        <row r="90">
          <cell r="B90">
            <v>46104</v>
          </cell>
          <cell r="C90" t="str">
            <v>Lodge 5PM</v>
          </cell>
        </row>
        <row r="91">
          <cell r="B91">
            <v>46105</v>
          </cell>
          <cell r="C91" t="str">
            <v>Closed</v>
          </cell>
        </row>
        <row r="92">
          <cell r="B92">
            <v>46106</v>
          </cell>
          <cell r="C92" t="str">
            <v>Closed</v>
          </cell>
        </row>
        <row r="93">
          <cell r="B93">
            <v>46107</v>
          </cell>
          <cell r="C93" t="str">
            <v>Explorer + 5PM</v>
          </cell>
        </row>
        <row r="94">
          <cell r="B94">
            <v>46108</v>
          </cell>
          <cell r="C94" t="str">
            <v>Explorer 5PM</v>
          </cell>
        </row>
        <row r="95">
          <cell r="B95">
            <v>46109</v>
          </cell>
          <cell r="C95" t="str">
            <v>Explorer 5PM</v>
          </cell>
        </row>
        <row r="96">
          <cell r="B96">
            <v>46110</v>
          </cell>
          <cell r="C96" t="str">
            <v>Explorer 5PM</v>
          </cell>
        </row>
        <row r="97">
          <cell r="B97">
            <v>46111</v>
          </cell>
          <cell r="C97" t="str">
            <v>Explorer 5PM</v>
          </cell>
        </row>
        <row r="98">
          <cell r="B98">
            <v>46112</v>
          </cell>
          <cell r="C98" t="str">
            <v>Explorer 5PM</v>
          </cell>
        </row>
        <row r="99">
          <cell r="B99">
            <v>46113</v>
          </cell>
          <cell r="C99" t="str">
            <v>Explorer 5PM</v>
          </cell>
        </row>
        <row r="100">
          <cell r="B100">
            <v>46114</v>
          </cell>
          <cell r="C100" t="str">
            <v>Explorer 5PM</v>
          </cell>
        </row>
        <row r="101">
          <cell r="B101">
            <v>46115</v>
          </cell>
          <cell r="C101" t="str">
            <v>Explorer + 6PM</v>
          </cell>
        </row>
        <row r="102">
          <cell r="B102">
            <v>46116</v>
          </cell>
          <cell r="C102" t="str">
            <v>Explorer + 6PM</v>
          </cell>
        </row>
        <row r="103">
          <cell r="B103">
            <v>46117</v>
          </cell>
          <cell r="C103" t="str">
            <v>Explorer 6PM</v>
          </cell>
        </row>
        <row r="104">
          <cell r="B104">
            <v>46118</v>
          </cell>
          <cell r="C104" t="str">
            <v>Explorer 6PM</v>
          </cell>
        </row>
        <row r="105">
          <cell r="B105">
            <v>46119</v>
          </cell>
          <cell r="C105" t="str">
            <v>Explorer 6PM</v>
          </cell>
        </row>
        <row r="106">
          <cell r="B106">
            <v>46120</v>
          </cell>
          <cell r="C106" t="str">
            <v>Explorer + 6PM</v>
          </cell>
        </row>
        <row r="107">
          <cell r="B107">
            <v>46121</v>
          </cell>
          <cell r="C107" t="str">
            <v>Explorer + 6PM</v>
          </cell>
        </row>
        <row r="108">
          <cell r="B108">
            <v>46122</v>
          </cell>
          <cell r="C108" t="str">
            <v>Explorer + 6PM</v>
          </cell>
        </row>
        <row r="109">
          <cell r="B109">
            <v>46123</v>
          </cell>
          <cell r="C109" t="str">
            <v>Explorer + 6PM</v>
          </cell>
        </row>
        <row r="110">
          <cell r="B110">
            <v>46124</v>
          </cell>
          <cell r="C110" t="str">
            <v>Explorer 6PM</v>
          </cell>
        </row>
        <row r="111">
          <cell r="B111">
            <v>46125</v>
          </cell>
          <cell r="C111" t="str">
            <v>Explorer 5PM</v>
          </cell>
        </row>
        <row r="112">
          <cell r="B112">
            <v>46126</v>
          </cell>
          <cell r="C112" t="str">
            <v>Closed</v>
          </cell>
        </row>
        <row r="113">
          <cell r="B113">
            <v>46127</v>
          </cell>
          <cell r="C113" t="str">
            <v>Closed</v>
          </cell>
        </row>
        <row r="114">
          <cell r="B114">
            <v>46128</v>
          </cell>
          <cell r="C114" t="str">
            <v>Lodge 5PM</v>
          </cell>
        </row>
        <row r="115">
          <cell r="B115">
            <v>46129</v>
          </cell>
          <cell r="C115" t="str">
            <v>Lodge 5PM</v>
          </cell>
        </row>
        <row r="116">
          <cell r="B116">
            <v>46130</v>
          </cell>
          <cell r="C116" t="str">
            <v>Explorer 5PM</v>
          </cell>
        </row>
        <row r="117">
          <cell r="B117">
            <v>46131</v>
          </cell>
          <cell r="C117" t="str">
            <v>Explorer 5PM</v>
          </cell>
        </row>
        <row r="118">
          <cell r="B118">
            <v>46132</v>
          </cell>
          <cell r="C118" t="str">
            <v>Explorer 5PM</v>
          </cell>
        </row>
        <row r="119">
          <cell r="B119">
            <v>46133</v>
          </cell>
          <cell r="C119" t="str">
            <v>Closed</v>
          </cell>
        </row>
        <row r="120">
          <cell r="B120">
            <v>46134</v>
          </cell>
          <cell r="C120" t="str">
            <v>Closed</v>
          </cell>
        </row>
        <row r="121">
          <cell r="B121">
            <v>46135</v>
          </cell>
          <cell r="C121" t="str">
            <v>Lodge 5PM</v>
          </cell>
        </row>
        <row r="122">
          <cell r="B122">
            <v>46136</v>
          </cell>
          <cell r="C122" t="str">
            <v>Lodge 5PM</v>
          </cell>
        </row>
        <row r="123">
          <cell r="B123">
            <v>46137</v>
          </cell>
          <cell r="C123" t="str">
            <v>Explorer 5PM</v>
          </cell>
        </row>
        <row r="124">
          <cell r="B124">
            <v>46138</v>
          </cell>
          <cell r="C124" t="str">
            <v>Explorer 5PM</v>
          </cell>
        </row>
        <row r="125">
          <cell r="B125">
            <v>46139</v>
          </cell>
          <cell r="C125" t="str">
            <v>Lodge 5PM</v>
          </cell>
        </row>
        <row r="126">
          <cell r="B126">
            <v>46140</v>
          </cell>
          <cell r="C126" t="str">
            <v>Closed</v>
          </cell>
        </row>
        <row r="127">
          <cell r="B127">
            <v>46141</v>
          </cell>
          <cell r="C127" t="str">
            <v>Closed</v>
          </cell>
        </row>
        <row r="128">
          <cell r="B128">
            <v>46142</v>
          </cell>
          <cell r="C128" t="str">
            <v>Lodge 5PM</v>
          </cell>
        </row>
        <row r="129">
          <cell r="B129">
            <v>46143</v>
          </cell>
          <cell r="C129" t="str">
            <v>Lodge 5PM</v>
          </cell>
        </row>
        <row r="130">
          <cell r="B130">
            <v>46144</v>
          </cell>
          <cell r="C130" t="str">
            <v>Explorer + 6PM</v>
          </cell>
        </row>
        <row r="131">
          <cell r="B131">
            <v>46145</v>
          </cell>
          <cell r="C131" t="str">
            <v>Explorer 6PM</v>
          </cell>
        </row>
        <row r="132">
          <cell r="B132">
            <v>46146</v>
          </cell>
          <cell r="C132" t="str">
            <v>Explorer 6PM</v>
          </cell>
        </row>
        <row r="133">
          <cell r="B133">
            <v>46147</v>
          </cell>
          <cell r="C133" t="str">
            <v>Lodge 5PM</v>
          </cell>
        </row>
        <row r="134">
          <cell r="B134">
            <v>46148</v>
          </cell>
          <cell r="C134" t="str">
            <v>Lodge 5PM</v>
          </cell>
        </row>
        <row r="135">
          <cell r="B135">
            <v>46149</v>
          </cell>
          <cell r="C135" t="str">
            <v>Lodge 5PM</v>
          </cell>
        </row>
        <row r="136">
          <cell r="B136">
            <v>46150</v>
          </cell>
          <cell r="C136" t="str">
            <v>Lodge 5PM</v>
          </cell>
        </row>
        <row r="137">
          <cell r="B137">
            <v>46151</v>
          </cell>
          <cell r="C137" t="str">
            <v>Explorer 5PM</v>
          </cell>
        </row>
        <row r="138">
          <cell r="B138">
            <v>46152</v>
          </cell>
          <cell r="C138" t="str">
            <v>Explorer 5PM</v>
          </cell>
        </row>
        <row r="139">
          <cell r="B139">
            <v>46153</v>
          </cell>
          <cell r="C139" t="str">
            <v>Lodge 5PM</v>
          </cell>
        </row>
        <row r="140">
          <cell r="B140">
            <v>46154</v>
          </cell>
          <cell r="C140" t="str">
            <v>Lodge 5PM</v>
          </cell>
        </row>
        <row r="141">
          <cell r="B141">
            <v>46155</v>
          </cell>
          <cell r="C141" t="str">
            <v>Lodge 5PM</v>
          </cell>
        </row>
        <row r="142">
          <cell r="B142">
            <v>46156</v>
          </cell>
          <cell r="C142" t="str">
            <v>Lodge 5PM</v>
          </cell>
        </row>
        <row r="143">
          <cell r="B143">
            <v>46157</v>
          </cell>
          <cell r="C143" t="str">
            <v>Explorer 5PM</v>
          </cell>
        </row>
        <row r="144">
          <cell r="B144">
            <v>46158</v>
          </cell>
          <cell r="C144" t="str">
            <v>Explorer 5PM</v>
          </cell>
        </row>
        <row r="145">
          <cell r="B145">
            <v>46159</v>
          </cell>
          <cell r="C145" t="str">
            <v>Explorer 5PM</v>
          </cell>
        </row>
        <row r="146">
          <cell r="B146">
            <v>46160</v>
          </cell>
          <cell r="C146" t="str">
            <v>Explorer 5PM</v>
          </cell>
        </row>
        <row r="147">
          <cell r="B147">
            <v>46161</v>
          </cell>
          <cell r="C147" t="str">
            <v>Lodge 5PM</v>
          </cell>
        </row>
        <row r="148">
          <cell r="B148">
            <v>46162</v>
          </cell>
          <cell r="C148" t="str">
            <v>Lodge 5PM</v>
          </cell>
        </row>
        <row r="149">
          <cell r="B149">
            <v>46163</v>
          </cell>
          <cell r="C149" t="str">
            <v>Explorer 5PM</v>
          </cell>
        </row>
        <row r="150">
          <cell r="B150">
            <v>46164</v>
          </cell>
          <cell r="C150" t="str">
            <v>Explorer 6PM</v>
          </cell>
        </row>
        <row r="151">
          <cell r="B151">
            <v>46165</v>
          </cell>
          <cell r="C151" t="str">
            <v>Explorer 6PM</v>
          </cell>
        </row>
        <row r="152">
          <cell r="B152">
            <v>46166</v>
          </cell>
          <cell r="C152" t="str">
            <v>Explorer 6PM</v>
          </cell>
        </row>
        <row r="153">
          <cell r="B153">
            <v>46167</v>
          </cell>
          <cell r="C153" t="str">
            <v>Explorer 6PM</v>
          </cell>
        </row>
        <row r="154">
          <cell r="B154">
            <v>46168</v>
          </cell>
          <cell r="C154" t="str">
            <v>Explorer 6PM</v>
          </cell>
        </row>
        <row r="155">
          <cell r="B155">
            <v>46169</v>
          </cell>
          <cell r="C155" t="str">
            <v>Explorer 6PM</v>
          </cell>
        </row>
        <row r="156">
          <cell r="B156">
            <v>46170</v>
          </cell>
          <cell r="C156" t="str">
            <v>Explorer 6PM</v>
          </cell>
        </row>
        <row r="157">
          <cell r="B157">
            <v>46171</v>
          </cell>
          <cell r="C157" t="str">
            <v>Explorer + 6PM</v>
          </cell>
        </row>
        <row r="158">
          <cell r="B158">
            <v>46172</v>
          </cell>
          <cell r="C158" t="str">
            <v>Explorer + 6PM</v>
          </cell>
        </row>
        <row r="159">
          <cell r="B159">
            <v>46173</v>
          </cell>
          <cell r="C159" t="str">
            <v>Explorer 6PM</v>
          </cell>
        </row>
        <row r="160">
          <cell r="B160">
            <v>46174</v>
          </cell>
          <cell r="C160" t="str">
            <v>Explorer 6PM</v>
          </cell>
        </row>
        <row r="161">
          <cell r="B161">
            <v>46175</v>
          </cell>
          <cell r="C161" t="str">
            <v>Lodge 5PM</v>
          </cell>
        </row>
        <row r="162">
          <cell r="B162">
            <v>46176</v>
          </cell>
          <cell r="C162" t="str">
            <v>Lodge 5PM</v>
          </cell>
        </row>
        <row r="163">
          <cell r="B163">
            <v>46177</v>
          </cell>
          <cell r="C163" t="str">
            <v>Lodge 5PM</v>
          </cell>
        </row>
        <row r="164">
          <cell r="B164">
            <v>46178</v>
          </cell>
          <cell r="C164" t="str">
            <v>Explorer 5PM</v>
          </cell>
        </row>
        <row r="165">
          <cell r="B165">
            <v>46179</v>
          </cell>
          <cell r="C165" t="str">
            <v>Explorer 6PM</v>
          </cell>
        </row>
        <row r="166">
          <cell r="B166">
            <v>46180</v>
          </cell>
          <cell r="C166" t="str">
            <v>Explorer + 6PM</v>
          </cell>
        </row>
        <row r="167">
          <cell r="B167">
            <v>46181</v>
          </cell>
          <cell r="C167" t="str">
            <v>Lodge 5PM</v>
          </cell>
        </row>
        <row r="168">
          <cell r="B168">
            <v>46182</v>
          </cell>
          <cell r="C168" t="str">
            <v>Lodge 5PM</v>
          </cell>
        </row>
        <row r="169">
          <cell r="B169">
            <v>46183</v>
          </cell>
          <cell r="C169" t="str">
            <v>Explorer 5PM</v>
          </cell>
        </row>
        <row r="170">
          <cell r="B170">
            <v>46184</v>
          </cell>
          <cell r="C170" t="str">
            <v>Lodge 5PM</v>
          </cell>
        </row>
        <row r="171">
          <cell r="B171">
            <v>46185</v>
          </cell>
          <cell r="C171" t="str">
            <v>Lodge 5PM</v>
          </cell>
        </row>
        <row r="172">
          <cell r="B172">
            <v>46186</v>
          </cell>
          <cell r="C172" t="str">
            <v>Explorer 6PM</v>
          </cell>
        </row>
        <row r="173">
          <cell r="B173">
            <v>46187</v>
          </cell>
          <cell r="C173" t="str">
            <v>Explorer 6PM</v>
          </cell>
        </row>
        <row r="174">
          <cell r="B174">
            <v>46188</v>
          </cell>
          <cell r="C174" t="str">
            <v>Lodge 5PM</v>
          </cell>
        </row>
        <row r="175">
          <cell r="B175">
            <v>46189</v>
          </cell>
          <cell r="C175" t="str">
            <v>Lodge 5PM</v>
          </cell>
        </row>
        <row r="176">
          <cell r="B176">
            <v>46190</v>
          </cell>
          <cell r="C176" t="str">
            <v>Lodge 5PM</v>
          </cell>
        </row>
        <row r="177">
          <cell r="B177">
            <v>46191</v>
          </cell>
          <cell r="C177" t="str">
            <v>Lodge 5PM</v>
          </cell>
        </row>
        <row r="178">
          <cell r="B178">
            <v>46192</v>
          </cell>
          <cell r="C178" t="str">
            <v>Explorer 5PM</v>
          </cell>
        </row>
        <row r="179">
          <cell r="B179">
            <v>46193</v>
          </cell>
          <cell r="C179" t="str">
            <v>Explorer 6PM</v>
          </cell>
        </row>
        <row r="180">
          <cell r="B180">
            <v>46194</v>
          </cell>
          <cell r="C180" t="str">
            <v>Explorer 6PM</v>
          </cell>
        </row>
        <row r="181">
          <cell r="B181">
            <v>46195</v>
          </cell>
          <cell r="C181" t="str">
            <v>Explorer 5PM</v>
          </cell>
        </row>
        <row r="182">
          <cell r="B182">
            <v>46196</v>
          </cell>
          <cell r="C182" t="str">
            <v>Explorer 5PM</v>
          </cell>
        </row>
        <row r="183">
          <cell r="B183">
            <v>46197</v>
          </cell>
          <cell r="C183" t="str">
            <v>Explorer 5PM</v>
          </cell>
        </row>
        <row r="184">
          <cell r="B184">
            <v>46198</v>
          </cell>
          <cell r="C184" t="str">
            <v>Explorer 5PM</v>
          </cell>
        </row>
        <row r="185">
          <cell r="B185">
            <v>46199</v>
          </cell>
          <cell r="C185" t="str">
            <v>Explorer + 5PM</v>
          </cell>
        </row>
        <row r="186">
          <cell r="B186">
            <v>46200</v>
          </cell>
          <cell r="C186" t="str">
            <v>Explorer 6PM</v>
          </cell>
        </row>
        <row r="187">
          <cell r="B187">
            <v>46201</v>
          </cell>
          <cell r="C187" t="str">
            <v>Explorer 6PM</v>
          </cell>
        </row>
        <row r="188">
          <cell r="B188">
            <v>46202</v>
          </cell>
          <cell r="C188" t="str">
            <v>Lodge + Sch Exp</v>
          </cell>
        </row>
        <row r="189">
          <cell r="B189">
            <v>46203</v>
          </cell>
          <cell r="C189" t="str">
            <v>Lodge + Sch Exp</v>
          </cell>
        </row>
        <row r="190">
          <cell r="B190">
            <v>46204</v>
          </cell>
          <cell r="C190" t="str">
            <v>Lodge + Sch Exp</v>
          </cell>
        </row>
        <row r="191">
          <cell r="B191">
            <v>46205</v>
          </cell>
          <cell r="C191" t="str">
            <v>Lodge + Sch Exp</v>
          </cell>
        </row>
        <row r="192">
          <cell r="B192">
            <v>46206</v>
          </cell>
          <cell r="C192" t="str">
            <v>Lodge + Sch Exp</v>
          </cell>
        </row>
        <row r="193">
          <cell r="B193">
            <v>46207</v>
          </cell>
          <cell r="C193" t="str">
            <v>Explorer 6PM</v>
          </cell>
        </row>
        <row r="194">
          <cell r="B194">
            <v>46208</v>
          </cell>
          <cell r="C194" t="str">
            <v>Explorer 6PM</v>
          </cell>
        </row>
        <row r="195">
          <cell r="B195">
            <v>46209</v>
          </cell>
          <cell r="C195" t="str">
            <v>Lodge + Sch Exp</v>
          </cell>
        </row>
        <row r="196">
          <cell r="B196">
            <v>46210</v>
          </cell>
          <cell r="C196" t="str">
            <v>Lodge + Sch Exp</v>
          </cell>
        </row>
        <row r="197">
          <cell r="B197">
            <v>46211</v>
          </cell>
          <cell r="C197" t="str">
            <v>Lodge + Sch Exp</v>
          </cell>
        </row>
        <row r="198">
          <cell r="B198">
            <v>46212</v>
          </cell>
          <cell r="C198" t="str">
            <v>Lodge + Sch Exp</v>
          </cell>
        </row>
        <row r="199">
          <cell r="B199">
            <v>46213</v>
          </cell>
          <cell r="C199" t="str">
            <v>Lodge + Sch Exp</v>
          </cell>
        </row>
        <row r="200">
          <cell r="B200">
            <v>46214</v>
          </cell>
          <cell r="C200" t="str">
            <v>Explorer 6PM</v>
          </cell>
        </row>
        <row r="201">
          <cell r="B201">
            <v>46215</v>
          </cell>
          <cell r="C201" t="str">
            <v>Explorer 6PM</v>
          </cell>
        </row>
        <row r="202">
          <cell r="B202">
            <v>46216</v>
          </cell>
          <cell r="C202" t="str">
            <v>Explorer 5PM</v>
          </cell>
        </row>
        <row r="203">
          <cell r="B203">
            <v>46217</v>
          </cell>
          <cell r="C203" t="str">
            <v>Explorer 5PM</v>
          </cell>
        </row>
        <row r="204">
          <cell r="B204">
            <v>46218</v>
          </cell>
          <cell r="C204" t="str">
            <v>Explorer 5PM</v>
          </cell>
        </row>
        <row r="205">
          <cell r="B205">
            <v>46219</v>
          </cell>
          <cell r="C205" t="str">
            <v>Explorer + 5PM</v>
          </cell>
        </row>
        <row r="206">
          <cell r="B206">
            <v>46220</v>
          </cell>
          <cell r="C206" t="str">
            <v>Explorer 5PM</v>
          </cell>
        </row>
        <row r="207">
          <cell r="B207">
            <v>46221</v>
          </cell>
          <cell r="C207" t="str">
            <v>Explorer + 6PM</v>
          </cell>
        </row>
        <row r="208">
          <cell r="B208">
            <v>46222</v>
          </cell>
          <cell r="C208" t="str">
            <v>Explorer + 6PM</v>
          </cell>
        </row>
        <row r="209">
          <cell r="B209">
            <v>46223</v>
          </cell>
          <cell r="C209" t="str">
            <v>Explorer + 5PM</v>
          </cell>
        </row>
        <row r="210">
          <cell r="B210">
            <v>46224</v>
          </cell>
          <cell r="C210" t="str">
            <v>Explorer + 5PM</v>
          </cell>
        </row>
        <row r="211">
          <cell r="B211">
            <v>46225</v>
          </cell>
          <cell r="C211" t="str">
            <v>Explorer + 5PM</v>
          </cell>
        </row>
        <row r="212">
          <cell r="B212">
            <v>46226</v>
          </cell>
          <cell r="C212" t="str">
            <v>Explorer + 5PM</v>
          </cell>
        </row>
        <row r="213">
          <cell r="B213">
            <v>46227</v>
          </cell>
          <cell r="C213" t="str">
            <v>Explorer + 5PM</v>
          </cell>
        </row>
        <row r="214">
          <cell r="B214">
            <v>46228</v>
          </cell>
          <cell r="C214" t="str">
            <v>Explorer 6PM</v>
          </cell>
        </row>
        <row r="215">
          <cell r="B215">
            <v>46229</v>
          </cell>
          <cell r="C215" t="str">
            <v>Explorer 6PM</v>
          </cell>
        </row>
        <row r="216">
          <cell r="B216">
            <v>46230</v>
          </cell>
          <cell r="C216" t="str">
            <v>Explorer 6PM</v>
          </cell>
        </row>
        <row r="217">
          <cell r="B217">
            <v>46231</v>
          </cell>
          <cell r="C217" t="str">
            <v>Explorer 6PM</v>
          </cell>
        </row>
        <row r="218">
          <cell r="B218">
            <v>46232</v>
          </cell>
          <cell r="C218" t="str">
            <v>Explorer 6PM</v>
          </cell>
        </row>
        <row r="219">
          <cell r="B219">
            <v>46233</v>
          </cell>
          <cell r="C219" t="str">
            <v>Explorer 6PM</v>
          </cell>
        </row>
        <row r="220">
          <cell r="B220">
            <v>46234</v>
          </cell>
          <cell r="C220" t="str">
            <v>Explorer 6PM</v>
          </cell>
        </row>
        <row r="221">
          <cell r="B221">
            <v>46235</v>
          </cell>
          <cell r="C221" t="str">
            <v>Explorer + 6PM</v>
          </cell>
        </row>
        <row r="222">
          <cell r="B222">
            <v>46236</v>
          </cell>
          <cell r="C222" t="str">
            <v>Explorer 6PM</v>
          </cell>
        </row>
        <row r="223">
          <cell r="B223">
            <v>46237</v>
          </cell>
          <cell r="C223" t="str">
            <v>Explorer 6PM</v>
          </cell>
        </row>
        <row r="224">
          <cell r="B224">
            <v>46238</v>
          </cell>
          <cell r="C224" t="str">
            <v>Explorer 6PM</v>
          </cell>
        </row>
        <row r="225">
          <cell r="B225">
            <v>46239</v>
          </cell>
          <cell r="C225" t="str">
            <v>Explorer + 6PM</v>
          </cell>
        </row>
        <row r="226">
          <cell r="B226">
            <v>46240</v>
          </cell>
          <cell r="C226" t="str">
            <v>Explorer 6PM</v>
          </cell>
        </row>
        <row r="227">
          <cell r="B227">
            <v>46241</v>
          </cell>
          <cell r="C227" t="str">
            <v>Explorer 6PM</v>
          </cell>
        </row>
        <row r="228">
          <cell r="B228">
            <v>46242</v>
          </cell>
          <cell r="C228" t="str">
            <v>Explorer + 6PM</v>
          </cell>
        </row>
        <row r="229">
          <cell r="B229">
            <v>46243</v>
          </cell>
          <cell r="C229" t="str">
            <v>Explorer 6PM</v>
          </cell>
        </row>
        <row r="230">
          <cell r="B230">
            <v>46244</v>
          </cell>
          <cell r="C230" t="str">
            <v>Explorer 6PM</v>
          </cell>
        </row>
        <row r="231">
          <cell r="B231">
            <v>46245</v>
          </cell>
          <cell r="C231" t="str">
            <v>Explorer + 6PM</v>
          </cell>
        </row>
        <row r="232">
          <cell r="B232">
            <v>46246</v>
          </cell>
          <cell r="C232" t="str">
            <v>Explorer + 6PM</v>
          </cell>
        </row>
        <row r="233">
          <cell r="B233">
            <v>46247</v>
          </cell>
          <cell r="C233" t="str">
            <v>Explorer + 6PM</v>
          </cell>
        </row>
        <row r="234">
          <cell r="B234">
            <v>46248</v>
          </cell>
          <cell r="C234" t="str">
            <v>Explorer + 6PM</v>
          </cell>
        </row>
        <row r="235">
          <cell r="B235">
            <v>46249</v>
          </cell>
          <cell r="C235" t="str">
            <v>Explorer + 6PM</v>
          </cell>
        </row>
        <row r="236">
          <cell r="B236">
            <v>46250</v>
          </cell>
          <cell r="C236" t="str">
            <v>Explorer + 6PM</v>
          </cell>
        </row>
        <row r="237">
          <cell r="B237">
            <v>46251</v>
          </cell>
          <cell r="C237" t="str">
            <v>Explorer + 6PM</v>
          </cell>
        </row>
        <row r="238">
          <cell r="B238">
            <v>46252</v>
          </cell>
          <cell r="C238" t="str">
            <v>Explorer + 6PM</v>
          </cell>
        </row>
        <row r="239">
          <cell r="B239">
            <v>46253</v>
          </cell>
          <cell r="C239" t="str">
            <v>Explorer + 6PM</v>
          </cell>
        </row>
        <row r="240">
          <cell r="B240">
            <v>46254</v>
          </cell>
          <cell r="C240" t="str">
            <v>Explorer + 6PM</v>
          </cell>
        </row>
        <row r="241">
          <cell r="B241">
            <v>46255</v>
          </cell>
          <cell r="C241" t="str">
            <v>Explorer + 6PM</v>
          </cell>
        </row>
        <row r="242">
          <cell r="B242">
            <v>46256</v>
          </cell>
          <cell r="C242" t="str">
            <v>Explorer + 6PM</v>
          </cell>
        </row>
        <row r="243">
          <cell r="B243">
            <v>46257</v>
          </cell>
          <cell r="C243" t="str">
            <v>Explorer + 6PM</v>
          </cell>
        </row>
        <row r="244">
          <cell r="B244">
            <v>46258</v>
          </cell>
          <cell r="C244" t="str">
            <v>Explorer + 6PM</v>
          </cell>
        </row>
        <row r="245">
          <cell r="B245">
            <v>46259</v>
          </cell>
          <cell r="C245" t="str">
            <v>Explorer + 6PM</v>
          </cell>
        </row>
        <row r="246">
          <cell r="B246">
            <v>46260</v>
          </cell>
          <cell r="C246" t="str">
            <v>Explorer + 6PM</v>
          </cell>
        </row>
        <row r="247">
          <cell r="B247">
            <v>46261</v>
          </cell>
          <cell r="C247" t="str">
            <v>Explorer + 6PM</v>
          </cell>
        </row>
        <row r="248">
          <cell r="B248">
            <v>46262</v>
          </cell>
          <cell r="C248" t="str">
            <v>Explorer + 6PM</v>
          </cell>
        </row>
        <row r="249">
          <cell r="B249">
            <v>46263</v>
          </cell>
          <cell r="C249" t="str">
            <v>Explorer + 6PM</v>
          </cell>
        </row>
        <row r="250">
          <cell r="B250">
            <v>46264</v>
          </cell>
          <cell r="C250" t="str">
            <v>Explorer + 6PM</v>
          </cell>
        </row>
        <row r="251">
          <cell r="B251">
            <v>46265</v>
          </cell>
          <cell r="C251" t="str">
            <v>Explorer + 6PM</v>
          </cell>
        </row>
        <row r="252">
          <cell r="B252">
            <v>46266</v>
          </cell>
          <cell r="C252" t="str">
            <v>Explorer + 5PM</v>
          </cell>
        </row>
        <row r="253">
          <cell r="B253">
            <v>46267</v>
          </cell>
          <cell r="C253" t="str">
            <v>Explorer + 5PM</v>
          </cell>
        </row>
        <row r="254">
          <cell r="B254">
            <v>46268</v>
          </cell>
          <cell r="C254" t="str">
            <v>Lodge 5PM</v>
          </cell>
        </row>
        <row r="255">
          <cell r="B255">
            <v>46269</v>
          </cell>
          <cell r="C255" t="str">
            <v>Lodge 5PM</v>
          </cell>
        </row>
        <row r="256">
          <cell r="B256">
            <v>46270</v>
          </cell>
          <cell r="C256" t="str">
            <v>Explorer 6PM</v>
          </cell>
        </row>
        <row r="257">
          <cell r="B257">
            <v>46271</v>
          </cell>
          <cell r="C257" t="str">
            <v>Explorer 6PM</v>
          </cell>
        </row>
        <row r="258">
          <cell r="B258">
            <v>46272</v>
          </cell>
          <cell r="C258" t="str">
            <v>Lodge 5PM</v>
          </cell>
        </row>
        <row r="259">
          <cell r="B259">
            <v>46273</v>
          </cell>
          <cell r="C259" t="str">
            <v>Closed</v>
          </cell>
        </row>
        <row r="260">
          <cell r="B260">
            <v>46274</v>
          </cell>
          <cell r="C260" t="str">
            <v>Closed</v>
          </cell>
        </row>
        <row r="261">
          <cell r="B261">
            <v>46275</v>
          </cell>
          <cell r="C261" t="str">
            <v>Lodge 5PM</v>
          </cell>
        </row>
        <row r="262">
          <cell r="B262">
            <v>46276</v>
          </cell>
          <cell r="C262" t="str">
            <v>Lodge 5PM</v>
          </cell>
        </row>
        <row r="263">
          <cell r="B263">
            <v>46277</v>
          </cell>
          <cell r="C263" t="str">
            <v>Explorer 5PM</v>
          </cell>
        </row>
        <row r="264">
          <cell r="B264">
            <v>46278</v>
          </cell>
          <cell r="C264" t="str">
            <v>Explorer 5PM</v>
          </cell>
        </row>
        <row r="265">
          <cell r="B265">
            <v>46279</v>
          </cell>
          <cell r="C265" t="str">
            <v>Lodge 5PM</v>
          </cell>
        </row>
        <row r="266">
          <cell r="B266">
            <v>46280</v>
          </cell>
          <cell r="C266" t="str">
            <v>Closed</v>
          </cell>
        </row>
        <row r="267">
          <cell r="B267">
            <v>46281</v>
          </cell>
          <cell r="C267" t="str">
            <v>Closed</v>
          </cell>
        </row>
        <row r="268">
          <cell r="B268">
            <v>46282</v>
          </cell>
          <cell r="C268" t="str">
            <v>Lodge 5PM</v>
          </cell>
        </row>
        <row r="269">
          <cell r="B269">
            <v>46283</v>
          </cell>
          <cell r="C269" t="str">
            <v>Lodge 5PM</v>
          </cell>
        </row>
        <row r="270">
          <cell r="B270">
            <v>46284</v>
          </cell>
          <cell r="C270" t="str">
            <v>Explorer 5PM</v>
          </cell>
        </row>
        <row r="271">
          <cell r="B271">
            <v>46285</v>
          </cell>
          <cell r="C271" t="str">
            <v>Explorer 5PM</v>
          </cell>
        </row>
        <row r="272">
          <cell r="B272">
            <v>46286</v>
          </cell>
          <cell r="C272" t="str">
            <v>Lodge 5PM</v>
          </cell>
        </row>
        <row r="273">
          <cell r="B273">
            <v>46287</v>
          </cell>
          <cell r="C273" t="str">
            <v>Closed</v>
          </cell>
        </row>
        <row r="274">
          <cell r="B274">
            <v>46288</v>
          </cell>
          <cell r="C274" t="str">
            <v>Closed</v>
          </cell>
        </row>
        <row r="275">
          <cell r="B275">
            <v>46289</v>
          </cell>
          <cell r="C275" t="str">
            <v>Lodge 5PM</v>
          </cell>
        </row>
        <row r="276">
          <cell r="B276">
            <v>46290</v>
          </cell>
          <cell r="C276" t="str">
            <v>Lodge 5PM</v>
          </cell>
        </row>
        <row r="277">
          <cell r="B277">
            <v>46291</v>
          </cell>
          <cell r="C277" t="str">
            <v>Explorer 5PM</v>
          </cell>
        </row>
        <row r="278">
          <cell r="B278">
            <v>46292</v>
          </cell>
          <cell r="C278" t="str">
            <v>Explorer 5PM</v>
          </cell>
        </row>
        <row r="279">
          <cell r="B279">
            <v>46293</v>
          </cell>
          <cell r="C279" t="str">
            <v>Lodge 5PM</v>
          </cell>
        </row>
        <row r="280">
          <cell r="B280">
            <v>46294</v>
          </cell>
          <cell r="C280" t="str">
            <v>Closed</v>
          </cell>
        </row>
        <row r="281">
          <cell r="B281">
            <v>46295</v>
          </cell>
          <cell r="C281" t="str">
            <v>Closed</v>
          </cell>
        </row>
        <row r="282">
          <cell r="B282">
            <v>46296</v>
          </cell>
          <cell r="C282" t="str">
            <v>Lodge 5PM</v>
          </cell>
        </row>
        <row r="283">
          <cell r="B283">
            <v>46297</v>
          </cell>
          <cell r="C283" t="str">
            <v>Lodge 5PM</v>
          </cell>
        </row>
        <row r="284">
          <cell r="B284">
            <v>46298</v>
          </cell>
          <cell r="C284" t="str">
            <v>Explorer 5PM</v>
          </cell>
        </row>
        <row r="285">
          <cell r="B285">
            <v>46299</v>
          </cell>
          <cell r="C285" t="str">
            <v>Explorer 5PM</v>
          </cell>
        </row>
        <row r="286">
          <cell r="B286">
            <v>46300</v>
          </cell>
          <cell r="C286" t="str">
            <v>Lodge 5PM</v>
          </cell>
        </row>
        <row r="287">
          <cell r="B287">
            <v>46301</v>
          </cell>
          <cell r="C287" t="str">
            <v>Closed</v>
          </cell>
        </row>
        <row r="288">
          <cell r="B288">
            <v>46302</v>
          </cell>
          <cell r="C288" t="str">
            <v>Closed</v>
          </cell>
        </row>
        <row r="289">
          <cell r="B289">
            <v>46303</v>
          </cell>
          <cell r="C289" t="str">
            <v>Lodge 5PM</v>
          </cell>
        </row>
        <row r="290">
          <cell r="B290">
            <v>46304</v>
          </cell>
          <cell r="C290" t="str">
            <v>Lodge 5PM</v>
          </cell>
        </row>
        <row r="291">
          <cell r="B291">
            <v>46305</v>
          </cell>
          <cell r="C291" t="str">
            <v>Explorer 5PM</v>
          </cell>
        </row>
        <row r="292">
          <cell r="B292">
            <v>46306</v>
          </cell>
          <cell r="C292" t="str">
            <v>Explorer 5PM</v>
          </cell>
        </row>
        <row r="293">
          <cell r="B293">
            <v>46307</v>
          </cell>
          <cell r="C293" t="str">
            <v>Lodge 5PM</v>
          </cell>
        </row>
        <row r="294">
          <cell r="B294">
            <v>46308</v>
          </cell>
          <cell r="C294" t="str">
            <v>Closed</v>
          </cell>
        </row>
        <row r="295">
          <cell r="B295">
            <v>46309</v>
          </cell>
          <cell r="C295" t="str">
            <v>Closed</v>
          </cell>
        </row>
        <row r="296">
          <cell r="B296">
            <v>46310</v>
          </cell>
          <cell r="C296" t="str">
            <v>Lodge 5PM</v>
          </cell>
        </row>
        <row r="297">
          <cell r="B297">
            <v>46311</v>
          </cell>
          <cell r="C297" t="str">
            <v>Lodge 5PM</v>
          </cell>
        </row>
        <row r="298">
          <cell r="B298">
            <v>46312</v>
          </cell>
          <cell r="C298" t="str">
            <v>Explorer 5PM</v>
          </cell>
        </row>
        <row r="299">
          <cell r="B299">
            <v>46313</v>
          </cell>
          <cell r="C299" t="str">
            <v>Explorer 5PM</v>
          </cell>
        </row>
        <row r="300">
          <cell r="B300">
            <v>46314</v>
          </cell>
          <cell r="C300" t="str">
            <v>Explorer 5PM</v>
          </cell>
        </row>
        <row r="301">
          <cell r="B301">
            <v>46315</v>
          </cell>
          <cell r="C301" t="str">
            <v>Explorer 5PM</v>
          </cell>
        </row>
        <row r="302">
          <cell r="B302">
            <v>46316</v>
          </cell>
          <cell r="C302" t="str">
            <v>Explorer 5PM</v>
          </cell>
        </row>
        <row r="303">
          <cell r="B303">
            <v>46317</v>
          </cell>
          <cell r="C303" t="str">
            <v>Explorer 5PM</v>
          </cell>
        </row>
        <row r="304">
          <cell r="B304">
            <v>46318</v>
          </cell>
          <cell r="C304" t="str">
            <v>Explorer + 7pm</v>
          </cell>
        </row>
        <row r="305">
          <cell r="B305">
            <v>46319</v>
          </cell>
          <cell r="C305" t="str">
            <v>Explorer + 7pm</v>
          </cell>
        </row>
        <row r="306">
          <cell r="B306">
            <v>46320</v>
          </cell>
          <cell r="C306" t="str">
            <v>Explorer + 7pm</v>
          </cell>
        </row>
        <row r="307">
          <cell r="B307">
            <v>46321</v>
          </cell>
          <cell r="C307" t="str">
            <v>Explorer + 7pm</v>
          </cell>
        </row>
        <row r="308">
          <cell r="B308">
            <v>46322</v>
          </cell>
          <cell r="C308" t="str">
            <v>Explorer + 7pm</v>
          </cell>
        </row>
        <row r="309">
          <cell r="B309">
            <v>46323</v>
          </cell>
          <cell r="C309" t="str">
            <v>Explorer + 7pm</v>
          </cell>
        </row>
        <row r="310">
          <cell r="B310">
            <v>46324</v>
          </cell>
          <cell r="C310" t="str">
            <v>Explorer + 7pm</v>
          </cell>
        </row>
        <row r="311">
          <cell r="B311">
            <v>46325</v>
          </cell>
          <cell r="C311" t="str">
            <v>Explorer + 7pm</v>
          </cell>
        </row>
        <row r="312">
          <cell r="B312">
            <v>46326</v>
          </cell>
          <cell r="C312" t="str">
            <v>Explorer + 7pm</v>
          </cell>
        </row>
        <row r="313">
          <cell r="B313">
            <v>46327</v>
          </cell>
          <cell r="C313" t="str">
            <v>Explorer + 7pm</v>
          </cell>
        </row>
        <row r="314">
          <cell r="B314">
            <v>46328</v>
          </cell>
          <cell r="C314" t="str">
            <v>Closed</v>
          </cell>
        </row>
        <row r="315">
          <cell r="B315">
            <v>46329</v>
          </cell>
          <cell r="C315" t="str">
            <v>Closed</v>
          </cell>
        </row>
        <row r="316">
          <cell r="B316">
            <v>46330</v>
          </cell>
          <cell r="C316" t="str">
            <v>Closed</v>
          </cell>
        </row>
        <row r="317">
          <cell r="B317">
            <v>46331</v>
          </cell>
          <cell r="C317" t="str">
            <v>Closed</v>
          </cell>
        </row>
        <row r="318">
          <cell r="B318">
            <v>46332</v>
          </cell>
          <cell r="C318" t="str">
            <v>Closed</v>
          </cell>
        </row>
        <row r="319">
          <cell r="B319">
            <v>46333</v>
          </cell>
          <cell r="C319" t="str">
            <v>Explorer 5PM</v>
          </cell>
        </row>
        <row r="320">
          <cell r="B320">
            <v>46334</v>
          </cell>
          <cell r="C320" t="str">
            <v>Explorer 5PM</v>
          </cell>
        </row>
        <row r="321">
          <cell r="B321">
            <v>46335</v>
          </cell>
          <cell r="C321" t="str">
            <v>Closed</v>
          </cell>
        </row>
        <row r="322">
          <cell r="B322">
            <v>46336</v>
          </cell>
          <cell r="C322" t="str">
            <v>Closed</v>
          </cell>
        </row>
        <row r="323">
          <cell r="B323">
            <v>46337</v>
          </cell>
          <cell r="C323" t="str">
            <v>Closed</v>
          </cell>
        </row>
        <row r="324">
          <cell r="B324">
            <v>46338</v>
          </cell>
          <cell r="C324" t="str">
            <v>Closed</v>
          </cell>
        </row>
        <row r="325">
          <cell r="B325">
            <v>46339</v>
          </cell>
          <cell r="C325" t="str">
            <v>Closed</v>
          </cell>
        </row>
        <row r="326">
          <cell r="B326">
            <v>46340</v>
          </cell>
          <cell r="C326" t="str">
            <v>Explorer 5PM</v>
          </cell>
        </row>
        <row r="327">
          <cell r="B327">
            <v>46341</v>
          </cell>
          <cell r="C327" t="str">
            <v>Explorer 5PM</v>
          </cell>
        </row>
        <row r="328">
          <cell r="B328">
            <v>46342</v>
          </cell>
          <cell r="C328" t="str">
            <v>Closed</v>
          </cell>
        </row>
        <row r="329">
          <cell r="B329">
            <v>46343</v>
          </cell>
          <cell r="C329" t="str">
            <v>Closed</v>
          </cell>
        </row>
        <row r="330">
          <cell r="B330">
            <v>46344</v>
          </cell>
          <cell r="C330" t="str">
            <v>Closed</v>
          </cell>
        </row>
        <row r="331">
          <cell r="B331">
            <v>46345</v>
          </cell>
          <cell r="C331" t="str">
            <v>Closed</v>
          </cell>
        </row>
        <row r="332">
          <cell r="B332">
            <v>46346</v>
          </cell>
          <cell r="C332" t="str">
            <v>Closed</v>
          </cell>
        </row>
        <row r="333">
          <cell r="B333">
            <v>46347</v>
          </cell>
          <cell r="C333" t="str">
            <v>WT Off-Peak</v>
          </cell>
        </row>
        <row r="334">
          <cell r="B334">
            <v>46348</v>
          </cell>
          <cell r="C334" t="str">
            <v>WT Off-Peak</v>
          </cell>
        </row>
        <row r="335">
          <cell r="B335">
            <v>46349</v>
          </cell>
          <cell r="C335" t="str">
            <v>Closed</v>
          </cell>
        </row>
        <row r="336">
          <cell r="B336">
            <v>46350</v>
          </cell>
          <cell r="C336" t="str">
            <v>Closed</v>
          </cell>
        </row>
        <row r="337">
          <cell r="B337">
            <v>46351</v>
          </cell>
          <cell r="C337" t="str">
            <v>Closed</v>
          </cell>
        </row>
        <row r="338">
          <cell r="B338">
            <v>46352</v>
          </cell>
          <cell r="C338" t="str">
            <v>Closed</v>
          </cell>
        </row>
        <row r="339">
          <cell r="B339">
            <v>46353</v>
          </cell>
          <cell r="C339" t="str">
            <v>Closed</v>
          </cell>
        </row>
        <row r="340">
          <cell r="B340">
            <v>46354</v>
          </cell>
          <cell r="C340" t="str">
            <v>WT Peak</v>
          </cell>
        </row>
        <row r="341">
          <cell r="B341">
            <v>46355</v>
          </cell>
          <cell r="C341" t="str">
            <v>WT Peak</v>
          </cell>
        </row>
        <row r="342">
          <cell r="B342">
            <v>46356</v>
          </cell>
          <cell r="C342" t="str">
            <v>Closed</v>
          </cell>
        </row>
        <row r="343">
          <cell r="B343">
            <v>46357</v>
          </cell>
          <cell r="C343" t="str">
            <v>Closed</v>
          </cell>
        </row>
        <row r="344">
          <cell r="B344">
            <v>46358</v>
          </cell>
          <cell r="C344" t="str">
            <v>Closed</v>
          </cell>
        </row>
        <row r="345">
          <cell r="B345">
            <v>46359</v>
          </cell>
          <cell r="C345" t="str">
            <v>Closed</v>
          </cell>
        </row>
        <row r="346">
          <cell r="B346">
            <v>46360</v>
          </cell>
          <cell r="C346" t="str">
            <v>Closed</v>
          </cell>
        </row>
        <row r="347">
          <cell r="B347">
            <v>46361</v>
          </cell>
          <cell r="C347" t="str">
            <v>WT Peak</v>
          </cell>
        </row>
        <row r="348">
          <cell r="B348">
            <v>46362</v>
          </cell>
          <cell r="C348" t="str">
            <v>WT Peak</v>
          </cell>
        </row>
        <row r="349">
          <cell r="B349">
            <v>46363</v>
          </cell>
          <cell r="C349" t="str">
            <v>Closed</v>
          </cell>
        </row>
        <row r="350">
          <cell r="B350">
            <v>46364</v>
          </cell>
          <cell r="C350" t="str">
            <v>Closed</v>
          </cell>
        </row>
        <row r="351">
          <cell r="B351">
            <v>46365</v>
          </cell>
          <cell r="C351" t="str">
            <v>Closed</v>
          </cell>
        </row>
        <row r="352">
          <cell r="B352">
            <v>46366</v>
          </cell>
          <cell r="C352" t="str">
            <v>Closed</v>
          </cell>
        </row>
        <row r="353">
          <cell r="B353">
            <v>46367</v>
          </cell>
          <cell r="C353" t="str">
            <v>WT Off-Peak</v>
          </cell>
        </row>
        <row r="354">
          <cell r="B354">
            <v>46368</v>
          </cell>
          <cell r="C354" t="str">
            <v>WT Peak</v>
          </cell>
        </row>
        <row r="355">
          <cell r="B355">
            <v>46369</v>
          </cell>
          <cell r="C355" t="str">
            <v>WT Peak</v>
          </cell>
        </row>
        <row r="356">
          <cell r="B356">
            <v>46370</v>
          </cell>
          <cell r="C356" t="str">
            <v>WT Off-Peak</v>
          </cell>
        </row>
        <row r="357">
          <cell r="B357">
            <v>46371</v>
          </cell>
          <cell r="C357" t="str">
            <v>WT Off-Peak</v>
          </cell>
        </row>
        <row r="358">
          <cell r="B358">
            <v>46372</v>
          </cell>
          <cell r="C358" t="str">
            <v>WT Off-Peak</v>
          </cell>
        </row>
        <row r="359">
          <cell r="B359">
            <v>46373</v>
          </cell>
          <cell r="C359" t="str">
            <v>WT Off-Peak</v>
          </cell>
        </row>
        <row r="360">
          <cell r="B360">
            <v>46374</v>
          </cell>
          <cell r="C360" t="str">
            <v>WT Off-Peak</v>
          </cell>
        </row>
        <row r="361">
          <cell r="B361">
            <v>46375</v>
          </cell>
          <cell r="C361" t="str">
            <v>WT Peak</v>
          </cell>
        </row>
        <row r="362">
          <cell r="B362">
            <v>46376</v>
          </cell>
          <cell r="C362" t="str">
            <v>WT Peak</v>
          </cell>
        </row>
        <row r="363">
          <cell r="B363">
            <v>46377</v>
          </cell>
          <cell r="C363" t="str">
            <v>WT Peak</v>
          </cell>
        </row>
        <row r="364">
          <cell r="B364">
            <v>46378</v>
          </cell>
          <cell r="C364" t="str">
            <v>WT Peak</v>
          </cell>
        </row>
        <row r="365">
          <cell r="B365">
            <v>46379</v>
          </cell>
          <cell r="C365" t="str">
            <v>WT Peak</v>
          </cell>
        </row>
        <row r="366">
          <cell r="B366">
            <v>46380</v>
          </cell>
          <cell r="C366" t="str">
            <v>WT Peak</v>
          </cell>
        </row>
        <row r="367">
          <cell r="B367">
            <v>46381</v>
          </cell>
          <cell r="C367" t="str">
            <v>Closed</v>
          </cell>
        </row>
        <row r="368">
          <cell r="B368">
            <v>46382</v>
          </cell>
          <cell r="C368" t="str">
            <v>Closed</v>
          </cell>
        </row>
      </sheetData>
      <sheetData sheetId="2">
        <row r="5">
          <cell r="D5" t="str">
            <v>Room on the Broom</v>
          </cell>
          <cell r="E5" t="str">
            <v>C1300-N</v>
          </cell>
          <cell r="F5" t="str">
            <v>Rides</v>
          </cell>
          <cell r="L5" t="str">
            <v>Rides - ROTB Attendant</v>
          </cell>
          <cell r="M5" t="str">
            <v>Rides Attendant</v>
          </cell>
        </row>
        <row r="6">
          <cell r="D6" t="str">
            <v>Adventure Tree</v>
          </cell>
          <cell r="E6" t="str">
            <v>C1300-N</v>
          </cell>
          <cell r="F6" t="str">
            <v>Rides</v>
          </cell>
          <cell r="L6" t="str">
            <v>Rides - AdventureTreeOperator</v>
          </cell>
          <cell r="M6" t="str">
            <v>Rides Operator</v>
          </cell>
        </row>
        <row r="7">
          <cell r="D7" t="str">
            <v>Tiny Truckers</v>
          </cell>
          <cell r="E7" t="str">
            <v>C1300-N</v>
          </cell>
          <cell r="F7" t="str">
            <v>Rides</v>
          </cell>
          <cell r="L7" t="str">
            <v>Rides - Tiny Truckers Operator</v>
          </cell>
          <cell r="M7" t="str">
            <v>Rides Operator</v>
          </cell>
        </row>
        <row r="8">
          <cell r="D8" t="str">
            <v>Elmer's Flying Jumbos</v>
          </cell>
          <cell r="E8" t="str">
            <v>C1300-N</v>
          </cell>
          <cell r="F8" t="str">
            <v>Rides</v>
          </cell>
          <cell r="L8" t="str">
            <v>Rides - ElmersOperator</v>
          </cell>
          <cell r="M8" t="str">
            <v>Rides Operator</v>
          </cell>
        </row>
        <row r="9">
          <cell r="D9" t="str">
            <v>Canopy Capers</v>
          </cell>
          <cell r="E9" t="str">
            <v>C1300-N</v>
          </cell>
          <cell r="F9" t="str">
            <v>Rides</v>
          </cell>
          <cell r="L9" t="str">
            <v>Rides - CanopyCapersAttendant</v>
          </cell>
          <cell r="M9" t="str">
            <v>Rides Attendant</v>
          </cell>
        </row>
        <row r="10">
          <cell r="D10" t="str">
            <v>Sea Dragons</v>
          </cell>
          <cell r="E10" t="str">
            <v>C1300-N</v>
          </cell>
          <cell r="F10" t="str">
            <v>Rides</v>
          </cell>
          <cell r="L10" t="str">
            <v>Rides - GriffinsGalleonOperator</v>
          </cell>
          <cell r="M10" t="str">
            <v>Rides Operator</v>
          </cell>
        </row>
        <row r="11">
          <cell r="D11" t="str">
            <v>Griffin's Galeon</v>
          </cell>
          <cell r="E11" t="str">
            <v>C1300-N</v>
          </cell>
          <cell r="F11" t="str">
            <v>Rides</v>
          </cell>
          <cell r="L11" t="str">
            <v>Rides - Dragon'sPlayhouseAttendant</v>
          </cell>
          <cell r="M11" t="str">
            <v>Rides Attendant</v>
          </cell>
        </row>
        <row r="12">
          <cell r="D12" t="str">
            <v>Dragon's Playhouse</v>
          </cell>
          <cell r="E12" t="str">
            <v>C1300-N</v>
          </cell>
          <cell r="F12" t="str">
            <v>Rides</v>
          </cell>
          <cell r="L12" t="str">
            <v>Rides - Break Cover Attendant</v>
          </cell>
          <cell r="M12" t="str">
            <v>Rides Attendant</v>
          </cell>
        </row>
        <row r="13">
          <cell r="D13" t="str">
            <v>Nexus Rides Break Cover</v>
          </cell>
          <cell r="E13" t="str">
            <v>C1300-N</v>
          </cell>
          <cell r="F13" t="str">
            <v>Rides</v>
          </cell>
          <cell r="L13" t="str">
            <v>Rides - Break Cover Operator</v>
          </cell>
          <cell r="M13" t="str">
            <v>Rides Operator</v>
          </cell>
        </row>
        <row r="14">
          <cell r="D14" t="str">
            <v>Car Parks - Staff Car Park</v>
          </cell>
          <cell r="E14" t="str">
            <v>C1460-N</v>
          </cell>
          <cell r="F14" t="str">
            <v>Car Parks</v>
          </cell>
          <cell r="L14" t="str">
            <v>Rides - Sea Dragons Operator</v>
          </cell>
          <cell r="M14" t="str">
            <v>Rides Operator</v>
          </cell>
        </row>
        <row r="15">
          <cell r="D15" t="str">
            <v>Car Parks - Hotel Car Park</v>
          </cell>
          <cell r="E15" t="str">
            <v>C1460-N</v>
          </cell>
          <cell r="F15" t="str">
            <v>Car Parks</v>
          </cell>
          <cell r="L15"/>
          <cell r="M15"/>
        </row>
        <row r="16">
          <cell r="D16" t="str">
            <v>Car Parks - Express</v>
          </cell>
          <cell r="E16" t="str">
            <v>C1460-N</v>
          </cell>
          <cell r="F16" t="str">
            <v>Car Parks</v>
          </cell>
          <cell r="L16"/>
          <cell r="M16"/>
        </row>
        <row r="17">
          <cell r="D17" t="str">
            <v>Car Parks - Split</v>
          </cell>
          <cell r="E17" t="str">
            <v>C1460-N</v>
          </cell>
          <cell r="F17" t="str">
            <v>Car Parks</v>
          </cell>
          <cell r="L17"/>
          <cell r="M17"/>
        </row>
        <row r="18">
          <cell r="D18" t="str">
            <v>Car Parks - Flamingo</v>
          </cell>
          <cell r="E18" t="str">
            <v>C1460-N</v>
          </cell>
          <cell r="F18" t="str">
            <v>Car Parks</v>
          </cell>
          <cell r="L18" t="str">
            <v>Zonal Leads</v>
          </cell>
          <cell r="M18" t="str">
            <v>Leads</v>
          </cell>
        </row>
        <row r="19">
          <cell r="D19" t="str">
            <v>Car Parks - Giraffe</v>
          </cell>
          <cell r="E19" t="str">
            <v>C1460-N</v>
          </cell>
          <cell r="F19" t="str">
            <v>Car Parks</v>
          </cell>
          <cell r="L19"/>
          <cell r="M19"/>
        </row>
        <row r="20">
          <cell r="D20" t="str">
            <v>Car Parks - Gorilla</v>
          </cell>
          <cell r="E20" t="str">
            <v>C1460-N</v>
          </cell>
          <cell r="F20" t="str">
            <v>Car Parks</v>
          </cell>
          <cell r="L20" t="str">
            <v>Car Parks - Host</v>
          </cell>
          <cell r="M20" t="str">
            <v>Car_Parks_Host</v>
          </cell>
        </row>
        <row r="21">
          <cell r="D21" t="str">
            <v>Car Parks - Additional Schools</v>
          </cell>
          <cell r="E21" t="str">
            <v>C1460-N</v>
          </cell>
          <cell r="F21" t="str">
            <v>Car Parks</v>
          </cell>
          <cell r="L21"/>
          <cell r="M21"/>
        </row>
        <row r="22">
          <cell r="D22" t="str">
            <v>GHI - Rap</v>
          </cell>
          <cell r="E22" t="str">
            <v>C1060-N</v>
          </cell>
          <cell r="F22" t="str">
            <v>GHI</v>
          </cell>
          <cell r="L22" t="str">
            <v>GHI RAP_Host</v>
          </cell>
          <cell r="M22"/>
        </row>
        <row r="23">
          <cell r="D23" t="str">
            <v>GHI - Hub</v>
          </cell>
          <cell r="E23" t="str">
            <v>C1060-N</v>
          </cell>
          <cell r="F23" t="str">
            <v>GHI</v>
          </cell>
          <cell r="L23" t="str">
            <v>GHI Front_Desk_Host</v>
          </cell>
          <cell r="M23"/>
        </row>
        <row r="24">
          <cell r="D24"/>
          <cell r="E24"/>
          <cell r="F24"/>
          <cell r="L24" t="str">
            <v>GHI Senior Host</v>
          </cell>
          <cell r="M24"/>
        </row>
        <row r="25">
          <cell r="D25" t="str">
            <v>GHI - Help Squad</v>
          </cell>
          <cell r="E25" t="str">
            <v>C1060-N</v>
          </cell>
          <cell r="F25" t="str">
            <v>GHI</v>
          </cell>
          <cell r="L25" t="str">
            <v>GHI Help_Squad_Host</v>
          </cell>
          <cell r="M25"/>
        </row>
        <row r="26">
          <cell r="D26" t="str">
            <v>Lodge Entrance</v>
          </cell>
          <cell r="E26" t="str">
            <v>C1150-N</v>
          </cell>
          <cell r="F26" t="str">
            <v>Admissions</v>
          </cell>
          <cell r="L26"/>
          <cell r="M26"/>
        </row>
        <row r="27">
          <cell r="D27" t="str">
            <v>Explorer Entrance</v>
          </cell>
          <cell r="E27" t="str">
            <v>C1150-N</v>
          </cell>
          <cell r="F27" t="str">
            <v>Admissions</v>
          </cell>
          <cell r="L27" t="str">
            <v>Retail - Senior Host</v>
          </cell>
          <cell r="M27" t="str">
            <v>Senior Host</v>
          </cell>
        </row>
        <row r="28">
          <cell r="D28" t="str">
            <v>Azteca Entrance</v>
          </cell>
          <cell r="E28" t="str">
            <v>C1150-N</v>
          </cell>
          <cell r="F28" t="str">
            <v>Admissions</v>
          </cell>
          <cell r="L28" t="str">
            <v>Retail Host</v>
          </cell>
          <cell r="M28" t="str">
            <v xml:space="preserve">Host </v>
          </cell>
        </row>
        <row r="29">
          <cell r="D29" t="str">
            <v>Schools Entrance</v>
          </cell>
          <cell r="E29" t="str">
            <v>C1150-N</v>
          </cell>
          <cell r="F29" t="str">
            <v>Admissions</v>
          </cell>
          <cell r="L29" t="str">
            <v>Admissions Senior Host</v>
          </cell>
          <cell r="M29" t="str">
            <v>Senior Host</v>
          </cell>
        </row>
        <row r="30">
          <cell r="D30" t="str">
            <v>Adventure Point Gift Shop</v>
          </cell>
          <cell r="E30" t="str">
            <v>C1150-N</v>
          </cell>
          <cell r="F30" t="str">
            <v>Retail</v>
          </cell>
          <cell r="L30" t="str">
            <v>Admissions Host</v>
          </cell>
          <cell r="M30" t="str">
            <v xml:space="preserve">Host </v>
          </cell>
        </row>
        <row r="31">
          <cell r="D31"/>
          <cell r="E31"/>
          <cell r="F31"/>
          <cell r="L31" t="str">
            <v>Retail Break Cover</v>
          </cell>
          <cell r="M31" t="str">
            <v xml:space="preserve">Host </v>
          </cell>
        </row>
        <row r="32">
          <cell r="D32" t="str">
            <v>Explorer Supplies</v>
          </cell>
          <cell r="E32" t="str">
            <v>C1150-N</v>
          </cell>
          <cell r="F32" t="str">
            <v>Retail</v>
          </cell>
          <cell r="L32"/>
          <cell r="M32"/>
        </row>
        <row r="33">
          <cell r="D33" t="str">
            <v>Lorikeets</v>
          </cell>
          <cell r="E33" t="str">
            <v>C1150-N</v>
          </cell>
          <cell r="F33" t="str">
            <v>Retail</v>
          </cell>
          <cell r="L33"/>
          <cell r="M33"/>
        </row>
        <row r="34">
          <cell r="D34" t="str">
            <v>Sealife Shop</v>
          </cell>
          <cell r="E34" t="str">
            <v>C1150-N</v>
          </cell>
          <cell r="F34" t="str">
            <v>Retail</v>
          </cell>
          <cell r="L34"/>
          <cell r="M34"/>
        </row>
        <row r="35">
          <cell r="D35" t="str">
            <v>Sweet Shop</v>
          </cell>
          <cell r="E35" t="str">
            <v>C1150-N</v>
          </cell>
          <cell r="F35" t="str">
            <v>Retail</v>
          </cell>
          <cell r="L35"/>
          <cell r="M35"/>
        </row>
        <row r="36">
          <cell r="D36" t="str">
            <v>Ben &amp; Jerry's</v>
          </cell>
          <cell r="E36" t="str">
            <v>C1150-N</v>
          </cell>
          <cell r="F36" t="str">
            <v>Retail</v>
          </cell>
          <cell r="L36"/>
          <cell r="M36"/>
        </row>
        <row r="37">
          <cell r="D37" t="str">
            <v>Ben &amp; Jerry's Kiosk</v>
          </cell>
          <cell r="E37" t="str">
            <v>C1150-N</v>
          </cell>
          <cell r="F37" t="str">
            <v>Retail</v>
          </cell>
          <cell r="L37"/>
          <cell r="M37"/>
        </row>
        <row r="38">
          <cell r="D38" t="str">
            <v>Nexus Retail Break Cover</v>
          </cell>
          <cell r="E38" t="str">
            <v>C1150-N</v>
          </cell>
          <cell r="F38" t="str">
            <v>Retail</v>
          </cell>
          <cell r="L38"/>
          <cell r="M38"/>
        </row>
        <row r="39">
          <cell r="D39" t="str">
            <v>Nexus Zonal Leads</v>
          </cell>
          <cell r="E39" t="str">
            <v>C1900-N</v>
          </cell>
          <cell r="F39" t="str">
            <v>Zonal Leads</v>
          </cell>
          <cell r="L39"/>
          <cell r="M39"/>
        </row>
        <row r="40">
          <cell r="D40"/>
          <cell r="E40"/>
          <cell r="F40"/>
          <cell r="L40"/>
          <cell r="M40"/>
        </row>
        <row r="41">
          <cell r="D41"/>
          <cell r="E41"/>
          <cell r="F41"/>
          <cell r="L41"/>
          <cell r="M41"/>
        </row>
        <row r="42">
          <cell r="D42"/>
          <cell r="E42"/>
          <cell r="F42"/>
          <cell r="L42"/>
          <cell r="M42"/>
        </row>
        <row r="43">
          <cell r="D43"/>
          <cell r="E43"/>
          <cell r="F43"/>
          <cell r="L43"/>
          <cell r="M43"/>
        </row>
        <row r="44">
          <cell r="D44"/>
          <cell r="E44"/>
          <cell r="F44"/>
          <cell r="L44"/>
          <cell r="M44"/>
        </row>
        <row r="45">
          <cell r="D45"/>
          <cell r="E45"/>
          <cell r="F45"/>
          <cell r="L45"/>
          <cell r="M45"/>
        </row>
        <row r="46">
          <cell r="D46"/>
          <cell r="E46"/>
          <cell r="F46"/>
          <cell r="L46"/>
          <cell r="M46"/>
        </row>
        <row r="47">
          <cell r="D47"/>
          <cell r="E47"/>
          <cell r="F47"/>
          <cell r="L47"/>
          <cell r="M47"/>
        </row>
        <row r="48">
          <cell r="D48"/>
          <cell r="E48"/>
          <cell r="F48"/>
          <cell r="L48"/>
          <cell r="M48"/>
        </row>
        <row r="49">
          <cell r="D49"/>
          <cell r="E49"/>
          <cell r="F49"/>
          <cell r="L49"/>
          <cell r="M49"/>
        </row>
        <row r="50">
          <cell r="D50"/>
          <cell r="E50"/>
          <cell r="F50"/>
          <cell r="L50"/>
          <cell r="M50"/>
        </row>
        <row r="51">
          <cell r="D51"/>
          <cell r="E51"/>
          <cell r="F51"/>
          <cell r="L51"/>
          <cell r="M51"/>
        </row>
        <row r="52">
          <cell r="D52"/>
          <cell r="E52"/>
          <cell r="F52"/>
          <cell r="L52"/>
          <cell r="M52"/>
        </row>
        <row r="53">
          <cell r="D53"/>
          <cell r="E53"/>
          <cell r="F53"/>
          <cell r="L53"/>
          <cell r="M53"/>
        </row>
        <row r="54">
          <cell r="D54"/>
          <cell r="E54"/>
          <cell r="F54"/>
          <cell r="L54"/>
          <cell r="M54"/>
        </row>
        <row r="55">
          <cell r="D55"/>
          <cell r="E55"/>
          <cell r="F55"/>
          <cell r="L55"/>
          <cell r="M55"/>
        </row>
        <row r="56">
          <cell r="D56"/>
          <cell r="E56"/>
          <cell r="F56"/>
          <cell r="L56"/>
          <cell r="M56"/>
        </row>
        <row r="57">
          <cell r="D57"/>
          <cell r="E57"/>
          <cell r="F57"/>
          <cell r="L57"/>
          <cell r="M57"/>
        </row>
        <row r="58">
          <cell r="D58"/>
          <cell r="E58"/>
          <cell r="F58"/>
          <cell r="L58"/>
          <cell r="M58"/>
        </row>
        <row r="59">
          <cell r="D59"/>
          <cell r="E59"/>
          <cell r="F59"/>
          <cell r="L59"/>
          <cell r="M59"/>
        </row>
        <row r="60">
          <cell r="D60"/>
          <cell r="E60"/>
          <cell r="F60"/>
          <cell r="L60"/>
          <cell r="M60"/>
        </row>
        <row r="61">
          <cell r="D61"/>
          <cell r="E61"/>
          <cell r="F61"/>
          <cell r="L61"/>
          <cell r="M61"/>
        </row>
        <row r="62">
          <cell r="D62"/>
          <cell r="E62"/>
          <cell r="F62"/>
          <cell r="L62"/>
          <cell r="M62"/>
        </row>
        <row r="63">
          <cell r="D63"/>
          <cell r="E63"/>
          <cell r="F63"/>
          <cell r="L63"/>
          <cell r="M63"/>
        </row>
        <row r="64">
          <cell r="D64"/>
          <cell r="E64"/>
          <cell r="F64"/>
          <cell r="L64"/>
          <cell r="M64"/>
        </row>
        <row r="65">
          <cell r="L65"/>
          <cell r="M65"/>
        </row>
        <row r="66">
          <cell r="L66"/>
          <cell r="M66"/>
        </row>
        <row r="67">
          <cell r="L67"/>
          <cell r="M67"/>
        </row>
        <row r="68">
          <cell r="L68"/>
          <cell r="M68"/>
        </row>
        <row r="69">
          <cell r="L69"/>
          <cell r="M69"/>
        </row>
        <row r="70">
          <cell r="L70"/>
          <cell r="M70"/>
        </row>
        <row r="71">
          <cell r="L71"/>
          <cell r="M71"/>
        </row>
        <row r="72">
          <cell r="L72"/>
          <cell r="M72"/>
        </row>
        <row r="73">
          <cell r="L73"/>
          <cell r="M73"/>
        </row>
        <row r="74">
          <cell r="L74"/>
          <cell r="M74"/>
        </row>
        <row r="75">
          <cell r="L75"/>
          <cell r="M75"/>
        </row>
        <row r="76">
          <cell r="L76"/>
          <cell r="M76"/>
        </row>
        <row r="77">
          <cell r="L77"/>
          <cell r="M77"/>
        </row>
        <row r="78">
          <cell r="L78"/>
          <cell r="M78"/>
        </row>
        <row r="79">
          <cell r="L79"/>
          <cell r="M79"/>
        </row>
        <row r="80">
          <cell r="L80"/>
          <cell r="M80"/>
        </row>
        <row r="81">
          <cell r="L81"/>
          <cell r="M81"/>
        </row>
        <row r="82">
          <cell r="L82"/>
          <cell r="M82"/>
        </row>
        <row r="83">
          <cell r="L83"/>
          <cell r="M83"/>
        </row>
        <row r="84">
          <cell r="L84"/>
          <cell r="M84"/>
        </row>
        <row r="85">
          <cell r="L85"/>
          <cell r="M85"/>
        </row>
        <row r="86">
          <cell r="L86"/>
          <cell r="M86"/>
        </row>
        <row r="87">
          <cell r="L87"/>
          <cell r="M87"/>
        </row>
        <row r="88">
          <cell r="L88"/>
          <cell r="M88"/>
        </row>
        <row r="89">
          <cell r="L89"/>
          <cell r="M89"/>
        </row>
        <row r="90">
          <cell r="L90"/>
          <cell r="M90"/>
        </row>
        <row r="91">
          <cell r="L91"/>
          <cell r="M91"/>
        </row>
        <row r="92">
          <cell r="L92"/>
          <cell r="M92"/>
        </row>
        <row r="93">
          <cell r="L93"/>
          <cell r="M93"/>
        </row>
        <row r="94">
          <cell r="L94"/>
          <cell r="M94"/>
        </row>
        <row r="95">
          <cell r="L95"/>
          <cell r="M95"/>
        </row>
        <row r="96">
          <cell r="L96"/>
          <cell r="M96"/>
        </row>
        <row r="97">
          <cell r="L97"/>
          <cell r="M97"/>
        </row>
        <row r="98">
          <cell r="L98"/>
          <cell r="M98"/>
        </row>
        <row r="99">
          <cell r="L99"/>
          <cell r="M99"/>
        </row>
        <row r="100">
          <cell r="L100"/>
          <cell r="M100"/>
        </row>
        <row r="101">
          <cell r="L101"/>
          <cell r="M101"/>
        </row>
        <row r="102">
          <cell r="L102"/>
          <cell r="M102"/>
        </row>
        <row r="103">
          <cell r="L103"/>
          <cell r="M103"/>
        </row>
        <row r="104">
          <cell r="L104"/>
          <cell r="M104"/>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de Mapping"/>
      <sheetName val="Master File"/>
      <sheetName val="Control Sheet"/>
      <sheetName val="Scheduling"/>
      <sheetName val="Closed Days"/>
      <sheetName val="TimePlan"/>
      <sheetName val="Prep"/>
      <sheetName val="Export"/>
      <sheetName val="Change Log"/>
      <sheetName val="Summary"/>
      <sheetName val="Headcount x Day x Unit"/>
      <sheetName val="Headcount x Day x Function"/>
      <sheetName val="Hours x Day x Unit"/>
      <sheetName val="Basic Cost x Day x Unit"/>
      <sheetName val="Hours Detail by Period"/>
      <sheetName val="Cost Detail by Period"/>
      <sheetName val="Cost x Period x Type"/>
      <sheetName val="Training"/>
    </sheetNames>
    <sheetDataSet>
      <sheetData sheetId="0"/>
      <sheetData sheetId="1">
        <row r="5">
          <cell r="B5">
            <v>46019</v>
          </cell>
        </row>
      </sheetData>
      <sheetData sheetId="2">
        <row r="5">
          <cell r="C5">
            <v>1</v>
          </cell>
          <cell r="D5" t="str">
            <v>Room on the Broom</v>
          </cell>
          <cell r="E5" t="str">
            <v>C1300-N</v>
          </cell>
          <cell r="F5" t="str">
            <v>Rides</v>
          </cell>
        </row>
        <row r="6">
          <cell r="C6">
            <v>2</v>
          </cell>
          <cell r="D6" t="str">
            <v>Adventure Tree</v>
          </cell>
          <cell r="E6" t="str">
            <v>C1300-N</v>
          </cell>
          <cell r="F6" t="str">
            <v>Rides</v>
          </cell>
        </row>
        <row r="7">
          <cell r="C7">
            <v>3</v>
          </cell>
          <cell r="D7" t="str">
            <v>Tiny Truckers</v>
          </cell>
          <cell r="E7" t="str">
            <v>C1300-N</v>
          </cell>
          <cell r="F7" t="str">
            <v>Rides</v>
          </cell>
        </row>
        <row r="8">
          <cell r="C8">
            <v>4</v>
          </cell>
          <cell r="D8" t="str">
            <v>Elmer's Flying Jumbos</v>
          </cell>
          <cell r="E8" t="str">
            <v>C1300-N</v>
          </cell>
          <cell r="F8" t="str">
            <v>Rides</v>
          </cell>
        </row>
        <row r="9">
          <cell r="C9">
            <v>5</v>
          </cell>
          <cell r="D9" t="str">
            <v>Canopy Capers</v>
          </cell>
          <cell r="E9" t="str">
            <v>C1300-N</v>
          </cell>
          <cell r="F9" t="str">
            <v>Rides</v>
          </cell>
        </row>
        <row r="10">
          <cell r="C10">
            <v>6</v>
          </cell>
          <cell r="D10" t="str">
            <v>Sea Dragons</v>
          </cell>
          <cell r="E10" t="str">
            <v>C1300-N</v>
          </cell>
          <cell r="F10" t="str">
            <v>Rides</v>
          </cell>
        </row>
        <row r="11">
          <cell r="C11">
            <v>7</v>
          </cell>
          <cell r="D11" t="str">
            <v>Griffin's Galeon</v>
          </cell>
          <cell r="E11" t="str">
            <v>C1300-N</v>
          </cell>
          <cell r="F11" t="str">
            <v>Rides</v>
          </cell>
        </row>
        <row r="12">
          <cell r="C12">
            <v>8</v>
          </cell>
          <cell r="D12" t="str">
            <v>Dragon's Playhouse</v>
          </cell>
          <cell r="E12" t="str">
            <v>C1300-N</v>
          </cell>
          <cell r="F12" t="str">
            <v>Rides</v>
          </cell>
        </row>
        <row r="13">
          <cell r="C13">
            <v>9</v>
          </cell>
          <cell r="D13" t="str">
            <v>Nexus Rides Break Cover</v>
          </cell>
          <cell r="E13" t="str">
            <v>C1300-N</v>
          </cell>
          <cell r="F13" t="str">
            <v>Rides</v>
          </cell>
        </row>
        <row r="14">
          <cell r="C14">
            <v>10</v>
          </cell>
          <cell r="D14" t="str">
            <v>Car Parks - Staff Car Park</v>
          </cell>
          <cell r="E14" t="str">
            <v>C1460-N</v>
          </cell>
          <cell r="F14" t="str">
            <v>Car Parks</v>
          </cell>
        </row>
        <row r="15">
          <cell r="C15">
            <v>11</v>
          </cell>
          <cell r="D15" t="str">
            <v>Car Parks - Hotel Car Park</v>
          </cell>
          <cell r="E15" t="str">
            <v>C1460-N</v>
          </cell>
          <cell r="F15" t="str">
            <v>Car Parks</v>
          </cell>
        </row>
        <row r="16">
          <cell r="C16">
            <v>12</v>
          </cell>
          <cell r="D16" t="str">
            <v>Car Parks - Express</v>
          </cell>
          <cell r="E16" t="str">
            <v>C1460-N</v>
          </cell>
          <cell r="F16" t="str">
            <v>Car Parks</v>
          </cell>
        </row>
        <row r="17">
          <cell r="C17">
            <v>13</v>
          </cell>
          <cell r="D17" t="str">
            <v>Car Parks - Split</v>
          </cell>
          <cell r="E17" t="str">
            <v>C1460-N</v>
          </cell>
          <cell r="F17" t="str">
            <v>Car Parks</v>
          </cell>
        </row>
        <row r="18">
          <cell r="C18">
            <v>14</v>
          </cell>
          <cell r="D18" t="str">
            <v>Car Parks - Flamingo</v>
          </cell>
          <cell r="E18" t="str">
            <v>C1460-N</v>
          </cell>
          <cell r="F18" t="str">
            <v>Car Parks</v>
          </cell>
        </row>
        <row r="19">
          <cell r="C19">
            <v>15</v>
          </cell>
          <cell r="D19" t="str">
            <v>Car Parks - Giraffe</v>
          </cell>
          <cell r="E19" t="str">
            <v>C1460-N</v>
          </cell>
          <cell r="F19" t="str">
            <v>Car Parks</v>
          </cell>
        </row>
        <row r="20">
          <cell r="C20">
            <v>16</v>
          </cell>
          <cell r="D20" t="str">
            <v>Car Parks - Gorilla</v>
          </cell>
          <cell r="E20" t="str">
            <v>C1460-N</v>
          </cell>
          <cell r="F20" t="str">
            <v>Car Parks</v>
          </cell>
        </row>
        <row r="21">
          <cell r="C21">
            <v>17</v>
          </cell>
          <cell r="D21" t="str">
            <v>Car Parks - Additional Schools</v>
          </cell>
          <cell r="E21" t="str">
            <v>C1460-N</v>
          </cell>
          <cell r="F21" t="str">
            <v>Car Parks</v>
          </cell>
        </row>
        <row r="22">
          <cell r="C22">
            <v>18</v>
          </cell>
          <cell r="D22" t="str">
            <v>GHI - Rap</v>
          </cell>
          <cell r="E22" t="str">
            <v>C1060-N</v>
          </cell>
          <cell r="F22" t="str">
            <v>GHI</v>
          </cell>
        </row>
        <row r="23">
          <cell r="C23">
            <v>19</v>
          </cell>
          <cell r="D23" t="str">
            <v>GHI - Hub</v>
          </cell>
          <cell r="E23" t="str">
            <v>C1060-N</v>
          </cell>
          <cell r="F23" t="str">
            <v>GHI</v>
          </cell>
        </row>
        <row r="24">
          <cell r="C24">
            <v>20</v>
          </cell>
          <cell r="D24"/>
          <cell r="E24"/>
          <cell r="F24"/>
        </row>
        <row r="25">
          <cell r="C25">
            <v>21</v>
          </cell>
          <cell r="D25" t="str">
            <v>GHI - Help Squad</v>
          </cell>
          <cell r="E25" t="str">
            <v>C1060-N</v>
          </cell>
          <cell r="F25" t="str">
            <v>GHI</v>
          </cell>
        </row>
        <row r="26">
          <cell r="C26">
            <v>22</v>
          </cell>
          <cell r="D26" t="str">
            <v>Lodge Entrance</v>
          </cell>
          <cell r="E26" t="str">
            <v>C1150-N</v>
          </cell>
          <cell r="F26" t="str">
            <v>Admissions</v>
          </cell>
        </row>
        <row r="27">
          <cell r="C27">
            <v>23</v>
          </cell>
          <cell r="D27" t="str">
            <v>Explorer Entrance</v>
          </cell>
          <cell r="E27" t="str">
            <v>C1150-N</v>
          </cell>
          <cell r="F27" t="str">
            <v>Admissions</v>
          </cell>
        </row>
        <row r="28">
          <cell r="C28">
            <v>24</v>
          </cell>
          <cell r="D28" t="str">
            <v>Azteca Entrance</v>
          </cell>
          <cell r="E28" t="str">
            <v>C1150-N</v>
          </cell>
          <cell r="F28" t="str">
            <v>Admissions</v>
          </cell>
        </row>
        <row r="29">
          <cell r="C29">
            <v>25</v>
          </cell>
          <cell r="D29" t="str">
            <v>Schools Entrance</v>
          </cell>
          <cell r="E29" t="str">
            <v>C1150-N</v>
          </cell>
          <cell r="F29" t="str">
            <v>Admissions</v>
          </cell>
        </row>
        <row r="30">
          <cell r="C30">
            <v>26</v>
          </cell>
          <cell r="D30" t="str">
            <v>Adventure Point Gift Shop</v>
          </cell>
          <cell r="E30" t="str">
            <v>C1150-N</v>
          </cell>
          <cell r="F30" t="str">
            <v>Retail</v>
          </cell>
        </row>
        <row r="31">
          <cell r="C31">
            <v>27</v>
          </cell>
          <cell r="D31"/>
          <cell r="E31"/>
          <cell r="F31"/>
        </row>
        <row r="32">
          <cell r="C32">
            <v>28</v>
          </cell>
          <cell r="D32" t="str">
            <v>Explorer Supplies</v>
          </cell>
          <cell r="E32" t="str">
            <v>C1150-N</v>
          </cell>
          <cell r="F32" t="str">
            <v>Retail</v>
          </cell>
        </row>
        <row r="33">
          <cell r="C33">
            <v>29</v>
          </cell>
          <cell r="D33" t="str">
            <v>Lorikeets</v>
          </cell>
          <cell r="E33" t="str">
            <v>C1150-N</v>
          </cell>
          <cell r="F33" t="str">
            <v>Retail</v>
          </cell>
        </row>
        <row r="34">
          <cell r="C34">
            <v>30</v>
          </cell>
          <cell r="D34" t="str">
            <v>Sealife Shop</v>
          </cell>
          <cell r="E34" t="str">
            <v>C1150-N</v>
          </cell>
          <cell r="F34" t="str">
            <v>Retail</v>
          </cell>
        </row>
        <row r="35">
          <cell r="C35">
            <v>31</v>
          </cell>
          <cell r="D35" t="str">
            <v>Sweet Shop</v>
          </cell>
          <cell r="E35" t="str">
            <v>C1150-N</v>
          </cell>
          <cell r="F35" t="str">
            <v>Retail</v>
          </cell>
        </row>
        <row r="36">
          <cell r="C36">
            <v>32</v>
          </cell>
          <cell r="D36" t="str">
            <v>Ben &amp; Jerry's</v>
          </cell>
          <cell r="E36" t="str">
            <v>C1150-N</v>
          </cell>
          <cell r="F36" t="str">
            <v>Retail</v>
          </cell>
        </row>
        <row r="37">
          <cell r="C37">
            <v>33</v>
          </cell>
          <cell r="D37" t="str">
            <v>Ben &amp; Jerry's Kiosk</v>
          </cell>
          <cell r="E37" t="str">
            <v>C1150-N</v>
          </cell>
          <cell r="F37" t="str">
            <v>Retail</v>
          </cell>
        </row>
        <row r="38">
          <cell r="C38">
            <v>34</v>
          </cell>
          <cell r="D38" t="str">
            <v>Nexus Retail Break Cover</v>
          </cell>
          <cell r="E38" t="str">
            <v>C1150-N</v>
          </cell>
          <cell r="F38" t="str">
            <v>Retail</v>
          </cell>
        </row>
        <row r="39">
          <cell r="C39">
            <v>35</v>
          </cell>
          <cell r="D39" t="str">
            <v>Nexus Zonal Leads</v>
          </cell>
          <cell r="E39" t="str">
            <v>C1900-N</v>
          </cell>
          <cell r="F39" t="str">
            <v>Zonal Leads</v>
          </cell>
        </row>
        <row r="40">
          <cell r="C40">
            <v>36</v>
          </cell>
          <cell r="D40"/>
          <cell r="E40"/>
          <cell r="F40"/>
        </row>
        <row r="41">
          <cell r="C41">
            <v>37</v>
          </cell>
          <cell r="D41"/>
          <cell r="E41"/>
          <cell r="F41"/>
        </row>
        <row r="42">
          <cell r="C42">
            <v>38</v>
          </cell>
          <cell r="D42"/>
          <cell r="E42"/>
          <cell r="F42"/>
        </row>
        <row r="43">
          <cell r="C43">
            <v>39</v>
          </cell>
          <cell r="D43"/>
          <cell r="E43"/>
          <cell r="F43"/>
        </row>
        <row r="44">
          <cell r="C44">
            <v>40</v>
          </cell>
          <cell r="D44"/>
          <cell r="E44"/>
          <cell r="F44"/>
        </row>
        <row r="45">
          <cell r="C45">
            <v>41</v>
          </cell>
          <cell r="D45"/>
          <cell r="E45"/>
          <cell r="F45"/>
        </row>
        <row r="46">
          <cell r="C46">
            <v>42</v>
          </cell>
          <cell r="D46"/>
          <cell r="E46"/>
          <cell r="F46"/>
        </row>
        <row r="47">
          <cell r="C47">
            <v>43</v>
          </cell>
          <cell r="D47"/>
          <cell r="E47"/>
          <cell r="F47"/>
        </row>
        <row r="48">
          <cell r="C48">
            <v>44</v>
          </cell>
          <cell r="D48"/>
          <cell r="E48"/>
          <cell r="F48"/>
        </row>
        <row r="49">
          <cell r="C49">
            <v>45</v>
          </cell>
          <cell r="D49"/>
          <cell r="E49"/>
          <cell r="F49"/>
        </row>
        <row r="50">
          <cell r="C50">
            <v>46</v>
          </cell>
          <cell r="D50"/>
          <cell r="E50"/>
          <cell r="F50"/>
        </row>
        <row r="51">
          <cell r="C51">
            <v>47</v>
          </cell>
          <cell r="D51"/>
          <cell r="E51"/>
          <cell r="F51"/>
        </row>
        <row r="52">
          <cell r="C52">
            <v>48</v>
          </cell>
          <cell r="D52"/>
          <cell r="E52"/>
          <cell r="F52"/>
        </row>
        <row r="53">
          <cell r="C53">
            <v>49</v>
          </cell>
          <cell r="D53"/>
          <cell r="E53"/>
          <cell r="F53"/>
        </row>
        <row r="54">
          <cell r="C54">
            <v>50</v>
          </cell>
          <cell r="D54"/>
          <cell r="E54"/>
          <cell r="F54"/>
        </row>
        <row r="55">
          <cell r="C55">
            <v>51</v>
          </cell>
          <cell r="D55"/>
          <cell r="E55"/>
          <cell r="F55"/>
        </row>
        <row r="56">
          <cell r="C56">
            <v>52</v>
          </cell>
          <cell r="D56"/>
          <cell r="E56"/>
          <cell r="F56"/>
        </row>
        <row r="57">
          <cell r="C57">
            <v>53</v>
          </cell>
          <cell r="D57"/>
          <cell r="E57"/>
          <cell r="F57"/>
        </row>
        <row r="58">
          <cell r="C58">
            <v>54</v>
          </cell>
          <cell r="D58"/>
          <cell r="E58"/>
          <cell r="F58"/>
        </row>
        <row r="59">
          <cell r="C59">
            <v>55</v>
          </cell>
          <cell r="D59"/>
          <cell r="E59"/>
          <cell r="F59"/>
        </row>
        <row r="60">
          <cell r="C60">
            <v>56</v>
          </cell>
          <cell r="D60"/>
          <cell r="E60"/>
          <cell r="F60"/>
        </row>
        <row r="61">
          <cell r="C61">
            <v>57</v>
          </cell>
          <cell r="D61"/>
          <cell r="E61"/>
          <cell r="F61"/>
        </row>
        <row r="62">
          <cell r="C62">
            <v>58</v>
          </cell>
          <cell r="D62"/>
          <cell r="E62"/>
          <cell r="F62"/>
        </row>
        <row r="63">
          <cell r="C63">
            <v>59</v>
          </cell>
          <cell r="D63"/>
          <cell r="E63"/>
          <cell r="F63"/>
        </row>
        <row r="64">
          <cell r="C64">
            <v>60</v>
          </cell>
          <cell r="D64"/>
          <cell r="E64"/>
          <cell r="F64"/>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F1A39-4371-4CF1-A0A2-1F6C78A678C2}">
  <dimension ref="B1:GS137"/>
  <sheetViews>
    <sheetView tabSelected="1" zoomScale="115" zoomScaleNormal="115" workbookViewId="0">
      <selection activeCell="G4" sqref="G4"/>
    </sheetView>
  </sheetViews>
  <sheetFormatPr defaultColWidth="9.140625" defaultRowHeight="24.75" customHeight="1"/>
  <cols>
    <col min="1" max="1" width="4.42578125" style="4" customWidth="1"/>
    <col min="2" max="2" width="32" style="4" customWidth="1"/>
    <col min="3" max="3" width="35.85546875" style="4" customWidth="1"/>
    <col min="4" max="5" width="29.7109375" style="4" customWidth="1"/>
    <col min="6" max="6" width="14.7109375" style="4" customWidth="1"/>
    <col min="7" max="7" width="5" style="4" customWidth="1"/>
    <col min="8" max="8" width="3.5703125" style="4" customWidth="1"/>
    <col min="9" max="10" width="13" style="4" customWidth="1"/>
    <col min="11" max="11" width="27.140625" style="4" customWidth="1"/>
    <col min="12" max="12" width="13" style="4" customWidth="1"/>
    <col min="13" max="13" width="12.42578125" style="4" customWidth="1"/>
    <col min="14" max="14" width="9.140625" style="5"/>
    <col min="15" max="15" width="3.5703125" style="4" customWidth="1"/>
    <col min="16" max="17" width="13" style="4" customWidth="1"/>
    <col min="18" max="18" width="27.140625" style="4" customWidth="1"/>
    <col min="19" max="20" width="13" style="4" customWidth="1"/>
    <col min="21" max="21" width="12.42578125" style="4" customWidth="1"/>
    <col min="22" max="22" width="10.7109375" style="4" customWidth="1"/>
    <col min="23" max="23" width="13" style="4" customWidth="1"/>
    <col min="24" max="24" width="23.28515625" style="4" customWidth="1"/>
    <col min="25" max="26" width="27.140625" style="4" customWidth="1"/>
    <col min="27" max="27" width="12.42578125" style="4" customWidth="1"/>
    <col min="28" max="28" width="9.5703125" style="4" customWidth="1"/>
    <col min="29" max="29" width="13" style="4" customWidth="1"/>
    <col min="30" max="30" width="24.85546875" style="4" customWidth="1"/>
    <col min="31" max="32" width="27.140625" style="4" customWidth="1"/>
    <col min="33" max="33" width="12.42578125" style="4" customWidth="1"/>
    <col min="34" max="34" width="10.140625" style="4" customWidth="1"/>
    <col min="35" max="35" width="13" style="4" customWidth="1"/>
    <col min="36" max="36" width="24.85546875" style="4" customWidth="1"/>
    <col min="37" max="38" width="27.140625" style="4" customWidth="1"/>
    <col min="39" max="39" width="12.42578125" style="4" customWidth="1"/>
    <col min="40" max="40" width="9.7109375" style="4" customWidth="1"/>
    <col min="41" max="41" width="13" style="4" customWidth="1"/>
    <col min="42" max="42" width="24.7109375" style="4" customWidth="1"/>
    <col min="43" max="44" width="27.140625" style="4" customWidth="1"/>
    <col min="45" max="45" width="12.42578125" style="4" customWidth="1"/>
    <col min="46" max="46" width="12.5703125" style="4" customWidth="1"/>
    <col min="47" max="47" width="13" style="4" customWidth="1"/>
    <col min="48" max="48" width="22" style="4" customWidth="1"/>
    <col min="49" max="50" width="27.140625" style="4" customWidth="1"/>
    <col min="51" max="51" width="12.42578125" style="4" customWidth="1"/>
    <col min="52" max="52" width="10.85546875" style="4" customWidth="1"/>
    <col min="53" max="53" width="13" style="4" customWidth="1"/>
    <col min="54" max="54" width="22.85546875" style="4" customWidth="1"/>
    <col min="55" max="56" width="27.140625" style="4" customWidth="1"/>
    <col min="57" max="57" width="12.42578125" style="4" customWidth="1"/>
    <col min="58" max="58" width="11.140625" style="4" customWidth="1"/>
    <col min="59" max="59" width="13" style="4" customWidth="1"/>
    <col min="60" max="60" width="22.85546875" style="4" customWidth="1"/>
    <col min="61" max="62" width="27.140625" style="4" customWidth="1"/>
    <col min="63" max="63" width="12.42578125" style="4" customWidth="1"/>
    <col min="64" max="64" width="10.140625" style="4" customWidth="1"/>
    <col min="65" max="65" width="13" style="4" customWidth="1"/>
    <col min="66" max="66" width="23.5703125" style="4" customWidth="1"/>
    <col min="67" max="68" width="27.140625" style="4" customWidth="1"/>
    <col min="69" max="69" width="12.42578125" style="4" customWidth="1"/>
    <col min="70" max="70" width="10.42578125" style="4" customWidth="1"/>
    <col min="71" max="71" width="13" style="4" customWidth="1"/>
    <col min="72" max="72" width="25.28515625" style="4" customWidth="1"/>
    <col min="73" max="74" width="27.140625" style="4" customWidth="1"/>
    <col min="75" max="75" width="12.42578125" style="4" customWidth="1"/>
    <col min="76" max="76" width="10.28515625" style="4" customWidth="1"/>
    <col min="77" max="77" width="13" style="4" customWidth="1"/>
    <col min="78" max="78" width="25" style="4" customWidth="1"/>
    <col min="79" max="80" width="27.140625" style="4" customWidth="1"/>
    <col min="81" max="81" width="12.42578125" style="4" customWidth="1"/>
    <col min="82" max="82" width="12.140625" style="4" customWidth="1"/>
    <col min="83" max="83" width="13" style="4" customWidth="1"/>
    <col min="84" max="84" width="21.5703125" style="4" customWidth="1"/>
    <col min="85" max="86" width="27.140625" style="4" customWidth="1"/>
    <col min="87" max="87" width="12.42578125" style="4" customWidth="1"/>
    <col min="88" max="88" width="13.42578125" style="4" customWidth="1"/>
    <col min="89" max="89" width="13" style="4" customWidth="1"/>
    <col min="90" max="90" width="24.28515625" style="4" customWidth="1"/>
    <col min="91" max="92" width="27.140625" style="4" customWidth="1"/>
    <col min="93" max="93" width="12.42578125" style="4" customWidth="1"/>
    <col min="94" max="94" width="12" style="4" customWidth="1"/>
    <col min="95" max="95" width="13" style="4" customWidth="1"/>
    <col min="96" max="96" width="23.28515625" style="4" customWidth="1"/>
    <col min="97" max="98" width="27.140625" style="4" customWidth="1"/>
    <col min="99" max="99" width="12.42578125" style="4" customWidth="1"/>
    <col min="100" max="100" width="10.85546875" style="4" customWidth="1"/>
    <col min="101" max="102" width="13" style="4" customWidth="1"/>
    <col min="103" max="104" width="27.140625" style="4" customWidth="1"/>
    <col min="105" max="105" width="13" style="4" customWidth="1"/>
    <col min="106" max="106" width="12.5703125" style="4" customWidth="1"/>
    <col min="107" max="107" width="14.28515625" style="4" customWidth="1"/>
    <col min="108" max="108" width="12.42578125" style="4" customWidth="1"/>
    <col min="109" max="109" width="13.7109375" style="4" customWidth="1"/>
    <col min="110" max="111" width="13" style="4" customWidth="1"/>
    <col min="112" max="113" width="27.140625" style="4" customWidth="1"/>
    <col min="114" max="114" width="13" style="4" customWidth="1"/>
    <col min="115" max="115" width="12.5703125" style="4" customWidth="1"/>
    <col min="116" max="116" width="15.85546875" style="4" customWidth="1"/>
    <col min="117" max="117" width="12.42578125" style="4" customWidth="1"/>
    <col min="118" max="118" width="13.42578125" style="4" customWidth="1"/>
    <col min="119" max="120" width="13" style="4" customWidth="1"/>
    <col min="121" max="122" width="27.140625" style="4" customWidth="1"/>
    <col min="123" max="123" width="13" style="4" customWidth="1"/>
    <col min="124" max="124" width="12.5703125" style="4" customWidth="1"/>
    <col min="125" max="125" width="14" style="4" customWidth="1"/>
    <col min="126" max="126" width="12.42578125" style="4" customWidth="1"/>
    <col min="127" max="127" width="13.7109375" style="4" customWidth="1"/>
    <col min="128" max="129" width="13" style="4" customWidth="1"/>
    <col min="130" max="131" width="27.140625" style="4" customWidth="1"/>
    <col min="132" max="132" width="13" style="4" customWidth="1"/>
    <col min="133" max="133" width="12.5703125" style="4" customWidth="1"/>
    <col min="134" max="134" width="14.7109375" style="4" customWidth="1"/>
    <col min="135" max="135" width="12.42578125" style="4" customWidth="1"/>
    <col min="136" max="136" width="15.42578125" style="4" customWidth="1"/>
    <col min="137" max="137" width="13" style="4" customWidth="1"/>
    <col min="138" max="138" width="20.7109375" style="4" customWidth="1"/>
    <col min="139" max="140" width="27.140625" style="4" customWidth="1"/>
    <col min="141" max="141" width="13" style="4" customWidth="1"/>
    <col min="142" max="142" width="12.5703125" style="4" customWidth="1"/>
    <col min="143" max="143" width="14.28515625" style="4" customWidth="1"/>
    <col min="144" max="144" width="12.42578125" style="4" customWidth="1"/>
    <col min="145" max="145" width="12.7109375" style="4" customWidth="1"/>
    <col min="146" max="147" width="13" style="4" customWidth="1"/>
    <col min="148" max="149" width="27.140625" style="4" customWidth="1"/>
    <col min="150" max="150" width="13" style="4" customWidth="1"/>
    <col min="151" max="151" width="12.5703125" style="4" customWidth="1"/>
    <col min="152" max="152" width="15.85546875" style="4" customWidth="1"/>
    <col min="153" max="153" width="12.42578125" style="4" customWidth="1"/>
    <col min="154" max="154" width="11.28515625" style="4" customWidth="1"/>
    <col min="155" max="156" width="13" style="4" customWidth="1"/>
    <col min="157" max="158" width="27.140625" style="4" customWidth="1"/>
    <col min="159" max="159" width="13" style="4" customWidth="1"/>
    <col min="160" max="160" width="12.5703125" style="4" customWidth="1"/>
    <col min="161" max="161" width="14.42578125" style="4" customWidth="1"/>
    <col min="162" max="162" width="12.42578125" style="4" customWidth="1"/>
    <col min="163" max="163" width="12.28515625" style="4" customWidth="1"/>
    <col min="164" max="165" width="13" style="4" customWidth="1"/>
    <col min="166" max="167" width="27.140625" style="4" customWidth="1"/>
    <col min="168" max="168" width="13" style="4" customWidth="1"/>
    <col min="169" max="169" width="12.5703125" style="4" customWidth="1"/>
    <col min="170" max="170" width="16.85546875" style="4" customWidth="1"/>
    <col min="171" max="171" width="12.42578125" style="4" customWidth="1"/>
    <col min="172" max="172" width="11.5703125" style="4" customWidth="1"/>
    <col min="173" max="174" width="13" style="4" customWidth="1"/>
    <col min="175" max="176" width="27.140625" style="4" customWidth="1"/>
    <col min="177" max="177" width="13" style="4" customWidth="1"/>
    <col min="178" max="178" width="12.5703125" style="4" customWidth="1"/>
    <col min="179" max="179" width="14.42578125" style="4" customWidth="1"/>
    <col min="180" max="180" width="12.42578125" style="4" customWidth="1"/>
    <col min="181" max="181" width="10.140625" style="4" customWidth="1"/>
    <col min="182" max="183" width="13" style="4" customWidth="1"/>
    <col min="184" max="185" width="27.140625" style="4" customWidth="1"/>
    <col min="186" max="186" width="13" style="4" customWidth="1"/>
    <col min="187" max="187" width="12.5703125" style="4" customWidth="1"/>
    <col min="188" max="188" width="14" style="4" customWidth="1"/>
    <col min="189" max="189" width="12.42578125" style="4" customWidth="1"/>
    <col min="190" max="190" width="10.28515625" style="4" customWidth="1"/>
    <col min="191" max="191" width="13" style="4" customWidth="1"/>
    <col min="192" max="192" width="26.7109375" style="4" customWidth="1"/>
    <col min="193" max="194" width="27.140625" style="4" customWidth="1"/>
    <col min="195" max="195" width="13" style="4" customWidth="1"/>
    <col min="196" max="196" width="12.5703125" style="4" customWidth="1"/>
    <col min="197" max="197" width="14.42578125" style="4" customWidth="1"/>
    <col min="198" max="198" width="6.7109375" style="4" customWidth="1"/>
    <col min="199" max="199" width="23.140625" style="4" customWidth="1"/>
    <col min="200" max="200" width="21" style="4" customWidth="1"/>
    <col min="201" max="201" width="12.85546875" style="4" bestFit="1" customWidth="1"/>
    <col min="202" max="16384" width="9.140625" style="4"/>
  </cols>
  <sheetData>
    <row r="1" spans="2:201" ht="15.75" thickBot="1">
      <c r="M1" s="6"/>
      <c r="U1" s="6"/>
      <c r="AA1" s="6"/>
      <c r="AG1" s="6"/>
      <c r="AM1" s="6"/>
      <c r="AS1" s="6"/>
      <c r="AY1" s="6"/>
      <c r="BE1" s="6"/>
      <c r="BK1" s="6"/>
      <c r="BQ1" s="6"/>
      <c r="BW1" s="6"/>
      <c r="CC1" s="6"/>
      <c r="CI1" s="6"/>
      <c r="CO1" s="6"/>
      <c r="CU1" s="6"/>
      <c r="DB1" s="6"/>
      <c r="DC1" s="6"/>
      <c r="DD1" s="6"/>
      <c r="DK1" s="6"/>
      <c r="DL1" s="6"/>
      <c r="DM1" s="6"/>
      <c r="DT1" s="6"/>
      <c r="DU1" s="6"/>
      <c r="DV1" s="6"/>
      <c r="EC1" s="6"/>
      <c r="ED1" s="6"/>
      <c r="EE1" s="6"/>
      <c r="EL1" s="6"/>
      <c r="EM1" s="6"/>
      <c r="EN1" s="6"/>
      <c r="EU1" s="6"/>
      <c r="EV1" s="6"/>
      <c r="EW1" s="6"/>
      <c r="FD1" s="6"/>
      <c r="FE1" s="6"/>
      <c r="FF1" s="6"/>
      <c r="FM1" s="6"/>
      <c r="FN1" s="6"/>
      <c r="FO1" s="6"/>
      <c r="FV1" s="6"/>
      <c r="FW1" s="6"/>
      <c r="FX1" s="6"/>
      <c r="GE1" s="6"/>
      <c r="GF1" s="6"/>
      <c r="GG1" s="6"/>
      <c r="GN1" s="6"/>
      <c r="GO1" s="6"/>
      <c r="GP1" s="6"/>
      <c r="GR1" s="6"/>
      <c r="GS1" s="6"/>
    </row>
    <row r="2" spans="2:201" ht="27" customHeight="1" thickBot="1">
      <c r="B2" s="1" t="s">
        <v>0</v>
      </c>
      <c r="C2" s="2" t="s">
        <v>1</v>
      </c>
      <c r="D2" s="2" t="s">
        <v>2</v>
      </c>
      <c r="E2" s="2" t="s">
        <v>3</v>
      </c>
      <c r="F2" s="2" t="s">
        <v>4</v>
      </c>
      <c r="I2" s="7" t="s">
        <v>5</v>
      </c>
      <c r="J2" s="3" t="str">
        <f>VLOOKUP(I2,Day_Codes,2,0)</f>
        <v>Lodge 4PM</v>
      </c>
      <c r="K2" s="8" t="str">
        <f>VLOOKUP(I2,Day_Codes,4,0)</f>
        <v>&lt;3,000 | Lodge Entrance | 4pm Close</v>
      </c>
      <c r="L2" s="9"/>
      <c r="M2" s="9"/>
      <c r="P2" s="7" t="s">
        <v>9</v>
      </c>
      <c r="Q2" s="3" t="str">
        <f>VLOOKUP(P2,Day_Codes,2,0)</f>
        <v>Lodge 5PM</v>
      </c>
      <c r="R2" s="8" t="str">
        <f>VLOOKUP(P2,Day_Codes,4,0)</f>
        <v>&lt;3,000 | Lodge Entrance | 5pm Close</v>
      </c>
      <c r="S2" s="9"/>
      <c r="T2" s="9"/>
      <c r="V2" s="7" t="s">
        <v>10</v>
      </c>
      <c r="W2" s="3" t="str">
        <f>VLOOKUP(V2,Day_Codes,2,0)</f>
        <v>Lodge + 5PM</v>
      </c>
      <c r="X2" s="8" t="str">
        <f>VLOOKUP(V2,Day_Codes,4,0)</f>
        <v>Up to 4000 | Lodge Entrance | 5pm Close</v>
      </c>
      <c r="Y2" s="9"/>
      <c r="Z2" s="9"/>
      <c r="AB2" s="7" t="s">
        <v>11</v>
      </c>
      <c r="AC2" s="3" t="str">
        <f>VLOOKUP(AB2,Day_Codes,2,0)</f>
        <v>Lodge + Sch Exp</v>
      </c>
      <c r="AD2" s="8" t="str">
        <f>VLOOKUP(AB2,Day_Codes,4,0)</f>
        <v>4,000-8,000 | Day Guests Lodge; Schools to Explorer Entrance | 5pm Close</v>
      </c>
      <c r="AE2" s="9"/>
      <c r="AF2" s="9"/>
      <c r="AH2" s="7" t="s">
        <v>12</v>
      </c>
      <c r="AI2" s="3" t="str">
        <f>VLOOKUP(AH2,Day_Codes,2,0)</f>
        <v>Explorer 5PM</v>
      </c>
      <c r="AJ2" s="8" t="str">
        <f>VLOOKUP(AH2,Day_Codes,4,0)</f>
        <v>4,000-8,000 | Explorer Entrance | 5pm Close</v>
      </c>
      <c r="AK2" s="9"/>
      <c r="AL2" s="9"/>
      <c r="AN2" s="7" t="s">
        <v>13</v>
      </c>
      <c r="AO2" s="3" t="str">
        <f>VLOOKUP(AN2,Day_Codes,2,0)</f>
        <v>Explorer 6PM</v>
      </c>
      <c r="AP2" s="8" t="str">
        <f>VLOOKUP(AN2,Day_Codes,4,0)</f>
        <v>4,000-8,000 | Explorer Entrance | 6pm Close</v>
      </c>
      <c r="AQ2" s="9"/>
      <c r="AR2" s="9"/>
      <c r="AT2" s="7" t="s">
        <v>14</v>
      </c>
      <c r="AU2" s="3" t="str">
        <f>VLOOKUP(AT2,Day_Codes,2,0)</f>
        <v>Explorer + 5PM</v>
      </c>
      <c r="AV2" s="8" t="str">
        <f>VLOOKUP(AT2,Day_Codes,4,0)</f>
        <v>8,000-10,000 | Explorer Entrance | 5pm Close</v>
      </c>
      <c r="AW2" s="9"/>
      <c r="AX2" s="9"/>
      <c r="AZ2" s="7" t="s">
        <v>15</v>
      </c>
      <c r="BA2" s="3" t="str">
        <f>VLOOKUP(AZ2,Day_Codes,2,0)</f>
        <v>Explorer + 6PM</v>
      </c>
      <c r="BB2" s="8" t="str">
        <f>VLOOKUP(AZ2,Day_Codes,4,0)</f>
        <v>8,000-10,000 | Explorer Entrance | 6pm Close</v>
      </c>
      <c r="BC2" s="9"/>
      <c r="BD2" s="9"/>
      <c r="BF2" s="7" t="s">
        <v>16</v>
      </c>
      <c r="BG2" s="3" t="str">
        <f>VLOOKUP(BF2,Day_Codes,2,0)</f>
        <v>Explorer + 7PM</v>
      </c>
      <c r="BH2" s="8" t="str">
        <f>VLOOKUP(BF2,Day_Codes,4,0)</f>
        <v>8,000-10,000 | Explorer Entrance | 7pm Close</v>
      </c>
      <c r="BI2" s="9"/>
      <c r="BJ2" s="9"/>
      <c r="BL2" s="7" t="s">
        <v>17</v>
      </c>
      <c r="BM2" s="3" t="str">
        <f>VLOOKUP(BL2,Day_Codes,2,0)</f>
        <v>Zoo</v>
      </c>
      <c r="BN2" s="8" t="str">
        <f>VLOOKUP(BL2,Day_Codes,4,0)</f>
        <v>Up to 2,000 | Lodge Entrance | 3pm Close</v>
      </c>
      <c r="BO2" s="9"/>
      <c r="BP2" s="9"/>
      <c r="BR2" s="7" t="s">
        <v>18</v>
      </c>
      <c r="BS2" s="3" t="str">
        <f>VLOOKUP(BR2,Day_Codes,2,0)</f>
        <v>WT Off-Peak</v>
      </c>
      <c r="BT2" s="8" t="str">
        <f>VLOOKUP(BR2,Day_Codes,4,0)</f>
        <v>Up to 1,750 | Lodge Entrance | 3pm Close</v>
      </c>
      <c r="BU2" s="9"/>
      <c r="BV2" s="9"/>
      <c r="BX2" s="7" t="s">
        <v>19</v>
      </c>
      <c r="BY2" s="3" t="str">
        <f>VLOOKUP(BX2,Day_Codes,2,0)</f>
        <v>WT Peak</v>
      </c>
      <c r="BZ2" s="8" t="str">
        <f>VLOOKUP(BX2,Day_Codes,4,0)</f>
        <v>Up to 3,500 | Lodge Entrance | 5pm Close</v>
      </c>
      <c r="CA2" s="9"/>
      <c r="CB2" s="9"/>
      <c r="CD2" s="7" t="s">
        <v>20</v>
      </c>
      <c r="CE2" s="3" t="str">
        <f>VLOOKUP(CD2,Day_Codes,2,0)</f>
        <v>WT Peak+</v>
      </c>
      <c r="CF2" s="8" t="str">
        <f>VLOOKUP(CD2,Day_Codes,4,0)</f>
        <v>Up to 3,500 | Lodge Entrance | 6:30 pm Close</v>
      </c>
      <c r="CG2" s="9"/>
      <c r="CH2" s="9"/>
      <c r="CJ2" s="7" t="s">
        <v>21</v>
      </c>
      <c r="CK2" s="3" t="str">
        <f>VLOOKUP(CJ2,Day_Codes,2,0)</f>
        <v>WT Post Xmas</v>
      </c>
      <c r="CL2" s="8" t="str">
        <f>VLOOKUP(CJ2,Day_Codes,3,0)</f>
        <v>WT Post Xmas</v>
      </c>
      <c r="CM2" s="9"/>
      <c r="CN2" s="9"/>
      <c r="CP2" s="7" t="s">
        <v>22</v>
      </c>
      <c r="CQ2" s="3" t="str">
        <f>VLOOKUP(CP2,Day_Codes,2,0)</f>
        <v>Closed</v>
      </c>
      <c r="CR2" s="8" t="str">
        <f>VLOOKUP(CP2,Day_Codes,3,0)</f>
        <v>Closed</v>
      </c>
      <c r="CS2" s="9"/>
      <c r="CT2" s="9"/>
      <c r="CV2" s="7" t="s">
        <v>24</v>
      </c>
      <c r="CW2" s="3">
        <f>VLOOKUP(CV2,Day_Codes,2,0)</f>
        <v>0</v>
      </c>
      <c r="CX2" s="8">
        <f>VLOOKUP(CV2,Day_Codes,3,0)</f>
        <v>0</v>
      </c>
      <c r="CY2" s="9"/>
      <c r="CZ2" s="9"/>
      <c r="DA2" s="10" t="s">
        <v>6</v>
      </c>
      <c r="DB2" s="10" t="s">
        <v>7</v>
      </c>
      <c r="DC2" s="11" t="s">
        <v>8</v>
      </c>
      <c r="DE2" s="7" t="s">
        <v>25</v>
      </c>
      <c r="DF2" s="3">
        <f>VLOOKUP(DE2,Day_Codes,2,0)</f>
        <v>0</v>
      </c>
      <c r="DG2" s="8">
        <f>VLOOKUP(DE2,Day_Codes,3,0)</f>
        <v>0</v>
      </c>
      <c r="DH2" s="9"/>
      <c r="DI2" s="9"/>
      <c r="DJ2" s="10" t="s">
        <v>6</v>
      </c>
      <c r="DK2" s="10" t="s">
        <v>7</v>
      </c>
      <c r="DL2" s="11" t="s">
        <v>8</v>
      </c>
      <c r="DN2" s="7" t="s">
        <v>26</v>
      </c>
      <c r="DO2" s="3">
        <f>VLOOKUP(DN2,Day_Codes,2,0)</f>
        <v>0</v>
      </c>
      <c r="DP2" s="8">
        <f>VLOOKUP(DN2,Day_Codes,3,0)</f>
        <v>0</v>
      </c>
      <c r="DQ2" s="9"/>
      <c r="DR2" s="9"/>
      <c r="DS2" s="10" t="s">
        <v>6</v>
      </c>
      <c r="DT2" s="10" t="s">
        <v>7</v>
      </c>
      <c r="DU2" s="11" t="s">
        <v>8</v>
      </c>
      <c r="DW2" s="7" t="s">
        <v>27</v>
      </c>
      <c r="DX2" s="3">
        <f>VLOOKUP(DW2,Day_Codes,2,0)</f>
        <v>0</v>
      </c>
      <c r="DY2" s="8">
        <f>VLOOKUP(DW2,Day_Codes,3,0)</f>
        <v>0</v>
      </c>
      <c r="DZ2" s="9"/>
      <c r="EA2" s="9"/>
      <c r="EB2" s="10" t="s">
        <v>6</v>
      </c>
      <c r="EC2" s="10" t="s">
        <v>7</v>
      </c>
      <c r="ED2" s="11" t="s">
        <v>8</v>
      </c>
      <c r="EF2" s="7" t="s">
        <v>28</v>
      </c>
      <c r="EG2" s="3">
        <f>VLOOKUP(EF2,Day_Codes,2,0)</f>
        <v>0</v>
      </c>
      <c r="EH2" s="8">
        <f>VLOOKUP(EF2,Day_Codes,3,0)</f>
        <v>0</v>
      </c>
      <c r="EI2" s="9"/>
      <c r="EJ2" s="9"/>
      <c r="EK2" s="10" t="s">
        <v>6</v>
      </c>
      <c r="EL2" s="10" t="s">
        <v>7</v>
      </c>
      <c r="EM2" s="11" t="s">
        <v>8</v>
      </c>
      <c r="EO2" s="7" t="s">
        <v>29</v>
      </c>
      <c r="EP2" s="3">
        <f>VLOOKUP(EO2,Day_Codes,2,0)</f>
        <v>0</v>
      </c>
      <c r="EQ2" s="8">
        <f>VLOOKUP(EO2,Day_Codes,3,0)</f>
        <v>0</v>
      </c>
      <c r="ER2" s="9"/>
      <c r="ES2" s="9"/>
      <c r="ET2" s="10" t="s">
        <v>6</v>
      </c>
      <c r="EU2" s="10" t="s">
        <v>7</v>
      </c>
      <c r="EV2" s="11" t="s">
        <v>8</v>
      </c>
      <c r="EX2" s="7" t="s">
        <v>30</v>
      </c>
      <c r="EY2" s="3">
        <f>VLOOKUP(EX2,Day_Codes,2,0)</f>
        <v>0</v>
      </c>
      <c r="EZ2" s="8">
        <f>VLOOKUP(EX2,Day_Codes,3,0)</f>
        <v>0</v>
      </c>
      <c r="FA2" s="9"/>
      <c r="FB2" s="9"/>
      <c r="FC2" s="10" t="s">
        <v>6</v>
      </c>
      <c r="FD2" s="10" t="s">
        <v>7</v>
      </c>
      <c r="FE2" s="11" t="s">
        <v>8</v>
      </c>
      <c r="FG2" s="7" t="s">
        <v>31</v>
      </c>
      <c r="FH2" s="3">
        <f>VLOOKUP(FG2,Day_Codes,2,0)</f>
        <v>0</v>
      </c>
      <c r="FI2" s="8">
        <f>VLOOKUP(FG2,Day_Codes,3,0)</f>
        <v>0</v>
      </c>
      <c r="FJ2" s="9"/>
      <c r="FK2" s="9"/>
      <c r="FL2" s="10" t="s">
        <v>6</v>
      </c>
      <c r="FM2" s="10" t="s">
        <v>7</v>
      </c>
      <c r="FN2" s="11" t="s">
        <v>8</v>
      </c>
      <c r="FP2" s="7" t="s">
        <v>32</v>
      </c>
      <c r="FQ2" s="3">
        <f>VLOOKUP(FP2,Day_Codes,2,0)</f>
        <v>0</v>
      </c>
      <c r="FR2" s="8">
        <f>VLOOKUP(FP2,Day_Codes,3,0)</f>
        <v>0</v>
      </c>
      <c r="FS2" s="9"/>
      <c r="FT2" s="9"/>
      <c r="FU2" s="10" t="s">
        <v>6</v>
      </c>
      <c r="FV2" s="10" t="s">
        <v>7</v>
      </c>
      <c r="FW2" s="11" t="s">
        <v>8</v>
      </c>
      <c r="FY2" s="7" t="s">
        <v>33</v>
      </c>
      <c r="FZ2" s="3">
        <f>VLOOKUP(FY2,Day_Codes,2,0)</f>
        <v>0</v>
      </c>
      <c r="GA2" s="8">
        <f>VLOOKUP(FY2,Day_Codes,3,0)</f>
        <v>0</v>
      </c>
      <c r="GB2" s="9"/>
      <c r="GC2" s="9"/>
      <c r="GD2" s="10" t="s">
        <v>6</v>
      </c>
      <c r="GE2" s="10" t="s">
        <v>7</v>
      </c>
      <c r="GF2" s="11" t="s">
        <v>8</v>
      </c>
      <c r="GH2" s="7" t="s">
        <v>34</v>
      </c>
      <c r="GI2" s="3">
        <f>VLOOKUP(GH2,Day_Codes,2,0)</f>
        <v>0</v>
      </c>
      <c r="GJ2" s="8">
        <f>VLOOKUP(GH2,Day_Codes,3,0)</f>
        <v>0</v>
      </c>
      <c r="GK2" s="9"/>
      <c r="GL2" s="9"/>
      <c r="GM2" s="10" t="s">
        <v>6</v>
      </c>
      <c r="GN2" s="10" t="s">
        <v>7</v>
      </c>
      <c r="GO2" s="11" t="s">
        <v>8</v>
      </c>
      <c r="GQ2" s="12" t="s">
        <v>35</v>
      </c>
      <c r="GR2" s="11" t="s">
        <v>36</v>
      </c>
    </row>
    <row r="3" spans="2:201" ht="5.25" customHeight="1">
      <c r="M3" s="6"/>
      <c r="DA3" s="6"/>
      <c r="DB3" s="6"/>
      <c r="DC3" s="6"/>
      <c r="DJ3" s="6"/>
      <c r="DK3" s="6"/>
      <c r="DL3" s="6"/>
      <c r="DS3" s="6"/>
      <c r="DT3" s="6"/>
      <c r="DU3" s="6"/>
      <c r="EB3" s="6"/>
      <c r="EC3" s="6"/>
      <c r="ED3" s="6"/>
      <c r="EK3" s="6"/>
      <c r="EL3" s="6"/>
      <c r="EM3" s="6"/>
      <c r="ET3" s="6"/>
      <c r="EU3" s="6"/>
      <c r="EV3" s="6"/>
      <c r="FC3" s="6"/>
      <c r="FD3" s="6"/>
      <c r="FE3" s="6"/>
      <c r="FL3" s="6"/>
      <c r="FM3" s="6"/>
      <c r="FN3" s="6"/>
      <c r="FU3" s="6"/>
      <c r="FV3" s="6"/>
      <c r="FW3" s="6"/>
      <c r="GD3" s="6"/>
      <c r="GE3" s="6"/>
      <c r="GF3" s="6"/>
      <c r="GM3" s="6"/>
      <c r="GN3" s="6"/>
      <c r="GO3" s="6"/>
      <c r="GQ3" s="6"/>
      <c r="GR3" s="6"/>
    </row>
    <row r="4" spans="2:201" ht="15.75" thickBot="1"/>
    <row r="5" spans="2:201" ht="18.75">
      <c r="B5" s="13"/>
      <c r="C5" s="14"/>
      <c r="D5" s="14"/>
      <c r="E5" s="14"/>
      <c r="F5" s="14"/>
      <c r="I5" s="15" t="s">
        <v>37</v>
      </c>
      <c r="J5" s="16" t="s">
        <v>38</v>
      </c>
      <c r="K5" s="17" t="s">
        <v>39</v>
      </c>
      <c r="L5" s="16" t="s">
        <v>40</v>
      </c>
      <c r="M5" s="18" t="s">
        <v>41</v>
      </c>
      <c r="P5" s="15" t="s">
        <v>37</v>
      </c>
      <c r="Q5" s="16" t="s">
        <v>38</v>
      </c>
      <c r="R5" s="17" t="s">
        <v>39</v>
      </c>
      <c r="S5" s="16" t="s">
        <v>40</v>
      </c>
      <c r="T5" s="18" t="s">
        <v>41</v>
      </c>
      <c r="V5" s="15" t="s">
        <v>37</v>
      </c>
      <c r="W5" s="16" t="s">
        <v>38</v>
      </c>
      <c r="X5" s="17" t="s">
        <v>39</v>
      </c>
      <c r="Y5" s="16" t="s">
        <v>40</v>
      </c>
      <c r="Z5" s="18" t="s">
        <v>41</v>
      </c>
      <c r="AB5" s="15" t="s">
        <v>37</v>
      </c>
      <c r="AC5" s="16" t="s">
        <v>38</v>
      </c>
      <c r="AD5" s="17" t="s">
        <v>39</v>
      </c>
      <c r="AE5" s="16" t="s">
        <v>40</v>
      </c>
      <c r="AF5" s="18" t="s">
        <v>41</v>
      </c>
      <c r="AH5" s="15" t="s">
        <v>37</v>
      </c>
      <c r="AI5" s="16" t="s">
        <v>38</v>
      </c>
      <c r="AJ5" s="17" t="s">
        <v>39</v>
      </c>
      <c r="AK5" s="16" t="s">
        <v>40</v>
      </c>
      <c r="AL5" s="18" t="s">
        <v>41</v>
      </c>
      <c r="AN5" s="15" t="s">
        <v>37</v>
      </c>
      <c r="AO5" s="16" t="s">
        <v>38</v>
      </c>
      <c r="AP5" s="17" t="s">
        <v>39</v>
      </c>
      <c r="AQ5" s="16" t="s">
        <v>40</v>
      </c>
      <c r="AR5" s="18" t="s">
        <v>41</v>
      </c>
      <c r="AT5" s="15" t="s">
        <v>37</v>
      </c>
      <c r="AU5" s="16" t="s">
        <v>38</v>
      </c>
      <c r="AV5" s="17" t="s">
        <v>39</v>
      </c>
      <c r="AW5" s="16" t="s">
        <v>40</v>
      </c>
      <c r="AX5" s="18" t="s">
        <v>41</v>
      </c>
      <c r="AZ5" s="15" t="s">
        <v>37</v>
      </c>
      <c r="BA5" s="16" t="s">
        <v>38</v>
      </c>
      <c r="BB5" s="17" t="s">
        <v>39</v>
      </c>
      <c r="BC5" s="16" t="s">
        <v>40</v>
      </c>
      <c r="BD5" s="18" t="s">
        <v>41</v>
      </c>
      <c r="BF5" s="15" t="s">
        <v>37</v>
      </c>
      <c r="BG5" s="16" t="s">
        <v>38</v>
      </c>
      <c r="BH5" s="17" t="s">
        <v>39</v>
      </c>
      <c r="BI5" s="16" t="s">
        <v>40</v>
      </c>
      <c r="BJ5" s="18" t="s">
        <v>41</v>
      </c>
      <c r="BL5" s="15" t="s">
        <v>37</v>
      </c>
      <c r="BM5" s="16" t="s">
        <v>38</v>
      </c>
      <c r="BN5" s="17" t="s">
        <v>39</v>
      </c>
      <c r="BO5" s="16" t="s">
        <v>40</v>
      </c>
      <c r="BP5" s="18" t="s">
        <v>41</v>
      </c>
      <c r="BR5" s="15" t="s">
        <v>37</v>
      </c>
      <c r="BS5" s="16" t="s">
        <v>38</v>
      </c>
      <c r="BT5" s="17" t="s">
        <v>39</v>
      </c>
      <c r="BU5" s="16" t="s">
        <v>40</v>
      </c>
      <c r="BV5" s="18" t="s">
        <v>41</v>
      </c>
      <c r="BX5" s="15" t="s">
        <v>37</v>
      </c>
      <c r="BY5" s="16" t="s">
        <v>38</v>
      </c>
      <c r="BZ5" s="17" t="s">
        <v>39</v>
      </c>
      <c r="CA5" s="16" t="s">
        <v>40</v>
      </c>
      <c r="CB5" s="18" t="s">
        <v>41</v>
      </c>
      <c r="CD5" s="15" t="s">
        <v>37</v>
      </c>
      <c r="CE5" s="16" t="s">
        <v>38</v>
      </c>
      <c r="CF5" s="17" t="s">
        <v>39</v>
      </c>
      <c r="CG5" s="16" t="s">
        <v>40</v>
      </c>
      <c r="CH5" s="18" t="s">
        <v>41</v>
      </c>
      <c r="CJ5" s="15" t="s">
        <v>37</v>
      </c>
      <c r="CK5" s="16" t="s">
        <v>38</v>
      </c>
      <c r="CL5" s="17" t="s">
        <v>39</v>
      </c>
      <c r="CM5" s="16" t="s">
        <v>40</v>
      </c>
      <c r="CN5" s="18" t="s">
        <v>41</v>
      </c>
      <c r="CP5" s="15" t="s">
        <v>37</v>
      </c>
      <c r="CQ5" s="16" t="s">
        <v>38</v>
      </c>
      <c r="CR5" s="17" t="s">
        <v>39</v>
      </c>
      <c r="CS5" s="16" t="s">
        <v>40</v>
      </c>
      <c r="CT5" s="18" t="s">
        <v>41</v>
      </c>
      <c r="CV5" s="15" t="s">
        <v>37</v>
      </c>
      <c r="CW5" s="16" t="s">
        <v>38</v>
      </c>
      <c r="CX5" s="17" t="s">
        <v>39</v>
      </c>
      <c r="CY5" s="16" t="s">
        <v>40</v>
      </c>
      <c r="CZ5" s="18" t="s">
        <v>41</v>
      </c>
      <c r="DA5" s="19"/>
      <c r="DB5" s="20"/>
      <c r="DC5" s="21"/>
      <c r="DE5" s="15" t="s">
        <v>37</v>
      </c>
      <c r="DF5" s="16" t="s">
        <v>38</v>
      </c>
      <c r="DG5" s="17" t="s">
        <v>39</v>
      </c>
      <c r="DH5" s="16" t="s">
        <v>40</v>
      </c>
      <c r="DI5" s="18" t="s">
        <v>41</v>
      </c>
      <c r="DJ5" s="19"/>
      <c r="DK5" s="20"/>
      <c r="DL5" s="21"/>
      <c r="DN5" s="15" t="s">
        <v>37</v>
      </c>
      <c r="DO5" s="16" t="s">
        <v>38</v>
      </c>
      <c r="DP5" s="17" t="s">
        <v>39</v>
      </c>
      <c r="DQ5" s="16" t="s">
        <v>40</v>
      </c>
      <c r="DR5" s="18" t="s">
        <v>41</v>
      </c>
      <c r="DS5" s="19"/>
      <c r="DT5" s="20"/>
      <c r="DU5" s="21"/>
      <c r="DW5" s="15" t="s">
        <v>37</v>
      </c>
      <c r="DX5" s="16" t="s">
        <v>38</v>
      </c>
      <c r="DY5" s="17" t="s">
        <v>39</v>
      </c>
      <c r="DZ5" s="16" t="s">
        <v>40</v>
      </c>
      <c r="EA5" s="18" t="s">
        <v>41</v>
      </c>
      <c r="EB5" s="19"/>
      <c r="EC5" s="20"/>
      <c r="ED5" s="21"/>
      <c r="EF5" s="15" t="s">
        <v>37</v>
      </c>
      <c r="EG5" s="16" t="s">
        <v>38</v>
      </c>
      <c r="EH5" s="17" t="s">
        <v>39</v>
      </c>
      <c r="EI5" s="16" t="s">
        <v>40</v>
      </c>
      <c r="EJ5" s="18" t="s">
        <v>41</v>
      </c>
      <c r="EK5" s="19"/>
      <c r="EL5" s="20"/>
      <c r="EM5" s="21"/>
      <c r="EO5" s="15" t="s">
        <v>37</v>
      </c>
      <c r="EP5" s="16" t="s">
        <v>38</v>
      </c>
      <c r="EQ5" s="17" t="s">
        <v>39</v>
      </c>
      <c r="ER5" s="16" t="s">
        <v>40</v>
      </c>
      <c r="ES5" s="18" t="s">
        <v>41</v>
      </c>
      <c r="ET5" s="19"/>
      <c r="EU5" s="20"/>
      <c r="EV5" s="21"/>
      <c r="EX5" s="15" t="s">
        <v>37</v>
      </c>
      <c r="EY5" s="16" t="s">
        <v>38</v>
      </c>
      <c r="EZ5" s="17" t="s">
        <v>39</v>
      </c>
      <c r="FA5" s="16" t="s">
        <v>40</v>
      </c>
      <c r="FB5" s="18" t="s">
        <v>41</v>
      </c>
      <c r="FC5" s="19"/>
      <c r="FD5" s="20"/>
      <c r="FE5" s="21"/>
      <c r="FG5" s="15" t="s">
        <v>37</v>
      </c>
      <c r="FH5" s="16" t="s">
        <v>38</v>
      </c>
      <c r="FI5" s="17" t="s">
        <v>39</v>
      </c>
      <c r="FJ5" s="16" t="s">
        <v>40</v>
      </c>
      <c r="FK5" s="18" t="s">
        <v>41</v>
      </c>
      <c r="FL5" s="19"/>
      <c r="FM5" s="20"/>
      <c r="FN5" s="21"/>
      <c r="FP5" s="15" t="s">
        <v>37</v>
      </c>
      <c r="FQ5" s="16" t="s">
        <v>38</v>
      </c>
      <c r="FR5" s="17" t="s">
        <v>39</v>
      </c>
      <c r="FS5" s="16" t="s">
        <v>40</v>
      </c>
      <c r="FT5" s="18" t="s">
        <v>41</v>
      </c>
      <c r="FU5" s="19"/>
      <c r="FV5" s="20"/>
      <c r="FW5" s="21"/>
      <c r="FY5" s="15" t="s">
        <v>37</v>
      </c>
      <c r="FZ5" s="16" t="s">
        <v>38</v>
      </c>
      <c r="GA5" s="17" t="s">
        <v>39</v>
      </c>
      <c r="GB5" s="16" t="s">
        <v>40</v>
      </c>
      <c r="GC5" s="18" t="s">
        <v>41</v>
      </c>
      <c r="GD5" s="19"/>
      <c r="GE5" s="20"/>
      <c r="GF5" s="21"/>
      <c r="GH5" s="15" t="s">
        <v>37</v>
      </c>
      <c r="GI5" s="16" t="s">
        <v>38</v>
      </c>
      <c r="GJ5" s="17" t="s">
        <v>39</v>
      </c>
      <c r="GK5" s="16" t="s">
        <v>40</v>
      </c>
      <c r="GL5" s="18" t="s">
        <v>41</v>
      </c>
      <c r="GM5" s="19"/>
      <c r="GN5" s="20"/>
      <c r="GO5" s="21"/>
    </row>
    <row r="6" spans="2:201" ht="15">
      <c r="B6" s="22" t="s">
        <v>108</v>
      </c>
      <c r="C6" s="23" t="s">
        <v>42</v>
      </c>
      <c r="D6" s="24" t="str">
        <f>IF(C6="","",_xlfn.XLOOKUP(C6,'[1]Control Sheet'!$L$5:$L$104,'[1]Control Sheet'!$M$5:$M$104,"",0))</f>
        <v>Leads</v>
      </c>
      <c r="E6" s="24" t="str">
        <f>IF(B6="","",_xlfn.XLOOKUP(B6,'[1]Control Sheet'!$D$5:$D$64,'[1]Control Sheet'!$F$5:$F$64,"",0))</f>
        <v>Zonal Leads</v>
      </c>
      <c r="F6" s="24" t="str">
        <f>IF(B6="","",_xlfn.XLOOKUP(B6,'[1]Control Sheet'!$D$5:$D$64,'[1]Control Sheet'!$E$5:$E$64,"",0))</f>
        <v>C1900-N</v>
      </c>
      <c r="I6" s="31">
        <v>0.375</v>
      </c>
      <c r="J6" s="32">
        <v>0.70833333333333337</v>
      </c>
      <c r="K6" s="33">
        <v>0</v>
      </c>
      <c r="L6" s="34">
        <v>5</v>
      </c>
      <c r="M6" s="35">
        <v>1</v>
      </c>
      <c r="P6" s="31">
        <v>0.375</v>
      </c>
      <c r="Q6" s="32">
        <v>0.70833333333333337</v>
      </c>
      <c r="R6" s="33">
        <v>0</v>
      </c>
      <c r="S6" s="34">
        <v>5</v>
      </c>
      <c r="T6" s="35">
        <v>1</v>
      </c>
      <c r="V6" s="31">
        <v>0.375</v>
      </c>
      <c r="W6" s="32">
        <v>0.70833333333333337</v>
      </c>
      <c r="X6" s="33">
        <v>0</v>
      </c>
      <c r="Y6" s="34">
        <v>5</v>
      </c>
      <c r="Z6" s="35">
        <v>1</v>
      </c>
      <c r="AB6" s="31">
        <v>0.375</v>
      </c>
      <c r="AC6" s="32">
        <v>0.70833333333333337</v>
      </c>
      <c r="AD6" s="33">
        <v>0</v>
      </c>
      <c r="AE6" s="34">
        <v>5</v>
      </c>
      <c r="AF6" s="35">
        <v>1</v>
      </c>
      <c r="AH6" s="31">
        <v>0.375</v>
      </c>
      <c r="AI6" s="32">
        <v>0.70833333333333337</v>
      </c>
      <c r="AJ6" s="33">
        <v>0</v>
      </c>
      <c r="AK6" s="34">
        <v>5</v>
      </c>
      <c r="AL6" s="35">
        <v>1</v>
      </c>
      <c r="AN6" s="31">
        <v>0.375</v>
      </c>
      <c r="AO6" s="32">
        <v>0.70833333333333337</v>
      </c>
      <c r="AP6" s="33">
        <v>0</v>
      </c>
      <c r="AQ6" s="34">
        <v>5</v>
      </c>
      <c r="AR6" s="35">
        <v>1</v>
      </c>
      <c r="AT6" s="31">
        <v>0.375</v>
      </c>
      <c r="AU6" s="32">
        <v>0.70833333333333337</v>
      </c>
      <c r="AV6" s="33">
        <v>0</v>
      </c>
      <c r="AW6" s="34">
        <v>5</v>
      </c>
      <c r="AX6" s="35">
        <v>1</v>
      </c>
      <c r="AZ6" s="31">
        <v>0.375</v>
      </c>
      <c r="BA6" s="32">
        <v>0.70833333333333337</v>
      </c>
      <c r="BB6" s="33">
        <v>0</v>
      </c>
      <c r="BC6" s="34">
        <v>5</v>
      </c>
      <c r="BD6" s="35">
        <v>1</v>
      </c>
      <c r="BF6" s="31">
        <v>0.375</v>
      </c>
      <c r="BG6" s="32">
        <v>0.70833333333333337</v>
      </c>
      <c r="BH6" s="33">
        <v>0</v>
      </c>
      <c r="BI6" s="34">
        <v>5</v>
      </c>
      <c r="BJ6" s="35">
        <v>1</v>
      </c>
      <c r="BL6" s="31">
        <v>0.375</v>
      </c>
      <c r="BM6" s="32">
        <v>0.70833333333333337</v>
      </c>
      <c r="BN6" s="33">
        <v>0</v>
      </c>
      <c r="BO6" s="34">
        <v>5</v>
      </c>
      <c r="BP6" s="35">
        <v>1</v>
      </c>
      <c r="BR6" s="31">
        <v>0.375</v>
      </c>
      <c r="BS6" s="32">
        <v>0.70833333333333337</v>
      </c>
      <c r="BT6" s="33">
        <v>0</v>
      </c>
      <c r="BU6" s="34">
        <v>5</v>
      </c>
      <c r="BV6" s="35">
        <v>1</v>
      </c>
      <c r="BX6" s="31">
        <v>0.375</v>
      </c>
      <c r="BY6" s="32">
        <v>0.70833333333333337</v>
      </c>
      <c r="BZ6" s="33">
        <v>0</v>
      </c>
      <c r="CA6" s="34">
        <v>5</v>
      </c>
      <c r="CB6" s="35">
        <v>1</v>
      </c>
      <c r="CD6" s="31">
        <v>0.375</v>
      </c>
      <c r="CE6" s="32">
        <v>0.70833333333333337</v>
      </c>
      <c r="CF6" s="33">
        <v>0</v>
      </c>
      <c r="CG6" s="34">
        <v>5</v>
      </c>
      <c r="CH6" s="35">
        <v>1</v>
      </c>
      <c r="CJ6" s="31">
        <v>0.375</v>
      </c>
      <c r="CK6" s="32">
        <v>0.70833333333333337</v>
      </c>
      <c r="CL6" s="33">
        <v>0</v>
      </c>
      <c r="CM6" s="34">
        <v>5</v>
      </c>
      <c r="CN6" s="35">
        <v>1</v>
      </c>
      <c r="CP6" s="31">
        <v>0.375</v>
      </c>
      <c r="CQ6" s="32">
        <v>0.70833333333333337</v>
      </c>
      <c r="CR6" s="33">
        <v>0</v>
      </c>
      <c r="CS6" s="34">
        <v>5</v>
      </c>
      <c r="CT6" s="35">
        <v>1</v>
      </c>
      <c r="CV6" s="25"/>
      <c r="CW6" s="26"/>
      <c r="CX6" s="27"/>
      <c r="CY6" s="28"/>
      <c r="CZ6" s="29"/>
      <c r="DA6" s="79">
        <f t="shared" ref="DA6:DA69" si="0">IF(SUM((CW6-CV6)*24,-CX6/60)*CY6&gt;=0,SUM((CW6-CV6)*24,-CX6/60)*CY6,0)</f>
        <v>0</v>
      </c>
      <c r="DB6" s="80" t="e">
        <f>DA6*#REF!</f>
        <v>#REF!</v>
      </c>
      <c r="DC6" s="81" t="e">
        <f>DA6*#REF!</f>
        <v>#REF!</v>
      </c>
      <c r="DE6" s="25"/>
      <c r="DF6" s="26"/>
      <c r="DG6" s="27"/>
      <c r="DH6" s="28"/>
      <c r="DI6" s="29"/>
      <c r="DJ6" s="79">
        <f t="shared" ref="DJ6:DJ69" si="1">IF(SUM((DF6-DE6)*24,-DG6/60)*DH6&gt;=0,SUM((DF6-DE6)*24,-DG6/60)*DH6,0)</f>
        <v>0</v>
      </c>
      <c r="DK6" s="80" t="e">
        <f>DJ6*#REF!</f>
        <v>#REF!</v>
      </c>
      <c r="DL6" s="81" t="e">
        <f>DJ6*#REF!</f>
        <v>#REF!</v>
      </c>
      <c r="DN6" s="25"/>
      <c r="DO6" s="26"/>
      <c r="DP6" s="27"/>
      <c r="DQ6" s="28"/>
      <c r="DR6" s="29"/>
      <c r="DS6" s="79">
        <f t="shared" ref="DS6:DS69" si="2">IF(SUM((DO6-DN6)*24,-DP6/60)*DQ6&gt;=0,SUM((DO6-DN6)*24,-DP6/60)*DQ6,0)</f>
        <v>0</v>
      </c>
      <c r="DT6" s="80" t="e">
        <f>DS6*#REF!</f>
        <v>#REF!</v>
      </c>
      <c r="DU6" s="81" t="e">
        <f>DS6*#REF!</f>
        <v>#REF!</v>
      </c>
      <c r="DW6" s="25"/>
      <c r="DX6" s="26"/>
      <c r="DY6" s="27"/>
      <c r="DZ6" s="28"/>
      <c r="EA6" s="29"/>
      <c r="EB6" s="79">
        <f t="shared" ref="EB6:EB69" si="3">IF(SUM((DX6-DW6)*24,-DY6/60)*DZ6&gt;=0,SUM((DX6-DW6)*24,-DY6/60)*DZ6,0)</f>
        <v>0</v>
      </c>
      <c r="EC6" s="80" t="e">
        <f>EB6*#REF!</f>
        <v>#REF!</v>
      </c>
      <c r="ED6" s="81" t="e">
        <f>EB6*#REF!</f>
        <v>#REF!</v>
      </c>
      <c r="EF6" s="25"/>
      <c r="EG6" s="26"/>
      <c r="EH6" s="27"/>
      <c r="EI6" s="28"/>
      <c r="EJ6" s="29"/>
      <c r="EK6" s="79">
        <f t="shared" ref="EK6:EK69" si="4">IF(SUM((EG6-EF6)*24,-EH6/60)*EI6&gt;=0,SUM((EG6-EF6)*24,-EH6/60)*EI6,0)</f>
        <v>0</v>
      </c>
      <c r="EL6" s="80" t="e">
        <f>EK6*#REF!</f>
        <v>#REF!</v>
      </c>
      <c r="EM6" s="81" t="e">
        <f>EK6*#REF!</f>
        <v>#REF!</v>
      </c>
      <c r="EO6" s="25"/>
      <c r="EP6" s="26"/>
      <c r="EQ6" s="27"/>
      <c r="ER6" s="28"/>
      <c r="ES6" s="29"/>
      <c r="ET6" s="79">
        <f t="shared" ref="ET6:ET69" si="5">IF(SUM((EP6-EO6)*24,-EQ6/60)*ER6&gt;=0,SUM((EP6-EO6)*24,-EQ6/60)*ER6,0)</f>
        <v>0</v>
      </c>
      <c r="EU6" s="80" t="e">
        <f>ET6*#REF!</f>
        <v>#REF!</v>
      </c>
      <c r="EV6" s="81" t="e">
        <f>ET6*#REF!</f>
        <v>#REF!</v>
      </c>
      <c r="EX6" s="25"/>
      <c r="EY6" s="26"/>
      <c r="EZ6" s="27"/>
      <c r="FA6" s="28"/>
      <c r="FB6" s="29"/>
      <c r="FC6" s="79">
        <f t="shared" ref="FC6:FC69" si="6">IF(SUM((EY6-EX6)*24,-EZ6/60)*FA6&gt;=0,SUM((EY6-EX6)*24,-EZ6/60)*FA6,0)</f>
        <v>0</v>
      </c>
      <c r="FD6" s="80" t="e">
        <f>FC6*#REF!</f>
        <v>#REF!</v>
      </c>
      <c r="FE6" s="81" t="e">
        <f>FC6*#REF!</f>
        <v>#REF!</v>
      </c>
      <c r="FG6" s="25"/>
      <c r="FH6" s="26"/>
      <c r="FI6" s="27"/>
      <c r="FJ6" s="28"/>
      <c r="FK6" s="29"/>
      <c r="FL6" s="79">
        <f t="shared" ref="FL6:FL69" si="7">IF(SUM((FH6-FG6)*24,-FI6/60)*FJ6&gt;=0,SUM((FH6-FG6)*24,-FI6/60)*FJ6,0)</f>
        <v>0</v>
      </c>
      <c r="FM6" s="80" t="e">
        <f>FL6*#REF!</f>
        <v>#REF!</v>
      </c>
      <c r="FN6" s="81" t="e">
        <f>FL6*#REF!</f>
        <v>#REF!</v>
      </c>
      <c r="FP6" s="25"/>
      <c r="FQ6" s="26"/>
      <c r="FR6" s="27"/>
      <c r="FS6" s="28"/>
      <c r="FT6" s="29"/>
      <c r="FU6" s="79">
        <f t="shared" ref="FU6:FU69" si="8">IF(SUM((FQ6-FP6)*24,-FR6/60)*FS6&gt;=0,SUM((FQ6-FP6)*24,-FR6/60)*FS6,0)</f>
        <v>0</v>
      </c>
      <c r="FV6" s="80" t="e">
        <f>FU6*#REF!</f>
        <v>#REF!</v>
      </c>
      <c r="FW6" s="81" t="e">
        <f>FU6*#REF!</f>
        <v>#REF!</v>
      </c>
      <c r="FY6" s="25"/>
      <c r="FZ6" s="26"/>
      <c r="GA6" s="27"/>
      <c r="GB6" s="28"/>
      <c r="GC6" s="29"/>
      <c r="GD6" s="79">
        <f t="shared" ref="GD6:GD69" si="9">IF(SUM((FZ6-FY6)*24,-GA6/60)*GB6&gt;=0,SUM((FZ6-FY6)*24,-GA6/60)*GB6,0)</f>
        <v>0</v>
      </c>
      <c r="GE6" s="80" t="e">
        <f>GD6*#REF!</f>
        <v>#REF!</v>
      </c>
      <c r="GF6" s="81" t="e">
        <f>GD6*#REF!</f>
        <v>#REF!</v>
      </c>
      <c r="GH6" s="25"/>
      <c r="GI6" s="26"/>
      <c r="GJ6" s="27"/>
      <c r="GK6" s="28"/>
      <c r="GL6" s="29"/>
      <c r="GM6" s="79">
        <f t="shared" ref="GM6:GM69" si="10">IF(SUM((GI6-GH6)*24,-GJ6/60)*GK6&gt;=0,SUM((GI6-GH6)*24,-GJ6/60)*GK6,0)</f>
        <v>0</v>
      </c>
      <c r="GN6" s="80" t="e">
        <f>GM6*#REF!</f>
        <v>#REF!</v>
      </c>
      <c r="GO6" s="81" t="e">
        <f>GM6*#REF!</f>
        <v>#REF!</v>
      </c>
      <c r="GQ6" s="82">
        <f t="shared" ref="GQ6:GQ37" si="11">_xlfn.MAXIFS(I6:GO6,$I$5:$GO$5,"Staff #")</f>
        <v>5</v>
      </c>
      <c r="GR6" s="83">
        <v>5</v>
      </c>
    </row>
    <row r="7" spans="2:201" ht="15">
      <c r="B7" s="22"/>
      <c r="C7" s="23"/>
      <c r="D7" s="24" t="str">
        <f>IF(C7="","",_xlfn.XLOOKUP(C7,'[1]Control Sheet'!$L$5:$L$104,'[1]Control Sheet'!$M$5:$M$104,"",0))</f>
        <v/>
      </c>
      <c r="E7" s="24" t="str">
        <f>IF(B7="","",_xlfn.XLOOKUP(B7,'[1]Control Sheet'!$D$5:$D$64,'[1]Control Sheet'!$F$5:$F$64,"",0))</f>
        <v/>
      </c>
      <c r="F7" s="24" t="str">
        <f>IF(B7="","",_xlfn.XLOOKUP(B7,'[1]Control Sheet'!$D$5:$D$64,'[1]Control Sheet'!$E$5:$E$64,"",0))</f>
        <v/>
      </c>
      <c r="I7" s="31"/>
      <c r="J7" s="32"/>
      <c r="K7" s="33"/>
      <c r="L7" s="34"/>
      <c r="M7" s="35"/>
      <c r="P7" s="31"/>
      <c r="Q7" s="32"/>
      <c r="R7" s="33"/>
      <c r="S7" s="34"/>
      <c r="T7" s="35"/>
      <c r="V7" s="31"/>
      <c r="W7" s="32"/>
      <c r="X7" s="33"/>
      <c r="Y7" s="34"/>
      <c r="Z7" s="35"/>
      <c r="AB7" s="31"/>
      <c r="AC7" s="32"/>
      <c r="AD7" s="33"/>
      <c r="AE7" s="34"/>
      <c r="AF7" s="35"/>
      <c r="AH7" s="31"/>
      <c r="AI7" s="32"/>
      <c r="AJ7" s="33"/>
      <c r="AK7" s="34"/>
      <c r="AL7" s="35"/>
      <c r="AN7" s="31"/>
      <c r="AO7" s="32"/>
      <c r="AP7" s="33"/>
      <c r="AQ7" s="34"/>
      <c r="AR7" s="35"/>
      <c r="AT7" s="31"/>
      <c r="AU7" s="32"/>
      <c r="AV7" s="33"/>
      <c r="AW7" s="34"/>
      <c r="AX7" s="35"/>
      <c r="AZ7" s="31"/>
      <c r="BA7" s="32"/>
      <c r="BB7" s="33"/>
      <c r="BC7" s="34"/>
      <c r="BD7" s="35"/>
      <c r="BF7" s="31"/>
      <c r="BG7" s="32"/>
      <c r="BH7" s="33"/>
      <c r="BI7" s="34"/>
      <c r="BJ7" s="35"/>
      <c r="BL7" s="31"/>
      <c r="BM7" s="32"/>
      <c r="BN7" s="33"/>
      <c r="BO7" s="34"/>
      <c r="BP7" s="35"/>
      <c r="BR7" s="31"/>
      <c r="BS7" s="32"/>
      <c r="BT7" s="33"/>
      <c r="BU7" s="34"/>
      <c r="BV7" s="35"/>
      <c r="BX7" s="31"/>
      <c r="BY7" s="32"/>
      <c r="BZ7" s="33"/>
      <c r="CA7" s="34"/>
      <c r="CB7" s="35"/>
      <c r="CD7" s="31"/>
      <c r="CE7" s="32"/>
      <c r="CF7" s="33"/>
      <c r="CG7" s="34"/>
      <c r="CH7" s="35"/>
      <c r="CJ7" s="31"/>
      <c r="CK7" s="32"/>
      <c r="CL7" s="33"/>
      <c r="CM7" s="34"/>
      <c r="CN7" s="36"/>
      <c r="CP7" s="25"/>
      <c r="CQ7" s="26"/>
      <c r="CR7" s="27"/>
      <c r="CS7" s="28"/>
      <c r="CT7" s="29"/>
      <c r="CV7" s="25"/>
      <c r="CW7" s="26"/>
      <c r="CX7" s="27"/>
      <c r="CY7" s="28"/>
      <c r="CZ7" s="29"/>
      <c r="DA7" s="79">
        <f t="shared" si="0"/>
        <v>0</v>
      </c>
      <c r="DB7" s="80" t="e">
        <f>DA7*#REF!</f>
        <v>#REF!</v>
      </c>
      <c r="DC7" s="81" t="e">
        <f>DA7*#REF!</f>
        <v>#REF!</v>
      </c>
      <c r="DE7" s="25"/>
      <c r="DF7" s="26"/>
      <c r="DG7" s="27"/>
      <c r="DH7" s="28"/>
      <c r="DI7" s="29"/>
      <c r="DJ7" s="79">
        <f t="shared" si="1"/>
        <v>0</v>
      </c>
      <c r="DK7" s="80" t="e">
        <f>DJ7*#REF!</f>
        <v>#REF!</v>
      </c>
      <c r="DL7" s="81" t="e">
        <f>DJ7*#REF!</f>
        <v>#REF!</v>
      </c>
      <c r="DN7" s="25"/>
      <c r="DO7" s="26"/>
      <c r="DP7" s="27"/>
      <c r="DQ7" s="28"/>
      <c r="DR7" s="29"/>
      <c r="DS7" s="79">
        <f t="shared" si="2"/>
        <v>0</v>
      </c>
      <c r="DT7" s="80" t="e">
        <f>DS7*#REF!</f>
        <v>#REF!</v>
      </c>
      <c r="DU7" s="81" t="e">
        <f>DS7*#REF!</f>
        <v>#REF!</v>
      </c>
      <c r="DW7" s="25"/>
      <c r="DX7" s="26"/>
      <c r="DY7" s="27"/>
      <c r="DZ7" s="28"/>
      <c r="EA7" s="29"/>
      <c r="EB7" s="79">
        <f t="shared" si="3"/>
        <v>0</v>
      </c>
      <c r="EC7" s="80" t="e">
        <f>EB7*#REF!</f>
        <v>#REF!</v>
      </c>
      <c r="ED7" s="81" t="e">
        <f>EB7*#REF!</f>
        <v>#REF!</v>
      </c>
      <c r="EF7" s="25"/>
      <c r="EG7" s="26"/>
      <c r="EH7" s="27"/>
      <c r="EI7" s="28"/>
      <c r="EJ7" s="29"/>
      <c r="EK7" s="79">
        <f t="shared" si="4"/>
        <v>0</v>
      </c>
      <c r="EL7" s="80" t="e">
        <f>EK7*#REF!</f>
        <v>#REF!</v>
      </c>
      <c r="EM7" s="81" t="e">
        <f>EK7*#REF!</f>
        <v>#REF!</v>
      </c>
      <c r="EO7" s="25"/>
      <c r="EP7" s="26"/>
      <c r="EQ7" s="27"/>
      <c r="ER7" s="28"/>
      <c r="ES7" s="29"/>
      <c r="ET7" s="79">
        <f t="shared" si="5"/>
        <v>0</v>
      </c>
      <c r="EU7" s="80" t="e">
        <f>ET7*#REF!</f>
        <v>#REF!</v>
      </c>
      <c r="EV7" s="81" t="e">
        <f>ET7*#REF!</f>
        <v>#REF!</v>
      </c>
      <c r="EX7" s="25"/>
      <c r="EY7" s="26"/>
      <c r="EZ7" s="27"/>
      <c r="FA7" s="28"/>
      <c r="FB7" s="29"/>
      <c r="FC7" s="79">
        <f t="shared" si="6"/>
        <v>0</v>
      </c>
      <c r="FD7" s="80" t="e">
        <f>FC7*#REF!</f>
        <v>#REF!</v>
      </c>
      <c r="FE7" s="81" t="e">
        <f>FC7*#REF!</f>
        <v>#REF!</v>
      </c>
      <c r="FG7" s="25"/>
      <c r="FH7" s="26"/>
      <c r="FI7" s="27"/>
      <c r="FJ7" s="28"/>
      <c r="FK7" s="29"/>
      <c r="FL7" s="79">
        <f t="shared" si="7"/>
        <v>0</v>
      </c>
      <c r="FM7" s="80" t="e">
        <f>FL7*#REF!</f>
        <v>#REF!</v>
      </c>
      <c r="FN7" s="81" t="e">
        <f>FL7*#REF!</f>
        <v>#REF!</v>
      </c>
      <c r="FP7" s="25"/>
      <c r="FQ7" s="26"/>
      <c r="FR7" s="27"/>
      <c r="FS7" s="28"/>
      <c r="FT7" s="29"/>
      <c r="FU7" s="79">
        <f t="shared" si="8"/>
        <v>0</v>
      </c>
      <c r="FV7" s="80" t="e">
        <f>FU7*#REF!</f>
        <v>#REF!</v>
      </c>
      <c r="FW7" s="81" t="e">
        <f>FU7*#REF!</f>
        <v>#REF!</v>
      </c>
      <c r="FY7" s="25"/>
      <c r="FZ7" s="26"/>
      <c r="GA7" s="27"/>
      <c r="GB7" s="28"/>
      <c r="GC7" s="29"/>
      <c r="GD7" s="79">
        <f t="shared" si="9"/>
        <v>0</v>
      </c>
      <c r="GE7" s="80" t="e">
        <f>GD7*#REF!</f>
        <v>#REF!</v>
      </c>
      <c r="GF7" s="81" t="e">
        <f>GD7*#REF!</f>
        <v>#REF!</v>
      </c>
      <c r="GH7" s="25"/>
      <c r="GI7" s="26"/>
      <c r="GJ7" s="27"/>
      <c r="GK7" s="28"/>
      <c r="GL7" s="29"/>
      <c r="GM7" s="79">
        <f t="shared" si="10"/>
        <v>0</v>
      </c>
      <c r="GN7" s="80" t="e">
        <f>GM7*#REF!</f>
        <v>#REF!</v>
      </c>
      <c r="GO7" s="81" t="e">
        <f>GM7*#REF!</f>
        <v>#REF!</v>
      </c>
      <c r="GQ7" s="82">
        <f t="shared" si="11"/>
        <v>0</v>
      </c>
      <c r="GR7" s="83">
        <v>0</v>
      </c>
    </row>
    <row r="8" spans="2:201" ht="15">
      <c r="B8" s="22"/>
      <c r="C8" s="23"/>
      <c r="D8" s="24" t="str">
        <f>IF(C8="","",_xlfn.XLOOKUP(C8,'[1]Control Sheet'!$L$5:$L$104,'[1]Control Sheet'!$M$5:$M$104,"",0))</f>
        <v/>
      </c>
      <c r="E8" s="24" t="str">
        <f>IF(B8="","",_xlfn.XLOOKUP(B8,'[1]Control Sheet'!$D$5:$D$64,'[1]Control Sheet'!$F$5:$F$64,"",0))</f>
        <v/>
      </c>
      <c r="F8" s="24" t="str">
        <f>IF(B8="","",_xlfn.XLOOKUP(B8,'[1]Control Sheet'!$D$5:$D$64,'[1]Control Sheet'!$E$5:$E$64,"",0))</f>
        <v/>
      </c>
      <c r="I8" s="31"/>
      <c r="J8" s="32"/>
      <c r="K8" s="33"/>
      <c r="L8" s="34"/>
      <c r="M8" s="35"/>
      <c r="P8" s="31"/>
      <c r="Q8" s="32"/>
      <c r="R8" s="33"/>
      <c r="S8" s="34"/>
      <c r="T8" s="35"/>
      <c r="V8" s="31"/>
      <c r="W8" s="32"/>
      <c r="X8" s="33"/>
      <c r="Y8" s="34"/>
      <c r="Z8" s="35"/>
      <c r="AB8" s="31"/>
      <c r="AC8" s="32"/>
      <c r="AD8" s="33"/>
      <c r="AE8" s="34"/>
      <c r="AF8" s="35"/>
      <c r="AH8" s="31"/>
      <c r="AI8" s="32"/>
      <c r="AJ8" s="33"/>
      <c r="AK8" s="34"/>
      <c r="AL8" s="35"/>
      <c r="AN8" s="31"/>
      <c r="AO8" s="32"/>
      <c r="AP8" s="33"/>
      <c r="AQ8" s="34"/>
      <c r="AR8" s="35"/>
      <c r="AT8" s="31"/>
      <c r="AU8" s="32"/>
      <c r="AV8" s="33"/>
      <c r="AW8" s="34"/>
      <c r="AX8" s="35"/>
      <c r="AZ8" s="31"/>
      <c r="BA8" s="32"/>
      <c r="BB8" s="33"/>
      <c r="BC8" s="34"/>
      <c r="BD8" s="35"/>
      <c r="BF8" s="31"/>
      <c r="BG8" s="32"/>
      <c r="BH8" s="33"/>
      <c r="BI8" s="34"/>
      <c r="BJ8" s="35"/>
      <c r="BL8" s="31"/>
      <c r="BM8" s="32"/>
      <c r="BN8" s="33"/>
      <c r="BO8" s="34"/>
      <c r="BP8" s="36"/>
      <c r="BR8" s="31"/>
      <c r="BS8" s="32"/>
      <c r="BT8" s="33"/>
      <c r="BU8" s="34"/>
      <c r="BV8" s="35"/>
      <c r="BX8" s="31"/>
      <c r="BY8" s="32"/>
      <c r="BZ8" s="33"/>
      <c r="CA8" s="34"/>
      <c r="CB8" s="36"/>
      <c r="CD8" s="31"/>
      <c r="CE8" s="32"/>
      <c r="CF8" s="33"/>
      <c r="CG8" s="34"/>
      <c r="CH8" s="36"/>
      <c r="CJ8" s="31"/>
      <c r="CK8" s="32"/>
      <c r="CL8" s="33"/>
      <c r="CM8" s="34"/>
      <c r="CN8" s="36"/>
      <c r="CP8" s="25"/>
      <c r="CQ8" s="26"/>
      <c r="CR8" s="27"/>
      <c r="CS8" s="28"/>
      <c r="CT8" s="29"/>
      <c r="CV8" s="25"/>
      <c r="CW8" s="26"/>
      <c r="CX8" s="27"/>
      <c r="CY8" s="28"/>
      <c r="CZ8" s="29"/>
      <c r="DA8" s="79">
        <f t="shared" si="0"/>
        <v>0</v>
      </c>
      <c r="DB8" s="80" t="e">
        <f>DA8*#REF!</f>
        <v>#REF!</v>
      </c>
      <c r="DC8" s="81" t="e">
        <f>DA8*#REF!</f>
        <v>#REF!</v>
      </c>
      <c r="DE8" s="25"/>
      <c r="DF8" s="26"/>
      <c r="DG8" s="27"/>
      <c r="DH8" s="28"/>
      <c r="DI8" s="29"/>
      <c r="DJ8" s="79">
        <f t="shared" si="1"/>
        <v>0</v>
      </c>
      <c r="DK8" s="80" t="e">
        <f>DJ8*#REF!</f>
        <v>#REF!</v>
      </c>
      <c r="DL8" s="81" t="e">
        <f>DJ8*#REF!</f>
        <v>#REF!</v>
      </c>
      <c r="DN8" s="25"/>
      <c r="DO8" s="26"/>
      <c r="DP8" s="27"/>
      <c r="DQ8" s="28"/>
      <c r="DR8" s="29"/>
      <c r="DS8" s="79">
        <f t="shared" si="2"/>
        <v>0</v>
      </c>
      <c r="DT8" s="80" t="e">
        <f>DS8*#REF!</f>
        <v>#REF!</v>
      </c>
      <c r="DU8" s="81" t="e">
        <f>DS8*#REF!</f>
        <v>#REF!</v>
      </c>
      <c r="DW8" s="25"/>
      <c r="DX8" s="26"/>
      <c r="DY8" s="27"/>
      <c r="DZ8" s="28"/>
      <c r="EA8" s="29"/>
      <c r="EB8" s="79">
        <f t="shared" si="3"/>
        <v>0</v>
      </c>
      <c r="EC8" s="80" t="e">
        <f>EB8*#REF!</f>
        <v>#REF!</v>
      </c>
      <c r="ED8" s="81" t="e">
        <f>EB8*#REF!</f>
        <v>#REF!</v>
      </c>
      <c r="EF8" s="25"/>
      <c r="EG8" s="26"/>
      <c r="EH8" s="27"/>
      <c r="EI8" s="28"/>
      <c r="EJ8" s="29"/>
      <c r="EK8" s="79">
        <f t="shared" si="4"/>
        <v>0</v>
      </c>
      <c r="EL8" s="80" t="e">
        <f>EK8*#REF!</f>
        <v>#REF!</v>
      </c>
      <c r="EM8" s="81" t="e">
        <f>EK8*#REF!</f>
        <v>#REF!</v>
      </c>
      <c r="EO8" s="25"/>
      <c r="EP8" s="26"/>
      <c r="EQ8" s="27"/>
      <c r="ER8" s="28"/>
      <c r="ES8" s="29"/>
      <c r="ET8" s="79">
        <f t="shared" si="5"/>
        <v>0</v>
      </c>
      <c r="EU8" s="80" t="e">
        <f>ET8*#REF!</f>
        <v>#REF!</v>
      </c>
      <c r="EV8" s="81" t="e">
        <f>ET8*#REF!</f>
        <v>#REF!</v>
      </c>
      <c r="EX8" s="25"/>
      <c r="EY8" s="26"/>
      <c r="EZ8" s="27"/>
      <c r="FA8" s="28"/>
      <c r="FB8" s="29"/>
      <c r="FC8" s="79">
        <f t="shared" si="6"/>
        <v>0</v>
      </c>
      <c r="FD8" s="80" t="e">
        <f>FC8*#REF!</f>
        <v>#REF!</v>
      </c>
      <c r="FE8" s="81" t="e">
        <f>FC8*#REF!</f>
        <v>#REF!</v>
      </c>
      <c r="FG8" s="25"/>
      <c r="FH8" s="26"/>
      <c r="FI8" s="27"/>
      <c r="FJ8" s="28"/>
      <c r="FK8" s="29"/>
      <c r="FL8" s="79">
        <f t="shared" si="7"/>
        <v>0</v>
      </c>
      <c r="FM8" s="80" t="e">
        <f>FL8*#REF!</f>
        <v>#REF!</v>
      </c>
      <c r="FN8" s="81" t="e">
        <f>FL8*#REF!</f>
        <v>#REF!</v>
      </c>
      <c r="FP8" s="25"/>
      <c r="FQ8" s="26"/>
      <c r="FR8" s="27"/>
      <c r="FS8" s="28"/>
      <c r="FT8" s="29"/>
      <c r="FU8" s="79">
        <f t="shared" si="8"/>
        <v>0</v>
      </c>
      <c r="FV8" s="80" t="e">
        <f>FU8*#REF!</f>
        <v>#REF!</v>
      </c>
      <c r="FW8" s="81" t="e">
        <f>FU8*#REF!</f>
        <v>#REF!</v>
      </c>
      <c r="FY8" s="25"/>
      <c r="FZ8" s="26"/>
      <c r="GA8" s="27"/>
      <c r="GB8" s="28"/>
      <c r="GC8" s="29"/>
      <c r="GD8" s="79">
        <f t="shared" si="9"/>
        <v>0</v>
      </c>
      <c r="GE8" s="80" t="e">
        <f>GD8*#REF!</f>
        <v>#REF!</v>
      </c>
      <c r="GF8" s="81" t="e">
        <f>GD8*#REF!</f>
        <v>#REF!</v>
      </c>
      <c r="GH8" s="25"/>
      <c r="GI8" s="26"/>
      <c r="GJ8" s="27"/>
      <c r="GK8" s="28"/>
      <c r="GL8" s="29"/>
      <c r="GM8" s="79">
        <f t="shared" si="10"/>
        <v>0</v>
      </c>
      <c r="GN8" s="80" t="e">
        <f>GM8*#REF!</f>
        <v>#REF!</v>
      </c>
      <c r="GO8" s="81" t="e">
        <f>GM8*#REF!</f>
        <v>#REF!</v>
      </c>
      <c r="GQ8" s="82">
        <f t="shared" si="11"/>
        <v>0</v>
      </c>
      <c r="GR8" s="83">
        <v>0</v>
      </c>
    </row>
    <row r="9" spans="2:201" ht="15">
      <c r="B9" s="22"/>
      <c r="C9" s="23"/>
      <c r="D9" s="24" t="str">
        <f>IF(C9="","",_xlfn.XLOOKUP(C9,'[1]Control Sheet'!$L$5:$L$104,'[1]Control Sheet'!$M$5:$M$104,"",0))</f>
        <v/>
      </c>
      <c r="E9" s="24" t="str">
        <f>IF(B9="","",_xlfn.XLOOKUP(B9,'[1]Control Sheet'!$D$5:$D$64,'[1]Control Sheet'!$F$5:$F$64,"",0))</f>
        <v/>
      </c>
      <c r="F9" s="24" t="str">
        <f>IF(B9="","",_xlfn.XLOOKUP(B9,'[1]Control Sheet'!$D$5:$D$64,'[1]Control Sheet'!$E$5:$E$64,"",0))</f>
        <v/>
      </c>
      <c r="I9" s="31"/>
      <c r="J9" s="32"/>
      <c r="K9" s="33"/>
      <c r="L9" s="34"/>
      <c r="M9" s="35"/>
      <c r="P9" s="31"/>
      <c r="Q9" s="32"/>
      <c r="R9" s="33"/>
      <c r="S9" s="34"/>
      <c r="T9" s="35"/>
      <c r="V9" s="31"/>
      <c r="W9" s="32"/>
      <c r="X9" s="33"/>
      <c r="Y9" s="34"/>
      <c r="Z9" s="35"/>
      <c r="AB9" s="31"/>
      <c r="AC9" s="32"/>
      <c r="AD9" s="33"/>
      <c r="AE9" s="34"/>
      <c r="AF9" s="35"/>
      <c r="AH9" s="31"/>
      <c r="AI9" s="32"/>
      <c r="AJ9" s="33"/>
      <c r="AK9" s="34"/>
      <c r="AL9" s="35"/>
      <c r="AN9" s="31"/>
      <c r="AO9" s="32"/>
      <c r="AP9" s="33"/>
      <c r="AQ9" s="34"/>
      <c r="AR9" s="35"/>
      <c r="AT9" s="31"/>
      <c r="AU9" s="32"/>
      <c r="AV9" s="33"/>
      <c r="AW9" s="34"/>
      <c r="AX9" s="35"/>
      <c r="AZ9" s="31"/>
      <c r="BA9" s="32"/>
      <c r="BB9" s="33"/>
      <c r="BC9" s="34"/>
      <c r="BD9" s="35"/>
      <c r="BF9" s="31"/>
      <c r="BG9" s="32"/>
      <c r="BH9" s="33"/>
      <c r="BI9" s="34"/>
      <c r="BJ9" s="35"/>
      <c r="BL9" s="31"/>
      <c r="BM9" s="32"/>
      <c r="BN9" s="33"/>
      <c r="BO9" s="34"/>
      <c r="BP9" s="35"/>
      <c r="BR9" s="31"/>
      <c r="BS9" s="32"/>
      <c r="BT9" s="33"/>
      <c r="BU9" s="34"/>
      <c r="BV9" s="35"/>
      <c r="BX9" s="31"/>
      <c r="BY9" s="32"/>
      <c r="BZ9" s="33"/>
      <c r="CA9" s="34"/>
      <c r="CB9" s="35"/>
      <c r="CD9" s="31"/>
      <c r="CE9" s="32"/>
      <c r="CF9" s="33"/>
      <c r="CG9" s="34"/>
      <c r="CH9" s="35"/>
      <c r="CJ9" s="31"/>
      <c r="CK9" s="32"/>
      <c r="CL9" s="33"/>
      <c r="CM9" s="34"/>
      <c r="CN9" s="36"/>
      <c r="CP9" s="25"/>
      <c r="CQ9" s="26"/>
      <c r="CR9" s="27"/>
      <c r="CS9" s="28"/>
      <c r="CT9" s="29"/>
      <c r="CV9" s="25"/>
      <c r="CW9" s="26"/>
      <c r="CX9" s="27"/>
      <c r="CY9" s="28"/>
      <c r="CZ9" s="29"/>
      <c r="DA9" s="79">
        <f t="shared" si="0"/>
        <v>0</v>
      </c>
      <c r="DB9" s="80" t="e">
        <f>DA9*#REF!</f>
        <v>#REF!</v>
      </c>
      <c r="DC9" s="81" t="e">
        <f>DA9*#REF!</f>
        <v>#REF!</v>
      </c>
      <c r="DE9" s="25"/>
      <c r="DF9" s="26"/>
      <c r="DG9" s="27"/>
      <c r="DH9" s="28"/>
      <c r="DI9" s="29"/>
      <c r="DJ9" s="79">
        <f t="shared" si="1"/>
        <v>0</v>
      </c>
      <c r="DK9" s="80" t="e">
        <f>DJ9*#REF!</f>
        <v>#REF!</v>
      </c>
      <c r="DL9" s="81" t="e">
        <f>DJ9*#REF!</f>
        <v>#REF!</v>
      </c>
      <c r="DN9" s="25"/>
      <c r="DO9" s="26"/>
      <c r="DP9" s="27"/>
      <c r="DQ9" s="28"/>
      <c r="DR9" s="29"/>
      <c r="DS9" s="79">
        <f t="shared" si="2"/>
        <v>0</v>
      </c>
      <c r="DT9" s="80" t="e">
        <f>DS9*#REF!</f>
        <v>#REF!</v>
      </c>
      <c r="DU9" s="81" t="e">
        <f>DS9*#REF!</f>
        <v>#REF!</v>
      </c>
      <c r="DW9" s="25"/>
      <c r="DX9" s="26"/>
      <c r="DY9" s="27"/>
      <c r="DZ9" s="28"/>
      <c r="EA9" s="29"/>
      <c r="EB9" s="79">
        <f t="shared" si="3"/>
        <v>0</v>
      </c>
      <c r="EC9" s="80" t="e">
        <f>EB9*#REF!</f>
        <v>#REF!</v>
      </c>
      <c r="ED9" s="81" t="e">
        <f>EB9*#REF!</f>
        <v>#REF!</v>
      </c>
      <c r="EF9" s="25"/>
      <c r="EG9" s="26"/>
      <c r="EH9" s="27"/>
      <c r="EI9" s="28"/>
      <c r="EJ9" s="29"/>
      <c r="EK9" s="79">
        <f t="shared" si="4"/>
        <v>0</v>
      </c>
      <c r="EL9" s="80" t="e">
        <f>EK9*#REF!</f>
        <v>#REF!</v>
      </c>
      <c r="EM9" s="81" t="e">
        <f>EK9*#REF!</f>
        <v>#REF!</v>
      </c>
      <c r="EO9" s="25"/>
      <c r="EP9" s="26"/>
      <c r="EQ9" s="27"/>
      <c r="ER9" s="28"/>
      <c r="ES9" s="29"/>
      <c r="ET9" s="79">
        <f t="shared" si="5"/>
        <v>0</v>
      </c>
      <c r="EU9" s="80" t="e">
        <f>ET9*#REF!</f>
        <v>#REF!</v>
      </c>
      <c r="EV9" s="81" t="e">
        <f>ET9*#REF!</f>
        <v>#REF!</v>
      </c>
      <c r="EX9" s="25"/>
      <c r="EY9" s="26"/>
      <c r="EZ9" s="27"/>
      <c r="FA9" s="28"/>
      <c r="FB9" s="29"/>
      <c r="FC9" s="79">
        <f t="shared" si="6"/>
        <v>0</v>
      </c>
      <c r="FD9" s="80" t="e">
        <f>FC9*#REF!</f>
        <v>#REF!</v>
      </c>
      <c r="FE9" s="81" t="e">
        <f>FC9*#REF!</f>
        <v>#REF!</v>
      </c>
      <c r="FG9" s="25"/>
      <c r="FH9" s="26"/>
      <c r="FI9" s="27"/>
      <c r="FJ9" s="28"/>
      <c r="FK9" s="29"/>
      <c r="FL9" s="79">
        <f t="shared" si="7"/>
        <v>0</v>
      </c>
      <c r="FM9" s="80" t="e">
        <f>FL9*#REF!</f>
        <v>#REF!</v>
      </c>
      <c r="FN9" s="81" t="e">
        <f>FL9*#REF!</f>
        <v>#REF!</v>
      </c>
      <c r="FP9" s="25"/>
      <c r="FQ9" s="26"/>
      <c r="FR9" s="27"/>
      <c r="FS9" s="28"/>
      <c r="FT9" s="29"/>
      <c r="FU9" s="79">
        <f t="shared" si="8"/>
        <v>0</v>
      </c>
      <c r="FV9" s="80" t="e">
        <f>FU9*#REF!</f>
        <v>#REF!</v>
      </c>
      <c r="FW9" s="81" t="e">
        <f>FU9*#REF!</f>
        <v>#REF!</v>
      </c>
      <c r="FY9" s="25"/>
      <c r="FZ9" s="26"/>
      <c r="GA9" s="27"/>
      <c r="GB9" s="28"/>
      <c r="GC9" s="29"/>
      <c r="GD9" s="79">
        <f t="shared" si="9"/>
        <v>0</v>
      </c>
      <c r="GE9" s="80" t="e">
        <f>GD9*#REF!</f>
        <v>#REF!</v>
      </c>
      <c r="GF9" s="81" t="e">
        <f>GD9*#REF!</f>
        <v>#REF!</v>
      </c>
      <c r="GH9" s="25"/>
      <c r="GI9" s="26"/>
      <c r="GJ9" s="27"/>
      <c r="GK9" s="28"/>
      <c r="GL9" s="29"/>
      <c r="GM9" s="79">
        <f t="shared" si="10"/>
        <v>0</v>
      </c>
      <c r="GN9" s="80" t="e">
        <f>GM9*#REF!</f>
        <v>#REF!</v>
      </c>
      <c r="GO9" s="81" t="e">
        <f>GM9*#REF!</f>
        <v>#REF!</v>
      </c>
      <c r="GQ9" s="82">
        <f t="shared" si="11"/>
        <v>0</v>
      </c>
      <c r="GR9" s="83">
        <v>0</v>
      </c>
    </row>
    <row r="10" spans="2:201" ht="15">
      <c r="B10" s="22"/>
      <c r="C10" s="23"/>
      <c r="D10" s="24" t="str">
        <f>IF(C10="","",_xlfn.XLOOKUP(C10,'[1]Control Sheet'!$L$5:$L$104,'[1]Control Sheet'!$M$5:$M$104,"",0))</f>
        <v/>
      </c>
      <c r="E10" s="24" t="str">
        <f>IF(B10="","",_xlfn.XLOOKUP(B10,'[1]Control Sheet'!$D$5:$D$64,'[1]Control Sheet'!$F$5:$F$64,"",0))</f>
        <v/>
      </c>
      <c r="F10" s="24" t="str">
        <f>IF(B10="","",_xlfn.XLOOKUP(B10,'[1]Control Sheet'!$D$5:$D$64,'[1]Control Sheet'!$E$5:$E$64,"",0))</f>
        <v/>
      </c>
      <c r="I10" s="31"/>
      <c r="J10" s="32"/>
      <c r="K10" s="33"/>
      <c r="L10" s="34"/>
      <c r="M10" s="35"/>
      <c r="P10" s="31"/>
      <c r="Q10" s="32"/>
      <c r="R10" s="33"/>
      <c r="S10" s="34"/>
      <c r="T10" s="35"/>
      <c r="V10" s="31"/>
      <c r="W10" s="32"/>
      <c r="X10" s="33"/>
      <c r="Y10" s="34"/>
      <c r="Z10" s="35"/>
      <c r="AB10" s="31"/>
      <c r="AC10" s="32"/>
      <c r="AD10" s="33"/>
      <c r="AE10" s="34"/>
      <c r="AF10" s="35"/>
      <c r="AH10" s="31"/>
      <c r="AI10" s="32"/>
      <c r="AJ10" s="33"/>
      <c r="AK10" s="34"/>
      <c r="AL10" s="35"/>
      <c r="AN10" s="31"/>
      <c r="AO10" s="32"/>
      <c r="AP10" s="33"/>
      <c r="AQ10" s="34"/>
      <c r="AR10" s="35"/>
      <c r="AT10" s="31"/>
      <c r="AU10" s="32"/>
      <c r="AV10" s="33"/>
      <c r="AW10" s="34"/>
      <c r="AX10" s="35"/>
      <c r="AZ10" s="31"/>
      <c r="BA10" s="32"/>
      <c r="BB10" s="33"/>
      <c r="BC10" s="34"/>
      <c r="BD10" s="35"/>
      <c r="BF10" s="31"/>
      <c r="BG10" s="32"/>
      <c r="BH10" s="33"/>
      <c r="BI10" s="34"/>
      <c r="BJ10" s="35"/>
      <c r="BL10" s="31"/>
      <c r="BM10" s="32"/>
      <c r="BN10" s="33"/>
      <c r="BO10" s="34"/>
      <c r="BP10" s="38"/>
      <c r="BR10" s="31"/>
      <c r="BS10" s="32"/>
      <c r="BT10" s="33"/>
      <c r="BU10" s="34"/>
      <c r="BV10" s="35"/>
      <c r="BX10" s="31"/>
      <c r="BY10" s="32"/>
      <c r="BZ10" s="33"/>
      <c r="CA10" s="34"/>
      <c r="CB10" s="35"/>
      <c r="CD10" s="31"/>
      <c r="CE10" s="32"/>
      <c r="CF10" s="33"/>
      <c r="CG10" s="34"/>
      <c r="CH10" s="35"/>
      <c r="CJ10" s="31"/>
      <c r="CK10" s="32"/>
      <c r="CL10" s="33"/>
      <c r="CM10" s="34"/>
      <c r="CN10" s="36"/>
      <c r="CP10" s="25"/>
      <c r="CQ10" s="26"/>
      <c r="CR10" s="27"/>
      <c r="CS10" s="28"/>
      <c r="CT10" s="29"/>
      <c r="CV10" s="25"/>
      <c r="CW10" s="26"/>
      <c r="CX10" s="27"/>
      <c r="CY10" s="28"/>
      <c r="CZ10" s="29"/>
      <c r="DA10" s="79">
        <f t="shared" si="0"/>
        <v>0</v>
      </c>
      <c r="DB10" s="80" t="e">
        <f>DA10*#REF!</f>
        <v>#REF!</v>
      </c>
      <c r="DC10" s="81" t="e">
        <f>DA10*#REF!</f>
        <v>#REF!</v>
      </c>
      <c r="DE10" s="25"/>
      <c r="DF10" s="26"/>
      <c r="DG10" s="27"/>
      <c r="DH10" s="28"/>
      <c r="DI10" s="29"/>
      <c r="DJ10" s="79">
        <f t="shared" si="1"/>
        <v>0</v>
      </c>
      <c r="DK10" s="80" t="e">
        <f>DJ10*#REF!</f>
        <v>#REF!</v>
      </c>
      <c r="DL10" s="81" t="e">
        <f>DJ10*#REF!</f>
        <v>#REF!</v>
      </c>
      <c r="DN10" s="25"/>
      <c r="DO10" s="26"/>
      <c r="DP10" s="27"/>
      <c r="DQ10" s="28"/>
      <c r="DR10" s="29"/>
      <c r="DS10" s="79">
        <f t="shared" si="2"/>
        <v>0</v>
      </c>
      <c r="DT10" s="80" t="e">
        <f>DS10*#REF!</f>
        <v>#REF!</v>
      </c>
      <c r="DU10" s="81" t="e">
        <f>DS10*#REF!</f>
        <v>#REF!</v>
      </c>
      <c r="DW10" s="25"/>
      <c r="DX10" s="26"/>
      <c r="DY10" s="27"/>
      <c r="DZ10" s="28"/>
      <c r="EA10" s="29"/>
      <c r="EB10" s="79">
        <f t="shared" si="3"/>
        <v>0</v>
      </c>
      <c r="EC10" s="80" t="e">
        <f>EB10*#REF!</f>
        <v>#REF!</v>
      </c>
      <c r="ED10" s="81" t="e">
        <f>EB10*#REF!</f>
        <v>#REF!</v>
      </c>
      <c r="EF10" s="25"/>
      <c r="EG10" s="26"/>
      <c r="EH10" s="27"/>
      <c r="EI10" s="28"/>
      <c r="EJ10" s="29"/>
      <c r="EK10" s="79">
        <f t="shared" si="4"/>
        <v>0</v>
      </c>
      <c r="EL10" s="80" t="e">
        <f>EK10*#REF!</f>
        <v>#REF!</v>
      </c>
      <c r="EM10" s="81" t="e">
        <f>EK10*#REF!</f>
        <v>#REF!</v>
      </c>
      <c r="EO10" s="25"/>
      <c r="EP10" s="26"/>
      <c r="EQ10" s="27"/>
      <c r="ER10" s="28"/>
      <c r="ES10" s="29"/>
      <c r="ET10" s="79">
        <f t="shared" si="5"/>
        <v>0</v>
      </c>
      <c r="EU10" s="80" t="e">
        <f>ET10*#REF!</f>
        <v>#REF!</v>
      </c>
      <c r="EV10" s="81" t="e">
        <f>ET10*#REF!</f>
        <v>#REF!</v>
      </c>
      <c r="EX10" s="25"/>
      <c r="EY10" s="26"/>
      <c r="EZ10" s="27"/>
      <c r="FA10" s="28"/>
      <c r="FB10" s="29"/>
      <c r="FC10" s="79">
        <f t="shared" si="6"/>
        <v>0</v>
      </c>
      <c r="FD10" s="80" t="e">
        <f>FC10*#REF!</f>
        <v>#REF!</v>
      </c>
      <c r="FE10" s="81" t="e">
        <f>FC10*#REF!</f>
        <v>#REF!</v>
      </c>
      <c r="FG10" s="25"/>
      <c r="FH10" s="26"/>
      <c r="FI10" s="27"/>
      <c r="FJ10" s="28"/>
      <c r="FK10" s="29"/>
      <c r="FL10" s="79">
        <f t="shared" si="7"/>
        <v>0</v>
      </c>
      <c r="FM10" s="80" t="e">
        <f>FL10*#REF!</f>
        <v>#REF!</v>
      </c>
      <c r="FN10" s="81" t="e">
        <f>FL10*#REF!</f>
        <v>#REF!</v>
      </c>
      <c r="FP10" s="25"/>
      <c r="FQ10" s="26"/>
      <c r="FR10" s="27"/>
      <c r="FS10" s="28"/>
      <c r="FT10" s="29"/>
      <c r="FU10" s="79">
        <f t="shared" si="8"/>
        <v>0</v>
      </c>
      <c r="FV10" s="80" t="e">
        <f>FU10*#REF!</f>
        <v>#REF!</v>
      </c>
      <c r="FW10" s="81" t="e">
        <f>FU10*#REF!</f>
        <v>#REF!</v>
      </c>
      <c r="FY10" s="25"/>
      <c r="FZ10" s="26"/>
      <c r="GA10" s="27"/>
      <c r="GB10" s="28"/>
      <c r="GC10" s="29"/>
      <c r="GD10" s="79">
        <f t="shared" si="9"/>
        <v>0</v>
      </c>
      <c r="GE10" s="80" t="e">
        <f>GD10*#REF!</f>
        <v>#REF!</v>
      </c>
      <c r="GF10" s="81" t="e">
        <f>GD10*#REF!</f>
        <v>#REF!</v>
      </c>
      <c r="GH10" s="25"/>
      <c r="GI10" s="26"/>
      <c r="GJ10" s="27"/>
      <c r="GK10" s="28"/>
      <c r="GL10" s="29"/>
      <c r="GM10" s="79">
        <f t="shared" si="10"/>
        <v>0</v>
      </c>
      <c r="GN10" s="80" t="e">
        <f>GM10*#REF!</f>
        <v>#REF!</v>
      </c>
      <c r="GO10" s="81" t="e">
        <f>GM10*#REF!</f>
        <v>#REF!</v>
      </c>
      <c r="GQ10" s="82">
        <f t="shared" si="11"/>
        <v>0</v>
      </c>
      <c r="GR10" s="83">
        <v>0</v>
      </c>
    </row>
    <row r="11" spans="2:201" ht="15">
      <c r="B11" s="22"/>
      <c r="C11" s="23"/>
      <c r="D11" s="24" t="str">
        <f>IF(C11="","",_xlfn.XLOOKUP(C11,'[1]Control Sheet'!$L$5:$L$104,'[1]Control Sheet'!$M$5:$M$104,"",0))</f>
        <v/>
      </c>
      <c r="E11" s="24" t="str">
        <f>IF(B11="","",_xlfn.XLOOKUP(B11,'[1]Control Sheet'!$D$5:$D$64,'[1]Control Sheet'!$F$5:$F$64,"",0))</f>
        <v/>
      </c>
      <c r="F11" s="24" t="str">
        <f>IF(B11="","",_xlfn.XLOOKUP(B11,'[1]Control Sheet'!$D$5:$D$64,'[1]Control Sheet'!$E$5:$E$64,"",0))</f>
        <v/>
      </c>
      <c r="I11" s="31"/>
      <c r="J11" s="32"/>
      <c r="K11" s="33"/>
      <c r="L11" s="34"/>
      <c r="M11" s="35"/>
      <c r="P11" s="31"/>
      <c r="Q11" s="32"/>
      <c r="R11" s="33"/>
      <c r="S11" s="34"/>
      <c r="T11" s="35"/>
      <c r="V11" s="31"/>
      <c r="W11" s="32"/>
      <c r="X11" s="33"/>
      <c r="Y11" s="34"/>
      <c r="Z11" s="35"/>
      <c r="AB11" s="31"/>
      <c r="AC11" s="32"/>
      <c r="AD11" s="33"/>
      <c r="AE11" s="34"/>
      <c r="AF11" s="35"/>
      <c r="AH11" s="31"/>
      <c r="AI11" s="32"/>
      <c r="AJ11" s="33"/>
      <c r="AK11" s="34"/>
      <c r="AL11" s="35"/>
      <c r="AN11" s="31"/>
      <c r="AO11" s="32"/>
      <c r="AP11" s="33"/>
      <c r="AQ11" s="34"/>
      <c r="AR11" s="35"/>
      <c r="AT11" s="31"/>
      <c r="AU11" s="32"/>
      <c r="AV11" s="33"/>
      <c r="AW11" s="34"/>
      <c r="AX11" s="35"/>
      <c r="AZ11" s="31"/>
      <c r="BA11" s="32"/>
      <c r="BB11" s="33"/>
      <c r="BC11" s="34"/>
      <c r="BD11" s="35"/>
      <c r="BF11" s="31"/>
      <c r="BG11" s="32"/>
      <c r="BH11" s="33"/>
      <c r="BI11" s="34"/>
      <c r="BJ11" s="35"/>
      <c r="BL11" s="31"/>
      <c r="BM11" s="32"/>
      <c r="BN11" s="33"/>
      <c r="BO11" s="34"/>
      <c r="BP11" s="35"/>
      <c r="BR11" s="31"/>
      <c r="BS11" s="32"/>
      <c r="BT11" s="33"/>
      <c r="BU11" s="34"/>
      <c r="BV11" s="35"/>
      <c r="BX11" s="31"/>
      <c r="BY11" s="32"/>
      <c r="BZ11" s="33"/>
      <c r="CA11" s="34"/>
      <c r="CB11" s="35"/>
      <c r="CD11" s="31"/>
      <c r="CE11" s="32"/>
      <c r="CF11" s="33"/>
      <c r="CG11" s="34"/>
      <c r="CH11" s="35"/>
      <c r="CJ11" s="31"/>
      <c r="CK11" s="32"/>
      <c r="CL11" s="33"/>
      <c r="CM11" s="34"/>
      <c r="CN11" s="36"/>
      <c r="CP11" s="25"/>
      <c r="CQ11" s="26"/>
      <c r="CR11" s="27"/>
      <c r="CS11" s="28"/>
      <c r="CT11" s="29"/>
      <c r="CV11" s="25"/>
      <c r="CW11" s="26"/>
      <c r="CX11" s="27"/>
      <c r="CY11" s="28"/>
      <c r="CZ11" s="29"/>
      <c r="DA11" s="79">
        <f t="shared" si="0"/>
        <v>0</v>
      </c>
      <c r="DB11" s="80" t="e">
        <f>DA11*#REF!</f>
        <v>#REF!</v>
      </c>
      <c r="DC11" s="81" t="e">
        <f>DA11*#REF!</f>
        <v>#REF!</v>
      </c>
      <c r="DE11" s="25"/>
      <c r="DF11" s="26"/>
      <c r="DG11" s="27"/>
      <c r="DH11" s="28"/>
      <c r="DI11" s="29"/>
      <c r="DJ11" s="79">
        <f t="shared" si="1"/>
        <v>0</v>
      </c>
      <c r="DK11" s="80" t="e">
        <f>DJ11*#REF!</f>
        <v>#REF!</v>
      </c>
      <c r="DL11" s="81" t="e">
        <f>DJ11*#REF!</f>
        <v>#REF!</v>
      </c>
      <c r="DN11" s="25"/>
      <c r="DO11" s="26"/>
      <c r="DP11" s="27"/>
      <c r="DQ11" s="28"/>
      <c r="DR11" s="29"/>
      <c r="DS11" s="79">
        <f t="shared" si="2"/>
        <v>0</v>
      </c>
      <c r="DT11" s="80" t="e">
        <f>DS11*#REF!</f>
        <v>#REF!</v>
      </c>
      <c r="DU11" s="81" t="e">
        <f>DS11*#REF!</f>
        <v>#REF!</v>
      </c>
      <c r="DW11" s="25"/>
      <c r="DX11" s="26"/>
      <c r="DY11" s="27"/>
      <c r="DZ11" s="28"/>
      <c r="EA11" s="29"/>
      <c r="EB11" s="79">
        <f t="shared" si="3"/>
        <v>0</v>
      </c>
      <c r="EC11" s="80" t="e">
        <f>EB11*#REF!</f>
        <v>#REF!</v>
      </c>
      <c r="ED11" s="81" t="e">
        <f>EB11*#REF!</f>
        <v>#REF!</v>
      </c>
      <c r="EF11" s="25"/>
      <c r="EG11" s="26"/>
      <c r="EH11" s="27"/>
      <c r="EI11" s="28"/>
      <c r="EJ11" s="29"/>
      <c r="EK11" s="79">
        <f t="shared" si="4"/>
        <v>0</v>
      </c>
      <c r="EL11" s="80" t="e">
        <f>EK11*#REF!</f>
        <v>#REF!</v>
      </c>
      <c r="EM11" s="81" t="e">
        <f>EK11*#REF!</f>
        <v>#REF!</v>
      </c>
      <c r="EO11" s="25"/>
      <c r="EP11" s="26"/>
      <c r="EQ11" s="27"/>
      <c r="ER11" s="28"/>
      <c r="ES11" s="29"/>
      <c r="ET11" s="79">
        <f t="shared" si="5"/>
        <v>0</v>
      </c>
      <c r="EU11" s="80" t="e">
        <f>ET11*#REF!</f>
        <v>#REF!</v>
      </c>
      <c r="EV11" s="81" t="e">
        <f>ET11*#REF!</f>
        <v>#REF!</v>
      </c>
      <c r="EX11" s="25"/>
      <c r="EY11" s="26"/>
      <c r="EZ11" s="27"/>
      <c r="FA11" s="28"/>
      <c r="FB11" s="29"/>
      <c r="FC11" s="79">
        <f t="shared" si="6"/>
        <v>0</v>
      </c>
      <c r="FD11" s="80" t="e">
        <f>FC11*#REF!</f>
        <v>#REF!</v>
      </c>
      <c r="FE11" s="81" t="e">
        <f>FC11*#REF!</f>
        <v>#REF!</v>
      </c>
      <c r="FG11" s="25"/>
      <c r="FH11" s="26"/>
      <c r="FI11" s="27"/>
      <c r="FJ11" s="28"/>
      <c r="FK11" s="29"/>
      <c r="FL11" s="79">
        <f t="shared" si="7"/>
        <v>0</v>
      </c>
      <c r="FM11" s="80" t="e">
        <f>FL11*#REF!</f>
        <v>#REF!</v>
      </c>
      <c r="FN11" s="81" t="e">
        <f>FL11*#REF!</f>
        <v>#REF!</v>
      </c>
      <c r="FP11" s="25"/>
      <c r="FQ11" s="26"/>
      <c r="FR11" s="27"/>
      <c r="FS11" s="28"/>
      <c r="FT11" s="29"/>
      <c r="FU11" s="79">
        <f t="shared" si="8"/>
        <v>0</v>
      </c>
      <c r="FV11" s="80" t="e">
        <f>FU11*#REF!</f>
        <v>#REF!</v>
      </c>
      <c r="FW11" s="81" t="e">
        <f>FU11*#REF!</f>
        <v>#REF!</v>
      </c>
      <c r="FY11" s="25"/>
      <c r="FZ11" s="26"/>
      <c r="GA11" s="27"/>
      <c r="GB11" s="28"/>
      <c r="GC11" s="29"/>
      <c r="GD11" s="79">
        <f t="shared" si="9"/>
        <v>0</v>
      </c>
      <c r="GE11" s="80" t="e">
        <f>GD11*#REF!</f>
        <v>#REF!</v>
      </c>
      <c r="GF11" s="81" t="e">
        <f>GD11*#REF!</f>
        <v>#REF!</v>
      </c>
      <c r="GH11" s="25"/>
      <c r="GI11" s="26"/>
      <c r="GJ11" s="27"/>
      <c r="GK11" s="28"/>
      <c r="GL11" s="29"/>
      <c r="GM11" s="79">
        <f t="shared" si="10"/>
        <v>0</v>
      </c>
      <c r="GN11" s="80" t="e">
        <f>GM11*#REF!</f>
        <v>#REF!</v>
      </c>
      <c r="GO11" s="81" t="e">
        <f>GM11*#REF!</f>
        <v>#REF!</v>
      </c>
      <c r="GQ11" s="82">
        <f t="shared" si="11"/>
        <v>0</v>
      </c>
      <c r="GR11" s="83">
        <v>0</v>
      </c>
    </row>
    <row r="12" spans="2:201" ht="15">
      <c r="B12" s="22"/>
      <c r="C12" s="23"/>
      <c r="D12" s="24" t="str">
        <f>IF(C12="","",_xlfn.XLOOKUP(C12,'[1]Control Sheet'!$L$5:$L$104,'[1]Control Sheet'!$M$5:$M$104,"",0))</f>
        <v/>
      </c>
      <c r="E12" s="24" t="str">
        <f>IF(B12="","",_xlfn.XLOOKUP(B12,'[1]Control Sheet'!$D$5:$D$64,'[1]Control Sheet'!$F$5:$F$64,"",0))</f>
        <v/>
      </c>
      <c r="F12" s="24" t="str">
        <f>IF(B12="","",_xlfn.XLOOKUP(B12,'[1]Control Sheet'!$D$5:$D$64,'[1]Control Sheet'!$E$5:$E$64,"",0))</f>
        <v/>
      </c>
      <c r="I12" s="31"/>
      <c r="J12" s="32"/>
      <c r="K12" s="33"/>
      <c r="L12" s="34"/>
      <c r="M12" s="35"/>
      <c r="P12" s="31"/>
      <c r="Q12" s="32"/>
      <c r="R12" s="33"/>
      <c r="S12" s="34"/>
      <c r="T12" s="35"/>
      <c r="V12" s="31"/>
      <c r="W12" s="32"/>
      <c r="X12" s="33"/>
      <c r="Y12" s="34"/>
      <c r="Z12" s="35"/>
      <c r="AB12" s="31"/>
      <c r="AC12" s="32"/>
      <c r="AD12" s="33"/>
      <c r="AE12" s="34"/>
      <c r="AF12" s="35"/>
      <c r="AH12" s="31"/>
      <c r="AI12" s="32"/>
      <c r="AJ12" s="33"/>
      <c r="AK12" s="34"/>
      <c r="AL12" s="35"/>
      <c r="AN12" s="31"/>
      <c r="AO12" s="32"/>
      <c r="AP12" s="33"/>
      <c r="AQ12" s="34"/>
      <c r="AR12" s="35"/>
      <c r="AT12" s="31"/>
      <c r="AU12" s="32"/>
      <c r="AV12" s="33"/>
      <c r="AW12" s="34"/>
      <c r="AX12" s="35"/>
      <c r="AZ12" s="31"/>
      <c r="BA12" s="32"/>
      <c r="BB12" s="33"/>
      <c r="BC12" s="34"/>
      <c r="BD12" s="35"/>
      <c r="BF12" s="31"/>
      <c r="BG12" s="32"/>
      <c r="BH12" s="33"/>
      <c r="BI12" s="34"/>
      <c r="BJ12" s="35"/>
      <c r="BL12" s="31"/>
      <c r="BM12" s="32"/>
      <c r="BN12" s="33"/>
      <c r="BO12" s="34"/>
      <c r="BP12" s="35"/>
      <c r="BR12" s="31"/>
      <c r="BS12" s="32"/>
      <c r="BT12" s="33"/>
      <c r="BU12" s="34"/>
      <c r="BV12" s="35"/>
      <c r="BX12" s="31"/>
      <c r="BY12" s="32"/>
      <c r="BZ12" s="33"/>
      <c r="CA12" s="34"/>
      <c r="CB12" s="35"/>
      <c r="CD12" s="31"/>
      <c r="CE12" s="32"/>
      <c r="CF12" s="33"/>
      <c r="CG12" s="34"/>
      <c r="CH12" s="35"/>
      <c r="CJ12" s="31"/>
      <c r="CK12" s="32"/>
      <c r="CL12" s="33"/>
      <c r="CM12" s="34"/>
      <c r="CN12" s="35"/>
      <c r="CP12" s="25"/>
      <c r="CQ12" s="26"/>
      <c r="CR12" s="27"/>
      <c r="CS12" s="28"/>
      <c r="CT12" s="29"/>
      <c r="CV12" s="25"/>
      <c r="CW12" s="26"/>
      <c r="CX12" s="27"/>
      <c r="CY12" s="28"/>
      <c r="CZ12" s="29"/>
      <c r="DA12" s="79">
        <f t="shared" si="0"/>
        <v>0</v>
      </c>
      <c r="DB12" s="80" t="e">
        <f>DA12*#REF!</f>
        <v>#REF!</v>
      </c>
      <c r="DC12" s="81" t="e">
        <f>DA12*#REF!</f>
        <v>#REF!</v>
      </c>
      <c r="DE12" s="25"/>
      <c r="DF12" s="26"/>
      <c r="DG12" s="27"/>
      <c r="DH12" s="28"/>
      <c r="DI12" s="29"/>
      <c r="DJ12" s="79">
        <f t="shared" si="1"/>
        <v>0</v>
      </c>
      <c r="DK12" s="80" t="e">
        <f>DJ12*#REF!</f>
        <v>#REF!</v>
      </c>
      <c r="DL12" s="81" t="e">
        <f>DJ12*#REF!</f>
        <v>#REF!</v>
      </c>
      <c r="DN12" s="25"/>
      <c r="DO12" s="26"/>
      <c r="DP12" s="27"/>
      <c r="DQ12" s="28"/>
      <c r="DR12" s="29"/>
      <c r="DS12" s="79">
        <f t="shared" si="2"/>
        <v>0</v>
      </c>
      <c r="DT12" s="80" t="e">
        <f>DS12*#REF!</f>
        <v>#REF!</v>
      </c>
      <c r="DU12" s="81" t="e">
        <f>DS12*#REF!</f>
        <v>#REF!</v>
      </c>
      <c r="DW12" s="25"/>
      <c r="DX12" s="26"/>
      <c r="DY12" s="27"/>
      <c r="DZ12" s="28"/>
      <c r="EA12" s="29"/>
      <c r="EB12" s="79">
        <f t="shared" si="3"/>
        <v>0</v>
      </c>
      <c r="EC12" s="80" t="e">
        <f>EB12*#REF!</f>
        <v>#REF!</v>
      </c>
      <c r="ED12" s="81" t="e">
        <f>EB12*#REF!</f>
        <v>#REF!</v>
      </c>
      <c r="EF12" s="25"/>
      <c r="EG12" s="26"/>
      <c r="EH12" s="27"/>
      <c r="EI12" s="28"/>
      <c r="EJ12" s="29"/>
      <c r="EK12" s="79">
        <f t="shared" si="4"/>
        <v>0</v>
      </c>
      <c r="EL12" s="80" t="e">
        <f>EK12*#REF!</f>
        <v>#REF!</v>
      </c>
      <c r="EM12" s="81" t="e">
        <f>EK12*#REF!</f>
        <v>#REF!</v>
      </c>
      <c r="EO12" s="25"/>
      <c r="EP12" s="26"/>
      <c r="EQ12" s="27"/>
      <c r="ER12" s="28"/>
      <c r="ES12" s="29"/>
      <c r="ET12" s="79">
        <f t="shared" si="5"/>
        <v>0</v>
      </c>
      <c r="EU12" s="80" t="e">
        <f>ET12*#REF!</f>
        <v>#REF!</v>
      </c>
      <c r="EV12" s="81" t="e">
        <f>ET12*#REF!</f>
        <v>#REF!</v>
      </c>
      <c r="EX12" s="25"/>
      <c r="EY12" s="26"/>
      <c r="EZ12" s="27"/>
      <c r="FA12" s="28"/>
      <c r="FB12" s="29"/>
      <c r="FC12" s="79">
        <f t="shared" si="6"/>
        <v>0</v>
      </c>
      <c r="FD12" s="80" t="e">
        <f>FC12*#REF!</f>
        <v>#REF!</v>
      </c>
      <c r="FE12" s="81" t="e">
        <f>FC12*#REF!</f>
        <v>#REF!</v>
      </c>
      <c r="FG12" s="25"/>
      <c r="FH12" s="26"/>
      <c r="FI12" s="27"/>
      <c r="FJ12" s="28"/>
      <c r="FK12" s="29"/>
      <c r="FL12" s="79">
        <f t="shared" si="7"/>
        <v>0</v>
      </c>
      <c r="FM12" s="80" t="e">
        <f>FL12*#REF!</f>
        <v>#REF!</v>
      </c>
      <c r="FN12" s="81" t="e">
        <f>FL12*#REF!</f>
        <v>#REF!</v>
      </c>
      <c r="FP12" s="25"/>
      <c r="FQ12" s="26"/>
      <c r="FR12" s="27"/>
      <c r="FS12" s="28"/>
      <c r="FT12" s="29"/>
      <c r="FU12" s="79">
        <f t="shared" si="8"/>
        <v>0</v>
      </c>
      <c r="FV12" s="80" t="e">
        <f>FU12*#REF!</f>
        <v>#REF!</v>
      </c>
      <c r="FW12" s="81" t="e">
        <f>FU12*#REF!</f>
        <v>#REF!</v>
      </c>
      <c r="FY12" s="25"/>
      <c r="FZ12" s="26"/>
      <c r="GA12" s="27"/>
      <c r="GB12" s="28"/>
      <c r="GC12" s="29"/>
      <c r="GD12" s="79">
        <f t="shared" si="9"/>
        <v>0</v>
      </c>
      <c r="GE12" s="80" t="e">
        <f>GD12*#REF!</f>
        <v>#REF!</v>
      </c>
      <c r="GF12" s="81" t="e">
        <f>GD12*#REF!</f>
        <v>#REF!</v>
      </c>
      <c r="GH12" s="25"/>
      <c r="GI12" s="26"/>
      <c r="GJ12" s="27"/>
      <c r="GK12" s="28"/>
      <c r="GL12" s="29"/>
      <c r="GM12" s="79">
        <f t="shared" si="10"/>
        <v>0</v>
      </c>
      <c r="GN12" s="80" t="e">
        <f>GM12*#REF!</f>
        <v>#REF!</v>
      </c>
      <c r="GO12" s="81" t="e">
        <f>GM12*#REF!</f>
        <v>#REF!</v>
      </c>
      <c r="GQ12" s="82">
        <f t="shared" si="11"/>
        <v>0</v>
      </c>
      <c r="GR12" s="83">
        <v>0</v>
      </c>
    </row>
    <row r="13" spans="2:201" ht="15">
      <c r="B13" s="22" t="s">
        <v>43</v>
      </c>
      <c r="C13" s="23" t="s">
        <v>44</v>
      </c>
      <c r="D13" s="24" t="str">
        <f>IF(C13="","",_xlfn.XLOOKUP(C13,'[1]Control Sheet'!$L$5:$L$104,'[1]Control Sheet'!$M$5:$M$104,"",0))</f>
        <v>Rides Attendant</v>
      </c>
      <c r="E13" s="24" t="str">
        <f>IF(B13="","",_xlfn.XLOOKUP(B13,'[1]Control Sheet'!$D$5:$D$64,'[1]Control Sheet'!$F$5:$F$64,"",0))</f>
        <v>Rides</v>
      </c>
      <c r="F13" s="24" t="str">
        <f>IF(B13="","",_xlfn.XLOOKUP(B13,'[1]Control Sheet'!$D$5:$D$64,'[1]Control Sheet'!$E$5:$E$64,"",0))</f>
        <v>C1300-N</v>
      </c>
      <c r="I13" s="31">
        <v>0.35416666666666702</v>
      </c>
      <c r="J13" s="32">
        <v>0.69791666666666663</v>
      </c>
      <c r="K13" s="33">
        <v>45</v>
      </c>
      <c r="L13" s="34">
        <v>1</v>
      </c>
      <c r="M13" s="35">
        <v>1</v>
      </c>
      <c r="P13" s="31">
        <v>0.35416666666666702</v>
      </c>
      <c r="Q13" s="32">
        <v>0.73958333333333304</v>
      </c>
      <c r="R13" s="33">
        <v>45</v>
      </c>
      <c r="S13" s="34">
        <v>1</v>
      </c>
      <c r="T13" s="35">
        <v>1</v>
      </c>
      <c r="V13" s="31">
        <v>0.35416666666666702</v>
      </c>
      <c r="W13" s="32">
        <v>0.73958333333333304</v>
      </c>
      <c r="X13" s="33">
        <v>45</v>
      </c>
      <c r="Y13" s="34">
        <v>1</v>
      </c>
      <c r="Z13" s="35">
        <v>1</v>
      </c>
      <c r="AB13" s="31">
        <v>0.35416666666666702</v>
      </c>
      <c r="AC13" s="32">
        <v>0.73958333333333304</v>
      </c>
      <c r="AD13" s="33">
        <v>45</v>
      </c>
      <c r="AE13" s="34">
        <v>1</v>
      </c>
      <c r="AF13" s="35">
        <v>1</v>
      </c>
      <c r="AH13" s="31">
        <v>0.35416666666666702</v>
      </c>
      <c r="AI13" s="32">
        <v>0.73958333333333304</v>
      </c>
      <c r="AJ13" s="33">
        <v>45</v>
      </c>
      <c r="AK13" s="34">
        <v>1</v>
      </c>
      <c r="AL13" s="35">
        <v>1</v>
      </c>
      <c r="AN13" s="31">
        <v>0.35416666666666702</v>
      </c>
      <c r="AO13" s="32">
        <v>0.78125</v>
      </c>
      <c r="AP13" s="33">
        <v>45</v>
      </c>
      <c r="AQ13" s="34">
        <v>1</v>
      </c>
      <c r="AR13" s="35">
        <v>1</v>
      </c>
      <c r="AT13" s="31">
        <v>0.35416666666666669</v>
      </c>
      <c r="AU13" s="32">
        <v>0.73958333333333337</v>
      </c>
      <c r="AV13" s="33">
        <v>45</v>
      </c>
      <c r="AW13" s="34">
        <v>1</v>
      </c>
      <c r="AX13" s="35">
        <v>1</v>
      </c>
      <c r="AZ13" s="31">
        <v>0.35416666666666702</v>
      </c>
      <c r="BA13" s="32">
        <v>0.78125</v>
      </c>
      <c r="BB13" s="33">
        <v>45</v>
      </c>
      <c r="BC13" s="34">
        <v>1</v>
      </c>
      <c r="BD13" s="35">
        <v>1</v>
      </c>
      <c r="BF13" s="31">
        <v>0.35416666666666702</v>
      </c>
      <c r="BG13" s="32">
        <v>0.82291666666666663</v>
      </c>
      <c r="BH13" s="33">
        <v>45</v>
      </c>
      <c r="BI13" s="34">
        <v>1</v>
      </c>
      <c r="BJ13" s="35">
        <v>1</v>
      </c>
      <c r="BL13" s="25">
        <v>0.38541666666666669</v>
      </c>
      <c r="BM13" s="26">
        <v>0.65625</v>
      </c>
      <c r="BN13" s="27">
        <v>45</v>
      </c>
      <c r="BO13" s="28">
        <v>1</v>
      </c>
      <c r="BP13" s="29">
        <v>1</v>
      </c>
      <c r="BR13" s="31">
        <v>0.38541666666666669</v>
      </c>
      <c r="BS13" s="32">
        <v>0.65625</v>
      </c>
      <c r="BT13" s="33">
        <v>45</v>
      </c>
      <c r="BU13" s="34">
        <v>1</v>
      </c>
      <c r="BV13" s="35">
        <v>1</v>
      </c>
      <c r="BX13" s="31">
        <v>0.38541666666666669</v>
      </c>
      <c r="BY13" s="32">
        <v>0.73958333333333337</v>
      </c>
      <c r="BZ13" s="33">
        <v>45</v>
      </c>
      <c r="CA13" s="34">
        <v>1</v>
      </c>
      <c r="CB13" s="35">
        <v>1</v>
      </c>
      <c r="CD13" s="31">
        <v>0.38541666666666669</v>
      </c>
      <c r="CE13" s="32">
        <v>0.80208333333333337</v>
      </c>
      <c r="CF13" s="33">
        <v>45</v>
      </c>
      <c r="CG13" s="34">
        <v>1</v>
      </c>
      <c r="CH13" s="35">
        <v>1</v>
      </c>
      <c r="CJ13" s="31">
        <v>0.38541666666666669</v>
      </c>
      <c r="CK13" s="32">
        <v>0.65625</v>
      </c>
      <c r="CL13" s="33">
        <v>45</v>
      </c>
      <c r="CM13" s="34">
        <v>1</v>
      </c>
      <c r="CN13" s="36">
        <v>1</v>
      </c>
      <c r="CP13" s="25"/>
      <c r="CQ13" s="26"/>
      <c r="CR13" s="27"/>
      <c r="CS13" s="28"/>
      <c r="CT13" s="29"/>
      <c r="CV13" s="25"/>
      <c r="CW13" s="26"/>
      <c r="CX13" s="27"/>
      <c r="CY13" s="28"/>
      <c r="CZ13" s="29"/>
      <c r="DA13" s="79">
        <f t="shared" si="0"/>
        <v>0</v>
      </c>
      <c r="DB13" s="80" t="e">
        <f>DA13*#REF!</f>
        <v>#REF!</v>
      </c>
      <c r="DC13" s="81" t="e">
        <f>DA13*#REF!</f>
        <v>#REF!</v>
      </c>
      <c r="DE13" s="25"/>
      <c r="DF13" s="26"/>
      <c r="DG13" s="27"/>
      <c r="DH13" s="28"/>
      <c r="DI13" s="29"/>
      <c r="DJ13" s="79">
        <f t="shared" si="1"/>
        <v>0</v>
      </c>
      <c r="DK13" s="80" t="e">
        <f>DJ13*#REF!</f>
        <v>#REF!</v>
      </c>
      <c r="DL13" s="81" t="e">
        <f>DJ13*#REF!</f>
        <v>#REF!</v>
      </c>
      <c r="DN13" s="25"/>
      <c r="DO13" s="26"/>
      <c r="DP13" s="27"/>
      <c r="DQ13" s="28"/>
      <c r="DR13" s="29"/>
      <c r="DS13" s="79">
        <f t="shared" si="2"/>
        <v>0</v>
      </c>
      <c r="DT13" s="80" t="e">
        <f>DS13*#REF!</f>
        <v>#REF!</v>
      </c>
      <c r="DU13" s="81" t="e">
        <f>DS13*#REF!</f>
        <v>#REF!</v>
      </c>
      <c r="DW13" s="25"/>
      <c r="DX13" s="26"/>
      <c r="DY13" s="27"/>
      <c r="DZ13" s="28"/>
      <c r="EA13" s="29"/>
      <c r="EB13" s="79">
        <f t="shared" si="3"/>
        <v>0</v>
      </c>
      <c r="EC13" s="80" t="e">
        <f>EB13*#REF!</f>
        <v>#REF!</v>
      </c>
      <c r="ED13" s="81" t="e">
        <f>EB13*#REF!</f>
        <v>#REF!</v>
      </c>
      <c r="EF13" s="25"/>
      <c r="EG13" s="26"/>
      <c r="EH13" s="27"/>
      <c r="EI13" s="28"/>
      <c r="EJ13" s="29"/>
      <c r="EK13" s="79">
        <f t="shared" si="4"/>
        <v>0</v>
      </c>
      <c r="EL13" s="80" t="e">
        <f>EK13*#REF!</f>
        <v>#REF!</v>
      </c>
      <c r="EM13" s="81" t="e">
        <f>EK13*#REF!</f>
        <v>#REF!</v>
      </c>
      <c r="EO13" s="25"/>
      <c r="EP13" s="26"/>
      <c r="EQ13" s="27"/>
      <c r="ER13" s="28"/>
      <c r="ES13" s="29"/>
      <c r="ET13" s="79">
        <f t="shared" si="5"/>
        <v>0</v>
      </c>
      <c r="EU13" s="80" t="e">
        <f>ET13*#REF!</f>
        <v>#REF!</v>
      </c>
      <c r="EV13" s="81" t="e">
        <f>ET13*#REF!</f>
        <v>#REF!</v>
      </c>
      <c r="EX13" s="25"/>
      <c r="EY13" s="26"/>
      <c r="EZ13" s="27"/>
      <c r="FA13" s="28"/>
      <c r="FB13" s="29"/>
      <c r="FC13" s="79">
        <f t="shared" si="6"/>
        <v>0</v>
      </c>
      <c r="FD13" s="80" t="e">
        <f>FC13*#REF!</f>
        <v>#REF!</v>
      </c>
      <c r="FE13" s="81" t="e">
        <f>FC13*#REF!</f>
        <v>#REF!</v>
      </c>
      <c r="FG13" s="25"/>
      <c r="FH13" s="26"/>
      <c r="FI13" s="27"/>
      <c r="FJ13" s="28"/>
      <c r="FK13" s="29"/>
      <c r="FL13" s="79">
        <f t="shared" si="7"/>
        <v>0</v>
      </c>
      <c r="FM13" s="80" t="e">
        <f>FL13*#REF!</f>
        <v>#REF!</v>
      </c>
      <c r="FN13" s="81" t="e">
        <f>FL13*#REF!</f>
        <v>#REF!</v>
      </c>
      <c r="FP13" s="25"/>
      <c r="FQ13" s="26"/>
      <c r="FR13" s="27"/>
      <c r="FS13" s="28"/>
      <c r="FT13" s="29"/>
      <c r="FU13" s="79">
        <f t="shared" si="8"/>
        <v>0</v>
      </c>
      <c r="FV13" s="80" t="e">
        <f>FU13*#REF!</f>
        <v>#REF!</v>
      </c>
      <c r="FW13" s="81" t="e">
        <f>FU13*#REF!</f>
        <v>#REF!</v>
      </c>
      <c r="FY13" s="25"/>
      <c r="FZ13" s="26"/>
      <c r="GA13" s="27"/>
      <c r="GB13" s="28"/>
      <c r="GC13" s="29"/>
      <c r="GD13" s="79">
        <f t="shared" si="9"/>
        <v>0</v>
      </c>
      <c r="GE13" s="80" t="e">
        <f>GD13*#REF!</f>
        <v>#REF!</v>
      </c>
      <c r="GF13" s="81" t="e">
        <f>GD13*#REF!</f>
        <v>#REF!</v>
      </c>
      <c r="GH13" s="25"/>
      <c r="GI13" s="26"/>
      <c r="GJ13" s="27"/>
      <c r="GK13" s="28"/>
      <c r="GL13" s="29"/>
      <c r="GM13" s="79">
        <f t="shared" si="10"/>
        <v>0</v>
      </c>
      <c r="GN13" s="80" t="e">
        <f>GM13*#REF!</f>
        <v>#REF!</v>
      </c>
      <c r="GO13" s="81" t="e">
        <f>GM13*#REF!</f>
        <v>#REF!</v>
      </c>
      <c r="GQ13" s="82">
        <f t="shared" si="11"/>
        <v>1</v>
      </c>
      <c r="GR13" s="83">
        <v>1</v>
      </c>
    </row>
    <row r="14" spans="2:201" ht="15">
      <c r="B14" s="22"/>
      <c r="C14" s="23"/>
      <c r="D14" s="24" t="str">
        <f>IF(C14="","",_xlfn.XLOOKUP(C14,'[1]Control Sheet'!$L$5:$L$104,'[1]Control Sheet'!$M$5:$M$104,"",0))</f>
        <v/>
      </c>
      <c r="E14" s="24" t="str">
        <f>IF(B14="","",_xlfn.XLOOKUP(B14,'[1]Control Sheet'!$D$5:$D$64,'[1]Control Sheet'!$F$5:$F$64,"",0))</f>
        <v/>
      </c>
      <c r="F14" s="24" t="str">
        <f>IF(B14="","",_xlfn.XLOOKUP(B14,'[1]Control Sheet'!$D$5:$D$64,'[1]Control Sheet'!$E$5:$E$64,"",0))</f>
        <v/>
      </c>
      <c r="I14" s="31"/>
      <c r="J14" s="32"/>
      <c r="K14" s="33"/>
      <c r="L14" s="34"/>
      <c r="M14" s="35"/>
      <c r="P14" s="31"/>
      <c r="Q14" s="32"/>
      <c r="R14" s="33"/>
      <c r="S14" s="34"/>
      <c r="T14" s="35"/>
      <c r="V14" s="31"/>
      <c r="W14" s="32"/>
      <c r="X14" s="33"/>
      <c r="Y14" s="34"/>
      <c r="Z14" s="36"/>
      <c r="AB14" s="31"/>
      <c r="AC14" s="32"/>
      <c r="AD14" s="33"/>
      <c r="AE14" s="34"/>
      <c r="AF14" s="37"/>
      <c r="AH14" s="31"/>
      <c r="AI14" s="32"/>
      <c r="AJ14" s="33"/>
      <c r="AK14" s="34"/>
      <c r="AL14" s="37"/>
      <c r="AN14" s="31"/>
      <c r="AO14" s="32"/>
      <c r="AP14" s="33"/>
      <c r="AQ14" s="34"/>
      <c r="AR14" s="37"/>
      <c r="AT14" s="31"/>
      <c r="AU14" s="32"/>
      <c r="AV14" s="33"/>
      <c r="AW14" s="34"/>
      <c r="AX14" s="37"/>
      <c r="AZ14" s="31"/>
      <c r="BA14" s="32"/>
      <c r="BB14" s="33"/>
      <c r="BC14" s="34"/>
      <c r="BD14" s="37"/>
      <c r="BF14" s="31"/>
      <c r="BG14" s="32"/>
      <c r="BH14" s="33"/>
      <c r="BI14" s="34"/>
      <c r="BJ14" s="37"/>
      <c r="BL14" s="31"/>
      <c r="BM14" s="32"/>
      <c r="BN14" s="33"/>
      <c r="BO14" s="34"/>
      <c r="BP14" s="36"/>
      <c r="BR14" s="31"/>
      <c r="BS14" s="32"/>
      <c r="BT14" s="33"/>
      <c r="BU14" s="34"/>
      <c r="BV14" s="35"/>
      <c r="BX14" s="31"/>
      <c r="BY14" s="32"/>
      <c r="BZ14" s="33"/>
      <c r="CA14" s="34"/>
      <c r="CB14" s="36"/>
      <c r="CD14" s="31"/>
      <c r="CE14" s="32"/>
      <c r="CF14" s="33"/>
      <c r="CG14" s="34"/>
      <c r="CH14" s="36"/>
      <c r="CJ14" s="31"/>
      <c r="CK14" s="32"/>
      <c r="CL14" s="33"/>
      <c r="CM14" s="34"/>
      <c r="CN14" s="36"/>
      <c r="CP14" s="25"/>
      <c r="CQ14" s="26"/>
      <c r="CR14" s="27"/>
      <c r="CS14" s="28"/>
      <c r="CT14" s="29"/>
      <c r="CV14" s="25"/>
      <c r="CW14" s="26"/>
      <c r="CX14" s="27"/>
      <c r="CY14" s="28"/>
      <c r="CZ14" s="29"/>
      <c r="DA14" s="79">
        <f t="shared" si="0"/>
        <v>0</v>
      </c>
      <c r="DB14" s="80" t="e">
        <f>DA14*#REF!</f>
        <v>#REF!</v>
      </c>
      <c r="DC14" s="81" t="e">
        <f>DA14*#REF!</f>
        <v>#REF!</v>
      </c>
      <c r="DE14" s="25"/>
      <c r="DF14" s="26"/>
      <c r="DG14" s="27"/>
      <c r="DH14" s="28"/>
      <c r="DI14" s="29"/>
      <c r="DJ14" s="79">
        <f t="shared" si="1"/>
        <v>0</v>
      </c>
      <c r="DK14" s="80" t="e">
        <f>DJ14*#REF!</f>
        <v>#REF!</v>
      </c>
      <c r="DL14" s="81" t="e">
        <f>DJ14*#REF!</f>
        <v>#REF!</v>
      </c>
      <c r="DN14" s="25"/>
      <c r="DO14" s="26"/>
      <c r="DP14" s="27"/>
      <c r="DQ14" s="28"/>
      <c r="DR14" s="29"/>
      <c r="DS14" s="79">
        <f t="shared" si="2"/>
        <v>0</v>
      </c>
      <c r="DT14" s="80" t="e">
        <f>DS14*#REF!</f>
        <v>#REF!</v>
      </c>
      <c r="DU14" s="81" t="e">
        <f>DS14*#REF!</f>
        <v>#REF!</v>
      </c>
      <c r="DW14" s="25"/>
      <c r="DX14" s="26"/>
      <c r="DY14" s="27"/>
      <c r="DZ14" s="28"/>
      <c r="EA14" s="29"/>
      <c r="EB14" s="79">
        <f t="shared" si="3"/>
        <v>0</v>
      </c>
      <c r="EC14" s="80" t="e">
        <f>EB14*#REF!</f>
        <v>#REF!</v>
      </c>
      <c r="ED14" s="81" t="e">
        <f>EB14*#REF!</f>
        <v>#REF!</v>
      </c>
      <c r="EF14" s="25"/>
      <c r="EG14" s="26"/>
      <c r="EH14" s="27"/>
      <c r="EI14" s="28"/>
      <c r="EJ14" s="29"/>
      <c r="EK14" s="79">
        <f t="shared" si="4"/>
        <v>0</v>
      </c>
      <c r="EL14" s="80" t="e">
        <f>EK14*#REF!</f>
        <v>#REF!</v>
      </c>
      <c r="EM14" s="81" t="e">
        <f>EK14*#REF!</f>
        <v>#REF!</v>
      </c>
      <c r="EO14" s="25"/>
      <c r="EP14" s="26"/>
      <c r="EQ14" s="27"/>
      <c r="ER14" s="28"/>
      <c r="ES14" s="29"/>
      <c r="ET14" s="79">
        <f t="shared" si="5"/>
        <v>0</v>
      </c>
      <c r="EU14" s="80" t="e">
        <f>ET14*#REF!</f>
        <v>#REF!</v>
      </c>
      <c r="EV14" s="81" t="e">
        <f>ET14*#REF!</f>
        <v>#REF!</v>
      </c>
      <c r="EX14" s="25"/>
      <c r="EY14" s="26"/>
      <c r="EZ14" s="27"/>
      <c r="FA14" s="28"/>
      <c r="FB14" s="29"/>
      <c r="FC14" s="79">
        <f t="shared" si="6"/>
        <v>0</v>
      </c>
      <c r="FD14" s="80" t="e">
        <f>FC14*#REF!</f>
        <v>#REF!</v>
      </c>
      <c r="FE14" s="81" t="e">
        <f>FC14*#REF!</f>
        <v>#REF!</v>
      </c>
      <c r="FG14" s="25"/>
      <c r="FH14" s="26"/>
      <c r="FI14" s="27"/>
      <c r="FJ14" s="28"/>
      <c r="FK14" s="29"/>
      <c r="FL14" s="79">
        <f t="shared" si="7"/>
        <v>0</v>
      </c>
      <c r="FM14" s="80" t="e">
        <f>FL14*#REF!</f>
        <v>#REF!</v>
      </c>
      <c r="FN14" s="81" t="e">
        <f>FL14*#REF!</f>
        <v>#REF!</v>
      </c>
      <c r="FP14" s="25"/>
      <c r="FQ14" s="26"/>
      <c r="FR14" s="27"/>
      <c r="FS14" s="28"/>
      <c r="FT14" s="29"/>
      <c r="FU14" s="79">
        <f t="shared" si="8"/>
        <v>0</v>
      </c>
      <c r="FV14" s="80" t="e">
        <f>FU14*#REF!</f>
        <v>#REF!</v>
      </c>
      <c r="FW14" s="81" t="e">
        <f>FU14*#REF!</f>
        <v>#REF!</v>
      </c>
      <c r="FY14" s="25"/>
      <c r="FZ14" s="26"/>
      <c r="GA14" s="27"/>
      <c r="GB14" s="28"/>
      <c r="GC14" s="29"/>
      <c r="GD14" s="79">
        <f t="shared" si="9"/>
        <v>0</v>
      </c>
      <c r="GE14" s="80" t="e">
        <f>GD14*#REF!</f>
        <v>#REF!</v>
      </c>
      <c r="GF14" s="81" t="e">
        <f>GD14*#REF!</f>
        <v>#REF!</v>
      </c>
      <c r="GH14" s="25"/>
      <c r="GI14" s="26"/>
      <c r="GJ14" s="27"/>
      <c r="GK14" s="28"/>
      <c r="GL14" s="29"/>
      <c r="GM14" s="79">
        <f t="shared" si="10"/>
        <v>0</v>
      </c>
      <c r="GN14" s="80" t="e">
        <f>GM14*#REF!</f>
        <v>#REF!</v>
      </c>
      <c r="GO14" s="81" t="e">
        <f>GM14*#REF!</f>
        <v>#REF!</v>
      </c>
      <c r="GQ14" s="82">
        <f t="shared" si="11"/>
        <v>0</v>
      </c>
      <c r="GR14" s="83">
        <v>0</v>
      </c>
    </row>
    <row r="15" spans="2:201" ht="15">
      <c r="B15" s="22" t="s">
        <v>45</v>
      </c>
      <c r="C15" s="23" t="s">
        <v>46</v>
      </c>
      <c r="D15" s="24" t="str">
        <f>IF(C15="","",_xlfn.XLOOKUP(C15,'[1]Control Sheet'!$L$5:$L$104,'[1]Control Sheet'!$M$5:$M$104,"",0))</f>
        <v>Rides Operator</v>
      </c>
      <c r="E15" s="24" t="str">
        <f>IF(B15="","",_xlfn.XLOOKUP(B15,'[1]Control Sheet'!$D$5:$D$64,'[1]Control Sheet'!$F$5:$F$64,"",0))</f>
        <v>Rides</v>
      </c>
      <c r="F15" s="24" t="str">
        <f>IF(B15="","",_xlfn.XLOOKUP(B15,'[1]Control Sheet'!$D$5:$D$64,'[1]Control Sheet'!$E$5:$E$64,"",0))</f>
        <v>C1300-N</v>
      </c>
      <c r="I15" s="31">
        <v>0.35416666666666702</v>
      </c>
      <c r="J15" s="32">
        <v>0.69791666666666663</v>
      </c>
      <c r="K15" s="33">
        <v>45</v>
      </c>
      <c r="L15" s="34">
        <v>1</v>
      </c>
      <c r="M15" s="35">
        <v>1</v>
      </c>
      <c r="P15" s="31">
        <v>0.35416666666666702</v>
      </c>
      <c r="Q15" s="32">
        <v>0.73958333333333304</v>
      </c>
      <c r="R15" s="33">
        <v>45</v>
      </c>
      <c r="S15" s="34">
        <v>1</v>
      </c>
      <c r="T15" s="35">
        <v>1</v>
      </c>
      <c r="V15" s="31">
        <v>0.35416666666666702</v>
      </c>
      <c r="W15" s="32">
        <v>0.73958333333333304</v>
      </c>
      <c r="X15" s="33">
        <v>45</v>
      </c>
      <c r="Y15" s="34">
        <v>1</v>
      </c>
      <c r="Z15" s="35">
        <v>1</v>
      </c>
      <c r="AB15" s="31">
        <v>0.35416666666666702</v>
      </c>
      <c r="AC15" s="32">
        <v>0.73958333333333304</v>
      </c>
      <c r="AD15" s="33">
        <v>45</v>
      </c>
      <c r="AE15" s="34">
        <v>1</v>
      </c>
      <c r="AF15" s="35">
        <v>1</v>
      </c>
      <c r="AH15" s="31">
        <v>0.35416666666666702</v>
      </c>
      <c r="AI15" s="32">
        <v>0.73958333333333304</v>
      </c>
      <c r="AJ15" s="33">
        <v>45</v>
      </c>
      <c r="AK15" s="34">
        <v>1</v>
      </c>
      <c r="AL15" s="35">
        <v>1</v>
      </c>
      <c r="AN15" s="31">
        <v>0.35416666666666702</v>
      </c>
      <c r="AO15" s="32">
        <v>0.78125</v>
      </c>
      <c r="AP15" s="33">
        <v>45</v>
      </c>
      <c r="AQ15" s="34">
        <v>1</v>
      </c>
      <c r="AR15" s="35">
        <v>1</v>
      </c>
      <c r="AT15" s="31">
        <v>0.35416666666666702</v>
      </c>
      <c r="AU15" s="32">
        <v>0.73958333333333304</v>
      </c>
      <c r="AV15" s="33">
        <v>45</v>
      </c>
      <c r="AW15" s="34">
        <v>1</v>
      </c>
      <c r="AX15" s="35">
        <v>1</v>
      </c>
      <c r="AZ15" s="31">
        <v>0.35416666666666702</v>
      </c>
      <c r="BA15" s="32">
        <v>0.78125</v>
      </c>
      <c r="BB15" s="33">
        <v>45</v>
      </c>
      <c r="BC15" s="34">
        <v>1</v>
      </c>
      <c r="BD15" s="35">
        <v>1</v>
      </c>
      <c r="BF15" s="31">
        <v>0.35416666666666702</v>
      </c>
      <c r="BG15" s="32">
        <v>0.82291666666666663</v>
      </c>
      <c r="BH15" s="33">
        <v>45</v>
      </c>
      <c r="BI15" s="34">
        <v>1</v>
      </c>
      <c r="BJ15" s="35">
        <v>1</v>
      </c>
      <c r="BL15" s="25">
        <v>0.38541666666666669</v>
      </c>
      <c r="BM15" s="26">
        <v>0.65625</v>
      </c>
      <c r="BN15" s="27">
        <v>45</v>
      </c>
      <c r="BO15" s="28">
        <v>1</v>
      </c>
      <c r="BP15" s="29">
        <v>1</v>
      </c>
      <c r="BR15" s="31">
        <v>0.38541666666666669</v>
      </c>
      <c r="BS15" s="32">
        <v>0.65625</v>
      </c>
      <c r="BT15" s="33">
        <v>45</v>
      </c>
      <c r="BU15" s="34">
        <v>1</v>
      </c>
      <c r="BV15" s="35">
        <v>1</v>
      </c>
      <c r="BX15" s="31">
        <v>0.38541666666666669</v>
      </c>
      <c r="BY15" s="32">
        <v>0.73958333333333337</v>
      </c>
      <c r="BZ15" s="33">
        <v>45</v>
      </c>
      <c r="CA15" s="34">
        <v>1</v>
      </c>
      <c r="CB15" s="35">
        <v>1</v>
      </c>
      <c r="CD15" s="31">
        <v>0.38541666666666669</v>
      </c>
      <c r="CE15" s="32">
        <v>0.80208333333333337</v>
      </c>
      <c r="CF15" s="33">
        <v>45</v>
      </c>
      <c r="CG15" s="34">
        <v>1</v>
      </c>
      <c r="CH15" s="35">
        <v>1</v>
      </c>
      <c r="CJ15" s="31">
        <v>0.38541666666666669</v>
      </c>
      <c r="CK15" s="32">
        <v>0.65625</v>
      </c>
      <c r="CL15" s="33">
        <v>45</v>
      </c>
      <c r="CM15" s="34">
        <v>1</v>
      </c>
      <c r="CN15" s="36">
        <v>1</v>
      </c>
      <c r="CP15" s="25"/>
      <c r="CQ15" s="26"/>
      <c r="CR15" s="27"/>
      <c r="CS15" s="28"/>
      <c r="CT15" s="29"/>
      <c r="CV15" s="25"/>
      <c r="CW15" s="26"/>
      <c r="CX15" s="27"/>
      <c r="CY15" s="28"/>
      <c r="CZ15" s="29"/>
      <c r="DA15" s="79">
        <f t="shared" si="0"/>
        <v>0</v>
      </c>
      <c r="DB15" s="80" t="e">
        <f>DA15*#REF!</f>
        <v>#REF!</v>
      </c>
      <c r="DC15" s="81" t="e">
        <f>DA15*#REF!</f>
        <v>#REF!</v>
      </c>
      <c r="DE15" s="25"/>
      <c r="DF15" s="26"/>
      <c r="DG15" s="27"/>
      <c r="DH15" s="28"/>
      <c r="DI15" s="29"/>
      <c r="DJ15" s="79">
        <f t="shared" si="1"/>
        <v>0</v>
      </c>
      <c r="DK15" s="80" t="e">
        <f>DJ15*#REF!</f>
        <v>#REF!</v>
      </c>
      <c r="DL15" s="81" t="e">
        <f>DJ15*#REF!</f>
        <v>#REF!</v>
      </c>
      <c r="DN15" s="25"/>
      <c r="DO15" s="26"/>
      <c r="DP15" s="27"/>
      <c r="DQ15" s="28"/>
      <c r="DR15" s="29"/>
      <c r="DS15" s="79">
        <f t="shared" si="2"/>
        <v>0</v>
      </c>
      <c r="DT15" s="80" t="e">
        <f>DS15*#REF!</f>
        <v>#REF!</v>
      </c>
      <c r="DU15" s="81" t="e">
        <f>DS15*#REF!</f>
        <v>#REF!</v>
      </c>
      <c r="DW15" s="25"/>
      <c r="DX15" s="26"/>
      <c r="DY15" s="27"/>
      <c r="DZ15" s="28"/>
      <c r="EA15" s="29"/>
      <c r="EB15" s="79">
        <f t="shared" si="3"/>
        <v>0</v>
      </c>
      <c r="EC15" s="80" t="e">
        <f>EB15*#REF!</f>
        <v>#REF!</v>
      </c>
      <c r="ED15" s="81" t="e">
        <f>EB15*#REF!</f>
        <v>#REF!</v>
      </c>
      <c r="EF15" s="25"/>
      <c r="EG15" s="26"/>
      <c r="EH15" s="27"/>
      <c r="EI15" s="28"/>
      <c r="EJ15" s="29"/>
      <c r="EK15" s="79">
        <f t="shared" si="4"/>
        <v>0</v>
      </c>
      <c r="EL15" s="80" t="e">
        <f>EK15*#REF!</f>
        <v>#REF!</v>
      </c>
      <c r="EM15" s="81" t="e">
        <f>EK15*#REF!</f>
        <v>#REF!</v>
      </c>
      <c r="EO15" s="25"/>
      <c r="EP15" s="26"/>
      <c r="EQ15" s="27"/>
      <c r="ER15" s="28"/>
      <c r="ES15" s="29"/>
      <c r="ET15" s="79">
        <f t="shared" si="5"/>
        <v>0</v>
      </c>
      <c r="EU15" s="80" t="e">
        <f>ET15*#REF!</f>
        <v>#REF!</v>
      </c>
      <c r="EV15" s="81" t="e">
        <f>ET15*#REF!</f>
        <v>#REF!</v>
      </c>
      <c r="EX15" s="25"/>
      <c r="EY15" s="26"/>
      <c r="EZ15" s="27"/>
      <c r="FA15" s="28"/>
      <c r="FB15" s="29"/>
      <c r="FC15" s="79">
        <f t="shared" si="6"/>
        <v>0</v>
      </c>
      <c r="FD15" s="80" t="e">
        <f>FC15*#REF!</f>
        <v>#REF!</v>
      </c>
      <c r="FE15" s="81" t="e">
        <f>FC15*#REF!</f>
        <v>#REF!</v>
      </c>
      <c r="FG15" s="25"/>
      <c r="FH15" s="26"/>
      <c r="FI15" s="27"/>
      <c r="FJ15" s="28"/>
      <c r="FK15" s="29"/>
      <c r="FL15" s="79">
        <f t="shared" si="7"/>
        <v>0</v>
      </c>
      <c r="FM15" s="80" t="e">
        <f>FL15*#REF!</f>
        <v>#REF!</v>
      </c>
      <c r="FN15" s="81" t="e">
        <f>FL15*#REF!</f>
        <v>#REF!</v>
      </c>
      <c r="FP15" s="25"/>
      <c r="FQ15" s="26"/>
      <c r="FR15" s="27"/>
      <c r="FS15" s="28"/>
      <c r="FT15" s="29"/>
      <c r="FU15" s="79">
        <f t="shared" si="8"/>
        <v>0</v>
      </c>
      <c r="FV15" s="80" t="e">
        <f>FU15*#REF!</f>
        <v>#REF!</v>
      </c>
      <c r="FW15" s="81" t="e">
        <f>FU15*#REF!</f>
        <v>#REF!</v>
      </c>
      <c r="FY15" s="25"/>
      <c r="FZ15" s="26"/>
      <c r="GA15" s="27"/>
      <c r="GB15" s="28"/>
      <c r="GC15" s="29"/>
      <c r="GD15" s="79">
        <f t="shared" si="9"/>
        <v>0</v>
      </c>
      <c r="GE15" s="80" t="e">
        <f>GD15*#REF!</f>
        <v>#REF!</v>
      </c>
      <c r="GF15" s="81" t="e">
        <f>GD15*#REF!</f>
        <v>#REF!</v>
      </c>
      <c r="GH15" s="25"/>
      <c r="GI15" s="26"/>
      <c r="GJ15" s="27"/>
      <c r="GK15" s="28"/>
      <c r="GL15" s="29"/>
      <c r="GM15" s="79">
        <f t="shared" si="10"/>
        <v>0</v>
      </c>
      <c r="GN15" s="80" t="e">
        <f>GM15*#REF!</f>
        <v>#REF!</v>
      </c>
      <c r="GO15" s="81" t="e">
        <f>GM15*#REF!</f>
        <v>#REF!</v>
      </c>
      <c r="GQ15" s="82">
        <f t="shared" si="11"/>
        <v>1</v>
      </c>
      <c r="GR15" s="83">
        <v>1</v>
      </c>
    </row>
    <row r="16" spans="2:201" ht="15">
      <c r="B16" s="22"/>
      <c r="C16" s="23"/>
      <c r="D16" s="24" t="str">
        <f>IF(C16="","",_xlfn.XLOOKUP(C16,'[1]Control Sheet'!$L$5:$L$104,'[1]Control Sheet'!$M$5:$M$104,"",0))</f>
        <v/>
      </c>
      <c r="E16" s="24" t="str">
        <f>IF(B16="","",_xlfn.XLOOKUP(B16,'[1]Control Sheet'!$D$5:$D$64,'[1]Control Sheet'!$F$5:$F$64,"",0))</f>
        <v/>
      </c>
      <c r="F16" s="24" t="str">
        <f>IF(B16="","",_xlfn.XLOOKUP(B16,'[1]Control Sheet'!$D$5:$D$64,'[1]Control Sheet'!$E$5:$E$64,"",0))</f>
        <v/>
      </c>
      <c r="I16" s="31"/>
      <c r="J16" s="32"/>
      <c r="K16" s="33"/>
      <c r="L16" s="34"/>
      <c r="M16" s="35"/>
      <c r="P16" s="31"/>
      <c r="Q16" s="32"/>
      <c r="R16" s="33"/>
      <c r="S16" s="34"/>
      <c r="T16" s="35"/>
      <c r="V16" s="31"/>
      <c r="W16" s="32"/>
      <c r="X16" s="33"/>
      <c r="Y16" s="34"/>
      <c r="Z16" s="35"/>
      <c r="AB16" s="31"/>
      <c r="AC16" s="32"/>
      <c r="AD16" s="33"/>
      <c r="AE16" s="34"/>
      <c r="AF16" s="35"/>
      <c r="AH16" s="31"/>
      <c r="AI16" s="32"/>
      <c r="AJ16" s="33"/>
      <c r="AK16" s="34"/>
      <c r="AL16" s="35"/>
      <c r="AN16" s="31"/>
      <c r="AO16" s="32"/>
      <c r="AP16" s="33"/>
      <c r="AQ16" s="34"/>
      <c r="AR16" s="35"/>
      <c r="AT16" s="31"/>
      <c r="AU16" s="32"/>
      <c r="AV16" s="33"/>
      <c r="AW16" s="34"/>
      <c r="AX16" s="35"/>
      <c r="AZ16" s="31"/>
      <c r="BA16" s="32"/>
      <c r="BB16" s="33"/>
      <c r="BC16" s="34"/>
      <c r="BD16" s="35"/>
      <c r="BF16" s="31"/>
      <c r="BG16" s="32"/>
      <c r="BH16" s="33"/>
      <c r="BI16" s="34"/>
      <c r="BJ16" s="35"/>
      <c r="BL16" s="31"/>
      <c r="BM16" s="32"/>
      <c r="BN16" s="33"/>
      <c r="BO16" s="34"/>
      <c r="BP16" s="35"/>
      <c r="BR16" s="31"/>
      <c r="BS16" s="32"/>
      <c r="BT16" s="33"/>
      <c r="BU16" s="34"/>
      <c r="BV16" s="35"/>
      <c r="BX16" s="31"/>
      <c r="BY16" s="32"/>
      <c r="BZ16" s="33"/>
      <c r="CA16" s="34"/>
      <c r="CB16" s="35"/>
      <c r="CD16" s="31"/>
      <c r="CE16" s="32"/>
      <c r="CF16" s="33"/>
      <c r="CG16" s="34"/>
      <c r="CH16" s="35"/>
      <c r="CJ16" s="31"/>
      <c r="CK16" s="32"/>
      <c r="CL16" s="33"/>
      <c r="CM16" s="34"/>
      <c r="CN16" s="36"/>
      <c r="CP16" s="25"/>
      <c r="CQ16" s="26"/>
      <c r="CR16" s="27"/>
      <c r="CS16" s="28"/>
      <c r="CT16" s="29"/>
      <c r="CV16" s="25"/>
      <c r="CW16" s="26"/>
      <c r="CX16" s="27"/>
      <c r="CY16" s="28"/>
      <c r="CZ16" s="29"/>
      <c r="DA16" s="79">
        <f t="shared" si="0"/>
        <v>0</v>
      </c>
      <c r="DB16" s="80" t="e">
        <f>DA16*#REF!</f>
        <v>#REF!</v>
      </c>
      <c r="DC16" s="81" t="e">
        <f>DA16*#REF!</f>
        <v>#REF!</v>
      </c>
      <c r="DE16" s="25"/>
      <c r="DF16" s="26"/>
      <c r="DG16" s="27"/>
      <c r="DH16" s="28"/>
      <c r="DI16" s="29"/>
      <c r="DJ16" s="79">
        <f t="shared" si="1"/>
        <v>0</v>
      </c>
      <c r="DK16" s="80" t="e">
        <f>DJ16*#REF!</f>
        <v>#REF!</v>
      </c>
      <c r="DL16" s="81" t="e">
        <f>DJ16*#REF!</f>
        <v>#REF!</v>
      </c>
      <c r="DN16" s="25"/>
      <c r="DO16" s="26"/>
      <c r="DP16" s="27"/>
      <c r="DQ16" s="28"/>
      <c r="DR16" s="29"/>
      <c r="DS16" s="79">
        <f t="shared" si="2"/>
        <v>0</v>
      </c>
      <c r="DT16" s="80" t="e">
        <f>DS16*#REF!</f>
        <v>#REF!</v>
      </c>
      <c r="DU16" s="81" t="e">
        <f>DS16*#REF!</f>
        <v>#REF!</v>
      </c>
      <c r="DW16" s="25"/>
      <c r="DX16" s="26"/>
      <c r="DY16" s="27"/>
      <c r="DZ16" s="28"/>
      <c r="EA16" s="29"/>
      <c r="EB16" s="79">
        <f t="shared" si="3"/>
        <v>0</v>
      </c>
      <c r="EC16" s="80" t="e">
        <f>EB16*#REF!</f>
        <v>#REF!</v>
      </c>
      <c r="ED16" s="81" t="e">
        <f>EB16*#REF!</f>
        <v>#REF!</v>
      </c>
      <c r="EF16" s="25"/>
      <c r="EG16" s="26"/>
      <c r="EH16" s="27"/>
      <c r="EI16" s="28"/>
      <c r="EJ16" s="29"/>
      <c r="EK16" s="79">
        <f t="shared" si="4"/>
        <v>0</v>
      </c>
      <c r="EL16" s="80" t="e">
        <f>EK16*#REF!</f>
        <v>#REF!</v>
      </c>
      <c r="EM16" s="81" t="e">
        <f>EK16*#REF!</f>
        <v>#REF!</v>
      </c>
      <c r="EO16" s="25"/>
      <c r="EP16" s="26"/>
      <c r="EQ16" s="27"/>
      <c r="ER16" s="28"/>
      <c r="ES16" s="29"/>
      <c r="ET16" s="79">
        <f t="shared" si="5"/>
        <v>0</v>
      </c>
      <c r="EU16" s="80" t="e">
        <f>ET16*#REF!</f>
        <v>#REF!</v>
      </c>
      <c r="EV16" s="81" t="e">
        <f>ET16*#REF!</f>
        <v>#REF!</v>
      </c>
      <c r="EX16" s="25"/>
      <c r="EY16" s="26"/>
      <c r="EZ16" s="27"/>
      <c r="FA16" s="28"/>
      <c r="FB16" s="29"/>
      <c r="FC16" s="79">
        <f t="shared" si="6"/>
        <v>0</v>
      </c>
      <c r="FD16" s="80" t="e">
        <f>FC16*#REF!</f>
        <v>#REF!</v>
      </c>
      <c r="FE16" s="81" t="e">
        <f>FC16*#REF!</f>
        <v>#REF!</v>
      </c>
      <c r="FG16" s="25"/>
      <c r="FH16" s="26"/>
      <c r="FI16" s="27"/>
      <c r="FJ16" s="28"/>
      <c r="FK16" s="29"/>
      <c r="FL16" s="79">
        <f t="shared" si="7"/>
        <v>0</v>
      </c>
      <c r="FM16" s="80" t="e">
        <f>FL16*#REF!</f>
        <v>#REF!</v>
      </c>
      <c r="FN16" s="81" t="e">
        <f>FL16*#REF!</f>
        <v>#REF!</v>
      </c>
      <c r="FP16" s="25"/>
      <c r="FQ16" s="26"/>
      <c r="FR16" s="27"/>
      <c r="FS16" s="28"/>
      <c r="FT16" s="29"/>
      <c r="FU16" s="79">
        <f t="shared" si="8"/>
        <v>0</v>
      </c>
      <c r="FV16" s="80" t="e">
        <f>FU16*#REF!</f>
        <v>#REF!</v>
      </c>
      <c r="FW16" s="81" t="e">
        <f>FU16*#REF!</f>
        <v>#REF!</v>
      </c>
      <c r="FY16" s="25"/>
      <c r="FZ16" s="26"/>
      <c r="GA16" s="27"/>
      <c r="GB16" s="28"/>
      <c r="GC16" s="29"/>
      <c r="GD16" s="79">
        <f t="shared" si="9"/>
        <v>0</v>
      </c>
      <c r="GE16" s="80" t="e">
        <f>GD16*#REF!</f>
        <v>#REF!</v>
      </c>
      <c r="GF16" s="81" t="e">
        <f>GD16*#REF!</f>
        <v>#REF!</v>
      </c>
      <c r="GH16" s="25"/>
      <c r="GI16" s="26"/>
      <c r="GJ16" s="27"/>
      <c r="GK16" s="28"/>
      <c r="GL16" s="29"/>
      <c r="GM16" s="79">
        <f t="shared" si="10"/>
        <v>0</v>
      </c>
      <c r="GN16" s="80" t="e">
        <f>GM16*#REF!</f>
        <v>#REF!</v>
      </c>
      <c r="GO16" s="81" t="e">
        <f>GM16*#REF!</f>
        <v>#REF!</v>
      </c>
      <c r="GQ16" s="82">
        <f t="shared" si="11"/>
        <v>0</v>
      </c>
      <c r="GR16" s="83">
        <v>0</v>
      </c>
    </row>
    <row r="17" spans="2:200" ht="15">
      <c r="B17" s="22" t="s">
        <v>47</v>
      </c>
      <c r="C17" s="23" t="s">
        <v>48</v>
      </c>
      <c r="D17" s="24" t="str">
        <f>IF(C17="","",_xlfn.XLOOKUP(C17,'[1]Control Sheet'!$L$5:$L$104,'[1]Control Sheet'!$M$5:$M$104,"",0))</f>
        <v>Rides Operator</v>
      </c>
      <c r="E17" s="24" t="str">
        <f>IF(B17="","",_xlfn.XLOOKUP(B17,'[1]Control Sheet'!$D$5:$D$64,'[1]Control Sheet'!$F$5:$F$64,"",0))</f>
        <v>Rides</v>
      </c>
      <c r="F17" s="24" t="str">
        <f>IF(B17="","",_xlfn.XLOOKUP(B17,'[1]Control Sheet'!$D$5:$D$64,'[1]Control Sheet'!$E$5:$E$64,"",0))</f>
        <v>C1300-N</v>
      </c>
      <c r="I17" s="25">
        <v>0.35416666666666669</v>
      </c>
      <c r="J17" s="26">
        <v>0.69791666666666663</v>
      </c>
      <c r="K17" s="27">
        <v>45</v>
      </c>
      <c r="L17" s="28">
        <v>1</v>
      </c>
      <c r="M17" s="29">
        <v>1</v>
      </c>
      <c r="P17" s="25">
        <v>0.35416666666666669</v>
      </c>
      <c r="Q17" s="32">
        <v>0.73958333333333304</v>
      </c>
      <c r="R17" s="27">
        <v>45</v>
      </c>
      <c r="S17" s="28">
        <v>1</v>
      </c>
      <c r="T17" s="29">
        <v>1</v>
      </c>
      <c r="V17" s="25">
        <v>0.35416666666666669</v>
      </c>
      <c r="W17" s="32">
        <v>0.73958333333333304</v>
      </c>
      <c r="X17" s="27">
        <v>45</v>
      </c>
      <c r="Y17" s="28">
        <v>1</v>
      </c>
      <c r="Z17" s="29">
        <v>1</v>
      </c>
      <c r="AB17" s="25">
        <v>0.35416666666666669</v>
      </c>
      <c r="AC17" s="32">
        <v>0.73958333333333304</v>
      </c>
      <c r="AD17" s="27">
        <v>45</v>
      </c>
      <c r="AE17" s="28">
        <v>1</v>
      </c>
      <c r="AF17" s="29">
        <v>1</v>
      </c>
      <c r="AH17" s="25">
        <v>0.35416666666666669</v>
      </c>
      <c r="AI17" s="32">
        <v>0.73958333333333304</v>
      </c>
      <c r="AJ17" s="27">
        <v>45</v>
      </c>
      <c r="AK17" s="28">
        <v>1</v>
      </c>
      <c r="AL17" s="29">
        <v>1</v>
      </c>
      <c r="AN17" s="25">
        <v>0.35416666666666669</v>
      </c>
      <c r="AO17" s="32">
        <v>0.78125</v>
      </c>
      <c r="AP17" s="27">
        <v>45</v>
      </c>
      <c r="AQ17" s="28">
        <v>1</v>
      </c>
      <c r="AR17" s="29">
        <v>1</v>
      </c>
      <c r="AT17" s="25">
        <v>0.35416666666666669</v>
      </c>
      <c r="AU17" s="32">
        <v>0.73958333333333304</v>
      </c>
      <c r="AV17" s="27">
        <v>45</v>
      </c>
      <c r="AW17" s="28">
        <v>1</v>
      </c>
      <c r="AX17" s="29">
        <v>1</v>
      </c>
      <c r="AZ17" s="25">
        <v>0.35416666666666669</v>
      </c>
      <c r="BA17" s="32">
        <v>0.78125</v>
      </c>
      <c r="BB17" s="27">
        <v>45</v>
      </c>
      <c r="BC17" s="28">
        <v>1</v>
      </c>
      <c r="BD17" s="29">
        <v>1</v>
      </c>
      <c r="BF17" s="25">
        <v>0.35416666666666669</v>
      </c>
      <c r="BG17" s="32">
        <v>0.82291666666666663</v>
      </c>
      <c r="BH17" s="27">
        <v>45</v>
      </c>
      <c r="BI17" s="28">
        <v>1</v>
      </c>
      <c r="BJ17" s="29">
        <v>1</v>
      </c>
      <c r="BL17" s="25">
        <v>0.38541666666666669</v>
      </c>
      <c r="BM17" s="26">
        <v>0.65625</v>
      </c>
      <c r="BN17" s="27">
        <v>45</v>
      </c>
      <c r="BO17" s="28">
        <v>1</v>
      </c>
      <c r="BP17" s="29">
        <v>1</v>
      </c>
      <c r="BR17" s="31">
        <v>0.38541666666666669</v>
      </c>
      <c r="BS17" s="32">
        <v>0.65625</v>
      </c>
      <c r="BT17" s="27">
        <v>45</v>
      </c>
      <c r="BU17" s="28">
        <v>1</v>
      </c>
      <c r="BV17" s="29">
        <v>1</v>
      </c>
      <c r="BX17" s="31">
        <v>0.38541666666666669</v>
      </c>
      <c r="BY17" s="32">
        <v>0.73958333333333337</v>
      </c>
      <c r="BZ17" s="27">
        <v>45</v>
      </c>
      <c r="CA17" s="28">
        <v>1</v>
      </c>
      <c r="CB17" s="29">
        <v>1</v>
      </c>
      <c r="CD17" s="31">
        <v>0.38541666666666669</v>
      </c>
      <c r="CE17" s="32">
        <v>0.80208333333333337</v>
      </c>
      <c r="CF17" s="27">
        <v>45</v>
      </c>
      <c r="CG17" s="28">
        <v>1</v>
      </c>
      <c r="CH17" s="29">
        <v>1</v>
      </c>
      <c r="CJ17" s="31">
        <v>0.38541666666666669</v>
      </c>
      <c r="CK17" s="32">
        <v>0.65625</v>
      </c>
      <c r="CL17" s="27">
        <v>45</v>
      </c>
      <c r="CM17" s="28">
        <v>1</v>
      </c>
      <c r="CN17" s="29">
        <v>1</v>
      </c>
      <c r="CP17" s="25"/>
      <c r="CQ17" s="26"/>
      <c r="CR17" s="27"/>
      <c r="CS17" s="28"/>
      <c r="CT17" s="29"/>
      <c r="CV17" s="25"/>
      <c r="CW17" s="26"/>
      <c r="CX17" s="27"/>
      <c r="CY17" s="28"/>
      <c r="CZ17" s="29"/>
      <c r="DA17" s="79">
        <f t="shared" si="0"/>
        <v>0</v>
      </c>
      <c r="DB17" s="80" t="e">
        <f>DA17*#REF!</f>
        <v>#REF!</v>
      </c>
      <c r="DC17" s="81" t="e">
        <f>DA17*#REF!</f>
        <v>#REF!</v>
      </c>
      <c r="DE17" s="25"/>
      <c r="DF17" s="26"/>
      <c r="DG17" s="27"/>
      <c r="DH17" s="28"/>
      <c r="DI17" s="29"/>
      <c r="DJ17" s="79">
        <f t="shared" si="1"/>
        <v>0</v>
      </c>
      <c r="DK17" s="80" t="e">
        <f>DJ17*#REF!</f>
        <v>#REF!</v>
      </c>
      <c r="DL17" s="81" t="e">
        <f>DJ17*#REF!</f>
        <v>#REF!</v>
      </c>
      <c r="DN17" s="25"/>
      <c r="DO17" s="26"/>
      <c r="DP17" s="27"/>
      <c r="DQ17" s="28"/>
      <c r="DR17" s="29"/>
      <c r="DS17" s="79">
        <f t="shared" si="2"/>
        <v>0</v>
      </c>
      <c r="DT17" s="80" t="e">
        <f>DS17*#REF!</f>
        <v>#REF!</v>
      </c>
      <c r="DU17" s="81" t="e">
        <f>DS17*#REF!</f>
        <v>#REF!</v>
      </c>
      <c r="DW17" s="25"/>
      <c r="DX17" s="26"/>
      <c r="DY17" s="27"/>
      <c r="DZ17" s="28"/>
      <c r="EA17" s="29"/>
      <c r="EB17" s="79">
        <f t="shared" si="3"/>
        <v>0</v>
      </c>
      <c r="EC17" s="80" t="e">
        <f>EB17*#REF!</f>
        <v>#REF!</v>
      </c>
      <c r="ED17" s="81" t="e">
        <f>EB17*#REF!</f>
        <v>#REF!</v>
      </c>
      <c r="EF17" s="25"/>
      <c r="EG17" s="26"/>
      <c r="EH17" s="27"/>
      <c r="EI17" s="28"/>
      <c r="EJ17" s="29"/>
      <c r="EK17" s="79">
        <f t="shared" si="4"/>
        <v>0</v>
      </c>
      <c r="EL17" s="80" t="e">
        <f>EK17*#REF!</f>
        <v>#REF!</v>
      </c>
      <c r="EM17" s="81" t="e">
        <f>EK17*#REF!</f>
        <v>#REF!</v>
      </c>
      <c r="EO17" s="25"/>
      <c r="EP17" s="26"/>
      <c r="EQ17" s="27"/>
      <c r="ER17" s="28"/>
      <c r="ES17" s="29"/>
      <c r="ET17" s="79">
        <f t="shared" si="5"/>
        <v>0</v>
      </c>
      <c r="EU17" s="80" t="e">
        <f>ET17*#REF!</f>
        <v>#REF!</v>
      </c>
      <c r="EV17" s="81" t="e">
        <f>ET17*#REF!</f>
        <v>#REF!</v>
      </c>
      <c r="EX17" s="25"/>
      <c r="EY17" s="26"/>
      <c r="EZ17" s="27"/>
      <c r="FA17" s="28"/>
      <c r="FB17" s="29"/>
      <c r="FC17" s="79">
        <f t="shared" si="6"/>
        <v>0</v>
      </c>
      <c r="FD17" s="80" t="e">
        <f>FC17*#REF!</f>
        <v>#REF!</v>
      </c>
      <c r="FE17" s="81" t="e">
        <f>FC17*#REF!</f>
        <v>#REF!</v>
      </c>
      <c r="FG17" s="25"/>
      <c r="FH17" s="26"/>
      <c r="FI17" s="27"/>
      <c r="FJ17" s="28"/>
      <c r="FK17" s="29"/>
      <c r="FL17" s="79">
        <f t="shared" si="7"/>
        <v>0</v>
      </c>
      <c r="FM17" s="80" t="e">
        <f>FL17*#REF!</f>
        <v>#REF!</v>
      </c>
      <c r="FN17" s="81" t="e">
        <f>FL17*#REF!</f>
        <v>#REF!</v>
      </c>
      <c r="FP17" s="25"/>
      <c r="FQ17" s="26"/>
      <c r="FR17" s="27"/>
      <c r="FS17" s="28"/>
      <c r="FT17" s="29"/>
      <c r="FU17" s="79">
        <f t="shared" si="8"/>
        <v>0</v>
      </c>
      <c r="FV17" s="80" t="e">
        <f>FU17*#REF!</f>
        <v>#REF!</v>
      </c>
      <c r="FW17" s="81" t="e">
        <f>FU17*#REF!</f>
        <v>#REF!</v>
      </c>
      <c r="FY17" s="25"/>
      <c r="FZ17" s="26"/>
      <c r="GA17" s="27"/>
      <c r="GB17" s="28"/>
      <c r="GC17" s="29"/>
      <c r="GD17" s="79">
        <f t="shared" si="9"/>
        <v>0</v>
      </c>
      <c r="GE17" s="80" t="e">
        <f>GD17*#REF!</f>
        <v>#REF!</v>
      </c>
      <c r="GF17" s="81" t="e">
        <f>GD17*#REF!</f>
        <v>#REF!</v>
      </c>
      <c r="GH17" s="25"/>
      <c r="GI17" s="26"/>
      <c r="GJ17" s="27"/>
      <c r="GK17" s="28"/>
      <c r="GL17" s="29"/>
      <c r="GM17" s="79">
        <f t="shared" si="10"/>
        <v>0</v>
      </c>
      <c r="GN17" s="80" t="e">
        <f>GM17*#REF!</f>
        <v>#REF!</v>
      </c>
      <c r="GO17" s="81" t="e">
        <f>GM17*#REF!</f>
        <v>#REF!</v>
      </c>
      <c r="GQ17" s="82">
        <f t="shared" si="11"/>
        <v>1</v>
      </c>
      <c r="GR17" s="83">
        <v>1</v>
      </c>
    </row>
    <row r="18" spans="2:200" ht="15">
      <c r="B18" s="22"/>
      <c r="C18" s="23"/>
      <c r="D18" s="24" t="str">
        <f>IF(C18="","",_xlfn.XLOOKUP(C18,'[1]Control Sheet'!$L$5:$L$104,'[1]Control Sheet'!$M$5:$M$104,"",0))</f>
        <v/>
      </c>
      <c r="E18" s="24" t="str">
        <f>IF(B18="","",_xlfn.XLOOKUP(B18,'[1]Control Sheet'!$D$5:$D$64,'[1]Control Sheet'!$F$5:$F$64,"",0))</f>
        <v/>
      </c>
      <c r="F18" s="24" t="str">
        <f>IF(B18="","",_xlfn.XLOOKUP(B18,'[1]Control Sheet'!$D$5:$D$64,'[1]Control Sheet'!$E$5:$E$64,"",0))</f>
        <v/>
      </c>
      <c r="I18" s="31"/>
      <c r="J18" s="32"/>
      <c r="K18" s="33"/>
      <c r="L18" s="34"/>
      <c r="M18" s="35"/>
      <c r="P18" s="31"/>
      <c r="Q18" s="32"/>
      <c r="R18" s="33"/>
      <c r="S18" s="34"/>
      <c r="T18" s="35"/>
      <c r="V18" s="31"/>
      <c r="W18" s="32"/>
      <c r="X18" s="33"/>
      <c r="Y18" s="34"/>
      <c r="Z18" s="35"/>
      <c r="AB18" s="31"/>
      <c r="AC18" s="32"/>
      <c r="AD18" s="33"/>
      <c r="AE18" s="34"/>
      <c r="AF18" s="35"/>
      <c r="AH18" s="31"/>
      <c r="AI18" s="32"/>
      <c r="AJ18" s="33"/>
      <c r="AK18" s="34"/>
      <c r="AL18" s="35"/>
      <c r="AN18" s="31"/>
      <c r="AO18" s="32"/>
      <c r="AP18" s="33"/>
      <c r="AQ18" s="34"/>
      <c r="AR18" s="35"/>
      <c r="AT18" s="31"/>
      <c r="AU18" s="32"/>
      <c r="AV18" s="33"/>
      <c r="AW18" s="34"/>
      <c r="AX18" s="35"/>
      <c r="AZ18" s="31"/>
      <c r="BA18" s="32"/>
      <c r="BB18" s="33"/>
      <c r="BC18" s="34"/>
      <c r="BD18" s="35"/>
      <c r="BF18" s="31"/>
      <c r="BG18" s="32"/>
      <c r="BH18" s="33"/>
      <c r="BI18" s="34"/>
      <c r="BJ18" s="35"/>
      <c r="BL18" s="31"/>
      <c r="BM18" s="32"/>
      <c r="BN18" s="33"/>
      <c r="BO18" s="34"/>
      <c r="BP18" s="35"/>
      <c r="BR18" s="31"/>
      <c r="BS18" s="32"/>
      <c r="BT18" s="33"/>
      <c r="BU18" s="34"/>
      <c r="BV18" s="35"/>
      <c r="BX18" s="31"/>
      <c r="BY18" s="32"/>
      <c r="BZ18" s="33"/>
      <c r="CA18" s="34"/>
      <c r="CB18" s="35"/>
      <c r="CD18" s="31"/>
      <c r="CE18" s="32"/>
      <c r="CF18" s="33"/>
      <c r="CG18" s="34"/>
      <c r="CH18" s="35"/>
      <c r="CJ18" s="31"/>
      <c r="CK18" s="32"/>
      <c r="CL18" s="33"/>
      <c r="CM18" s="34"/>
      <c r="CN18" s="35"/>
      <c r="CP18" s="25"/>
      <c r="CQ18" s="26"/>
      <c r="CR18" s="27"/>
      <c r="CS18" s="28"/>
      <c r="CT18" s="29"/>
      <c r="CV18" s="25"/>
      <c r="CW18" s="26"/>
      <c r="CX18" s="27"/>
      <c r="CY18" s="28"/>
      <c r="CZ18" s="29"/>
      <c r="DA18" s="79">
        <f t="shared" si="0"/>
        <v>0</v>
      </c>
      <c r="DB18" s="80" t="e">
        <f>DA18*#REF!</f>
        <v>#REF!</v>
      </c>
      <c r="DC18" s="81" t="e">
        <f>DA18*#REF!</f>
        <v>#REF!</v>
      </c>
      <c r="DE18" s="25"/>
      <c r="DF18" s="26"/>
      <c r="DG18" s="27"/>
      <c r="DH18" s="28"/>
      <c r="DI18" s="29"/>
      <c r="DJ18" s="79">
        <f t="shared" si="1"/>
        <v>0</v>
      </c>
      <c r="DK18" s="80" t="e">
        <f>DJ18*#REF!</f>
        <v>#REF!</v>
      </c>
      <c r="DL18" s="81" t="e">
        <f>DJ18*#REF!</f>
        <v>#REF!</v>
      </c>
      <c r="DN18" s="25"/>
      <c r="DO18" s="26"/>
      <c r="DP18" s="27"/>
      <c r="DQ18" s="28"/>
      <c r="DR18" s="29"/>
      <c r="DS18" s="79">
        <f t="shared" si="2"/>
        <v>0</v>
      </c>
      <c r="DT18" s="80" t="e">
        <f>DS18*#REF!</f>
        <v>#REF!</v>
      </c>
      <c r="DU18" s="81" t="e">
        <f>DS18*#REF!</f>
        <v>#REF!</v>
      </c>
      <c r="DW18" s="25"/>
      <c r="DX18" s="26"/>
      <c r="DY18" s="27"/>
      <c r="DZ18" s="28"/>
      <c r="EA18" s="29"/>
      <c r="EB18" s="79">
        <f t="shared" si="3"/>
        <v>0</v>
      </c>
      <c r="EC18" s="80" t="e">
        <f>EB18*#REF!</f>
        <v>#REF!</v>
      </c>
      <c r="ED18" s="81" t="e">
        <f>EB18*#REF!</f>
        <v>#REF!</v>
      </c>
      <c r="EF18" s="25"/>
      <c r="EG18" s="26"/>
      <c r="EH18" s="27"/>
      <c r="EI18" s="28"/>
      <c r="EJ18" s="29"/>
      <c r="EK18" s="79">
        <f t="shared" si="4"/>
        <v>0</v>
      </c>
      <c r="EL18" s="80" t="e">
        <f>EK18*#REF!</f>
        <v>#REF!</v>
      </c>
      <c r="EM18" s="81" t="e">
        <f>EK18*#REF!</f>
        <v>#REF!</v>
      </c>
      <c r="EO18" s="25"/>
      <c r="EP18" s="26"/>
      <c r="EQ18" s="27"/>
      <c r="ER18" s="28"/>
      <c r="ES18" s="29"/>
      <c r="ET18" s="79">
        <f t="shared" si="5"/>
        <v>0</v>
      </c>
      <c r="EU18" s="80" t="e">
        <f>ET18*#REF!</f>
        <v>#REF!</v>
      </c>
      <c r="EV18" s="81" t="e">
        <f>ET18*#REF!</f>
        <v>#REF!</v>
      </c>
      <c r="EX18" s="25"/>
      <c r="EY18" s="26"/>
      <c r="EZ18" s="27"/>
      <c r="FA18" s="28"/>
      <c r="FB18" s="29"/>
      <c r="FC18" s="79">
        <f t="shared" si="6"/>
        <v>0</v>
      </c>
      <c r="FD18" s="80" t="e">
        <f>FC18*#REF!</f>
        <v>#REF!</v>
      </c>
      <c r="FE18" s="81" t="e">
        <f>FC18*#REF!</f>
        <v>#REF!</v>
      </c>
      <c r="FG18" s="25"/>
      <c r="FH18" s="26"/>
      <c r="FI18" s="27"/>
      <c r="FJ18" s="28"/>
      <c r="FK18" s="29"/>
      <c r="FL18" s="79">
        <f t="shared" si="7"/>
        <v>0</v>
      </c>
      <c r="FM18" s="80" t="e">
        <f>FL18*#REF!</f>
        <v>#REF!</v>
      </c>
      <c r="FN18" s="81" t="e">
        <f>FL18*#REF!</f>
        <v>#REF!</v>
      </c>
      <c r="FP18" s="25"/>
      <c r="FQ18" s="26"/>
      <c r="FR18" s="27"/>
      <c r="FS18" s="28"/>
      <c r="FT18" s="29"/>
      <c r="FU18" s="79">
        <f t="shared" si="8"/>
        <v>0</v>
      </c>
      <c r="FV18" s="80" t="e">
        <f>FU18*#REF!</f>
        <v>#REF!</v>
      </c>
      <c r="FW18" s="81" t="e">
        <f>FU18*#REF!</f>
        <v>#REF!</v>
      </c>
      <c r="FY18" s="25"/>
      <c r="FZ18" s="26"/>
      <c r="GA18" s="27"/>
      <c r="GB18" s="28"/>
      <c r="GC18" s="29"/>
      <c r="GD18" s="79">
        <f t="shared" si="9"/>
        <v>0</v>
      </c>
      <c r="GE18" s="80" t="e">
        <f>GD18*#REF!</f>
        <v>#REF!</v>
      </c>
      <c r="GF18" s="81" t="e">
        <f>GD18*#REF!</f>
        <v>#REF!</v>
      </c>
      <c r="GH18" s="25"/>
      <c r="GI18" s="26"/>
      <c r="GJ18" s="27"/>
      <c r="GK18" s="28"/>
      <c r="GL18" s="29"/>
      <c r="GM18" s="79">
        <f t="shared" si="10"/>
        <v>0</v>
      </c>
      <c r="GN18" s="80" t="e">
        <f>GM18*#REF!</f>
        <v>#REF!</v>
      </c>
      <c r="GO18" s="81" t="e">
        <f>GM18*#REF!</f>
        <v>#REF!</v>
      </c>
      <c r="GQ18" s="82">
        <f t="shared" si="11"/>
        <v>0</v>
      </c>
      <c r="GR18" s="83">
        <v>0</v>
      </c>
    </row>
    <row r="19" spans="2:200" ht="15">
      <c r="B19" s="22" t="s">
        <v>49</v>
      </c>
      <c r="C19" s="23" t="s">
        <v>50</v>
      </c>
      <c r="D19" s="24" t="str">
        <f>IF(C19="","",_xlfn.XLOOKUP(C19,'[1]Control Sheet'!$L$5:$L$104,'[1]Control Sheet'!$M$5:$M$104,"",0))</f>
        <v>Rides Operator</v>
      </c>
      <c r="E19" s="24" t="str">
        <f>IF(B19="","",_xlfn.XLOOKUP(B19,'[1]Control Sheet'!$D$5:$D$64,'[1]Control Sheet'!$F$5:$F$64,"",0))</f>
        <v>Rides</v>
      </c>
      <c r="F19" s="24" t="str">
        <f>IF(B19="","",_xlfn.XLOOKUP(B19,'[1]Control Sheet'!$D$5:$D$64,'[1]Control Sheet'!$E$5:$E$64,"",0))</f>
        <v>C1300-N</v>
      </c>
      <c r="I19" s="31">
        <v>0.38541666666666669</v>
      </c>
      <c r="J19" s="26">
        <v>0.69791666666666663</v>
      </c>
      <c r="K19" s="27">
        <v>45</v>
      </c>
      <c r="L19" s="28">
        <v>1</v>
      </c>
      <c r="M19" s="29">
        <v>1</v>
      </c>
      <c r="P19" s="31">
        <v>0.38541666666666669</v>
      </c>
      <c r="Q19" s="32">
        <v>0.73958333333333304</v>
      </c>
      <c r="R19" s="27">
        <v>45</v>
      </c>
      <c r="S19" s="28">
        <v>1</v>
      </c>
      <c r="T19" s="29">
        <v>1</v>
      </c>
      <c r="V19" s="31">
        <v>0.38541666666666669</v>
      </c>
      <c r="W19" s="32">
        <v>0.73958333333333304</v>
      </c>
      <c r="X19" s="27">
        <v>45</v>
      </c>
      <c r="Y19" s="28">
        <v>1</v>
      </c>
      <c r="Z19" s="29">
        <v>1</v>
      </c>
      <c r="AB19" s="31">
        <v>0.38541666666666669</v>
      </c>
      <c r="AC19" s="32">
        <v>0.73958333333333304</v>
      </c>
      <c r="AD19" s="27">
        <v>45</v>
      </c>
      <c r="AE19" s="28">
        <v>1</v>
      </c>
      <c r="AF19" s="29">
        <v>1</v>
      </c>
      <c r="AH19" s="31">
        <v>0.38541666666666669</v>
      </c>
      <c r="AI19" s="32">
        <v>0.73958333333333304</v>
      </c>
      <c r="AJ19" s="27">
        <v>45</v>
      </c>
      <c r="AK19" s="28">
        <v>1</v>
      </c>
      <c r="AL19" s="29">
        <v>1</v>
      </c>
      <c r="AN19" s="31">
        <v>0.38541666666666669</v>
      </c>
      <c r="AO19" s="32">
        <v>0.78125</v>
      </c>
      <c r="AP19" s="27">
        <v>45</v>
      </c>
      <c r="AQ19" s="28">
        <v>1</v>
      </c>
      <c r="AR19" s="29">
        <v>1</v>
      </c>
      <c r="AT19" s="31">
        <v>0.38541666666666669</v>
      </c>
      <c r="AU19" s="32">
        <v>0.73958333333333304</v>
      </c>
      <c r="AV19" s="27">
        <v>45</v>
      </c>
      <c r="AW19" s="28">
        <v>1</v>
      </c>
      <c r="AX19" s="29">
        <v>1</v>
      </c>
      <c r="AZ19" s="31">
        <v>0.38541666666666669</v>
      </c>
      <c r="BA19" s="32">
        <v>0.78125</v>
      </c>
      <c r="BB19" s="27">
        <v>45</v>
      </c>
      <c r="BC19" s="28">
        <v>1</v>
      </c>
      <c r="BD19" s="29">
        <v>1</v>
      </c>
      <c r="BF19" s="31">
        <v>0.38541666666666669</v>
      </c>
      <c r="BG19" s="32">
        <v>0.82291666666666663</v>
      </c>
      <c r="BH19" s="27">
        <v>45</v>
      </c>
      <c r="BI19" s="28">
        <v>1</v>
      </c>
      <c r="BJ19" s="29">
        <v>1</v>
      </c>
      <c r="BL19" s="31"/>
      <c r="BM19" s="32"/>
      <c r="BN19" s="33"/>
      <c r="BO19" s="34"/>
      <c r="BP19" s="35"/>
      <c r="BR19" s="31"/>
      <c r="BS19" s="32"/>
      <c r="BT19" s="27"/>
      <c r="BU19" s="28"/>
      <c r="BV19" s="29"/>
      <c r="BX19" s="31"/>
      <c r="BY19" s="32"/>
      <c r="BZ19" s="27"/>
      <c r="CA19" s="28"/>
      <c r="CB19" s="29"/>
      <c r="CD19" s="31"/>
      <c r="CE19" s="32"/>
      <c r="CF19" s="27"/>
      <c r="CG19" s="28"/>
      <c r="CH19" s="29"/>
      <c r="CJ19" s="31"/>
      <c r="CK19" s="32"/>
      <c r="CL19" s="27"/>
      <c r="CM19" s="28"/>
      <c r="CN19" s="29"/>
      <c r="CP19" s="25"/>
      <c r="CQ19" s="26"/>
      <c r="CR19" s="27"/>
      <c r="CS19" s="28"/>
      <c r="CT19" s="29"/>
      <c r="CV19" s="25"/>
      <c r="CW19" s="26"/>
      <c r="CX19" s="27"/>
      <c r="CY19" s="28"/>
      <c r="CZ19" s="29"/>
      <c r="DA19" s="79">
        <f t="shared" si="0"/>
        <v>0</v>
      </c>
      <c r="DB19" s="80" t="e">
        <f>DA19*#REF!</f>
        <v>#REF!</v>
      </c>
      <c r="DC19" s="81" t="e">
        <f>DA19*#REF!</f>
        <v>#REF!</v>
      </c>
      <c r="DE19" s="25"/>
      <c r="DF19" s="26"/>
      <c r="DG19" s="27"/>
      <c r="DH19" s="28"/>
      <c r="DI19" s="29"/>
      <c r="DJ19" s="79">
        <f t="shared" si="1"/>
        <v>0</v>
      </c>
      <c r="DK19" s="80" t="e">
        <f>DJ19*#REF!</f>
        <v>#REF!</v>
      </c>
      <c r="DL19" s="81" t="e">
        <f>DJ19*#REF!</f>
        <v>#REF!</v>
      </c>
      <c r="DN19" s="25"/>
      <c r="DO19" s="26"/>
      <c r="DP19" s="27"/>
      <c r="DQ19" s="28"/>
      <c r="DR19" s="29"/>
      <c r="DS19" s="79">
        <f t="shared" si="2"/>
        <v>0</v>
      </c>
      <c r="DT19" s="80" t="e">
        <f>DS19*#REF!</f>
        <v>#REF!</v>
      </c>
      <c r="DU19" s="81" t="e">
        <f>DS19*#REF!</f>
        <v>#REF!</v>
      </c>
      <c r="DW19" s="25"/>
      <c r="DX19" s="26"/>
      <c r="DY19" s="27"/>
      <c r="DZ19" s="28"/>
      <c r="EA19" s="29"/>
      <c r="EB19" s="79">
        <f t="shared" si="3"/>
        <v>0</v>
      </c>
      <c r="EC19" s="80" t="e">
        <f>EB19*#REF!</f>
        <v>#REF!</v>
      </c>
      <c r="ED19" s="81" t="e">
        <f>EB19*#REF!</f>
        <v>#REF!</v>
      </c>
      <c r="EF19" s="25"/>
      <c r="EG19" s="26"/>
      <c r="EH19" s="27"/>
      <c r="EI19" s="28"/>
      <c r="EJ19" s="29"/>
      <c r="EK19" s="79">
        <f t="shared" si="4"/>
        <v>0</v>
      </c>
      <c r="EL19" s="80" t="e">
        <f>EK19*#REF!</f>
        <v>#REF!</v>
      </c>
      <c r="EM19" s="81" t="e">
        <f>EK19*#REF!</f>
        <v>#REF!</v>
      </c>
      <c r="EO19" s="25"/>
      <c r="EP19" s="26"/>
      <c r="EQ19" s="27"/>
      <c r="ER19" s="28"/>
      <c r="ES19" s="29"/>
      <c r="ET19" s="79">
        <f t="shared" si="5"/>
        <v>0</v>
      </c>
      <c r="EU19" s="80" t="e">
        <f>ET19*#REF!</f>
        <v>#REF!</v>
      </c>
      <c r="EV19" s="81" t="e">
        <f>ET19*#REF!</f>
        <v>#REF!</v>
      </c>
      <c r="EX19" s="25"/>
      <c r="EY19" s="26"/>
      <c r="EZ19" s="27"/>
      <c r="FA19" s="28"/>
      <c r="FB19" s="29"/>
      <c r="FC19" s="79">
        <f t="shared" si="6"/>
        <v>0</v>
      </c>
      <c r="FD19" s="80" t="e">
        <f>FC19*#REF!</f>
        <v>#REF!</v>
      </c>
      <c r="FE19" s="81" t="e">
        <f>FC19*#REF!</f>
        <v>#REF!</v>
      </c>
      <c r="FG19" s="25"/>
      <c r="FH19" s="26"/>
      <c r="FI19" s="27"/>
      <c r="FJ19" s="28"/>
      <c r="FK19" s="29"/>
      <c r="FL19" s="79">
        <f t="shared" si="7"/>
        <v>0</v>
      </c>
      <c r="FM19" s="80" t="e">
        <f>FL19*#REF!</f>
        <v>#REF!</v>
      </c>
      <c r="FN19" s="81" t="e">
        <f>FL19*#REF!</f>
        <v>#REF!</v>
      </c>
      <c r="FP19" s="25"/>
      <c r="FQ19" s="26"/>
      <c r="FR19" s="27"/>
      <c r="FS19" s="28"/>
      <c r="FT19" s="29"/>
      <c r="FU19" s="79">
        <f t="shared" si="8"/>
        <v>0</v>
      </c>
      <c r="FV19" s="80" t="e">
        <f>FU19*#REF!</f>
        <v>#REF!</v>
      </c>
      <c r="FW19" s="81" t="e">
        <f>FU19*#REF!</f>
        <v>#REF!</v>
      </c>
      <c r="FY19" s="25"/>
      <c r="FZ19" s="26"/>
      <c r="GA19" s="27"/>
      <c r="GB19" s="28"/>
      <c r="GC19" s="29"/>
      <c r="GD19" s="79">
        <f t="shared" si="9"/>
        <v>0</v>
      </c>
      <c r="GE19" s="80" t="e">
        <f>GD19*#REF!</f>
        <v>#REF!</v>
      </c>
      <c r="GF19" s="81" t="e">
        <f>GD19*#REF!</f>
        <v>#REF!</v>
      </c>
      <c r="GH19" s="25"/>
      <c r="GI19" s="26"/>
      <c r="GJ19" s="27"/>
      <c r="GK19" s="28"/>
      <c r="GL19" s="29"/>
      <c r="GM19" s="79">
        <f t="shared" si="10"/>
        <v>0</v>
      </c>
      <c r="GN19" s="80" t="e">
        <f>GM19*#REF!</f>
        <v>#REF!</v>
      </c>
      <c r="GO19" s="81" t="e">
        <f>GM19*#REF!</f>
        <v>#REF!</v>
      </c>
      <c r="GQ19" s="82">
        <f t="shared" si="11"/>
        <v>1</v>
      </c>
      <c r="GR19" s="83">
        <v>1</v>
      </c>
    </row>
    <row r="20" spans="2:200" ht="15">
      <c r="B20" s="22"/>
      <c r="C20" s="23"/>
      <c r="D20" s="24" t="str">
        <f>IF(C20="","",_xlfn.XLOOKUP(C20,'[1]Control Sheet'!$L$5:$L$104,'[1]Control Sheet'!$M$5:$M$104,"",0))</f>
        <v/>
      </c>
      <c r="E20" s="24" t="str">
        <f>IF(B20="","",_xlfn.XLOOKUP(B20,'[1]Control Sheet'!$D$5:$D$64,'[1]Control Sheet'!$F$5:$F$64,"",0))</f>
        <v/>
      </c>
      <c r="F20" s="24" t="str">
        <f>IF(B20="","",_xlfn.XLOOKUP(B20,'[1]Control Sheet'!$D$5:$D$64,'[1]Control Sheet'!$E$5:$E$64,"",0))</f>
        <v/>
      </c>
      <c r="I20" s="31"/>
      <c r="J20" s="32"/>
      <c r="K20" s="33"/>
      <c r="L20" s="34"/>
      <c r="M20" s="35"/>
      <c r="P20" s="31"/>
      <c r="Q20" s="32"/>
      <c r="R20" s="33"/>
      <c r="S20" s="34"/>
      <c r="T20" s="35"/>
      <c r="V20" s="31"/>
      <c r="W20" s="32"/>
      <c r="X20" s="33"/>
      <c r="Y20" s="34"/>
      <c r="Z20" s="35"/>
      <c r="AB20" s="31"/>
      <c r="AC20" s="32"/>
      <c r="AD20" s="33"/>
      <c r="AE20" s="34"/>
      <c r="AF20" s="35"/>
      <c r="AH20" s="31"/>
      <c r="AI20" s="32"/>
      <c r="AJ20" s="33"/>
      <c r="AK20" s="34"/>
      <c r="AL20" s="35"/>
      <c r="AN20" s="31"/>
      <c r="AO20" s="32"/>
      <c r="AP20" s="33"/>
      <c r="AQ20" s="34"/>
      <c r="AR20" s="35"/>
      <c r="AT20" s="31"/>
      <c r="AU20" s="32"/>
      <c r="AV20" s="33"/>
      <c r="AW20" s="34"/>
      <c r="AX20" s="35"/>
      <c r="AZ20" s="31"/>
      <c r="BA20" s="32"/>
      <c r="BB20" s="33"/>
      <c r="BC20" s="34"/>
      <c r="BD20" s="35"/>
      <c r="BF20" s="31"/>
      <c r="BG20" s="32"/>
      <c r="BH20" s="33"/>
      <c r="BI20" s="34"/>
      <c r="BJ20" s="35"/>
      <c r="BL20" s="31"/>
      <c r="BM20" s="32"/>
      <c r="BN20" s="33"/>
      <c r="BO20" s="34"/>
      <c r="BP20" s="35"/>
      <c r="BR20" s="31"/>
      <c r="BS20" s="26"/>
      <c r="BT20" s="33"/>
      <c r="BU20" s="34"/>
      <c r="BV20" s="35"/>
      <c r="BX20" s="31"/>
      <c r="BY20" s="32"/>
      <c r="BZ20" s="33"/>
      <c r="CA20" s="34"/>
      <c r="CB20" s="35"/>
      <c r="CD20" s="31"/>
      <c r="CE20" s="32"/>
      <c r="CF20" s="33"/>
      <c r="CG20" s="34"/>
      <c r="CH20" s="35"/>
      <c r="CJ20" s="31"/>
      <c r="CK20" s="32"/>
      <c r="CL20" s="33"/>
      <c r="CM20" s="34"/>
      <c r="CN20" s="35"/>
      <c r="CP20" s="25"/>
      <c r="CQ20" s="26"/>
      <c r="CR20" s="27"/>
      <c r="CS20" s="28"/>
      <c r="CT20" s="29"/>
      <c r="CV20" s="25"/>
      <c r="CW20" s="26"/>
      <c r="CX20" s="27"/>
      <c r="CY20" s="28"/>
      <c r="CZ20" s="29"/>
      <c r="DA20" s="79">
        <f t="shared" si="0"/>
        <v>0</v>
      </c>
      <c r="DB20" s="80" t="e">
        <f>DA20*#REF!</f>
        <v>#REF!</v>
      </c>
      <c r="DC20" s="81" t="e">
        <f>DA20*#REF!</f>
        <v>#REF!</v>
      </c>
      <c r="DE20" s="25"/>
      <c r="DF20" s="26"/>
      <c r="DG20" s="27"/>
      <c r="DH20" s="28"/>
      <c r="DI20" s="29"/>
      <c r="DJ20" s="79">
        <f t="shared" si="1"/>
        <v>0</v>
      </c>
      <c r="DK20" s="80" t="e">
        <f>DJ20*#REF!</f>
        <v>#REF!</v>
      </c>
      <c r="DL20" s="81" t="e">
        <f>DJ20*#REF!</f>
        <v>#REF!</v>
      </c>
      <c r="DN20" s="25"/>
      <c r="DO20" s="26"/>
      <c r="DP20" s="27"/>
      <c r="DQ20" s="28"/>
      <c r="DR20" s="29"/>
      <c r="DS20" s="79">
        <f t="shared" si="2"/>
        <v>0</v>
      </c>
      <c r="DT20" s="80" t="e">
        <f>DS20*#REF!</f>
        <v>#REF!</v>
      </c>
      <c r="DU20" s="81" t="e">
        <f>DS20*#REF!</f>
        <v>#REF!</v>
      </c>
      <c r="DW20" s="25"/>
      <c r="DX20" s="26"/>
      <c r="DY20" s="27"/>
      <c r="DZ20" s="28"/>
      <c r="EA20" s="29"/>
      <c r="EB20" s="79">
        <f t="shared" si="3"/>
        <v>0</v>
      </c>
      <c r="EC20" s="80" t="e">
        <f>EB20*#REF!</f>
        <v>#REF!</v>
      </c>
      <c r="ED20" s="81" t="e">
        <f>EB20*#REF!</f>
        <v>#REF!</v>
      </c>
      <c r="EF20" s="25"/>
      <c r="EG20" s="26"/>
      <c r="EH20" s="27"/>
      <c r="EI20" s="28"/>
      <c r="EJ20" s="29"/>
      <c r="EK20" s="79">
        <f t="shared" si="4"/>
        <v>0</v>
      </c>
      <c r="EL20" s="80" t="e">
        <f>EK20*#REF!</f>
        <v>#REF!</v>
      </c>
      <c r="EM20" s="81" t="e">
        <f>EK20*#REF!</f>
        <v>#REF!</v>
      </c>
      <c r="EO20" s="25"/>
      <c r="EP20" s="26"/>
      <c r="EQ20" s="27"/>
      <c r="ER20" s="28"/>
      <c r="ES20" s="29"/>
      <c r="ET20" s="79">
        <f t="shared" si="5"/>
        <v>0</v>
      </c>
      <c r="EU20" s="80" t="e">
        <f>ET20*#REF!</f>
        <v>#REF!</v>
      </c>
      <c r="EV20" s="81" t="e">
        <f>ET20*#REF!</f>
        <v>#REF!</v>
      </c>
      <c r="EX20" s="25"/>
      <c r="EY20" s="26"/>
      <c r="EZ20" s="27"/>
      <c r="FA20" s="28"/>
      <c r="FB20" s="29"/>
      <c r="FC20" s="79">
        <f t="shared" si="6"/>
        <v>0</v>
      </c>
      <c r="FD20" s="80" t="e">
        <f>FC20*#REF!</f>
        <v>#REF!</v>
      </c>
      <c r="FE20" s="81" t="e">
        <f>FC20*#REF!</f>
        <v>#REF!</v>
      </c>
      <c r="FG20" s="25"/>
      <c r="FH20" s="26"/>
      <c r="FI20" s="27"/>
      <c r="FJ20" s="28"/>
      <c r="FK20" s="29"/>
      <c r="FL20" s="79">
        <f t="shared" si="7"/>
        <v>0</v>
      </c>
      <c r="FM20" s="80" t="e">
        <f>FL20*#REF!</f>
        <v>#REF!</v>
      </c>
      <c r="FN20" s="81" t="e">
        <f>FL20*#REF!</f>
        <v>#REF!</v>
      </c>
      <c r="FP20" s="25"/>
      <c r="FQ20" s="26"/>
      <c r="FR20" s="27"/>
      <c r="FS20" s="28"/>
      <c r="FT20" s="29"/>
      <c r="FU20" s="79">
        <f t="shared" si="8"/>
        <v>0</v>
      </c>
      <c r="FV20" s="80" t="e">
        <f>FU20*#REF!</f>
        <v>#REF!</v>
      </c>
      <c r="FW20" s="81" t="e">
        <f>FU20*#REF!</f>
        <v>#REF!</v>
      </c>
      <c r="FY20" s="25"/>
      <c r="FZ20" s="26"/>
      <c r="GA20" s="27"/>
      <c r="GB20" s="28"/>
      <c r="GC20" s="29"/>
      <c r="GD20" s="79">
        <f t="shared" si="9"/>
        <v>0</v>
      </c>
      <c r="GE20" s="80" t="e">
        <f>GD20*#REF!</f>
        <v>#REF!</v>
      </c>
      <c r="GF20" s="81" t="e">
        <f>GD20*#REF!</f>
        <v>#REF!</v>
      </c>
      <c r="GH20" s="25"/>
      <c r="GI20" s="26"/>
      <c r="GJ20" s="27"/>
      <c r="GK20" s="28"/>
      <c r="GL20" s="29"/>
      <c r="GM20" s="79">
        <f t="shared" si="10"/>
        <v>0</v>
      </c>
      <c r="GN20" s="80" t="e">
        <f>GM20*#REF!</f>
        <v>#REF!</v>
      </c>
      <c r="GO20" s="81" t="e">
        <f>GM20*#REF!</f>
        <v>#REF!</v>
      </c>
      <c r="GQ20" s="82">
        <f t="shared" si="11"/>
        <v>0</v>
      </c>
      <c r="GR20" s="83">
        <v>0</v>
      </c>
    </row>
    <row r="21" spans="2:200" ht="15">
      <c r="B21" s="22" t="s">
        <v>51</v>
      </c>
      <c r="C21" s="23" t="s">
        <v>52</v>
      </c>
      <c r="D21" s="24" t="str">
        <f>IF(C21="","",_xlfn.XLOOKUP(C21,'[1]Control Sheet'!$L$5:$L$104,'[1]Control Sheet'!$M$5:$M$104,"",0))</f>
        <v>Rides Attendant</v>
      </c>
      <c r="E21" s="24" t="str">
        <f>IF(B21="","",_xlfn.XLOOKUP(B21,'[1]Control Sheet'!$D$5:$D$64,'[1]Control Sheet'!$F$5:$F$64,"",0))</f>
        <v>Rides</v>
      </c>
      <c r="F21" s="24" t="str">
        <f>IF(B21="","",_xlfn.XLOOKUP(B21,'[1]Control Sheet'!$D$5:$D$64,'[1]Control Sheet'!$E$5:$E$64,"",0))</f>
        <v>C1300-N</v>
      </c>
      <c r="I21" s="31">
        <v>0.38541666666666669</v>
      </c>
      <c r="J21" s="32">
        <v>0.69791666666666663</v>
      </c>
      <c r="K21" s="33">
        <v>45</v>
      </c>
      <c r="L21" s="34">
        <v>1</v>
      </c>
      <c r="M21" s="35">
        <v>1</v>
      </c>
      <c r="P21" s="31">
        <v>0.38541666666666669</v>
      </c>
      <c r="Q21" s="32">
        <v>0.73958333333333304</v>
      </c>
      <c r="R21" s="33">
        <v>45</v>
      </c>
      <c r="S21" s="34">
        <v>1</v>
      </c>
      <c r="T21" s="35">
        <v>1</v>
      </c>
      <c r="V21" s="31">
        <v>0.38541666666666669</v>
      </c>
      <c r="W21" s="32">
        <v>0.73958333333333304</v>
      </c>
      <c r="X21" s="33">
        <v>45</v>
      </c>
      <c r="Y21" s="34">
        <v>1</v>
      </c>
      <c r="Z21" s="35">
        <v>1</v>
      </c>
      <c r="AB21" s="31">
        <v>0.38541666666666669</v>
      </c>
      <c r="AC21" s="32">
        <v>0.73958333333333304</v>
      </c>
      <c r="AD21" s="33">
        <v>45</v>
      </c>
      <c r="AE21" s="34">
        <v>1</v>
      </c>
      <c r="AF21" s="35">
        <v>1</v>
      </c>
      <c r="AH21" s="31">
        <v>0.38541666666666669</v>
      </c>
      <c r="AI21" s="32">
        <v>0.73958333333333304</v>
      </c>
      <c r="AJ21" s="33">
        <v>45</v>
      </c>
      <c r="AK21" s="34">
        <v>1</v>
      </c>
      <c r="AL21" s="35">
        <v>1</v>
      </c>
      <c r="AN21" s="31">
        <v>0.38541666666666669</v>
      </c>
      <c r="AO21" s="32">
        <v>0.78125</v>
      </c>
      <c r="AP21" s="33">
        <v>45</v>
      </c>
      <c r="AQ21" s="34">
        <v>1</v>
      </c>
      <c r="AR21" s="35">
        <v>1</v>
      </c>
      <c r="AT21" s="31">
        <v>0.38541666666666669</v>
      </c>
      <c r="AU21" s="32">
        <v>0.73958333333333304</v>
      </c>
      <c r="AV21" s="33">
        <v>45</v>
      </c>
      <c r="AW21" s="34">
        <v>1</v>
      </c>
      <c r="AX21" s="35">
        <v>1</v>
      </c>
      <c r="AZ21" s="31">
        <v>0.38541666666666669</v>
      </c>
      <c r="BA21" s="32">
        <v>0.78125</v>
      </c>
      <c r="BB21" s="33">
        <v>45</v>
      </c>
      <c r="BC21" s="34">
        <v>1</v>
      </c>
      <c r="BD21" s="35">
        <v>1</v>
      </c>
      <c r="BF21" s="31">
        <v>0.38541666666666669</v>
      </c>
      <c r="BG21" s="32">
        <v>0.82291666666666663</v>
      </c>
      <c r="BH21" s="33">
        <v>45</v>
      </c>
      <c r="BI21" s="34">
        <v>1</v>
      </c>
      <c r="BJ21" s="35">
        <v>1</v>
      </c>
      <c r="BL21" s="25">
        <v>0.38541666666666669</v>
      </c>
      <c r="BM21" s="26">
        <v>0.65625</v>
      </c>
      <c r="BN21" s="27">
        <v>45</v>
      </c>
      <c r="BO21" s="28">
        <v>1</v>
      </c>
      <c r="BP21" s="29">
        <v>1</v>
      </c>
      <c r="BR21" s="31">
        <v>0.38541666666666669</v>
      </c>
      <c r="BS21" s="32">
        <v>0.65625</v>
      </c>
      <c r="BT21" s="33">
        <v>45</v>
      </c>
      <c r="BU21" s="34">
        <v>1</v>
      </c>
      <c r="BV21" s="35">
        <v>1</v>
      </c>
      <c r="BX21" s="31">
        <v>0.38541666666666669</v>
      </c>
      <c r="BY21" s="32">
        <v>0.73958333333333337</v>
      </c>
      <c r="BZ21" s="27">
        <v>45</v>
      </c>
      <c r="CA21" s="28">
        <v>1</v>
      </c>
      <c r="CB21" s="29">
        <v>1</v>
      </c>
      <c r="CD21" s="31">
        <v>0.38541666666666669</v>
      </c>
      <c r="CE21" s="32">
        <v>0.80208333333333337</v>
      </c>
      <c r="CF21" s="27">
        <v>45</v>
      </c>
      <c r="CG21" s="28">
        <v>1</v>
      </c>
      <c r="CH21" s="29">
        <v>1</v>
      </c>
      <c r="CJ21" s="31">
        <v>0.38541666666666669</v>
      </c>
      <c r="CK21" s="32">
        <v>0.65625</v>
      </c>
      <c r="CL21" s="27">
        <v>45</v>
      </c>
      <c r="CM21" s="28">
        <v>1</v>
      </c>
      <c r="CN21" s="29">
        <v>1</v>
      </c>
      <c r="CP21" s="25"/>
      <c r="CQ21" s="26"/>
      <c r="CR21" s="27"/>
      <c r="CS21" s="28"/>
      <c r="CT21" s="29"/>
      <c r="CV21" s="25"/>
      <c r="CW21" s="26"/>
      <c r="CX21" s="27"/>
      <c r="CY21" s="28"/>
      <c r="CZ21" s="29"/>
      <c r="DA21" s="79">
        <f t="shared" si="0"/>
        <v>0</v>
      </c>
      <c r="DB21" s="80" t="e">
        <f>DA21*#REF!</f>
        <v>#REF!</v>
      </c>
      <c r="DC21" s="81" t="e">
        <f>DA21*#REF!</f>
        <v>#REF!</v>
      </c>
      <c r="DE21" s="25"/>
      <c r="DF21" s="26"/>
      <c r="DG21" s="27"/>
      <c r="DH21" s="28"/>
      <c r="DI21" s="29"/>
      <c r="DJ21" s="79">
        <f t="shared" si="1"/>
        <v>0</v>
      </c>
      <c r="DK21" s="80" t="e">
        <f>DJ21*#REF!</f>
        <v>#REF!</v>
      </c>
      <c r="DL21" s="81" t="e">
        <f>DJ21*#REF!</f>
        <v>#REF!</v>
      </c>
      <c r="DN21" s="25"/>
      <c r="DO21" s="26"/>
      <c r="DP21" s="27"/>
      <c r="DQ21" s="28"/>
      <c r="DR21" s="29"/>
      <c r="DS21" s="79">
        <f t="shared" si="2"/>
        <v>0</v>
      </c>
      <c r="DT21" s="80" t="e">
        <f>DS21*#REF!</f>
        <v>#REF!</v>
      </c>
      <c r="DU21" s="81" t="e">
        <f>DS21*#REF!</f>
        <v>#REF!</v>
      </c>
      <c r="DW21" s="25"/>
      <c r="DX21" s="26"/>
      <c r="DY21" s="27"/>
      <c r="DZ21" s="28"/>
      <c r="EA21" s="29"/>
      <c r="EB21" s="79">
        <f t="shared" si="3"/>
        <v>0</v>
      </c>
      <c r="EC21" s="80" t="e">
        <f>EB21*#REF!</f>
        <v>#REF!</v>
      </c>
      <c r="ED21" s="81" t="e">
        <f>EB21*#REF!</f>
        <v>#REF!</v>
      </c>
      <c r="EF21" s="25"/>
      <c r="EG21" s="26"/>
      <c r="EH21" s="27"/>
      <c r="EI21" s="28"/>
      <c r="EJ21" s="29"/>
      <c r="EK21" s="79">
        <f t="shared" si="4"/>
        <v>0</v>
      </c>
      <c r="EL21" s="80" t="e">
        <f>EK21*#REF!</f>
        <v>#REF!</v>
      </c>
      <c r="EM21" s="81" t="e">
        <f>EK21*#REF!</f>
        <v>#REF!</v>
      </c>
      <c r="EO21" s="25"/>
      <c r="EP21" s="26"/>
      <c r="EQ21" s="27"/>
      <c r="ER21" s="28"/>
      <c r="ES21" s="29"/>
      <c r="ET21" s="79">
        <f t="shared" si="5"/>
        <v>0</v>
      </c>
      <c r="EU21" s="80" t="e">
        <f>ET21*#REF!</f>
        <v>#REF!</v>
      </c>
      <c r="EV21" s="81" t="e">
        <f>ET21*#REF!</f>
        <v>#REF!</v>
      </c>
      <c r="EX21" s="25"/>
      <c r="EY21" s="26"/>
      <c r="EZ21" s="27"/>
      <c r="FA21" s="28"/>
      <c r="FB21" s="29"/>
      <c r="FC21" s="79">
        <f t="shared" si="6"/>
        <v>0</v>
      </c>
      <c r="FD21" s="80" t="e">
        <f>FC21*#REF!</f>
        <v>#REF!</v>
      </c>
      <c r="FE21" s="81" t="e">
        <f>FC21*#REF!</f>
        <v>#REF!</v>
      </c>
      <c r="FG21" s="25"/>
      <c r="FH21" s="26"/>
      <c r="FI21" s="27"/>
      <c r="FJ21" s="28"/>
      <c r="FK21" s="29"/>
      <c r="FL21" s="79">
        <f t="shared" si="7"/>
        <v>0</v>
      </c>
      <c r="FM21" s="80" t="e">
        <f>FL21*#REF!</f>
        <v>#REF!</v>
      </c>
      <c r="FN21" s="81" t="e">
        <f>FL21*#REF!</f>
        <v>#REF!</v>
      </c>
      <c r="FP21" s="25"/>
      <c r="FQ21" s="26"/>
      <c r="FR21" s="27"/>
      <c r="FS21" s="28"/>
      <c r="FT21" s="29"/>
      <c r="FU21" s="79">
        <f t="shared" si="8"/>
        <v>0</v>
      </c>
      <c r="FV21" s="80" t="e">
        <f>FU21*#REF!</f>
        <v>#REF!</v>
      </c>
      <c r="FW21" s="81" t="e">
        <f>FU21*#REF!</f>
        <v>#REF!</v>
      </c>
      <c r="FY21" s="25"/>
      <c r="FZ21" s="26"/>
      <c r="GA21" s="27"/>
      <c r="GB21" s="28"/>
      <c r="GC21" s="29"/>
      <c r="GD21" s="79">
        <f t="shared" si="9"/>
        <v>0</v>
      </c>
      <c r="GE21" s="80" t="e">
        <f>GD21*#REF!</f>
        <v>#REF!</v>
      </c>
      <c r="GF21" s="81" t="e">
        <f>GD21*#REF!</f>
        <v>#REF!</v>
      </c>
      <c r="GH21" s="25"/>
      <c r="GI21" s="26"/>
      <c r="GJ21" s="27"/>
      <c r="GK21" s="28"/>
      <c r="GL21" s="29"/>
      <c r="GM21" s="79">
        <f t="shared" si="10"/>
        <v>0</v>
      </c>
      <c r="GN21" s="80" t="e">
        <f>GM21*#REF!</f>
        <v>#REF!</v>
      </c>
      <c r="GO21" s="81" t="e">
        <f>GM21*#REF!</f>
        <v>#REF!</v>
      </c>
      <c r="GQ21" s="82">
        <f t="shared" si="11"/>
        <v>1</v>
      </c>
      <c r="GR21" s="83">
        <v>1</v>
      </c>
    </row>
    <row r="22" spans="2:200" ht="15">
      <c r="B22" s="22"/>
      <c r="C22" s="23"/>
      <c r="D22" s="24" t="str">
        <f>IF(C22="","",_xlfn.XLOOKUP(C22,'[1]Control Sheet'!$L$5:$L$104,'[1]Control Sheet'!$M$5:$M$104,"",0))</f>
        <v/>
      </c>
      <c r="E22" s="24" t="str">
        <f>IF(B22="","",_xlfn.XLOOKUP(B22,'[1]Control Sheet'!$D$5:$D$64,'[1]Control Sheet'!$F$5:$F$64,"",0))</f>
        <v/>
      </c>
      <c r="F22" s="24" t="str">
        <f>IF(B22="","",_xlfn.XLOOKUP(B22,'[1]Control Sheet'!$D$5:$D$64,'[1]Control Sheet'!$E$5:$E$64,"",0))</f>
        <v/>
      </c>
      <c r="I22" s="31"/>
      <c r="J22" s="32"/>
      <c r="K22" s="33"/>
      <c r="L22" s="34"/>
      <c r="M22" s="35"/>
      <c r="P22" s="31"/>
      <c r="Q22" s="32"/>
      <c r="R22" s="33"/>
      <c r="S22" s="34"/>
      <c r="T22" s="35"/>
      <c r="V22" s="31"/>
      <c r="W22" s="32"/>
      <c r="X22" s="33"/>
      <c r="Y22" s="34"/>
      <c r="Z22" s="35"/>
      <c r="AB22" s="31"/>
      <c r="AC22" s="32"/>
      <c r="AD22" s="33"/>
      <c r="AE22" s="34"/>
      <c r="AF22" s="35"/>
      <c r="AH22" s="31"/>
      <c r="AI22" s="32"/>
      <c r="AJ22" s="33"/>
      <c r="AK22" s="34"/>
      <c r="AL22" s="35"/>
      <c r="AN22" s="31"/>
      <c r="AO22" s="32"/>
      <c r="AP22" s="33"/>
      <c r="AQ22" s="34"/>
      <c r="AR22" s="35"/>
      <c r="AT22" s="31"/>
      <c r="AU22" s="32"/>
      <c r="AV22" s="33"/>
      <c r="AW22" s="34"/>
      <c r="AX22" s="35"/>
      <c r="AZ22" s="31"/>
      <c r="BA22" s="32"/>
      <c r="BB22" s="33"/>
      <c r="BC22" s="34"/>
      <c r="BD22" s="35"/>
      <c r="BF22" s="31"/>
      <c r="BG22" s="32"/>
      <c r="BH22" s="33"/>
      <c r="BI22" s="34"/>
      <c r="BJ22" s="35"/>
      <c r="BL22" s="31"/>
      <c r="BM22" s="32"/>
      <c r="BN22" s="33"/>
      <c r="BO22" s="34"/>
      <c r="BP22" s="35"/>
      <c r="BR22" s="31"/>
      <c r="BS22" s="32"/>
      <c r="BT22" s="33"/>
      <c r="BU22" s="34"/>
      <c r="BV22" s="35"/>
      <c r="BX22" s="31"/>
      <c r="BY22" s="32"/>
      <c r="BZ22" s="33"/>
      <c r="CA22" s="34"/>
      <c r="CB22" s="35"/>
      <c r="CD22" s="31"/>
      <c r="CE22" s="32"/>
      <c r="CF22" s="33"/>
      <c r="CG22" s="34"/>
      <c r="CH22" s="35"/>
      <c r="CJ22" s="31"/>
      <c r="CK22" s="32"/>
      <c r="CL22" s="33"/>
      <c r="CM22" s="34"/>
      <c r="CN22" s="35"/>
      <c r="CP22" s="25"/>
      <c r="CQ22" s="26"/>
      <c r="CR22" s="27"/>
      <c r="CS22" s="28"/>
      <c r="CT22" s="29"/>
      <c r="CV22" s="25"/>
      <c r="CW22" s="26"/>
      <c r="CX22" s="27"/>
      <c r="CY22" s="28"/>
      <c r="CZ22" s="29"/>
      <c r="DA22" s="79">
        <f t="shared" si="0"/>
        <v>0</v>
      </c>
      <c r="DB22" s="80" t="e">
        <f>DA22*#REF!</f>
        <v>#REF!</v>
      </c>
      <c r="DC22" s="81" t="e">
        <f>DA22*#REF!</f>
        <v>#REF!</v>
      </c>
      <c r="DE22" s="25"/>
      <c r="DF22" s="26"/>
      <c r="DG22" s="27"/>
      <c r="DH22" s="28"/>
      <c r="DI22" s="29"/>
      <c r="DJ22" s="79">
        <f t="shared" si="1"/>
        <v>0</v>
      </c>
      <c r="DK22" s="80" t="e">
        <f>DJ22*#REF!</f>
        <v>#REF!</v>
      </c>
      <c r="DL22" s="81" t="e">
        <f>DJ22*#REF!</f>
        <v>#REF!</v>
      </c>
      <c r="DN22" s="25"/>
      <c r="DO22" s="26"/>
      <c r="DP22" s="27"/>
      <c r="DQ22" s="28"/>
      <c r="DR22" s="29"/>
      <c r="DS22" s="79">
        <f t="shared" si="2"/>
        <v>0</v>
      </c>
      <c r="DT22" s="80" t="e">
        <f>DS22*#REF!</f>
        <v>#REF!</v>
      </c>
      <c r="DU22" s="81" t="e">
        <f>DS22*#REF!</f>
        <v>#REF!</v>
      </c>
      <c r="DW22" s="25"/>
      <c r="DX22" s="26"/>
      <c r="DY22" s="27"/>
      <c r="DZ22" s="28"/>
      <c r="EA22" s="29"/>
      <c r="EB22" s="79">
        <f t="shared" si="3"/>
        <v>0</v>
      </c>
      <c r="EC22" s="80" t="e">
        <f>EB22*#REF!</f>
        <v>#REF!</v>
      </c>
      <c r="ED22" s="81" t="e">
        <f>EB22*#REF!</f>
        <v>#REF!</v>
      </c>
      <c r="EF22" s="25"/>
      <c r="EG22" s="26"/>
      <c r="EH22" s="27"/>
      <c r="EI22" s="28"/>
      <c r="EJ22" s="29"/>
      <c r="EK22" s="79">
        <f t="shared" si="4"/>
        <v>0</v>
      </c>
      <c r="EL22" s="80" t="e">
        <f>EK22*#REF!</f>
        <v>#REF!</v>
      </c>
      <c r="EM22" s="81" t="e">
        <f>EK22*#REF!</f>
        <v>#REF!</v>
      </c>
      <c r="EO22" s="25"/>
      <c r="EP22" s="26"/>
      <c r="EQ22" s="27"/>
      <c r="ER22" s="28"/>
      <c r="ES22" s="29"/>
      <c r="ET22" s="79">
        <f t="shared" si="5"/>
        <v>0</v>
      </c>
      <c r="EU22" s="80" t="e">
        <f>ET22*#REF!</f>
        <v>#REF!</v>
      </c>
      <c r="EV22" s="81" t="e">
        <f>ET22*#REF!</f>
        <v>#REF!</v>
      </c>
      <c r="EX22" s="25"/>
      <c r="EY22" s="26"/>
      <c r="EZ22" s="27"/>
      <c r="FA22" s="28"/>
      <c r="FB22" s="29"/>
      <c r="FC22" s="79">
        <f t="shared" si="6"/>
        <v>0</v>
      </c>
      <c r="FD22" s="80" t="e">
        <f>FC22*#REF!</f>
        <v>#REF!</v>
      </c>
      <c r="FE22" s="81" t="e">
        <f>FC22*#REF!</f>
        <v>#REF!</v>
      </c>
      <c r="FG22" s="25"/>
      <c r="FH22" s="26"/>
      <c r="FI22" s="27"/>
      <c r="FJ22" s="28"/>
      <c r="FK22" s="29"/>
      <c r="FL22" s="79">
        <f t="shared" si="7"/>
        <v>0</v>
      </c>
      <c r="FM22" s="80" t="e">
        <f>FL22*#REF!</f>
        <v>#REF!</v>
      </c>
      <c r="FN22" s="81" t="e">
        <f>FL22*#REF!</f>
        <v>#REF!</v>
      </c>
      <c r="FP22" s="25"/>
      <c r="FQ22" s="26"/>
      <c r="FR22" s="27"/>
      <c r="FS22" s="28"/>
      <c r="FT22" s="29"/>
      <c r="FU22" s="79">
        <f t="shared" si="8"/>
        <v>0</v>
      </c>
      <c r="FV22" s="80" t="e">
        <f>FU22*#REF!</f>
        <v>#REF!</v>
      </c>
      <c r="FW22" s="81" t="e">
        <f>FU22*#REF!</f>
        <v>#REF!</v>
      </c>
      <c r="FY22" s="25"/>
      <c r="FZ22" s="26"/>
      <c r="GA22" s="27"/>
      <c r="GB22" s="28"/>
      <c r="GC22" s="29"/>
      <c r="GD22" s="79">
        <f t="shared" si="9"/>
        <v>0</v>
      </c>
      <c r="GE22" s="80" t="e">
        <f>GD22*#REF!</f>
        <v>#REF!</v>
      </c>
      <c r="GF22" s="81" t="e">
        <f>GD22*#REF!</f>
        <v>#REF!</v>
      </c>
      <c r="GH22" s="25"/>
      <c r="GI22" s="26"/>
      <c r="GJ22" s="27"/>
      <c r="GK22" s="28"/>
      <c r="GL22" s="29"/>
      <c r="GM22" s="79">
        <f t="shared" si="10"/>
        <v>0</v>
      </c>
      <c r="GN22" s="80" t="e">
        <f>GM22*#REF!</f>
        <v>#REF!</v>
      </c>
      <c r="GO22" s="81" t="e">
        <f>GM22*#REF!</f>
        <v>#REF!</v>
      </c>
      <c r="GQ22" s="82">
        <f t="shared" si="11"/>
        <v>0</v>
      </c>
      <c r="GR22" s="83">
        <v>0</v>
      </c>
    </row>
    <row r="23" spans="2:200" ht="15">
      <c r="B23" s="22" t="s">
        <v>53</v>
      </c>
      <c r="C23" s="23" t="s">
        <v>54</v>
      </c>
      <c r="D23" s="24" t="str">
        <f>IF(C23="","",_xlfn.XLOOKUP(C23,'[1]Control Sheet'!$L$5:$L$104,'[1]Control Sheet'!$M$5:$M$104,"",0))</f>
        <v>Rides Operator</v>
      </c>
      <c r="E23" s="24" t="str">
        <f>IF(B23="","",_xlfn.XLOOKUP(B23,'[1]Control Sheet'!$D$5:$D$64,'[1]Control Sheet'!$F$5:$F$64,"",0))</f>
        <v>Rides</v>
      </c>
      <c r="F23" s="24" t="str">
        <f>IF(B23="","",_xlfn.XLOOKUP(B23,'[1]Control Sheet'!$D$5:$D$64,'[1]Control Sheet'!$E$5:$E$64,"",0))</f>
        <v>C1300-N</v>
      </c>
      <c r="I23" s="31">
        <v>0.38541666666666669</v>
      </c>
      <c r="J23" s="32">
        <v>0.69791666666666663</v>
      </c>
      <c r="K23" s="33">
        <v>45</v>
      </c>
      <c r="L23" s="34">
        <v>1</v>
      </c>
      <c r="M23" s="35">
        <v>1</v>
      </c>
      <c r="P23" s="31">
        <v>0.38541666666666669</v>
      </c>
      <c r="Q23" s="32">
        <v>0.73958333333333304</v>
      </c>
      <c r="R23" s="33">
        <v>45</v>
      </c>
      <c r="S23" s="34">
        <v>1</v>
      </c>
      <c r="T23" s="35">
        <v>1</v>
      </c>
      <c r="V23" s="31">
        <v>0.38541666666666669</v>
      </c>
      <c r="W23" s="32">
        <v>0.73958333333333304</v>
      </c>
      <c r="X23" s="33">
        <v>45</v>
      </c>
      <c r="Y23" s="34">
        <v>1</v>
      </c>
      <c r="Z23" s="35">
        <v>1</v>
      </c>
      <c r="AB23" s="31">
        <v>0.38541666666666669</v>
      </c>
      <c r="AC23" s="32">
        <v>0.73958333333333304</v>
      </c>
      <c r="AD23" s="33">
        <v>45</v>
      </c>
      <c r="AE23" s="34">
        <v>1</v>
      </c>
      <c r="AF23" s="35">
        <v>1</v>
      </c>
      <c r="AH23" s="31">
        <v>0.38541666666666669</v>
      </c>
      <c r="AI23" s="32">
        <v>0.73958333333333304</v>
      </c>
      <c r="AJ23" s="33">
        <v>45</v>
      </c>
      <c r="AK23" s="34">
        <v>1</v>
      </c>
      <c r="AL23" s="35">
        <v>1</v>
      </c>
      <c r="AN23" s="31">
        <v>0.38541666666666669</v>
      </c>
      <c r="AO23" s="32">
        <v>0.78125</v>
      </c>
      <c r="AP23" s="33">
        <v>45</v>
      </c>
      <c r="AQ23" s="34">
        <v>1</v>
      </c>
      <c r="AR23" s="35">
        <v>1</v>
      </c>
      <c r="AT23" s="31">
        <v>0.38541666666666669</v>
      </c>
      <c r="AU23" s="32">
        <v>0.73958333333333304</v>
      </c>
      <c r="AV23" s="33">
        <v>45</v>
      </c>
      <c r="AW23" s="34">
        <v>1</v>
      </c>
      <c r="AX23" s="35">
        <v>1</v>
      </c>
      <c r="AZ23" s="31">
        <v>0.38541666666666669</v>
      </c>
      <c r="BA23" s="32">
        <v>0.78125</v>
      </c>
      <c r="BB23" s="33">
        <v>45</v>
      </c>
      <c r="BC23" s="34">
        <v>1</v>
      </c>
      <c r="BD23" s="35">
        <v>1</v>
      </c>
      <c r="BF23" s="31">
        <v>0.38541666666666669</v>
      </c>
      <c r="BG23" s="32">
        <v>0.82291666666666663</v>
      </c>
      <c r="BH23" s="33">
        <v>45</v>
      </c>
      <c r="BI23" s="34">
        <v>1</v>
      </c>
      <c r="BJ23" s="35">
        <v>1</v>
      </c>
      <c r="BL23" s="25">
        <v>0.38541666666666669</v>
      </c>
      <c r="BM23" s="26">
        <v>0.65625</v>
      </c>
      <c r="BN23" s="27">
        <v>45</v>
      </c>
      <c r="BO23" s="28">
        <v>1</v>
      </c>
      <c r="BP23" s="29">
        <v>1</v>
      </c>
      <c r="BR23" s="31">
        <v>0.38541666666666669</v>
      </c>
      <c r="BS23" s="32">
        <v>0.65625</v>
      </c>
      <c r="BT23" s="33">
        <v>45</v>
      </c>
      <c r="BU23" s="34">
        <v>1</v>
      </c>
      <c r="BV23" s="35">
        <v>1</v>
      </c>
      <c r="BX23" s="31">
        <v>0.38541666666666669</v>
      </c>
      <c r="BY23" s="32">
        <v>0.73958333333333337</v>
      </c>
      <c r="BZ23" s="27">
        <v>45</v>
      </c>
      <c r="CA23" s="28">
        <v>1</v>
      </c>
      <c r="CB23" s="29">
        <v>1</v>
      </c>
      <c r="CD23" s="31">
        <v>0.38541666666666669</v>
      </c>
      <c r="CE23" s="32">
        <v>0.80208333333333337</v>
      </c>
      <c r="CF23" s="27">
        <v>45</v>
      </c>
      <c r="CG23" s="28">
        <v>1</v>
      </c>
      <c r="CH23" s="29">
        <v>1</v>
      </c>
      <c r="CJ23" s="31">
        <v>0.38541666666666669</v>
      </c>
      <c r="CK23" s="32">
        <v>0.65625</v>
      </c>
      <c r="CL23" s="27">
        <v>45</v>
      </c>
      <c r="CM23" s="28">
        <v>1</v>
      </c>
      <c r="CN23" s="29">
        <v>1</v>
      </c>
      <c r="CP23" s="25"/>
      <c r="CQ23" s="26"/>
      <c r="CR23" s="27"/>
      <c r="CS23" s="28"/>
      <c r="CT23" s="29"/>
      <c r="CV23" s="25"/>
      <c r="CW23" s="26"/>
      <c r="CX23" s="27"/>
      <c r="CY23" s="28"/>
      <c r="CZ23" s="29"/>
      <c r="DA23" s="79">
        <f t="shared" si="0"/>
        <v>0</v>
      </c>
      <c r="DB23" s="80" t="e">
        <f>DA23*#REF!</f>
        <v>#REF!</v>
      </c>
      <c r="DC23" s="81" t="e">
        <f>DA23*#REF!</f>
        <v>#REF!</v>
      </c>
      <c r="DE23" s="25"/>
      <c r="DF23" s="26"/>
      <c r="DG23" s="27"/>
      <c r="DH23" s="28"/>
      <c r="DI23" s="29"/>
      <c r="DJ23" s="79">
        <f t="shared" si="1"/>
        <v>0</v>
      </c>
      <c r="DK23" s="80" t="e">
        <f>DJ23*#REF!</f>
        <v>#REF!</v>
      </c>
      <c r="DL23" s="81" t="e">
        <f>DJ23*#REF!</f>
        <v>#REF!</v>
      </c>
      <c r="DN23" s="25"/>
      <c r="DO23" s="26"/>
      <c r="DP23" s="27"/>
      <c r="DQ23" s="28"/>
      <c r="DR23" s="29"/>
      <c r="DS23" s="79">
        <f t="shared" si="2"/>
        <v>0</v>
      </c>
      <c r="DT23" s="80" t="e">
        <f>DS23*#REF!</f>
        <v>#REF!</v>
      </c>
      <c r="DU23" s="81" t="e">
        <f>DS23*#REF!</f>
        <v>#REF!</v>
      </c>
      <c r="DW23" s="25"/>
      <c r="DX23" s="26"/>
      <c r="DY23" s="27"/>
      <c r="DZ23" s="28"/>
      <c r="EA23" s="29"/>
      <c r="EB23" s="79">
        <f t="shared" si="3"/>
        <v>0</v>
      </c>
      <c r="EC23" s="80" t="e">
        <f>EB23*#REF!</f>
        <v>#REF!</v>
      </c>
      <c r="ED23" s="81" t="e">
        <f>EB23*#REF!</f>
        <v>#REF!</v>
      </c>
      <c r="EF23" s="25"/>
      <c r="EG23" s="26"/>
      <c r="EH23" s="27"/>
      <c r="EI23" s="28"/>
      <c r="EJ23" s="29"/>
      <c r="EK23" s="79">
        <f t="shared" si="4"/>
        <v>0</v>
      </c>
      <c r="EL23" s="80" t="e">
        <f>EK23*#REF!</f>
        <v>#REF!</v>
      </c>
      <c r="EM23" s="81" t="e">
        <f>EK23*#REF!</f>
        <v>#REF!</v>
      </c>
      <c r="EO23" s="25"/>
      <c r="EP23" s="26"/>
      <c r="EQ23" s="27"/>
      <c r="ER23" s="28"/>
      <c r="ES23" s="29"/>
      <c r="ET23" s="79">
        <f t="shared" si="5"/>
        <v>0</v>
      </c>
      <c r="EU23" s="80" t="e">
        <f>ET23*#REF!</f>
        <v>#REF!</v>
      </c>
      <c r="EV23" s="81" t="e">
        <f>ET23*#REF!</f>
        <v>#REF!</v>
      </c>
      <c r="EX23" s="25"/>
      <c r="EY23" s="26"/>
      <c r="EZ23" s="27"/>
      <c r="FA23" s="28"/>
      <c r="FB23" s="29"/>
      <c r="FC23" s="79">
        <f t="shared" si="6"/>
        <v>0</v>
      </c>
      <c r="FD23" s="80" t="e">
        <f>FC23*#REF!</f>
        <v>#REF!</v>
      </c>
      <c r="FE23" s="81" t="e">
        <f>FC23*#REF!</f>
        <v>#REF!</v>
      </c>
      <c r="FG23" s="25"/>
      <c r="FH23" s="26"/>
      <c r="FI23" s="27"/>
      <c r="FJ23" s="28"/>
      <c r="FK23" s="29"/>
      <c r="FL23" s="79">
        <f t="shared" si="7"/>
        <v>0</v>
      </c>
      <c r="FM23" s="80" t="e">
        <f>FL23*#REF!</f>
        <v>#REF!</v>
      </c>
      <c r="FN23" s="81" t="e">
        <f>FL23*#REF!</f>
        <v>#REF!</v>
      </c>
      <c r="FP23" s="25"/>
      <c r="FQ23" s="26"/>
      <c r="FR23" s="27"/>
      <c r="FS23" s="28"/>
      <c r="FT23" s="29"/>
      <c r="FU23" s="79">
        <f t="shared" si="8"/>
        <v>0</v>
      </c>
      <c r="FV23" s="80" t="e">
        <f>FU23*#REF!</f>
        <v>#REF!</v>
      </c>
      <c r="FW23" s="81" t="e">
        <f>FU23*#REF!</f>
        <v>#REF!</v>
      </c>
      <c r="FY23" s="25"/>
      <c r="FZ23" s="26"/>
      <c r="GA23" s="27"/>
      <c r="GB23" s="28"/>
      <c r="GC23" s="29"/>
      <c r="GD23" s="79">
        <f t="shared" si="9"/>
        <v>0</v>
      </c>
      <c r="GE23" s="80" t="e">
        <f>GD23*#REF!</f>
        <v>#REF!</v>
      </c>
      <c r="GF23" s="81" t="e">
        <f>GD23*#REF!</f>
        <v>#REF!</v>
      </c>
      <c r="GH23" s="25"/>
      <c r="GI23" s="26"/>
      <c r="GJ23" s="27"/>
      <c r="GK23" s="28"/>
      <c r="GL23" s="29"/>
      <c r="GM23" s="79">
        <f t="shared" si="10"/>
        <v>0</v>
      </c>
      <c r="GN23" s="80" t="e">
        <f>GM23*#REF!</f>
        <v>#REF!</v>
      </c>
      <c r="GO23" s="81" t="e">
        <f>GM23*#REF!</f>
        <v>#REF!</v>
      </c>
      <c r="GQ23" s="82">
        <f t="shared" si="11"/>
        <v>1</v>
      </c>
      <c r="GR23" s="83">
        <v>1</v>
      </c>
    </row>
    <row r="24" spans="2:200" ht="15">
      <c r="B24" s="22"/>
      <c r="C24" s="23"/>
      <c r="D24" s="24" t="str">
        <f>IF(C24="","",_xlfn.XLOOKUP(C24,'[1]Control Sheet'!$L$5:$L$104,'[1]Control Sheet'!$M$5:$M$104,"",0))</f>
        <v/>
      </c>
      <c r="E24" s="24" t="str">
        <f>IF(B24="","",_xlfn.XLOOKUP(B24,'[1]Control Sheet'!$D$5:$D$64,'[1]Control Sheet'!$F$5:$F$64,"",0))</f>
        <v/>
      </c>
      <c r="F24" s="24" t="str">
        <f>IF(B24="","",_xlfn.XLOOKUP(B24,'[1]Control Sheet'!$D$5:$D$64,'[1]Control Sheet'!$E$5:$E$64,"",0))</f>
        <v/>
      </c>
      <c r="I24" s="25"/>
      <c r="J24" s="26"/>
      <c r="K24" s="27"/>
      <c r="L24" s="28"/>
      <c r="M24" s="29"/>
      <c r="P24" s="25"/>
      <c r="Q24" s="26"/>
      <c r="R24" s="27"/>
      <c r="S24" s="28"/>
      <c r="T24" s="29"/>
      <c r="V24" s="25"/>
      <c r="W24" s="26"/>
      <c r="X24" s="27"/>
      <c r="Y24" s="28"/>
      <c r="Z24" s="29"/>
      <c r="AB24" s="25"/>
      <c r="AC24" s="26"/>
      <c r="AD24" s="27"/>
      <c r="AE24" s="28"/>
      <c r="AF24" s="29"/>
      <c r="AH24" s="25"/>
      <c r="AI24" s="26"/>
      <c r="AJ24" s="27"/>
      <c r="AK24" s="28"/>
      <c r="AL24" s="29"/>
      <c r="AN24" s="25"/>
      <c r="AO24" s="26"/>
      <c r="AP24" s="27"/>
      <c r="AQ24" s="28"/>
      <c r="AR24" s="29"/>
      <c r="AT24" s="25"/>
      <c r="AU24" s="26"/>
      <c r="AV24" s="27"/>
      <c r="AW24" s="28"/>
      <c r="AX24" s="29"/>
      <c r="AZ24" s="25"/>
      <c r="BA24" s="26"/>
      <c r="BB24" s="27"/>
      <c r="BC24" s="28"/>
      <c r="BD24" s="29"/>
      <c r="BF24" s="25"/>
      <c r="BG24" s="26"/>
      <c r="BH24" s="27"/>
      <c r="BI24" s="28"/>
      <c r="BJ24" s="29"/>
      <c r="BL24" s="25"/>
      <c r="BM24" s="26"/>
      <c r="BN24" s="27"/>
      <c r="BO24" s="28"/>
      <c r="BP24" s="29"/>
      <c r="BR24" s="25"/>
      <c r="BS24" s="26"/>
      <c r="BT24" s="27"/>
      <c r="BU24" s="28"/>
      <c r="BV24" s="29"/>
      <c r="BX24" s="25"/>
      <c r="BY24" s="26"/>
      <c r="BZ24" s="27"/>
      <c r="CA24" s="28"/>
      <c r="CB24" s="29"/>
      <c r="CD24" s="25"/>
      <c r="CE24" s="26"/>
      <c r="CF24" s="27"/>
      <c r="CG24" s="28"/>
      <c r="CH24" s="29"/>
      <c r="CJ24" s="25"/>
      <c r="CK24" s="26"/>
      <c r="CL24" s="27"/>
      <c r="CM24" s="28"/>
      <c r="CN24" s="29"/>
      <c r="CP24" s="25"/>
      <c r="CQ24" s="26"/>
      <c r="CR24" s="27"/>
      <c r="CS24" s="28"/>
      <c r="CT24" s="29"/>
      <c r="CV24" s="25"/>
      <c r="CW24" s="26"/>
      <c r="CX24" s="27"/>
      <c r="CY24" s="28"/>
      <c r="CZ24" s="29"/>
      <c r="DA24" s="79">
        <f t="shared" si="0"/>
        <v>0</v>
      </c>
      <c r="DB24" s="80" t="e">
        <f>DA24*#REF!</f>
        <v>#REF!</v>
      </c>
      <c r="DC24" s="81" t="e">
        <f>DA24*#REF!</f>
        <v>#REF!</v>
      </c>
      <c r="DE24" s="25"/>
      <c r="DF24" s="26"/>
      <c r="DG24" s="27"/>
      <c r="DH24" s="28"/>
      <c r="DI24" s="29"/>
      <c r="DJ24" s="79">
        <f t="shared" si="1"/>
        <v>0</v>
      </c>
      <c r="DK24" s="80" t="e">
        <f>DJ24*#REF!</f>
        <v>#REF!</v>
      </c>
      <c r="DL24" s="81" t="e">
        <f>DJ24*#REF!</f>
        <v>#REF!</v>
      </c>
      <c r="DN24" s="25"/>
      <c r="DO24" s="26"/>
      <c r="DP24" s="27"/>
      <c r="DQ24" s="28"/>
      <c r="DR24" s="29"/>
      <c r="DS24" s="79">
        <f t="shared" si="2"/>
        <v>0</v>
      </c>
      <c r="DT24" s="80" t="e">
        <f>DS24*#REF!</f>
        <v>#REF!</v>
      </c>
      <c r="DU24" s="81" t="e">
        <f>DS24*#REF!</f>
        <v>#REF!</v>
      </c>
      <c r="DW24" s="25"/>
      <c r="DX24" s="26"/>
      <c r="DY24" s="27"/>
      <c r="DZ24" s="28"/>
      <c r="EA24" s="29"/>
      <c r="EB24" s="79">
        <f t="shared" si="3"/>
        <v>0</v>
      </c>
      <c r="EC24" s="80" t="e">
        <f>EB24*#REF!</f>
        <v>#REF!</v>
      </c>
      <c r="ED24" s="81" t="e">
        <f>EB24*#REF!</f>
        <v>#REF!</v>
      </c>
      <c r="EF24" s="25"/>
      <c r="EG24" s="26"/>
      <c r="EH24" s="27"/>
      <c r="EI24" s="28"/>
      <c r="EJ24" s="29"/>
      <c r="EK24" s="79">
        <f t="shared" si="4"/>
        <v>0</v>
      </c>
      <c r="EL24" s="80" t="e">
        <f>EK24*#REF!</f>
        <v>#REF!</v>
      </c>
      <c r="EM24" s="81" t="e">
        <f>EK24*#REF!</f>
        <v>#REF!</v>
      </c>
      <c r="EO24" s="25"/>
      <c r="EP24" s="26"/>
      <c r="EQ24" s="27"/>
      <c r="ER24" s="28"/>
      <c r="ES24" s="29"/>
      <c r="ET24" s="79">
        <f t="shared" si="5"/>
        <v>0</v>
      </c>
      <c r="EU24" s="80" t="e">
        <f>ET24*#REF!</f>
        <v>#REF!</v>
      </c>
      <c r="EV24" s="81" t="e">
        <f>ET24*#REF!</f>
        <v>#REF!</v>
      </c>
      <c r="EX24" s="25"/>
      <c r="EY24" s="26"/>
      <c r="EZ24" s="27"/>
      <c r="FA24" s="28"/>
      <c r="FB24" s="29"/>
      <c r="FC24" s="79">
        <f t="shared" si="6"/>
        <v>0</v>
      </c>
      <c r="FD24" s="80" t="e">
        <f>FC24*#REF!</f>
        <v>#REF!</v>
      </c>
      <c r="FE24" s="81" t="e">
        <f>FC24*#REF!</f>
        <v>#REF!</v>
      </c>
      <c r="FG24" s="25"/>
      <c r="FH24" s="26"/>
      <c r="FI24" s="27"/>
      <c r="FJ24" s="28"/>
      <c r="FK24" s="29"/>
      <c r="FL24" s="79">
        <f t="shared" si="7"/>
        <v>0</v>
      </c>
      <c r="FM24" s="80" t="e">
        <f>FL24*#REF!</f>
        <v>#REF!</v>
      </c>
      <c r="FN24" s="81" t="e">
        <f>FL24*#REF!</f>
        <v>#REF!</v>
      </c>
      <c r="FP24" s="25"/>
      <c r="FQ24" s="26"/>
      <c r="FR24" s="27"/>
      <c r="FS24" s="28"/>
      <c r="FT24" s="29"/>
      <c r="FU24" s="79">
        <f t="shared" si="8"/>
        <v>0</v>
      </c>
      <c r="FV24" s="80" t="e">
        <f>FU24*#REF!</f>
        <v>#REF!</v>
      </c>
      <c r="FW24" s="81" t="e">
        <f>FU24*#REF!</f>
        <v>#REF!</v>
      </c>
      <c r="FY24" s="25"/>
      <c r="FZ24" s="26"/>
      <c r="GA24" s="27"/>
      <c r="GB24" s="28"/>
      <c r="GC24" s="29"/>
      <c r="GD24" s="79">
        <f t="shared" si="9"/>
        <v>0</v>
      </c>
      <c r="GE24" s="80" t="e">
        <f>GD24*#REF!</f>
        <v>#REF!</v>
      </c>
      <c r="GF24" s="81" t="e">
        <f>GD24*#REF!</f>
        <v>#REF!</v>
      </c>
      <c r="GH24" s="25"/>
      <c r="GI24" s="26"/>
      <c r="GJ24" s="27"/>
      <c r="GK24" s="28"/>
      <c r="GL24" s="29"/>
      <c r="GM24" s="79">
        <f t="shared" si="10"/>
        <v>0</v>
      </c>
      <c r="GN24" s="80" t="e">
        <f>GM24*#REF!</f>
        <v>#REF!</v>
      </c>
      <c r="GO24" s="81" t="e">
        <f>GM24*#REF!</f>
        <v>#REF!</v>
      </c>
      <c r="GQ24" s="82">
        <f t="shared" si="11"/>
        <v>0</v>
      </c>
      <c r="GR24" s="83">
        <v>0</v>
      </c>
    </row>
    <row r="25" spans="2:200" ht="15">
      <c r="B25" s="22" t="s">
        <v>55</v>
      </c>
      <c r="C25" s="23" t="s">
        <v>56</v>
      </c>
      <c r="D25" s="24" t="str">
        <f>IF(C25="","",_xlfn.XLOOKUP(C25,'[1]Control Sheet'!$L$5:$L$104,'[1]Control Sheet'!$M$5:$M$104,"",0))</f>
        <v>Rides Operator</v>
      </c>
      <c r="E25" s="24" t="str">
        <f>IF(B25="","",_xlfn.XLOOKUP(B25,'[1]Control Sheet'!$D$5:$D$64,'[1]Control Sheet'!$F$5:$F$64,"",0))</f>
        <v>Rides</v>
      </c>
      <c r="F25" s="24" t="str">
        <f>IF(B25="","",_xlfn.XLOOKUP(B25,'[1]Control Sheet'!$D$5:$D$64,'[1]Control Sheet'!$E$5:$E$64,"",0))</f>
        <v>C1300-N</v>
      </c>
      <c r="I25" s="31">
        <v>0.38541666666666669</v>
      </c>
      <c r="J25" s="32">
        <v>0.69791666666666663</v>
      </c>
      <c r="K25" s="33">
        <v>45</v>
      </c>
      <c r="L25" s="34">
        <v>1</v>
      </c>
      <c r="M25" s="35">
        <v>1</v>
      </c>
      <c r="P25" s="31">
        <v>0.38541666666666669</v>
      </c>
      <c r="Q25" s="32">
        <v>0.73958333333333304</v>
      </c>
      <c r="R25" s="33">
        <v>45</v>
      </c>
      <c r="S25" s="34">
        <v>1</v>
      </c>
      <c r="T25" s="35">
        <v>1</v>
      </c>
      <c r="V25" s="31">
        <v>0.38541666666666669</v>
      </c>
      <c r="W25" s="32">
        <v>0.73958333333333304</v>
      </c>
      <c r="X25" s="33">
        <v>45</v>
      </c>
      <c r="Y25" s="34">
        <v>1</v>
      </c>
      <c r="Z25" s="35">
        <v>1</v>
      </c>
      <c r="AB25" s="31">
        <v>0.38541666666666669</v>
      </c>
      <c r="AC25" s="32">
        <v>0.73958333333333304</v>
      </c>
      <c r="AD25" s="33">
        <v>45</v>
      </c>
      <c r="AE25" s="34">
        <v>1</v>
      </c>
      <c r="AF25" s="35">
        <v>1</v>
      </c>
      <c r="AH25" s="31">
        <v>0.38541666666666669</v>
      </c>
      <c r="AI25" s="32">
        <v>0.73958333333333304</v>
      </c>
      <c r="AJ25" s="33">
        <v>45</v>
      </c>
      <c r="AK25" s="34">
        <v>1</v>
      </c>
      <c r="AL25" s="35">
        <v>1</v>
      </c>
      <c r="AN25" s="31">
        <v>0.38541666666666669</v>
      </c>
      <c r="AO25" s="32">
        <v>0.78125</v>
      </c>
      <c r="AP25" s="33">
        <v>45</v>
      </c>
      <c r="AQ25" s="34">
        <v>1</v>
      </c>
      <c r="AR25" s="35">
        <v>1</v>
      </c>
      <c r="AT25" s="31">
        <v>0.38541666666666669</v>
      </c>
      <c r="AU25" s="32">
        <v>0.73958333333333304</v>
      </c>
      <c r="AV25" s="33">
        <v>45</v>
      </c>
      <c r="AW25" s="34">
        <v>1</v>
      </c>
      <c r="AX25" s="35">
        <v>1</v>
      </c>
      <c r="AZ25" s="31">
        <v>0.38541666666666669</v>
      </c>
      <c r="BA25" s="32">
        <v>0.78125</v>
      </c>
      <c r="BB25" s="33">
        <v>45</v>
      </c>
      <c r="BC25" s="34">
        <v>1</v>
      </c>
      <c r="BD25" s="35">
        <v>1</v>
      </c>
      <c r="BF25" s="31">
        <v>0.38541666666666669</v>
      </c>
      <c r="BG25" s="32">
        <v>0.82291666666666663</v>
      </c>
      <c r="BH25" s="33">
        <v>45</v>
      </c>
      <c r="BI25" s="34">
        <v>1</v>
      </c>
      <c r="BJ25" s="35">
        <v>1</v>
      </c>
      <c r="BL25" s="25">
        <v>0.38541666666666669</v>
      </c>
      <c r="BM25" s="26">
        <v>0.65625</v>
      </c>
      <c r="BN25" s="27">
        <v>45</v>
      </c>
      <c r="BO25" s="28">
        <v>1</v>
      </c>
      <c r="BP25" s="29">
        <v>1</v>
      </c>
      <c r="BR25" s="31"/>
      <c r="BS25" s="32"/>
      <c r="BT25" s="33"/>
      <c r="BU25" s="34"/>
      <c r="BV25" s="35"/>
      <c r="BX25" s="31"/>
      <c r="BY25" s="32"/>
      <c r="BZ25" s="33"/>
      <c r="CA25" s="34"/>
      <c r="CB25" s="35"/>
      <c r="CD25" s="31"/>
      <c r="CE25" s="32"/>
      <c r="CF25" s="33"/>
      <c r="CG25" s="34"/>
      <c r="CH25" s="35"/>
      <c r="CJ25" s="31"/>
      <c r="CK25" s="32"/>
      <c r="CL25" s="33"/>
      <c r="CM25" s="34"/>
      <c r="CN25" s="36"/>
      <c r="CP25" s="25"/>
      <c r="CQ25" s="26"/>
      <c r="CR25" s="27"/>
      <c r="CS25" s="28"/>
      <c r="CT25" s="29"/>
      <c r="CV25" s="25"/>
      <c r="CW25" s="26"/>
      <c r="CX25" s="27"/>
      <c r="CY25" s="28"/>
      <c r="CZ25" s="29"/>
      <c r="DA25" s="79">
        <f t="shared" si="0"/>
        <v>0</v>
      </c>
      <c r="DB25" s="80" t="e">
        <f>DA25*#REF!</f>
        <v>#REF!</v>
      </c>
      <c r="DC25" s="81" t="e">
        <f>DA25*#REF!</f>
        <v>#REF!</v>
      </c>
      <c r="DE25" s="25"/>
      <c r="DF25" s="26"/>
      <c r="DG25" s="27"/>
      <c r="DH25" s="28"/>
      <c r="DI25" s="29"/>
      <c r="DJ25" s="79">
        <f t="shared" si="1"/>
        <v>0</v>
      </c>
      <c r="DK25" s="80" t="e">
        <f>DJ25*#REF!</f>
        <v>#REF!</v>
      </c>
      <c r="DL25" s="81" t="e">
        <f>DJ25*#REF!</f>
        <v>#REF!</v>
      </c>
      <c r="DN25" s="25"/>
      <c r="DO25" s="26"/>
      <c r="DP25" s="27"/>
      <c r="DQ25" s="28"/>
      <c r="DR25" s="29"/>
      <c r="DS25" s="79">
        <f t="shared" si="2"/>
        <v>0</v>
      </c>
      <c r="DT25" s="80" t="e">
        <f>DS25*#REF!</f>
        <v>#REF!</v>
      </c>
      <c r="DU25" s="81" t="e">
        <f>DS25*#REF!</f>
        <v>#REF!</v>
      </c>
      <c r="DW25" s="25"/>
      <c r="DX25" s="26"/>
      <c r="DY25" s="27"/>
      <c r="DZ25" s="28"/>
      <c r="EA25" s="29"/>
      <c r="EB25" s="79">
        <f t="shared" si="3"/>
        <v>0</v>
      </c>
      <c r="EC25" s="80" t="e">
        <f>EB25*#REF!</f>
        <v>#REF!</v>
      </c>
      <c r="ED25" s="81" t="e">
        <f>EB25*#REF!</f>
        <v>#REF!</v>
      </c>
      <c r="EF25" s="25"/>
      <c r="EG25" s="26"/>
      <c r="EH25" s="27"/>
      <c r="EI25" s="28"/>
      <c r="EJ25" s="29"/>
      <c r="EK25" s="79">
        <f t="shared" si="4"/>
        <v>0</v>
      </c>
      <c r="EL25" s="80" t="e">
        <f>EK25*#REF!</f>
        <v>#REF!</v>
      </c>
      <c r="EM25" s="81" t="e">
        <f>EK25*#REF!</f>
        <v>#REF!</v>
      </c>
      <c r="EO25" s="25"/>
      <c r="EP25" s="26"/>
      <c r="EQ25" s="27"/>
      <c r="ER25" s="28"/>
      <c r="ES25" s="29"/>
      <c r="ET25" s="79">
        <f t="shared" si="5"/>
        <v>0</v>
      </c>
      <c r="EU25" s="80" t="e">
        <f>ET25*#REF!</f>
        <v>#REF!</v>
      </c>
      <c r="EV25" s="81" t="e">
        <f>ET25*#REF!</f>
        <v>#REF!</v>
      </c>
      <c r="EX25" s="25"/>
      <c r="EY25" s="26"/>
      <c r="EZ25" s="27"/>
      <c r="FA25" s="28"/>
      <c r="FB25" s="29"/>
      <c r="FC25" s="79">
        <f t="shared" si="6"/>
        <v>0</v>
      </c>
      <c r="FD25" s="80" t="e">
        <f>FC25*#REF!</f>
        <v>#REF!</v>
      </c>
      <c r="FE25" s="81" t="e">
        <f>FC25*#REF!</f>
        <v>#REF!</v>
      </c>
      <c r="FG25" s="25"/>
      <c r="FH25" s="26"/>
      <c r="FI25" s="27"/>
      <c r="FJ25" s="28"/>
      <c r="FK25" s="29"/>
      <c r="FL25" s="79">
        <f t="shared" si="7"/>
        <v>0</v>
      </c>
      <c r="FM25" s="80" t="e">
        <f>FL25*#REF!</f>
        <v>#REF!</v>
      </c>
      <c r="FN25" s="81" t="e">
        <f>FL25*#REF!</f>
        <v>#REF!</v>
      </c>
      <c r="FP25" s="25"/>
      <c r="FQ25" s="26"/>
      <c r="FR25" s="27"/>
      <c r="FS25" s="28"/>
      <c r="FT25" s="29"/>
      <c r="FU25" s="79">
        <f t="shared" si="8"/>
        <v>0</v>
      </c>
      <c r="FV25" s="80" t="e">
        <f>FU25*#REF!</f>
        <v>#REF!</v>
      </c>
      <c r="FW25" s="81" t="e">
        <f>FU25*#REF!</f>
        <v>#REF!</v>
      </c>
      <c r="FY25" s="25"/>
      <c r="FZ25" s="26"/>
      <c r="GA25" s="27"/>
      <c r="GB25" s="28"/>
      <c r="GC25" s="29"/>
      <c r="GD25" s="79">
        <f t="shared" si="9"/>
        <v>0</v>
      </c>
      <c r="GE25" s="80" t="e">
        <f>GD25*#REF!</f>
        <v>#REF!</v>
      </c>
      <c r="GF25" s="81" t="e">
        <f>GD25*#REF!</f>
        <v>#REF!</v>
      </c>
      <c r="GH25" s="25"/>
      <c r="GI25" s="26"/>
      <c r="GJ25" s="27"/>
      <c r="GK25" s="28"/>
      <c r="GL25" s="29"/>
      <c r="GM25" s="79">
        <f t="shared" si="10"/>
        <v>0</v>
      </c>
      <c r="GN25" s="80" t="e">
        <f>GM25*#REF!</f>
        <v>#REF!</v>
      </c>
      <c r="GO25" s="81" t="e">
        <f>GM25*#REF!</f>
        <v>#REF!</v>
      </c>
      <c r="GQ25" s="82">
        <f t="shared" si="11"/>
        <v>1</v>
      </c>
      <c r="GR25" s="83">
        <v>1</v>
      </c>
    </row>
    <row r="26" spans="2:200" ht="15">
      <c r="B26" s="22"/>
      <c r="C26" s="23"/>
      <c r="D26" s="24" t="str">
        <f>IF(C26="","",_xlfn.XLOOKUP(C26,'[1]Control Sheet'!$L$5:$L$104,'[1]Control Sheet'!$M$5:$M$104,"",0))</f>
        <v/>
      </c>
      <c r="E26" s="24" t="str">
        <f>IF(B26="","",_xlfn.XLOOKUP(B26,'[1]Control Sheet'!$D$5:$D$64,'[1]Control Sheet'!$F$5:$F$64,"",0))</f>
        <v/>
      </c>
      <c r="F26" s="24" t="str">
        <f>IF(B26="","",_xlfn.XLOOKUP(B26,'[1]Control Sheet'!$D$5:$D$64,'[1]Control Sheet'!$E$5:$E$64,"",0))</f>
        <v/>
      </c>
      <c r="I26" s="25"/>
      <c r="J26" s="26"/>
      <c r="K26" s="27"/>
      <c r="L26" s="28"/>
      <c r="M26" s="29"/>
      <c r="P26" s="25"/>
      <c r="Q26" s="26"/>
      <c r="R26" s="27"/>
      <c r="S26" s="28"/>
      <c r="T26" s="29"/>
      <c r="V26" s="25"/>
      <c r="W26" s="26"/>
      <c r="X26" s="27"/>
      <c r="Y26" s="28"/>
      <c r="Z26" s="29"/>
      <c r="AB26" s="25"/>
      <c r="AC26" s="26"/>
      <c r="AD26" s="27"/>
      <c r="AE26" s="28"/>
      <c r="AF26" s="29"/>
      <c r="AH26" s="25"/>
      <c r="AI26" s="26"/>
      <c r="AJ26" s="27"/>
      <c r="AK26" s="28"/>
      <c r="AL26" s="29"/>
      <c r="AN26" s="25"/>
      <c r="AO26" s="26"/>
      <c r="AP26" s="27"/>
      <c r="AQ26" s="28"/>
      <c r="AR26" s="29"/>
      <c r="AT26" s="25"/>
      <c r="AU26" s="26"/>
      <c r="AV26" s="27"/>
      <c r="AW26" s="28"/>
      <c r="AX26" s="29"/>
      <c r="AZ26" s="25"/>
      <c r="BA26" s="26"/>
      <c r="BB26" s="27"/>
      <c r="BC26" s="28"/>
      <c r="BD26" s="29"/>
      <c r="BF26" s="25"/>
      <c r="BG26" s="26"/>
      <c r="BH26" s="27"/>
      <c r="BI26" s="28"/>
      <c r="BJ26" s="29"/>
      <c r="BL26" s="25"/>
      <c r="BM26" s="26"/>
      <c r="BN26" s="27"/>
      <c r="BO26" s="28"/>
      <c r="BP26" s="29"/>
      <c r="BR26" s="25"/>
      <c r="BS26" s="26"/>
      <c r="BT26" s="27"/>
      <c r="BU26" s="28"/>
      <c r="BV26" s="29"/>
      <c r="BX26" s="25"/>
      <c r="BY26" s="26"/>
      <c r="BZ26" s="27"/>
      <c r="CA26" s="28"/>
      <c r="CB26" s="29"/>
      <c r="CD26" s="25"/>
      <c r="CE26" s="26"/>
      <c r="CF26" s="27"/>
      <c r="CG26" s="28"/>
      <c r="CH26" s="29"/>
      <c r="CJ26" s="25"/>
      <c r="CK26" s="26"/>
      <c r="CL26" s="27"/>
      <c r="CM26" s="28"/>
      <c r="CN26" s="29"/>
      <c r="CP26" s="25"/>
      <c r="CQ26" s="26"/>
      <c r="CR26" s="27"/>
      <c r="CS26" s="28"/>
      <c r="CT26" s="29"/>
      <c r="CV26" s="25"/>
      <c r="CW26" s="26"/>
      <c r="CX26" s="27"/>
      <c r="CY26" s="28"/>
      <c r="CZ26" s="29"/>
      <c r="DA26" s="79">
        <f t="shared" si="0"/>
        <v>0</v>
      </c>
      <c r="DB26" s="80" t="e">
        <f>DA26*#REF!</f>
        <v>#REF!</v>
      </c>
      <c r="DC26" s="81" t="e">
        <f>DA26*#REF!</f>
        <v>#REF!</v>
      </c>
      <c r="DE26" s="25"/>
      <c r="DF26" s="26"/>
      <c r="DG26" s="27"/>
      <c r="DH26" s="28"/>
      <c r="DI26" s="29"/>
      <c r="DJ26" s="79">
        <f t="shared" si="1"/>
        <v>0</v>
      </c>
      <c r="DK26" s="80" t="e">
        <f>DJ26*#REF!</f>
        <v>#REF!</v>
      </c>
      <c r="DL26" s="81" t="e">
        <f>DJ26*#REF!</f>
        <v>#REF!</v>
      </c>
      <c r="DN26" s="25"/>
      <c r="DO26" s="26"/>
      <c r="DP26" s="27"/>
      <c r="DQ26" s="28"/>
      <c r="DR26" s="29"/>
      <c r="DS26" s="79">
        <f t="shared" si="2"/>
        <v>0</v>
      </c>
      <c r="DT26" s="80" t="e">
        <f>DS26*#REF!</f>
        <v>#REF!</v>
      </c>
      <c r="DU26" s="81" t="e">
        <f>DS26*#REF!</f>
        <v>#REF!</v>
      </c>
      <c r="DW26" s="25"/>
      <c r="DX26" s="26"/>
      <c r="DY26" s="27"/>
      <c r="DZ26" s="28"/>
      <c r="EA26" s="29"/>
      <c r="EB26" s="79">
        <f t="shared" si="3"/>
        <v>0</v>
      </c>
      <c r="EC26" s="80" t="e">
        <f>EB26*#REF!</f>
        <v>#REF!</v>
      </c>
      <c r="ED26" s="81" t="e">
        <f>EB26*#REF!</f>
        <v>#REF!</v>
      </c>
      <c r="EF26" s="25"/>
      <c r="EG26" s="26"/>
      <c r="EH26" s="27"/>
      <c r="EI26" s="28"/>
      <c r="EJ26" s="29"/>
      <c r="EK26" s="79">
        <f t="shared" si="4"/>
        <v>0</v>
      </c>
      <c r="EL26" s="80" t="e">
        <f>EK26*#REF!</f>
        <v>#REF!</v>
      </c>
      <c r="EM26" s="81" t="e">
        <f>EK26*#REF!</f>
        <v>#REF!</v>
      </c>
      <c r="EO26" s="25"/>
      <c r="EP26" s="26"/>
      <c r="EQ26" s="27"/>
      <c r="ER26" s="28"/>
      <c r="ES26" s="29"/>
      <c r="ET26" s="79">
        <f t="shared" si="5"/>
        <v>0</v>
      </c>
      <c r="EU26" s="80" t="e">
        <f>ET26*#REF!</f>
        <v>#REF!</v>
      </c>
      <c r="EV26" s="81" t="e">
        <f>ET26*#REF!</f>
        <v>#REF!</v>
      </c>
      <c r="EX26" s="25"/>
      <c r="EY26" s="26"/>
      <c r="EZ26" s="27"/>
      <c r="FA26" s="28"/>
      <c r="FB26" s="29"/>
      <c r="FC26" s="79">
        <f t="shared" si="6"/>
        <v>0</v>
      </c>
      <c r="FD26" s="80" t="e">
        <f>FC26*#REF!</f>
        <v>#REF!</v>
      </c>
      <c r="FE26" s="81" t="e">
        <f>FC26*#REF!</f>
        <v>#REF!</v>
      </c>
      <c r="FG26" s="25"/>
      <c r="FH26" s="26"/>
      <c r="FI26" s="27"/>
      <c r="FJ26" s="28"/>
      <c r="FK26" s="29"/>
      <c r="FL26" s="79">
        <f t="shared" si="7"/>
        <v>0</v>
      </c>
      <c r="FM26" s="80" t="e">
        <f>FL26*#REF!</f>
        <v>#REF!</v>
      </c>
      <c r="FN26" s="81" t="e">
        <f>FL26*#REF!</f>
        <v>#REF!</v>
      </c>
      <c r="FP26" s="25"/>
      <c r="FQ26" s="26"/>
      <c r="FR26" s="27"/>
      <c r="FS26" s="28"/>
      <c r="FT26" s="29"/>
      <c r="FU26" s="79">
        <f t="shared" si="8"/>
        <v>0</v>
      </c>
      <c r="FV26" s="80" t="e">
        <f>FU26*#REF!</f>
        <v>#REF!</v>
      </c>
      <c r="FW26" s="81" t="e">
        <f>FU26*#REF!</f>
        <v>#REF!</v>
      </c>
      <c r="FY26" s="25"/>
      <c r="FZ26" s="26"/>
      <c r="GA26" s="27"/>
      <c r="GB26" s="28"/>
      <c r="GC26" s="29"/>
      <c r="GD26" s="79">
        <f t="shared" si="9"/>
        <v>0</v>
      </c>
      <c r="GE26" s="80" t="e">
        <f>GD26*#REF!</f>
        <v>#REF!</v>
      </c>
      <c r="GF26" s="81" t="e">
        <f>GD26*#REF!</f>
        <v>#REF!</v>
      </c>
      <c r="GH26" s="25"/>
      <c r="GI26" s="26"/>
      <c r="GJ26" s="27"/>
      <c r="GK26" s="28"/>
      <c r="GL26" s="29"/>
      <c r="GM26" s="79">
        <f t="shared" si="10"/>
        <v>0</v>
      </c>
      <c r="GN26" s="80" t="e">
        <f>GM26*#REF!</f>
        <v>#REF!</v>
      </c>
      <c r="GO26" s="81" t="e">
        <f>GM26*#REF!</f>
        <v>#REF!</v>
      </c>
      <c r="GQ26" s="82">
        <f t="shared" si="11"/>
        <v>0</v>
      </c>
      <c r="GR26" s="83">
        <v>0</v>
      </c>
    </row>
    <row r="27" spans="2:200" ht="16.5" customHeight="1">
      <c r="B27" s="22" t="s">
        <v>57</v>
      </c>
      <c r="C27" s="23" t="s">
        <v>58</v>
      </c>
      <c r="D27" s="24" t="str">
        <f>IF(C27="","",_xlfn.XLOOKUP(C27,'[1]Control Sheet'!$L$5:$L$104,'[1]Control Sheet'!$M$5:$M$104,"",0))</f>
        <v>Rides Attendant</v>
      </c>
      <c r="E27" s="24" t="str">
        <f>IF(B27="","",_xlfn.XLOOKUP(B27,'[1]Control Sheet'!$D$5:$D$64,'[1]Control Sheet'!$F$5:$F$64,"",0))</f>
        <v>Rides</v>
      </c>
      <c r="F27" s="24" t="str">
        <f>IF(B27="","",_xlfn.XLOOKUP(B27,'[1]Control Sheet'!$D$5:$D$64,'[1]Control Sheet'!$E$5:$E$64,"",0))</f>
        <v>C1300-N</v>
      </c>
      <c r="I27" s="31">
        <v>0.38541666666666669</v>
      </c>
      <c r="J27" s="32">
        <v>0.69791666666666663</v>
      </c>
      <c r="K27" s="33">
        <v>45</v>
      </c>
      <c r="L27" s="34">
        <v>1</v>
      </c>
      <c r="M27" s="35">
        <v>1</v>
      </c>
      <c r="P27" s="31">
        <v>0.38541666666666669</v>
      </c>
      <c r="Q27" s="32">
        <v>0.73958333333333304</v>
      </c>
      <c r="R27" s="33">
        <v>45</v>
      </c>
      <c r="S27" s="34">
        <v>1</v>
      </c>
      <c r="T27" s="35">
        <v>1</v>
      </c>
      <c r="V27" s="31">
        <v>0.38541666666666669</v>
      </c>
      <c r="W27" s="32">
        <v>0.73958333333333304</v>
      </c>
      <c r="X27" s="33">
        <v>45</v>
      </c>
      <c r="Y27" s="34">
        <v>1</v>
      </c>
      <c r="Z27" s="35">
        <v>1</v>
      </c>
      <c r="AB27" s="31">
        <v>0.38541666666666669</v>
      </c>
      <c r="AC27" s="32">
        <v>0.73958333333333304</v>
      </c>
      <c r="AD27" s="33">
        <v>45</v>
      </c>
      <c r="AE27" s="34">
        <v>1</v>
      </c>
      <c r="AF27" s="35">
        <v>1</v>
      </c>
      <c r="AH27" s="31">
        <v>0.38541666666666669</v>
      </c>
      <c r="AI27" s="32">
        <v>0.73958333333333304</v>
      </c>
      <c r="AJ27" s="33">
        <v>45</v>
      </c>
      <c r="AK27" s="34">
        <v>1</v>
      </c>
      <c r="AL27" s="35">
        <v>1</v>
      </c>
      <c r="AN27" s="31">
        <v>0.38541666666666669</v>
      </c>
      <c r="AO27" s="32">
        <v>0.78125</v>
      </c>
      <c r="AP27" s="33">
        <v>45</v>
      </c>
      <c r="AQ27" s="34">
        <v>1</v>
      </c>
      <c r="AR27" s="35">
        <v>1</v>
      </c>
      <c r="AT27" s="31">
        <v>0.38541666666666669</v>
      </c>
      <c r="AU27" s="32">
        <v>0.73958333333333304</v>
      </c>
      <c r="AV27" s="33">
        <v>45</v>
      </c>
      <c r="AW27" s="34">
        <v>1</v>
      </c>
      <c r="AX27" s="35">
        <v>1</v>
      </c>
      <c r="AZ27" s="31">
        <v>0.38541666666666669</v>
      </c>
      <c r="BA27" s="32">
        <v>0.78125</v>
      </c>
      <c r="BB27" s="33">
        <v>45</v>
      </c>
      <c r="BC27" s="34">
        <v>1</v>
      </c>
      <c r="BD27" s="35">
        <v>1</v>
      </c>
      <c r="BF27" s="31">
        <v>0.38541666666666669</v>
      </c>
      <c r="BG27" s="32">
        <v>0.82291666666666663</v>
      </c>
      <c r="BH27" s="33">
        <v>45</v>
      </c>
      <c r="BI27" s="34">
        <v>1</v>
      </c>
      <c r="BJ27" s="35">
        <v>1</v>
      </c>
      <c r="BL27" s="25">
        <v>0.38541666666666669</v>
      </c>
      <c r="BM27" s="26">
        <v>0.65625</v>
      </c>
      <c r="BN27" s="27">
        <v>45</v>
      </c>
      <c r="BO27" s="28">
        <v>1</v>
      </c>
      <c r="BP27" s="29">
        <v>1</v>
      </c>
      <c r="BR27" s="31">
        <v>0.38541666666666669</v>
      </c>
      <c r="BS27" s="32">
        <v>0.65625</v>
      </c>
      <c r="BT27" s="33">
        <v>45</v>
      </c>
      <c r="BU27" s="34">
        <v>1</v>
      </c>
      <c r="BV27" s="35">
        <v>1</v>
      </c>
      <c r="BX27" s="31">
        <v>0.38541666666666669</v>
      </c>
      <c r="BY27" s="32">
        <v>0.73958333333333337</v>
      </c>
      <c r="BZ27" s="27">
        <v>45</v>
      </c>
      <c r="CA27" s="28">
        <v>1</v>
      </c>
      <c r="CB27" s="29">
        <v>1</v>
      </c>
      <c r="CD27" s="31">
        <v>0.38541666666666669</v>
      </c>
      <c r="CE27" s="32">
        <v>0.80208333333333337</v>
      </c>
      <c r="CF27" s="27">
        <v>45</v>
      </c>
      <c r="CG27" s="28">
        <v>1</v>
      </c>
      <c r="CH27" s="29">
        <v>1</v>
      </c>
      <c r="CJ27" s="31">
        <v>0.38541666666666669</v>
      </c>
      <c r="CK27" s="32">
        <v>0.65625</v>
      </c>
      <c r="CL27" s="27">
        <v>45</v>
      </c>
      <c r="CM27" s="28">
        <v>1</v>
      </c>
      <c r="CN27" s="29">
        <v>1</v>
      </c>
      <c r="CP27" s="25"/>
      <c r="CQ27" s="26"/>
      <c r="CR27" s="27"/>
      <c r="CS27" s="28"/>
      <c r="CT27" s="29"/>
      <c r="CV27" s="25"/>
      <c r="CW27" s="26"/>
      <c r="CX27" s="27"/>
      <c r="CY27" s="28"/>
      <c r="CZ27" s="29"/>
      <c r="DA27" s="79">
        <f t="shared" si="0"/>
        <v>0</v>
      </c>
      <c r="DB27" s="80" t="e">
        <f>DA27*#REF!</f>
        <v>#REF!</v>
      </c>
      <c r="DC27" s="81" t="e">
        <f>DA27*#REF!</f>
        <v>#REF!</v>
      </c>
      <c r="DE27" s="25"/>
      <c r="DF27" s="26"/>
      <c r="DG27" s="27"/>
      <c r="DH27" s="28"/>
      <c r="DI27" s="29"/>
      <c r="DJ27" s="79">
        <f t="shared" si="1"/>
        <v>0</v>
      </c>
      <c r="DK27" s="80" t="e">
        <f>DJ27*#REF!</f>
        <v>#REF!</v>
      </c>
      <c r="DL27" s="81" t="e">
        <f>DJ27*#REF!</f>
        <v>#REF!</v>
      </c>
      <c r="DN27" s="25"/>
      <c r="DO27" s="26"/>
      <c r="DP27" s="27"/>
      <c r="DQ27" s="28"/>
      <c r="DR27" s="29"/>
      <c r="DS27" s="79">
        <f t="shared" si="2"/>
        <v>0</v>
      </c>
      <c r="DT27" s="80" t="e">
        <f>DS27*#REF!</f>
        <v>#REF!</v>
      </c>
      <c r="DU27" s="81" t="e">
        <f>DS27*#REF!</f>
        <v>#REF!</v>
      </c>
      <c r="DW27" s="25"/>
      <c r="DX27" s="26"/>
      <c r="DY27" s="27"/>
      <c r="DZ27" s="28"/>
      <c r="EA27" s="29"/>
      <c r="EB27" s="79">
        <f t="shared" si="3"/>
        <v>0</v>
      </c>
      <c r="EC27" s="80" t="e">
        <f>EB27*#REF!</f>
        <v>#REF!</v>
      </c>
      <c r="ED27" s="81" t="e">
        <f>EB27*#REF!</f>
        <v>#REF!</v>
      </c>
      <c r="EF27" s="25"/>
      <c r="EG27" s="26"/>
      <c r="EH27" s="27"/>
      <c r="EI27" s="28"/>
      <c r="EJ27" s="29"/>
      <c r="EK27" s="79">
        <f t="shared" si="4"/>
        <v>0</v>
      </c>
      <c r="EL27" s="80" t="e">
        <f>EK27*#REF!</f>
        <v>#REF!</v>
      </c>
      <c r="EM27" s="81" t="e">
        <f>EK27*#REF!</f>
        <v>#REF!</v>
      </c>
      <c r="EO27" s="25"/>
      <c r="EP27" s="26"/>
      <c r="EQ27" s="27"/>
      <c r="ER27" s="28"/>
      <c r="ES27" s="29"/>
      <c r="ET27" s="79">
        <f t="shared" si="5"/>
        <v>0</v>
      </c>
      <c r="EU27" s="80" t="e">
        <f>ET27*#REF!</f>
        <v>#REF!</v>
      </c>
      <c r="EV27" s="81" t="e">
        <f>ET27*#REF!</f>
        <v>#REF!</v>
      </c>
      <c r="EX27" s="25"/>
      <c r="EY27" s="26"/>
      <c r="EZ27" s="27"/>
      <c r="FA27" s="28"/>
      <c r="FB27" s="29"/>
      <c r="FC27" s="79">
        <f t="shared" si="6"/>
        <v>0</v>
      </c>
      <c r="FD27" s="80" t="e">
        <f>FC27*#REF!</f>
        <v>#REF!</v>
      </c>
      <c r="FE27" s="81" t="e">
        <f>FC27*#REF!</f>
        <v>#REF!</v>
      </c>
      <c r="FG27" s="25"/>
      <c r="FH27" s="26"/>
      <c r="FI27" s="27"/>
      <c r="FJ27" s="28"/>
      <c r="FK27" s="29"/>
      <c r="FL27" s="79">
        <f t="shared" si="7"/>
        <v>0</v>
      </c>
      <c r="FM27" s="80" t="e">
        <f>FL27*#REF!</f>
        <v>#REF!</v>
      </c>
      <c r="FN27" s="81" t="e">
        <f>FL27*#REF!</f>
        <v>#REF!</v>
      </c>
      <c r="FP27" s="25"/>
      <c r="FQ27" s="26"/>
      <c r="FR27" s="27"/>
      <c r="FS27" s="28"/>
      <c r="FT27" s="29"/>
      <c r="FU27" s="79">
        <f t="shared" si="8"/>
        <v>0</v>
      </c>
      <c r="FV27" s="80" t="e">
        <f>FU27*#REF!</f>
        <v>#REF!</v>
      </c>
      <c r="FW27" s="81" t="e">
        <f>FU27*#REF!</f>
        <v>#REF!</v>
      </c>
      <c r="FY27" s="25"/>
      <c r="FZ27" s="26"/>
      <c r="GA27" s="27"/>
      <c r="GB27" s="28"/>
      <c r="GC27" s="29"/>
      <c r="GD27" s="79">
        <f t="shared" si="9"/>
        <v>0</v>
      </c>
      <c r="GE27" s="80" t="e">
        <f>GD27*#REF!</f>
        <v>#REF!</v>
      </c>
      <c r="GF27" s="81" t="e">
        <f>GD27*#REF!</f>
        <v>#REF!</v>
      </c>
      <c r="GH27" s="25"/>
      <c r="GI27" s="26"/>
      <c r="GJ27" s="27"/>
      <c r="GK27" s="28"/>
      <c r="GL27" s="29"/>
      <c r="GM27" s="79">
        <f t="shared" si="10"/>
        <v>0</v>
      </c>
      <c r="GN27" s="80" t="e">
        <f>GM27*#REF!</f>
        <v>#REF!</v>
      </c>
      <c r="GO27" s="81" t="e">
        <f>GM27*#REF!</f>
        <v>#REF!</v>
      </c>
      <c r="GQ27" s="82">
        <f t="shared" si="11"/>
        <v>1</v>
      </c>
      <c r="GR27" s="83">
        <v>1</v>
      </c>
    </row>
    <row r="28" spans="2:200" ht="15">
      <c r="B28" s="22"/>
      <c r="C28" s="23"/>
      <c r="D28" s="24" t="str">
        <f>IF(C28="","",_xlfn.XLOOKUP(C28,'[1]Control Sheet'!$L$5:$L$104,'[1]Control Sheet'!$M$5:$M$104,"",0))</f>
        <v/>
      </c>
      <c r="E28" s="24" t="str">
        <f>IF(B28="","",_xlfn.XLOOKUP(B28,'[1]Control Sheet'!$D$5:$D$64,'[1]Control Sheet'!$F$5:$F$64,"",0))</f>
        <v/>
      </c>
      <c r="F28" s="24" t="str">
        <f>IF(B28="","",_xlfn.XLOOKUP(B28,'[1]Control Sheet'!$D$5:$D$64,'[1]Control Sheet'!$E$5:$E$64,"",0))</f>
        <v/>
      </c>
      <c r="I28" s="25"/>
      <c r="J28" s="26"/>
      <c r="K28" s="27"/>
      <c r="L28" s="28"/>
      <c r="M28" s="29"/>
      <c r="P28" s="25"/>
      <c r="Q28" s="26"/>
      <c r="R28" s="27"/>
      <c r="S28" s="28"/>
      <c r="T28" s="29"/>
      <c r="V28" s="25"/>
      <c r="W28" s="26"/>
      <c r="X28" s="27"/>
      <c r="Y28" s="28"/>
      <c r="Z28" s="29"/>
      <c r="AB28" s="25"/>
      <c r="AC28" s="26"/>
      <c r="AD28" s="27"/>
      <c r="AE28" s="28"/>
      <c r="AF28" s="29"/>
      <c r="AH28" s="25"/>
      <c r="AI28" s="26"/>
      <c r="AJ28" s="27"/>
      <c r="AK28" s="28"/>
      <c r="AL28" s="29"/>
      <c r="AN28" s="25"/>
      <c r="AO28" s="26"/>
      <c r="AP28" s="27"/>
      <c r="AQ28" s="28"/>
      <c r="AR28" s="29"/>
      <c r="AT28" s="25"/>
      <c r="AU28" s="26"/>
      <c r="AV28" s="27"/>
      <c r="AW28" s="28"/>
      <c r="AX28" s="29"/>
      <c r="AZ28" s="25"/>
      <c r="BA28" s="26"/>
      <c r="BB28" s="27"/>
      <c r="BC28" s="28"/>
      <c r="BD28" s="29"/>
      <c r="BF28" s="25"/>
      <c r="BG28" s="26"/>
      <c r="BH28" s="27"/>
      <c r="BI28" s="28"/>
      <c r="BJ28" s="29"/>
      <c r="BL28" s="25"/>
      <c r="BM28" s="26"/>
      <c r="BN28" s="27"/>
      <c r="BO28" s="28"/>
      <c r="BP28" s="29"/>
      <c r="BR28" s="25"/>
      <c r="BS28" s="26"/>
      <c r="BT28" s="27"/>
      <c r="BU28" s="28"/>
      <c r="BV28" s="29"/>
      <c r="BX28" s="25"/>
      <c r="BY28" s="26"/>
      <c r="BZ28" s="27"/>
      <c r="CA28" s="28"/>
      <c r="CB28" s="29"/>
      <c r="CD28" s="25"/>
      <c r="CE28" s="26"/>
      <c r="CF28" s="27"/>
      <c r="CG28" s="28"/>
      <c r="CH28" s="29"/>
      <c r="CJ28" s="25"/>
      <c r="CK28" s="26"/>
      <c r="CL28" s="27"/>
      <c r="CM28" s="28"/>
      <c r="CN28" s="29"/>
      <c r="CP28" s="25"/>
      <c r="CQ28" s="26"/>
      <c r="CR28" s="27"/>
      <c r="CS28" s="28"/>
      <c r="CT28" s="29"/>
      <c r="CV28" s="25"/>
      <c r="CW28" s="26"/>
      <c r="CX28" s="27"/>
      <c r="CY28" s="28"/>
      <c r="CZ28" s="29"/>
      <c r="DA28" s="79">
        <f t="shared" si="0"/>
        <v>0</v>
      </c>
      <c r="DB28" s="80" t="e">
        <f>DA28*#REF!</f>
        <v>#REF!</v>
      </c>
      <c r="DC28" s="81" t="e">
        <f>DA28*#REF!</f>
        <v>#REF!</v>
      </c>
      <c r="DE28" s="25"/>
      <c r="DF28" s="26"/>
      <c r="DG28" s="27"/>
      <c r="DH28" s="28"/>
      <c r="DI28" s="29"/>
      <c r="DJ28" s="79">
        <f t="shared" si="1"/>
        <v>0</v>
      </c>
      <c r="DK28" s="80" t="e">
        <f>DJ28*#REF!</f>
        <v>#REF!</v>
      </c>
      <c r="DL28" s="81" t="e">
        <f>DJ28*#REF!</f>
        <v>#REF!</v>
      </c>
      <c r="DN28" s="25"/>
      <c r="DO28" s="26"/>
      <c r="DP28" s="27"/>
      <c r="DQ28" s="28"/>
      <c r="DR28" s="29"/>
      <c r="DS28" s="79">
        <f t="shared" si="2"/>
        <v>0</v>
      </c>
      <c r="DT28" s="80" t="e">
        <f>DS28*#REF!</f>
        <v>#REF!</v>
      </c>
      <c r="DU28" s="81" t="e">
        <f>DS28*#REF!</f>
        <v>#REF!</v>
      </c>
      <c r="DW28" s="25"/>
      <c r="DX28" s="26"/>
      <c r="DY28" s="27"/>
      <c r="DZ28" s="28"/>
      <c r="EA28" s="29"/>
      <c r="EB28" s="79">
        <f t="shared" si="3"/>
        <v>0</v>
      </c>
      <c r="EC28" s="80" t="e">
        <f>EB28*#REF!</f>
        <v>#REF!</v>
      </c>
      <c r="ED28" s="81" t="e">
        <f>EB28*#REF!</f>
        <v>#REF!</v>
      </c>
      <c r="EF28" s="25"/>
      <c r="EG28" s="26"/>
      <c r="EH28" s="27"/>
      <c r="EI28" s="28"/>
      <c r="EJ28" s="29"/>
      <c r="EK28" s="79">
        <f t="shared" si="4"/>
        <v>0</v>
      </c>
      <c r="EL28" s="80" t="e">
        <f>EK28*#REF!</f>
        <v>#REF!</v>
      </c>
      <c r="EM28" s="81" t="e">
        <f>EK28*#REF!</f>
        <v>#REF!</v>
      </c>
      <c r="EO28" s="25"/>
      <c r="EP28" s="26"/>
      <c r="EQ28" s="27"/>
      <c r="ER28" s="28"/>
      <c r="ES28" s="29"/>
      <c r="ET28" s="79">
        <f t="shared" si="5"/>
        <v>0</v>
      </c>
      <c r="EU28" s="80" t="e">
        <f>ET28*#REF!</f>
        <v>#REF!</v>
      </c>
      <c r="EV28" s="81" t="e">
        <f>ET28*#REF!</f>
        <v>#REF!</v>
      </c>
      <c r="EX28" s="25"/>
      <c r="EY28" s="26"/>
      <c r="EZ28" s="27"/>
      <c r="FA28" s="28"/>
      <c r="FB28" s="29"/>
      <c r="FC28" s="79">
        <f t="shared" si="6"/>
        <v>0</v>
      </c>
      <c r="FD28" s="80" t="e">
        <f>FC28*#REF!</f>
        <v>#REF!</v>
      </c>
      <c r="FE28" s="81" t="e">
        <f>FC28*#REF!</f>
        <v>#REF!</v>
      </c>
      <c r="FG28" s="25"/>
      <c r="FH28" s="26"/>
      <c r="FI28" s="27"/>
      <c r="FJ28" s="28"/>
      <c r="FK28" s="29"/>
      <c r="FL28" s="79">
        <f t="shared" si="7"/>
        <v>0</v>
      </c>
      <c r="FM28" s="80" t="e">
        <f>FL28*#REF!</f>
        <v>#REF!</v>
      </c>
      <c r="FN28" s="81" t="e">
        <f>FL28*#REF!</f>
        <v>#REF!</v>
      </c>
      <c r="FP28" s="25"/>
      <c r="FQ28" s="26"/>
      <c r="FR28" s="27"/>
      <c r="FS28" s="28"/>
      <c r="FT28" s="29"/>
      <c r="FU28" s="79">
        <f t="shared" si="8"/>
        <v>0</v>
      </c>
      <c r="FV28" s="80" t="e">
        <f>FU28*#REF!</f>
        <v>#REF!</v>
      </c>
      <c r="FW28" s="81" t="e">
        <f>FU28*#REF!</f>
        <v>#REF!</v>
      </c>
      <c r="FY28" s="25"/>
      <c r="FZ28" s="26"/>
      <c r="GA28" s="27"/>
      <c r="GB28" s="28"/>
      <c r="GC28" s="29"/>
      <c r="GD28" s="79">
        <f t="shared" si="9"/>
        <v>0</v>
      </c>
      <c r="GE28" s="80" t="e">
        <f>GD28*#REF!</f>
        <v>#REF!</v>
      </c>
      <c r="GF28" s="81" t="e">
        <f>GD28*#REF!</f>
        <v>#REF!</v>
      </c>
      <c r="GH28" s="25"/>
      <c r="GI28" s="26"/>
      <c r="GJ28" s="27"/>
      <c r="GK28" s="28"/>
      <c r="GL28" s="29"/>
      <c r="GM28" s="79">
        <f t="shared" si="10"/>
        <v>0</v>
      </c>
      <c r="GN28" s="80" t="e">
        <f>GM28*#REF!</f>
        <v>#REF!</v>
      </c>
      <c r="GO28" s="81" t="e">
        <f>GM28*#REF!</f>
        <v>#REF!</v>
      </c>
      <c r="GQ28" s="82">
        <f t="shared" si="11"/>
        <v>0</v>
      </c>
      <c r="GR28" s="83">
        <v>0</v>
      </c>
    </row>
    <row r="29" spans="2:200" ht="15">
      <c r="B29" s="22" t="s">
        <v>109</v>
      </c>
      <c r="C29" s="23" t="s">
        <v>59</v>
      </c>
      <c r="D29" s="24" t="str">
        <f>IF(C29="","",_xlfn.XLOOKUP(C29,'[1]Control Sheet'!$L$5:$L$104,'[1]Control Sheet'!$M$5:$M$104,"",0))</f>
        <v>Rides Operator</v>
      </c>
      <c r="E29" s="24" t="str">
        <f>IF(B29="","",_xlfn.XLOOKUP(B29,'[1]Control Sheet'!$D$5:$D$64,'[1]Control Sheet'!$F$5:$F$64,"",0))</f>
        <v>Rides</v>
      </c>
      <c r="F29" s="24" t="str">
        <f>IF(B29="","",_xlfn.XLOOKUP(B29,'[1]Control Sheet'!$D$5:$D$64,'[1]Control Sheet'!$E$5:$E$64,"",0))</f>
        <v>C1300-N</v>
      </c>
      <c r="I29" s="25">
        <v>0.45833333333333331</v>
      </c>
      <c r="J29" s="26">
        <v>0.625</v>
      </c>
      <c r="K29" s="27">
        <v>0</v>
      </c>
      <c r="L29" s="28">
        <v>2</v>
      </c>
      <c r="M29" s="29">
        <v>1</v>
      </c>
      <c r="P29" s="25">
        <v>0.45833333333333331</v>
      </c>
      <c r="Q29" s="26">
        <v>0.625</v>
      </c>
      <c r="R29" s="27">
        <v>0</v>
      </c>
      <c r="S29" s="28">
        <v>2</v>
      </c>
      <c r="T29" s="29">
        <v>1</v>
      </c>
      <c r="V29" s="25">
        <v>0.45833333333333331</v>
      </c>
      <c r="W29" s="26">
        <v>0.625</v>
      </c>
      <c r="X29" s="27">
        <v>0</v>
      </c>
      <c r="Y29" s="28">
        <v>2</v>
      </c>
      <c r="Z29" s="29">
        <v>1</v>
      </c>
      <c r="AB29" s="25">
        <v>0.45833333333333331</v>
      </c>
      <c r="AC29" s="26">
        <v>0.625</v>
      </c>
      <c r="AD29" s="27">
        <v>0</v>
      </c>
      <c r="AE29" s="28">
        <v>2</v>
      </c>
      <c r="AF29" s="29">
        <v>1</v>
      </c>
      <c r="AH29" s="25">
        <v>0.45833333333333331</v>
      </c>
      <c r="AI29" s="26">
        <v>0.625</v>
      </c>
      <c r="AJ29" s="27">
        <v>0</v>
      </c>
      <c r="AK29" s="28">
        <v>2</v>
      </c>
      <c r="AL29" s="29">
        <v>1</v>
      </c>
      <c r="AN29" s="25">
        <v>0.45833333333333331</v>
      </c>
      <c r="AO29" s="26">
        <v>0.625</v>
      </c>
      <c r="AP29" s="27">
        <v>0</v>
      </c>
      <c r="AQ29" s="28">
        <v>2</v>
      </c>
      <c r="AR29" s="29">
        <v>1</v>
      </c>
      <c r="AT29" s="25">
        <v>0.45833333333333331</v>
      </c>
      <c r="AU29" s="26">
        <v>0.625</v>
      </c>
      <c r="AV29" s="27">
        <v>0</v>
      </c>
      <c r="AW29" s="28">
        <v>2</v>
      </c>
      <c r="AX29" s="29">
        <v>1</v>
      </c>
      <c r="AZ29" s="25">
        <v>0.45833333333333331</v>
      </c>
      <c r="BA29" s="26">
        <v>0.625</v>
      </c>
      <c r="BB29" s="27">
        <v>0</v>
      </c>
      <c r="BC29" s="28">
        <v>2</v>
      </c>
      <c r="BD29" s="29">
        <v>1</v>
      </c>
      <c r="BF29" s="25">
        <v>0.45833333333333331</v>
      </c>
      <c r="BG29" s="26">
        <v>0.625</v>
      </c>
      <c r="BH29" s="27">
        <v>0</v>
      </c>
      <c r="BI29" s="28">
        <v>2</v>
      </c>
      <c r="BJ29" s="29">
        <v>1</v>
      </c>
      <c r="BL29" s="25">
        <v>0.45833333333333331</v>
      </c>
      <c r="BM29" s="26">
        <v>0.625</v>
      </c>
      <c r="BN29" s="27">
        <v>0</v>
      </c>
      <c r="BO29" s="28">
        <v>2</v>
      </c>
      <c r="BP29" s="29">
        <v>1</v>
      </c>
      <c r="BR29" s="25">
        <v>0.45833333333333331</v>
      </c>
      <c r="BS29" s="26">
        <v>0.625</v>
      </c>
      <c r="BT29" s="27">
        <v>0</v>
      </c>
      <c r="BU29" s="28">
        <v>1</v>
      </c>
      <c r="BV29" s="29">
        <v>1</v>
      </c>
      <c r="BX29" s="25">
        <v>0.45833333333333331</v>
      </c>
      <c r="BY29" s="26">
        <v>0.625</v>
      </c>
      <c r="BZ29" s="27">
        <v>0</v>
      </c>
      <c r="CA29" s="28">
        <v>1</v>
      </c>
      <c r="CB29" s="29">
        <v>1</v>
      </c>
      <c r="CD29" s="25">
        <v>0.45833333333333331</v>
      </c>
      <c r="CE29" s="26">
        <v>0.625</v>
      </c>
      <c r="CF29" s="27">
        <v>0</v>
      </c>
      <c r="CG29" s="28">
        <v>1</v>
      </c>
      <c r="CH29" s="29">
        <v>1</v>
      </c>
      <c r="CJ29" s="25">
        <v>0.45833333333333331</v>
      </c>
      <c r="CK29" s="26">
        <v>0.625</v>
      </c>
      <c r="CL29" s="27">
        <v>0</v>
      </c>
      <c r="CM29" s="28">
        <v>1</v>
      </c>
      <c r="CN29" s="29">
        <v>1</v>
      </c>
      <c r="CP29" s="25"/>
      <c r="CQ29" s="26"/>
      <c r="CR29" s="27"/>
      <c r="CS29" s="28"/>
      <c r="CT29" s="29"/>
      <c r="CV29" s="25"/>
      <c r="CW29" s="26"/>
      <c r="CX29" s="27"/>
      <c r="CY29" s="28"/>
      <c r="CZ29" s="29"/>
      <c r="DA29" s="79">
        <f t="shared" si="0"/>
        <v>0</v>
      </c>
      <c r="DB29" s="80" t="e">
        <f>DA29*#REF!</f>
        <v>#REF!</v>
      </c>
      <c r="DC29" s="81" t="e">
        <f>DA29*#REF!</f>
        <v>#REF!</v>
      </c>
      <c r="DE29" s="25"/>
      <c r="DF29" s="26"/>
      <c r="DG29" s="27"/>
      <c r="DH29" s="28"/>
      <c r="DI29" s="29"/>
      <c r="DJ29" s="79">
        <f t="shared" si="1"/>
        <v>0</v>
      </c>
      <c r="DK29" s="80" t="e">
        <f>DJ29*#REF!</f>
        <v>#REF!</v>
      </c>
      <c r="DL29" s="81" t="e">
        <f>DJ29*#REF!</f>
        <v>#REF!</v>
      </c>
      <c r="DN29" s="25"/>
      <c r="DO29" s="26"/>
      <c r="DP29" s="27"/>
      <c r="DQ29" s="28"/>
      <c r="DR29" s="29"/>
      <c r="DS29" s="79">
        <f t="shared" si="2"/>
        <v>0</v>
      </c>
      <c r="DT29" s="80" t="e">
        <f>DS29*#REF!</f>
        <v>#REF!</v>
      </c>
      <c r="DU29" s="81" t="e">
        <f>DS29*#REF!</f>
        <v>#REF!</v>
      </c>
      <c r="DW29" s="25"/>
      <c r="DX29" s="26"/>
      <c r="DY29" s="27"/>
      <c r="DZ29" s="28"/>
      <c r="EA29" s="29"/>
      <c r="EB29" s="79">
        <f t="shared" si="3"/>
        <v>0</v>
      </c>
      <c r="EC29" s="80" t="e">
        <f>EB29*#REF!</f>
        <v>#REF!</v>
      </c>
      <c r="ED29" s="81" t="e">
        <f>EB29*#REF!</f>
        <v>#REF!</v>
      </c>
      <c r="EF29" s="25"/>
      <c r="EG29" s="26"/>
      <c r="EH29" s="27"/>
      <c r="EI29" s="28"/>
      <c r="EJ29" s="29"/>
      <c r="EK29" s="79">
        <f t="shared" si="4"/>
        <v>0</v>
      </c>
      <c r="EL29" s="80" t="e">
        <f>EK29*#REF!</f>
        <v>#REF!</v>
      </c>
      <c r="EM29" s="81" t="e">
        <f>EK29*#REF!</f>
        <v>#REF!</v>
      </c>
      <c r="EO29" s="25"/>
      <c r="EP29" s="26"/>
      <c r="EQ29" s="27"/>
      <c r="ER29" s="28"/>
      <c r="ES29" s="29"/>
      <c r="ET29" s="79">
        <f t="shared" si="5"/>
        <v>0</v>
      </c>
      <c r="EU29" s="80" t="e">
        <f>ET29*#REF!</f>
        <v>#REF!</v>
      </c>
      <c r="EV29" s="81" t="e">
        <f>ET29*#REF!</f>
        <v>#REF!</v>
      </c>
      <c r="EX29" s="25"/>
      <c r="EY29" s="26"/>
      <c r="EZ29" s="27"/>
      <c r="FA29" s="28"/>
      <c r="FB29" s="29"/>
      <c r="FC29" s="79">
        <f t="shared" si="6"/>
        <v>0</v>
      </c>
      <c r="FD29" s="80" t="e">
        <f>FC29*#REF!</f>
        <v>#REF!</v>
      </c>
      <c r="FE29" s="81" t="e">
        <f>FC29*#REF!</f>
        <v>#REF!</v>
      </c>
      <c r="FG29" s="25"/>
      <c r="FH29" s="26"/>
      <c r="FI29" s="27"/>
      <c r="FJ29" s="28"/>
      <c r="FK29" s="29"/>
      <c r="FL29" s="79">
        <f t="shared" si="7"/>
        <v>0</v>
      </c>
      <c r="FM29" s="80" t="e">
        <f>FL29*#REF!</f>
        <v>#REF!</v>
      </c>
      <c r="FN29" s="81" t="e">
        <f>FL29*#REF!</f>
        <v>#REF!</v>
      </c>
      <c r="FP29" s="25"/>
      <c r="FQ29" s="26"/>
      <c r="FR29" s="27"/>
      <c r="FS29" s="28"/>
      <c r="FT29" s="29"/>
      <c r="FU29" s="79">
        <f t="shared" si="8"/>
        <v>0</v>
      </c>
      <c r="FV29" s="80" t="e">
        <f>FU29*#REF!</f>
        <v>#REF!</v>
      </c>
      <c r="FW29" s="81" t="e">
        <f>FU29*#REF!</f>
        <v>#REF!</v>
      </c>
      <c r="FY29" s="25"/>
      <c r="FZ29" s="26"/>
      <c r="GA29" s="27"/>
      <c r="GB29" s="28"/>
      <c r="GC29" s="29"/>
      <c r="GD29" s="79">
        <f t="shared" si="9"/>
        <v>0</v>
      </c>
      <c r="GE29" s="80" t="e">
        <f>GD29*#REF!</f>
        <v>#REF!</v>
      </c>
      <c r="GF29" s="81" t="e">
        <f>GD29*#REF!</f>
        <v>#REF!</v>
      </c>
      <c r="GH29" s="25"/>
      <c r="GI29" s="26"/>
      <c r="GJ29" s="27"/>
      <c r="GK29" s="28"/>
      <c r="GL29" s="29"/>
      <c r="GM29" s="79">
        <f t="shared" si="10"/>
        <v>0</v>
      </c>
      <c r="GN29" s="80" t="e">
        <f>GM29*#REF!</f>
        <v>#REF!</v>
      </c>
      <c r="GO29" s="81" t="e">
        <f>GM29*#REF!</f>
        <v>#REF!</v>
      </c>
      <c r="GQ29" s="82">
        <f t="shared" si="11"/>
        <v>2</v>
      </c>
      <c r="GR29" s="83">
        <v>2</v>
      </c>
    </row>
    <row r="30" spans="2:200" ht="15">
      <c r="B30" s="22" t="s">
        <v>109</v>
      </c>
      <c r="C30" s="23" t="s">
        <v>60</v>
      </c>
      <c r="D30" s="24" t="str">
        <f>IF(C30="","",_xlfn.XLOOKUP(C30,'[1]Control Sheet'!$L$5:$L$104,'[1]Control Sheet'!$M$5:$M$104,"",0))</f>
        <v>Rides Attendant</v>
      </c>
      <c r="E30" s="24" t="str">
        <f>IF(B30="","",_xlfn.XLOOKUP(B30,'[1]Control Sheet'!$D$5:$D$64,'[1]Control Sheet'!$F$5:$F$64,"",0))</f>
        <v>Rides</v>
      </c>
      <c r="F30" s="24" t="str">
        <f>IF(B30="","",_xlfn.XLOOKUP(B30,'[1]Control Sheet'!$D$5:$D$64,'[1]Control Sheet'!$E$5:$E$64,"",0))</f>
        <v>C1300-N</v>
      </c>
      <c r="I30" s="25">
        <v>0.45833333333333331</v>
      </c>
      <c r="J30" s="26">
        <v>0.625</v>
      </c>
      <c r="K30" s="27">
        <v>0</v>
      </c>
      <c r="L30" s="28">
        <v>1</v>
      </c>
      <c r="M30" s="29">
        <v>1</v>
      </c>
      <c r="P30" s="25">
        <v>0.45833333333333331</v>
      </c>
      <c r="Q30" s="26">
        <v>0.625</v>
      </c>
      <c r="R30" s="27">
        <v>0</v>
      </c>
      <c r="S30" s="28">
        <v>1</v>
      </c>
      <c r="T30" s="29">
        <v>1</v>
      </c>
      <c r="V30" s="25">
        <v>0.45833333333333331</v>
      </c>
      <c r="W30" s="26">
        <v>0.625</v>
      </c>
      <c r="X30" s="27">
        <v>0</v>
      </c>
      <c r="Y30" s="28">
        <v>1</v>
      </c>
      <c r="Z30" s="29">
        <v>1</v>
      </c>
      <c r="AB30" s="25">
        <v>0.45833333333333331</v>
      </c>
      <c r="AC30" s="26">
        <v>0.625</v>
      </c>
      <c r="AD30" s="27">
        <v>0</v>
      </c>
      <c r="AE30" s="28">
        <v>1</v>
      </c>
      <c r="AF30" s="29">
        <v>1</v>
      </c>
      <c r="AH30" s="25">
        <v>0.45833333333333331</v>
      </c>
      <c r="AI30" s="26">
        <v>0.625</v>
      </c>
      <c r="AJ30" s="27">
        <v>0</v>
      </c>
      <c r="AK30" s="28">
        <v>1</v>
      </c>
      <c r="AL30" s="29">
        <v>1</v>
      </c>
      <c r="AN30" s="25">
        <v>0.45833333333333331</v>
      </c>
      <c r="AO30" s="26">
        <v>0.625</v>
      </c>
      <c r="AP30" s="27">
        <v>0</v>
      </c>
      <c r="AQ30" s="28">
        <v>1</v>
      </c>
      <c r="AR30" s="29">
        <v>1</v>
      </c>
      <c r="AT30" s="25">
        <v>0.45833333333333331</v>
      </c>
      <c r="AU30" s="26">
        <v>0.625</v>
      </c>
      <c r="AV30" s="27">
        <v>0</v>
      </c>
      <c r="AW30" s="28">
        <v>1</v>
      </c>
      <c r="AX30" s="29">
        <v>1</v>
      </c>
      <c r="AZ30" s="25">
        <v>0.45833333333333331</v>
      </c>
      <c r="BA30" s="26">
        <v>0.625</v>
      </c>
      <c r="BB30" s="27">
        <v>0</v>
      </c>
      <c r="BC30" s="28">
        <v>1</v>
      </c>
      <c r="BD30" s="29">
        <v>1</v>
      </c>
      <c r="BF30" s="25">
        <v>0.45833333333333331</v>
      </c>
      <c r="BG30" s="26">
        <v>0.625</v>
      </c>
      <c r="BH30" s="27">
        <v>0</v>
      </c>
      <c r="BI30" s="28">
        <v>1</v>
      </c>
      <c r="BJ30" s="29">
        <v>1</v>
      </c>
      <c r="BL30" s="25">
        <v>0.45833333333333331</v>
      </c>
      <c r="BM30" s="26">
        <v>0.625</v>
      </c>
      <c r="BN30" s="27">
        <v>0</v>
      </c>
      <c r="BO30" s="28">
        <v>1</v>
      </c>
      <c r="BP30" s="29">
        <v>1</v>
      </c>
      <c r="BR30" s="25">
        <v>0.45833333333333331</v>
      </c>
      <c r="BS30" s="26">
        <v>0.625</v>
      </c>
      <c r="BT30" s="27">
        <v>0</v>
      </c>
      <c r="BU30" s="28">
        <v>1</v>
      </c>
      <c r="BV30" s="29">
        <v>1</v>
      </c>
      <c r="BX30" s="25">
        <v>0.45833333333333331</v>
      </c>
      <c r="BY30" s="26">
        <v>0.625</v>
      </c>
      <c r="BZ30" s="27">
        <v>0</v>
      </c>
      <c r="CA30" s="28">
        <v>1</v>
      </c>
      <c r="CB30" s="29">
        <v>1</v>
      </c>
      <c r="CD30" s="25">
        <v>0.45833333333333331</v>
      </c>
      <c r="CE30" s="26">
        <v>0.625</v>
      </c>
      <c r="CF30" s="27">
        <v>0</v>
      </c>
      <c r="CG30" s="28">
        <v>1</v>
      </c>
      <c r="CH30" s="29">
        <v>1</v>
      </c>
      <c r="CJ30" s="25">
        <v>0.45833333333333331</v>
      </c>
      <c r="CK30" s="26">
        <v>0.625</v>
      </c>
      <c r="CL30" s="27">
        <v>0</v>
      </c>
      <c r="CM30" s="28">
        <v>1</v>
      </c>
      <c r="CN30" s="29">
        <v>1</v>
      </c>
      <c r="CP30" s="25"/>
      <c r="CQ30" s="26"/>
      <c r="CR30" s="27"/>
      <c r="CS30" s="28"/>
      <c r="CT30" s="29"/>
      <c r="CV30" s="25"/>
      <c r="CW30" s="26"/>
      <c r="CX30" s="27"/>
      <c r="CY30" s="28"/>
      <c r="CZ30" s="29"/>
      <c r="DA30" s="79">
        <f t="shared" si="0"/>
        <v>0</v>
      </c>
      <c r="DB30" s="80" t="e">
        <f>DA30*#REF!</f>
        <v>#REF!</v>
      </c>
      <c r="DC30" s="81" t="e">
        <f>DA30*#REF!</f>
        <v>#REF!</v>
      </c>
      <c r="DE30" s="25"/>
      <c r="DF30" s="26"/>
      <c r="DG30" s="27"/>
      <c r="DH30" s="28"/>
      <c r="DI30" s="29"/>
      <c r="DJ30" s="79">
        <f t="shared" si="1"/>
        <v>0</v>
      </c>
      <c r="DK30" s="80" t="e">
        <f>DJ30*#REF!</f>
        <v>#REF!</v>
      </c>
      <c r="DL30" s="81" t="e">
        <f>DJ30*#REF!</f>
        <v>#REF!</v>
      </c>
      <c r="DN30" s="25"/>
      <c r="DO30" s="26"/>
      <c r="DP30" s="27"/>
      <c r="DQ30" s="28"/>
      <c r="DR30" s="29"/>
      <c r="DS30" s="79">
        <f t="shared" si="2"/>
        <v>0</v>
      </c>
      <c r="DT30" s="80" t="e">
        <f>DS30*#REF!</f>
        <v>#REF!</v>
      </c>
      <c r="DU30" s="81" t="e">
        <f>DS30*#REF!</f>
        <v>#REF!</v>
      </c>
      <c r="DW30" s="25"/>
      <c r="DX30" s="26"/>
      <c r="DY30" s="27"/>
      <c r="DZ30" s="28"/>
      <c r="EA30" s="29"/>
      <c r="EB30" s="79">
        <f t="shared" si="3"/>
        <v>0</v>
      </c>
      <c r="EC30" s="80" t="e">
        <f>EB30*#REF!</f>
        <v>#REF!</v>
      </c>
      <c r="ED30" s="81" t="e">
        <f>EB30*#REF!</f>
        <v>#REF!</v>
      </c>
      <c r="EF30" s="25"/>
      <c r="EG30" s="26"/>
      <c r="EH30" s="27"/>
      <c r="EI30" s="28"/>
      <c r="EJ30" s="29"/>
      <c r="EK30" s="79">
        <f t="shared" si="4"/>
        <v>0</v>
      </c>
      <c r="EL30" s="80" t="e">
        <f>EK30*#REF!</f>
        <v>#REF!</v>
      </c>
      <c r="EM30" s="81" t="e">
        <f>EK30*#REF!</f>
        <v>#REF!</v>
      </c>
      <c r="EO30" s="25"/>
      <c r="EP30" s="26"/>
      <c r="EQ30" s="27"/>
      <c r="ER30" s="28"/>
      <c r="ES30" s="29"/>
      <c r="ET30" s="79">
        <f t="shared" si="5"/>
        <v>0</v>
      </c>
      <c r="EU30" s="80" t="e">
        <f>ET30*#REF!</f>
        <v>#REF!</v>
      </c>
      <c r="EV30" s="81" t="e">
        <f>ET30*#REF!</f>
        <v>#REF!</v>
      </c>
      <c r="EX30" s="25"/>
      <c r="EY30" s="26"/>
      <c r="EZ30" s="27"/>
      <c r="FA30" s="28"/>
      <c r="FB30" s="29"/>
      <c r="FC30" s="79">
        <f t="shared" si="6"/>
        <v>0</v>
      </c>
      <c r="FD30" s="80" t="e">
        <f>FC30*#REF!</f>
        <v>#REF!</v>
      </c>
      <c r="FE30" s="81" t="e">
        <f>FC30*#REF!</f>
        <v>#REF!</v>
      </c>
      <c r="FG30" s="25"/>
      <c r="FH30" s="26"/>
      <c r="FI30" s="27"/>
      <c r="FJ30" s="28"/>
      <c r="FK30" s="29"/>
      <c r="FL30" s="79">
        <f t="shared" si="7"/>
        <v>0</v>
      </c>
      <c r="FM30" s="80" t="e">
        <f>FL30*#REF!</f>
        <v>#REF!</v>
      </c>
      <c r="FN30" s="81" t="e">
        <f>FL30*#REF!</f>
        <v>#REF!</v>
      </c>
      <c r="FP30" s="25"/>
      <c r="FQ30" s="26"/>
      <c r="FR30" s="27"/>
      <c r="FS30" s="28"/>
      <c r="FT30" s="29"/>
      <c r="FU30" s="79">
        <f t="shared" si="8"/>
        <v>0</v>
      </c>
      <c r="FV30" s="80" t="e">
        <f>FU30*#REF!</f>
        <v>#REF!</v>
      </c>
      <c r="FW30" s="81" t="e">
        <f>FU30*#REF!</f>
        <v>#REF!</v>
      </c>
      <c r="FY30" s="25"/>
      <c r="FZ30" s="26"/>
      <c r="GA30" s="27"/>
      <c r="GB30" s="28"/>
      <c r="GC30" s="29"/>
      <c r="GD30" s="79">
        <f t="shared" si="9"/>
        <v>0</v>
      </c>
      <c r="GE30" s="80" t="e">
        <f>GD30*#REF!</f>
        <v>#REF!</v>
      </c>
      <c r="GF30" s="81" t="e">
        <f>GD30*#REF!</f>
        <v>#REF!</v>
      </c>
      <c r="GH30" s="25"/>
      <c r="GI30" s="26"/>
      <c r="GJ30" s="27"/>
      <c r="GK30" s="28"/>
      <c r="GL30" s="29"/>
      <c r="GM30" s="79">
        <f t="shared" si="10"/>
        <v>0</v>
      </c>
      <c r="GN30" s="80" t="e">
        <f>GM30*#REF!</f>
        <v>#REF!</v>
      </c>
      <c r="GO30" s="81" t="e">
        <f>GM30*#REF!</f>
        <v>#REF!</v>
      </c>
      <c r="GQ30" s="82">
        <f t="shared" si="11"/>
        <v>1</v>
      </c>
      <c r="GR30" s="83">
        <v>1</v>
      </c>
    </row>
    <row r="31" spans="2:200" ht="15">
      <c r="B31" s="22"/>
      <c r="C31" s="23"/>
      <c r="D31" s="24" t="str">
        <f>IF(C31="","",_xlfn.XLOOKUP(C31,'[1]Control Sheet'!$L$5:$L$104,'[1]Control Sheet'!$M$5:$M$104,"",0))</f>
        <v/>
      </c>
      <c r="E31" s="24" t="str">
        <f>IF(B31="","",_xlfn.XLOOKUP(B31,'[1]Control Sheet'!$D$5:$D$64,'[1]Control Sheet'!$F$5:$F$64,"",0))</f>
        <v/>
      </c>
      <c r="F31" s="24" t="str">
        <f>IF(B31="","",_xlfn.XLOOKUP(B31,'[1]Control Sheet'!$D$5:$D$64,'[1]Control Sheet'!$E$5:$E$64,"",0))</f>
        <v/>
      </c>
      <c r="I31" s="25"/>
      <c r="J31" s="26"/>
      <c r="K31" s="27"/>
      <c r="L31" s="28"/>
      <c r="M31" s="29"/>
      <c r="P31" s="25"/>
      <c r="Q31" s="26"/>
      <c r="R31" s="27"/>
      <c r="S31" s="28"/>
      <c r="T31" s="29"/>
      <c r="V31" s="25"/>
      <c r="W31" s="26"/>
      <c r="X31" s="27"/>
      <c r="Y31" s="28"/>
      <c r="Z31" s="29"/>
      <c r="AB31" s="25"/>
      <c r="AC31" s="26"/>
      <c r="AD31" s="27"/>
      <c r="AE31" s="28"/>
      <c r="AF31" s="29"/>
      <c r="AH31" s="25"/>
      <c r="AI31" s="26"/>
      <c r="AJ31" s="27"/>
      <c r="AK31" s="28"/>
      <c r="AL31" s="29"/>
      <c r="AN31" s="25"/>
      <c r="AO31" s="26"/>
      <c r="AP31" s="27"/>
      <c r="AQ31" s="28"/>
      <c r="AR31" s="29"/>
      <c r="AT31" s="25"/>
      <c r="AU31" s="26"/>
      <c r="AV31" s="27"/>
      <c r="AW31" s="28"/>
      <c r="AX31" s="29"/>
      <c r="AZ31" s="25"/>
      <c r="BA31" s="26"/>
      <c r="BB31" s="27"/>
      <c r="BC31" s="28"/>
      <c r="BD31" s="29"/>
      <c r="BF31" s="25"/>
      <c r="BG31" s="26"/>
      <c r="BH31" s="27"/>
      <c r="BI31" s="28"/>
      <c r="BJ31" s="29"/>
      <c r="BL31" s="25"/>
      <c r="BM31" s="26"/>
      <c r="BN31" s="27"/>
      <c r="BO31" s="28"/>
      <c r="BP31" s="29"/>
      <c r="BR31" s="25"/>
      <c r="BS31" s="26"/>
      <c r="BT31" s="27"/>
      <c r="BU31" s="28"/>
      <c r="BV31" s="29"/>
      <c r="BX31" s="25"/>
      <c r="BY31" s="26"/>
      <c r="BZ31" s="27"/>
      <c r="CA31" s="28"/>
      <c r="CB31" s="29"/>
      <c r="CD31" s="25"/>
      <c r="CE31" s="26"/>
      <c r="CF31" s="27"/>
      <c r="CG31" s="28"/>
      <c r="CH31" s="29"/>
      <c r="CJ31" s="25"/>
      <c r="CK31" s="26"/>
      <c r="CL31" s="27"/>
      <c r="CM31" s="28"/>
      <c r="CN31" s="29"/>
      <c r="CP31" s="25"/>
      <c r="CQ31" s="26"/>
      <c r="CR31" s="27"/>
      <c r="CS31" s="28"/>
      <c r="CT31" s="29"/>
      <c r="CV31" s="25"/>
      <c r="CW31" s="26"/>
      <c r="CX31" s="27"/>
      <c r="CY31" s="28"/>
      <c r="CZ31" s="29"/>
      <c r="DA31" s="79">
        <f t="shared" si="0"/>
        <v>0</v>
      </c>
      <c r="DB31" s="80" t="e">
        <f>DA31*#REF!</f>
        <v>#REF!</v>
      </c>
      <c r="DC31" s="81" t="e">
        <f>DA31*#REF!</f>
        <v>#REF!</v>
      </c>
      <c r="DE31" s="25"/>
      <c r="DF31" s="26"/>
      <c r="DG31" s="27"/>
      <c r="DH31" s="28"/>
      <c r="DI31" s="29"/>
      <c r="DJ31" s="79">
        <f t="shared" si="1"/>
        <v>0</v>
      </c>
      <c r="DK31" s="80" t="e">
        <f>DJ31*#REF!</f>
        <v>#REF!</v>
      </c>
      <c r="DL31" s="81" t="e">
        <f>DJ31*#REF!</f>
        <v>#REF!</v>
      </c>
      <c r="DN31" s="25"/>
      <c r="DO31" s="26"/>
      <c r="DP31" s="27"/>
      <c r="DQ31" s="28"/>
      <c r="DR31" s="29"/>
      <c r="DS31" s="79">
        <f t="shared" si="2"/>
        <v>0</v>
      </c>
      <c r="DT31" s="80" t="e">
        <f>DS31*#REF!</f>
        <v>#REF!</v>
      </c>
      <c r="DU31" s="81" t="e">
        <f>DS31*#REF!</f>
        <v>#REF!</v>
      </c>
      <c r="DW31" s="25"/>
      <c r="DX31" s="26"/>
      <c r="DY31" s="27"/>
      <c r="DZ31" s="28"/>
      <c r="EA31" s="29"/>
      <c r="EB31" s="79">
        <f t="shared" si="3"/>
        <v>0</v>
      </c>
      <c r="EC31" s="80" t="e">
        <f>EB31*#REF!</f>
        <v>#REF!</v>
      </c>
      <c r="ED31" s="81" t="e">
        <f>EB31*#REF!</f>
        <v>#REF!</v>
      </c>
      <c r="EF31" s="25"/>
      <c r="EG31" s="26"/>
      <c r="EH31" s="27"/>
      <c r="EI31" s="28"/>
      <c r="EJ31" s="29"/>
      <c r="EK31" s="79">
        <f t="shared" si="4"/>
        <v>0</v>
      </c>
      <c r="EL31" s="80" t="e">
        <f>EK31*#REF!</f>
        <v>#REF!</v>
      </c>
      <c r="EM31" s="81" t="e">
        <f>EK31*#REF!</f>
        <v>#REF!</v>
      </c>
      <c r="EO31" s="25"/>
      <c r="EP31" s="26"/>
      <c r="EQ31" s="27"/>
      <c r="ER31" s="28"/>
      <c r="ES31" s="29"/>
      <c r="ET31" s="79">
        <f t="shared" si="5"/>
        <v>0</v>
      </c>
      <c r="EU31" s="80" t="e">
        <f>ET31*#REF!</f>
        <v>#REF!</v>
      </c>
      <c r="EV31" s="81" t="e">
        <f>ET31*#REF!</f>
        <v>#REF!</v>
      </c>
      <c r="EX31" s="25"/>
      <c r="EY31" s="26"/>
      <c r="EZ31" s="27"/>
      <c r="FA31" s="28"/>
      <c r="FB31" s="29"/>
      <c r="FC31" s="79">
        <f t="shared" si="6"/>
        <v>0</v>
      </c>
      <c r="FD31" s="80" t="e">
        <f>FC31*#REF!</f>
        <v>#REF!</v>
      </c>
      <c r="FE31" s="81" t="e">
        <f>FC31*#REF!</f>
        <v>#REF!</v>
      </c>
      <c r="FG31" s="25"/>
      <c r="FH31" s="26"/>
      <c r="FI31" s="27"/>
      <c r="FJ31" s="28"/>
      <c r="FK31" s="29"/>
      <c r="FL31" s="79">
        <f t="shared" si="7"/>
        <v>0</v>
      </c>
      <c r="FM31" s="80" t="e">
        <f>FL31*#REF!</f>
        <v>#REF!</v>
      </c>
      <c r="FN31" s="81" t="e">
        <f>FL31*#REF!</f>
        <v>#REF!</v>
      </c>
      <c r="FP31" s="25"/>
      <c r="FQ31" s="26"/>
      <c r="FR31" s="27"/>
      <c r="FS31" s="28"/>
      <c r="FT31" s="29"/>
      <c r="FU31" s="79">
        <f t="shared" si="8"/>
        <v>0</v>
      </c>
      <c r="FV31" s="80" t="e">
        <f>FU31*#REF!</f>
        <v>#REF!</v>
      </c>
      <c r="FW31" s="81" t="e">
        <f>FU31*#REF!</f>
        <v>#REF!</v>
      </c>
      <c r="FY31" s="25"/>
      <c r="FZ31" s="26"/>
      <c r="GA31" s="27"/>
      <c r="GB31" s="28"/>
      <c r="GC31" s="29"/>
      <c r="GD31" s="79">
        <f t="shared" si="9"/>
        <v>0</v>
      </c>
      <c r="GE31" s="80" t="e">
        <f>GD31*#REF!</f>
        <v>#REF!</v>
      </c>
      <c r="GF31" s="81" t="e">
        <f>GD31*#REF!</f>
        <v>#REF!</v>
      </c>
      <c r="GH31" s="25"/>
      <c r="GI31" s="26"/>
      <c r="GJ31" s="27"/>
      <c r="GK31" s="28"/>
      <c r="GL31" s="29"/>
      <c r="GM31" s="79">
        <f t="shared" si="10"/>
        <v>0</v>
      </c>
      <c r="GN31" s="80" t="e">
        <f>GM31*#REF!</f>
        <v>#REF!</v>
      </c>
      <c r="GO31" s="81" t="e">
        <f>GM31*#REF!</f>
        <v>#REF!</v>
      </c>
      <c r="GQ31" s="82">
        <f t="shared" si="11"/>
        <v>0</v>
      </c>
      <c r="GR31" s="83">
        <v>0</v>
      </c>
    </row>
    <row r="32" spans="2:200" ht="15">
      <c r="B32" s="22" t="s">
        <v>61</v>
      </c>
      <c r="C32" s="23" t="s">
        <v>62</v>
      </c>
      <c r="D32" s="24" t="str">
        <f>IF(C32="","",_xlfn.XLOOKUP(C32,'[1]Control Sheet'!$L$5:$L$104,'[1]Control Sheet'!$M$5:$M$104,"",0))</f>
        <v>Car_Parks_Host</v>
      </c>
      <c r="E32" s="24" t="str">
        <f>IF(B32="","",_xlfn.XLOOKUP(B32,'[1]Control Sheet'!$D$5:$D$64,'[1]Control Sheet'!$F$5:$F$64,"",0))</f>
        <v>Car Parks</v>
      </c>
      <c r="F32" s="24" t="str">
        <f>IF(B32="","",_xlfn.XLOOKUP(B32,'[1]Control Sheet'!$D$5:$D$64,'[1]Control Sheet'!$E$5:$E$64,"",0))</f>
        <v>C1460-N</v>
      </c>
      <c r="I32" s="25"/>
      <c r="J32" s="26"/>
      <c r="K32" s="27"/>
      <c r="L32" s="28"/>
      <c r="M32" s="29"/>
      <c r="P32" s="25">
        <v>0.38541666666666669</v>
      </c>
      <c r="Q32" s="26">
        <v>0.75</v>
      </c>
      <c r="R32" s="27">
        <v>45</v>
      </c>
      <c r="S32" s="28">
        <v>1</v>
      </c>
      <c r="T32" s="29">
        <v>1</v>
      </c>
      <c r="V32" s="25">
        <v>0.38541666666666669</v>
      </c>
      <c r="W32" s="26">
        <v>0.75</v>
      </c>
      <c r="X32" s="27">
        <v>45</v>
      </c>
      <c r="Y32" s="28">
        <v>1</v>
      </c>
      <c r="Z32" s="29">
        <v>1</v>
      </c>
      <c r="AB32" s="25">
        <v>0.35416666666666669</v>
      </c>
      <c r="AC32" s="26">
        <v>0.75</v>
      </c>
      <c r="AD32" s="27">
        <v>45</v>
      </c>
      <c r="AE32" s="28">
        <v>1</v>
      </c>
      <c r="AF32" s="29">
        <v>1</v>
      </c>
      <c r="AH32" s="25">
        <v>0.35416666666666669</v>
      </c>
      <c r="AI32" s="26">
        <v>0.75</v>
      </c>
      <c r="AJ32" s="27">
        <v>45</v>
      </c>
      <c r="AK32" s="28">
        <v>1</v>
      </c>
      <c r="AL32" s="29">
        <v>1</v>
      </c>
      <c r="AN32" s="25">
        <v>0.35416666666666669</v>
      </c>
      <c r="AO32" s="26">
        <v>0.58333333333333337</v>
      </c>
      <c r="AP32" s="27">
        <v>45</v>
      </c>
      <c r="AQ32" s="28">
        <v>1</v>
      </c>
      <c r="AR32" s="29">
        <v>1</v>
      </c>
      <c r="AT32" s="25">
        <v>0.35416666666666669</v>
      </c>
      <c r="AU32" s="26">
        <v>0.75</v>
      </c>
      <c r="AV32" s="27">
        <v>45</v>
      </c>
      <c r="AW32" s="28">
        <v>1</v>
      </c>
      <c r="AX32" s="29">
        <v>1</v>
      </c>
      <c r="AZ32" s="25">
        <v>0.35416666666666669</v>
      </c>
      <c r="BA32" s="26">
        <v>0.58333333333333337</v>
      </c>
      <c r="BB32" s="27">
        <v>45</v>
      </c>
      <c r="BC32" s="28">
        <v>1</v>
      </c>
      <c r="BD32" s="29">
        <v>1</v>
      </c>
      <c r="BF32" s="25">
        <v>0.35416666666666669</v>
      </c>
      <c r="BG32" s="26">
        <v>0.58333333333333337</v>
      </c>
      <c r="BH32" s="27">
        <v>45</v>
      </c>
      <c r="BI32" s="28">
        <v>1</v>
      </c>
      <c r="BJ32" s="29">
        <v>1</v>
      </c>
      <c r="BL32" s="25">
        <v>0.35416666666666669</v>
      </c>
      <c r="BM32" s="26">
        <v>0.70833333333333337</v>
      </c>
      <c r="BN32" s="27">
        <v>45</v>
      </c>
      <c r="BO32" s="28">
        <v>1</v>
      </c>
      <c r="BP32" s="29">
        <v>1</v>
      </c>
      <c r="BR32" s="25">
        <v>0.35416666666666669</v>
      </c>
      <c r="BS32" s="26">
        <v>0.66666666666666663</v>
      </c>
      <c r="BT32" s="27">
        <v>45</v>
      </c>
      <c r="BU32" s="28">
        <v>1</v>
      </c>
      <c r="BV32" s="29">
        <v>1</v>
      </c>
      <c r="BX32" s="25">
        <v>0.35416666666666669</v>
      </c>
      <c r="BY32" s="26">
        <v>0.75</v>
      </c>
      <c r="BZ32" s="27">
        <v>45</v>
      </c>
      <c r="CA32" s="28">
        <v>1</v>
      </c>
      <c r="CB32" s="29">
        <v>1</v>
      </c>
      <c r="CD32" s="25">
        <v>0.35416666666666669</v>
      </c>
      <c r="CE32" s="26">
        <v>0.58333333333333337</v>
      </c>
      <c r="CF32" s="27">
        <v>45</v>
      </c>
      <c r="CG32" s="28">
        <v>1</v>
      </c>
      <c r="CH32" s="29">
        <v>1</v>
      </c>
      <c r="CJ32" s="25"/>
      <c r="CK32" s="26"/>
      <c r="CL32" s="27"/>
      <c r="CM32" s="28"/>
      <c r="CN32" s="29"/>
      <c r="CP32" s="25"/>
      <c r="CQ32" s="26"/>
      <c r="CR32" s="27"/>
      <c r="CS32" s="28"/>
      <c r="CT32" s="29"/>
      <c r="CV32" s="25"/>
      <c r="CW32" s="26"/>
      <c r="CX32" s="27"/>
      <c r="CY32" s="28"/>
      <c r="CZ32" s="29"/>
      <c r="DA32" s="79">
        <f t="shared" si="0"/>
        <v>0</v>
      </c>
      <c r="DB32" s="80" t="e">
        <f>DA32*#REF!</f>
        <v>#REF!</v>
      </c>
      <c r="DC32" s="81" t="e">
        <f>DA32*#REF!</f>
        <v>#REF!</v>
      </c>
      <c r="DE32" s="25"/>
      <c r="DF32" s="26"/>
      <c r="DG32" s="27"/>
      <c r="DH32" s="28"/>
      <c r="DI32" s="29"/>
      <c r="DJ32" s="79">
        <f t="shared" si="1"/>
        <v>0</v>
      </c>
      <c r="DK32" s="80" t="e">
        <f>DJ32*#REF!</f>
        <v>#REF!</v>
      </c>
      <c r="DL32" s="81" t="e">
        <f>DJ32*#REF!</f>
        <v>#REF!</v>
      </c>
      <c r="DN32" s="25"/>
      <c r="DO32" s="26"/>
      <c r="DP32" s="27"/>
      <c r="DQ32" s="28"/>
      <c r="DR32" s="29"/>
      <c r="DS32" s="79">
        <f t="shared" si="2"/>
        <v>0</v>
      </c>
      <c r="DT32" s="80" t="e">
        <f>DS32*#REF!</f>
        <v>#REF!</v>
      </c>
      <c r="DU32" s="81" t="e">
        <f>DS32*#REF!</f>
        <v>#REF!</v>
      </c>
      <c r="DW32" s="25"/>
      <c r="DX32" s="26"/>
      <c r="DY32" s="27"/>
      <c r="DZ32" s="28"/>
      <c r="EA32" s="29"/>
      <c r="EB32" s="79">
        <f t="shared" si="3"/>
        <v>0</v>
      </c>
      <c r="EC32" s="80" t="e">
        <f>EB32*#REF!</f>
        <v>#REF!</v>
      </c>
      <c r="ED32" s="81" t="e">
        <f>EB32*#REF!</f>
        <v>#REF!</v>
      </c>
      <c r="EF32" s="25"/>
      <c r="EG32" s="26"/>
      <c r="EH32" s="27"/>
      <c r="EI32" s="28"/>
      <c r="EJ32" s="29"/>
      <c r="EK32" s="79">
        <f t="shared" si="4"/>
        <v>0</v>
      </c>
      <c r="EL32" s="80" t="e">
        <f>EK32*#REF!</f>
        <v>#REF!</v>
      </c>
      <c r="EM32" s="81" t="e">
        <f>EK32*#REF!</f>
        <v>#REF!</v>
      </c>
      <c r="EO32" s="25"/>
      <c r="EP32" s="26"/>
      <c r="EQ32" s="27"/>
      <c r="ER32" s="28"/>
      <c r="ES32" s="29"/>
      <c r="ET32" s="79">
        <f t="shared" si="5"/>
        <v>0</v>
      </c>
      <c r="EU32" s="80" t="e">
        <f>ET32*#REF!</f>
        <v>#REF!</v>
      </c>
      <c r="EV32" s="81" t="e">
        <f>ET32*#REF!</f>
        <v>#REF!</v>
      </c>
      <c r="EX32" s="25"/>
      <c r="EY32" s="26"/>
      <c r="EZ32" s="27"/>
      <c r="FA32" s="28"/>
      <c r="FB32" s="29"/>
      <c r="FC32" s="79">
        <f t="shared" si="6"/>
        <v>0</v>
      </c>
      <c r="FD32" s="80" t="e">
        <f>FC32*#REF!</f>
        <v>#REF!</v>
      </c>
      <c r="FE32" s="81" t="e">
        <f>FC32*#REF!</f>
        <v>#REF!</v>
      </c>
      <c r="FG32" s="25"/>
      <c r="FH32" s="26"/>
      <c r="FI32" s="27"/>
      <c r="FJ32" s="28"/>
      <c r="FK32" s="29"/>
      <c r="FL32" s="79">
        <f t="shared" si="7"/>
        <v>0</v>
      </c>
      <c r="FM32" s="80" t="e">
        <f>FL32*#REF!</f>
        <v>#REF!</v>
      </c>
      <c r="FN32" s="81" t="e">
        <f>FL32*#REF!</f>
        <v>#REF!</v>
      </c>
      <c r="FP32" s="25"/>
      <c r="FQ32" s="26"/>
      <c r="FR32" s="27"/>
      <c r="FS32" s="28"/>
      <c r="FT32" s="29"/>
      <c r="FU32" s="79">
        <f t="shared" si="8"/>
        <v>0</v>
      </c>
      <c r="FV32" s="80" t="e">
        <f>FU32*#REF!</f>
        <v>#REF!</v>
      </c>
      <c r="FW32" s="81" t="e">
        <f>FU32*#REF!</f>
        <v>#REF!</v>
      </c>
      <c r="FY32" s="25"/>
      <c r="FZ32" s="26"/>
      <c r="GA32" s="27"/>
      <c r="GB32" s="28"/>
      <c r="GC32" s="29"/>
      <c r="GD32" s="79">
        <f t="shared" si="9"/>
        <v>0</v>
      </c>
      <c r="GE32" s="80" t="e">
        <f>GD32*#REF!</f>
        <v>#REF!</v>
      </c>
      <c r="GF32" s="81" t="e">
        <f>GD32*#REF!</f>
        <v>#REF!</v>
      </c>
      <c r="GH32" s="25"/>
      <c r="GI32" s="26"/>
      <c r="GJ32" s="27"/>
      <c r="GK32" s="28"/>
      <c r="GL32" s="29"/>
      <c r="GM32" s="79">
        <f t="shared" si="10"/>
        <v>0</v>
      </c>
      <c r="GN32" s="80" t="e">
        <f>GM32*#REF!</f>
        <v>#REF!</v>
      </c>
      <c r="GO32" s="81" t="e">
        <f>GM32*#REF!</f>
        <v>#REF!</v>
      </c>
      <c r="GQ32" s="82">
        <f t="shared" si="11"/>
        <v>1</v>
      </c>
      <c r="GR32" s="83">
        <v>1</v>
      </c>
    </row>
    <row r="33" spans="2:200" ht="15">
      <c r="B33" s="22" t="s">
        <v>61</v>
      </c>
      <c r="C33" s="23" t="s">
        <v>62</v>
      </c>
      <c r="D33" s="24" t="str">
        <f>IF(C33="","",_xlfn.XLOOKUP(C33,'[1]Control Sheet'!$L$5:$L$104,'[1]Control Sheet'!$M$5:$M$104,"",0))</f>
        <v>Car_Parks_Host</v>
      </c>
      <c r="E33" s="24" t="str">
        <f>IF(B33="","",_xlfn.XLOOKUP(B33,'[1]Control Sheet'!$D$5:$D$64,'[1]Control Sheet'!$F$5:$F$64,"",0))</f>
        <v>Car Parks</v>
      </c>
      <c r="F33" s="24" t="str">
        <f>IF(B33="","",_xlfn.XLOOKUP(B33,'[1]Control Sheet'!$D$5:$D$64,'[1]Control Sheet'!$E$5:$E$64,"",0))</f>
        <v>C1460-N</v>
      </c>
      <c r="I33" s="25">
        <v>0.38541666666666669</v>
      </c>
      <c r="J33" s="26">
        <v>0.70833333333333337</v>
      </c>
      <c r="K33" s="27">
        <v>45</v>
      </c>
      <c r="L33" s="28">
        <v>1</v>
      </c>
      <c r="M33" s="29">
        <v>1</v>
      </c>
      <c r="P33" s="25"/>
      <c r="Q33" s="26"/>
      <c r="R33" s="27"/>
      <c r="S33" s="28"/>
      <c r="T33" s="29"/>
      <c r="V33" s="25"/>
      <c r="W33" s="26"/>
      <c r="X33" s="27"/>
      <c r="Y33" s="28"/>
      <c r="Z33" s="29"/>
      <c r="AB33" s="25"/>
      <c r="AC33" s="26"/>
      <c r="AD33" s="27"/>
      <c r="AE33" s="28"/>
      <c r="AF33" s="29"/>
      <c r="AH33" s="25"/>
      <c r="AI33" s="26"/>
      <c r="AJ33" s="27"/>
      <c r="AK33" s="28"/>
      <c r="AL33" s="29"/>
      <c r="AN33" s="25">
        <v>0.5625</v>
      </c>
      <c r="AO33" s="26">
        <v>0.79166666666666663</v>
      </c>
      <c r="AP33" s="27">
        <v>45</v>
      </c>
      <c r="AQ33" s="28">
        <v>1</v>
      </c>
      <c r="AR33" s="29">
        <v>1</v>
      </c>
      <c r="AT33" s="25"/>
      <c r="AU33" s="26"/>
      <c r="AV33" s="27"/>
      <c r="AW33" s="28"/>
      <c r="AX33" s="29"/>
      <c r="AZ33" s="25">
        <v>0.5625</v>
      </c>
      <c r="BA33" s="26">
        <v>0.79166666666666663</v>
      </c>
      <c r="BB33" s="27">
        <v>45</v>
      </c>
      <c r="BC33" s="28">
        <v>1</v>
      </c>
      <c r="BD33" s="29">
        <v>1</v>
      </c>
      <c r="BF33" s="25">
        <v>0.5625</v>
      </c>
      <c r="BG33" s="26">
        <v>0.83333333333333337</v>
      </c>
      <c r="BH33" s="27">
        <v>45</v>
      </c>
      <c r="BI33" s="28">
        <v>1</v>
      </c>
      <c r="BJ33" s="29">
        <v>1</v>
      </c>
      <c r="BL33" s="25"/>
      <c r="BM33" s="26"/>
      <c r="BN33" s="27"/>
      <c r="BO33" s="28"/>
      <c r="BP33" s="29"/>
      <c r="BR33" s="25"/>
      <c r="BS33" s="26"/>
      <c r="BT33" s="27"/>
      <c r="BU33" s="28"/>
      <c r="BV33" s="29"/>
      <c r="BX33" s="25"/>
      <c r="BY33" s="26"/>
      <c r="BZ33" s="27"/>
      <c r="CA33" s="28"/>
      <c r="CB33" s="29"/>
      <c r="CD33" s="25">
        <v>0.5625</v>
      </c>
      <c r="CE33" s="26">
        <v>0.8125</v>
      </c>
      <c r="CF33" s="27">
        <v>45</v>
      </c>
      <c r="CG33" s="28">
        <v>1</v>
      </c>
      <c r="CH33" s="29">
        <v>1</v>
      </c>
      <c r="CJ33" s="25">
        <v>0.35416666666666669</v>
      </c>
      <c r="CK33" s="26">
        <v>0.66666666666666663</v>
      </c>
      <c r="CL33" s="27">
        <v>45</v>
      </c>
      <c r="CM33" s="28">
        <v>1</v>
      </c>
      <c r="CN33" s="29">
        <v>1</v>
      </c>
      <c r="CP33" s="25"/>
      <c r="CQ33" s="26"/>
      <c r="CR33" s="27"/>
      <c r="CS33" s="28"/>
      <c r="CT33" s="29"/>
      <c r="CV33" s="25"/>
      <c r="CW33" s="26"/>
      <c r="CX33" s="27"/>
      <c r="CY33" s="28"/>
      <c r="CZ33" s="29"/>
      <c r="DA33" s="79">
        <f t="shared" si="0"/>
        <v>0</v>
      </c>
      <c r="DB33" s="80" t="e">
        <f>DA33*#REF!</f>
        <v>#REF!</v>
      </c>
      <c r="DC33" s="81" t="e">
        <f>DA33*#REF!</f>
        <v>#REF!</v>
      </c>
      <c r="DE33" s="25"/>
      <c r="DF33" s="26"/>
      <c r="DG33" s="27"/>
      <c r="DH33" s="28"/>
      <c r="DI33" s="29"/>
      <c r="DJ33" s="79">
        <f t="shared" si="1"/>
        <v>0</v>
      </c>
      <c r="DK33" s="80" t="e">
        <f>DJ33*#REF!</f>
        <v>#REF!</v>
      </c>
      <c r="DL33" s="81" t="e">
        <f>DJ33*#REF!</f>
        <v>#REF!</v>
      </c>
      <c r="DN33" s="25"/>
      <c r="DO33" s="26"/>
      <c r="DP33" s="27"/>
      <c r="DQ33" s="28"/>
      <c r="DR33" s="29"/>
      <c r="DS33" s="79">
        <f t="shared" si="2"/>
        <v>0</v>
      </c>
      <c r="DT33" s="80" t="e">
        <f>DS33*#REF!</f>
        <v>#REF!</v>
      </c>
      <c r="DU33" s="81" t="e">
        <f>DS33*#REF!</f>
        <v>#REF!</v>
      </c>
      <c r="DW33" s="25"/>
      <c r="DX33" s="26"/>
      <c r="DY33" s="27"/>
      <c r="DZ33" s="28"/>
      <c r="EA33" s="29"/>
      <c r="EB33" s="79">
        <f t="shared" si="3"/>
        <v>0</v>
      </c>
      <c r="EC33" s="80" t="e">
        <f>EB33*#REF!</f>
        <v>#REF!</v>
      </c>
      <c r="ED33" s="81" t="e">
        <f>EB33*#REF!</f>
        <v>#REF!</v>
      </c>
      <c r="EF33" s="25"/>
      <c r="EG33" s="26"/>
      <c r="EH33" s="27"/>
      <c r="EI33" s="28"/>
      <c r="EJ33" s="29"/>
      <c r="EK33" s="79">
        <f t="shared" si="4"/>
        <v>0</v>
      </c>
      <c r="EL33" s="80" t="e">
        <f>EK33*#REF!</f>
        <v>#REF!</v>
      </c>
      <c r="EM33" s="81" t="e">
        <f>EK33*#REF!</f>
        <v>#REF!</v>
      </c>
      <c r="EO33" s="25"/>
      <c r="EP33" s="26"/>
      <c r="EQ33" s="27"/>
      <c r="ER33" s="28"/>
      <c r="ES33" s="29"/>
      <c r="ET33" s="79">
        <f t="shared" si="5"/>
        <v>0</v>
      </c>
      <c r="EU33" s="80" t="e">
        <f>ET33*#REF!</f>
        <v>#REF!</v>
      </c>
      <c r="EV33" s="81" t="e">
        <f>ET33*#REF!</f>
        <v>#REF!</v>
      </c>
      <c r="EX33" s="25"/>
      <c r="EY33" s="26"/>
      <c r="EZ33" s="27"/>
      <c r="FA33" s="28"/>
      <c r="FB33" s="29"/>
      <c r="FC33" s="79">
        <f t="shared" si="6"/>
        <v>0</v>
      </c>
      <c r="FD33" s="80" t="e">
        <f>FC33*#REF!</f>
        <v>#REF!</v>
      </c>
      <c r="FE33" s="81" t="e">
        <f>FC33*#REF!</f>
        <v>#REF!</v>
      </c>
      <c r="FG33" s="25"/>
      <c r="FH33" s="26"/>
      <c r="FI33" s="27"/>
      <c r="FJ33" s="28"/>
      <c r="FK33" s="29"/>
      <c r="FL33" s="79">
        <f t="shared" si="7"/>
        <v>0</v>
      </c>
      <c r="FM33" s="80" t="e">
        <f>FL33*#REF!</f>
        <v>#REF!</v>
      </c>
      <c r="FN33" s="81" t="e">
        <f>FL33*#REF!</f>
        <v>#REF!</v>
      </c>
      <c r="FP33" s="25"/>
      <c r="FQ33" s="26"/>
      <c r="FR33" s="27"/>
      <c r="FS33" s="28"/>
      <c r="FT33" s="29"/>
      <c r="FU33" s="79">
        <f t="shared" si="8"/>
        <v>0</v>
      </c>
      <c r="FV33" s="80" t="e">
        <f>FU33*#REF!</f>
        <v>#REF!</v>
      </c>
      <c r="FW33" s="81" t="e">
        <f>FU33*#REF!</f>
        <v>#REF!</v>
      </c>
      <c r="FY33" s="25"/>
      <c r="FZ33" s="26"/>
      <c r="GA33" s="27"/>
      <c r="GB33" s="28"/>
      <c r="GC33" s="29"/>
      <c r="GD33" s="79">
        <f t="shared" si="9"/>
        <v>0</v>
      </c>
      <c r="GE33" s="80" t="e">
        <f>GD33*#REF!</f>
        <v>#REF!</v>
      </c>
      <c r="GF33" s="81" t="e">
        <f>GD33*#REF!</f>
        <v>#REF!</v>
      </c>
      <c r="GH33" s="25"/>
      <c r="GI33" s="26"/>
      <c r="GJ33" s="27"/>
      <c r="GK33" s="28"/>
      <c r="GL33" s="29"/>
      <c r="GM33" s="79">
        <f t="shared" si="10"/>
        <v>0</v>
      </c>
      <c r="GN33" s="80" t="e">
        <f>GM33*#REF!</f>
        <v>#REF!</v>
      </c>
      <c r="GO33" s="81" t="e">
        <f>GM33*#REF!</f>
        <v>#REF!</v>
      </c>
      <c r="GQ33" s="82">
        <f t="shared" si="11"/>
        <v>1</v>
      </c>
      <c r="GR33" s="83">
        <v>1</v>
      </c>
    </row>
    <row r="34" spans="2:200" ht="15">
      <c r="B34" s="22" t="s">
        <v>63</v>
      </c>
      <c r="C34" s="23" t="s">
        <v>62</v>
      </c>
      <c r="D34" s="24" t="str">
        <f>IF(C34="","",_xlfn.XLOOKUP(C34,'[1]Control Sheet'!$L$5:$L$104,'[1]Control Sheet'!$M$5:$M$104,"",0))</f>
        <v>Car_Parks_Host</v>
      </c>
      <c r="E34" s="24" t="str">
        <f>IF(B34="","",_xlfn.XLOOKUP(B34,'[1]Control Sheet'!$D$5:$D$64,'[1]Control Sheet'!$F$5:$F$64,"",0))</f>
        <v>Car Parks</v>
      </c>
      <c r="F34" s="24" t="str">
        <f>IF(B34="","",_xlfn.XLOOKUP(B34,'[1]Control Sheet'!$D$5:$D$64,'[1]Control Sheet'!$E$5:$E$64,"",0))</f>
        <v>C1460-N</v>
      </c>
      <c r="I34" s="25"/>
      <c r="J34" s="26"/>
      <c r="K34" s="27"/>
      <c r="L34" s="28"/>
      <c r="M34" s="29"/>
      <c r="P34" s="25">
        <v>0.38541666666666669</v>
      </c>
      <c r="Q34" s="26">
        <v>0.75</v>
      </c>
      <c r="R34" s="27">
        <v>45</v>
      </c>
      <c r="S34" s="28">
        <v>1</v>
      </c>
      <c r="T34" s="29">
        <v>1</v>
      </c>
      <c r="V34" s="25">
        <v>0.38541666666666669</v>
      </c>
      <c r="W34" s="26">
        <v>0.75</v>
      </c>
      <c r="X34" s="27">
        <v>45</v>
      </c>
      <c r="Y34" s="28">
        <v>1</v>
      </c>
      <c r="Z34" s="29">
        <v>1</v>
      </c>
      <c r="AB34" s="25">
        <v>0.35416666666666669</v>
      </c>
      <c r="AC34" s="26">
        <v>0.75</v>
      </c>
      <c r="AD34" s="27">
        <v>45</v>
      </c>
      <c r="AE34" s="28">
        <v>1</v>
      </c>
      <c r="AF34" s="29">
        <v>1</v>
      </c>
      <c r="AH34" s="25">
        <v>0.35416666666666669</v>
      </c>
      <c r="AI34" s="26">
        <v>0.75</v>
      </c>
      <c r="AJ34" s="27">
        <v>45</v>
      </c>
      <c r="AK34" s="28">
        <v>1</v>
      </c>
      <c r="AL34" s="29">
        <v>1</v>
      </c>
      <c r="AN34" s="25">
        <v>0.35416666666666669</v>
      </c>
      <c r="AO34" s="26">
        <v>0.58333333333333337</v>
      </c>
      <c r="AP34" s="27">
        <v>45</v>
      </c>
      <c r="AQ34" s="28">
        <v>1</v>
      </c>
      <c r="AR34" s="29">
        <v>1</v>
      </c>
      <c r="AT34" s="25">
        <v>0.35416666666666669</v>
      </c>
      <c r="AU34" s="26">
        <v>0.75</v>
      </c>
      <c r="AV34" s="27">
        <v>45</v>
      </c>
      <c r="AW34" s="28">
        <v>1</v>
      </c>
      <c r="AX34" s="29">
        <v>1</v>
      </c>
      <c r="AZ34" s="25">
        <v>0.35416666666666669</v>
      </c>
      <c r="BA34" s="26">
        <v>0.58333333333333337</v>
      </c>
      <c r="BB34" s="27">
        <v>45</v>
      </c>
      <c r="BC34" s="28">
        <v>1</v>
      </c>
      <c r="BD34" s="29">
        <v>1</v>
      </c>
      <c r="BF34" s="25">
        <v>0.35416666666666669</v>
      </c>
      <c r="BG34" s="26">
        <v>0.58333333333333337</v>
      </c>
      <c r="BH34" s="27">
        <v>45</v>
      </c>
      <c r="BI34" s="28">
        <v>1</v>
      </c>
      <c r="BJ34" s="29">
        <v>1</v>
      </c>
      <c r="BL34" s="25">
        <v>0.35416666666666669</v>
      </c>
      <c r="BM34" s="26">
        <v>0.70833333333333337</v>
      </c>
      <c r="BN34" s="27">
        <v>45</v>
      </c>
      <c r="BO34" s="28">
        <v>1</v>
      </c>
      <c r="BP34" s="29">
        <v>1</v>
      </c>
      <c r="BR34" s="25">
        <v>0.35416666666666669</v>
      </c>
      <c r="BS34" s="26">
        <v>0.66666666666666663</v>
      </c>
      <c r="BT34" s="27">
        <v>45</v>
      </c>
      <c r="BU34" s="28">
        <v>1</v>
      </c>
      <c r="BV34" s="29">
        <v>1</v>
      </c>
      <c r="BX34" s="25">
        <v>0.35416666666666669</v>
      </c>
      <c r="BY34" s="26">
        <v>0.75</v>
      </c>
      <c r="BZ34" s="27">
        <v>45</v>
      </c>
      <c r="CA34" s="28">
        <v>1</v>
      </c>
      <c r="CB34" s="29">
        <v>1</v>
      </c>
      <c r="CD34" s="25">
        <v>0.35416666666666669</v>
      </c>
      <c r="CE34" s="26">
        <v>0.58333333333333337</v>
      </c>
      <c r="CF34" s="27">
        <v>45</v>
      </c>
      <c r="CG34" s="28">
        <v>1</v>
      </c>
      <c r="CH34" s="29">
        <v>1</v>
      </c>
      <c r="CJ34" s="25">
        <v>0.35416666666666669</v>
      </c>
      <c r="CK34" s="26">
        <v>0.66666666666666663</v>
      </c>
      <c r="CL34" s="27">
        <v>45</v>
      </c>
      <c r="CM34" s="28">
        <v>1</v>
      </c>
      <c r="CN34" s="29">
        <v>1</v>
      </c>
      <c r="CP34" s="25"/>
      <c r="CQ34" s="26"/>
      <c r="CR34" s="27"/>
      <c r="CS34" s="28"/>
      <c r="CT34" s="29"/>
      <c r="CV34" s="25"/>
      <c r="CW34" s="26"/>
      <c r="CX34" s="27"/>
      <c r="CY34" s="28"/>
      <c r="CZ34" s="29"/>
      <c r="DA34" s="79">
        <f t="shared" si="0"/>
        <v>0</v>
      </c>
      <c r="DB34" s="80" t="e">
        <f>DA34*#REF!</f>
        <v>#REF!</v>
      </c>
      <c r="DC34" s="81" t="e">
        <f>DA34*#REF!</f>
        <v>#REF!</v>
      </c>
      <c r="DE34" s="25"/>
      <c r="DF34" s="26"/>
      <c r="DG34" s="27"/>
      <c r="DH34" s="28"/>
      <c r="DI34" s="29"/>
      <c r="DJ34" s="79">
        <f t="shared" si="1"/>
        <v>0</v>
      </c>
      <c r="DK34" s="80" t="e">
        <f>DJ34*#REF!</f>
        <v>#REF!</v>
      </c>
      <c r="DL34" s="81" t="e">
        <f>DJ34*#REF!</f>
        <v>#REF!</v>
      </c>
      <c r="DN34" s="25"/>
      <c r="DO34" s="26"/>
      <c r="DP34" s="27"/>
      <c r="DQ34" s="28"/>
      <c r="DR34" s="29"/>
      <c r="DS34" s="79">
        <f t="shared" si="2"/>
        <v>0</v>
      </c>
      <c r="DT34" s="80" t="e">
        <f>DS34*#REF!</f>
        <v>#REF!</v>
      </c>
      <c r="DU34" s="81" t="e">
        <f>DS34*#REF!</f>
        <v>#REF!</v>
      </c>
      <c r="DW34" s="25"/>
      <c r="DX34" s="26"/>
      <c r="DY34" s="27"/>
      <c r="DZ34" s="28"/>
      <c r="EA34" s="29"/>
      <c r="EB34" s="79">
        <f t="shared" si="3"/>
        <v>0</v>
      </c>
      <c r="EC34" s="80" t="e">
        <f>EB34*#REF!</f>
        <v>#REF!</v>
      </c>
      <c r="ED34" s="81" t="e">
        <f>EB34*#REF!</f>
        <v>#REF!</v>
      </c>
      <c r="EF34" s="25"/>
      <c r="EG34" s="26"/>
      <c r="EH34" s="27"/>
      <c r="EI34" s="28"/>
      <c r="EJ34" s="29"/>
      <c r="EK34" s="79">
        <f t="shared" si="4"/>
        <v>0</v>
      </c>
      <c r="EL34" s="80" t="e">
        <f>EK34*#REF!</f>
        <v>#REF!</v>
      </c>
      <c r="EM34" s="81" t="e">
        <f>EK34*#REF!</f>
        <v>#REF!</v>
      </c>
      <c r="EO34" s="25"/>
      <c r="EP34" s="26"/>
      <c r="EQ34" s="27"/>
      <c r="ER34" s="28"/>
      <c r="ES34" s="29"/>
      <c r="ET34" s="79">
        <f t="shared" si="5"/>
        <v>0</v>
      </c>
      <c r="EU34" s="80" t="e">
        <f>ET34*#REF!</f>
        <v>#REF!</v>
      </c>
      <c r="EV34" s="81" t="e">
        <f>ET34*#REF!</f>
        <v>#REF!</v>
      </c>
      <c r="EX34" s="25"/>
      <c r="EY34" s="26"/>
      <c r="EZ34" s="27"/>
      <c r="FA34" s="28"/>
      <c r="FB34" s="29"/>
      <c r="FC34" s="79">
        <f t="shared" si="6"/>
        <v>0</v>
      </c>
      <c r="FD34" s="80" t="e">
        <f>FC34*#REF!</f>
        <v>#REF!</v>
      </c>
      <c r="FE34" s="81" t="e">
        <f>FC34*#REF!</f>
        <v>#REF!</v>
      </c>
      <c r="FG34" s="25"/>
      <c r="FH34" s="26"/>
      <c r="FI34" s="27"/>
      <c r="FJ34" s="28"/>
      <c r="FK34" s="29"/>
      <c r="FL34" s="79">
        <f t="shared" si="7"/>
        <v>0</v>
      </c>
      <c r="FM34" s="80" t="e">
        <f>FL34*#REF!</f>
        <v>#REF!</v>
      </c>
      <c r="FN34" s="81" t="e">
        <f>FL34*#REF!</f>
        <v>#REF!</v>
      </c>
      <c r="FP34" s="25"/>
      <c r="FQ34" s="26"/>
      <c r="FR34" s="27"/>
      <c r="FS34" s="28"/>
      <c r="FT34" s="29"/>
      <c r="FU34" s="79">
        <f t="shared" si="8"/>
        <v>0</v>
      </c>
      <c r="FV34" s="80" t="e">
        <f>FU34*#REF!</f>
        <v>#REF!</v>
      </c>
      <c r="FW34" s="81" t="e">
        <f>FU34*#REF!</f>
        <v>#REF!</v>
      </c>
      <c r="FY34" s="25"/>
      <c r="FZ34" s="26"/>
      <c r="GA34" s="27"/>
      <c r="GB34" s="28"/>
      <c r="GC34" s="29"/>
      <c r="GD34" s="79">
        <f t="shared" si="9"/>
        <v>0</v>
      </c>
      <c r="GE34" s="80" t="e">
        <f>GD34*#REF!</f>
        <v>#REF!</v>
      </c>
      <c r="GF34" s="81" t="e">
        <f>GD34*#REF!</f>
        <v>#REF!</v>
      </c>
      <c r="GH34" s="25"/>
      <c r="GI34" s="26"/>
      <c r="GJ34" s="27"/>
      <c r="GK34" s="28"/>
      <c r="GL34" s="29"/>
      <c r="GM34" s="79">
        <f t="shared" si="10"/>
        <v>0</v>
      </c>
      <c r="GN34" s="80" t="e">
        <f>GM34*#REF!</f>
        <v>#REF!</v>
      </c>
      <c r="GO34" s="81" t="e">
        <f>GM34*#REF!</f>
        <v>#REF!</v>
      </c>
      <c r="GQ34" s="82">
        <f t="shared" si="11"/>
        <v>1</v>
      </c>
      <c r="GR34" s="83">
        <v>1</v>
      </c>
    </row>
    <row r="35" spans="2:200" ht="15">
      <c r="B35" s="22" t="s">
        <v>63</v>
      </c>
      <c r="C35" s="23" t="s">
        <v>62</v>
      </c>
      <c r="D35" s="24" t="str">
        <f>IF(C35="","",_xlfn.XLOOKUP(C35,'[1]Control Sheet'!$L$5:$L$104,'[1]Control Sheet'!$M$5:$M$104,"",0))</f>
        <v>Car_Parks_Host</v>
      </c>
      <c r="E35" s="24" t="str">
        <f>IF(B35="","",_xlfn.XLOOKUP(B35,'[1]Control Sheet'!$D$5:$D$64,'[1]Control Sheet'!$F$5:$F$64,"",0))</f>
        <v>Car Parks</v>
      </c>
      <c r="F35" s="24" t="str">
        <f>IF(B35="","",_xlfn.XLOOKUP(B35,'[1]Control Sheet'!$D$5:$D$64,'[1]Control Sheet'!$E$5:$E$64,"",0))</f>
        <v>C1460-N</v>
      </c>
      <c r="I35" s="25">
        <v>0.38541666666666669</v>
      </c>
      <c r="J35" s="26">
        <v>0.70833333333333337</v>
      </c>
      <c r="K35" s="27">
        <v>45</v>
      </c>
      <c r="L35" s="28">
        <v>1</v>
      </c>
      <c r="M35" s="29">
        <v>1</v>
      </c>
      <c r="P35" s="25"/>
      <c r="Q35" s="26"/>
      <c r="R35" s="27"/>
      <c r="S35" s="28"/>
      <c r="T35" s="29"/>
      <c r="V35" s="25"/>
      <c r="W35" s="26"/>
      <c r="X35" s="27"/>
      <c r="Y35" s="28"/>
      <c r="Z35" s="29"/>
      <c r="AB35" s="25"/>
      <c r="AC35" s="26"/>
      <c r="AD35" s="27"/>
      <c r="AE35" s="28"/>
      <c r="AF35" s="29"/>
      <c r="AH35" s="25"/>
      <c r="AI35" s="26"/>
      <c r="AJ35" s="27"/>
      <c r="AK35" s="28"/>
      <c r="AL35" s="29"/>
      <c r="AN35" s="25">
        <v>0.5625</v>
      </c>
      <c r="AO35" s="26">
        <v>0.79166666666666663</v>
      </c>
      <c r="AP35" s="27">
        <v>45</v>
      </c>
      <c r="AQ35" s="28">
        <v>1</v>
      </c>
      <c r="AR35" s="29">
        <v>1</v>
      </c>
      <c r="AT35" s="25"/>
      <c r="AU35" s="26"/>
      <c r="AV35" s="27"/>
      <c r="AW35" s="28"/>
      <c r="AX35" s="29"/>
      <c r="AZ35" s="25">
        <v>0.5625</v>
      </c>
      <c r="BA35" s="26">
        <v>0.79166666666666663</v>
      </c>
      <c r="BB35" s="27">
        <v>45</v>
      </c>
      <c r="BC35" s="28">
        <v>1</v>
      </c>
      <c r="BD35" s="29">
        <v>1</v>
      </c>
      <c r="BF35" s="25">
        <v>0.5625</v>
      </c>
      <c r="BG35" s="26">
        <v>0.83333333333333337</v>
      </c>
      <c r="BH35" s="27">
        <v>45</v>
      </c>
      <c r="BI35" s="28">
        <v>1</v>
      </c>
      <c r="BJ35" s="29">
        <v>1</v>
      </c>
      <c r="BL35" s="25"/>
      <c r="BM35" s="26"/>
      <c r="BN35" s="27"/>
      <c r="BO35" s="28"/>
      <c r="BP35" s="29"/>
      <c r="BR35" s="25"/>
      <c r="BS35" s="26"/>
      <c r="BT35" s="27"/>
      <c r="BU35" s="28"/>
      <c r="BV35" s="29"/>
      <c r="BX35" s="25"/>
      <c r="BY35" s="26"/>
      <c r="BZ35" s="27"/>
      <c r="CA35" s="28"/>
      <c r="CB35" s="29"/>
      <c r="CD35" s="25">
        <v>0.5625</v>
      </c>
      <c r="CE35" s="26">
        <v>0.8125</v>
      </c>
      <c r="CF35" s="27">
        <v>45</v>
      </c>
      <c r="CG35" s="28">
        <v>1</v>
      </c>
      <c r="CH35" s="29">
        <v>1</v>
      </c>
      <c r="CJ35" s="25"/>
      <c r="CK35" s="26"/>
      <c r="CL35" s="27"/>
      <c r="CM35" s="28"/>
      <c r="CN35" s="29"/>
      <c r="CP35" s="25"/>
      <c r="CQ35" s="26"/>
      <c r="CR35" s="27"/>
      <c r="CS35" s="28"/>
      <c r="CT35" s="29"/>
      <c r="CV35" s="25"/>
      <c r="CW35" s="26"/>
      <c r="CX35" s="27"/>
      <c r="CY35" s="28"/>
      <c r="CZ35" s="29"/>
      <c r="DA35" s="79">
        <f t="shared" si="0"/>
        <v>0</v>
      </c>
      <c r="DB35" s="80" t="e">
        <f>DA35*#REF!</f>
        <v>#REF!</v>
      </c>
      <c r="DC35" s="81" t="e">
        <f>DA35*#REF!</f>
        <v>#REF!</v>
      </c>
      <c r="DE35" s="25"/>
      <c r="DF35" s="26"/>
      <c r="DG35" s="27"/>
      <c r="DH35" s="28"/>
      <c r="DI35" s="29"/>
      <c r="DJ35" s="79">
        <f t="shared" si="1"/>
        <v>0</v>
      </c>
      <c r="DK35" s="80" t="e">
        <f>DJ35*#REF!</f>
        <v>#REF!</v>
      </c>
      <c r="DL35" s="81" t="e">
        <f>DJ35*#REF!</f>
        <v>#REF!</v>
      </c>
      <c r="DN35" s="25"/>
      <c r="DO35" s="26"/>
      <c r="DP35" s="27"/>
      <c r="DQ35" s="28"/>
      <c r="DR35" s="29"/>
      <c r="DS35" s="79">
        <f t="shared" si="2"/>
        <v>0</v>
      </c>
      <c r="DT35" s="80" t="e">
        <f>DS35*#REF!</f>
        <v>#REF!</v>
      </c>
      <c r="DU35" s="81" t="e">
        <f>DS35*#REF!</f>
        <v>#REF!</v>
      </c>
      <c r="DW35" s="25"/>
      <c r="DX35" s="26"/>
      <c r="DY35" s="27"/>
      <c r="DZ35" s="28"/>
      <c r="EA35" s="29"/>
      <c r="EB35" s="79">
        <f t="shared" si="3"/>
        <v>0</v>
      </c>
      <c r="EC35" s="80" t="e">
        <f>EB35*#REF!</f>
        <v>#REF!</v>
      </c>
      <c r="ED35" s="81" t="e">
        <f>EB35*#REF!</f>
        <v>#REF!</v>
      </c>
      <c r="EF35" s="25"/>
      <c r="EG35" s="26"/>
      <c r="EH35" s="27"/>
      <c r="EI35" s="28"/>
      <c r="EJ35" s="29"/>
      <c r="EK35" s="79">
        <f t="shared" si="4"/>
        <v>0</v>
      </c>
      <c r="EL35" s="80" t="e">
        <f>EK35*#REF!</f>
        <v>#REF!</v>
      </c>
      <c r="EM35" s="81" t="e">
        <f>EK35*#REF!</f>
        <v>#REF!</v>
      </c>
      <c r="EO35" s="25"/>
      <c r="EP35" s="26"/>
      <c r="EQ35" s="27"/>
      <c r="ER35" s="28"/>
      <c r="ES35" s="29"/>
      <c r="ET35" s="79">
        <f t="shared" si="5"/>
        <v>0</v>
      </c>
      <c r="EU35" s="80" t="e">
        <f>ET35*#REF!</f>
        <v>#REF!</v>
      </c>
      <c r="EV35" s="81" t="e">
        <f>ET35*#REF!</f>
        <v>#REF!</v>
      </c>
      <c r="EX35" s="25"/>
      <c r="EY35" s="26"/>
      <c r="EZ35" s="27"/>
      <c r="FA35" s="28"/>
      <c r="FB35" s="29"/>
      <c r="FC35" s="79">
        <f t="shared" si="6"/>
        <v>0</v>
      </c>
      <c r="FD35" s="80" t="e">
        <f>FC35*#REF!</f>
        <v>#REF!</v>
      </c>
      <c r="FE35" s="81" t="e">
        <f>FC35*#REF!</f>
        <v>#REF!</v>
      </c>
      <c r="FG35" s="25"/>
      <c r="FH35" s="26"/>
      <c r="FI35" s="27"/>
      <c r="FJ35" s="28"/>
      <c r="FK35" s="29"/>
      <c r="FL35" s="79">
        <f t="shared" si="7"/>
        <v>0</v>
      </c>
      <c r="FM35" s="80" t="e">
        <f>FL35*#REF!</f>
        <v>#REF!</v>
      </c>
      <c r="FN35" s="81" t="e">
        <f>FL35*#REF!</f>
        <v>#REF!</v>
      </c>
      <c r="FP35" s="25"/>
      <c r="FQ35" s="26"/>
      <c r="FR35" s="27"/>
      <c r="FS35" s="28"/>
      <c r="FT35" s="29"/>
      <c r="FU35" s="79">
        <f t="shared" si="8"/>
        <v>0</v>
      </c>
      <c r="FV35" s="80" t="e">
        <f>FU35*#REF!</f>
        <v>#REF!</v>
      </c>
      <c r="FW35" s="81" t="e">
        <f>FU35*#REF!</f>
        <v>#REF!</v>
      </c>
      <c r="FY35" s="25"/>
      <c r="FZ35" s="26"/>
      <c r="GA35" s="27"/>
      <c r="GB35" s="28"/>
      <c r="GC35" s="29"/>
      <c r="GD35" s="79">
        <f t="shared" si="9"/>
        <v>0</v>
      </c>
      <c r="GE35" s="80" t="e">
        <f>GD35*#REF!</f>
        <v>#REF!</v>
      </c>
      <c r="GF35" s="81" t="e">
        <f>GD35*#REF!</f>
        <v>#REF!</v>
      </c>
      <c r="GH35" s="25"/>
      <c r="GI35" s="26"/>
      <c r="GJ35" s="27"/>
      <c r="GK35" s="28"/>
      <c r="GL35" s="29"/>
      <c r="GM35" s="79">
        <f t="shared" si="10"/>
        <v>0</v>
      </c>
      <c r="GN35" s="80" t="e">
        <f>GM35*#REF!</f>
        <v>#REF!</v>
      </c>
      <c r="GO35" s="81" t="e">
        <f>GM35*#REF!</f>
        <v>#REF!</v>
      </c>
      <c r="GQ35" s="82">
        <f t="shared" si="11"/>
        <v>1</v>
      </c>
      <c r="GR35" s="83">
        <v>1</v>
      </c>
    </row>
    <row r="36" spans="2:200" ht="15">
      <c r="B36" s="22" t="s">
        <v>64</v>
      </c>
      <c r="C36" s="23" t="s">
        <v>62</v>
      </c>
      <c r="D36" s="24" t="str">
        <f>IF(C36="","",_xlfn.XLOOKUP(C36,'[1]Control Sheet'!$L$5:$L$104,'[1]Control Sheet'!$M$5:$M$104,"",0))</f>
        <v>Car_Parks_Host</v>
      </c>
      <c r="E36" s="24" t="str">
        <f>IF(B36="","",_xlfn.XLOOKUP(B36,'[1]Control Sheet'!$D$5:$D$64,'[1]Control Sheet'!$F$5:$F$64,"",0))</f>
        <v>Car Parks</v>
      </c>
      <c r="F36" s="24" t="str">
        <f>IF(B36="","",_xlfn.XLOOKUP(B36,'[1]Control Sheet'!$D$5:$D$64,'[1]Control Sheet'!$E$5:$E$64,"",0))</f>
        <v>C1460-N</v>
      </c>
      <c r="I36" s="25"/>
      <c r="J36" s="26"/>
      <c r="K36" s="27"/>
      <c r="L36" s="28"/>
      <c r="M36" s="29"/>
      <c r="P36" s="25">
        <v>0.38541666666666669</v>
      </c>
      <c r="Q36" s="26">
        <v>0.58333333333333337</v>
      </c>
      <c r="R36" s="27">
        <v>45</v>
      </c>
      <c r="S36" s="28">
        <v>1</v>
      </c>
      <c r="T36" s="29">
        <v>1</v>
      </c>
      <c r="V36" s="25">
        <v>0.38541666666666669</v>
      </c>
      <c r="W36" s="26">
        <v>0.58333333333333337</v>
      </c>
      <c r="X36" s="27">
        <v>45</v>
      </c>
      <c r="Y36" s="28">
        <v>1</v>
      </c>
      <c r="Z36" s="29">
        <v>1</v>
      </c>
      <c r="AB36" s="25">
        <v>0.35416666666666669</v>
      </c>
      <c r="AC36" s="26">
        <v>0.58333333333333337</v>
      </c>
      <c r="AD36" s="27">
        <v>45</v>
      </c>
      <c r="AE36" s="28">
        <v>1</v>
      </c>
      <c r="AF36" s="29">
        <v>1</v>
      </c>
      <c r="AH36" s="25">
        <v>0.35416666666666669</v>
      </c>
      <c r="AI36" s="26">
        <v>0.58333333333333337</v>
      </c>
      <c r="AJ36" s="27">
        <v>45</v>
      </c>
      <c r="AK36" s="28">
        <v>1</v>
      </c>
      <c r="AL36" s="29">
        <v>1</v>
      </c>
      <c r="AN36" s="25"/>
      <c r="AO36" s="26"/>
      <c r="AP36" s="27"/>
      <c r="AQ36" s="28"/>
      <c r="AR36" s="29"/>
      <c r="AT36" s="25">
        <v>0.35416666666666669</v>
      </c>
      <c r="AU36" s="26">
        <v>0.58333333333333337</v>
      </c>
      <c r="AV36" s="27">
        <v>45</v>
      </c>
      <c r="AW36" s="28">
        <v>1</v>
      </c>
      <c r="AX36" s="29">
        <v>1</v>
      </c>
      <c r="AZ36" s="25">
        <v>0.35416666666666669</v>
      </c>
      <c r="BA36" s="26">
        <v>0.58333333333333337</v>
      </c>
      <c r="BB36" s="27">
        <v>45</v>
      </c>
      <c r="BC36" s="28">
        <v>1</v>
      </c>
      <c r="BD36" s="29">
        <v>1</v>
      </c>
      <c r="BF36" s="25">
        <v>0.35416666666666669</v>
      </c>
      <c r="BG36" s="26">
        <v>0.58333333333333337</v>
      </c>
      <c r="BH36" s="27">
        <v>45</v>
      </c>
      <c r="BI36" s="28">
        <v>1</v>
      </c>
      <c r="BJ36" s="29">
        <v>1</v>
      </c>
      <c r="BL36" s="25">
        <v>0.35416666666666669</v>
      </c>
      <c r="BM36" s="26">
        <v>0.58333333333333337</v>
      </c>
      <c r="BN36" s="27">
        <v>45</v>
      </c>
      <c r="BO36" s="28">
        <v>1</v>
      </c>
      <c r="BP36" s="29">
        <v>1</v>
      </c>
      <c r="BR36" s="25"/>
      <c r="BS36" s="26"/>
      <c r="BT36" s="27"/>
      <c r="BU36" s="28"/>
      <c r="BV36" s="29"/>
      <c r="BX36" s="25">
        <v>0.35416666666666669</v>
      </c>
      <c r="BY36" s="26">
        <v>0.58333333333333337</v>
      </c>
      <c r="BZ36" s="27">
        <v>45</v>
      </c>
      <c r="CA36" s="28">
        <v>1</v>
      </c>
      <c r="CB36" s="29">
        <v>1</v>
      </c>
      <c r="CD36" s="25">
        <v>0.35416666666666669</v>
      </c>
      <c r="CE36" s="26">
        <v>0.58333333333333337</v>
      </c>
      <c r="CF36" s="27">
        <v>45</v>
      </c>
      <c r="CG36" s="28">
        <v>1</v>
      </c>
      <c r="CH36" s="29">
        <v>1</v>
      </c>
      <c r="CJ36" s="25"/>
      <c r="CK36" s="26"/>
      <c r="CL36" s="27"/>
      <c r="CM36" s="28"/>
      <c r="CN36" s="29"/>
      <c r="CP36" s="25"/>
      <c r="CQ36" s="26"/>
      <c r="CR36" s="27"/>
      <c r="CS36" s="28"/>
      <c r="CT36" s="29"/>
      <c r="CV36" s="25"/>
      <c r="CW36" s="26"/>
      <c r="CX36" s="27"/>
      <c r="CY36" s="28"/>
      <c r="CZ36" s="29"/>
      <c r="DA36" s="79">
        <f t="shared" si="0"/>
        <v>0</v>
      </c>
      <c r="DB36" s="80" t="e">
        <f>DA36*#REF!</f>
        <v>#REF!</v>
      </c>
      <c r="DC36" s="81" t="e">
        <f>DA36*#REF!</f>
        <v>#REF!</v>
      </c>
      <c r="DE36" s="25"/>
      <c r="DF36" s="26"/>
      <c r="DG36" s="27"/>
      <c r="DH36" s="28"/>
      <c r="DI36" s="29"/>
      <c r="DJ36" s="79">
        <f t="shared" si="1"/>
        <v>0</v>
      </c>
      <c r="DK36" s="80" t="e">
        <f>DJ36*#REF!</f>
        <v>#REF!</v>
      </c>
      <c r="DL36" s="81" t="e">
        <f>DJ36*#REF!</f>
        <v>#REF!</v>
      </c>
      <c r="DN36" s="25"/>
      <c r="DO36" s="26"/>
      <c r="DP36" s="27"/>
      <c r="DQ36" s="28"/>
      <c r="DR36" s="29"/>
      <c r="DS36" s="79">
        <f t="shared" si="2"/>
        <v>0</v>
      </c>
      <c r="DT36" s="80" t="e">
        <f>DS36*#REF!</f>
        <v>#REF!</v>
      </c>
      <c r="DU36" s="81" t="e">
        <f>DS36*#REF!</f>
        <v>#REF!</v>
      </c>
      <c r="DW36" s="25"/>
      <c r="DX36" s="26"/>
      <c r="DY36" s="27"/>
      <c r="DZ36" s="28"/>
      <c r="EA36" s="29"/>
      <c r="EB36" s="79">
        <f t="shared" si="3"/>
        <v>0</v>
      </c>
      <c r="EC36" s="80" t="e">
        <f>EB36*#REF!</f>
        <v>#REF!</v>
      </c>
      <c r="ED36" s="81" t="e">
        <f>EB36*#REF!</f>
        <v>#REF!</v>
      </c>
      <c r="EF36" s="25"/>
      <c r="EG36" s="26"/>
      <c r="EH36" s="27"/>
      <c r="EI36" s="28"/>
      <c r="EJ36" s="29"/>
      <c r="EK36" s="79">
        <f t="shared" si="4"/>
        <v>0</v>
      </c>
      <c r="EL36" s="80" t="e">
        <f>EK36*#REF!</f>
        <v>#REF!</v>
      </c>
      <c r="EM36" s="81" t="e">
        <f>EK36*#REF!</f>
        <v>#REF!</v>
      </c>
      <c r="EO36" s="25"/>
      <c r="EP36" s="26"/>
      <c r="EQ36" s="27"/>
      <c r="ER36" s="28"/>
      <c r="ES36" s="29"/>
      <c r="ET36" s="79">
        <f t="shared" si="5"/>
        <v>0</v>
      </c>
      <c r="EU36" s="80" t="e">
        <f>ET36*#REF!</f>
        <v>#REF!</v>
      </c>
      <c r="EV36" s="81" t="e">
        <f>ET36*#REF!</f>
        <v>#REF!</v>
      </c>
      <c r="EX36" s="25"/>
      <c r="EY36" s="26"/>
      <c r="EZ36" s="27"/>
      <c r="FA36" s="28"/>
      <c r="FB36" s="29"/>
      <c r="FC36" s="79">
        <f t="shared" si="6"/>
        <v>0</v>
      </c>
      <c r="FD36" s="80" t="e">
        <f>FC36*#REF!</f>
        <v>#REF!</v>
      </c>
      <c r="FE36" s="81" t="e">
        <f>FC36*#REF!</f>
        <v>#REF!</v>
      </c>
      <c r="FG36" s="25"/>
      <c r="FH36" s="26"/>
      <c r="FI36" s="27"/>
      <c r="FJ36" s="28"/>
      <c r="FK36" s="29"/>
      <c r="FL36" s="79">
        <f t="shared" si="7"/>
        <v>0</v>
      </c>
      <c r="FM36" s="80" t="e">
        <f>FL36*#REF!</f>
        <v>#REF!</v>
      </c>
      <c r="FN36" s="81" t="e">
        <f>FL36*#REF!</f>
        <v>#REF!</v>
      </c>
      <c r="FP36" s="25"/>
      <c r="FQ36" s="26"/>
      <c r="FR36" s="27"/>
      <c r="FS36" s="28"/>
      <c r="FT36" s="29"/>
      <c r="FU36" s="79">
        <f t="shared" si="8"/>
        <v>0</v>
      </c>
      <c r="FV36" s="80" t="e">
        <f>FU36*#REF!</f>
        <v>#REF!</v>
      </c>
      <c r="FW36" s="81" t="e">
        <f>FU36*#REF!</f>
        <v>#REF!</v>
      </c>
      <c r="FY36" s="25"/>
      <c r="FZ36" s="26"/>
      <c r="GA36" s="27"/>
      <c r="GB36" s="28"/>
      <c r="GC36" s="29"/>
      <c r="GD36" s="79">
        <f t="shared" si="9"/>
        <v>0</v>
      </c>
      <c r="GE36" s="80" t="e">
        <f>GD36*#REF!</f>
        <v>#REF!</v>
      </c>
      <c r="GF36" s="81" t="e">
        <f>GD36*#REF!</f>
        <v>#REF!</v>
      </c>
      <c r="GH36" s="25"/>
      <c r="GI36" s="26"/>
      <c r="GJ36" s="27"/>
      <c r="GK36" s="28"/>
      <c r="GL36" s="29"/>
      <c r="GM36" s="79">
        <f t="shared" si="10"/>
        <v>0</v>
      </c>
      <c r="GN36" s="80" t="e">
        <f>GM36*#REF!</f>
        <v>#REF!</v>
      </c>
      <c r="GO36" s="81" t="e">
        <f>GM36*#REF!</f>
        <v>#REF!</v>
      </c>
      <c r="GQ36" s="82">
        <f t="shared" si="11"/>
        <v>1</v>
      </c>
      <c r="GR36" s="83">
        <v>1</v>
      </c>
    </row>
    <row r="37" spans="2:200" ht="15">
      <c r="B37" s="22" t="s">
        <v>65</v>
      </c>
      <c r="C37" s="23" t="s">
        <v>62</v>
      </c>
      <c r="D37" s="24" t="str">
        <f>IF(C37="","",_xlfn.XLOOKUP(C37,'[1]Control Sheet'!$L$5:$L$104,'[1]Control Sheet'!$M$5:$M$104,"",0))</f>
        <v>Car_Parks_Host</v>
      </c>
      <c r="E37" s="24" t="str">
        <f>IF(B37="","",_xlfn.XLOOKUP(B37,'[1]Control Sheet'!$D$5:$D$64,'[1]Control Sheet'!$F$5:$F$64,"",0))</f>
        <v>Car Parks</v>
      </c>
      <c r="F37" s="24" t="str">
        <f>IF(B37="","",_xlfn.XLOOKUP(B37,'[1]Control Sheet'!$D$5:$D$64,'[1]Control Sheet'!$E$5:$E$64,"",0))</f>
        <v>C1460-N</v>
      </c>
      <c r="I37" s="25">
        <v>0.38541666666666669</v>
      </c>
      <c r="J37" s="26">
        <v>0.58333333333333337</v>
      </c>
      <c r="K37" s="27">
        <v>45</v>
      </c>
      <c r="L37" s="28">
        <v>1</v>
      </c>
      <c r="M37" s="29">
        <v>1</v>
      </c>
      <c r="P37" s="25"/>
      <c r="Q37" s="26"/>
      <c r="R37" s="27"/>
      <c r="S37" s="28"/>
      <c r="T37" s="29"/>
      <c r="V37" s="25"/>
      <c r="W37" s="26"/>
      <c r="X37" s="27"/>
      <c r="Y37" s="28"/>
      <c r="Z37" s="29"/>
      <c r="AB37" s="25">
        <v>0.35416666666666669</v>
      </c>
      <c r="AC37" s="26">
        <v>0.58333333333333337</v>
      </c>
      <c r="AD37" s="27">
        <v>45</v>
      </c>
      <c r="AE37" s="28">
        <v>1</v>
      </c>
      <c r="AF37" s="29">
        <v>1</v>
      </c>
      <c r="AH37" s="25">
        <v>0.35416666666666669</v>
      </c>
      <c r="AI37" s="26">
        <v>0.625</v>
      </c>
      <c r="AJ37" s="27">
        <v>45</v>
      </c>
      <c r="AK37" s="28">
        <v>1</v>
      </c>
      <c r="AL37" s="29">
        <v>1</v>
      </c>
      <c r="AN37" s="25">
        <v>0.35416666666666669</v>
      </c>
      <c r="AO37" s="26">
        <v>0.58333333333333337</v>
      </c>
      <c r="AP37" s="27">
        <v>45</v>
      </c>
      <c r="AQ37" s="28">
        <v>1</v>
      </c>
      <c r="AR37" s="29">
        <v>1</v>
      </c>
      <c r="AT37" s="25">
        <v>0.35416666666666669</v>
      </c>
      <c r="AU37" s="26">
        <v>0.625</v>
      </c>
      <c r="AV37" s="27">
        <v>45</v>
      </c>
      <c r="AW37" s="28">
        <v>1</v>
      </c>
      <c r="AX37" s="29">
        <v>1</v>
      </c>
      <c r="AZ37" s="25">
        <v>0.35416666666666669</v>
      </c>
      <c r="BA37" s="26">
        <v>0.58333333333333337</v>
      </c>
      <c r="BB37" s="27">
        <v>45</v>
      </c>
      <c r="BC37" s="28">
        <v>1</v>
      </c>
      <c r="BD37" s="29">
        <v>1</v>
      </c>
      <c r="BF37" s="25">
        <v>0.35416666666666669</v>
      </c>
      <c r="BG37" s="26">
        <v>0.58333333333333337</v>
      </c>
      <c r="BH37" s="27">
        <v>45</v>
      </c>
      <c r="BI37" s="28">
        <v>1</v>
      </c>
      <c r="BJ37" s="29">
        <v>1</v>
      </c>
      <c r="BL37" s="25"/>
      <c r="BM37" s="26"/>
      <c r="BN37" s="27"/>
      <c r="BO37" s="28"/>
      <c r="BP37" s="29"/>
      <c r="BR37" s="25"/>
      <c r="BS37" s="26"/>
      <c r="BT37" s="27"/>
      <c r="BU37" s="28"/>
      <c r="BV37" s="29"/>
      <c r="BX37" s="25"/>
      <c r="BY37" s="26"/>
      <c r="BZ37" s="27"/>
      <c r="CA37" s="28"/>
      <c r="CB37" s="29"/>
      <c r="CD37" s="25"/>
      <c r="CE37" s="26"/>
      <c r="CF37" s="27"/>
      <c r="CG37" s="28"/>
      <c r="CH37" s="29"/>
      <c r="CJ37" s="25"/>
      <c r="CK37" s="26"/>
      <c r="CL37" s="27"/>
      <c r="CM37" s="28"/>
      <c r="CN37" s="29"/>
      <c r="CP37" s="25"/>
      <c r="CQ37" s="26"/>
      <c r="CR37" s="27"/>
      <c r="CS37" s="28"/>
      <c r="CT37" s="29"/>
      <c r="CV37" s="25"/>
      <c r="CW37" s="26"/>
      <c r="CX37" s="27"/>
      <c r="CY37" s="28"/>
      <c r="CZ37" s="29"/>
      <c r="DA37" s="79">
        <f t="shared" si="0"/>
        <v>0</v>
      </c>
      <c r="DB37" s="80" t="e">
        <f>DA37*#REF!</f>
        <v>#REF!</v>
      </c>
      <c r="DC37" s="81" t="e">
        <f>DA37*#REF!</f>
        <v>#REF!</v>
      </c>
      <c r="DE37" s="25"/>
      <c r="DF37" s="26"/>
      <c r="DG37" s="27"/>
      <c r="DH37" s="28"/>
      <c r="DI37" s="29"/>
      <c r="DJ37" s="79">
        <f t="shared" si="1"/>
        <v>0</v>
      </c>
      <c r="DK37" s="80" t="e">
        <f>DJ37*#REF!</f>
        <v>#REF!</v>
      </c>
      <c r="DL37" s="81" t="e">
        <f>DJ37*#REF!</f>
        <v>#REF!</v>
      </c>
      <c r="DN37" s="25"/>
      <c r="DO37" s="26"/>
      <c r="DP37" s="27"/>
      <c r="DQ37" s="28"/>
      <c r="DR37" s="29"/>
      <c r="DS37" s="79">
        <f t="shared" si="2"/>
        <v>0</v>
      </c>
      <c r="DT37" s="80" t="e">
        <f>DS37*#REF!</f>
        <v>#REF!</v>
      </c>
      <c r="DU37" s="81" t="e">
        <f>DS37*#REF!</f>
        <v>#REF!</v>
      </c>
      <c r="DW37" s="25"/>
      <c r="DX37" s="26"/>
      <c r="DY37" s="27"/>
      <c r="DZ37" s="28"/>
      <c r="EA37" s="29"/>
      <c r="EB37" s="79">
        <f t="shared" si="3"/>
        <v>0</v>
      </c>
      <c r="EC37" s="80" t="e">
        <f>EB37*#REF!</f>
        <v>#REF!</v>
      </c>
      <c r="ED37" s="81" t="e">
        <f>EB37*#REF!</f>
        <v>#REF!</v>
      </c>
      <c r="EF37" s="25"/>
      <c r="EG37" s="26"/>
      <c r="EH37" s="27"/>
      <c r="EI37" s="28"/>
      <c r="EJ37" s="29"/>
      <c r="EK37" s="79">
        <f t="shared" si="4"/>
        <v>0</v>
      </c>
      <c r="EL37" s="80" t="e">
        <f>EK37*#REF!</f>
        <v>#REF!</v>
      </c>
      <c r="EM37" s="81" t="e">
        <f>EK37*#REF!</f>
        <v>#REF!</v>
      </c>
      <c r="EO37" s="25"/>
      <c r="EP37" s="26"/>
      <c r="EQ37" s="27"/>
      <c r="ER37" s="28"/>
      <c r="ES37" s="29"/>
      <c r="ET37" s="79">
        <f t="shared" si="5"/>
        <v>0</v>
      </c>
      <c r="EU37" s="80" t="e">
        <f>ET37*#REF!</f>
        <v>#REF!</v>
      </c>
      <c r="EV37" s="81" t="e">
        <f>ET37*#REF!</f>
        <v>#REF!</v>
      </c>
      <c r="EX37" s="25"/>
      <c r="EY37" s="26"/>
      <c r="EZ37" s="27"/>
      <c r="FA37" s="28"/>
      <c r="FB37" s="29"/>
      <c r="FC37" s="79">
        <f t="shared" si="6"/>
        <v>0</v>
      </c>
      <c r="FD37" s="80" t="e">
        <f>FC37*#REF!</f>
        <v>#REF!</v>
      </c>
      <c r="FE37" s="81" t="e">
        <f>FC37*#REF!</f>
        <v>#REF!</v>
      </c>
      <c r="FG37" s="25"/>
      <c r="FH37" s="26"/>
      <c r="FI37" s="27"/>
      <c r="FJ37" s="28"/>
      <c r="FK37" s="29"/>
      <c r="FL37" s="79">
        <f t="shared" si="7"/>
        <v>0</v>
      </c>
      <c r="FM37" s="80" t="e">
        <f>FL37*#REF!</f>
        <v>#REF!</v>
      </c>
      <c r="FN37" s="81" t="e">
        <f>FL37*#REF!</f>
        <v>#REF!</v>
      </c>
      <c r="FP37" s="25"/>
      <c r="FQ37" s="26"/>
      <c r="FR37" s="27"/>
      <c r="FS37" s="28"/>
      <c r="FT37" s="29"/>
      <c r="FU37" s="79">
        <f t="shared" si="8"/>
        <v>0</v>
      </c>
      <c r="FV37" s="80" t="e">
        <f>FU37*#REF!</f>
        <v>#REF!</v>
      </c>
      <c r="FW37" s="81" t="e">
        <f>FU37*#REF!</f>
        <v>#REF!</v>
      </c>
      <c r="FY37" s="25"/>
      <c r="FZ37" s="26"/>
      <c r="GA37" s="27"/>
      <c r="GB37" s="28"/>
      <c r="GC37" s="29"/>
      <c r="GD37" s="79">
        <f t="shared" si="9"/>
        <v>0</v>
      </c>
      <c r="GE37" s="80" t="e">
        <f>GD37*#REF!</f>
        <v>#REF!</v>
      </c>
      <c r="GF37" s="81" t="e">
        <f>GD37*#REF!</f>
        <v>#REF!</v>
      </c>
      <c r="GH37" s="25"/>
      <c r="GI37" s="26"/>
      <c r="GJ37" s="27"/>
      <c r="GK37" s="28"/>
      <c r="GL37" s="29"/>
      <c r="GM37" s="79">
        <f t="shared" si="10"/>
        <v>0</v>
      </c>
      <c r="GN37" s="80" t="e">
        <f>GM37*#REF!</f>
        <v>#REF!</v>
      </c>
      <c r="GO37" s="81" t="e">
        <f>GM37*#REF!</f>
        <v>#REF!</v>
      </c>
      <c r="GQ37" s="82">
        <f t="shared" si="11"/>
        <v>1</v>
      </c>
      <c r="GR37" s="83">
        <v>1</v>
      </c>
    </row>
    <row r="38" spans="2:200" ht="15">
      <c r="B38" s="22" t="s">
        <v>66</v>
      </c>
      <c r="C38" s="23" t="s">
        <v>62</v>
      </c>
      <c r="D38" s="24" t="str">
        <f>IF(C38="","",_xlfn.XLOOKUP(C38,'[1]Control Sheet'!$L$5:$L$104,'[1]Control Sheet'!$M$5:$M$104,"",0))</f>
        <v>Car_Parks_Host</v>
      </c>
      <c r="E38" s="24" t="str">
        <f>IF(B38="","",_xlfn.XLOOKUP(B38,'[1]Control Sheet'!$D$5:$D$64,'[1]Control Sheet'!$F$5:$F$64,"",0))</f>
        <v>Car Parks</v>
      </c>
      <c r="F38" s="24" t="str">
        <f>IF(B38="","",_xlfn.XLOOKUP(B38,'[1]Control Sheet'!$D$5:$D$64,'[1]Control Sheet'!$E$5:$E$64,"",0))</f>
        <v>C1460-N</v>
      </c>
      <c r="I38" s="25"/>
      <c r="J38" s="26"/>
      <c r="K38" s="27"/>
      <c r="L38" s="28"/>
      <c r="M38" s="29"/>
      <c r="P38" s="25"/>
      <c r="Q38" s="26"/>
      <c r="R38" s="27"/>
      <c r="S38" s="28"/>
      <c r="T38" s="29"/>
      <c r="V38" s="25"/>
      <c r="W38" s="26"/>
      <c r="X38" s="27"/>
      <c r="Y38" s="28"/>
      <c r="Z38" s="29"/>
      <c r="AB38" s="31"/>
      <c r="AC38" s="26"/>
      <c r="AD38" s="27"/>
      <c r="AE38" s="33"/>
      <c r="AF38" s="35"/>
      <c r="AH38" s="31">
        <v>0.35416666666666669</v>
      </c>
      <c r="AI38" s="26">
        <v>0.75</v>
      </c>
      <c r="AJ38" s="27">
        <v>45</v>
      </c>
      <c r="AK38" s="33">
        <v>1</v>
      </c>
      <c r="AL38" s="35">
        <v>1</v>
      </c>
      <c r="AN38" s="25">
        <v>0.35416666666666669</v>
      </c>
      <c r="AO38" s="26">
        <v>0.58333333333333337</v>
      </c>
      <c r="AP38" s="27">
        <v>45</v>
      </c>
      <c r="AQ38" s="28">
        <v>1</v>
      </c>
      <c r="AR38" s="29">
        <v>1</v>
      </c>
      <c r="AT38" s="31">
        <v>0.35416666666666669</v>
      </c>
      <c r="AU38" s="26">
        <v>0.75</v>
      </c>
      <c r="AV38" s="27">
        <v>45</v>
      </c>
      <c r="AW38" s="33">
        <v>1</v>
      </c>
      <c r="AX38" s="35">
        <v>1</v>
      </c>
      <c r="AZ38" s="25">
        <v>0.35416666666666669</v>
      </c>
      <c r="BA38" s="26">
        <v>0.58333333333333337</v>
      </c>
      <c r="BB38" s="27">
        <v>45</v>
      </c>
      <c r="BC38" s="28">
        <v>1</v>
      </c>
      <c r="BD38" s="29">
        <v>1</v>
      </c>
      <c r="BF38" s="25">
        <v>0.35416666666666669</v>
      </c>
      <c r="BG38" s="26">
        <v>0.58333333333333337</v>
      </c>
      <c r="BH38" s="27">
        <v>45</v>
      </c>
      <c r="BI38" s="28">
        <v>1</v>
      </c>
      <c r="BJ38" s="29">
        <v>1</v>
      </c>
      <c r="BL38" s="25"/>
      <c r="BM38" s="26"/>
      <c r="BN38" s="27"/>
      <c r="BO38" s="28"/>
      <c r="BP38" s="29"/>
      <c r="BR38" s="25"/>
      <c r="BS38" s="26"/>
      <c r="BT38" s="27"/>
      <c r="BU38" s="28"/>
      <c r="BV38" s="29"/>
      <c r="BX38" s="25"/>
      <c r="BY38" s="26"/>
      <c r="BZ38" s="27"/>
      <c r="CA38" s="28"/>
      <c r="CB38" s="29"/>
      <c r="CD38" s="25"/>
      <c r="CE38" s="26"/>
      <c r="CF38" s="27"/>
      <c r="CG38" s="28"/>
      <c r="CH38" s="29"/>
      <c r="CJ38" s="25"/>
      <c r="CK38" s="26"/>
      <c r="CL38" s="27"/>
      <c r="CM38" s="28"/>
      <c r="CN38" s="29"/>
      <c r="CP38" s="25"/>
      <c r="CQ38" s="26"/>
      <c r="CR38" s="27"/>
      <c r="CS38" s="28"/>
      <c r="CT38" s="29"/>
      <c r="CV38" s="25"/>
      <c r="CW38" s="26"/>
      <c r="CX38" s="27"/>
      <c r="CY38" s="28"/>
      <c r="CZ38" s="29"/>
      <c r="DA38" s="79">
        <f t="shared" si="0"/>
        <v>0</v>
      </c>
      <c r="DB38" s="80" t="e">
        <f>DA38*#REF!</f>
        <v>#REF!</v>
      </c>
      <c r="DC38" s="81" t="e">
        <f>DA38*#REF!</f>
        <v>#REF!</v>
      </c>
      <c r="DE38" s="25"/>
      <c r="DF38" s="26"/>
      <c r="DG38" s="27"/>
      <c r="DH38" s="28"/>
      <c r="DI38" s="29"/>
      <c r="DJ38" s="79">
        <f t="shared" si="1"/>
        <v>0</v>
      </c>
      <c r="DK38" s="80" t="e">
        <f>DJ38*#REF!</f>
        <v>#REF!</v>
      </c>
      <c r="DL38" s="81" t="e">
        <f>DJ38*#REF!</f>
        <v>#REF!</v>
      </c>
      <c r="DN38" s="25"/>
      <c r="DO38" s="26"/>
      <c r="DP38" s="27"/>
      <c r="DQ38" s="28"/>
      <c r="DR38" s="29"/>
      <c r="DS38" s="79">
        <f t="shared" si="2"/>
        <v>0</v>
      </c>
      <c r="DT38" s="80" t="e">
        <f>DS38*#REF!</f>
        <v>#REF!</v>
      </c>
      <c r="DU38" s="81" t="e">
        <f>DS38*#REF!</f>
        <v>#REF!</v>
      </c>
      <c r="DW38" s="25"/>
      <c r="DX38" s="26"/>
      <c r="DY38" s="27"/>
      <c r="DZ38" s="28"/>
      <c r="EA38" s="29"/>
      <c r="EB38" s="79">
        <f t="shared" si="3"/>
        <v>0</v>
      </c>
      <c r="EC38" s="80" t="e">
        <f>EB38*#REF!</f>
        <v>#REF!</v>
      </c>
      <c r="ED38" s="81" t="e">
        <f>EB38*#REF!</f>
        <v>#REF!</v>
      </c>
      <c r="EF38" s="25"/>
      <c r="EG38" s="26"/>
      <c r="EH38" s="27"/>
      <c r="EI38" s="28"/>
      <c r="EJ38" s="29"/>
      <c r="EK38" s="79">
        <f t="shared" si="4"/>
        <v>0</v>
      </c>
      <c r="EL38" s="80" t="e">
        <f>EK38*#REF!</f>
        <v>#REF!</v>
      </c>
      <c r="EM38" s="81" t="e">
        <f>EK38*#REF!</f>
        <v>#REF!</v>
      </c>
      <c r="EO38" s="25"/>
      <c r="EP38" s="26"/>
      <c r="EQ38" s="27"/>
      <c r="ER38" s="28"/>
      <c r="ES38" s="29"/>
      <c r="ET38" s="79">
        <f t="shared" si="5"/>
        <v>0</v>
      </c>
      <c r="EU38" s="80" t="e">
        <f>ET38*#REF!</f>
        <v>#REF!</v>
      </c>
      <c r="EV38" s="81" t="e">
        <f>ET38*#REF!</f>
        <v>#REF!</v>
      </c>
      <c r="EX38" s="25"/>
      <c r="EY38" s="26"/>
      <c r="EZ38" s="27"/>
      <c r="FA38" s="28"/>
      <c r="FB38" s="29"/>
      <c r="FC38" s="79">
        <f t="shared" si="6"/>
        <v>0</v>
      </c>
      <c r="FD38" s="80" t="e">
        <f>FC38*#REF!</f>
        <v>#REF!</v>
      </c>
      <c r="FE38" s="81" t="e">
        <f>FC38*#REF!</f>
        <v>#REF!</v>
      </c>
      <c r="FG38" s="25"/>
      <c r="FH38" s="26"/>
      <c r="FI38" s="27"/>
      <c r="FJ38" s="28"/>
      <c r="FK38" s="29"/>
      <c r="FL38" s="79">
        <f t="shared" si="7"/>
        <v>0</v>
      </c>
      <c r="FM38" s="80" t="e">
        <f>FL38*#REF!</f>
        <v>#REF!</v>
      </c>
      <c r="FN38" s="81" t="e">
        <f>FL38*#REF!</f>
        <v>#REF!</v>
      </c>
      <c r="FP38" s="25"/>
      <c r="FQ38" s="26"/>
      <c r="FR38" s="27"/>
      <c r="FS38" s="28"/>
      <c r="FT38" s="29"/>
      <c r="FU38" s="79">
        <f t="shared" si="8"/>
        <v>0</v>
      </c>
      <c r="FV38" s="80" t="e">
        <f>FU38*#REF!</f>
        <v>#REF!</v>
      </c>
      <c r="FW38" s="81" t="e">
        <f>FU38*#REF!</f>
        <v>#REF!</v>
      </c>
      <c r="FY38" s="25"/>
      <c r="FZ38" s="26"/>
      <c r="GA38" s="27"/>
      <c r="GB38" s="28"/>
      <c r="GC38" s="29"/>
      <c r="GD38" s="79">
        <f t="shared" si="9"/>
        <v>0</v>
      </c>
      <c r="GE38" s="80" t="e">
        <f>GD38*#REF!</f>
        <v>#REF!</v>
      </c>
      <c r="GF38" s="81" t="e">
        <f>GD38*#REF!</f>
        <v>#REF!</v>
      </c>
      <c r="GH38" s="25"/>
      <c r="GI38" s="26"/>
      <c r="GJ38" s="27"/>
      <c r="GK38" s="28"/>
      <c r="GL38" s="29"/>
      <c r="GM38" s="79">
        <f t="shared" si="10"/>
        <v>0</v>
      </c>
      <c r="GN38" s="80" t="e">
        <f>GM38*#REF!</f>
        <v>#REF!</v>
      </c>
      <c r="GO38" s="81" t="e">
        <f>GM38*#REF!</f>
        <v>#REF!</v>
      </c>
      <c r="GQ38" s="82">
        <f t="shared" ref="GQ38:GQ69" si="12">_xlfn.MAXIFS(I38:GO38,$I$5:$GO$5,"Staff #")</f>
        <v>1</v>
      </c>
      <c r="GR38" s="83">
        <v>1</v>
      </c>
    </row>
    <row r="39" spans="2:200" ht="15">
      <c r="B39" s="22" t="s">
        <v>66</v>
      </c>
      <c r="C39" s="23" t="s">
        <v>62</v>
      </c>
      <c r="D39" s="24" t="str">
        <f>IF(C39="","",_xlfn.XLOOKUP(C39,'[1]Control Sheet'!$L$5:$L$104,'[1]Control Sheet'!$M$5:$M$104,"",0))</f>
        <v>Car_Parks_Host</v>
      </c>
      <c r="E39" s="24" t="str">
        <f>IF(B39="","",_xlfn.XLOOKUP(B39,'[1]Control Sheet'!$D$5:$D$64,'[1]Control Sheet'!$F$5:$F$64,"",0))</f>
        <v>Car Parks</v>
      </c>
      <c r="F39" s="24" t="str">
        <f>IF(B39="","",_xlfn.XLOOKUP(B39,'[1]Control Sheet'!$D$5:$D$64,'[1]Control Sheet'!$E$5:$E$64,"",0))</f>
        <v>C1460-N</v>
      </c>
      <c r="I39" s="25"/>
      <c r="J39" s="26"/>
      <c r="K39" s="27"/>
      <c r="L39" s="28"/>
      <c r="M39" s="29"/>
      <c r="P39" s="25"/>
      <c r="Q39" s="26"/>
      <c r="R39" s="27"/>
      <c r="S39" s="28"/>
      <c r="T39" s="29"/>
      <c r="V39" s="25"/>
      <c r="W39" s="26"/>
      <c r="X39" s="27"/>
      <c r="Y39" s="28"/>
      <c r="Z39" s="29"/>
      <c r="AB39" s="31"/>
      <c r="AC39" s="26"/>
      <c r="AD39" s="27"/>
      <c r="AE39" s="33"/>
      <c r="AF39" s="35"/>
      <c r="AH39" s="31"/>
      <c r="AI39" s="26"/>
      <c r="AJ39" s="27"/>
      <c r="AK39" s="33"/>
      <c r="AL39" s="35"/>
      <c r="AN39" s="25">
        <v>0.5625</v>
      </c>
      <c r="AO39" s="26">
        <v>0.79166666666666663</v>
      </c>
      <c r="AP39" s="27">
        <v>45</v>
      </c>
      <c r="AQ39" s="28">
        <v>1</v>
      </c>
      <c r="AR39" s="29">
        <v>1</v>
      </c>
      <c r="AT39" s="31"/>
      <c r="AU39" s="26"/>
      <c r="AV39" s="27"/>
      <c r="AW39" s="33"/>
      <c r="AX39" s="35"/>
      <c r="AZ39" s="25">
        <v>0.5625</v>
      </c>
      <c r="BA39" s="26">
        <v>0.79166666666666663</v>
      </c>
      <c r="BB39" s="27">
        <v>45</v>
      </c>
      <c r="BC39" s="28">
        <v>1</v>
      </c>
      <c r="BD39" s="29">
        <v>1</v>
      </c>
      <c r="BF39" s="25">
        <v>0.5625</v>
      </c>
      <c r="BG39" s="26">
        <v>0.83333333333333337</v>
      </c>
      <c r="BH39" s="27">
        <v>45</v>
      </c>
      <c r="BI39" s="28">
        <v>1</v>
      </c>
      <c r="BJ39" s="29">
        <v>1</v>
      </c>
      <c r="BL39" s="25"/>
      <c r="BM39" s="26"/>
      <c r="BN39" s="27"/>
      <c r="BO39" s="28"/>
      <c r="BP39" s="29"/>
      <c r="BR39" s="25"/>
      <c r="BS39" s="26"/>
      <c r="BT39" s="27"/>
      <c r="BU39" s="28"/>
      <c r="BV39" s="29"/>
      <c r="BX39" s="25"/>
      <c r="BY39" s="26"/>
      <c r="BZ39" s="27"/>
      <c r="CA39" s="28"/>
      <c r="CB39" s="29"/>
      <c r="CD39" s="25"/>
      <c r="CE39" s="26"/>
      <c r="CF39" s="27"/>
      <c r="CG39" s="28"/>
      <c r="CH39" s="29"/>
      <c r="CJ39" s="25"/>
      <c r="CK39" s="26"/>
      <c r="CL39" s="27"/>
      <c r="CM39" s="28"/>
      <c r="CN39" s="29"/>
      <c r="CP39" s="25"/>
      <c r="CQ39" s="26"/>
      <c r="CR39" s="27"/>
      <c r="CS39" s="28"/>
      <c r="CT39" s="29"/>
      <c r="CV39" s="25"/>
      <c r="CW39" s="26"/>
      <c r="CX39" s="27"/>
      <c r="CY39" s="28"/>
      <c r="CZ39" s="29"/>
      <c r="DA39" s="79">
        <f t="shared" si="0"/>
        <v>0</v>
      </c>
      <c r="DB39" s="80" t="e">
        <f>DA39*#REF!</f>
        <v>#REF!</v>
      </c>
      <c r="DC39" s="81" t="e">
        <f>DA39*#REF!</f>
        <v>#REF!</v>
      </c>
      <c r="DE39" s="25"/>
      <c r="DF39" s="26"/>
      <c r="DG39" s="27"/>
      <c r="DH39" s="28"/>
      <c r="DI39" s="29"/>
      <c r="DJ39" s="79">
        <f t="shared" si="1"/>
        <v>0</v>
      </c>
      <c r="DK39" s="80" t="e">
        <f>DJ39*#REF!</f>
        <v>#REF!</v>
      </c>
      <c r="DL39" s="81" t="e">
        <f>DJ39*#REF!</f>
        <v>#REF!</v>
      </c>
      <c r="DN39" s="25"/>
      <c r="DO39" s="26"/>
      <c r="DP39" s="27"/>
      <c r="DQ39" s="28"/>
      <c r="DR39" s="29"/>
      <c r="DS39" s="79">
        <f t="shared" si="2"/>
        <v>0</v>
      </c>
      <c r="DT39" s="80" t="e">
        <f>DS39*#REF!</f>
        <v>#REF!</v>
      </c>
      <c r="DU39" s="81" t="e">
        <f>DS39*#REF!</f>
        <v>#REF!</v>
      </c>
      <c r="DW39" s="25"/>
      <c r="DX39" s="26"/>
      <c r="DY39" s="27"/>
      <c r="DZ39" s="28"/>
      <c r="EA39" s="29"/>
      <c r="EB39" s="79">
        <f t="shared" si="3"/>
        <v>0</v>
      </c>
      <c r="EC39" s="80" t="e">
        <f>EB39*#REF!</f>
        <v>#REF!</v>
      </c>
      <c r="ED39" s="81" t="e">
        <f>EB39*#REF!</f>
        <v>#REF!</v>
      </c>
      <c r="EF39" s="25"/>
      <c r="EG39" s="26"/>
      <c r="EH39" s="27"/>
      <c r="EI39" s="28"/>
      <c r="EJ39" s="29"/>
      <c r="EK39" s="79">
        <f t="shared" si="4"/>
        <v>0</v>
      </c>
      <c r="EL39" s="80" t="e">
        <f>EK39*#REF!</f>
        <v>#REF!</v>
      </c>
      <c r="EM39" s="81" t="e">
        <f>EK39*#REF!</f>
        <v>#REF!</v>
      </c>
      <c r="EO39" s="25"/>
      <c r="EP39" s="26"/>
      <c r="EQ39" s="27"/>
      <c r="ER39" s="28"/>
      <c r="ES39" s="29"/>
      <c r="ET39" s="79">
        <f t="shared" si="5"/>
        <v>0</v>
      </c>
      <c r="EU39" s="80" t="e">
        <f>ET39*#REF!</f>
        <v>#REF!</v>
      </c>
      <c r="EV39" s="81" t="e">
        <f>ET39*#REF!</f>
        <v>#REF!</v>
      </c>
      <c r="EX39" s="25"/>
      <c r="EY39" s="26"/>
      <c r="EZ39" s="27"/>
      <c r="FA39" s="28"/>
      <c r="FB39" s="29"/>
      <c r="FC39" s="79">
        <f t="shared" si="6"/>
        <v>0</v>
      </c>
      <c r="FD39" s="80" t="e">
        <f>FC39*#REF!</f>
        <v>#REF!</v>
      </c>
      <c r="FE39" s="81" t="e">
        <f>FC39*#REF!</f>
        <v>#REF!</v>
      </c>
      <c r="FG39" s="25"/>
      <c r="FH39" s="26"/>
      <c r="FI39" s="27"/>
      <c r="FJ39" s="28"/>
      <c r="FK39" s="29"/>
      <c r="FL39" s="79">
        <f t="shared" si="7"/>
        <v>0</v>
      </c>
      <c r="FM39" s="80" t="e">
        <f>FL39*#REF!</f>
        <v>#REF!</v>
      </c>
      <c r="FN39" s="81" t="e">
        <f>FL39*#REF!</f>
        <v>#REF!</v>
      </c>
      <c r="FP39" s="25"/>
      <c r="FQ39" s="26"/>
      <c r="FR39" s="27"/>
      <c r="FS39" s="28"/>
      <c r="FT39" s="29"/>
      <c r="FU39" s="79">
        <f t="shared" si="8"/>
        <v>0</v>
      </c>
      <c r="FV39" s="80" t="e">
        <f>FU39*#REF!</f>
        <v>#REF!</v>
      </c>
      <c r="FW39" s="81" t="e">
        <f>FU39*#REF!</f>
        <v>#REF!</v>
      </c>
      <c r="FY39" s="25"/>
      <c r="FZ39" s="26"/>
      <c r="GA39" s="27"/>
      <c r="GB39" s="28"/>
      <c r="GC39" s="29"/>
      <c r="GD39" s="79">
        <f t="shared" si="9"/>
        <v>0</v>
      </c>
      <c r="GE39" s="80" t="e">
        <f>GD39*#REF!</f>
        <v>#REF!</v>
      </c>
      <c r="GF39" s="81" t="e">
        <f>GD39*#REF!</f>
        <v>#REF!</v>
      </c>
      <c r="GH39" s="25"/>
      <c r="GI39" s="26"/>
      <c r="GJ39" s="27"/>
      <c r="GK39" s="28"/>
      <c r="GL39" s="29"/>
      <c r="GM39" s="79">
        <f t="shared" si="10"/>
        <v>0</v>
      </c>
      <c r="GN39" s="80" t="e">
        <f>GM39*#REF!</f>
        <v>#REF!</v>
      </c>
      <c r="GO39" s="81" t="e">
        <f>GM39*#REF!</f>
        <v>#REF!</v>
      </c>
      <c r="GQ39" s="82">
        <f t="shared" si="12"/>
        <v>1</v>
      </c>
      <c r="GR39" s="83">
        <v>1</v>
      </c>
    </row>
    <row r="40" spans="2:200" ht="15">
      <c r="B40" s="22" t="s">
        <v>67</v>
      </c>
      <c r="C40" s="23" t="s">
        <v>62</v>
      </c>
      <c r="D40" s="24" t="str">
        <f>IF(C40="","",_xlfn.XLOOKUP(C40,'[1]Control Sheet'!$L$5:$L$104,'[1]Control Sheet'!$M$5:$M$104,"",0))</f>
        <v>Car_Parks_Host</v>
      </c>
      <c r="E40" s="24" t="str">
        <f>IF(B40="","",_xlfn.XLOOKUP(B40,'[1]Control Sheet'!$D$5:$D$64,'[1]Control Sheet'!$F$5:$F$64,"",0))</f>
        <v>Car Parks</v>
      </c>
      <c r="F40" s="24" t="str">
        <f>IF(B40="","",_xlfn.XLOOKUP(B40,'[1]Control Sheet'!$D$5:$D$64,'[1]Control Sheet'!$E$5:$E$64,"",0))</f>
        <v>C1460-N</v>
      </c>
      <c r="I40" s="25"/>
      <c r="J40" s="26"/>
      <c r="K40" s="27"/>
      <c r="L40" s="28"/>
      <c r="M40" s="29"/>
      <c r="P40" s="25"/>
      <c r="Q40" s="26"/>
      <c r="R40" s="27"/>
      <c r="S40" s="28"/>
      <c r="T40" s="29"/>
      <c r="V40" s="25"/>
      <c r="W40" s="26"/>
      <c r="X40" s="27"/>
      <c r="Y40" s="28"/>
      <c r="Z40" s="29"/>
      <c r="AB40" s="31"/>
      <c r="AC40" s="26"/>
      <c r="AD40" s="27"/>
      <c r="AE40" s="33"/>
      <c r="AF40" s="35"/>
      <c r="AH40" s="31">
        <v>0.35416666666666669</v>
      </c>
      <c r="AI40" s="26">
        <v>0.75</v>
      </c>
      <c r="AJ40" s="27">
        <v>45</v>
      </c>
      <c r="AK40" s="33">
        <v>1</v>
      </c>
      <c r="AL40" s="35">
        <v>1</v>
      </c>
      <c r="AN40" s="25">
        <v>0.35416666666666669</v>
      </c>
      <c r="AO40" s="26">
        <v>0.58333333333333337</v>
      </c>
      <c r="AP40" s="27">
        <v>45</v>
      </c>
      <c r="AQ40" s="28">
        <v>1</v>
      </c>
      <c r="AR40" s="29">
        <v>1</v>
      </c>
      <c r="AT40" s="31">
        <v>0.35416666666666669</v>
      </c>
      <c r="AU40" s="26">
        <v>0.75</v>
      </c>
      <c r="AV40" s="27">
        <v>45</v>
      </c>
      <c r="AW40" s="33">
        <v>1</v>
      </c>
      <c r="AX40" s="35">
        <v>1</v>
      </c>
      <c r="AZ40" s="25">
        <v>0.35416666666666669</v>
      </c>
      <c r="BA40" s="26">
        <v>0.58333333333333337</v>
      </c>
      <c r="BB40" s="27">
        <v>45</v>
      </c>
      <c r="BC40" s="28">
        <v>1</v>
      </c>
      <c r="BD40" s="29">
        <v>1</v>
      </c>
      <c r="BF40" s="25">
        <v>0.35416666666666669</v>
      </c>
      <c r="BG40" s="26">
        <v>0.58333333333333337</v>
      </c>
      <c r="BH40" s="27">
        <v>45</v>
      </c>
      <c r="BI40" s="28">
        <v>1</v>
      </c>
      <c r="BJ40" s="29">
        <v>1</v>
      </c>
      <c r="BL40" s="25"/>
      <c r="BM40" s="26"/>
      <c r="BN40" s="27"/>
      <c r="BO40" s="28"/>
      <c r="BP40" s="29"/>
      <c r="BR40" s="25"/>
      <c r="BS40" s="26"/>
      <c r="BT40" s="27"/>
      <c r="BU40" s="28"/>
      <c r="BV40" s="29"/>
      <c r="BX40" s="25"/>
      <c r="BY40" s="26"/>
      <c r="BZ40" s="27"/>
      <c r="CA40" s="28"/>
      <c r="CB40" s="29"/>
      <c r="CD40" s="25"/>
      <c r="CE40" s="26"/>
      <c r="CF40" s="27"/>
      <c r="CG40" s="28"/>
      <c r="CH40" s="29"/>
      <c r="CJ40" s="25"/>
      <c r="CK40" s="26"/>
      <c r="CL40" s="27"/>
      <c r="CM40" s="28"/>
      <c r="CN40" s="29"/>
      <c r="CP40" s="25"/>
      <c r="CQ40" s="26"/>
      <c r="CR40" s="27"/>
      <c r="CS40" s="28"/>
      <c r="CT40" s="29"/>
      <c r="CV40" s="25"/>
      <c r="CW40" s="26"/>
      <c r="CX40" s="27"/>
      <c r="CY40" s="28"/>
      <c r="CZ40" s="29"/>
      <c r="DA40" s="79">
        <f t="shared" si="0"/>
        <v>0</v>
      </c>
      <c r="DB40" s="80" t="e">
        <f>DA40*#REF!</f>
        <v>#REF!</v>
      </c>
      <c r="DC40" s="81" t="e">
        <f>DA40*#REF!</f>
        <v>#REF!</v>
      </c>
      <c r="DE40" s="25"/>
      <c r="DF40" s="26"/>
      <c r="DG40" s="27"/>
      <c r="DH40" s="28"/>
      <c r="DI40" s="29"/>
      <c r="DJ40" s="79">
        <f t="shared" si="1"/>
        <v>0</v>
      </c>
      <c r="DK40" s="80" t="e">
        <f>DJ40*#REF!</f>
        <v>#REF!</v>
      </c>
      <c r="DL40" s="81" t="e">
        <f>DJ40*#REF!</f>
        <v>#REF!</v>
      </c>
      <c r="DN40" s="25"/>
      <c r="DO40" s="26"/>
      <c r="DP40" s="27"/>
      <c r="DQ40" s="28"/>
      <c r="DR40" s="29"/>
      <c r="DS40" s="79">
        <f t="shared" si="2"/>
        <v>0</v>
      </c>
      <c r="DT40" s="80" t="e">
        <f>DS40*#REF!</f>
        <v>#REF!</v>
      </c>
      <c r="DU40" s="81" t="e">
        <f>DS40*#REF!</f>
        <v>#REF!</v>
      </c>
      <c r="DW40" s="25"/>
      <c r="DX40" s="26"/>
      <c r="DY40" s="27"/>
      <c r="DZ40" s="28"/>
      <c r="EA40" s="29"/>
      <c r="EB40" s="79">
        <f t="shared" si="3"/>
        <v>0</v>
      </c>
      <c r="EC40" s="80" t="e">
        <f>EB40*#REF!</f>
        <v>#REF!</v>
      </c>
      <c r="ED40" s="81" t="e">
        <f>EB40*#REF!</f>
        <v>#REF!</v>
      </c>
      <c r="EF40" s="25"/>
      <c r="EG40" s="26"/>
      <c r="EH40" s="27"/>
      <c r="EI40" s="28"/>
      <c r="EJ40" s="29"/>
      <c r="EK40" s="79">
        <f t="shared" si="4"/>
        <v>0</v>
      </c>
      <c r="EL40" s="80" t="e">
        <f>EK40*#REF!</f>
        <v>#REF!</v>
      </c>
      <c r="EM40" s="81" t="e">
        <f>EK40*#REF!</f>
        <v>#REF!</v>
      </c>
      <c r="EO40" s="25"/>
      <c r="EP40" s="26"/>
      <c r="EQ40" s="27"/>
      <c r="ER40" s="28"/>
      <c r="ES40" s="29"/>
      <c r="ET40" s="79">
        <f t="shared" si="5"/>
        <v>0</v>
      </c>
      <c r="EU40" s="80" t="e">
        <f>ET40*#REF!</f>
        <v>#REF!</v>
      </c>
      <c r="EV40" s="81" t="e">
        <f>ET40*#REF!</f>
        <v>#REF!</v>
      </c>
      <c r="EX40" s="25"/>
      <c r="EY40" s="26"/>
      <c r="EZ40" s="27"/>
      <c r="FA40" s="28"/>
      <c r="FB40" s="29"/>
      <c r="FC40" s="79">
        <f t="shared" si="6"/>
        <v>0</v>
      </c>
      <c r="FD40" s="80" t="e">
        <f>FC40*#REF!</f>
        <v>#REF!</v>
      </c>
      <c r="FE40" s="81" t="e">
        <f>FC40*#REF!</f>
        <v>#REF!</v>
      </c>
      <c r="FG40" s="25"/>
      <c r="FH40" s="26"/>
      <c r="FI40" s="27"/>
      <c r="FJ40" s="28"/>
      <c r="FK40" s="29"/>
      <c r="FL40" s="79">
        <f t="shared" si="7"/>
        <v>0</v>
      </c>
      <c r="FM40" s="80" t="e">
        <f>FL40*#REF!</f>
        <v>#REF!</v>
      </c>
      <c r="FN40" s="81" t="e">
        <f>FL40*#REF!</f>
        <v>#REF!</v>
      </c>
      <c r="FP40" s="25"/>
      <c r="FQ40" s="26"/>
      <c r="FR40" s="27"/>
      <c r="FS40" s="28"/>
      <c r="FT40" s="29"/>
      <c r="FU40" s="79">
        <f t="shared" si="8"/>
        <v>0</v>
      </c>
      <c r="FV40" s="80" t="e">
        <f>FU40*#REF!</f>
        <v>#REF!</v>
      </c>
      <c r="FW40" s="81" t="e">
        <f>FU40*#REF!</f>
        <v>#REF!</v>
      </c>
      <c r="FY40" s="25"/>
      <c r="FZ40" s="26"/>
      <c r="GA40" s="27"/>
      <c r="GB40" s="28"/>
      <c r="GC40" s="29"/>
      <c r="GD40" s="79">
        <f t="shared" si="9"/>
        <v>0</v>
      </c>
      <c r="GE40" s="80" t="e">
        <f>GD40*#REF!</f>
        <v>#REF!</v>
      </c>
      <c r="GF40" s="81" t="e">
        <f>GD40*#REF!</f>
        <v>#REF!</v>
      </c>
      <c r="GH40" s="25"/>
      <c r="GI40" s="26"/>
      <c r="GJ40" s="27"/>
      <c r="GK40" s="28"/>
      <c r="GL40" s="29"/>
      <c r="GM40" s="79">
        <f t="shared" si="10"/>
        <v>0</v>
      </c>
      <c r="GN40" s="80" t="e">
        <f>GM40*#REF!</f>
        <v>#REF!</v>
      </c>
      <c r="GO40" s="81" t="e">
        <f>GM40*#REF!</f>
        <v>#REF!</v>
      </c>
      <c r="GQ40" s="82">
        <f t="shared" si="12"/>
        <v>1</v>
      </c>
      <c r="GR40" s="83">
        <v>1</v>
      </c>
    </row>
    <row r="41" spans="2:200" ht="15">
      <c r="B41" s="22" t="s">
        <v>67</v>
      </c>
      <c r="C41" s="23" t="s">
        <v>62</v>
      </c>
      <c r="D41" s="24" t="str">
        <f>IF(C41="","",_xlfn.XLOOKUP(C41,'[1]Control Sheet'!$L$5:$L$104,'[1]Control Sheet'!$M$5:$M$104,"",0))</f>
        <v>Car_Parks_Host</v>
      </c>
      <c r="E41" s="24" t="str">
        <f>IF(B41="","",_xlfn.XLOOKUP(B41,'[1]Control Sheet'!$D$5:$D$64,'[1]Control Sheet'!$F$5:$F$64,"",0))</f>
        <v>Car Parks</v>
      </c>
      <c r="F41" s="24" t="str">
        <f>IF(B41="","",_xlfn.XLOOKUP(B41,'[1]Control Sheet'!$D$5:$D$64,'[1]Control Sheet'!$E$5:$E$64,"",0))</f>
        <v>C1460-N</v>
      </c>
      <c r="I41" s="25"/>
      <c r="J41" s="26"/>
      <c r="K41" s="27"/>
      <c r="L41" s="28"/>
      <c r="M41" s="29"/>
      <c r="P41" s="25"/>
      <c r="Q41" s="26"/>
      <c r="R41" s="27"/>
      <c r="S41" s="28"/>
      <c r="T41" s="29"/>
      <c r="V41" s="25"/>
      <c r="W41" s="26"/>
      <c r="X41" s="27"/>
      <c r="Y41" s="28"/>
      <c r="Z41" s="29"/>
      <c r="AB41" s="31"/>
      <c r="AC41" s="26"/>
      <c r="AD41" s="27"/>
      <c r="AE41" s="33"/>
      <c r="AF41" s="35"/>
      <c r="AH41" s="31"/>
      <c r="AI41" s="26"/>
      <c r="AJ41" s="27"/>
      <c r="AK41" s="33"/>
      <c r="AL41" s="35"/>
      <c r="AN41" s="25">
        <v>0.5625</v>
      </c>
      <c r="AO41" s="26">
        <v>0.79166666666666663</v>
      </c>
      <c r="AP41" s="27">
        <v>45</v>
      </c>
      <c r="AQ41" s="28">
        <v>1</v>
      </c>
      <c r="AR41" s="29">
        <v>1</v>
      </c>
      <c r="AT41" s="31"/>
      <c r="AU41" s="26"/>
      <c r="AV41" s="27"/>
      <c r="AW41" s="33"/>
      <c r="AX41" s="35"/>
      <c r="AZ41" s="25">
        <v>0.5625</v>
      </c>
      <c r="BA41" s="26">
        <v>0.79166666666666663</v>
      </c>
      <c r="BB41" s="27">
        <v>45</v>
      </c>
      <c r="BC41" s="28">
        <v>1</v>
      </c>
      <c r="BD41" s="29">
        <v>1</v>
      </c>
      <c r="BF41" s="25">
        <v>0.5625</v>
      </c>
      <c r="BG41" s="26">
        <v>0.83333333333333337</v>
      </c>
      <c r="BH41" s="27">
        <v>45</v>
      </c>
      <c r="BI41" s="28">
        <v>1</v>
      </c>
      <c r="BJ41" s="29">
        <v>1</v>
      </c>
      <c r="BL41" s="25"/>
      <c r="BM41" s="26"/>
      <c r="BN41" s="27"/>
      <c r="BO41" s="28"/>
      <c r="BP41" s="29"/>
      <c r="BR41" s="25"/>
      <c r="BS41" s="26"/>
      <c r="BT41" s="27"/>
      <c r="BU41" s="28"/>
      <c r="BV41" s="29"/>
      <c r="BX41" s="25"/>
      <c r="BY41" s="26"/>
      <c r="BZ41" s="27"/>
      <c r="CA41" s="28"/>
      <c r="CB41" s="29"/>
      <c r="CD41" s="25"/>
      <c r="CE41" s="26"/>
      <c r="CF41" s="27"/>
      <c r="CG41" s="28"/>
      <c r="CH41" s="29"/>
      <c r="CJ41" s="25"/>
      <c r="CK41" s="26"/>
      <c r="CL41" s="27"/>
      <c r="CM41" s="28"/>
      <c r="CN41" s="29"/>
      <c r="CP41" s="25"/>
      <c r="CQ41" s="26"/>
      <c r="CR41" s="27"/>
      <c r="CS41" s="28"/>
      <c r="CT41" s="29"/>
      <c r="CV41" s="25"/>
      <c r="CW41" s="26"/>
      <c r="CX41" s="27"/>
      <c r="CY41" s="28"/>
      <c r="CZ41" s="29"/>
      <c r="DA41" s="79">
        <f t="shared" si="0"/>
        <v>0</v>
      </c>
      <c r="DB41" s="80" t="e">
        <f>DA41*#REF!</f>
        <v>#REF!</v>
      </c>
      <c r="DC41" s="81" t="e">
        <f>DA41*#REF!</f>
        <v>#REF!</v>
      </c>
      <c r="DE41" s="25"/>
      <c r="DF41" s="26"/>
      <c r="DG41" s="27"/>
      <c r="DH41" s="28"/>
      <c r="DI41" s="29"/>
      <c r="DJ41" s="79">
        <f t="shared" si="1"/>
        <v>0</v>
      </c>
      <c r="DK41" s="80" t="e">
        <f>DJ41*#REF!</f>
        <v>#REF!</v>
      </c>
      <c r="DL41" s="81" t="e">
        <f>DJ41*#REF!</f>
        <v>#REF!</v>
      </c>
      <c r="DN41" s="25"/>
      <c r="DO41" s="26"/>
      <c r="DP41" s="27"/>
      <c r="DQ41" s="28"/>
      <c r="DR41" s="29"/>
      <c r="DS41" s="79">
        <f t="shared" si="2"/>
        <v>0</v>
      </c>
      <c r="DT41" s="80" t="e">
        <f>DS41*#REF!</f>
        <v>#REF!</v>
      </c>
      <c r="DU41" s="81" t="e">
        <f>DS41*#REF!</f>
        <v>#REF!</v>
      </c>
      <c r="DW41" s="25"/>
      <c r="DX41" s="26"/>
      <c r="DY41" s="27"/>
      <c r="DZ41" s="28"/>
      <c r="EA41" s="29"/>
      <c r="EB41" s="79">
        <f t="shared" si="3"/>
        <v>0</v>
      </c>
      <c r="EC41" s="80" t="e">
        <f>EB41*#REF!</f>
        <v>#REF!</v>
      </c>
      <c r="ED41" s="81" t="e">
        <f>EB41*#REF!</f>
        <v>#REF!</v>
      </c>
      <c r="EF41" s="25"/>
      <c r="EG41" s="26"/>
      <c r="EH41" s="27"/>
      <c r="EI41" s="28"/>
      <c r="EJ41" s="29"/>
      <c r="EK41" s="79">
        <f t="shared" si="4"/>
        <v>0</v>
      </c>
      <c r="EL41" s="80" t="e">
        <f>EK41*#REF!</f>
        <v>#REF!</v>
      </c>
      <c r="EM41" s="81" t="e">
        <f>EK41*#REF!</f>
        <v>#REF!</v>
      </c>
      <c r="EO41" s="25"/>
      <c r="EP41" s="26"/>
      <c r="EQ41" s="27"/>
      <c r="ER41" s="28"/>
      <c r="ES41" s="29"/>
      <c r="ET41" s="79">
        <f t="shared" si="5"/>
        <v>0</v>
      </c>
      <c r="EU41" s="80" t="e">
        <f>ET41*#REF!</f>
        <v>#REF!</v>
      </c>
      <c r="EV41" s="81" t="e">
        <f>ET41*#REF!</f>
        <v>#REF!</v>
      </c>
      <c r="EX41" s="25"/>
      <c r="EY41" s="26"/>
      <c r="EZ41" s="27"/>
      <c r="FA41" s="28"/>
      <c r="FB41" s="29"/>
      <c r="FC41" s="79">
        <f t="shared" si="6"/>
        <v>0</v>
      </c>
      <c r="FD41" s="80" t="e">
        <f>FC41*#REF!</f>
        <v>#REF!</v>
      </c>
      <c r="FE41" s="81" t="e">
        <f>FC41*#REF!</f>
        <v>#REF!</v>
      </c>
      <c r="FG41" s="25"/>
      <c r="FH41" s="26"/>
      <c r="FI41" s="27"/>
      <c r="FJ41" s="28"/>
      <c r="FK41" s="29"/>
      <c r="FL41" s="79">
        <f t="shared" si="7"/>
        <v>0</v>
      </c>
      <c r="FM41" s="80" t="e">
        <f>FL41*#REF!</f>
        <v>#REF!</v>
      </c>
      <c r="FN41" s="81" t="e">
        <f>FL41*#REF!</f>
        <v>#REF!</v>
      </c>
      <c r="FP41" s="25"/>
      <c r="FQ41" s="26"/>
      <c r="FR41" s="27"/>
      <c r="FS41" s="28"/>
      <c r="FT41" s="29"/>
      <c r="FU41" s="79">
        <f t="shared" si="8"/>
        <v>0</v>
      </c>
      <c r="FV41" s="80" t="e">
        <f>FU41*#REF!</f>
        <v>#REF!</v>
      </c>
      <c r="FW41" s="81" t="e">
        <f>FU41*#REF!</f>
        <v>#REF!</v>
      </c>
      <c r="FY41" s="25"/>
      <c r="FZ41" s="26"/>
      <c r="GA41" s="27"/>
      <c r="GB41" s="28"/>
      <c r="GC41" s="29"/>
      <c r="GD41" s="79">
        <f t="shared" si="9"/>
        <v>0</v>
      </c>
      <c r="GE41" s="80" t="e">
        <f>GD41*#REF!</f>
        <v>#REF!</v>
      </c>
      <c r="GF41" s="81" t="e">
        <f>GD41*#REF!</f>
        <v>#REF!</v>
      </c>
      <c r="GH41" s="25"/>
      <c r="GI41" s="26"/>
      <c r="GJ41" s="27"/>
      <c r="GK41" s="28"/>
      <c r="GL41" s="29"/>
      <c r="GM41" s="79">
        <f t="shared" si="10"/>
        <v>0</v>
      </c>
      <c r="GN41" s="80" t="e">
        <f>GM41*#REF!</f>
        <v>#REF!</v>
      </c>
      <c r="GO41" s="81" t="e">
        <f>GM41*#REF!</f>
        <v>#REF!</v>
      </c>
      <c r="GQ41" s="82">
        <f t="shared" si="12"/>
        <v>1</v>
      </c>
      <c r="GR41" s="83">
        <v>1</v>
      </c>
    </row>
    <row r="42" spans="2:200" ht="15">
      <c r="B42" s="22" t="s">
        <v>68</v>
      </c>
      <c r="C42" s="23" t="s">
        <v>62</v>
      </c>
      <c r="D42" s="24" t="str">
        <f>IF(C42="","",_xlfn.XLOOKUP(C42,'[1]Control Sheet'!$L$5:$L$104,'[1]Control Sheet'!$M$5:$M$104,"",0))</f>
        <v>Car_Parks_Host</v>
      </c>
      <c r="E42" s="24" t="str">
        <f>IF(B42="","",_xlfn.XLOOKUP(B42,'[1]Control Sheet'!$D$5:$D$64,'[1]Control Sheet'!$F$5:$F$64,"",0))</f>
        <v>Car Parks</v>
      </c>
      <c r="F42" s="24" t="str">
        <f>IF(B42="","",_xlfn.XLOOKUP(B42,'[1]Control Sheet'!$D$5:$D$64,'[1]Control Sheet'!$E$5:$E$64,"",0))</f>
        <v>C1460-N</v>
      </c>
      <c r="I42" s="25"/>
      <c r="J42" s="26"/>
      <c r="K42" s="27"/>
      <c r="L42" s="28"/>
      <c r="M42" s="29"/>
      <c r="P42" s="25"/>
      <c r="Q42" s="26"/>
      <c r="R42" s="27"/>
      <c r="S42" s="28"/>
      <c r="T42" s="29"/>
      <c r="V42" s="25"/>
      <c r="W42" s="26"/>
      <c r="X42" s="27"/>
      <c r="Y42" s="28"/>
      <c r="Z42" s="29"/>
      <c r="AB42" s="31"/>
      <c r="AC42" s="32"/>
      <c r="AD42" s="33"/>
      <c r="AE42" s="33"/>
      <c r="AF42" s="35"/>
      <c r="AH42" s="31">
        <v>0.35416666666666669</v>
      </c>
      <c r="AI42" s="26">
        <v>0.625</v>
      </c>
      <c r="AJ42" s="27">
        <v>45</v>
      </c>
      <c r="AK42" s="33">
        <v>1</v>
      </c>
      <c r="AL42" s="35">
        <v>1</v>
      </c>
      <c r="AN42" s="25">
        <v>0.35416666666666669</v>
      </c>
      <c r="AO42" s="26">
        <v>0.58333333333333337</v>
      </c>
      <c r="AP42" s="27">
        <v>45</v>
      </c>
      <c r="AQ42" s="28">
        <v>1</v>
      </c>
      <c r="AR42" s="29">
        <v>1</v>
      </c>
      <c r="AT42" s="31">
        <v>0.35416666666666669</v>
      </c>
      <c r="AU42" s="26">
        <v>0.625</v>
      </c>
      <c r="AV42" s="27">
        <v>45</v>
      </c>
      <c r="AW42" s="33">
        <v>1</v>
      </c>
      <c r="AX42" s="35">
        <v>1</v>
      </c>
      <c r="AZ42" s="25">
        <v>0.35416666666666669</v>
      </c>
      <c r="BA42" s="26">
        <v>0.58333333333333337</v>
      </c>
      <c r="BB42" s="27">
        <v>45</v>
      </c>
      <c r="BC42" s="28">
        <v>1</v>
      </c>
      <c r="BD42" s="29">
        <v>1</v>
      </c>
      <c r="BF42" s="25">
        <v>0.35416666666666669</v>
      </c>
      <c r="BG42" s="26">
        <v>0.58333333333333337</v>
      </c>
      <c r="BH42" s="27">
        <v>45</v>
      </c>
      <c r="BI42" s="28">
        <v>1</v>
      </c>
      <c r="BJ42" s="29">
        <v>1</v>
      </c>
      <c r="BL42" s="25"/>
      <c r="BM42" s="26"/>
      <c r="BN42" s="27"/>
      <c r="BO42" s="28"/>
      <c r="BP42" s="29"/>
      <c r="BR42" s="25"/>
      <c r="BS42" s="26"/>
      <c r="BT42" s="27"/>
      <c r="BU42" s="28"/>
      <c r="BV42" s="29"/>
      <c r="BX42" s="25"/>
      <c r="BY42" s="26"/>
      <c r="BZ42" s="27"/>
      <c r="CA42" s="28"/>
      <c r="CB42" s="29"/>
      <c r="CD42" s="25"/>
      <c r="CE42" s="26"/>
      <c r="CF42" s="27"/>
      <c r="CG42" s="28"/>
      <c r="CH42" s="29"/>
      <c r="CJ42" s="25"/>
      <c r="CK42" s="26"/>
      <c r="CL42" s="27"/>
      <c r="CM42" s="28"/>
      <c r="CN42" s="29"/>
      <c r="CP42" s="25"/>
      <c r="CQ42" s="26"/>
      <c r="CR42" s="27"/>
      <c r="CS42" s="28"/>
      <c r="CT42" s="29"/>
      <c r="CV42" s="25"/>
      <c r="CW42" s="26"/>
      <c r="CX42" s="27"/>
      <c r="CY42" s="28"/>
      <c r="CZ42" s="29"/>
      <c r="DA42" s="79">
        <f t="shared" si="0"/>
        <v>0</v>
      </c>
      <c r="DB42" s="80" t="e">
        <f>DA42*#REF!</f>
        <v>#REF!</v>
      </c>
      <c r="DC42" s="81" t="e">
        <f>DA42*#REF!</f>
        <v>#REF!</v>
      </c>
      <c r="DE42" s="25"/>
      <c r="DF42" s="26"/>
      <c r="DG42" s="27"/>
      <c r="DH42" s="28"/>
      <c r="DI42" s="29"/>
      <c r="DJ42" s="79">
        <f t="shared" si="1"/>
        <v>0</v>
      </c>
      <c r="DK42" s="80" t="e">
        <f>DJ42*#REF!</f>
        <v>#REF!</v>
      </c>
      <c r="DL42" s="81" t="e">
        <f>DJ42*#REF!</f>
        <v>#REF!</v>
      </c>
      <c r="DN42" s="25"/>
      <c r="DO42" s="26"/>
      <c r="DP42" s="27"/>
      <c r="DQ42" s="28"/>
      <c r="DR42" s="29"/>
      <c r="DS42" s="79">
        <f t="shared" si="2"/>
        <v>0</v>
      </c>
      <c r="DT42" s="80" t="e">
        <f>DS42*#REF!</f>
        <v>#REF!</v>
      </c>
      <c r="DU42" s="81" t="e">
        <f>DS42*#REF!</f>
        <v>#REF!</v>
      </c>
      <c r="DW42" s="25"/>
      <c r="DX42" s="26"/>
      <c r="DY42" s="27"/>
      <c r="DZ42" s="28"/>
      <c r="EA42" s="29"/>
      <c r="EB42" s="79">
        <f t="shared" si="3"/>
        <v>0</v>
      </c>
      <c r="EC42" s="80" t="e">
        <f>EB42*#REF!</f>
        <v>#REF!</v>
      </c>
      <c r="ED42" s="81" t="e">
        <f>EB42*#REF!</f>
        <v>#REF!</v>
      </c>
      <c r="EF42" s="25"/>
      <c r="EG42" s="26"/>
      <c r="EH42" s="27"/>
      <c r="EI42" s="28"/>
      <c r="EJ42" s="29"/>
      <c r="EK42" s="79">
        <f t="shared" si="4"/>
        <v>0</v>
      </c>
      <c r="EL42" s="80" t="e">
        <f>EK42*#REF!</f>
        <v>#REF!</v>
      </c>
      <c r="EM42" s="81" t="e">
        <f>EK42*#REF!</f>
        <v>#REF!</v>
      </c>
      <c r="EO42" s="25"/>
      <c r="EP42" s="26"/>
      <c r="EQ42" s="27"/>
      <c r="ER42" s="28"/>
      <c r="ES42" s="29"/>
      <c r="ET42" s="79">
        <f t="shared" si="5"/>
        <v>0</v>
      </c>
      <c r="EU42" s="80" t="e">
        <f>ET42*#REF!</f>
        <v>#REF!</v>
      </c>
      <c r="EV42" s="81" t="e">
        <f>ET42*#REF!</f>
        <v>#REF!</v>
      </c>
      <c r="EX42" s="25"/>
      <c r="EY42" s="26"/>
      <c r="EZ42" s="27"/>
      <c r="FA42" s="28"/>
      <c r="FB42" s="29"/>
      <c r="FC42" s="79">
        <f t="shared" si="6"/>
        <v>0</v>
      </c>
      <c r="FD42" s="80" t="e">
        <f>FC42*#REF!</f>
        <v>#REF!</v>
      </c>
      <c r="FE42" s="81" t="e">
        <f>FC42*#REF!</f>
        <v>#REF!</v>
      </c>
      <c r="FG42" s="25"/>
      <c r="FH42" s="26"/>
      <c r="FI42" s="27"/>
      <c r="FJ42" s="28"/>
      <c r="FK42" s="29"/>
      <c r="FL42" s="79">
        <f t="shared" si="7"/>
        <v>0</v>
      </c>
      <c r="FM42" s="80" t="e">
        <f>FL42*#REF!</f>
        <v>#REF!</v>
      </c>
      <c r="FN42" s="81" t="e">
        <f>FL42*#REF!</f>
        <v>#REF!</v>
      </c>
      <c r="FP42" s="25"/>
      <c r="FQ42" s="26"/>
      <c r="FR42" s="27"/>
      <c r="FS42" s="28"/>
      <c r="FT42" s="29"/>
      <c r="FU42" s="79">
        <f t="shared" si="8"/>
        <v>0</v>
      </c>
      <c r="FV42" s="80" t="e">
        <f>FU42*#REF!</f>
        <v>#REF!</v>
      </c>
      <c r="FW42" s="81" t="e">
        <f>FU42*#REF!</f>
        <v>#REF!</v>
      </c>
      <c r="FY42" s="25"/>
      <c r="FZ42" s="26"/>
      <c r="GA42" s="27"/>
      <c r="GB42" s="28"/>
      <c r="GC42" s="29"/>
      <c r="GD42" s="79">
        <f t="shared" si="9"/>
        <v>0</v>
      </c>
      <c r="GE42" s="80" t="e">
        <f>GD42*#REF!</f>
        <v>#REF!</v>
      </c>
      <c r="GF42" s="81" t="e">
        <f>GD42*#REF!</f>
        <v>#REF!</v>
      </c>
      <c r="GH42" s="25"/>
      <c r="GI42" s="26"/>
      <c r="GJ42" s="27"/>
      <c r="GK42" s="28"/>
      <c r="GL42" s="29"/>
      <c r="GM42" s="79">
        <f t="shared" si="10"/>
        <v>0</v>
      </c>
      <c r="GN42" s="80" t="e">
        <f>GM42*#REF!</f>
        <v>#REF!</v>
      </c>
      <c r="GO42" s="81" t="e">
        <f>GM42*#REF!</f>
        <v>#REF!</v>
      </c>
      <c r="GQ42" s="82">
        <f t="shared" si="12"/>
        <v>1</v>
      </c>
      <c r="GR42" s="83">
        <v>1</v>
      </c>
    </row>
    <row r="43" spans="2:200" ht="15">
      <c r="B43" s="22"/>
      <c r="C43" s="23"/>
      <c r="D43" s="24" t="str">
        <f>IF(C43="","",_xlfn.XLOOKUP(C43,'[1]Control Sheet'!$L$5:$L$104,'[1]Control Sheet'!$M$5:$M$104,"",0))</f>
        <v/>
      </c>
      <c r="E43" s="24" t="str">
        <f>IF(B43="","",_xlfn.XLOOKUP(B43,'[1]Control Sheet'!$D$5:$D$64,'[1]Control Sheet'!$F$5:$F$64,"",0))</f>
        <v/>
      </c>
      <c r="F43" s="24" t="str">
        <f>IF(B43="","",_xlfn.XLOOKUP(B43,'[1]Control Sheet'!$D$5:$D$64,'[1]Control Sheet'!$E$5:$E$64,"",0))</f>
        <v/>
      </c>
      <c r="I43" s="25"/>
      <c r="J43" s="26"/>
      <c r="K43" s="27"/>
      <c r="L43" s="28"/>
      <c r="M43" s="29"/>
      <c r="P43" s="25"/>
      <c r="Q43" s="26"/>
      <c r="R43" s="27"/>
      <c r="S43" s="28"/>
      <c r="T43" s="29"/>
      <c r="V43" s="25"/>
      <c r="W43" s="26"/>
      <c r="X43" s="27"/>
      <c r="Y43" s="28"/>
      <c r="Z43" s="29"/>
      <c r="AB43" s="31"/>
      <c r="AC43" s="32"/>
      <c r="AD43" s="33"/>
      <c r="AE43" s="33"/>
      <c r="AF43" s="35"/>
      <c r="AH43" s="31"/>
      <c r="AI43" s="32"/>
      <c r="AJ43" s="33"/>
      <c r="AK43" s="33"/>
      <c r="AL43" s="35"/>
      <c r="AN43" s="31"/>
      <c r="AO43" s="32"/>
      <c r="AP43" s="33"/>
      <c r="AQ43" s="33"/>
      <c r="AR43" s="35"/>
      <c r="AT43" s="31"/>
      <c r="AU43" s="32"/>
      <c r="AV43" s="33"/>
      <c r="AW43" s="33"/>
      <c r="AX43" s="35"/>
      <c r="AZ43" s="25"/>
      <c r="BA43" s="26"/>
      <c r="BB43" s="27"/>
      <c r="BC43" s="28"/>
      <c r="BD43" s="29"/>
      <c r="BF43" s="25"/>
      <c r="BG43" s="26"/>
      <c r="BH43" s="27"/>
      <c r="BI43" s="28"/>
      <c r="BJ43" s="29"/>
      <c r="BL43" s="25"/>
      <c r="BM43" s="26"/>
      <c r="BN43" s="27"/>
      <c r="BO43" s="28"/>
      <c r="BP43" s="29"/>
      <c r="BR43" s="25"/>
      <c r="BS43" s="26"/>
      <c r="BT43" s="27"/>
      <c r="BU43" s="28"/>
      <c r="BV43" s="29"/>
      <c r="BX43" s="25"/>
      <c r="BY43" s="26"/>
      <c r="BZ43" s="27"/>
      <c r="CA43" s="28"/>
      <c r="CB43" s="29"/>
      <c r="CD43" s="25"/>
      <c r="CE43" s="26"/>
      <c r="CF43" s="27"/>
      <c r="CG43" s="28"/>
      <c r="CH43" s="29"/>
      <c r="CJ43" s="25"/>
      <c r="CK43" s="26"/>
      <c r="CL43" s="27"/>
      <c r="CM43" s="28"/>
      <c r="CN43" s="29"/>
      <c r="CP43" s="25"/>
      <c r="CQ43" s="26"/>
      <c r="CR43" s="27"/>
      <c r="CS43" s="28"/>
      <c r="CT43" s="29"/>
      <c r="CV43" s="25"/>
      <c r="CW43" s="26"/>
      <c r="CX43" s="27"/>
      <c r="CY43" s="28"/>
      <c r="CZ43" s="29"/>
      <c r="DA43" s="79">
        <f t="shared" si="0"/>
        <v>0</v>
      </c>
      <c r="DB43" s="80" t="e">
        <f>DA43*#REF!</f>
        <v>#REF!</v>
      </c>
      <c r="DC43" s="81" t="e">
        <f>DA43*#REF!</f>
        <v>#REF!</v>
      </c>
      <c r="DE43" s="25"/>
      <c r="DF43" s="26"/>
      <c r="DG43" s="27"/>
      <c r="DH43" s="28"/>
      <c r="DI43" s="29"/>
      <c r="DJ43" s="79">
        <f t="shared" si="1"/>
        <v>0</v>
      </c>
      <c r="DK43" s="80" t="e">
        <f>DJ43*#REF!</f>
        <v>#REF!</v>
      </c>
      <c r="DL43" s="81" t="e">
        <f>DJ43*#REF!</f>
        <v>#REF!</v>
      </c>
      <c r="DN43" s="25"/>
      <c r="DO43" s="26"/>
      <c r="DP43" s="27"/>
      <c r="DQ43" s="28"/>
      <c r="DR43" s="29"/>
      <c r="DS43" s="79">
        <f t="shared" si="2"/>
        <v>0</v>
      </c>
      <c r="DT43" s="80" t="e">
        <f>DS43*#REF!</f>
        <v>#REF!</v>
      </c>
      <c r="DU43" s="81" t="e">
        <f>DS43*#REF!</f>
        <v>#REF!</v>
      </c>
      <c r="DW43" s="25"/>
      <c r="DX43" s="26"/>
      <c r="DY43" s="27"/>
      <c r="DZ43" s="28"/>
      <c r="EA43" s="29"/>
      <c r="EB43" s="79">
        <f t="shared" si="3"/>
        <v>0</v>
      </c>
      <c r="EC43" s="80" t="e">
        <f>EB43*#REF!</f>
        <v>#REF!</v>
      </c>
      <c r="ED43" s="81" t="e">
        <f>EB43*#REF!</f>
        <v>#REF!</v>
      </c>
      <c r="EF43" s="25"/>
      <c r="EG43" s="26"/>
      <c r="EH43" s="27"/>
      <c r="EI43" s="28"/>
      <c r="EJ43" s="29"/>
      <c r="EK43" s="79">
        <f t="shared" si="4"/>
        <v>0</v>
      </c>
      <c r="EL43" s="80" t="e">
        <f>EK43*#REF!</f>
        <v>#REF!</v>
      </c>
      <c r="EM43" s="81" t="e">
        <f>EK43*#REF!</f>
        <v>#REF!</v>
      </c>
      <c r="EO43" s="25"/>
      <c r="EP43" s="26"/>
      <c r="EQ43" s="27"/>
      <c r="ER43" s="28"/>
      <c r="ES43" s="29"/>
      <c r="ET43" s="79">
        <f t="shared" si="5"/>
        <v>0</v>
      </c>
      <c r="EU43" s="80" t="e">
        <f>ET43*#REF!</f>
        <v>#REF!</v>
      </c>
      <c r="EV43" s="81" t="e">
        <f>ET43*#REF!</f>
        <v>#REF!</v>
      </c>
      <c r="EX43" s="25"/>
      <c r="EY43" s="26"/>
      <c r="EZ43" s="27"/>
      <c r="FA43" s="28"/>
      <c r="FB43" s="29"/>
      <c r="FC43" s="79">
        <f t="shared" si="6"/>
        <v>0</v>
      </c>
      <c r="FD43" s="80" t="e">
        <f>FC43*#REF!</f>
        <v>#REF!</v>
      </c>
      <c r="FE43" s="81" t="e">
        <f>FC43*#REF!</f>
        <v>#REF!</v>
      </c>
      <c r="FG43" s="25"/>
      <c r="FH43" s="26"/>
      <c r="FI43" s="27"/>
      <c r="FJ43" s="28"/>
      <c r="FK43" s="29"/>
      <c r="FL43" s="79">
        <f t="shared" si="7"/>
        <v>0</v>
      </c>
      <c r="FM43" s="80" t="e">
        <f>FL43*#REF!</f>
        <v>#REF!</v>
      </c>
      <c r="FN43" s="81" t="e">
        <f>FL43*#REF!</f>
        <v>#REF!</v>
      </c>
      <c r="FP43" s="25"/>
      <c r="FQ43" s="26"/>
      <c r="FR43" s="27"/>
      <c r="FS43" s="28"/>
      <c r="FT43" s="29"/>
      <c r="FU43" s="79">
        <f t="shared" si="8"/>
        <v>0</v>
      </c>
      <c r="FV43" s="80" t="e">
        <f>FU43*#REF!</f>
        <v>#REF!</v>
      </c>
      <c r="FW43" s="81" t="e">
        <f>FU43*#REF!</f>
        <v>#REF!</v>
      </c>
      <c r="FY43" s="25"/>
      <c r="FZ43" s="26"/>
      <c r="GA43" s="27"/>
      <c r="GB43" s="28"/>
      <c r="GC43" s="29"/>
      <c r="GD43" s="79">
        <f t="shared" si="9"/>
        <v>0</v>
      </c>
      <c r="GE43" s="80" t="e">
        <f>GD43*#REF!</f>
        <v>#REF!</v>
      </c>
      <c r="GF43" s="81" t="e">
        <f>GD43*#REF!</f>
        <v>#REF!</v>
      </c>
      <c r="GH43" s="25"/>
      <c r="GI43" s="26"/>
      <c r="GJ43" s="27"/>
      <c r="GK43" s="28"/>
      <c r="GL43" s="29"/>
      <c r="GM43" s="79">
        <f t="shared" si="10"/>
        <v>0</v>
      </c>
      <c r="GN43" s="80" t="e">
        <f>GM43*#REF!</f>
        <v>#REF!</v>
      </c>
      <c r="GO43" s="81" t="e">
        <f>GM43*#REF!</f>
        <v>#REF!</v>
      </c>
      <c r="GQ43" s="82">
        <f t="shared" si="12"/>
        <v>0</v>
      </c>
      <c r="GR43" s="83">
        <v>0</v>
      </c>
    </row>
    <row r="44" spans="2:200" ht="15">
      <c r="B44" s="22" t="s">
        <v>69</v>
      </c>
      <c r="C44" s="23" t="s">
        <v>62</v>
      </c>
      <c r="D44" s="24" t="str">
        <f>IF(C44="","",_xlfn.XLOOKUP(C44,'[1]Control Sheet'!$L$5:$L$104,'[1]Control Sheet'!$M$5:$M$104,"",0))</f>
        <v>Car_Parks_Host</v>
      </c>
      <c r="E44" s="24" t="str">
        <f>IF(B44="","",_xlfn.XLOOKUP(B44,'[1]Control Sheet'!$D$5:$D$64,'[1]Control Sheet'!$F$5:$F$64,"",0))</f>
        <v>Car Parks</v>
      </c>
      <c r="F44" s="24" t="str">
        <f>IF(B44="","",_xlfn.XLOOKUP(B44,'[1]Control Sheet'!$D$5:$D$64,'[1]Control Sheet'!$E$5:$E$64,"",0))</f>
        <v>C1460-N</v>
      </c>
      <c r="I44" s="31">
        <v>0.33333333333333331</v>
      </c>
      <c r="J44" s="32">
        <v>0.58333333333333337</v>
      </c>
      <c r="K44" s="27">
        <v>45</v>
      </c>
      <c r="L44" s="33">
        <v>3</v>
      </c>
      <c r="M44" s="35">
        <v>1</v>
      </c>
      <c r="P44" s="31">
        <v>0.33333333333333331</v>
      </c>
      <c r="Q44" s="32">
        <v>0.58333333333333337</v>
      </c>
      <c r="R44" s="27">
        <v>45</v>
      </c>
      <c r="S44" s="33">
        <v>3</v>
      </c>
      <c r="T44" s="35">
        <v>1</v>
      </c>
      <c r="V44" s="31">
        <v>0.33333333333333331</v>
      </c>
      <c r="W44" s="32">
        <v>0.58333333333333337</v>
      </c>
      <c r="X44" s="27">
        <v>45</v>
      </c>
      <c r="Y44" s="33">
        <v>3</v>
      </c>
      <c r="Z44" s="35">
        <v>1</v>
      </c>
      <c r="AB44" s="31">
        <v>0.33333333333333331</v>
      </c>
      <c r="AC44" s="32">
        <v>0.58333333333333337</v>
      </c>
      <c r="AD44" s="27">
        <v>45</v>
      </c>
      <c r="AE44" s="33">
        <v>3</v>
      </c>
      <c r="AF44" s="35">
        <v>1</v>
      </c>
      <c r="AH44" s="31">
        <v>0.33333333333333331</v>
      </c>
      <c r="AI44" s="32">
        <v>0.58333333333333337</v>
      </c>
      <c r="AJ44" s="27">
        <v>45</v>
      </c>
      <c r="AK44" s="33">
        <v>3</v>
      </c>
      <c r="AL44" s="35">
        <v>1</v>
      </c>
      <c r="AN44" s="31">
        <v>0.33333333333333331</v>
      </c>
      <c r="AO44" s="32">
        <v>0.58333333333333337</v>
      </c>
      <c r="AP44" s="27">
        <v>45</v>
      </c>
      <c r="AQ44" s="33">
        <v>3</v>
      </c>
      <c r="AR44" s="35">
        <v>1</v>
      </c>
      <c r="AT44" s="31">
        <v>0.33333333333333331</v>
      </c>
      <c r="AU44" s="32">
        <v>0.58333333333333337</v>
      </c>
      <c r="AV44" s="27">
        <v>45</v>
      </c>
      <c r="AW44" s="33">
        <v>3</v>
      </c>
      <c r="AX44" s="35">
        <v>1</v>
      </c>
      <c r="AZ44" s="31">
        <v>0.33333333333333331</v>
      </c>
      <c r="BA44" s="32">
        <v>0.58333333333333337</v>
      </c>
      <c r="BB44" s="27">
        <v>45</v>
      </c>
      <c r="BC44" s="33">
        <v>3</v>
      </c>
      <c r="BD44" s="35">
        <v>1</v>
      </c>
      <c r="BF44" s="25"/>
      <c r="BG44" s="26"/>
      <c r="BH44" s="27"/>
      <c r="BI44" s="28"/>
      <c r="BJ44" s="29"/>
      <c r="BL44" s="25"/>
      <c r="BM44" s="26"/>
      <c r="BN44" s="27"/>
      <c r="BO44" s="28"/>
      <c r="BP44" s="29"/>
      <c r="BR44" s="25"/>
      <c r="BS44" s="26"/>
      <c r="BT44" s="27"/>
      <c r="BU44" s="28"/>
      <c r="BV44" s="29"/>
      <c r="BX44" s="25"/>
      <c r="BY44" s="26"/>
      <c r="BZ44" s="27"/>
      <c r="CA44" s="28"/>
      <c r="CB44" s="29"/>
      <c r="CD44" s="25"/>
      <c r="CE44" s="26"/>
      <c r="CF44" s="27"/>
      <c r="CG44" s="28"/>
      <c r="CH44" s="29"/>
      <c r="CJ44" s="25"/>
      <c r="CK44" s="26"/>
      <c r="CL44" s="27"/>
      <c r="CM44" s="28"/>
      <c r="CN44" s="29"/>
      <c r="CP44" s="25"/>
      <c r="CQ44" s="26"/>
      <c r="CR44" s="27"/>
      <c r="CS44" s="28"/>
      <c r="CT44" s="29"/>
      <c r="CV44" s="25"/>
      <c r="CW44" s="26"/>
      <c r="CX44" s="27"/>
      <c r="CY44" s="28"/>
      <c r="CZ44" s="29"/>
      <c r="DA44" s="79">
        <f t="shared" si="0"/>
        <v>0</v>
      </c>
      <c r="DB44" s="80" t="e">
        <f>DA44*#REF!</f>
        <v>#REF!</v>
      </c>
      <c r="DC44" s="81" t="e">
        <f>DA44*#REF!</f>
        <v>#REF!</v>
      </c>
      <c r="DE44" s="25"/>
      <c r="DF44" s="26"/>
      <c r="DG44" s="27"/>
      <c r="DH44" s="28"/>
      <c r="DI44" s="29"/>
      <c r="DJ44" s="79">
        <f t="shared" si="1"/>
        <v>0</v>
      </c>
      <c r="DK44" s="80" t="e">
        <f>DJ44*#REF!</f>
        <v>#REF!</v>
      </c>
      <c r="DL44" s="81" t="e">
        <f>DJ44*#REF!</f>
        <v>#REF!</v>
      </c>
      <c r="DN44" s="25"/>
      <c r="DO44" s="26"/>
      <c r="DP44" s="27"/>
      <c r="DQ44" s="28"/>
      <c r="DR44" s="29"/>
      <c r="DS44" s="79">
        <f t="shared" si="2"/>
        <v>0</v>
      </c>
      <c r="DT44" s="80" t="e">
        <f>DS44*#REF!</f>
        <v>#REF!</v>
      </c>
      <c r="DU44" s="81" t="e">
        <f>DS44*#REF!</f>
        <v>#REF!</v>
      </c>
      <c r="DW44" s="25"/>
      <c r="DX44" s="26"/>
      <c r="DY44" s="27"/>
      <c r="DZ44" s="28"/>
      <c r="EA44" s="29"/>
      <c r="EB44" s="79">
        <f t="shared" si="3"/>
        <v>0</v>
      </c>
      <c r="EC44" s="80" t="e">
        <f>EB44*#REF!</f>
        <v>#REF!</v>
      </c>
      <c r="ED44" s="81" t="e">
        <f>EB44*#REF!</f>
        <v>#REF!</v>
      </c>
      <c r="EF44" s="25"/>
      <c r="EG44" s="26"/>
      <c r="EH44" s="27"/>
      <c r="EI44" s="28"/>
      <c r="EJ44" s="29"/>
      <c r="EK44" s="79">
        <f t="shared" si="4"/>
        <v>0</v>
      </c>
      <c r="EL44" s="80" t="e">
        <f>EK44*#REF!</f>
        <v>#REF!</v>
      </c>
      <c r="EM44" s="81" t="e">
        <f>EK44*#REF!</f>
        <v>#REF!</v>
      </c>
      <c r="EO44" s="25"/>
      <c r="EP44" s="26"/>
      <c r="EQ44" s="27"/>
      <c r="ER44" s="28"/>
      <c r="ES44" s="29"/>
      <c r="ET44" s="79">
        <f t="shared" si="5"/>
        <v>0</v>
      </c>
      <c r="EU44" s="80" t="e">
        <f>ET44*#REF!</f>
        <v>#REF!</v>
      </c>
      <c r="EV44" s="81" t="e">
        <f>ET44*#REF!</f>
        <v>#REF!</v>
      </c>
      <c r="EX44" s="25"/>
      <c r="EY44" s="26"/>
      <c r="EZ44" s="27"/>
      <c r="FA44" s="28"/>
      <c r="FB44" s="29"/>
      <c r="FC44" s="79">
        <f t="shared" si="6"/>
        <v>0</v>
      </c>
      <c r="FD44" s="80" t="e">
        <f>FC44*#REF!</f>
        <v>#REF!</v>
      </c>
      <c r="FE44" s="81" t="e">
        <f>FC44*#REF!</f>
        <v>#REF!</v>
      </c>
      <c r="FG44" s="25"/>
      <c r="FH44" s="26"/>
      <c r="FI44" s="27"/>
      <c r="FJ44" s="28"/>
      <c r="FK44" s="29"/>
      <c r="FL44" s="79">
        <f t="shared" si="7"/>
        <v>0</v>
      </c>
      <c r="FM44" s="80" t="e">
        <f>FL44*#REF!</f>
        <v>#REF!</v>
      </c>
      <c r="FN44" s="81" t="e">
        <f>FL44*#REF!</f>
        <v>#REF!</v>
      </c>
      <c r="FP44" s="25"/>
      <c r="FQ44" s="26"/>
      <c r="FR44" s="27"/>
      <c r="FS44" s="28"/>
      <c r="FT44" s="29"/>
      <c r="FU44" s="79">
        <f t="shared" si="8"/>
        <v>0</v>
      </c>
      <c r="FV44" s="80" t="e">
        <f>FU44*#REF!</f>
        <v>#REF!</v>
      </c>
      <c r="FW44" s="81" t="e">
        <f>FU44*#REF!</f>
        <v>#REF!</v>
      </c>
      <c r="FY44" s="25"/>
      <c r="FZ44" s="26"/>
      <c r="GA44" s="27"/>
      <c r="GB44" s="28"/>
      <c r="GC44" s="29"/>
      <c r="GD44" s="79">
        <f t="shared" si="9"/>
        <v>0</v>
      </c>
      <c r="GE44" s="80" t="e">
        <f>GD44*#REF!</f>
        <v>#REF!</v>
      </c>
      <c r="GF44" s="81" t="e">
        <f>GD44*#REF!</f>
        <v>#REF!</v>
      </c>
      <c r="GH44" s="25"/>
      <c r="GI44" s="26"/>
      <c r="GJ44" s="27"/>
      <c r="GK44" s="28"/>
      <c r="GL44" s="29"/>
      <c r="GM44" s="79">
        <f t="shared" si="10"/>
        <v>0</v>
      </c>
      <c r="GN44" s="80" t="e">
        <f>GM44*#REF!</f>
        <v>#REF!</v>
      </c>
      <c r="GO44" s="81" t="e">
        <f>GM44*#REF!</f>
        <v>#REF!</v>
      </c>
      <c r="GQ44" s="82">
        <f t="shared" si="12"/>
        <v>3</v>
      </c>
      <c r="GR44" s="83">
        <v>3</v>
      </c>
    </row>
    <row r="45" spans="2:200" ht="15">
      <c r="B45" s="22"/>
      <c r="C45" s="23"/>
      <c r="D45" s="24" t="str">
        <f>IF(C45="","",_xlfn.XLOOKUP(C45,'[1]Control Sheet'!$L$5:$L$104,'[1]Control Sheet'!$M$5:$M$104,"",0))</f>
        <v/>
      </c>
      <c r="E45" s="24" t="str">
        <f>IF(B45="","",_xlfn.XLOOKUP(B45,'[1]Control Sheet'!$D$5:$D$64,'[1]Control Sheet'!$F$5:$F$64,"",0))</f>
        <v/>
      </c>
      <c r="F45" s="24" t="str">
        <f>IF(B45="","",_xlfn.XLOOKUP(B45,'[1]Control Sheet'!$D$5:$D$64,'[1]Control Sheet'!$E$5:$E$64,"",0))</f>
        <v/>
      </c>
      <c r="I45" s="25"/>
      <c r="J45" s="26"/>
      <c r="K45" s="27"/>
      <c r="L45" s="28"/>
      <c r="M45" s="29"/>
      <c r="P45" s="25"/>
      <c r="Q45" s="26"/>
      <c r="R45" s="27"/>
      <c r="S45" s="28"/>
      <c r="T45" s="29"/>
      <c r="V45" s="25"/>
      <c r="W45" s="26"/>
      <c r="X45" s="27"/>
      <c r="Y45" s="28"/>
      <c r="Z45" s="29"/>
      <c r="AB45" s="25"/>
      <c r="AC45" s="26"/>
      <c r="AD45" s="27"/>
      <c r="AE45" s="28"/>
      <c r="AF45" s="29"/>
      <c r="AH45" s="25"/>
      <c r="AI45" s="26"/>
      <c r="AJ45" s="27"/>
      <c r="AK45" s="28"/>
      <c r="AL45" s="29"/>
      <c r="AN45" s="25"/>
      <c r="AO45" s="26"/>
      <c r="AP45" s="27"/>
      <c r="AQ45" s="28"/>
      <c r="AR45" s="29"/>
      <c r="AT45" s="25"/>
      <c r="AU45" s="26"/>
      <c r="AV45" s="27"/>
      <c r="AW45" s="28"/>
      <c r="AX45" s="29"/>
      <c r="AZ45" s="25"/>
      <c r="BA45" s="26"/>
      <c r="BB45" s="27"/>
      <c r="BC45" s="28"/>
      <c r="BD45" s="29"/>
      <c r="BF45" s="25"/>
      <c r="BG45" s="26"/>
      <c r="BH45" s="27"/>
      <c r="BI45" s="28"/>
      <c r="BJ45" s="29"/>
      <c r="BL45" s="25"/>
      <c r="BM45" s="26"/>
      <c r="BN45" s="27"/>
      <c r="BO45" s="28"/>
      <c r="BP45" s="29"/>
      <c r="BR45" s="25"/>
      <c r="BS45" s="26"/>
      <c r="BT45" s="27"/>
      <c r="BU45" s="28"/>
      <c r="BV45" s="29"/>
      <c r="BX45" s="25"/>
      <c r="BY45" s="26"/>
      <c r="BZ45" s="27"/>
      <c r="CA45" s="28"/>
      <c r="CB45" s="29"/>
      <c r="CD45" s="25"/>
      <c r="CE45" s="26"/>
      <c r="CF45" s="27"/>
      <c r="CG45" s="28"/>
      <c r="CH45" s="29"/>
      <c r="CJ45" s="25"/>
      <c r="CK45" s="26"/>
      <c r="CL45" s="27"/>
      <c r="CM45" s="28"/>
      <c r="CN45" s="29"/>
      <c r="CP45" s="25"/>
      <c r="CQ45" s="26"/>
      <c r="CR45" s="27"/>
      <c r="CS45" s="28"/>
      <c r="CT45" s="29"/>
      <c r="CV45" s="25"/>
      <c r="CW45" s="26"/>
      <c r="CX45" s="27"/>
      <c r="CY45" s="28"/>
      <c r="CZ45" s="29"/>
      <c r="DA45" s="79">
        <f t="shared" si="0"/>
        <v>0</v>
      </c>
      <c r="DB45" s="80" t="e">
        <f>DA45*#REF!</f>
        <v>#REF!</v>
      </c>
      <c r="DC45" s="81" t="e">
        <f>DA45*#REF!</f>
        <v>#REF!</v>
      </c>
      <c r="DE45" s="25"/>
      <c r="DF45" s="26"/>
      <c r="DG45" s="27"/>
      <c r="DH45" s="28"/>
      <c r="DI45" s="29"/>
      <c r="DJ45" s="79">
        <f t="shared" si="1"/>
        <v>0</v>
      </c>
      <c r="DK45" s="80" t="e">
        <f>DJ45*#REF!</f>
        <v>#REF!</v>
      </c>
      <c r="DL45" s="81" t="e">
        <f>DJ45*#REF!</f>
        <v>#REF!</v>
      </c>
      <c r="DN45" s="25"/>
      <c r="DO45" s="26"/>
      <c r="DP45" s="27"/>
      <c r="DQ45" s="28"/>
      <c r="DR45" s="29"/>
      <c r="DS45" s="79">
        <f t="shared" si="2"/>
        <v>0</v>
      </c>
      <c r="DT45" s="80" t="e">
        <f>DS45*#REF!</f>
        <v>#REF!</v>
      </c>
      <c r="DU45" s="81" t="e">
        <f>DS45*#REF!</f>
        <v>#REF!</v>
      </c>
      <c r="DW45" s="25"/>
      <c r="DX45" s="26"/>
      <c r="DY45" s="27"/>
      <c r="DZ45" s="28"/>
      <c r="EA45" s="29"/>
      <c r="EB45" s="79">
        <f t="shared" si="3"/>
        <v>0</v>
      </c>
      <c r="EC45" s="80" t="e">
        <f>EB45*#REF!</f>
        <v>#REF!</v>
      </c>
      <c r="ED45" s="81" t="e">
        <f>EB45*#REF!</f>
        <v>#REF!</v>
      </c>
      <c r="EF45" s="25"/>
      <c r="EG45" s="26"/>
      <c r="EH45" s="27"/>
      <c r="EI45" s="28"/>
      <c r="EJ45" s="29"/>
      <c r="EK45" s="79">
        <f t="shared" si="4"/>
        <v>0</v>
      </c>
      <c r="EL45" s="80" t="e">
        <f>EK45*#REF!</f>
        <v>#REF!</v>
      </c>
      <c r="EM45" s="81" t="e">
        <f>EK45*#REF!</f>
        <v>#REF!</v>
      </c>
      <c r="EO45" s="25"/>
      <c r="EP45" s="26"/>
      <c r="EQ45" s="27"/>
      <c r="ER45" s="28"/>
      <c r="ES45" s="29"/>
      <c r="ET45" s="79">
        <f t="shared" si="5"/>
        <v>0</v>
      </c>
      <c r="EU45" s="80" t="e">
        <f>ET45*#REF!</f>
        <v>#REF!</v>
      </c>
      <c r="EV45" s="81" t="e">
        <f>ET45*#REF!</f>
        <v>#REF!</v>
      </c>
      <c r="EX45" s="25"/>
      <c r="EY45" s="26"/>
      <c r="EZ45" s="27"/>
      <c r="FA45" s="28"/>
      <c r="FB45" s="29"/>
      <c r="FC45" s="79">
        <f t="shared" si="6"/>
        <v>0</v>
      </c>
      <c r="FD45" s="80" t="e">
        <f>FC45*#REF!</f>
        <v>#REF!</v>
      </c>
      <c r="FE45" s="81" t="e">
        <f>FC45*#REF!</f>
        <v>#REF!</v>
      </c>
      <c r="FG45" s="25"/>
      <c r="FH45" s="26"/>
      <c r="FI45" s="27"/>
      <c r="FJ45" s="28"/>
      <c r="FK45" s="29"/>
      <c r="FL45" s="79">
        <f t="shared" si="7"/>
        <v>0</v>
      </c>
      <c r="FM45" s="80" t="e">
        <f>FL45*#REF!</f>
        <v>#REF!</v>
      </c>
      <c r="FN45" s="81" t="e">
        <f>FL45*#REF!</f>
        <v>#REF!</v>
      </c>
      <c r="FP45" s="25"/>
      <c r="FQ45" s="26"/>
      <c r="FR45" s="27"/>
      <c r="FS45" s="28"/>
      <c r="FT45" s="29"/>
      <c r="FU45" s="79">
        <f t="shared" si="8"/>
        <v>0</v>
      </c>
      <c r="FV45" s="80" t="e">
        <f>FU45*#REF!</f>
        <v>#REF!</v>
      </c>
      <c r="FW45" s="81" t="e">
        <f>FU45*#REF!</f>
        <v>#REF!</v>
      </c>
      <c r="FY45" s="25"/>
      <c r="FZ45" s="26"/>
      <c r="GA45" s="27"/>
      <c r="GB45" s="28"/>
      <c r="GC45" s="29"/>
      <c r="GD45" s="79">
        <f t="shared" si="9"/>
        <v>0</v>
      </c>
      <c r="GE45" s="80" t="e">
        <f>GD45*#REF!</f>
        <v>#REF!</v>
      </c>
      <c r="GF45" s="81" t="e">
        <f>GD45*#REF!</f>
        <v>#REF!</v>
      </c>
      <c r="GH45" s="25"/>
      <c r="GI45" s="26"/>
      <c r="GJ45" s="27"/>
      <c r="GK45" s="28"/>
      <c r="GL45" s="29"/>
      <c r="GM45" s="79">
        <f t="shared" si="10"/>
        <v>0</v>
      </c>
      <c r="GN45" s="80" t="e">
        <f>GM45*#REF!</f>
        <v>#REF!</v>
      </c>
      <c r="GO45" s="81" t="e">
        <f>GM45*#REF!</f>
        <v>#REF!</v>
      </c>
      <c r="GQ45" s="82">
        <f t="shared" si="12"/>
        <v>0</v>
      </c>
      <c r="GR45" s="83">
        <v>0</v>
      </c>
    </row>
    <row r="46" spans="2:200" ht="15">
      <c r="B46" s="22" t="s">
        <v>70</v>
      </c>
      <c r="C46" s="23" t="s">
        <v>71</v>
      </c>
      <c r="D46" s="24">
        <f>IF(C46="","",_xlfn.XLOOKUP(C46,'[1]Control Sheet'!$L$5:$L$104,'[1]Control Sheet'!$M$5:$M$104,"",0))</f>
        <v>0</v>
      </c>
      <c r="E46" s="24" t="str">
        <f>IF(B46="","",_xlfn.XLOOKUP(B46,'[1]Control Sheet'!$D$5:$D$64,'[1]Control Sheet'!$F$5:$F$64,"",0))</f>
        <v>GHI</v>
      </c>
      <c r="F46" s="24" t="str">
        <f>IF(B46="","",_xlfn.XLOOKUP(B46,'[1]Control Sheet'!$D$5:$D$64,'[1]Control Sheet'!$E$5:$E$64,"",0))</f>
        <v>C1060-N</v>
      </c>
      <c r="I46" s="31"/>
      <c r="J46" s="32"/>
      <c r="K46" s="33"/>
      <c r="L46" s="34"/>
      <c r="M46" s="35"/>
      <c r="P46" s="31"/>
      <c r="Q46" s="32"/>
      <c r="R46" s="33"/>
      <c r="S46" s="34"/>
      <c r="T46" s="35"/>
      <c r="V46" s="31"/>
      <c r="W46" s="32"/>
      <c r="X46" s="33"/>
      <c r="Y46" s="34"/>
      <c r="Z46" s="35"/>
      <c r="AB46" s="31">
        <v>0.375</v>
      </c>
      <c r="AC46" s="32">
        <v>0.58333333333333337</v>
      </c>
      <c r="AD46" s="33">
        <v>45</v>
      </c>
      <c r="AE46" s="34">
        <v>1</v>
      </c>
      <c r="AF46" s="35">
        <v>1</v>
      </c>
      <c r="AH46" s="31">
        <v>0.375</v>
      </c>
      <c r="AI46" s="32">
        <v>0.58333333333333337</v>
      </c>
      <c r="AJ46" s="33">
        <v>45</v>
      </c>
      <c r="AK46" s="34">
        <v>2</v>
      </c>
      <c r="AL46" s="35">
        <v>1</v>
      </c>
      <c r="AN46" s="31">
        <v>0.375</v>
      </c>
      <c r="AO46" s="32">
        <v>0.58333333333333337</v>
      </c>
      <c r="AP46" s="33">
        <v>45</v>
      </c>
      <c r="AQ46" s="34">
        <v>2</v>
      </c>
      <c r="AR46" s="35">
        <v>1</v>
      </c>
      <c r="AT46" s="31">
        <v>0.375</v>
      </c>
      <c r="AU46" s="32">
        <v>0.58333333333333337</v>
      </c>
      <c r="AV46" s="33">
        <v>45</v>
      </c>
      <c r="AW46" s="34">
        <v>2</v>
      </c>
      <c r="AX46" s="35">
        <v>1</v>
      </c>
      <c r="AZ46" s="31">
        <v>0.375</v>
      </c>
      <c r="BA46" s="32">
        <v>0.58333333333333337</v>
      </c>
      <c r="BB46" s="33">
        <v>45</v>
      </c>
      <c r="BC46" s="34">
        <v>2</v>
      </c>
      <c r="BD46" s="35">
        <v>1</v>
      </c>
      <c r="BF46" s="31">
        <v>0.375</v>
      </c>
      <c r="BG46" s="32">
        <v>0.58333333333333337</v>
      </c>
      <c r="BH46" s="33">
        <v>45</v>
      </c>
      <c r="BI46" s="34">
        <v>2</v>
      </c>
      <c r="BJ46" s="35">
        <v>1</v>
      </c>
      <c r="BL46" s="31"/>
      <c r="BM46" s="32"/>
      <c r="BN46" s="33"/>
      <c r="BO46" s="34"/>
      <c r="BP46" s="35"/>
      <c r="BR46" s="31"/>
      <c r="BS46" s="32"/>
      <c r="BT46" s="33"/>
      <c r="BU46" s="34"/>
      <c r="BV46" s="35"/>
      <c r="BX46" s="31">
        <v>0.40625</v>
      </c>
      <c r="BY46" s="32">
        <v>0.58333333333333337</v>
      </c>
      <c r="BZ46" s="33">
        <v>45</v>
      </c>
      <c r="CA46" s="34">
        <v>1</v>
      </c>
      <c r="CB46" s="35">
        <v>1</v>
      </c>
      <c r="CD46" s="31">
        <v>0.40625</v>
      </c>
      <c r="CE46" s="32">
        <v>0.58333333333333337</v>
      </c>
      <c r="CF46" s="33">
        <v>45</v>
      </c>
      <c r="CG46" s="34">
        <v>1</v>
      </c>
      <c r="CH46" s="35">
        <v>1</v>
      </c>
      <c r="CJ46" s="25"/>
      <c r="CK46" s="26"/>
      <c r="CL46" s="27"/>
      <c r="CM46" s="28"/>
      <c r="CN46" s="29"/>
      <c r="CP46" s="25"/>
      <c r="CQ46" s="26"/>
      <c r="CR46" s="27"/>
      <c r="CS46" s="28"/>
      <c r="CT46" s="29"/>
      <c r="CV46" s="25"/>
      <c r="CW46" s="26"/>
      <c r="CX46" s="27"/>
      <c r="CY46" s="28"/>
      <c r="CZ46" s="29"/>
      <c r="DA46" s="79">
        <f t="shared" si="0"/>
        <v>0</v>
      </c>
      <c r="DB46" s="80" t="e">
        <f>DA46*#REF!</f>
        <v>#REF!</v>
      </c>
      <c r="DC46" s="81" t="e">
        <f>DA46*#REF!</f>
        <v>#REF!</v>
      </c>
      <c r="DE46" s="25"/>
      <c r="DF46" s="26"/>
      <c r="DG46" s="27"/>
      <c r="DH46" s="28"/>
      <c r="DI46" s="29"/>
      <c r="DJ46" s="79">
        <f t="shared" si="1"/>
        <v>0</v>
      </c>
      <c r="DK46" s="80" t="e">
        <f>DJ46*#REF!</f>
        <v>#REF!</v>
      </c>
      <c r="DL46" s="81" t="e">
        <f>DJ46*#REF!</f>
        <v>#REF!</v>
      </c>
      <c r="DN46" s="25"/>
      <c r="DO46" s="26"/>
      <c r="DP46" s="27"/>
      <c r="DQ46" s="28"/>
      <c r="DR46" s="29"/>
      <c r="DS46" s="79">
        <f t="shared" si="2"/>
        <v>0</v>
      </c>
      <c r="DT46" s="80" t="e">
        <f>DS46*#REF!</f>
        <v>#REF!</v>
      </c>
      <c r="DU46" s="81" t="e">
        <f>DS46*#REF!</f>
        <v>#REF!</v>
      </c>
      <c r="DW46" s="25"/>
      <c r="DX46" s="26"/>
      <c r="DY46" s="27"/>
      <c r="DZ46" s="28"/>
      <c r="EA46" s="29"/>
      <c r="EB46" s="79">
        <f t="shared" si="3"/>
        <v>0</v>
      </c>
      <c r="EC46" s="80" t="e">
        <f>EB46*#REF!</f>
        <v>#REF!</v>
      </c>
      <c r="ED46" s="81" t="e">
        <f>EB46*#REF!</f>
        <v>#REF!</v>
      </c>
      <c r="EF46" s="25"/>
      <c r="EG46" s="26"/>
      <c r="EH46" s="27"/>
      <c r="EI46" s="28"/>
      <c r="EJ46" s="29"/>
      <c r="EK46" s="79">
        <f t="shared" si="4"/>
        <v>0</v>
      </c>
      <c r="EL46" s="80" t="e">
        <f>EK46*#REF!</f>
        <v>#REF!</v>
      </c>
      <c r="EM46" s="81" t="e">
        <f>EK46*#REF!</f>
        <v>#REF!</v>
      </c>
      <c r="EO46" s="25"/>
      <c r="EP46" s="26"/>
      <c r="EQ46" s="27"/>
      <c r="ER46" s="28"/>
      <c r="ES46" s="29"/>
      <c r="ET46" s="79">
        <f t="shared" si="5"/>
        <v>0</v>
      </c>
      <c r="EU46" s="80" t="e">
        <f>ET46*#REF!</f>
        <v>#REF!</v>
      </c>
      <c r="EV46" s="81" t="e">
        <f>ET46*#REF!</f>
        <v>#REF!</v>
      </c>
      <c r="EX46" s="25"/>
      <c r="EY46" s="26"/>
      <c r="EZ46" s="27"/>
      <c r="FA46" s="28"/>
      <c r="FB46" s="29"/>
      <c r="FC46" s="79">
        <f t="shared" si="6"/>
        <v>0</v>
      </c>
      <c r="FD46" s="80" t="e">
        <f>FC46*#REF!</f>
        <v>#REF!</v>
      </c>
      <c r="FE46" s="81" t="e">
        <f>FC46*#REF!</f>
        <v>#REF!</v>
      </c>
      <c r="FG46" s="25"/>
      <c r="FH46" s="26"/>
      <c r="FI46" s="27"/>
      <c r="FJ46" s="28"/>
      <c r="FK46" s="29"/>
      <c r="FL46" s="79">
        <f t="shared" si="7"/>
        <v>0</v>
      </c>
      <c r="FM46" s="80" t="e">
        <f>FL46*#REF!</f>
        <v>#REF!</v>
      </c>
      <c r="FN46" s="81" t="e">
        <f>FL46*#REF!</f>
        <v>#REF!</v>
      </c>
      <c r="FP46" s="25"/>
      <c r="FQ46" s="26"/>
      <c r="FR46" s="27"/>
      <c r="FS46" s="28"/>
      <c r="FT46" s="29"/>
      <c r="FU46" s="79">
        <f t="shared" si="8"/>
        <v>0</v>
      </c>
      <c r="FV46" s="80" t="e">
        <f>FU46*#REF!</f>
        <v>#REF!</v>
      </c>
      <c r="FW46" s="81" t="e">
        <f>FU46*#REF!</f>
        <v>#REF!</v>
      </c>
      <c r="FY46" s="25"/>
      <c r="FZ46" s="26"/>
      <c r="GA46" s="27"/>
      <c r="GB46" s="28"/>
      <c r="GC46" s="29"/>
      <c r="GD46" s="79">
        <f t="shared" si="9"/>
        <v>0</v>
      </c>
      <c r="GE46" s="80" t="e">
        <f>GD46*#REF!</f>
        <v>#REF!</v>
      </c>
      <c r="GF46" s="81" t="e">
        <f>GD46*#REF!</f>
        <v>#REF!</v>
      </c>
      <c r="GH46" s="25"/>
      <c r="GI46" s="26"/>
      <c r="GJ46" s="27"/>
      <c r="GK46" s="28"/>
      <c r="GL46" s="29"/>
      <c r="GM46" s="79">
        <f t="shared" si="10"/>
        <v>0</v>
      </c>
      <c r="GN46" s="80" t="e">
        <f>GM46*#REF!</f>
        <v>#REF!</v>
      </c>
      <c r="GO46" s="81" t="e">
        <f>GM46*#REF!</f>
        <v>#REF!</v>
      </c>
      <c r="GQ46" s="82">
        <f t="shared" si="12"/>
        <v>2</v>
      </c>
      <c r="GR46" s="83">
        <v>2</v>
      </c>
    </row>
    <row r="47" spans="2:200" ht="15">
      <c r="B47" s="22"/>
      <c r="C47" s="23"/>
      <c r="D47" s="24" t="str">
        <f>IF(C47="","",_xlfn.XLOOKUP(C47,'[1]Control Sheet'!$L$5:$L$104,'[1]Control Sheet'!$M$5:$M$104,"",0))</f>
        <v/>
      </c>
      <c r="E47" s="24" t="str">
        <f>IF(B47="","",_xlfn.XLOOKUP(B47,'[1]Control Sheet'!$D$5:$D$64,'[1]Control Sheet'!$F$5:$F$64,"",0))</f>
        <v/>
      </c>
      <c r="F47" s="24" t="str">
        <f>IF(B47="","",_xlfn.XLOOKUP(B47,'[1]Control Sheet'!$D$5:$D$64,'[1]Control Sheet'!$E$5:$E$64,"",0))</f>
        <v/>
      </c>
      <c r="I47" s="31"/>
      <c r="J47" s="32"/>
      <c r="K47" s="33"/>
      <c r="L47" s="34"/>
      <c r="M47" s="35"/>
      <c r="P47" s="31"/>
      <c r="Q47" s="32"/>
      <c r="R47" s="33"/>
      <c r="S47" s="34"/>
      <c r="T47" s="35"/>
      <c r="V47" s="31"/>
      <c r="W47" s="32"/>
      <c r="X47" s="33"/>
      <c r="Y47" s="34"/>
      <c r="Z47" s="35"/>
      <c r="AB47" s="31"/>
      <c r="AC47" s="32"/>
      <c r="AD47" s="33"/>
      <c r="AE47" s="34"/>
      <c r="AF47" s="35"/>
      <c r="AH47" s="31"/>
      <c r="AI47" s="32"/>
      <c r="AJ47" s="33"/>
      <c r="AK47" s="34"/>
      <c r="AL47" s="35"/>
      <c r="AN47" s="31"/>
      <c r="AO47" s="32"/>
      <c r="AP47" s="33"/>
      <c r="AQ47" s="34"/>
      <c r="AR47" s="35"/>
      <c r="AT47" s="31"/>
      <c r="AU47" s="32"/>
      <c r="AV47" s="33"/>
      <c r="AW47" s="34"/>
      <c r="AX47" s="35"/>
      <c r="AZ47" s="31"/>
      <c r="BA47" s="32"/>
      <c r="BB47" s="33"/>
      <c r="BC47" s="34"/>
      <c r="BD47" s="35"/>
      <c r="BF47" s="31"/>
      <c r="BG47" s="32"/>
      <c r="BH47" s="33"/>
      <c r="BI47" s="34"/>
      <c r="BJ47" s="35"/>
      <c r="BL47" s="31"/>
      <c r="BM47" s="32"/>
      <c r="BN47" s="33"/>
      <c r="BO47" s="34"/>
      <c r="BP47" s="35"/>
      <c r="BR47" s="31"/>
      <c r="BS47" s="32"/>
      <c r="BT47" s="33"/>
      <c r="BU47" s="34"/>
      <c r="BV47" s="36"/>
      <c r="BX47" s="31"/>
      <c r="BY47" s="32"/>
      <c r="BZ47" s="33"/>
      <c r="CA47" s="34"/>
      <c r="CB47" s="35"/>
      <c r="CD47" s="31"/>
      <c r="CE47" s="32"/>
      <c r="CF47" s="33"/>
      <c r="CG47" s="34"/>
      <c r="CH47" s="35"/>
      <c r="CJ47" s="25"/>
      <c r="CK47" s="26"/>
      <c r="CL47" s="27"/>
      <c r="CM47" s="28"/>
      <c r="CN47" s="29"/>
      <c r="CP47" s="25"/>
      <c r="CQ47" s="26"/>
      <c r="CR47" s="27"/>
      <c r="CS47" s="28"/>
      <c r="CT47" s="29"/>
      <c r="CV47" s="25"/>
      <c r="CW47" s="26"/>
      <c r="CX47" s="27"/>
      <c r="CY47" s="28"/>
      <c r="CZ47" s="29"/>
      <c r="DA47" s="79">
        <f t="shared" si="0"/>
        <v>0</v>
      </c>
      <c r="DB47" s="80" t="e">
        <f>DA47*#REF!</f>
        <v>#REF!</v>
      </c>
      <c r="DC47" s="81" t="e">
        <f>DA47*#REF!</f>
        <v>#REF!</v>
      </c>
      <c r="DE47" s="25"/>
      <c r="DF47" s="26"/>
      <c r="DG47" s="27"/>
      <c r="DH47" s="28"/>
      <c r="DI47" s="29"/>
      <c r="DJ47" s="79">
        <f t="shared" si="1"/>
        <v>0</v>
      </c>
      <c r="DK47" s="80" t="e">
        <f>DJ47*#REF!</f>
        <v>#REF!</v>
      </c>
      <c r="DL47" s="81" t="e">
        <f>DJ47*#REF!</f>
        <v>#REF!</v>
      </c>
      <c r="DN47" s="25"/>
      <c r="DO47" s="26"/>
      <c r="DP47" s="27"/>
      <c r="DQ47" s="28"/>
      <c r="DR47" s="29"/>
      <c r="DS47" s="79">
        <f t="shared" si="2"/>
        <v>0</v>
      </c>
      <c r="DT47" s="80" t="e">
        <f>DS47*#REF!</f>
        <v>#REF!</v>
      </c>
      <c r="DU47" s="81" t="e">
        <f>DS47*#REF!</f>
        <v>#REF!</v>
      </c>
      <c r="DW47" s="25"/>
      <c r="DX47" s="26"/>
      <c r="DY47" s="27"/>
      <c r="DZ47" s="28"/>
      <c r="EA47" s="29"/>
      <c r="EB47" s="79">
        <f t="shared" si="3"/>
        <v>0</v>
      </c>
      <c r="EC47" s="80" t="e">
        <f>EB47*#REF!</f>
        <v>#REF!</v>
      </c>
      <c r="ED47" s="81" t="e">
        <f>EB47*#REF!</f>
        <v>#REF!</v>
      </c>
      <c r="EF47" s="25"/>
      <c r="EG47" s="26"/>
      <c r="EH47" s="27"/>
      <c r="EI47" s="28"/>
      <c r="EJ47" s="29"/>
      <c r="EK47" s="79">
        <f t="shared" si="4"/>
        <v>0</v>
      </c>
      <c r="EL47" s="80" t="e">
        <f>EK47*#REF!</f>
        <v>#REF!</v>
      </c>
      <c r="EM47" s="81" t="e">
        <f>EK47*#REF!</f>
        <v>#REF!</v>
      </c>
      <c r="EO47" s="25"/>
      <c r="EP47" s="26"/>
      <c r="EQ47" s="27"/>
      <c r="ER47" s="28"/>
      <c r="ES47" s="29"/>
      <c r="ET47" s="79">
        <f t="shared" si="5"/>
        <v>0</v>
      </c>
      <c r="EU47" s="80" t="e">
        <f>ET47*#REF!</f>
        <v>#REF!</v>
      </c>
      <c r="EV47" s="81" t="e">
        <f>ET47*#REF!</f>
        <v>#REF!</v>
      </c>
      <c r="EX47" s="25"/>
      <c r="EY47" s="26"/>
      <c r="EZ47" s="27"/>
      <c r="FA47" s="28"/>
      <c r="FB47" s="29"/>
      <c r="FC47" s="79">
        <f t="shared" si="6"/>
        <v>0</v>
      </c>
      <c r="FD47" s="80" t="e">
        <f>FC47*#REF!</f>
        <v>#REF!</v>
      </c>
      <c r="FE47" s="81" t="e">
        <f>FC47*#REF!</f>
        <v>#REF!</v>
      </c>
      <c r="FG47" s="25"/>
      <c r="FH47" s="26"/>
      <c r="FI47" s="27"/>
      <c r="FJ47" s="28"/>
      <c r="FK47" s="29"/>
      <c r="FL47" s="79">
        <f t="shared" si="7"/>
        <v>0</v>
      </c>
      <c r="FM47" s="80" t="e">
        <f>FL47*#REF!</f>
        <v>#REF!</v>
      </c>
      <c r="FN47" s="81" t="e">
        <f>FL47*#REF!</f>
        <v>#REF!</v>
      </c>
      <c r="FP47" s="25"/>
      <c r="FQ47" s="26"/>
      <c r="FR47" s="27"/>
      <c r="FS47" s="28"/>
      <c r="FT47" s="29"/>
      <c r="FU47" s="79">
        <f t="shared" si="8"/>
        <v>0</v>
      </c>
      <c r="FV47" s="80" t="e">
        <f>FU47*#REF!</f>
        <v>#REF!</v>
      </c>
      <c r="FW47" s="81" t="e">
        <f>FU47*#REF!</f>
        <v>#REF!</v>
      </c>
      <c r="FY47" s="25"/>
      <c r="FZ47" s="26"/>
      <c r="GA47" s="27"/>
      <c r="GB47" s="28"/>
      <c r="GC47" s="29"/>
      <c r="GD47" s="79">
        <f t="shared" si="9"/>
        <v>0</v>
      </c>
      <c r="GE47" s="80" t="e">
        <f>GD47*#REF!</f>
        <v>#REF!</v>
      </c>
      <c r="GF47" s="81" t="e">
        <f>GD47*#REF!</f>
        <v>#REF!</v>
      </c>
      <c r="GH47" s="25"/>
      <c r="GI47" s="26"/>
      <c r="GJ47" s="27"/>
      <c r="GK47" s="28"/>
      <c r="GL47" s="29"/>
      <c r="GM47" s="79">
        <f t="shared" si="10"/>
        <v>0</v>
      </c>
      <c r="GN47" s="80" t="e">
        <f>GM47*#REF!</f>
        <v>#REF!</v>
      </c>
      <c r="GO47" s="81" t="e">
        <f>GM47*#REF!</f>
        <v>#REF!</v>
      </c>
      <c r="GQ47" s="82">
        <f t="shared" si="12"/>
        <v>0</v>
      </c>
      <c r="GR47" s="83">
        <v>0</v>
      </c>
    </row>
    <row r="48" spans="2:200" ht="15">
      <c r="B48" s="22" t="s">
        <v>72</v>
      </c>
      <c r="C48" s="23" t="s">
        <v>73</v>
      </c>
      <c r="D48" s="24">
        <f>IF(C48="","",_xlfn.XLOOKUP(C48,'[1]Control Sheet'!$L$5:$L$104,'[1]Control Sheet'!$M$5:$M$104,"",0))</f>
        <v>0</v>
      </c>
      <c r="E48" s="24" t="str">
        <f>IF(B48="","",_xlfn.XLOOKUP(B48,'[1]Control Sheet'!$D$5:$D$64,'[1]Control Sheet'!$F$5:$F$64,"",0))</f>
        <v>GHI</v>
      </c>
      <c r="F48" s="24" t="str">
        <f>IF(B48="","",_xlfn.XLOOKUP(B48,'[1]Control Sheet'!$D$5:$D$64,'[1]Control Sheet'!$E$5:$E$64,"",0))</f>
        <v>C1060-N</v>
      </c>
      <c r="I48" s="31">
        <v>0.36458333333333331</v>
      </c>
      <c r="J48" s="32">
        <v>0.66666666666666663</v>
      </c>
      <c r="K48" s="33">
        <v>45</v>
      </c>
      <c r="L48" s="34">
        <v>1</v>
      </c>
      <c r="M48" s="35">
        <v>1</v>
      </c>
      <c r="P48" s="31">
        <v>0.36458333333333331</v>
      </c>
      <c r="Q48" s="32">
        <v>0.70833333333333337</v>
      </c>
      <c r="R48" s="33">
        <v>45</v>
      </c>
      <c r="S48" s="34">
        <v>1</v>
      </c>
      <c r="T48" s="35">
        <v>1</v>
      </c>
      <c r="V48" s="31">
        <v>0.36458333333333331</v>
      </c>
      <c r="W48" s="32">
        <v>0.70833333333333337</v>
      </c>
      <c r="X48" s="33">
        <v>45</v>
      </c>
      <c r="Y48" s="34">
        <v>1</v>
      </c>
      <c r="Z48" s="35">
        <v>1</v>
      </c>
      <c r="AB48" s="31">
        <v>0.36458333333333331</v>
      </c>
      <c r="AC48" s="32">
        <v>0.70833333333333337</v>
      </c>
      <c r="AD48" s="33">
        <v>45</v>
      </c>
      <c r="AE48" s="34">
        <v>1</v>
      </c>
      <c r="AF48" s="35">
        <v>1</v>
      </c>
      <c r="AH48" s="31">
        <v>0.36458333333333331</v>
      </c>
      <c r="AI48" s="32">
        <v>0.70833333333333337</v>
      </c>
      <c r="AJ48" s="33">
        <v>45</v>
      </c>
      <c r="AK48" s="34">
        <v>1</v>
      </c>
      <c r="AL48" s="35">
        <v>1</v>
      </c>
      <c r="AN48" s="31">
        <v>0.36458333333333331</v>
      </c>
      <c r="AO48" s="32">
        <v>0.75</v>
      </c>
      <c r="AP48" s="33">
        <v>45</v>
      </c>
      <c r="AQ48" s="34">
        <v>1</v>
      </c>
      <c r="AR48" s="35">
        <v>1</v>
      </c>
      <c r="AT48" s="31">
        <v>0.36458333333333331</v>
      </c>
      <c r="AU48" s="32">
        <v>0.70833333333333337</v>
      </c>
      <c r="AV48" s="33">
        <v>45</v>
      </c>
      <c r="AW48" s="34">
        <v>1</v>
      </c>
      <c r="AX48" s="35">
        <v>1</v>
      </c>
      <c r="AZ48" s="31">
        <v>0.36458333333333331</v>
      </c>
      <c r="BA48" s="32">
        <v>0.70833333333333337</v>
      </c>
      <c r="BB48" s="33">
        <v>45</v>
      </c>
      <c r="BC48" s="34">
        <v>1</v>
      </c>
      <c r="BD48" s="35">
        <v>1</v>
      </c>
      <c r="BF48" s="31">
        <v>0.36458333333333331</v>
      </c>
      <c r="BG48" s="32">
        <v>0.70833333333333337</v>
      </c>
      <c r="BH48" s="33">
        <v>45</v>
      </c>
      <c r="BI48" s="34">
        <v>1</v>
      </c>
      <c r="BJ48" s="35">
        <v>1</v>
      </c>
      <c r="BL48" s="31">
        <v>0.38541666666666669</v>
      </c>
      <c r="BM48" s="32">
        <v>0.6875</v>
      </c>
      <c r="BN48" s="33">
        <v>45</v>
      </c>
      <c r="BO48" s="34">
        <v>1</v>
      </c>
      <c r="BP48" s="35">
        <v>1</v>
      </c>
      <c r="BR48" s="31">
        <v>0.40625</v>
      </c>
      <c r="BS48" s="32">
        <v>0.64583333333333337</v>
      </c>
      <c r="BT48" s="33">
        <v>45</v>
      </c>
      <c r="BU48" s="34">
        <v>1</v>
      </c>
      <c r="BV48" s="35">
        <v>1</v>
      </c>
      <c r="BX48" s="31">
        <v>0.40625</v>
      </c>
      <c r="BY48" s="32">
        <v>0.72916666666666663</v>
      </c>
      <c r="BZ48" s="33">
        <v>45</v>
      </c>
      <c r="CA48" s="34">
        <v>1</v>
      </c>
      <c r="CB48" s="35">
        <v>1</v>
      </c>
      <c r="CD48" s="31">
        <v>0.40625</v>
      </c>
      <c r="CE48" s="32">
        <v>0.79166666666666663</v>
      </c>
      <c r="CF48" s="33">
        <v>60</v>
      </c>
      <c r="CG48" s="34">
        <v>1</v>
      </c>
      <c r="CH48" s="35">
        <v>1</v>
      </c>
      <c r="CJ48" s="31">
        <v>0.40625</v>
      </c>
      <c r="CK48" s="32">
        <v>0.64583333333333337</v>
      </c>
      <c r="CL48" s="33">
        <v>45</v>
      </c>
      <c r="CM48" s="34">
        <v>1</v>
      </c>
      <c r="CN48" s="35">
        <v>1</v>
      </c>
      <c r="CP48" s="25"/>
      <c r="CQ48" s="26"/>
      <c r="CR48" s="27"/>
      <c r="CS48" s="28"/>
      <c r="CT48" s="29"/>
      <c r="CV48" s="25"/>
      <c r="CW48" s="26"/>
      <c r="CX48" s="27"/>
      <c r="CY48" s="28"/>
      <c r="CZ48" s="29"/>
      <c r="DA48" s="79">
        <f t="shared" si="0"/>
        <v>0</v>
      </c>
      <c r="DB48" s="80" t="e">
        <f>DA48*#REF!</f>
        <v>#REF!</v>
      </c>
      <c r="DC48" s="81" t="e">
        <f>DA48*#REF!</f>
        <v>#REF!</v>
      </c>
      <c r="DE48" s="25"/>
      <c r="DF48" s="26"/>
      <c r="DG48" s="27"/>
      <c r="DH48" s="28"/>
      <c r="DI48" s="29"/>
      <c r="DJ48" s="79">
        <f t="shared" si="1"/>
        <v>0</v>
      </c>
      <c r="DK48" s="80" t="e">
        <f>DJ48*#REF!</f>
        <v>#REF!</v>
      </c>
      <c r="DL48" s="81" t="e">
        <f>DJ48*#REF!</f>
        <v>#REF!</v>
      </c>
      <c r="DN48" s="25"/>
      <c r="DO48" s="26"/>
      <c r="DP48" s="27"/>
      <c r="DQ48" s="28"/>
      <c r="DR48" s="29"/>
      <c r="DS48" s="79">
        <f t="shared" si="2"/>
        <v>0</v>
      </c>
      <c r="DT48" s="80" t="e">
        <f>DS48*#REF!</f>
        <v>#REF!</v>
      </c>
      <c r="DU48" s="81" t="e">
        <f>DS48*#REF!</f>
        <v>#REF!</v>
      </c>
      <c r="DW48" s="25"/>
      <c r="DX48" s="26"/>
      <c r="DY48" s="27"/>
      <c r="DZ48" s="28"/>
      <c r="EA48" s="29"/>
      <c r="EB48" s="79">
        <f t="shared" si="3"/>
        <v>0</v>
      </c>
      <c r="EC48" s="80" t="e">
        <f>EB48*#REF!</f>
        <v>#REF!</v>
      </c>
      <c r="ED48" s="81" t="e">
        <f>EB48*#REF!</f>
        <v>#REF!</v>
      </c>
      <c r="EF48" s="25"/>
      <c r="EG48" s="26"/>
      <c r="EH48" s="27"/>
      <c r="EI48" s="28"/>
      <c r="EJ48" s="29"/>
      <c r="EK48" s="79">
        <f t="shared" si="4"/>
        <v>0</v>
      </c>
      <c r="EL48" s="80" t="e">
        <f>EK48*#REF!</f>
        <v>#REF!</v>
      </c>
      <c r="EM48" s="81" t="e">
        <f>EK48*#REF!</f>
        <v>#REF!</v>
      </c>
      <c r="EO48" s="25"/>
      <c r="EP48" s="26"/>
      <c r="EQ48" s="27"/>
      <c r="ER48" s="28"/>
      <c r="ES48" s="29"/>
      <c r="ET48" s="79">
        <f t="shared" si="5"/>
        <v>0</v>
      </c>
      <c r="EU48" s="80" t="e">
        <f>ET48*#REF!</f>
        <v>#REF!</v>
      </c>
      <c r="EV48" s="81" t="e">
        <f>ET48*#REF!</f>
        <v>#REF!</v>
      </c>
      <c r="EX48" s="25"/>
      <c r="EY48" s="26"/>
      <c r="EZ48" s="27"/>
      <c r="FA48" s="28"/>
      <c r="FB48" s="29"/>
      <c r="FC48" s="79">
        <f t="shared" si="6"/>
        <v>0</v>
      </c>
      <c r="FD48" s="80" t="e">
        <f>FC48*#REF!</f>
        <v>#REF!</v>
      </c>
      <c r="FE48" s="81" t="e">
        <f>FC48*#REF!</f>
        <v>#REF!</v>
      </c>
      <c r="FG48" s="25"/>
      <c r="FH48" s="26"/>
      <c r="FI48" s="27"/>
      <c r="FJ48" s="28"/>
      <c r="FK48" s="29"/>
      <c r="FL48" s="79">
        <f t="shared" si="7"/>
        <v>0</v>
      </c>
      <c r="FM48" s="80" t="e">
        <f>FL48*#REF!</f>
        <v>#REF!</v>
      </c>
      <c r="FN48" s="81" t="e">
        <f>FL48*#REF!</f>
        <v>#REF!</v>
      </c>
      <c r="FP48" s="25"/>
      <c r="FQ48" s="26"/>
      <c r="FR48" s="27"/>
      <c r="FS48" s="28"/>
      <c r="FT48" s="29"/>
      <c r="FU48" s="79">
        <f t="shared" si="8"/>
        <v>0</v>
      </c>
      <c r="FV48" s="80" t="e">
        <f>FU48*#REF!</f>
        <v>#REF!</v>
      </c>
      <c r="FW48" s="81" t="e">
        <f>FU48*#REF!</f>
        <v>#REF!</v>
      </c>
      <c r="FY48" s="25"/>
      <c r="FZ48" s="26"/>
      <c r="GA48" s="27"/>
      <c r="GB48" s="28"/>
      <c r="GC48" s="29"/>
      <c r="GD48" s="79">
        <f t="shared" si="9"/>
        <v>0</v>
      </c>
      <c r="GE48" s="80" t="e">
        <f>GD48*#REF!</f>
        <v>#REF!</v>
      </c>
      <c r="GF48" s="81" t="e">
        <f>GD48*#REF!</f>
        <v>#REF!</v>
      </c>
      <c r="GH48" s="25"/>
      <c r="GI48" s="26"/>
      <c r="GJ48" s="27"/>
      <c r="GK48" s="28"/>
      <c r="GL48" s="29"/>
      <c r="GM48" s="79">
        <f t="shared" si="10"/>
        <v>0</v>
      </c>
      <c r="GN48" s="80" t="e">
        <f>GM48*#REF!</f>
        <v>#REF!</v>
      </c>
      <c r="GO48" s="81" t="e">
        <f>GM48*#REF!</f>
        <v>#REF!</v>
      </c>
      <c r="GQ48" s="82">
        <f t="shared" si="12"/>
        <v>1</v>
      </c>
      <c r="GR48" s="83">
        <v>1</v>
      </c>
    </row>
    <row r="49" spans="2:200" ht="15">
      <c r="B49" s="22" t="s">
        <v>72</v>
      </c>
      <c r="C49" s="23" t="s">
        <v>73</v>
      </c>
      <c r="D49" s="24">
        <f>IF(C49="","",_xlfn.XLOOKUP(C49,'[1]Control Sheet'!$L$5:$L$104,'[1]Control Sheet'!$M$5:$M$104,"",0))</f>
        <v>0</v>
      </c>
      <c r="E49" s="24" t="str">
        <f>IF(B49="","",_xlfn.XLOOKUP(B49,'[1]Control Sheet'!$D$5:$D$64,'[1]Control Sheet'!$F$5:$F$64,"",0))</f>
        <v>GHI</v>
      </c>
      <c r="F49" s="24" t="str">
        <f>IF(B49="","",_xlfn.XLOOKUP(B49,'[1]Control Sheet'!$D$5:$D$64,'[1]Control Sheet'!$E$5:$E$64,"",0))</f>
        <v>C1060-N</v>
      </c>
      <c r="I49" s="31">
        <v>0.40625</v>
      </c>
      <c r="J49" s="32">
        <v>0.6875</v>
      </c>
      <c r="K49" s="33">
        <v>45</v>
      </c>
      <c r="L49" s="34">
        <v>1</v>
      </c>
      <c r="M49" s="35">
        <v>1</v>
      </c>
      <c r="P49" s="31">
        <v>0.40625</v>
      </c>
      <c r="Q49" s="32">
        <v>0.72916666666666663</v>
      </c>
      <c r="R49" s="33">
        <v>45</v>
      </c>
      <c r="S49" s="34">
        <v>1</v>
      </c>
      <c r="T49" s="35">
        <v>1</v>
      </c>
      <c r="V49" s="31">
        <v>0.40625</v>
      </c>
      <c r="W49" s="32">
        <v>0.72916666666666663</v>
      </c>
      <c r="X49" s="33">
        <v>45</v>
      </c>
      <c r="Y49" s="34">
        <v>1</v>
      </c>
      <c r="Z49" s="35">
        <v>1</v>
      </c>
      <c r="AB49" s="31">
        <v>0.40625</v>
      </c>
      <c r="AC49" s="32">
        <v>0.72916666666666663</v>
      </c>
      <c r="AD49" s="33">
        <v>45</v>
      </c>
      <c r="AE49" s="34">
        <v>1</v>
      </c>
      <c r="AF49" s="35">
        <v>1</v>
      </c>
      <c r="AH49" s="31">
        <v>0.40625</v>
      </c>
      <c r="AI49" s="32">
        <v>0.72916666666666663</v>
      </c>
      <c r="AJ49" s="33">
        <v>45</v>
      </c>
      <c r="AK49" s="34">
        <v>1</v>
      </c>
      <c r="AL49" s="35">
        <v>1</v>
      </c>
      <c r="AN49" s="31">
        <v>0.40625</v>
      </c>
      <c r="AO49" s="32">
        <v>0.79166666666666663</v>
      </c>
      <c r="AP49" s="33">
        <v>45</v>
      </c>
      <c r="AQ49" s="34">
        <v>1</v>
      </c>
      <c r="AR49" s="35">
        <v>1</v>
      </c>
      <c r="AT49" s="31">
        <v>0.40625</v>
      </c>
      <c r="AU49" s="32">
        <v>0.75</v>
      </c>
      <c r="AV49" s="33">
        <v>45</v>
      </c>
      <c r="AW49" s="34">
        <v>1</v>
      </c>
      <c r="AX49" s="35">
        <v>1</v>
      </c>
      <c r="AZ49" s="31">
        <v>0.41666666666666669</v>
      </c>
      <c r="BA49" s="32">
        <v>0.79166666666666663</v>
      </c>
      <c r="BB49" s="33">
        <v>45</v>
      </c>
      <c r="BC49" s="34">
        <v>1</v>
      </c>
      <c r="BD49" s="35">
        <v>1</v>
      </c>
      <c r="BF49" s="31">
        <v>0.40625</v>
      </c>
      <c r="BG49" s="32">
        <v>0.8125</v>
      </c>
      <c r="BH49" s="33">
        <v>60</v>
      </c>
      <c r="BI49" s="34">
        <v>1</v>
      </c>
      <c r="BJ49" s="35">
        <v>1</v>
      </c>
      <c r="BL49" s="31">
        <v>0.38541666666666669</v>
      </c>
      <c r="BM49" s="32">
        <v>0.6875</v>
      </c>
      <c r="BN49" s="33">
        <v>45</v>
      </c>
      <c r="BO49" s="34">
        <v>1</v>
      </c>
      <c r="BP49" s="35">
        <v>1</v>
      </c>
      <c r="BR49" s="31">
        <v>0.41666666666666669</v>
      </c>
      <c r="BS49" s="32">
        <v>0.66666666666666663</v>
      </c>
      <c r="BT49" s="33">
        <v>45</v>
      </c>
      <c r="BU49" s="34">
        <v>1</v>
      </c>
      <c r="BV49" s="35">
        <v>1</v>
      </c>
      <c r="BX49" s="31">
        <v>0.41666666666666669</v>
      </c>
      <c r="BY49" s="32">
        <v>0.66666666666666663</v>
      </c>
      <c r="BZ49" s="33">
        <v>45</v>
      </c>
      <c r="CA49" s="34">
        <v>1</v>
      </c>
      <c r="CB49" s="35">
        <v>1</v>
      </c>
      <c r="CD49" s="31">
        <v>0.41666666666666669</v>
      </c>
      <c r="CE49" s="32">
        <v>0.66666666666666663</v>
      </c>
      <c r="CF49" s="33">
        <v>45</v>
      </c>
      <c r="CG49" s="34">
        <v>1</v>
      </c>
      <c r="CH49" s="35">
        <v>1</v>
      </c>
      <c r="CJ49" s="31">
        <v>0.41666666666666669</v>
      </c>
      <c r="CK49" s="32">
        <v>0.66666666666666663</v>
      </c>
      <c r="CL49" s="33">
        <v>45</v>
      </c>
      <c r="CM49" s="34">
        <v>1</v>
      </c>
      <c r="CN49" s="35">
        <v>1</v>
      </c>
      <c r="CP49" s="25"/>
      <c r="CQ49" s="26"/>
      <c r="CR49" s="27"/>
      <c r="CS49" s="28"/>
      <c r="CT49" s="29"/>
      <c r="CV49" s="25"/>
      <c r="CW49" s="26"/>
      <c r="CX49" s="27"/>
      <c r="CY49" s="28"/>
      <c r="CZ49" s="29"/>
      <c r="DA49" s="79">
        <f t="shared" si="0"/>
        <v>0</v>
      </c>
      <c r="DB49" s="80" t="e">
        <f>DA49*#REF!</f>
        <v>#REF!</v>
      </c>
      <c r="DC49" s="81" t="e">
        <f>DA49*#REF!</f>
        <v>#REF!</v>
      </c>
      <c r="DE49" s="25"/>
      <c r="DF49" s="26"/>
      <c r="DG49" s="27"/>
      <c r="DH49" s="28"/>
      <c r="DI49" s="29"/>
      <c r="DJ49" s="79">
        <f t="shared" si="1"/>
        <v>0</v>
      </c>
      <c r="DK49" s="80" t="e">
        <f>DJ49*#REF!</f>
        <v>#REF!</v>
      </c>
      <c r="DL49" s="81" t="e">
        <f>DJ49*#REF!</f>
        <v>#REF!</v>
      </c>
      <c r="DN49" s="25"/>
      <c r="DO49" s="26"/>
      <c r="DP49" s="27"/>
      <c r="DQ49" s="28"/>
      <c r="DR49" s="29"/>
      <c r="DS49" s="79">
        <f t="shared" si="2"/>
        <v>0</v>
      </c>
      <c r="DT49" s="80" t="e">
        <f>DS49*#REF!</f>
        <v>#REF!</v>
      </c>
      <c r="DU49" s="81" t="e">
        <f>DS49*#REF!</f>
        <v>#REF!</v>
      </c>
      <c r="DW49" s="25"/>
      <c r="DX49" s="26"/>
      <c r="DY49" s="27"/>
      <c r="DZ49" s="28"/>
      <c r="EA49" s="29"/>
      <c r="EB49" s="79">
        <f t="shared" si="3"/>
        <v>0</v>
      </c>
      <c r="EC49" s="80" t="e">
        <f>EB49*#REF!</f>
        <v>#REF!</v>
      </c>
      <c r="ED49" s="81" t="e">
        <f>EB49*#REF!</f>
        <v>#REF!</v>
      </c>
      <c r="EF49" s="25"/>
      <c r="EG49" s="26"/>
      <c r="EH49" s="27"/>
      <c r="EI49" s="28"/>
      <c r="EJ49" s="29"/>
      <c r="EK49" s="79">
        <f t="shared" si="4"/>
        <v>0</v>
      </c>
      <c r="EL49" s="80" t="e">
        <f>EK49*#REF!</f>
        <v>#REF!</v>
      </c>
      <c r="EM49" s="81" t="e">
        <f>EK49*#REF!</f>
        <v>#REF!</v>
      </c>
      <c r="EO49" s="25"/>
      <c r="EP49" s="26"/>
      <c r="EQ49" s="27"/>
      <c r="ER49" s="28"/>
      <c r="ES49" s="29"/>
      <c r="ET49" s="79">
        <f t="shared" si="5"/>
        <v>0</v>
      </c>
      <c r="EU49" s="80" t="e">
        <f>ET49*#REF!</f>
        <v>#REF!</v>
      </c>
      <c r="EV49" s="81" t="e">
        <f>ET49*#REF!</f>
        <v>#REF!</v>
      </c>
      <c r="EX49" s="25"/>
      <c r="EY49" s="26"/>
      <c r="EZ49" s="27"/>
      <c r="FA49" s="28"/>
      <c r="FB49" s="29"/>
      <c r="FC49" s="79">
        <f t="shared" si="6"/>
        <v>0</v>
      </c>
      <c r="FD49" s="80" t="e">
        <f>FC49*#REF!</f>
        <v>#REF!</v>
      </c>
      <c r="FE49" s="81" t="e">
        <f>FC49*#REF!</f>
        <v>#REF!</v>
      </c>
      <c r="FG49" s="25"/>
      <c r="FH49" s="26"/>
      <c r="FI49" s="27"/>
      <c r="FJ49" s="28"/>
      <c r="FK49" s="29"/>
      <c r="FL49" s="79">
        <f t="shared" si="7"/>
        <v>0</v>
      </c>
      <c r="FM49" s="80" t="e">
        <f>FL49*#REF!</f>
        <v>#REF!</v>
      </c>
      <c r="FN49" s="81" t="e">
        <f>FL49*#REF!</f>
        <v>#REF!</v>
      </c>
      <c r="FP49" s="25"/>
      <c r="FQ49" s="26"/>
      <c r="FR49" s="27"/>
      <c r="FS49" s="28"/>
      <c r="FT49" s="29"/>
      <c r="FU49" s="79">
        <f t="shared" si="8"/>
        <v>0</v>
      </c>
      <c r="FV49" s="80" t="e">
        <f>FU49*#REF!</f>
        <v>#REF!</v>
      </c>
      <c r="FW49" s="81" t="e">
        <f>FU49*#REF!</f>
        <v>#REF!</v>
      </c>
      <c r="FY49" s="25"/>
      <c r="FZ49" s="26"/>
      <c r="GA49" s="27"/>
      <c r="GB49" s="28"/>
      <c r="GC49" s="29"/>
      <c r="GD49" s="79">
        <f t="shared" si="9"/>
        <v>0</v>
      </c>
      <c r="GE49" s="80" t="e">
        <f>GD49*#REF!</f>
        <v>#REF!</v>
      </c>
      <c r="GF49" s="81" t="e">
        <f>GD49*#REF!</f>
        <v>#REF!</v>
      </c>
      <c r="GH49" s="25"/>
      <c r="GI49" s="26"/>
      <c r="GJ49" s="27"/>
      <c r="GK49" s="28"/>
      <c r="GL49" s="29"/>
      <c r="GM49" s="79">
        <f t="shared" si="10"/>
        <v>0</v>
      </c>
      <c r="GN49" s="80" t="e">
        <f>GM49*#REF!</f>
        <v>#REF!</v>
      </c>
      <c r="GO49" s="81" t="e">
        <f>GM49*#REF!</f>
        <v>#REF!</v>
      </c>
      <c r="GQ49" s="82">
        <f t="shared" si="12"/>
        <v>1</v>
      </c>
      <c r="GR49" s="83">
        <v>1</v>
      </c>
    </row>
    <row r="50" spans="2:200" ht="15">
      <c r="B50" s="22" t="s">
        <v>72</v>
      </c>
      <c r="C50" s="23" t="s">
        <v>73</v>
      </c>
      <c r="D50" s="24">
        <f>IF(C50="","",_xlfn.XLOOKUP(C50,'[1]Control Sheet'!$L$5:$L$104,'[1]Control Sheet'!$M$5:$M$104,"",0))</f>
        <v>0</v>
      </c>
      <c r="E50" s="24" t="str">
        <f>IF(B50="","",_xlfn.XLOOKUP(B50,'[1]Control Sheet'!$D$5:$D$64,'[1]Control Sheet'!$F$5:$F$64,"",0))</f>
        <v>GHI</v>
      </c>
      <c r="F50" s="24" t="str">
        <f>IF(B50="","",_xlfn.XLOOKUP(B50,'[1]Control Sheet'!$D$5:$D$64,'[1]Control Sheet'!$E$5:$E$64,"",0))</f>
        <v>C1060-N</v>
      </c>
      <c r="I50" s="31">
        <v>0.36458333333333331</v>
      </c>
      <c r="J50" s="32">
        <v>0.53125</v>
      </c>
      <c r="K50" s="33">
        <v>0</v>
      </c>
      <c r="L50" s="34">
        <v>1</v>
      </c>
      <c r="M50" s="35">
        <v>1</v>
      </c>
      <c r="P50" s="31">
        <v>0.36458333333333331</v>
      </c>
      <c r="Q50" s="32">
        <v>0.53125</v>
      </c>
      <c r="R50" s="33">
        <v>0</v>
      </c>
      <c r="S50" s="34">
        <v>1</v>
      </c>
      <c r="T50" s="35">
        <v>1</v>
      </c>
      <c r="V50" s="31">
        <v>0.36458333333333331</v>
      </c>
      <c r="W50" s="32">
        <v>0.53125</v>
      </c>
      <c r="X50" s="33">
        <v>0</v>
      </c>
      <c r="Y50" s="34">
        <v>1</v>
      </c>
      <c r="Z50" s="35">
        <v>1</v>
      </c>
      <c r="AB50" s="31">
        <v>0.36458333333333331</v>
      </c>
      <c r="AC50" s="32">
        <v>0.53125</v>
      </c>
      <c r="AD50" s="33">
        <v>0</v>
      </c>
      <c r="AE50" s="34">
        <v>1</v>
      </c>
      <c r="AF50" s="35">
        <v>1</v>
      </c>
      <c r="AH50" s="31">
        <v>0.41666666666666669</v>
      </c>
      <c r="AI50" s="32">
        <v>0.66666666666666663</v>
      </c>
      <c r="AJ50" s="33">
        <v>45</v>
      </c>
      <c r="AK50" s="34">
        <v>1</v>
      </c>
      <c r="AL50" s="35">
        <v>1</v>
      </c>
      <c r="AN50" s="31">
        <v>0.41666666666666669</v>
      </c>
      <c r="AO50" s="32">
        <v>0.66666666666666663</v>
      </c>
      <c r="AP50" s="33">
        <v>45</v>
      </c>
      <c r="AQ50" s="34">
        <v>1</v>
      </c>
      <c r="AR50" s="35">
        <v>1</v>
      </c>
      <c r="AT50" s="31">
        <v>0.41666666666666669</v>
      </c>
      <c r="AU50" s="32">
        <v>0.66666666666666663</v>
      </c>
      <c r="AV50" s="33">
        <v>45</v>
      </c>
      <c r="AW50" s="34">
        <v>2</v>
      </c>
      <c r="AX50" s="35">
        <v>1</v>
      </c>
      <c r="AZ50" s="31">
        <v>0.41666666666666669</v>
      </c>
      <c r="BA50" s="32">
        <v>0.66666666666666663</v>
      </c>
      <c r="BB50" s="33">
        <v>45</v>
      </c>
      <c r="BC50" s="34">
        <v>2</v>
      </c>
      <c r="BD50" s="35">
        <v>1</v>
      </c>
      <c r="BF50" s="31">
        <v>0.41666666666666669</v>
      </c>
      <c r="BG50" s="32">
        <v>0.66666666666666663</v>
      </c>
      <c r="BH50" s="33">
        <v>45</v>
      </c>
      <c r="BI50" s="34">
        <v>2</v>
      </c>
      <c r="BJ50" s="35">
        <v>1</v>
      </c>
      <c r="BL50" s="31">
        <v>0.41666666666666669</v>
      </c>
      <c r="BM50" s="32">
        <v>0.58333333333333337</v>
      </c>
      <c r="BN50" s="33">
        <v>0</v>
      </c>
      <c r="BO50" s="34">
        <v>1</v>
      </c>
      <c r="BP50" s="35">
        <v>1</v>
      </c>
      <c r="BR50" s="31"/>
      <c r="BS50" s="32"/>
      <c r="BT50" s="33"/>
      <c r="BU50" s="34"/>
      <c r="BV50" s="35"/>
      <c r="BX50" s="31">
        <v>0.41666666666666669</v>
      </c>
      <c r="BY50" s="32">
        <v>0.75</v>
      </c>
      <c r="BZ50" s="33">
        <v>45</v>
      </c>
      <c r="CA50" s="34">
        <v>1</v>
      </c>
      <c r="CB50" s="35">
        <v>1</v>
      </c>
      <c r="CD50" s="31">
        <v>0.41666666666666669</v>
      </c>
      <c r="CE50" s="32">
        <v>0.8125</v>
      </c>
      <c r="CF50" s="33">
        <v>60</v>
      </c>
      <c r="CG50" s="34">
        <v>1</v>
      </c>
      <c r="CH50" s="35">
        <v>1</v>
      </c>
      <c r="CJ50" s="25"/>
      <c r="CK50" s="26"/>
      <c r="CL50" s="27"/>
      <c r="CM50" s="28"/>
      <c r="CN50" s="29"/>
      <c r="CP50" s="25"/>
      <c r="CQ50" s="26"/>
      <c r="CR50" s="27"/>
      <c r="CS50" s="28"/>
      <c r="CT50" s="29"/>
      <c r="CV50" s="25"/>
      <c r="CW50" s="26"/>
      <c r="CX50" s="27"/>
      <c r="CY50" s="28"/>
      <c r="CZ50" s="29"/>
      <c r="DA50" s="79">
        <f t="shared" si="0"/>
        <v>0</v>
      </c>
      <c r="DB50" s="80" t="e">
        <f>DA50*#REF!</f>
        <v>#REF!</v>
      </c>
      <c r="DC50" s="81" t="e">
        <f>DA50*#REF!</f>
        <v>#REF!</v>
      </c>
      <c r="DE50" s="25"/>
      <c r="DF50" s="26"/>
      <c r="DG50" s="27"/>
      <c r="DH50" s="28"/>
      <c r="DI50" s="29"/>
      <c r="DJ50" s="79">
        <f t="shared" si="1"/>
        <v>0</v>
      </c>
      <c r="DK50" s="80" t="e">
        <f>DJ50*#REF!</f>
        <v>#REF!</v>
      </c>
      <c r="DL50" s="81" t="e">
        <f>DJ50*#REF!</f>
        <v>#REF!</v>
      </c>
      <c r="DN50" s="25"/>
      <c r="DO50" s="26"/>
      <c r="DP50" s="27"/>
      <c r="DQ50" s="28"/>
      <c r="DR50" s="29"/>
      <c r="DS50" s="79">
        <f t="shared" si="2"/>
        <v>0</v>
      </c>
      <c r="DT50" s="80" t="e">
        <f>DS50*#REF!</f>
        <v>#REF!</v>
      </c>
      <c r="DU50" s="81" t="e">
        <f>DS50*#REF!</f>
        <v>#REF!</v>
      </c>
      <c r="DW50" s="25"/>
      <c r="DX50" s="26"/>
      <c r="DY50" s="27"/>
      <c r="DZ50" s="28"/>
      <c r="EA50" s="29"/>
      <c r="EB50" s="79">
        <f t="shared" si="3"/>
        <v>0</v>
      </c>
      <c r="EC50" s="80" t="e">
        <f>EB50*#REF!</f>
        <v>#REF!</v>
      </c>
      <c r="ED50" s="81" t="e">
        <f>EB50*#REF!</f>
        <v>#REF!</v>
      </c>
      <c r="EF50" s="25"/>
      <c r="EG50" s="26"/>
      <c r="EH50" s="27"/>
      <c r="EI50" s="28"/>
      <c r="EJ50" s="29"/>
      <c r="EK50" s="79">
        <f t="shared" si="4"/>
        <v>0</v>
      </c>
      <c r="EL50" s="80" t="e">
        <f>EK50*#REF!</f>
        <v>#REF!</v>
      </c>
      <c r="EM50" s="81" t="e">
        <f>EK50*#REF!</f>
        <v>#REF!</v>
      </c>
      <c r="EO50" s="25"/>
      <c r="EP50" s="26"/>
      <c r="EQ50" s="27"/>
      <c r="ER50" s="28"/>
      <c r="ES50" s="29"/>
      <c r="ET50" s="79">
        <f t="shared" si="5"/>
        <v>0</v>
      </c>
      <c r="EU50" s="80" t="e">
        <f>ET50*#REF!</f>
        <v>#REF!</v>
      </c>
      <c r="EV50" s="81" t="e">
        <f>ET50*#REF!</f>
        <v>#REF!</v>
      </c>
      <c r="EX50" s="25"/>
      <c r="EY50" s="26"/>
      <c r="EZ50" s="27"/>
      <c r="FA50" s="28"/>
      <c r="FB50" s="29"/>
      <c r="FC50" s="79">
        <f t="shared" si="6"/>
        <v>0</v>
      </c>
      <c r="FD50" s="80" t="e">
        <f>FC50*#REF!</f>
        <v>#REF!</v>
      </c>
      <c r="FE50" s="81" t="e">
        <f>FC50*#REF!</f>
        <v>#REF!</v>
      </c>
      <c r="FG50" s="25"/>
      <c r="FH50" s="26"/>
      <c r="FI50" s="27"/>
      <c r="FJ50" s="28"/>
      <c r="FK50" s="29"/>
      <c r="FL50" s="79">
        <f t="shared" si="7"/>
        <v>0</v>
      </c>
      <c r="FM50" s="80" t="e">
        <f>FL50*#REF!</f>
        <v>#REF!</v>
      </c>
      <c r="FN50" s="81" t="e">
        <f>FL50*#REF!</f>
        <v>#REF!</v>
      </c>
      <c r="FP50" s="25"/>
      <c r="FQ50" s="26"/>
      <c r="FR50" s="27"/>
      <c r="FS50" s="28"/>
      <c r="FT50" s="29"/>
      <c r="FU50" s="79">
        <f t="shared" si="8"/>
        <v>0</v>
      </c>
      <c r="FV50" s="80" t="e">
        <f>FU50*#REF!</f>
        <v>#REF!</v>
      </c>
      <c r="FW50" s="81" t="e">
        <f>FU50*#REF!</f>
        <v>#REF!</v>
      </c>
      <c r="FY50" s="25"/>
      <c r="FZ50" s="26"/>
      <c r="GA50" s="27"/>
      <c r="GB50" s="28"/>
      <c r="GC50" s="29"/>
      <c r="GD50" s="79">
        <f t="shared" si="9"/>
        <v>0</v>
      </c>
      <c r="GE50" s="80" t="e">
        <f>GD50*#REF!</f>
        <v>#REF!</v>
      </c>
      <c r="GF50" s="81" t="e">
        <f>GD50*#REF!</f>
        <v>#REF!</v>
      </c>
      <c r="GH50" s="25"/>
      <c r="GI50" s="26"/>
      <c r="GJ50" s="27"/>
      <c r="GK50" s="28"/>
      <c r="GL50" s="29"/>
      <c r="GM50" s="79">
        <f t="shared" si="10"/>
        <v>0</v>
      </c>
      <c r="GN50" s="80" t="e">
        <f>GM50*#REF!</f>
        <v>#REF!</v>
      </c>
      <c r="GO50" s="81" t="e">
        <f>GM50*#REF!</f>
        <v>#REF!</v>
      </c>
      <c r="GQ50" s="82">
        <f t="shared" si="12"/>
        <v>2</v>
      </c>
      <c r="GR50" s="83">
        <v>2</v>
      </c>
    </row>
    <row r="51" spans="2:200" ht="15">
      <c r="B51" s="22" t="s">
        <v>72</v>
      </c>
      <c r="C51" s="23" t="s">
        <v>73</v>
      </c>
      <c r="D51" s="24">
        <f>IF(C51="","",_xlfn.XLOOKUP(C51,'[1]Control Sheet'!$L$5:$L$104,'[1]Control Sheet'!$M$5:$M$104,"",0))</f>
        <v>0</v>
      </c>
      <c r="E51" s="24" t="str">
        <f>IF(B51="","",_xlfn.XLOOKUP(B51,'[1]Control Sheet'!$D$5:$D$64,'[1]Control Sheet'!$F$5:$F$64,"",0))</f>
        <v>GHI</v>
      </c>
      <c r="F51" s="24" t="str">
        <f>IF(B51="","",_xlfn.XLOOKUP(B51,'[1]Control Sheet'!$D$5:$D$64,'[1]Control Sheet'!$E$5:$E$64,"",0))</f>
        <v>C1060-N</v>
      </c>
      <c r="I51" s="31"/>
      <c r="J51" s="32"/>
      <c r="K51" s="33"/>
      <c r="L51" s="34"/>
      <c r="M51" s="35"/>
      <c r="P51" s="31"/>
      <c r="Q51" s="32"/>
      <c r="R51" s="33"/>
      <c r="S51" s="34"/>
      <c r="T51" s="35"/>
      <c r="V51" s="31"/>
      <c r="W51" s="32"/>
      <c r="X51" s="33"/>
      <c r="Y51" s="34"/>
      <c r="Z51" s="35"/>
      <c r="AB51" s="31"/>
      <c r="AC51" s="32"/>
      <c r="AD51" s="33"/>
      <c r="AE51" s="34"/>
      <c r="AF51" s="35"/>
      <c r="AH51" s="31">
        <v>0.36458333333333331</v>
      </c>
      <c r="AI51" s="32">
        <v>0.53125</v>
      </c>
      <c r="AJ51" s="33">
        <v>0</v>
      </c>
      <c r="AK51" s="34">
        <v>1</v>
      </c>
      <c r="AL51" s="35">
        <v>1</v>
      </c>
      <c r="AN51" s="31">
        <v>0.36458333333333331</v>
      </c>
      <c r="AO51" s="32">
        <v>0.53125</v>
      </c>
      <c r="AP51" s="33">
        <v>0</v>
      </c>
      <c r="AQ51" s="34">
        <v>1</v>
      </c>
      <c r="AR51" s="35">
        <v>1</v>
      </c>
      <c r="AT51" s="31">
        <v>0.36458333333333331</v>
      </c>
      <c r="AU51" s="32">
        <v>0.53125</v>
      </c>
      <c r="AV51" s="33">
        <v>0</v>
      </c>
      <c r="AW51" s="34">
        <v>1</v>
      </c>
      <c r="AX51" s="35">
        <v>1</v>
      </c>
      <c r="AZ51" s="31">
        <v>0.36458333333333331</v>
      </c>
      <c r="BA51" s="32">
        <v>0.53125</v>
      </c>
      <c r="BB51" s="33">
        <v>0</v>
      </c>
      <c r="BC51" s="34">
        <v>1</v>
      </c>
      <c r="BD51" s="35">
        <v>1</v>
      </c>
      <c r="BF51" s="31">
        <v>0.36458333333333331</v>
      </c>
      <c r="BG51" s="32">
        <v>0.53125</v>
      </c>
      <c r="BH51" s="33">
        <v>0</v>
      </c>
      <c r="BI51" s="34">
        <v>1</v>
      </c>
      <c r="BJ51" s="35">
        <v>1</v>
      </c>
      <c r="BL51" s="31"/>
      <c r="BM51" s="32"/>
      <c r="BN51" s="33"/>
      <c r="BO51" s="34"/>
      <c r="BP51" s="35"/>
      <c r="BR51" s="31"/>
      <c r="BS51" s="32"/>
      <c r="BT51" s="33"/>
      <c r="BU51" s="34"/>
      <c r="BV51" s="35"/>
      <c r="BX51" s="25"/>
      <c r="BY51" s="26"/>
      <c r="BZ51" s="27"/>
      <c r="CA51" s="28"/>
      <c r="CB51" s="29"/>
      <c r="CD51" s="25"/>
      <c r="CE51" s="26"/>
      <c r="CF51" s="27"/>
      <c r="CG51" s="28"/>
      <c r="CH51" s="29"/>
      <c r="CJ51" s="25"/>
      <c r="CK51" s="26"/>
      <c r="CL51" s="27"/>
      <c r="CM51" s="28"/>
      <c r="CN51" s="29"/>
      <c r="CP51" s="25"/>
      <c r="CQ51" s="26"/>
      <c r="CR51" s="27"/>
      <c r="CS51" s="28"/>
      <c r="CT51" s="29"/>
      <c r="CV51" s="25"/>
      <c r="CW51" s="26"/>
      <c r="CX51" s="27"/>
      <c r="CY51" s="28"/>
      <c r="CZ51" s="29"/>
      <c r="DA51" s="79">
        <f t="shared" si="0"/>
        <v>0</v>
      </c>
      <c r="DB51" s="80" t="e">
        <f>DA51*#REF!</f>
        <v>#REF!</v>
      </c>
      <c r="DC51" s="81" t="e">
        <f>DA51*#REF!</f>
        <v>#REF!</v>
      </c>
      <c r="DE51" s="25"/>
      <c r="DF51" s="26"/>
      <c r="DG51" s="27"/>
      <c r="DH51" s="28"/>
      <c r="DI51" s="29"/>
      <c r="DJ51" s="79">
        <f t="shared" si="1"/>
        <v>0</v>
      </c>
      <c r="DK51" s="80" t="e">
        <f>DJ51*#REF!</f>
        <v>#REF!</v>
      </c>
      <c r="DL51" s="81" t="e">
        <f>DJ51*#REF!</f>
        <v>#REF!</v>
      </c>
      <c r="DN51" s="25"/>
      <c r="DO51" s="26"/>
      <c r="DP51" s="27"/>
      <c r="DQ51" s="28"/>
      <c r="DR51" s="29"/>
      <c r="DS51" s="79">
        <f t="shared" si="2"/>
        <v>0</v>
      </c>
      <c r="DT51" s="80" t="e">
        <f>DS51*#REF!</f>
        <v>#REF!</v>
      </c>
      <c r="DU51" s="81" t="e">
        <f>DS51*#REF!</f>
        <v>#REF!</v>
      </c>
      <c r="DW51" s="25"/>
      <c r="DX51" s="26"/>
      <c r="DY51" s="27"/>
      <c r="DZ51" s="28"/>
      <c r="EA51" s="29"/>
      <c r="EB51" s="79">
        <f t="shared" si="3"/>
        <v>0</v>
      </c>
      <c r="EC51" s="80" t="e">
        <f>EB51*#REF!</f>
        <v>#REF!</v>
      </c>
      <c r="ED51" s="81" t="e">
        <f>EB51*#REF!</f>
        <v>#REF!</v>
      </c>
      <c r="EF51" s="25"/>
      <c r="EG51" s="26"/>
      <c r="EH51" s="27"/>
      <c r="EI51" s="28"/>
      <c r="EJ51" s="29"/>
      <c r="EK51" s="79">
        <f t="shared" si="4"/>
        <v>0</v>
      </c>
      <c r="EL51" s="80" t="e">
        <f>EK51*#REF!</f>
        <v>#REF!</v>
      </c>
      <c r="EM51" s="81" t="e">
        <f>EK51*#REF!</f>
        <v>#REF!</v>
      </c>
      <c r="EO51" s="25"/>
      <c r="EP51" s="26"/>
      <c r="EQ51" s="27"/>
      <c r="ER51" s="28"/>
      <c r="ES51" s="29"/>
      <c r="ET51" s="79">
        <f t="shared" si="5"/>
        <v>0</v>
      </c>
      <c r="EU51" s="80" t="e">
        <f>ET51*#REF!</f>
        <v>#REF!</v>
      </c>
      <c r="EV51" s="81" t="e">
        <f>ET51*#REF!</f>
        <v>#REF!</v>
      </c>
      <c r="EX51" s="25"/>
      <c r="EY51" s="26"/>
      <c r="EZ51" s="27"/>
      <c r="FA51" s="28"/>
      <c r="FB51" s="29"/>
      <c r="FC51" s="79">
        <f t="shared" si="6"/>
        <v>0</v>
      </c>
      <c r="FD51" s="80" t="e">
        <f>FC51*#REF!</f>
        <v>#REF!</v>
      </c>
      <c r="FE51" s="81" t="e">
        <f>FC51*#REF!</f>
        <v>#REF!</v>
      </c>
      <c r="FG51" s="25"/>
      <c r="FH51" s="26"/>
      <c r="FI51" s="27"/>
      <c r="FJ51" s="28"/>
      <c r="FK51" s="29"/>
      <c r="FL51" s="79">
        <f t="shared" si="7"/>
        <v>0</v>
      </c>
      <c r="FM51" s="80" t="e">
        <f>FL51*#REF!</f>
        <v>#REF!</v>
      </c>
      <c r="FN51" s="81" t="e">
        <f>FL51*#REF!</f>
        <v>#REF!</v>
      </c>
      <c r="FP51" s="25"/>
      <c r="FQ51" s="26"/>
      <c r="FR51" s="27"/>
      <c r="FS51" s="28"/>
      <c r="FT51" s="29"/>
      <c r="FU51" s="79">
        <f t="shared" si="8"/>
        <v>0</v>
      </c>
      <c r="FV51" s="80" t="e">
        <f>FU51*#REF!</f>
        <v>#REF!</v>
      </c>
      <c r="FW51" s="81" t="e">
        <f>FU51*#REF!</f>
        <v>#REF!</v>
      </c>
      <c r="FY51" s="25"/>
      <c r="FZ51" s="26"/>
      <c r="GA51" s="27"/>
      <c r="GB51" s="28"/>
      <c r="GC51" s="29"/>
      <c r="GD51" s="79">
        <f t="shared" si="9"/>
        <v>0</v>
      </c>
      <c r="GE51" s="80" t="e">
        <f>GD51*#REF!</f>
        <v>#REF!</v>
      </c>
      <c r="GF51" s="81" t="e">
        <f>GD51*#REF!</f>
        <v>#REF!</v>
      </c>
      <c r="GH51" s="25"/>
      <c r="GI51" s="26"/>
      <c r="GJ51" s="27"/>
      <c r="GK51" s="28"/>
      <c r="GL51" s="29"/>
      <c r="GM51" s="79">
        <f t="shared" si="10"/>
        <v>0</v>
      </c>
      <c r="GN51" s="80" t="e">
        <f>GM51*#REF!</f>
        <v>#REF!</v>
      </c>
      <c r="GO51" s="81" t="e">
        <f>GM51*#REF!</f>
        <v>#REF!</v>
      </c>
      <c r="GQ51" s="82">
        <f t="shared" si="12"/>
        <v>1</v>
      </c>
      <c r="GR51" s="83">
        <v>1</v>
      </c>
    </row>
    <row r="52" spans="2:200" ht="15">
      <c r="B52" s="22"/>
      <c r="C52" s="23"/>
      <c r="D52" s="24" t="str">
        <f>IF(C52="","",_xlfn.XLOOKUP(C52,'[1]Control Sheet'!$L$5:$L$104,'[1]Control Sheet'!$M$5:$M$104,"",0))</f>
        <v/>
      </c>
      <c r="E52" s="24" t="str">
        <f>IF(B52="","",_xlfn.XLOOKUP(B52,'[1]Control Sheet'!$D$5:$D$64,'[1]Control Sheet'!$F$5:$F$64,"",0))</f>
        <v/>
      </c>
      <c r="F52" s="24" t="str">
        <f>IF(B52="","",_xlfn.XLOOKUP(B52,'[1]Control Sheet'!$D$5:$D$64,'[1]Control Sheet'!$E$5:$E$64,"",0))</f>
        <v/>
      </c>
      <c r="I52" s="31"/>
      <c r="J52" s="32"/>
      <c r="K52" s="33"/>
      <c r="L52" s="34"/>
      <c r="M52" s="35"/>
      <c r="P52" s="31"/>
      <c r="Q52" s="32"/>
      <c r="R52" s="33"/>
      <c r="S52" s="34"/>
      <c r="T52" s="35"/>
      <c r="V52" s="31"/>
      <c r="W52" s="32"/>
      <c r="X52" s="33"/>
      <c r="Y52" s="34"/>
      <c r="Z52" s="35"/>
      <c r="AB52" s="31"/>
      <c r="AC52" s="32"/>
      <c r="AD52" s="33"/>
      <c r="AE52" s="34"/>
      <c r="AF52" s="35"/>
      <c r="AH52" s="31"/>
      <c r="AI52" s="32"/>
      <c r="AJ52" s="33"/>
      <c r="AK52" s="34"/>
      <c r="AL52" s="35"/>
      <c r="AN52" s="31"/>
      <c r="AO52" s="32"/>
      <c r="AP52" s="33"/>
      <c r="AQ52" s="34"/>
      <c r="AR52" s="35"/>
      <c r="AT52" s="31"/>
      <c r="AU52" s="32"/>
      <c r="AV52" s="33"/>
      <c r="AW52" s="34"/>
      <c r="AX52" s="35"/>
      <c r="AZ52" s="31"/>
      <c r="BA52" s="32"/>
      <c r="BB52" s="33"/>
      <c r="BC52" s="34"/>
      <c r="BD52" s="35"/>
      <c r="BF52" s="31"/>
      <c r="BG52" s="32"/>
      <c r="BH52" s="33"/>
      <c r="BI52" s="34"/>
      <c r="BJ52" s="35"/>
      <c r="BL52" s="31"/>
      <c r="BM52" s="32"/>
      <c r="BN52" s="33"/>
      <c r="BO52" s="34"/>
      <c r="BP52" s="35"/>
      <c r="BR52" s="31"/>
      <c r="BS52" s="32"/>
      <c r="BT52" s="33"/>
      <c r="BU52" s="34"/>
      <c r="BV52" s="35"/>
      <c r="BX52" s="25"/>
      <c r="BY52" s="26"/>
      <c r="BZ52" s="27"/>
      <c r="CA52" s="28"/>
      <c r="CB52" s="29"/>
      <c r="CD52" s="25"/>
      <c r="CE52" s="26"/>
      <c r="CF52" s="27"/>
      <c r="CG52" s="28"/>
      <c r="CH52" s="29"/>
      <c r="CJ52" s="25"/>
      <c r="CK52" s="26"/>
      <c r="CL52" s="27"/>
      <c r="CM52" s="28"/>
      <c r="CN52" s="29"/>
      <c r="CP52" s="25"/>
      <c r="CQ52" s="26"/>
      <c r="CR52" s="27"/>
      <c r="CS52" s="28"/>
      <c r="CT52" s="29"/>
      <c r="CV52" s="25"/>
      <c r="CW52" s="26"/>
      <c r="CX52" s="27"/>
      <c r="CY52" s="28"/>
      <c r="CZ52" s="29"/>
      <c r="DA52" s="79">
        <f t="shared" si="0"/>
        <v>0</v>
      </c>
      <c r="DB52" s="80" t="e">
        <f>DA52*#REF!</f>
        <v>#REF!</v>
      </c>
      <c r="DC52" s="81" t="e">
        <f>DA52*#REF!</f>
        <v>#REF!</v>
      </c>
      <c r="DE52" s="25"/>
      <c r="DF52" s="26"/>
      <c r="DG52" s="27"/>
      <c r="DH52" s="28"/>
      <c r="DI52" s="29"/>
      <c r="DJ52" s="79">
        <f t="shared" si="1"/>
        <v>0</v>
      </c>
      <c r="DK52" s="80" t="e">
        <f>DJ52*#REF!</f>
        <v>#REF!</v>
      </c>
      <c r="DL52" s="81" t="e">
        <f>DJ52*#REF!</f>
        <v>#REF!</v>
      </c>
      <c r="DN52" s="25"/>
      <c r="DO52" s="26"/>
      <c r="DP52" s="27"/>
      <c r="DQ52" s="28"/>
      <c r="DR52" s="29"/>
      <c r="DS52" s="79">
        <f t="shared" si="2"/>
        <v>0</v>
      </c>
      <c r="DT52" s="80" t="e">
        <f>DS52*#REF!</f>
        <v>#REF!</v>
      </c>
      <c r="DU52" s="81" t="e">
        <f>DS52*#REF!</f>
        <v>#REF!</v>
      </c>
      <c r="DW52" s="25"/>
      <c r="DX52" s="26"/>
      <c r="DY52" s="27"/>
      <c r="DZ52" s="28"/>
      <c r="EA52" s="29"/>
      <c r="EB52" s="79">
        <f t="shared" si="3"/>
        <v>0</v>
      </c>
      <c r="EC52" s="80" t="e">
        <f>EB52*#REF!</f>
        <v>#REF!</v>
      </c>
      <c r="ED52" s="81" t="e">
        <f>EB52*#REF!</f>
        <v>#REF!</v>
      </c>
      <c r="EF52" s="25"/>
      <c r="EG52" s="26"/>
      <c r="EH52" s="27"/>
      <c r="EI52" s="28"/>
      <c r="EJ52" s="29"/>
      <c r="EK52" s="79">
        <f t="shared" si="4"/>
        <v>0</v>
      </c>
      <c r="EL52" s="80" t="e">
        <f>EK52*#REF!</f>
        <v>#REF!</v>
      </c>
      <c r="EM52" s="81" t="e">
        <f>EK52*#REF!</f>
        <v>#REF!</v>
      </c>
      <c r="EO52" s="25"/>
      <c r="EP52" s="26"/>
      <c r="EQ52" s="27"/>
      <c r="ER52" s="28"/>
      <c r="ES52" s="29"/>
      <c r="ET52" s="79">
        <f t="shared" si="5"/>
        <v>0</v>
      </c>
      <c r="EU52" s="80" t="e">
        <f>ET52*#REF!</f>
        <v>#REF!</v>
      </c>
      <c r="EV52" s="81" t="e">
        <f>ET52*#REF!</f>
        <v>#REF!</v>
      </c>
      <c r="EX52" s="25"/>
      <c r="EY52" s="26"/>
      <c r="EZ52" s="27"/>
      <c r="FA52" s="28"/>
      <c r="FB52" s="29"/>
      <c r="FC52" s="79">
        <f t="shared" si="6"/>
        <v>0</v>
      </c>
      <c r="FD52" s="80" t="e">
        <f>FC52*#REF!</f>
        <v>#REF!</v>
      </c>
      <c r="FE52" s="81" t="e">
        <f>FC52*#REF!</f>
        <v>#REF!</v>
      </c>
      <c r="FG52" s="25"/>
      <c r="FH52" s="26"/>
      <c r="FI52" s="27"/>
      <c r="FJ52" s="28"/>
      <c r="FK52" s="29"/>
      <c r="FL52" s="79">
        <f t="shared" si="7"/>
        <v>0</v>
      </c>
      <c r="FM52" s="80" t="e">
        <f>FL52*#REF!</f>
        <v>#REF!</v>
      </c>
      <c r="FN52" s="81" t="e">
        <f>FL52*#REF!</f>
        <v>#REF!</v>
      </c>
      <c r="FP52" s="25"/>
      <c r="FQ52" s="26"/>
      <c r="FR52" s="27"/>
      <c r="FS52" s="28"/>
      <c r="FT52" s="29"/>
      <c r="FU52" s="79">
        <f t="shared" si="8"/>
        <v>0</v>
      </c>
      <c r="FV52" s="80" t="e">
        <f>FU52*#REF!</f>
        <v>#REF!</v>
      </c>
      <c r="FW52" s="81" t="e">
        <f>FU52*#REF!</f>
        <v>#REF!</v>
      </c>
      <c r="FY52" s="25"/>
      <c r="FZ52" s="26"/>
      <c r="GA52" s="27"/>
      <c r="GB52" s="28"/>
      <c r="GC52" s="29"/>
      <c r="GD52" s="79">
        <f t="shared" si="9"/>
        <v>0</v>
      </c>
      <c r="GE52" s="80" t="e">
        <f>GD52*#REF!</f>
        <v>#REF!</v>
      </c>
      <c r="GF52" s="81" t="e">
        <f>GD52*#REF!</f>
        <v>#REF!</v>
      </c>
      <c r="GH52" s="25"/>
      <c r="GI52" s="26"/>
      <c r="GJ52" s="27"/>
      <c r="GK52" s="28"/>
      <c r="GL52" s="29"/>
      <c r="GM52" s="79">
        <f t="shared" si="10"/>
        <v>0</v>
      </c>
      <c r="GN52" s="80" t="e">
        <f>GM52*#REF!</f>
        <v>#REF!</v>
      </c>
      <c r="GO52" s="81" t="e">
        <f>GM52*#REF!</f>
        <v>#REF!</v>
      </c>
      <c r="GQ52" s="82">
        <f t="shared" si="12"/>
        <v>0</v>
      </c>
      <c r="GR52" s="83">
        <v>0</v>
      </c>
    </row>
    <row r="53" spans="2:200" ht="15">
      <c r="B53" s="22" t="s">
        <v>72</v>
      </c>
      <c r="C53" s="23" t="s">
        <v>74</v>
      </c>
      <c r="D53" s="24">
        <f>IF(C53="","",_xlfn.XLOOKUP(C53,'[1]Control Sheet'!$L$5:$L$104,'[1]Control Sheet'!$M$5:$M$104,"",0))</f>
        <v>0</v>
      </c>
      <c r="E53" s="24" t="str">
        <f>IF(B53="","",_xlfn.XLOOKUP(B53,'[1]Control Sheet'!$D$5:$D$64,'[1]Control Sheet'!$F$5:$F$64,"",0))</f>
        <v>GHI</v>
      </c>
      <c r="F53" s="24" t="str">
        <f>IF(B53="","",_xlfn.XLOOKUP(B53,'[1]Control Sheet'!$D$5:$D$64,'[1]Control Sheet'!$E$5:$E$64,"",0))</f>
        <v>C1060-N</v>
      </c>
      <c r="I53" s="31">
        <v>0.35416666666666669</v>
      </c>
      <c r="J53" s="32">
        <v>0.6875</v>
      </c>
      <c r="K53" s="33">
        <v>45</v>
      </c>
      <c r="L53" s="34">
        <v>1</v>
      </c>
      <c r="M53" s="35">
        <v>1</v>
      </c>
      <c r="P53" s="31">
        <v>0.35416666666666669</v>
      </c>
      <c r="Q53" s="32">
        <v>0.72916666666666663</v>
      </c>
      <c r="R53" s="33">
        <v>45</v>
      </c>
      <c r="S53" s="34">
        <v>1</v>
      </c>
      <c r="T53" s="35">
        <v>1</v>
      </c>
      <c r="V53" s="31">
        <v>0.35416666666666669</v>
      </c>
      <c r="W53" s="32">
        <v>0.72916666666666663</v>
      </c>
      <c r="X53" s="33">
        <v>45</v>
      </c>
      <c r="Y53" s="34">
        <v>1</v>
      </c>
      <c r="Z53" s="35">
        <v>1</v>
      </c>
      <c r="AB53" s="31">
        <v>0.35416666666666669</v>
      </c>
      <c r="AC53" s="32">
        <v>0.72916666666666663</v>
      </c>
      <c r="AD53" s="33">
        <v>45</v>
      </c>
      <c r="AE53" s="34">
        <v>1</v>
      </c>
      <c r="AF53" s="35">
        <v>1</v>
      </c>
      <c r="AH53" s="31">
        <v>0.35416666666666669</v>
      </c>
      <c r="AI53" s="32">
        <v>0.72916666666666663</v>
      </c>
      <c r="AJ53" s="33">
        <v>45</v>
      </c>
      <c r="AK53" s="34">
        <v>1</v>
      </c>
      <c r="AL53" s="35">
        <v>1</v>
      </c>
      <c r="AN53" s="31">
        <v>0.35416666666666669</v>
      </c>
      <c r="AO53" s="32">
        <v>0.79166666666666663</v>
      </c>
      <c r="AP53" s="33">
        <v>60</v>
      </c>
      <c r="AQ53" s="34">
        <v>1</v>
      </c>
      <c r="AR53" s="35">
        <v>1</v>
      </c>
      <c r="AT53" s="31">
        <v>0.35416666666666669</v>
      </c>
      <c r="AU53" s="32">
        <v>0.72916666666666663</v>
      </c>
      <c r="AV53" s="33">
        <v>45</v>
      </c>
      <c r="AW53" s="34">
        <v>1</v>
      </c>
      <c r="AX53" s="35">
        <v>1</v>
      </c>
      <c r="AZ53" s="31">
        <v>0.35416666666666669</v>
      </c>
      <c r="BA53" s="32">
        <v>0.79166666666666663</v>
      </c>
      <c r="BB53" s="33">
        <v>60</v>
      </c>
      <c r="BC53" s="34">
        <v>1</v>
      </c>
      <c r="BD53" s="35">
        <v>1</v>
      </c>
      <c r="BF53" s="31">
        <v>0.35416666666666669</v>
      </c>
      <c r="BG53" s="32">
        <v>0.8125</v>
      </c>
      <c r="BH53" s="33">
        <v>60</v>
      </c>
      <c r="BI53" s="34">
        <v>1</v>
      </c>
      <c r="BJ53" s="35">
        <v>1</v>
      </c>
      <c r="BL53" s="31">
        <v>0.38541666666666669</v>
      </c>
      <c r="BM53" s="32">
        <v>0.6875</v>
      </c>
      <c r="BN53" s="33">
        <v>45</v>
      </c>
      <c r="BO53" s="34">
        <v>1</v>
      </c>
      <c r="BP53" s="35">
        <v>1</v>
      </c>
      <c r="BR53" s="31">
        <v>0.35416666666666669</v>
      </c>
      <c r="BS53" s="32">
        <v>0.66666666666666663</v>
      </c>
      <c r="BT53" s="33">
        <v>45</v>
      </c>
      <c r="BU53" s="34">
        <v>1</v>
      </c>
      <c r="BV53" s="35">
        <v>1</v>
      </c>
      <c r="BX53" s="31">
        <v>0.35416666666666669</v>
      </c>
      <c r="BY53" s="32">
        <v>0.72916666666666663</v>
      </c>
      <c r="BZ53" s="33">
        <v>45</v>
      </c>
      <c r="CA53" s="34">
        <v>1</v>
      </c>
      <c r="CB53" s="35">
        <v>1</v>
      </c>
      <c r="CD53" s="31">
        <v>0.35416666666666669</v>
      </c>
      <c r="CE53" s="32">
        <v>0.8125</v>
      </c>
      <c r="CF53" s="33">
        <v>60</v>
      </c>
      <c r="CG53" s="34">
        <v>1</v>
      </c>
      <c r="CH53" s="35">
        <v>1</v>
      </c>
      <c r="CJ53" s="25">
        <v>0.35416666666666669</v>
      </c>
      <c r="CK53" s="26">
        <v>0.66666666666666663</v>
      </c>
      <c r="CL53" s="27">
        <v>45</v>
      </c>
      <c r="CM53" s="28">
        <v>1</v>
      </c>
      <c r="CN53" s="29">
        <v>1</v>
      </c>
      <c r="CP53" s="25"/>
      <c r="CQ53" s="26"/>
      <c r="CR53" s="27"/>
      <c r="CS53" s="28"/>
      <c r="CT53" s="29"/>
      <c r="CV53" s="25"/>
      <c r="CW53" s="26"/>
      <c r="CX53" s="27"/>
      <c r="CY53" s="28"/>
      <c r="CZ53" s="29"/>
      <c r="DA53" s="79">
        <f t="shared" si="0"/>
        <v>0</v>
      </c>
      <c r="DB53" s="80" t="e">
        <f>DA53*#REF!</f>
        <v>#REF!</v>
      </c>
      <c r="DC53" s="81" t="e">
        <f>DA53*#REF!</f>
        <v>#REF!</v>
      </c>
      <c r="DE53" s="25"/>
      <c r="DF53" s="26"/>
      <c r="DG53" s="27"/>
      <c r="DH53" s="28"/>
      <c r="DI53" s="29"/>
      <c r="DJ53" s="79">
        <f t="shared" si="1"/>
        <v>0</v>
      </c>
      <c r="DK53" s="80" t="e">
        <f>DJ53*#REF!</f>
        <v>#REF!</v>
      </c>
      <c r="DL53" s="81" t="e">
        <f>DJ53*#REF!</f>
        <v>#REF!</v>
      </c>
      <c r="DN53" s="25"/>
      <c r="DO53" s="26"/>
      <c r="DP53" s="27"/>
      <c r="DQ53" s="28"/>
      <c r="DR53" s="29"/>
      <c r="DS53" s="79">
        <f t="shared" si="2"/>
        <v>0</v>
      </c>
      <c r="DT53" s="80" t="e">
        <f>DS53*#REF!</f>
        <v>#REF!</v>
      </c>
      <c r="DU53" s="81" t="e">
        <f>DS53*#REF!</f>
        <v>#REF!</v>
      </c>
      <c r="DW53" s="25"/>
      <c r="DX53" s="26"/>
      <c r="DY53" s="27"/>
      <c r="DZ53" s="28"/>
      <c r="EA53" s="29"/>
      <c r="EB53" s="79">
        <f t="shared" si="3"/>
        <v>0</v>
      </c>
      <c r="EC53" s="80" t="e">
        <f>EB53*#REF!</f>
        <v>#REF!</v>
      </c>
      <c r="ED53" s="81" t="e">
        <f>EB53*#REF!</f>
        <v>#REF!</v>
      </c>
      <c r="EF53" s="25"/>
      <c r="EG53" s="26"/>
      <c r="EH53" s="27"/>
      <c r="EI53" s="28"/>
      <c r="EJ53" s="29"/>
      <c r="EK53" s="79">
        <f t="shared" si="4"/>
        <v>0</v>
      </c>
      <c r="EL53" s="80" t="e">
        <f>EK53*#REF!</f>
        <v>#REF!</v>
      </c>
      <c r="EM53" s="81" t="e">
        <f>EK53*#REF!</f>
        <v>#REF!</v>
      </c>
      <c r="EO53" s="25"/>
      <c r="EP53" s="26"/>
      <c r="EQ53" s="27"/>
      <c r="ER53" s="28"/>
      <c r="ES53" s="29"/>
      <c r="ET53" s="79">
        <f t="shared" si="5"/>
        <v>0</v>
      </c>
      <c r="EU53" s="80" t="e">
        <f>ET53*#REF!</f>
        <v>#REF!</v>
      </c>
      <c r="EV53" s="81" t="e">
        <f>ET53*#REF!</f>
        <v>#REF!</v>
      </c>
      <c r="EX53" s="25"/>
      <c r="EY53" s="26"/>
      <c r="EZ53" s="27"/>
      <c r="FA53" s="28"/>
      <c r="FB53" s="29"/>
      <c r="FC53" s="79">
        <f t="shared" si="6"/>
        <v>0</v>
      </c>
      <c r="FD53" s="80" t="e">
        <f>FC53*#REF!</f>
        <v>#REF!</v>
      </c>
      <c r="FE53" s="81" t="e">
        <f>FC53*#REF!</f>
        <v>#REF!</v>
      </c>
      <c r="FG53" s="25"/>
      <c r="FH53" s="26"/>
      <c r="FI53" s="27"/>
      <c r="FJ53" s="28"/>
      <c r="FK53" s="29"/>
      <c r="FL53" s="79">
        <f t="shared" si="7"/>
        <v>0</v>
      </c>
      <c r="FM53" s="80" t="e">
        <f>FL53*#REF!</f>
        <v>#REF!</v>
      </c>
      <c r="FN53" s="81" t="e">
        <f>FL53*#REF!</f>
        <v>#REF!</v>
      </c>
      <c r="FP53" s="25"/>
      <c r="FQ53" s="26"/>
      <c r="FR53" s="27"/>
      <c r="FS53" s="28"/>
      <c r="FT53" s="29"/>
      <c r="FU53" s="79">
        <f t="shared" si="8"/>
        <v>0</v>
      </c>
      <c r="FV53" s="80" t="e">
        <f>FU53*#REF!</f>
        <v>#REF!</v>
      </c>
      <c r="FW53" s="81" t="e">
        <f>FU53*#REF!</f>
        <v>#REF!</v>
      </c>
      <c r="FY53" s="25"/>
      <c r="FZ53" s="26"/>
      <c r="GA53" s="27"/>
      <c r="GB53" s="28"/>
      <c r="GC53" s="29"/>
      <c r="GD53" s="79">
        <f t="shared" si="9"/>
        <v>0</v>
      </c>
      <c r="GE53" s="80" t="e">
        <f>GD53*#REF!</f>
        <v>#REF!</v>
      </c>
      <c r="GF53" s="81" t="e">
        <f>GD53*#REF!</f>
        <v>#REF!</v>
      </c>
      <c r="GH53" s="25"/>
      <c r="GI53" s="26"/>
      <c r="GJ53" s="27"/>
      <c r="GK53" s="28"/>
      <c r="GL53" s="29"/>
      <c r="GM53" s="79">
        <f t="shared" si="10"/>
        <v>0</v>
      </c>
      <c r="GN53" s="80" t="e">
        <f>GM53*#REF!</f>
        <v>#REF!</v>
      </c>
      <c r="GO53" s="81" t="e">
        <f>GM53*#REF!</f>
        <v>#REF!</v>
      </c>
      <c r="GQ53" s="82">
        <f t="shared" si="12"/>
        <v>1</v>
      </c>
      <c r="GR53" s="83">
        <v>1</v>
      </c>
    </row>
    <row r="54" spans="2:200" ht="15">
      <c r="B54" s="22"/>
      <c r="C54" s="23"/>
      <c r="D54" s="24" t="str">
        <f>IF(C54="","",_xlfn.XLOOKUP(C54,'[1]Control Sheet'!$L$5:$L$104,'[1]Control Sheet'!$M$5:$M$104,"",0))</f>
        <v/>
      </c>
      <c r="E54" s="24" t="str">
        <f>IF(B54="","",_xlfn.XLOOKUP(B54,'[1]Control Sheet'!$D$5:$D$64,'[1]Control Sheet'!$F$5:$F$64,"",0))</f>
        <v/>
      </c>
      <c r="F54" s="24" t="str">
        <f>IF(B54="","",_xlfn.XLOOKUP(B54,'[1]Control Sheet'!$D$5:$D$64,'[1]Control Sheet'!$E$5:$E$64,"",0))</f>
        <v/>
      </c>
      <c r="I54" s="31"/>
      <c r="J54" s="32"/>
      <c r="K54" s="33"/>
      <c r="L54" s="34"/>
      <c r="M54" s="35"/>
      <c r="P54" s="31"/>
      <c r="Q54" s="32"/>
      <c r="R54" s="33"/>
      <c r="S54" s="34"/>
      <c r="T54" s="35"/>
      <c r="V54" s="31"/>
      <c r="W54" s="32"/>
      <c r="X54" s="33"/>
      <c r="Y54" s="34"/>
      <c r="Z54" s="35"/>
      <c r="AB54" s="31"/>
      <c r="AC54" s="32"/>
      <c r="AD54" s="33"/>
      <c r="AE54" s="34"/>
      <c r="AF54" s="35"/>
      <c r="AH54" s="31"/>
      <c r="AI54" s="32"/>
      <c r="AJ54" s="33"/>
      <c r="AK54" s="34"/>
      <c r="AL54" s="35"/>
      <c r="AN54" s="31"/>
      <c r="AO54" s="32"/>
      <c r="AP54" s="33"/>
      <c r="AQ54" s="34"/>
      <c r="AR54" s="35"/>
      <c r="AT54" s="31"/>
      <c r="AU54" s="32"/>
      <c r="AV54" s="33"/>
      <c r="AW54" s="34"/>
      <c r="AX54" s="35"/>
      <c r="AZ54" s="31"/>
      <c r="BA54" s="32"/>
      <c r="BB54" s="33"/>
      <c r="BC54" s="34"/>
      <c r="BD54" s="35"/>
      <c r="BF54" s="31"/>
      <c r="BG54" s="32"/>
      <c r="BH54" s="33"/>
      <c r="BI54" s="34"/>
      <c r="BJ54" s="35"/>
      <c r="BL54" s="25"/>
      <c r="BM54" s="26"/>
      <c r="BN54" s="27"/>
      <c r="BO54" s="28"/>
      <c r="BP54" s="29"/>
      <c r="BR54" s="25"/>
      <c r="BS54" s="26"/>
      <c r="BT54" s="27"/>
      <c r="BU54" s="28"/>
      <c r="BV54" s="29"/>
      <c r="BX54" s="25"/>
      <c r="BY54" s="26"/>
      <c r="BZ54" s="27"/>
      <c r="CA54" s="28"/>
      <c r="CB54" s="29"/>
      <c r="CD54" s="25"/>
      <c r="CE54" s="26"/>
      <c r="CF54" s="27"/>
      <c r="CG54" s="28"/>
      <c r="CH54" s="29"/>
      <c r="CJ54" s="25"/>
      <c r="CK54" s="26"/>
      <c r="CL54" s="27"/>
      <c r="CM54" s="28"/>
      <c r="CN54" s="29"/>
      <c r="CP54" s="25"/>
      <c r="CQ54" s="26"/>
      <c r="CR54" s="27"/>
      <c r="CS54" s="28"/>
      <c r="CT54" s="29"/>
      <c r="CV54" s="25"/>
      <c r="CW54" s="26"/>
      <c r="CX54" s="27"/>
      <c r="CY54" s="28"/>
      <c r="CZ54" s="29"/>
      <c r="DA54" s="79">
        <f t="shared" si="0"/>
        <v>0</v>
      </c>
      <c r="DB54" s="80" t="e">
        <f>DA54*#REF!</f>
        <v>#REF!</v>
      </c>
      <c r="DC54" s="81" t="e">
        <f>DA54*#REF!</f>
        <v>#REF!</v>
      </c>
      <c r="DE54" s="25"/>
      <c r="DF54" s="26"/>
      <c r="DG54" s="27"/>
      <c r="DH54" s="28"/>
      <c r="DI54" s="29"/>
      <c r="DJ54" s="79">
        <f t="shared" si="1"/>
        <v>0</v>
      </c>
      <c r="DK54" s="80" t="e">
        <f>DJ54*#REF!</f>
        <v>#REF!</v>
      </c>
      <c r="DL54" s="81" t="e">
        <f>DJ54*#REF!</f>
        <v>#REF!</v>
      </c>
      <c r="DN54" s="25"/>
      <c r="DO54" s="26"/>
      <c r="DP54" s="27"/>
      <c r="DQ54" s="28"/>
      <c r="DR54" s="29"/>
      <c r="DS54" s="79">
        <f t="shared" si="2"/>
        <v>0</v>
      </c>
      <c r="DT54" s="80" t="e">
        <f>DS54*#REF!</f>
        <v>#REF!</v>
      </c>
      <c r="DU54" s="81" t="e">
        <f>DS54*#REF!</f>
        <v>#REF!</v>
      </c>
      <c r="DW54" s="25"/>
      <c r="DX54" s="26"/>
      <c r="DY54" s="27"/>
      <c r="DZ54" s="28"/>
      <c r="EA54" s="29"/>
      <c r="EB54" s="79">
        <f t="shared" si="3"/>
        <v>0</v>
      </c>
      <c r="EC54" s="80" t="e">
        <f>EB54*#REF!</f>
        <v>#REF!</v>
      </c>
      <c r="ED54" s="81" t="e">
        <f>EB54*#REF!</f>
        <v>#REF!</v>
      </c>
      <c r="EF54" s="25"/>
      <c r="EG54" s="26"/>
      <c r="EH54" s="27"/>
      <c r="EI54" s="28"/>
      <c r="EJ54" s="29"/>
      <c r="EK54" s="79">
        <f t="shared" si="4"/>
        <v>0</v>
      </c>
      <c r="EL54" s="80" t="e">
        <f>EK54*#REF!</f>
        <v>#REF!</v>
      </c>
      <c r="EM54" s="81" t="e">
        <f>EK54*#REF!</f>
        <v>#REF!</v>
      </c>
      <c r="EO54" s="25"/>
      <c r="EP54" s="26"/>
      <c r="EQ54" s="27"/>
      <c r="ER54" s="28"/>
      <c r="ES54" s="29"/>
      <c r="ET54" s="79">
        <f t="shared" si="5"/>
        <v>0</v>
      </c>
      <c r="EU54" s="80" t="e">
        <f>ET54*#REF!</f>
        <v>#REF!</v>
      </c>
      <c r="EV54" s="81" t="e">
        <f>ET54*#REF!</f>
        <v>#REF!</v>
      </c>
      <c r="EX54" s="25"/>
      <c r="EY54" s="26"/>
      <c r="EZ54" s="27"/>
      <c r="FA54" s="28"/>
      <c r="FB54" s="29"/>
      <c r="FC54" s="79">
        <f t="shared" si="6"/>
        <v>0</v>
      </c>
      <c r="FD54" s="80" t="e">
        <f>FC54*#REF!</f>
        <v>#REF!</v>
      </c>
      <c r="FE54" s="81" t="e">
        <f>FC54*#REF!</f>
        <v>#REF!</v>
      </c>
      <c r="FG54" s="25"/>
      <c r="FH54" s="26"/>
      <c r="FI54" s="27"/>
      <c r="FJ54" s="28"/>
      <c r="FK54" s="29"/>
      <c r="FL54" s="79">
        <f t="shared" si="7"/>
        <v>0</v>
      </c>
      <c r="FM54" s="80" t="e">
        <f>FL54*#REF!</f>
        <v>#REF!</v>
      </c>
      <c r="FN54" s="81" t="e">
        <f>FL54*#REF!</f>
        <v>#REF!</v>
      </c>
      <c r="FP54" s="25"/>
      <c r="FQ54" s="26"/>
      <c r="FR54" s="27"/>
      <c r="FS54" s="28"/>
      <c r="FT54" s="29"/>
      <c r="FU54" s="79">
        <f t="shared" si="8"/>
        <v>0</v>
      </c>
      <c r="FV54" s="80" t="e">
        <f>FU54*#REF!</f>
        <v>#REF!</v>
      </c>
      <c r="FW54" s="81" t="e">
        <f>FU54*#REF!</f>
        <v>#REF!</v>
      </c>
      <c r="FY54" s="25"/>
      <c r="FZ54" s="26"/>
      <c r="GA54" s="27"/>
      <c r="GB54" s="28"/>
      <c r="GC54" s="29"/>
      <c r="GD54" s="79">
        <f t="shared" si="9"/>
        <v>0</v>
      </c>
      <c r="GE54" s="80" t="e">
        <f>GD54*#REF!</f>
        <v>#REF!</v>
      </c>
      <c r="GF54" s="81" t="e">
        <f>GD54*#REF!</f>
        <v>#REF!</v>
      </c>
      <c r="GH54" s="25"/>
      <c r="GI54" s="26"/>
      <c r="GJ54" s="27"/>
      <c r="GK54" s="28"/>
      <c r="GL54" s="29"/>
      <c r="GM54" s="79">
        <f t="shared" si="10"/>
        <v>0</v>
      </c>
      <c r="GN54" s="80" t="e">
        <f>GM54*#REF!</f>
        <v>#REF!</v>
      </c>
      <c r="GO54" s="81" t="e">
        <f>GM54*#REF!</f>
        <v>#REF!</v>
      </c>
      <c r="GQ54" s="82">
        <f t="shared" si="12"/>
        <v>0</v>
      </c>
      <c r="GR54" s="83">
        <v>0</v>
      </c>
    </row>
    <row r="55" spans="2:200" ht="15">
      <c r="B55" s="22" t="s">
        <v>75</v>
      </c>
      <c r="C55" s="23" t="s">
        <v>76</v>
      </c>
      <c r="D55" s="24">
        <f>IF(C55="","",_xlfn.XLOOKUP(C55,'[1]Control Sheet'!$L$5:$L$104,'[1]Control Sheet'!$M$5:$M$104,"",0))</f>
        <v>0</v>
      </c>
      <c r="E55" s="24" t="str">
        <f>IF(B55="","",_xlfn.XLOOKUP(B55,'[1]Control Sheet'!$D$5:$D$64,'[1]Control Sheet'!$F$5:$F$64,"",0))</f>
        <v>GHI</v>
      </c>
      <c r="F55" s="24" t="str">
        <f>IF(B55="","",_xlfn.XLOOKUP(B55,'[1]Control Sheet'!$D$5:$D$64,'[1]Control Sheet'!$E$5:$E$64,"",0))</f>
        <v>C1060-N</v>
      </c>
      <c r="I55" s="31">
        <v>0.41666666666666669</v>
      </c>
      <c r="J55" s="32">
        <v>0.625</v>
      </c>
      <c r="K55" s="33">
        <v>45</v>
      </c>
      <c r="L55" s="34">
        <v>1</v>
      </c>
      <c r="M55" s="35">
        <v>1</v>
      </c>
      <c r="P55" s="31">
        <v>0.41666666666666669</v>
      </c>
      <c r="Q55" s="32">
        <v>0.625</v>
      </c>
      <c r="R55" s="33">
        <v>45</v>
      </c>
      <c r="S55" s="34">
        <v>1</v>
      </c>
      <c r="T55" s="35">
        <v>1</v>
      </c>
      <c r="V55" s="31">
        <v>0.41666666666666669</v>
      </c>
      <c r="W55" s="32">
        <v>0.625</v>
      </c>
      <c r="X55" s="33">
        <v>45</v>
      </c>
      <c r="Y55" s="34">
        <v>1</v>
      </c>
      <c r="Z55" s="35">
        <v>1</v>
      </c>
      <c r="AB55" s="31">
        <v>0.41666666666666669</v>
      </c>
      <c r="AC55" s="32">
        <v>0.625</v>
      </c>
      <c r="AD55" s="33">
        <v>45</v>
      </c>
      <c r="AE55" s="34">
        <v>1</v>
      </c>
      <c r="AF55" s="35">
        <v>1</v>
      </c>
      <c r="AH55" s="31">
        <v>0.41666666666666669</v>
      </c>
      <c r="AI55" s="32">
        <v>0.625</v>
      </c>
      <c r="AJ55" s="33">
        <v>45</v>
      </c>
      <c r="AK55" s="34">
        <v>1</v>
      </c>
      <c r="AL55" s="35">
        <v>1</v>
      </c>
      <c r="AN55" s="31">
        <v>0.41666666666666669</v>
      </c>
      <c r="AO55" s="32">
        <v>0.625</v>
      </c>
      <c r="AP55" s="33">
        <v>45</v>
      </c>
      <c r="AQ55" s="34">
        <v>1</v>
      </c>
      <c r="AR55" s="35">
        <v>1</v>
      </c>
      <c r="AT55" s="31">
        <v>0.41666666666666669</v>
      </c>
      <c r="AU55" s="32">
        <v>0.625</v>
      </c>
      <c r="AV55" s="33">
        <v>45</v>
      </c>
      <c r="AW55" s="34">
        <v>1</v>
      </c>
      <c r="AX55" s="35">
        <v>1</v>
      </c>
      <c r="AZ55" s="31">
        <v>0.41666666666666669</v>
      </c>
      <c r="BA55" s="32">
        <v>0.625</v>
      </c>
      <c r="BB55" s="33">
        <v>45</v>
      </c>
      <c r="BC55" s="34">
        <v>1</v>
      </c>
      <c r="BD55" s="35">
        <v>1</v>
      </c>
      <c r="BF55" s="31">
        <v>0.41666666666666669</v>
      </c>
      <c r="BG55" s="32">
        <v>0.625</v>
      </c>
      <c r="BH55" s="33">
        <v>45</v>
      </c>
      <c r="BI55" s="34">
        <v>1</v>
      </c>
      <c r="BJ55" s="35">
        <v>1</v>
      </c>
      <c r="BL55" s="25"/>
      <c r="BM55" s="26"/>
      <c r="BN55" s="27"/>
      <c r="BO55" s="28"/>
      <c r="BP55" s="29"/>
      <c r="BR55" s="25"/>
      <c r="BS55" s="26"/>
      <c r="BT55" s="27"/>
      <c r="BU55" s="28"/>
      <c r="BV55" s="29"/>
      <c r="BX55" s="25"/>
      <c r="BY55" s="26"/>
      <c r="BZ55" s="27"/>
      <c r="CA55" s="28"/>
      <c r="CB55" s="29"/>
      <c r="CD55" s="25"/>
      <c r="CE55" s="26"/>
      <c r="CF55" s="27"/>
      <c r="CG55" s="28"/>
      <c r="CH55" s="29"/>
      <c r="CJ55" s="25"/>
      <c r="CK55" s="26"/>
      <c r="CL55" s="27"/>
      <c r="CM55" s="28"/>
      <c r="CN55" s="29"/>
      <c r="CP55" s="25"/>
      <c r="CQ55" s="26"/>
      <c r="CR55" s="27"/>
      <c r="CS55" s="28"/>
      <c r="CT55" s="29"/>
      <c r="CV55" s="25"/>
      <c r="CW55" s="26"/>
      <c r="CX55" s="27"/>
      <c r="CY55" s="28"/>
      <c r="CZ55" s="29"/>
      <c r="DA55" s="79">
        <f t="shared" si="0"/>
        <v>0</v>
      </c>
      <c r="DB55" s="80" t="e">
        <f>DA55*#REF!</f>
        <v>#REF!</v>
      </c>
      <c r="DC55" s="81" t="e">
        <f>DA55*#REF!</f>
        <v>#REF!</v>
      </c>
      <c r="DE55" s="25"/>
      <c r="DF55" s="26"/>
      <c r="DG55" s="27"/>
      <c r="DH55" s="28"/>
      <c r="DI55" s="29"/>
      <c r="DJ55" s="79">
        <f t="shared" si="1"/>
        <v>0</v>
      </c>
      <c r="DK55" s="80" t="e">
        <f>DJ55*#REF!</f>
        <v>#REF!</v>
      </c>
      <c r="DL55" s="81" t="e">
        <f>DJ55*#REF!</f>
        <v>#REF!</v>
      </c>
      <c r="DN55" s="25"/>
      <c r="DO55" s="26"/>
      <c r="DP55" s="27"/>
      <c r="DQ55" s="28"/>
      <c r="DR55" s="29"/>
      <c r="DS55" s="79">
        <f t="shared" si="2"/>
        <v>0</v>
      </c>
      <c r="DT55" s="80" t="e">
        <f>DS55*#REF!</f>
        <v>#REF!</v>
      </c>
      <c r="DU55" s="81" t="e">
        <f>DS55*#REF!</f>
        <v>#REF!</v>
      </c>
      <c r="DW55" s="25"/>
      <c r="DX55" s="26"/>
      <c r="DY55" s="27"/>
      <c r="DZ55" s="28"/>
      <c r="EA55" s="29"/>
      <c r="EB55" s="79">
        <f t="shared" si="3"/>
        <v>0</v>
      </c>
      <c r="EC55" s="80" t="e">
        <f>EB55*#REF!</f>
        <v>#REF!</v>
      </c>
      <c r="ED55" s="81" t="e">
        <f>EB55*#REF!</f>
        <v>#REF!</v>
      </c>
      <c r="EF55" s="25"/>
      <c r="EG55" s="26"/>
      <c r="EH55" s="27"/>
      <c r="EI55" s="28"/>
      <c r="EJ55" s="29"/>
      <c r="EK55" s="79">
        <f t="shared" si="4"/>
        <v>0</v>
      </c>
      <c r="EL55" s="80" t="e">
        <f>EK55*#REF!</f>
        <v>#REF!</v>
      </c>
      <c r="EM55" s="81" t="e">
        <f>EK55*#REF!</f>
        <v>#REF!</v>
      </c>
      <c r="EO55" s="25"/>
      <c r="EP55" s="26"/>
      <c r="EQ55" s="27"/>
      <c r="ER55" s="28"/>
      <c r="ES55" s="29"/>
      <c r="ET55" s="79">
        <f t="shared" si="5"/>
        <v>0</v>
      </c>
      <c r="EU55" s="80" t="e">
        <f>ET55*#REF!</f>
        <v>#REF!</v>
      </c>
      <c r="EV55" s="81" t="e">
        <f>ET55*#REF!</f>
        <v>#REF!</v>
      </c>
      <c r="EX55" s="25"/>
      <c r="EY55" s="26"/>
      <c r="EZ55" s="27"/>
      <c r="FA55" s="28"/>
      <c r="FB55" s="29"/>
      <c r="FC55" s="79">
        <f t="shared" si="6"/>
        <v>0</v>
      </c>
      <c r="FD55" s="80" t="e">
        <f>FC55*#REF!</f>
        <v>#REF!</v>
      </c>
      <c r="FE55" s="81" t="e">
        <f>FC55*#REF!</f>
        <v>#REF!</v>
      </c>
      <c r="FG55" s="25"/>
      <c r="FH55" s="26"/>
      <c r="FI55" s="27"/>
      <c r="FJ55" s="28"/>
      <c r="FK55" s="29"/>
      <c r="FL55" s="79">
        <f t="shared" si="7"/>
        <v>0</v>
      </c>
      <c r="FM55" s="80" t="e">
        <f>FL55*#REF!</f>
        <v>#REF!</v>
      </c>
      <c r="FN55" s="81" t="e">
        <f>FL55*#REF!</f>
        <v>#REF!</v>
      </c>
      <c r="FP55" s="25"/>
      <c r="FQ55" s="26"/>
      <c r="FR55" s="27"/>
      <c r="FS55" s="28"/>
      <c r="FT55" s="29"/>
      <c r="FU55" s="79">
        <f t="shared" si="8"/>
        <v>0</v>
      </c>
      <c r="FV55" s="80" t="e">
        <f>FU55*#REF!</f>
        <v>#REF!</v>
      </c>
      <c r="FW55" s="81" t="e">
        <f>FU55*#REF!</f>
        <v>#REF!</v>
      </c>
      <c r="FY55" s="25"/>
      <c r="FZ55" s="26"/>
      <c r="GA55" s="27"/>
      <c r="GB55" s="28"/>
      <c r="GC55" s="29"/>
      <c r="GD55" s="79">
        <f t="shared" si="9"/>
        <v>0</v>
      </c>
      <c r="GE55" s="80" t="e">
        <f>GD55*#REF!</f>
        <v>#REF!</v>
      </c>
      <c r="GF55" s="81" t="e">
        <f>GD55*#REF!</f>
        <v>#REF!</v>
      </c>
      <c r="GH55" s="25"/>
      <c r="GI55" s="26"/>
      <c r="GJ55" s="27"/>
      <c r="GK55" s="28"/>
      <c r="GL55" s="29"/>
      <c r="GM55" s="79">
        <f t="shared" si="10"/>
        <v>0</v>
      </c>
      <c r="GN55" s="80" t="e">
        <f>GM55*#REF!</f>
        <v>#REF!</v>
      </c>
      <c r="GO55" s="81" t="e">
        <f>GM55*#REF!</f>
        <v>#REF!</v>
      </c>
      <c r="GQ55" s="82">
        <f t="shared" si="12"/>
        <v>1</v>
      </c>
      <c r="GR55" s="83">
        <v>1</v>
      </c>
    </row>
    <row r="56" spans="2:200" ht="15">
      <c r="B56" s="22"/>
      <c r="C56" s="23"/>
      <c r="D56" s="24" t="str">
        <f>IF(C56="","",_xlfn.XLOOKUP(C56,'[1]Control Sheet'!$L$5:$L$104,'[1]Control Sheet'!$M$5:$M$104,"",0))</f>
        <v/>
      </c>
      <c r="E56" s="24" t="str">
        <f>IF(B56="","",_xlfn.XLOOKUP(B56,'[1]Control Sheet'!$D$5:$D$64,'[1]Control Sheet'!$F$5:$F$64,"",0))</f>
        <v/>
      </c>
      <c r="F56" s="24" t="str">
        <f>IF(B56="","",_xlfn.XLOOKUP(B56,'[1]Control Sheet'!$D$5:$D$64,'[1]Control Sheet'!$E$5:$E$64,"",0))</f>
        <v/>
      </c>
      <c r="I56" s="25"/>
      <c r="J56" s="26"/>
      <c r="K56" s="27"/>
      <c r="L56" s="28"/>
      <c r="M56" s="29"/>
      <c r="P56" s="25"/>
      <c r="Q56" s="26"/>
      <c r="R56" s="27"/>
      <c r="S56" s="28"/>
      <c r="T56" s="29"/>
      <c r="V56" s="25"/>
      <c r="W56" s="26"/>
      <c r="X56" s="27"/>
      <c r="Y56" s="28"/>
      <c r="Z56" s="29"/>
      <c r="AB56" s="25"/>
      <c r="AC56" s="26"/>
      <c r="AD56" s="27"/>
      <c r="AE56" s="28"/>
      <c r="AF56" s="29"/>
      <c r="AH56" s="25"/>
      <c r="AI56" s="26"/>
      <c r="AJ56" s="27"/>
      <c r="AK56" s="28"/>
      <c r="AL56" s="29"/>
      <c r="AN56" s="25"/>
      <c r="AO56" s="26"/>
      <c r="AP56" s="27"/>
      <c r="AQ56" s="28"/>
      <c r="AR56" s="29"/>
      <c r="AT56" s="25"/>
      <c r="AU56" s="26"/>
      <c r="AV56" s="27"/>
      <c r="AW56" s="28"/>
      <c r="AX56" s="29"/>
      <c r="AZ56" s="25"/>
      <c r="BA56" s="26"/>
      <c r="BB56" s="27"/>
      <c r="BC56" s="28"/>
      <c r="BD56" s="29"/>
      <c r="BF56" s="25"/>
      <c r="BG56" s="26"/>
      <c r="BH56" s="27"/>
      <c r="BI56" s="28"/>
      <c r="BJ56" s="29"/>
      <c r="BL56" s="25"/>
      <c r="BM56" s="26"/>
      <c r="BN56" s="27"/>
      <c r="BO56" s="28"/>
      <c r="BP56" s="29"/>
      <c r="BR56" s="25"/>
      <c r="BS56" s="26"/>
      <c r="BT56" s="27"/>
      <c r="BU56" s="28"/>
      <c r="BV56" s="29"/>
      <c r="BX56" s="25"/>
      <c r="BY56" s="26"/>
      <c r="BZ56" s="27"/>
      <c r="CA56" s="28"/>
      <c r="CB56" s="29"/>
      <c r="CD56" s="25"/>
      <c r="CE56" s="26"/>
      <c r="CF56" s="27"/>
      <c r="CG56" s="28"/>
      <c r="CH56" s="29"/>
      <c r="CJ56" s="25"/>
      <c r="CK56" s="26"/>
      <c r="CL56" s="27"/>
      <c r="CM56" s="28"/>
      <c r="CN56" s="29"/>
      <c r="CP56" s="25"/>
      <c r="CQ56" s="26"/>
      <c r="CR56" s="27"/>
      <c r="CS56" s="28"/>
      <c r="CT56" s="29"/>
      <c r="CV56" s="25"/>
      <c r="CW56" s="26"/>
      <c r="CX56" s="27"/>
      <c r="CY56" s="28"/>
      <c r="CZ56" s="29"/>
      <c r="DA56" s="79">
        <f t="shared" si="0"/>
        <v>0</v>
      </c>
      <c r="DB56" s="80" t="e">
        <f>DA56*#REF!</f>
        <v>#REF!</v>
      </c>
      <c r="DC56" s="81" t="e">
        <f>DA56*#REF!</f>
        <v>#REF!</v>
      </c>
      <c r="DE56" s="25"/>
      <c r="DF56" s="26"/>
      <c r="DG56" s="27"/>
      <c r="DH56" s="28"/>
      <c r="DI56" s="29"/>
      <c r="DJ56" s="79">
        <f t="shared" si="1"/>
        <v>0</v>
      </c>
      <c r="DK56" s="80" t="e">
        <f>DJ56*#REF!</f>
        <v>#REF!</v>
      </c>
      <c r="DL56" s="81" t="e">
        <f>DJ56*#REF!</f>
        <v>#REF!</v>
      </c>
      <c r="DN56" s="25"/>
      <c r="DO56" s="26"/>
      <c r="DP56" s="27"/>
      <c r="DQ56" s="28"/>
      <c r="DR56" s="29"/>
      <c r="DS56" s="79">
        <f t="shared" si="2"/>
        <v>0</v>
      </c>
      <c r="DT56" s="80" t="e">
        <f>DS56*#REF!</f>
        <v>#REF!</v>
      </c>
      <c r="DU56" s="81" t="e">
        <f>DS56*#REF!</f>
        <v>#REF!</v>
      </c>
      <c r="DW56" s="25"/>
      <c r="DX56" s="26"/>
      <c r="DY56" s="27"/>
      <c r="DZ56" s="28"/>
      <c r="EA56" s="29"/>
      <c r="EB56" s="79">
        <f t="shared" si="3"/>
        <v>0</v>
      </c>
      <c r="EC56" s="80" t="e">
        <f>EB56*#REF!</f>
        <v>#REF!</v>
      </c>
      <c r="ED56" s="81" t="e">
        <f>EB56*#REF!</f>
        <v>#REF!</v>
      </c>
      <c r="EF56" s="25"/>
      <c r="EG56" s="26"/>
      <c r="EH56" s="27"/>
      <c r="EI56" s="28"/>
      <c r="EJ56" s="29"/>
      <c r="EK56" s="79">
        <f t="shared" si="4"/>
        <v>0</v>
      </c>
      <c r="EL56" s="80" t="e">
        <f>EK56*#REF!</f>
        <v>#REF!</v>
      </c>
      <c r="EM56" s="81" t="e">
        <f>EK56*#REF!</f>
        <v>#REF!</v>
      </c>
      <c r="EO56" s="25"/>
      <c r="EP56" s="26"/>
      <c r="EQ56" s="27"/>
      <c r="ER56" s="28"/>
      <c r="ES56" s="29"/>
      <c r="ET56" s="79">
        <f t="shared" si="5"/>
        <v>0</v>
      </c>
      <c r="EU56" s="80" t="e">
        <f>ET56*#REF!</f>
        <v>#REF!</v>
      </c>
      <c r="EV56" s="81" t="e">
        <f>ET56*#REF!</f>
        <v>#REF!</v>
      </c>
      <c r="EX56" s="25"/>
      <c r="EY56" s="26"/>
      <c r="EZ56" s="27"/>
      <c r="FA56" s="28"/>
      <c r="FB56" s="29"/>
      <c r="FC56" s="79">
        <f t="shared" si="6"/>
        <v>0</v>
      </c>
      <c r="FD56" s="80" t="e">
        <f>FC56*#REF!</f>
        <v>#REF!</v>
      </c>
      <c r="FE56" s="81" t="e">
        <f>FC56*#REF!</f>
        <v>#REF!</v>
      </c>
      <c r="FG56" s="25"/>
      <c r="FH56" s="26"/>
      <c r="FI56" s="27"/>
      <c r="FJ56" s="28"/>
      <c r="FK56" s="29"/>
      <c r="FL56" s="79">
        <f t="shared" si="7"/>
        <v>0</v>
      </c>
      <c r="FM56" s="80" t="e">
        <f>FL56*#REF!</f>
        <v>#REF!</v>
      </c>
      <c r="FN56" s="81" t="e">
        <f>FL56*#REF!</f>
        <v>#REF!</v>
      </c>
      <c r="FP56" s="25"/>
      <c r="FQ56" s="26"/>
      <c r="FR56" s="27"/>
      <c r="FS56" s="28"/>
      <c r="FT56" s="29"/>
      <c r="FU56" s="79">
        <f t="shared" si="8"/>
        <v>0</v>
      </c>
      <c r="FV56" s="80" t="e">
        <f>FU56*#REF!</f>
        <v>#REF!</v>
      </c>
      <c r="FW56" s="81" t="e">
        <f>FU56*#REF!</f>
        <v>#REF!</v>
      </c>
      <c r="FY56" s="25"/>
      <c r="FZ56" s="26"/>
      <c r="GA56" s="27"/>
      <c r="GB56" s="28"/>
      <c r="GC56" s="29"/>
      <c r="GD56" s="79">
        <f t="shared" si="9"/>
        <v>0</v>
      </c>
      <c r="GE56" s="80" t="e">
        <f>GD56*#REF!</f>
        <v>#REF!</v>
      </c>
      <c r="GF56" s="81" t="e">
        <f>GD56*#REF!</f>
        <v>#REF!</v>
      </c>
      <c r="GH56" s="25"/>
      <c r="GI56" s="26"/>
      <c r="GJ56" s="27"/>
      <c r="GK56" s="28"/>
      <c r="GL56" s="29"/>
      <c r="GM56" s="79">
        <f t="shared" si="10"/>
        <v>0</v>
      </c>
      <c r="GN56" s="80" t="e">
        <f>GM56*#REF!</f>
        <v>#REF!</v>
      </c>
      <c r="GO56" s="81" t="e">
        <f>GM56*#REF!</f>
        <v>#REF!</v>
      </c>
      <c r="GQ56" s="82">
        <f t="shared" si="12"/>
        <v>0</v>
      </c>
      <c r="GR56" s="83">
        <v>0</v>
      </c>
    </row>
    <row r="57" spans="2:200" ht="15">
      <c r="B57" s="22" t="s">
        <v>77</v>
      </c>
      <c r="C57" s="23" t="s">
        <v>78</v>
      </c>
      <c r="D57" s="24" t="str">
        <f>IF(C57="","",_xlfn.XLOOKUP(C57,'[1]Control Sheet'!$L$5:$L$104,'[1]Control Sheet'!$M$5:$M$104,"",0))</f>
        <v>Senior Host</v>
      </c>
      <c r="E57" s="24" t="str">
        <f>IF(B57="","",_xlfn.XLOOKUP(B57,'[1]Control Sheet'!$D$5:$D$64,'[1]Control Sheet'!$F$5:$F$64,"",0))</f>
        <v>Admissions</v>
      </c>
      <c r="F57" s="24" t="str">
        <f>IF(B57="","",_xlfn.XLOOKUP(B57,'[1]Control Sheet'!$D$5:$D$64,'[1]Control Sheet'!$E$5:$E$64,"",0))</f>
        <v>C1150-N</v>
      </c>
      <c r="I57" s="25">
        <v>0.35416666666666669</v>
      </c>
      <c r="J57" s="26">
        <v>0.69791666666666663</v>
      </c>
      <c r="K57" s="27">
        <v>45</v>
      </c>
      <c r="L57" s="28">
        <v>1</v>
      </c>
      <c r="M57" s="29">
        <v>1</v>
      </c>
      <c r="P57" s="25">
        <v>0.35416666666666669</v>
      </c>
      <c r="Q57" s="26">
        <v>0.73958333333333337</v>
      </c>
      <c r="R57" s="27">
        <v>45</v>
      </c>
      <c r="S57" s="28">
        <v>1</v>
      </c>
      <c r="T57" s="29">
        <v>1</v>
      </c>
      <c r="V57" s="25">
        <v>0.35416666666666669</v>
      </c>
      <c r="W57" s="26">
        <v>0.73958333333333337</v>
      </c>
      <c r="X57" s="27">
        <v>45</v>
      </c>
      <c r="Y57" s="28">
        <v>1</v>
      </c>
      <c r="Z57" s="29">
        <v>1</v>
      </c>
      <c r="AB57" s="25">
        <v>0.35416666666666669</v>
      </c>
      <c r="AC57" s="26">
        <v>0.73958333333333337</v>
      </c>
      <c r="AD57" s="27">
        <v>45</v>
      </c>
      <c r="AE57" s="28">
        <v>1</v>
      </c>
      <c r="AF57" s="29">
        <v>1</v>
      </c>
      <c r="AH57" s="25">
        <v>0.35416666666666669</v>
      </c>
      <c r="AI57" s="26">
        <v>0.73958333333333337</v>
      </c>
      <c r="AJ57" s="27">
        <v>45</v>
      </c>
      <c r="AK57" s="28">
        <v>1</v>
      </c>
      <c r="AL57" s="29">
        <v>1</v>
      </c>
      <c r="AN57" s="25">
        <v>0.35416666666666669</v>
      </c>
      <c r="AO57" s="26">
        <v>0.79166666666666663</v>
      </c>
      <c r="AP57" s="33">
        <v>60</v>
      </c>
      <c r="AQ57" s="28">
        <v>1</v>
      </c>
      <c r="AR57" s="29">
        <v>1</v>
      </c>
      <c r="AT57" s="25">
        <v>0.35416666666666669</v>
      </c>
      <c r="AU57" s="26">
        <v>0.73958333333333337</v>
      </c>
      <c r="AV57" s="27">
        <v>45</v>
      </c>
      <c r="AW57" s="28">
        <v>1</v>
      </c>
      <c r="AX57" s="29">
        <v>1</v>
      </c>
      <c r="AZ57" s="25">
        <v>0.35416666666666669</v>
      </c>
      <c r="BA57" s="26">
        <v>0.79166666666666663</v>
      </c>
      <c r="BB57" s="33">
        <v>60</v>
      </c>
      <c r="BC57" s="28">
        <v>1</v>
      </c>
      <c r="BD57" s="29">
        <v>1</v>
      </c>
      <c r="BF57" s="25">
        <v>0.35416666666666669</v>
      </c>
      <c r="BG57" s="26">
        <v>0.79166666666666663</v>
      </c>
      <c r="BH57" s="27">
        <v>60</v>
      </c>
      <c r="BI57" s="28">
        <v>1</v>
      </c>
      <c r="BJ57" s="29">
        <v>1</v>
      </c>
      <c r="BL57" s="25">
        <v>0.38541666666666669</v>
      </c>
      <c r="BM57" s="26">
        <v>0.69791666666666663</v>
      </c>
      <c r="BN57" s="27">
        <v>45</v>
      </c>
      <c r="BO57" s="28">
        <v>1</v>
      </c>
      <c r="BP57" s="29">
        <v>1</v>
      </c>
      <c r="BR57" s="25">
        <v>0.35416666666666669</v>
      </c>
      <c r="BS57" s="26">
        <v>0.66666666666666663</v>
      </c>
      <c r="BT57" s="27">
        <v>45</v>
      </c>
      <c r="BU57" s="28">
        <v>1</v>
      </c>
      <c r="BV57" s="29">
        <v>1</v>
      </c>
      <c r="BX57" s="25">
        <v>0.35416666666666669</v>
      </c>
      <c r="BY57" s="26">
        <v>0.75</v>
      </c>
      <c r="BZ57" s="27">
        <v>45</v>
      </c>
      <c r="CA57" s="28">
        <v>1</v>
      </c>
      <c r="CB57" s="29">
        <v>1</v>
      </c>
      <c r="CD57" s="25">
        <v>0.35416666666666669</v>
      </c>
      <c r="CE57" s="26">
        <v>0.8125</v>
      </c>
      <c r="CF57" s="33">
        <v>60</v>
      </c>
      <c r="CG57" s="28">
        <v>1</v>
      </c>
      <c r="CH57" s="29">
        <v>1</v>
      </c>
      <c r="CJ57" s="25">
        <v>0.35416666666666669</v>
      </c>
      <c r="CK57" s="26">
        <v>0.66666666666666663</v>
      </c>
      <c r="CL57" s="27">
        <v>45</v>
      </c>
      <c r="CM57" s="28">
        <v>1</v>
      </c>
      <c r="CN57" s="29">
        <v>1</v>
      </c>
      <c r="CP57" s="25"/>
      <c r="CQ57" s="26"/>
      <c r="CR57" s="27"/>
      <c r="CS57" s="28"/>
      <c r="CT57" s="29"/>
      <c r="CV57" s="25"/>
      <c r="CW57" s="26"/>
      <c r="CX57" s="27"/>
      <c r="CY57" s="28"/>
      <c r="CZ57" s="29"/>
      <c r="DA57" s="79">
        <f t="shared" si="0"/>
        <v>0</v>
      </c>
      <c r="DB57" s="80" t="e">
        <f>DA57*#REF!</f>
        <v>#REF!</v>
      </c>
      <c r="DC57" s="81" t="e">
        <f>DA57*#REF!</f>
        <v>#REF!</v>
      </c>
      <c r="DE57" s="25"/>
      <c r="DF57" s="26"/>
      <c r="DG57" s="27"/>
      <c r="DH57" s="28"/>
      <c r="DI57" s="29"/>
      <c r="DJ57" s="79">
        <f t="shared" si="1"/>
        <v>0</v>
      </c>
      <c r="DK57" s="80" t="e">
        <f>DJ57*#REF!</f>
        <v>#REF!</v>
      </c>
      <c r="DL57" s="81" t="e">
        <f>DJ57*#REF!</f>
        <v>#REF!</v>
      </c>
      <c r="DN57" s="25"/>
      <c r="DO57" s="26"/>
      <c r="DP57" s="27"/>
      <c r="DQ57" s="28"/>
      <c r="DR57" s="29"/>
      <c r="DS57" s="79">
        <f t="shared" si="2"/>
        <v>0</v>
      </c>
      <c r="DT57" s="80" t="e">
        <f>DS57*#REF!</f>
        <v>#REF!</v>
      </c>
      <c r="DU57" s="81" t="e">
        <f>DS57*#REF!</f>
        <v>#REF!</v>
      </c>
      <c r="DW57" s="25"/>
      <c r="DX57" s="26"/>
      <c r="DY57" s="27"/>
      <c r="DZ57" s="28"/>
      <c r="EA57" s="29"/>
      <c r="EB57" s="79">
        <f t="shared" si="3"/>
        <v>0</v>
      </c>
      <c r="EC57" s="80" t="e">
        <f>EB57*#REF!</f>
        <v>#REF!</v>
      </c>
      <c r="ED57" s="81" t="e">
        <f>EB57*#REF!</f>
        <v>#REF!</v>
      </c>
      <c r="EF57" s="25"/>
      <c r="EG57" s="26"/>
      <c r="EH57" s="27"/>
      <c r="EI57" s="28"/>
      <c r="EJ57" s="29"/>
      <c r="EK57" s="79">
        <f t="shared" si="4"/>
        <v>0</v>
      </c>
      <c r="EL57" s="80" t="e">
        <f>EK57*#REF!</f>
        <v>#REF!</v>
      </c>
      <c r="EM57" s="81" t="e">
        <f>EK57*#REF!</f>
        <v>#REF!</v>
      </c>
      <c r="EO57" s="25"/>
      <c r="EP57" s="26"/>
      <c r="EQ57" s="27"/>
      <c r="ER57" s="28"/>
      <c r="ES57" s="29"/>
      <c r="ET57" s="79">
        <f t="shared" si="5"/>
        <v>0</v>
      </c>
      <c r="EU57" s="80" t="e">
        <f>ET57*#REF!</f>
        <v>#REF!</v>
      </c>
      <c r="EV57" s="81" t="e">
        <f>ET57*#REF!</f>
        <v>#REF!</v>
      </c>
      <c r="EX57" s="25"/>
      <c r="EY57" s="26"/>
      <c r="EZ57" s="27"/>
      <c r="FA57" s="28"/>
      <c r="FB57" s="29"/>
      <c r="FC57" s="79">
        <f t="shared" si="6"/>
        <v>0</v>
      </c>
      <c r="FD57" s="80" t="e">
        <f>FC57*#REF!</f>
        <v>#REF!</v>
      </c>
      <c r="FE57" s="81" t="e">
        <f>FC57*#REF!</f>
        <v>#REF!</v>
      </c>
      <c r="FG57" s="25"/>
      <c r="FH57" s="26"/>
      <c r="FI57" s="27"/>
      <c r="FJ57" s="28"/>
      <c r="FK57" s="29"/>
      <c r="FL57" s="79">
        <f t="shared" si="7"/>
        <v>0</v>
      </c>
      <c r="FM57" s="80" t="e">
        <f>FL57*#REF!</f>
        <v>#REF!</v>
      </c>
      <c r="FN57" s="81" t="e">
        <f>FL57*#REF!</f>
        <v>#REF!</v>
      </c>
      <c r="FP57" s="25"/>
      <c r="FQ57" s="26"/>
      <c r="FR57" s="27"/>
      <c r="FS57" s="28"/>
      <c r="FT57" s="29"/>
      <c r="FU57" s="79">
        <f t="shared" si="8"/>
        <v>0</v>
      </c>
      <c r="FV57" s="80" t="e">
        <f>FU57*#REF!</f>
        <v>#REF!</v>
      </c>
      <c r="FW57" s="81" t="e">
        <f>FU57*#REF!</f>
        <v>#REF!</v>
      </c>
      <c r="FY57" s="25"/>
      <c r="FZ57" s="26"/>
      <c r="GA57" s="27"/>
      <c r="GB57" s="28"/>
      <c r="GC57" s="29"/>
      <c r="GD57" s="79">
        <f t="shared" si="9"/>
        <v>0</v>
      </c>
      <c r="GE57" s="80" t="e">
        <f>GD57*#REF!</f>
        <v>#REF!</v>
      </c>
      <c r="GF57" s="81" t="e">
        <f>GD57*#REF!</f>
        <v>#REF!</v>
      </c>
      <c r="GH57" s="25"/>
      <c r="GI57" s="26"/>
      <c r="GJ57" s="27"/>
      <c r="GK57" s="28"/>
      <c r="GL57" s="29"/>
      <c r="GM57" s="79">
        <f t="shared" si="10"/>
        <v>0</v>
      </c>
      <c r="GN57" s="80" t="e">
        <f>GM57*#REF!</f>
        <v>#REF!</v>
      </c>
      <c r="GO57" s="81" t="e">
        <f>GM57*#REF!</f>
        <v>#REF!</v>
      </c>
      <c r="GQ57" s="82">
        <f t="shared" si="12"/>
        <v>1</v>
      </c>
      <c r="GR57" s="83">
        <v>1</v>
      </c>
    </row>
    <row r="58" spans="2:200" ht="15">
      <c r="B58" s="22" t="s">
        <v>77</v>
      </c>
      <c r="C58" s="23" t="s">
        <v>79</v>
      </c>
      <c r="D58" s="24" t="str">
        <f>IF(C58="","",_xlfn.XLOOKUP(C58,'[1]Control Sheet'!$L$5:$L$104,'[1]Control Sheet'!$M$5:$M$104,"",0))</f>
        <v xml:space="preserve">Host </v>
      </c>
      <c r="E58" s="24" t="str">
        <f>IF(B58="","",_xlfn.XLOOKUP(B58,'[1]Control Sheet'!$D$5:$D$64,'[1]Control Sheet'!$F$5:$F$64,"",0))</f>
        <v>Admissions</v>
      </c>
      <c r="F58" s="24" t="str">
        <f>IF(B58="","",_xlfn.XLOOKUP(B58,'[1]Control Sheet'!$D$5:$D$64,'[1]Control Sheet'!$E$5:$E$64,"",0))</f>
        <v>C1150-N</v>
      </c>
      <c r="I58" s="25">
        <v>0.38541666666666669</v>
      </c>
      <c r="J58" s="26">
        <v>0.69791666666666663</v>
      </c>
      <c r="K58" s="27">
        <v>45</v>
      </c>
      <c r="L58" s="28">
        <v>1</v>
      </c>
      <c r="M58" s="29">
        <v>1</v>
      </c>
      <c r="P58" s="25">
        <v>0.38541666666666669</v>
      </c>
      <c r="Q58" s="26">
        <v>0.73958333333333337</v>
      </c>
      <c r="R58" s="27">
        <v>45</v>
      </c>
      <c r="S58" s="28">
        <v>1</v>
      </c>
      <c r="T58" s="29">
        <v>1</v>
      </c>
      <c r="V58" s="25">
        <v>0.38541666666666669</v>
      </c>
      <c r="W58" s="26">
        <v>0.73958333333333337</v>
      </c>
      <c r="X58" s="27">
        <v>45</v>
      </c>
      <c r="Y58" s="28">
        <v>2</v>
      </c>
      <c r="Z58" s="29">
        <v>1</v>
      </c>
      <c r="AB58" s="25">
        <v>0.38541666666666669</v>
      </c>
      <c r="AC58" s="26">
        <v>0.73958333333333337</v>
      </c>
      <c r="AD58" s="27">
        <v>45</v>
      </c>
      <c r="AE58" s="28">
        <v>2</v>
      </c>
      <c r="AF58" s="29">
        <v>1</v>
      </c>
      <c r="AH58" s="25">
        <v>0.35416666666666669</v>
      </c>
      <c r="AI58" s="26">
        <v>0.73958333333333337</v>
      </c>
      <c r="AJ58" s="27">
        <v>45</v>
      </c>
      <c r="AK58" s="28">
        <v>2</v>
      </c>
      <c r="AL58" s="29">
        <v>1</v>
      </c>
      <c r="AN58" s="25">
        <v>0.35416666666666669</v>
      </c>
      <c r="AO58" s="26">
        <v>0.79166666666666663</v>
      </c>
      <c r="AP58" s="33">
        <v>60</v>
      </c>
      <c r="AQ58" s="28">
        <v>2</v>
      </c>
      <c r="AR58" s="29">
        <v>1</v>
      </c>
      <c r="AT58" s="25">
        <v>0.35416666666666669</v>
      </c>
      <c r="AU58" s="26">
        <v>0.73958333333333337</v>
      </c>
      <c r="AV58" s="27">
        <v>45</v>
      </c>
      <c r="AW58" s="28">
        <v>2</v>
      </c>
      <c r="AX58" s="29">
        <v>1</v>
      </c>
      <c r="AZ58" s="25">
        <v>0.35416666666666669</v>
      </c>
      <c r="BA58" s="26">
        <v>0.79166666666666663</v>
      </c>
      <c r="BB58" s="33">
        <v>60</v>
      </c>
      <c r="BC58" s="28">
        <v>2</v>
      </c>
      <c r="BD58" s="29">
        <v>1</v>
      </c>
      <c r="BF58" s="25">
        <v>0.36458333333333331</v>
      </c>
      <c r="BG58" s="26">
        <v>0.83333333333333337</v>
      </c>
      <c r="BH58" s="27">
        <v>60</v>
      </c>
      <c r="BI58" s="28">
        <v>2</v>
      </c>
      <c r="BJ58" s="29">
        <v>1</v>
      </c>
      <c r="BL58" s="25">
        <v>0.38541666666666669</v>
      </c>
      <c r="BM58" s="26">
        <v>0.69791666666666663</v>
      </c>
      <c r="BN58" s="27">
        <v>45</v>
      </c>
      <c r="BO58" s="28">
        <v>1</v>
      </c>
      <c r="BP58" s="29">
        <v>1</v>
      </c>
      <c r="BR58" s="25">
        <v>0.35416666666666669</v>
      </c>
      <c r="BS58" s="26">
        <v>0.66666666666666663</v>
      </c>
      <c r="BT58" s="27">
        <v>45</v>
      </c>
      <c r="BU58" s="28">
        <v>1</v>
      </c>
      <c r="BV58" s="29">
        <v>1</v>
      </c>
      <c r="BX58" s="25">
        <v>0.35416666666666669</v>
      </c>
      <c r="BY58" s="26">
        <v>0.75</v>
      </c>
      <c r="BZ58" s="27">
        <v>45</v>
      </c>
      <c r="CA58" s="28">
        <v>1</v>
      </c>
      <c r="CB58" s="29">
        <v>1</v>
      </c>
      <c r="CD58" s="25">
        <v>0.35416666666666669</v>
      </c>
      <c r="CE58" s="26">
        <v>0.8125</v>
      </c>
      <c r="CF58" s="33">
        <v>60</v>
      </c>
      <c r="CG58" s="28">
        <v>1</v>
      </c>
      <c r="CH58" s="29">
        <v>1</v>
      </c>
      <c r="CJ58" s="25">
        <v>0.35416666666666669</v>
      </c>
      <c r="CK58" s="26">
        <v>0.66666666666666663</v>
      </c>
      <c r="CL58" s="27">
        <v>45</v>
      </c>
      <c r="CM58" s="28">
        <v>1</v>
      </c>
      <c r="CN58" s="29">
        <v>1</v>
      </c>
      <c r="CP58" s="25"/>
      <c r="CQ58" s="26"/>
      <c r="CR58" s="27"/>
      <c r="CS58" s="28"/>
      <c r="CT58" s="29"/>
      <c r="CV58" s="25"/>
      <c r="CW58" s="26"/>
      <c r="CX58" s="27"/>
      <c r="CY58" s="28"/>
      <c r="CZ58" s="29"/>
      <c r="DA58" s="79">
        <f t="shared" si="0"/>
        <v>0</v>
      </c>
      <c r="DB58" s="80" t="e">
        <f>DA58*#REF!</f>
        <v>#REF!</v>
      </c>
      <c r="DC58" s="81" t="e">
        <f>DA58*#REF!</f>
        <v>#REF!</v>
      </c>
      <c r="DE58" s="25"/>
      <c r="DF58" s="26"/>
      <c r="DG58" s="27"/>
      <c r="DH58" s="28"/>
      <c r="DI58" s="29"/>
      <c r="DJ58" s="79">
        <f t="shared" si="1"/>
        <v>0</v>
      </c>
      <c r="DK58" s="80" t="e">
        <f>DJ58*#REF!</f>
        <v>#REF!</v>
      </c>
      <c r="DL58" s="81" t="e">
        <f>DJ58*#REF!</f>
        <v>#REF!</v>
      </c>
      <c r="DN58" s="25"/>
      <c r="DO58" s="26"/>
      <c r="DP58" s="27"/>
      <c r="DQ58" s="28"/>
      <c r="DR58" s="29"/>
      <c r="DS58" s="79">
        <f t="shared" si="2"/>
        <v>0</v>
      </c>
      <c r="DT58" s="80" t="e">
        <f>DS58*#REF!</f>
        <v>#REF!</v>
      </c>
      <c r="DU58" s="81" t="e">
        <f>DS58*#REF!</f>
        <v>#REF!</v>
      </c>
      <c r="DW58" s="25"/>
      <c r="DX58" s="26"/>
      <c r="DY58" s="27"/>
      <c r="DZ58" s="28"/>
      <c r="EA58" s="29"/>
      <c r="EB58" s="79">
        <f t="shared" si="3"/>
        <v>0</v>
      </c>
      <c r="EC58" s="80" t="e">
        <f>EB58*#REF!</f>
        <v>#REF!</v>
      </c>
      <c r="ED58" s="81" t="e">
        <f>EB58*#REF!</f>
        <v>#REF!</v>
      </c>
      <c r="EF58" s="25"/>
      <c r="EG58" s="26"/>
      <c r="EH58" s="27"/>
      <c r="EI58" s="28"/>
      <c r="EJ58" s="29"/>
      <c r="EK58" s="79">
        <f t="shared" si="4"/>
        <v>0</v>
      </c>
      <c r="EL58" s="80" t="e">
        <f>EK58*#REF!</f>
        <v>#REF!</v>
      </c>
      <c r="EM58" s="81" t="e">
        <f>EK58*#REF!</f>
        <v>#REF!</v>
      </c>
      <c r="EO58" s="25"/>
      <c r="EP58" s="26"/>
      <c r="EQ58" s="27"/>
      <c r="ER58" s="28"/>
      <c r="ES58" s="29"/>
      <c r="ET58" s="79">
        <f t="shared" si="5"/>
        <v>0</v>
      </c>
      <c r="EU58" s="80" t="e">
        <f>ET58*#REF!</f>
        <v>#REF!</v>
      </c>
      <c r="EV58" s="81" t="e">
        <f>ET58*#REF!</f>
        <v>#REF!</v>
      </c>
      <c r="EX58" s="25"/>
      <c r="EY58" s="26"/>
      <c r="EZ58" s="27"/>
      <c r="FA58" s="28"/>
      <c r="FB58" s="29"/>
      <c r="FC58" s="79">
        <f t="shared" si="6"/>
        <v>0</v>
      </c>
      <c r="FD58" s="80" t="e">
        <f>FC58*#REF!</f>
        <v>#REF!</v>
      </c>
      <c r="FE58" s="81" t="e">
        <f>FC58*#REF!</f>
        <v>#REF!</v>
      </c>
      <c r="FG58" s="25"/>
      <c r="FH58" s="26"/>
      <c r="FI58" s="27"/>
      <c r="FJ58" s="28"/>
      <c r="FK58" s="29"/>
      <c r="FL58" s="79">
        <f t="shared" si="7"/>
        <v>0</v>
      </c>
      <c r="FM58" s="80" t="e">
        <f>FL58*#REF!</f>
        <v>#REF!</v>
      </c>
      <c r="FN58" s="81" t="e">
        <f>FL58*#REF!</f>
        <v>#REF!</v>
      </c>
      <c r="FP58" s="25"/>
      <c r="FQ58" s="26"/>
      <c r="FR58" s="27"/>
      <c r="FS58" s="28"/>
      <c r="FT58" s="29"/>
      <c r="FU58" s="79">
        <f t="shared" si="8"/>
        <v>0</v>
      </c>
      <c r="FV58" s="80" t="e">
        <f>FU58*#REF!</f>
        <v>#REF!</v>
      </c>
      <c r="FW58" s="81" t="e">
        <f>FU58*#REF!</f>
        <v>#REF!</v>
      </c>
      <c r="FY58" s="25"/>
      <c r="FZ58" s="26"/>
      <c r="GA58" s="27"/>
      <c r="GB58" s="28"/>
      <c r="GC58" s="29"/>
      <c r="GD58" s="79">
        <f t="shared" si="9"/>
        <v>0</v>
      </c>
      <c r="GE58" s="80" t="e">
        <f>GD58*#REF!</f>
        <v>#REF!</v>
      </c>
      <c r="GF58" s="81" t="e">
        <f>GD58*#REF!</f>
        <v>#REF!</v>
      </c>
      <c r="GH58" s="25"/>
      <c r="GI58" s="26"/>
      <c r="GJ58" s="27"/>
      <c r="GK58" s="28"/>
      <c r="GL58" s="29"/>
      <c r="GM58" s="79">
        <f t="shared" si="10"/>
        <v>0</v>
      </c>
      <c r="GN58" s="80" t="e">
        <f>GM58*#REF!</f>
        <v>#REF!</v>
      </c>
      <c r="GO58" s="81" t="e">
        <f>GM58*#REF!</f>
        <v>#REF!</v>
      </c>
      <c r="GQ58" s="82">
        <f t="shared" si="12"/>
        <v>2</v>
      </c>
      <c r="GR58" s="83">
        <v>2</v>
      </c>
    </row>
    <row r="59" spans="2:200" ht="15">
      <c r="B59" s="22" t="s">
        <v>77</v>
      </c>
      <c r="C59" s="23" t="s">
        <v>79</v>
      </c>
      <c r="D59" s="24" t="str">
        <f>IF(C59="","",_xlfn.XLOOKUP(C59,'[1]Control Sheet'!$L$5:$L$104,'[1]Control Sheet'!$M$5:$M$104,"",0))</f>
        <v xml:space="preserve">Host </v>
      </c>
      <c r="E59" s="24" t="str">
        <f>IF(B59="","",_xlfn.XLOOKUP(B59,'[1]Control Sheet'!$D$5:$D$64,'[1]Control Sheet'!$F$5:$F$64,"",0))</f>
        <v>Admissions</v>
      </c>
      <c r="F59" s="24" t="str">
        <f>IF(B59="","",_xlfn.XLOOKUP(B59,'[1]Control Sheet'!$D$5:$D$64,'[1]Control Sheet'!$E$5:$E$64,"",0))</f>
        <v>C1150-N</v>
      </c>
      <c r="I59" s="25">
        <v>0.38541666666666669</v>
      </c>
      <c r="J59" s="26">
        <v>0.54166666666666663</v>
      </c>
      <c r="K59" s="27">
        <v>0</v>
      </c>
      <c r="L59" s="28">
        <v>2</v>
      </c>
      <c r="M59" s="29">
        <v>1</v>
      </c>
      <c r="P59" s="25">
        <v>0.38541666666666669</v>
      </c>
      <c r="Q59" s="26">
        <v>0.54166666666666663</v>
      </c>
      <c r="R59" s="27">
        <v>0</v>
      </c>
      <c r="S59" s="28">
        <v>2</v>
      </c>
      <c r="T59" s="29">
        <v>1</v>
      </c>
      <c r="V59" s="25">
        <v>0.38541666666666669</v>
      </c>
      <c r="W59" s="26">
        <v>0.54166666666666663</v>
      </c>
      <c r="X59" s="27">
        <v>45</v>
      </c>
      <c r="Y59" s="28">
        <v>2</v>
      </c>
      <c r="Z59" s="29">
        <v>0.5</v>
      </c>
      <c r="AB59" s="25">
        <v>0.38541666666666669</v>
      </c>
      <c r="AC59" s="26">
        <v>0.54166666666666663</v>
      </c>
      <c r="AD59" s="27">
        <v>45</v>
      </c>
      <c r="AE59" s="28">
        <v>2</v>
      </c>
      <c r="AF59" s="29">
        <v>0.5</v>
      </c>
      <c r="AH59" s="25">
        <v>0.38541666666666669</v>
      </c>
      <c r="AI59" s="26">
        <v>0.54166666666666663</v>
      </c>
      <c r="AJ59" s="27">
        <v>45</v>
      </c>
      <c r="AK59" s="28">
        <v>2</v>
      </c>
      <c r="AL59" s="29">
        <v>0.5</v>
      </c>
      <c r="AN59" s="25">
        <v>0.38541666666666669</v>
      </c>
      <c r="AO59" s="26">
        <v>0.54166666666666663</v>
      </c>
      <c r="AP59" s="33">
        <v>60</v>
      </c>
      <c r="AQ59" s="28">
        <v>2</v>
      </c>
      <c r="AR59" s="29">
        <v>0.5</v>
      </c>
      <c r="AT59" s="25">
        <v>0.39583333333333331</v>
      </c>
      <c r="AU59" s="26">
        <v>0.54166666666666663</v>
      </c>
      <c r="AV59" s="27">
        <v>45</v>
      </c>
      <c r="AW59" s="28">
        <v>2</v>
      </c>
      <c r="AX59" s="29">
        <v>0.5</v>
      </c>
      <c r="AZ59" s="25">
        <v>0.38541666666666669</v>
      </c>
      <c r="BA59" s="26">
        <v>0.54166666666666663</v>
      </c>
      <c r="BB59" s="33">
        <v>60</v>
      </c>
      <c r="BC59" s="28">
        <v>2</v>
      </c>
      <c r="BD59" s="29">
        <v>0.5</v>
      </c>
      <c r="BF59" s="25">
        <v>0.39583333333333331</v>
      </c>
      <c r="BG59" s="26">
        <v>0.54166666666666663</v>
      </c>
      <c r="BH59" s="27">
        <v>60</v>
      </c>
      <c r="BI59" s="28">
        <v>2</v>
      </c>
      <c r="BJ59" s="29">
        <v>0.5</v>
      </c>
      <c r="BL59" s="25">
        <v>0.38541666666666669</v>
      </c>
      <c r="BM59" s="26">
        <v>0.54166666666666663</v>
      </c>
      <c r="BN59" s="27">
        <v>0</v>
      </c>
      <c r="BO59" s="28">
        <v>2</v>
      </c>
      <c r="BP59" s="29">
        <v>1</v>
      </c>
      <c r="BR59" s="25">
        <v>0.35416666666666669</v>
      </c>
      <c r="BS59" s="26">
        <v>0.54166666666666663</v>
      </c>
      <c r="BT59" s="27">
        <v>45</v>
      </c>
      <c r="BU59" s="28">
        <v>1</v>
      </c>
      <c r="BV59" s="29">
        <v>0.5</v>
      </c>
      <c r="BX59" s="25">
        <v>0.35416666666666669</v>
      </c>
      <c r="BY59" s="26">
        <v>0.54166666666666663</v>
      </c>
      <c r="BZ59" s="27">
        <v>45</v>
      </c>
      <c r="CA59" s="28">
        <v>2</v>
      </c>
      <c r="CB59" s="29">
        <v>0.5</v>
      </c>
      <c r="CD59" s="25">
        <v>0.35416666666666669</v>
      </c>
      <c r="CE59" s="26">
        <v>0.54166666666666663</v>
      </c>
      <c r="CF59" s="33">
        <v>60</v>
      </c>
      <c r="CG59" s="28">
        <v>2</v>
      </c>
      <c r="CH59" s="29">
        <v>0.5</v>
      </c>
      <c r="CJ59" s="25">
        <v>0.35416666666666669</v>
      </c>
      <c r="CK59" s="26">
        <v>0.54166666666666663</v>
      </c>
      <c r="CL59" s="27">
        <v>45</v>
      </c>
      <c r="CM59" s="28">
        <v>1</v>
      </c>
      <c r="CN59" s="29">
        <v>0.5</v>
      </c>
      <c r="CP59" s="25"/>
      <c r="CQ59" s="26"/>
      <c r="CR59" s="27"/>
      <c r="CS59" s="28"/>
      <c r="CT59" s="29"/>
      <c r="CV59" s="25"/>
      <c r="CW59" s="26"/>
      <c r="CX59" s="27"/>
      <c r="CY59" s="28"/>
      <c r="CZ59" s="29"/>
      <c r="DA59" s="79">
        <f t="shared" si="0"/>
        <v>0</v>
      </c>
      <c r="DB59" s="80" t="e">
        <f>DA59*#REF!</f>
        <v>#REF!</v>
      </c>
      <c r="DC59" s="81" t="e">
        <f>DA59*#REF!</f>
        <v>#REF!</v>
      </c>
      <c r="DE59" s="25"/>
      <c r="DF59" s="26"/>
      <c r="DG59" s="27"/>
      <c r="DH59" s="28"/>
      <c r="DI59" s="29"/>
      <c r="DJ59" s="79">
        <f t="shared" si="1"/>
        <v>0</v>
      </c>
      <c r="DK59" s="80" t="e">
        <f>DJ59*#REF!</f>
        <v>#REF!</v>
      </c>
      <c r="DL59" s="81" t="e">
        <f>DJ59*#REF!</f>
        <v>#REF!</v>
      </c>
      <c r="DN59" s="25"/>
      <c r="DO59" s="26"/>
      <c r="DP59" s="27"/>
      <c r="DQ59" s="28"/>
      <c r="DR59" s="29"/>
      <c r="DS59" s="79">
        <f t="shared" si="2"/>
        <v>0</v>
      </c>
      <c r="DT59" s="80" t="e">
        <f>DS59*#REF!</f>
        <v>#REF!</v>
      </c>
      <c r="DU59" s="81" t="e">
        <f>DS59*#REF!</f>
        <v>#REF!</v>
      </c>
      <c r="DW59" s="25"/>
      <c r="DX59" s="26"/>
      <c r="DY59" s="27"/>
      <c r="DZ59" s="28"/>
      <c r="EA59" s="29"/>
      <c r="EB59" s="79">
        <f t="shared" si="3"/>
        <v>0</v>
      </c>
      <c r="EC59" s="80" t="e">
        <f>EB59*#REF!</f>
        <v>#REF!</v>
      </c>
      <c r="ED59" s="81" t="e">
        <f>EB59*#REF!</f>
        <v>#REF!</v>
      </c>
      <c r="EF59" s="25"/>
      <c r="EG59" s="26"/>
      <c r="EH59" s="27"/>
      <c r="EI59" s="28"/>
      <c r="EJ59" s="29"/>
      <c r="EK59" s="79">
        <f t="shared" si="4"/>
        <v>0</v>
      </c>
      <c r="EL59" s="80" t="e">
        <f>EK59*#REF!</f>
        <v>#REF!</v>
      </c>
      <c r="EM59" s="81" t="e">
        <f>EK59*#REF!</f>
        <v>#REF!</v>
      </c>
      <c r="EO59" s="25"/>
      <c r="EP59" s="26"/>
      <c r="EQ59" s="27"/>
      <c r="ER59" s="28"/>
      <c r="ES59" s="29"/>
      <c r="ET59" s="79">
        <f t="shared" si="5"/>
        <v>0</v>
      </c>
      <c r="EU59" s="80" t="e">
        <f>ET59*#REF!</f>
        <v>#REF!</v>
      </c>
      <c r="EV59" s="81" t="e">
        <f>ET59*#REF!</f>
        <v>#REF!</v>
      </c>
      <c r="EX59" s="25"/>
      <c r="EY59" s="26"/>
      <c r="EZ59" s="27"/>
      <c r="FA59" s="28"/>
      <c r="FB59" s="29"/>
      <c r="FC59" s="79">
        <f t="shared" si="6"/>
        <v>0</v>
      </c>
      <c r="FD59" s="80" t="e">
        <f>FC59*#REF!</f>
        <v>#REF!</v>
      </c>
      <c r="FE59" s="81" t="e">
        <f>FC59*#REF!</f>
        <v>#REF!</v>
      </c>
      <c r="FG59" s="25"/>
      <c r="FH59" s="26"/>
      <c r="FI59" s="27"/>
      <c r="FJ59" s="28"/>
      <c r="FK59" s="29"/>
      <c r="FL59" s="79">
        <f t="shared" si="7"/>
        <v>0</v>
      </c>
      <c r="FM59" s="80" t="e">
        <f>FL59*#REF!</f>
        <v>#REF!</v>
      </c>
      <c r="FN59" s="81" t="e">
        <f>FL59*#REF!</f>
        <v>#REF!</v>
      </c>
      <c r="FP59" s="25"/>
      <c r="FQ59" s="26"/>
      <c r="FR59" s="27"/>
      <c r="FS59" s="28"/>
      <c r="FT59" s="29"/>
      <c r="FU59" s="79">
        <f t="shared" si="8"/>
        <v>0</v>
      </c>
      <c r="FV59" s="80" t="e">
        <f>FU59*#REF!</f>
        <v>#REF!</v>
      </c>
      <c r="FW59" s="81" t="e">
        <f>FU59*#REF!</f>
        <v>#REF!</v>
      </c>
      <c r="FY59" s="25"/>
      <c r="FZ59" s="26"/>
      <c r="GA59" s="27"/>
      <c r="GB59" s="28"/>
      <c r="GC59" s="29"/>
      <c r="GD59" s="79">
        <f t="shared" si="9"/>
        <v>0</v>
      </c>
      <c r="GE59" s="80" t="e">
        <f>GD59*#REF!</f>
        <v>#REF!</v>
      </c>
      <c r="GF59" s="81" t="e">
        <f>GD59*#REF!</f>
        <v>#REF!</v>
      </c>
      <c r="GH59" s="25"/>
      <c r="GI59" s="26"/>
      <c r="GJ59" s="27"/>
      <c r="GK59" s="28"/>
      <c r="GL59" s="29"/>
      <c r="GM59" s="79">
        <f t="shared" si="10"/>
        <v>0</v>
      </c>
      <c r="GN59" s="80" t="e">
        <f>GM59*#REF!</f>
        <v>#REF!</v>
      </c>
      <c r="GO59" s="81" t="e">
        <f>GM59*#REF!</f>
        <v>#REF!</v>
      </c>
      <c r="GQ59" s="82">
        <f t="shared" si="12"/>
        <v>2</v>
      </c>
      <c r="GR59" s="83">
        <v>2</v>
      </c>
    </row>
    <row r="60" spans="2:200" ht="15">
      <c r="B60" s="22"/>
      <c r="C60" s="23"/>
      <c r="D60" s="24" t="str">
        <f>IF(C60="","",_xlfn.XLOOKUP(C60,'[1]Control Sheet'!$L$5:$L$104,'[1]Control Sheet'!$M$5:$M$104,"",0))</f>
        <v/>
      </c>
      <c r="E60" s="24" t="str">
        <f>IF(B60="","",_xlfn.XLOOKUP(B60,'[1]Control Sheet'!$D$5:$D$64,'[1]Control Sheet'!$F$5:$F$64,"",0))</f>
        <v/>
      </c>
      <c r="F60" s="24" t="str">
        <f>IF(B60="","",_xlfn.XLOOKUP(B60,'[1]Control Sheet'!$D$5:$D$64,'[1]Control Sheet'!$E$5:$E$64,"",0))</f>
        <v/>
      </c>
      <c r="I60" s="25"/>
      <c r="J60" s="26"/>
      <c r="K60" s="27"/>
      <c r="L60" s="28"/>
      <c r="M60" s="29"/>
      <c r="P60" s="25"/>
      <c r="Q60" s="26"/>
      <c r="R60" s="27"/>
      <c r="S60" s="28"/>
      <c r="T60" s="29"/>
      <c r="V60" s="25"/>
      <c r="W60" s="26"/>
      <c r="X60" s="27"/>
      <c r="Y60" s="28"/>
      <c r="Z60" s="29"/>
      <c r="AB60" s="25"/>
      <c r="AC60" s="26"/>
      <c r="AD60" s="27"/>
      <c r="AE60" s="28"/>
      <c r="AF60" s="29"/>
      <c r="AH60" s="25"/>
      <c r="AI60" s="26"/>
      <c r="AJ60" s="27"/>
      <c r="AK60" s="28"/>
      <c r="AL60" s="29"/>
      <c r="AN60" s="25"/>
      <c r="AO60" s="26"/>
      <c r="AP60" s="27"/>
      <c r="AQ60" s="28"/>
      <c r="AR60" s="29"/>
      <c r="AT60" s="25"/>
      <c r="AU60" s="26"/>
      <c r="AV60" s="27"/>
      <c r="AW60" s="28"/>
      <c r="AX60" s="29"/>
      <c r="AZ60" s="25"/>
      <c r="BA60" s="26"/>
      <c r="BB60" s="27"/>
      <c r="BC60" s="28"/>
      <c r="BD60" s="29"/>
      <c r="BF60" s="25"/>
      <c r="BG60" s="26"/>
      <c r="BH60" s="27"/>
      <c r="BI60" s="28"/>
      <c r="BJ60" s="29"/>
      <c r="BL60" s="25"/>
      <c r="BM60" s="26"/>
      <c r="BN60" s="27"/>
      <c r="BO60" s="28"/>
      <c r="BP60" s="29"/>
      <c r="BR60" s="25"/>
      <c r="BS60" s="26"/>
      <c r="BT60" s="27"/>
      <c r="BU60" s="28"/>
      <c r="BV60" s="29"/>
      <c r="BX60" s="25"/>
      <c r="BY60" s="26"/>
      <c r="BZ60" s="27"/>
      <c r="CA60" s="28"/>
      <c r="CB60" s="29"/>
      <c r="CD60" s="25"/>
      <c r="CE60" s="26"/>
      <c r="CF60" s="27"/>
      <c r="CG60" s="28"/>
      <c r="CH60" s="29"/>
      <c r="CJ60" s="25"/>
      <c r="CK60" s="26"/>
      <c r="CL60" s="27"/>
      <c r="CM60" s="28"/>
      <c r="CN60" s="29"/>
      <c r="CP60" s="25"/>
      <c r="CQ60" s="26"/>
      <c r="CR60" s="27"/>
      <c r="CS60" s="28"/>
      <c r="CT60" s="29"/>
      <c r="CV60" s="25"/>
      <c r="CW60" s="26"/>
      <c r="CX60" s="27"/>
      <c r="CY60" s="28"/>
      <c r="CZ60" s="29"/>
      <c r="DA60" s="79">
        <f t="shared" si="0"/>
        <v>0</v>
      </c>
      <c r="DB60" s="80" t="e">
        <f>DA60*#REF!</f>
        <v>#REF!</v>
      </c>
      <c r="DC60" s="81" t="e">
        <f>DA60*#REF!</f>
        <v>#REF!</v>
      </c>
      <c r="DE60" s="25"/>
      <c r="DF60" s="26"/>
      <c r="DG60" s="27"/>
      <c r="DH60" s="28"/>
      <c r="DI60" s="29"/>
      <c r="DJ60" s="79">
        <f t="shared" si="1"/>
        <v>0</v>
      </c>
      <c r="DK60" s="80" t="e">
        <f>DJ60*#REF!</f>
        <v>#REF!</v>
      </c>
      <c r="DL60" s="81" t="e">
        <f>DJ60*#REF!</f>
        <v>#REF!</v>
      </c>
      <c r="DN60" s="25"/>
      <c r="DO60" s="26"/>
      <c r="DP60" s="27"/>
      <c r="DQ60" s="28"/>
      <c r="DR60" s="29"/>
      <c r="DS60" s="79">
        <f t="shared" si="2"/>
        <v>0</v>
      </c>
      <c r="DT60" s="80" t="e">
        <f>DS60*#REF!</f>
        <v>#REF!</v>
      </c>
      <c r="DU60" s="81" t="e">
        <f>DS60*#REF!</f>
        <v>#REF!</v>
      </c>
      <c r="DW60" s="25"/>
      <c r="DX60" s="26"/>
      <c r="DY60" s="27"/>
      <c r="DZ60" s="28"/>
      <c r="EA60" s="29"/>
      <c r="EB60" s="79">
        <f t="shared" si="3"/>
        <v>0</v>
      </c>
      <c r="EC60" s="80" t="e">
        <f>EB60*#REF!</f>
        <v>#REF!</v>
      </c>
      <c r="ED60" s="81" t="e">
        <f>EB60*#REF!</f>
        <v>#REF!</v>
      </c>
      <c r="EF60" s="25"/>
      <c r="EG60" s="26"/>
      <c r="EH60" s="27"/>
      <c r="EI60" s="28"/>
      <c r="EJ60" s="29"/>
      <c r="EK60" s="79">
        <f t="shared" si="4"/>
        <v>0</v>
      </c>
      <c r="EL60" s="80" t="e">
        <f>EK60*#REF!</f>
        <v>#REF!</v>
      </c>
      <c r="EM60" s="81" t="e">
        <f>EK60*#REF!</f>
        <v>#REF!</v>
      </c>
      <c r="EO60" s="25"/>
      <c r="EP60" s="26"/>
      <c r="EQ60" s="27"/>
      <c r="ER60" s="28"/>
      <c r="ES60" s="29"/>
      <c r="ET60" s="79">
        <f t="shared" si="5"/>
        <v>0</v>
      </c>
      <c r="EU60" s="80" t="e">
        <f>ET60*#REF!</f>
        <v>#REF!</v>
      </c>
      <c r="EV60" s="81" t="e">
        <f>ET60*#REF!</f>
        <v>#REF!</v>
      </c>
      <c r="EX60" s="25"/>
      <c r="EY60" s="26"/>
      <c r="EZ60" s="27"/>
      <c r="FA60" s="28"/>
      <c r="FB60" s="29"/>
      <c r="FC60" s="79">
        <f t="shared" si="6"/>
        <v>0</v>
      </c>
      <c r="FD60" s="80" t="e">
        <f>FC60*#REF!</f>
        <v>#REF!</v>
      </c>
      <c r="FE60" s="81" t="e">
        <f>FC60*#REF!</f>
        <v>#REF!</v>
      </c>
      <c r="FG60" s="25"/>
      <c r="FH60" s="26"/>
      <c r="FI60" s="27"/>
      <c r="FJ60" s="28"/>
      <c r="FK60" s="29"/>
      <c r="FL60" s="79">
        <f t="shared" si="7"/>
        <v>0</v>
      </c>
      <c r="FM60" s="80" t="e">
        <f>FL60*#REF!</f>
        <v>#REF!</v>
      </c>
      <c r="FN60" s="81" t="e">
        <f>FL60*#REF!</f>
        <v>#REF!</v>
      </c>
      <c r="FP60" s="25"/>
      <c r="FQ60" s="26"/>
      <c r="FR60" s="27"/>
      <c r="FS60" s="28"/>
      <c r="FT60" s="29"/>
      <c r="FU60" s="79">
        <f t="shared" si="8"/>
        <v>0</v>
      </c>
      <c r="FV60" s="80" t="e">
        <f>FU60*#REF!</f>
        <v>#REF!</v>
      </c>
      <c r="FW60" s="81" t="e">
        <f>FU60*#REF!</f>
        <v>#REF!</v>
      </c>
      <c r="FY60" s="25"/>
      <c r="FZ60" s="26"/>
      <c r="GA60" s="27"/>
      <c r="GB60" s="28"/>
      <c r="GC60" s="29"/>
      <c r="GD60" s="79">
        <f t="shared" si="9"/>
        <v>0</v>
      </c>
      <c r="GE60" s="80" t="e">
        <f>GD60*#REF!</f>
        <v>#REF!</v>
      </c>
      <c r="GF60" s="81" t="e">
        <f>GD60*#REF!</f>
        <v>#REF!</v>
      </c>
      <c r="GH60" s="25"/>
      <c r="GI60" s="26"/>
      <c r="GJ60" s="27"/>
      <c r="GK60" s="28"/>
      <c r="GL60" s="29"/>
      <c r="GM60" s="79">
        <f t="shared" si="10"/>
        <v>0</v>
      </c>
      <c r="GN60" s="80" t="e">
        <f>GM60*#REF!</f>
        <v>#REF!</v>
      </c>
      <c r="GO60" s="81" t="e">
        <f>GM60*#REF!</f>
        <v>#REF!</v>
      </c>
      <c r="GQ60" s="82">
        <f t="shared" si="12"/>
        <v>0</v>
      </c>
      <c r="GR60" s="83">
        <v>0</v>
      </c>
    </row>
    <row r="61" spans="2:200" ht="15">
      <c r="B61" s="22" t="s">
        <v>80</v>
      </c>
      <c r="C61" s="23" t="s">
        <v>78</v>
      </c>
      <c r="D61" s="24" t="str">
        <f>IF(C61="","",_xlfn.XLOOKUP(C61,'[1]Control Sheet'!$L$5:$L$104,'[1]Control Sheet'!$M$5:$M$104,"",0))</f>
        <v>Senior Host</v>
      </c>
      <c r="E61" s="24" t="str">
        <f>IF(B61="","",_xlfn.XLOOKUP(B61,'[1]Control Sheet'!$D$5:$D$64,'[1]Control Sheet'!$F$5:$F$64,"",0))</f>
        <v>Admissions</v>
      </c>
      <c r="F61" s="24" t="str">
        <f>IF(B61="","",_xlfn.XLOOKUP(B61,'[1]Control Sheet'!$D$5:$D$64,'[1]Control Sheet'!$E$5:$E$64,"",0))</f>
        <v>C1150-N</v>
      </c>
      <c r="I61" s="25"/>
      <c r="J61" s="26"/>
      <c r="K61" s="27"/>
      <c r="L61" s="28"/>
      <c r="M61" s="29"/>
      <c r="P61" s="25"/>
      <c r="Q61" s="26"/>
      <c r="R61" s="27"/>
      <c r="S61" s="28"/>
      <c r="T61" s="29"/>
      <c r="V61" s="25"/>
      <c r="W61" s="26"/>
      <c r="X61" s="27"/>
      <c r="Y61" s="28"/>
      <c r="Z61" s="29"/>
      <c r="AB61" s="25"/>
      <c r="AC61" s="26"/>
      <c r="AD61" s="27"/>
      <c r="AE61" s="28"/>
      <c r="AF61" s="29"/>
      <c r="AH61" s="25">
        <v>0.35416666666666669</v>
      </c>
      <c r="AI61" s="26">
        <v>0.73958333333333337</v>
      </c>
      <c r="AJ61" s="27">
        <v>45</v>
      </c>
      <c r="AK61" s="28">
        <v>1</v>
      </c>
      <c r="AL61" s="29">
        <v>1</v>
      </c>
      <c r="AN61" s="25">
        <v>0.35416666666666669</v>
      </c>
      <c r="AO61" s="26">
        <v>0.79166666666666663</v>
      </c>
      <c r="AP61" s="33">
        <v>60</v>
      </c>
      <c r="AQ61" s="28">
        <v>1</v>
      </c>
      <c r="AR61" s="29">
        <v>1</v>
      </c>
      <c r="AT61" s="25">
        <v>0.35416666666666669</v>
      </c>
      <c r="AU61" s="26">
        <v>0.73958333333333337</v>
      </c>
      <c r="AV61" s="27">
        <v>45</v>
      </c>
      <c r="AW61" s="28">
        <v>1</v>
      </c>
      <c r="AX61" s="29">
        <v>1</v>
      </c>
      <c r="AZ61" s="25">
        <v>0.35416666666666669</v>
      </c>
      <c r="BA61" s="26">
        <v>0.79166666666666663</v>
      </c>
      <c r="BB61" s="33">
        <v>60</v>
      </c>
      <c r="BC61" s="28">
        <v>1</v>
      </c>
      <c r="BD61" s="29">
        <v>1</v>
      </c>
      <c r="BF61" s="25">
        <v>0.35416666666666669</v>
      </c>
      <c r="BG61" s="26">
        <v>0.83333333333333337</v>
      </c>
      <c r="BH61" s="27">
        <v>60</v>
      </c>
      <c r="BI61" s="28">
        <v>1</v>
      </c>
      <c r="BJ61" s="29">
        <v>1</v>
      </c>
      <c r="BL61" s="25"/>
      <c r="BM61" s="26"/>
      <c r="BN61" s="27"/>
      <c r="BO61" s="28"/>
      <c r="BP61" s="29"/>
      <c r="BR61" s="25"/>
      <c r="BS61" s="26"/>
      <c r="BT61" s="27"/>
      <c r="BU61" s="28"/>
      <c r="BV61" s="29"/>
      <c r="BX61" s="25"/>
      <c r="BY61" s="26"/>
      <c r="BZ61" s="27"/>
      <c r="CA61" s="28"/>
      <c r="CB61" s="29"/>
      <c r="CD61" s="25"/>
      <c r="CE61" s="26"/>
      <c r="CF61" s="27"/>
      <c r="CG61" s="28"/>
      <c r="CH61" s="29"/>
      <c r="CJ61" s="25"/>
      <c r="CK61" s="26"/>
      <c r="CL61" s="27"/>
      <c r="CM61" s="28"/>
      <c r="CN61" s="29"/>
      <c r="CP61" s="25"/>
      <c r="CQ61" s="26"/>
      <c r="CR61" s="27"/>
      <c r="CS61" s="28"/>
      <c r="CT61" s="29"/>
      <c r="CV61" s="25"/>
      <c r="CW61" s="26"/>
      <c r="CX61" s="27"/>
      <c r="CY61" s="28"/>
      <c r="CZ61" s="29"/>
      <c r="DA61" s="79">
        <f t="shared" si="0"/>
        <v>0</v>
      </c>
      <c r="DB61" s="80" t="e">
        <f>DA61*#REF!</f>
        <v>#REF!</v>
      </c>
      <c r="DC61" s="81" t="e">
        <f>DA61*#REF!</f>
        <v>#REF!</v>
      </c>
      <c r="DE61" s="25"/>
      <c r="DF61" s="26"/>
      <c r="DG61" s="27"/>
      <c r="DH61" s="28"/>
      <c r="DI61" s="29"/>
      <c r="DJ61" s="79">
        <f t="shared" si="1"/>
        <v>0</v>
      </c>
      <c r="DK61" s="80" t="e">
        <f>DJ61*#REF!</f>
        <v>#REF!</v>
      </c>
      <c r="DL61" s="81" t="e">
        <f>DJ61*#REF!</f>
        <v>#REF!</v>
      </c>
      <c r="DN61" s="25"/>
      <c r="DO61" s="26"/>
      <c r="DP61" s="27"/>
      <c r="DQ61" s="28"/>
      <c r="DR61" s="29"/>
      <c r="DS61" s="79">
        <f t="shared" si="2"/>
        <v>0</v>
      </c>
      <c r="DT61" s="80" t="e">
        <f>DS61*#REF!</f>
        <v>#REF!</v>
      </c>
      <c r="DU61" s="81" t="e">
        <f>DS61*#REF!</f>
        <v>#REF!</v>
      </c>
      <c r="DW61" s="25"/>
      <c r="DX61" s="26"/>
      <c r="DY61" s="27"/>
      <c r="DZ61" s="28"/>
      <c r="EA61" s="29"/>
      <c r="EB61" s="79">
        <f t="shared" si="3"/>
        <v>0</v>
      </c>
      <c r="EC61" s="80" t="e">
        <f>EB61*#REF!</f>
        <v>#REF!</v>
      </c>
      <c r="ED61" s="81" t="e">
        <f>EB61*#REF!</f>
        <v>#REF!</v>
      </c>
      <c r="EF61" s="25"/>
      <c r="EG61" s="26"/>
      <c r="EH61" s="27"/>
      <c r="EI61" s="28"/>
      <c r="EJ61" s="29"/>
      <c r="EK61" s="79">
        <f t="shared" si="4"/>
        <v>0</v>
      </c>
      <c r="EL61" s="80" t="e">
        <f>EK61*#REF!</f>
        <v>#REF!</v>
      </c>
      <c r="EM61" s="81" t="e">
        <f>EK61*#REF!</f>
        <v>#REF!</v>
      </c>
      <c r="EO61" s="25"/>
      <c r="EP61" s="26"/>
      <c r="EQ61" s="27"/>
      <c r="ER61" s="28"/>
      <c r="ES61" s="29"/>
      <c r="ET61" s="79">
        <f t="shared" si="5"/>
        <v>0</v>
      </c>
      <c r="EU61" s="80" t="e">
        <f>ET61*#REF!</f>
        <v>#REF!</v>
      </c>
      <c r="EV61" s="81" t="e">
        <f>ET61*#REF!</f>
        <v>#REF!</v>
      </c>
      <c r="EX61" s="25"/>
      <c r="EY61" s="26"/>
      <c r="EZ61" s="27"/>
      <c r="FA61" s="28"/>
      <c r="FB61" s="29"/>
      <c r="FC61" s="79">
        <f t="shared" si="6"/>
        <v>0</v>
      </c>
      <c r="FD61" s="80" t="e">
        <f>FC61*#REF!</f>
        <v>#REF!</v>
      </c>
      <c r="FE61" s="81" t="e">
        <f>FC61*#REF!</f>
        <v>#REF!</v>
      </c>
      <c r="FG61" s="25"/>
      <c r="FH61" s="26"/>
      <c r="FI61" s="27"/>
      <c r="FJ61" s="28"/>
      <c r="FK61" s="29"/>
      <c r="FL61" s="79">
        <f t="shared" si="7"/>
        <v>0</v>
      </c>
      <c r="FM61" s="80" t="e">
        <f>FL61*#REF!</f>
        <v>#REF!</v>
      </c>
      <c r="FN61" s="81" t="e">
        <f>FL61*#REF!</f>
        <v>#REF!</v>
      </c>
      <c r="FP61" s="25"/>
      <c r="FQ61" s="26"/>
      <c r="FR61" s="27"/>
      <c r="FS61" s="28"/>
      <c r="FT61" s="29"/>
      <c r="FU61" s="79">
        <f t="shared" si="8"/>
        <v>0</v>
      </c>
      <c r="FV61" s="80" t="e">
        <f>FU61*#REF!</f>
        <v>#REF!</v>
      </c>
      <c r="FW61" s="81" t="e">
        <f>FU61*#REF!</f>
        <v>#REF!</v>
      </c>
      <c r="FY61" s="25"/>
      <c r="FZ61" s="26"/>
      <c r="GA61" s="27"/>
      <c r="GB61" s="28"/>
      <c r="GC61" s="29"/>
      <c r="GD61" s="79">
        <f t="shared" si="9"/>
        <v>0</v>
      </c>
      <c r="GE61" s="80" t="e">
        <f>GD61*#REF!</f>
        <v>#REF!</v>
      </c>
      <c r="GF61" s="81" t="e">
        <f>GD61*#REF!</f>
        <v>#REF!</v>
      </c>
      <c r="GH61" s="25"/>
      <c r="GI61" s="26"/>
      <c r="GJ61" s="27"/>
      <c r="GK61" s="28"/>
      <c r="GL61" s="29"/>
      <c r="GM61" s="79">
        <f t="shared" si="10"/>
        <v>0</v>
      </c>
      <c r="GN61" s="80" t="e">
        <f>GM61*#REF!</f>
        <v>#REF!</v>
      </c>
      <c r="GO61" s="81" t="e">
        <f>GM61*#REF!</f>
        <v>#REF!</v>
      </c>
      <c r="GQ61" s="82">
        <f t="shared" si="12"/>
        <v>1</v>
      </c>
      <c r="GR61" s="83">
        <v>1</v>
      </c>
    </row>
    <row r="62" spans="2:200" ht="15">
      <c r="B62" s="22" t="s">
        <v>80</v>
      </c>
      <c r="C62" s="23" t="s">
        <v>79</v>
      </c>
      <c r="D62" s="24" t="str">
        <f>IF(C62="","",_xlfn.XLOOKUP(C62,'[1]Control Sheet'!$L$5:$L$104,'[1]Control Sheet'!$M$5:$M$104,"",0))</f>
        <v xml:space="preserve">Host </v>
      </c>
      <c r="E62" s="24" t="str">
        <f>IF(B62="","",_xlfn.XLOOKUP(B62,'[1]Control Sheet'!$D$5:$D$64,'[1]Control Sheet'!$F$5:$F$64,"",0))</f>
        <v>Admissions</v>
      </c>
      <c r="F62" s="24" t="str">
        <f>IF(B62="","",_xlfn.XLOOKUP(B62,'[1]Control Sheet'!$D$5:$D$64,'[1]Control Sheet'!$E$5:$E$64,"",0))</f>
        <v>C1150-N</v>
      </c>
      <c r="I62" s="25"/>
      <c r="J62" s="26"/>
      <c r="K62" s="27"/>
      <c r="L62" s="28"/>
      <c r="M62" s="29"/>
      <c r="P62" s="25"/>
      <c r="Q62" s="26"/>
      <c r="R62" s="27"/>
      <c r="S62" s="28"/>
      <c r="T62" s="29"/>
      <c r="V62" s="25"/>
      <c r="W62" s="26"/>
      <c r="X62" s="27"/>
      <c r="Y62" s="28"/>
      <c r="Z62" s="29"/>
      <c r="AB62" s="25"/>
      <c r="AC62" s="26"/>
      <c r="AD62" s="27"/>
      <c r="AE62" s="28"/>
      <c r="AF62" s="29"/>
      <c r="AH62" s="25">
        <v>0.35416666666666669</v>
      </c>
      <c r="AI62" s="26">
        <v>0.73958333333333337</v>
      </c>
      <c r="AJ62" s="27">
        <v>45</v>
      </c>
      <c r="AK62" s="28">
        <v>2</v>
      </c>
      <c r="AL62" s="29">
        <v>1</v>
      </c>
      <c r="AN62" s="25">
        <v>0.35416666666666669</v>
      </c>
      <c r="AO62" s="26">
        <v>0.79166666666666663</v>
      </c>
      <c r="AP62" s="33">
        <v>60</v>
      </c>
      <c r="AQ62" s="28">
        <v>2</v>
      </c>
      <c r="AR62" s="29">
        <v>1</v>
      </c>
      <c r="AT62" s="25">
        <v>0.35416666666666669</v>
      </c>
      <c r="AU62" s="26">
        <v>0.73958333333333337</v>
      </c>
      <c r="AV62" s="27">
        <v>45</v>
      </c>
      <c r="AW62" s="28">
        <v>2</v>
      </c>
      <c r="AX62" s="29">
        <v>1</v>
      </c>
      <c r="AZ62" s="25">
        <v>0.35416666666666669</v>
      </c>
      <c r="BA62" s="26">
        <v>0.79166666666666663</v>
      </c>
      <c r="BB62" s="33">
        <v>60</v>
      </c>
      <c r="BC62" s="28">
        <v>2</v>
      </c>
      <c r="BD62" s="29">
        <v>1</v>
      </c>
      <c r="BF62" s="25">
        <v>0.36458333333333331</v>
      </c>
      <c r="BG62" s="26">
        <v>0.83333333333333337</v>
      </c>
      <c r="BH62" s="27">
        <v>60</v>
      </c>
      <c r="BI62" s="28">
        <v>2</v>
      </c>
      <c r="BJ62" s="29">
        <v>1</v>
      </c>
      <c r="BL62" s="25"/>
      <c r="BM62" s="26"/>
      <c r="BN62" s="27"/>
      <c r="BO62" s="28"/>
      <c r="BP62" s="29"/>
      <c r="BR62" s="25"/>
      <c r="BS62" s="26"/>
      <c r="BT62" s="27"/>
      <c r="BU62" s="28"/>
      <c r="BV62" s="29"/>
      <c r="BX62" s="25"/>
      <c r="BY62" s="26"/>
      <c r="BZ62" s="27"/>
      <c r="CA62" s="28"/>
      <c r="CB62" s="29"/>
      <c r="CD62" s="25"/>
      <c r="CE62" s="26"/>
      <c r="CF62" s="27"/>
      <c r="CG62" s="28"/>
      <c r="CH62" s="29"/>
      <c r="CJ62" s="25"/>
      <c r="CK62" s="26"/>
      <c r="CL62" s="27"/>
      <c r="CM62" s="28"/>
      <c r="CN62" s="29"/>
      <c r="CP62" s="25"/>
      <c r="CQ62" s="26"/>
      <c r="CR62" s="27"/>
      <c r="CS62" s="28"/>
      <c r="CT62" s="29"/>
      <c r="CV62" s="25"/>
      <c r="CW62" s="26"/>
      <c r="CX62" s="27"/>
      <c r="CY62" s="28"/>
      <c r="CZ62" s="29"/>
      <c r="DA62" s="79">
        <f t="shared" si="0"/>
        <v>0</v>
      </c>
      <c r="DB62" s="80" t="e">
        <f>DA62*#REF!</f>
        <v>#REF!</v>
      </c>
      <c r="DC62" s="81" t="e">
        <f>DA62*#REF!</f>
        <v>#REF!</v>
      </c>
      <c r="DE62" s="25"/>
      <c r="DF62" s="26"/>
      <c r="DG62" s="27"/>
      <c r="DH62" s="28"/>
      <c r="DI62" s="29"/>
      <c r="DJ62" s="79">
        <f t="shared" si="1"/>
        <v>0</v>
      </c>
      <c r="DK62" s="80" t="e">
        <f>DJ62*#REF!</f>
        <v>#REF!</v>
      </c>
      <c r="DL62" s="81" t="e">
        <f>DJ62*#REF!</f>
        <v>#REF!</v>
      </c>
      <c r="DN62" s="25"/>
      <c r="DO62" s="26"/>
      <c r="DP62" s="27"/>
      <c r="DQ62" s="28"/>
      <c r="DR62" s="29"/>
      <c r="DS62" s="79">
        <f t="shared" si="2"/>
        <v>0</v>
      </c>
      <c r="DT62" s="80" t="e">
        <f>DS62*#REF!</f>
        <v>#REF!</v>
      </c>
      <c r="DU62" s="81" t="e">
        <f>DS62*#REF!</f>
        <v>#REF!</v>
      </c>
      <c r="DW62" s="25"/>
      <c r="DX62" s="26"/>
      <c r="DY62" s="27"/>
      <c r="DZ62" s="28"/>
      <c r="EA62" s="29"/>
      <c r="EB62" s="79">
        <f t="shared" si="3"/>
        <v>0</v>
      </c>
      <c r="EC62" s="80" t="e">
        <f>EB62*#REF!</f>
        <v>#REF!</v>
      </c>
      <c r="ED62" s="81" t="e">
        <f>EB62*#REF!</f>
        <v>#REF!</v>
      </c>
      <c r="EF62" s="25"/>
      <c r="EG62" s="26"/>
      <c r="EH62" s="27"/>
      <c r="EI62" s="28"/>
      <c r="EJ62" s="29"/>
      <c r="EK62" s="79">
        <f t="shared" si="4"/>
        <v>0</v>
      </c>
      <c r="EL62" s="80" t="e">
        <f>EK62*#REF!</f>
        <v>#REF!</v>
      </c>
      <c r="EM62" s="81" t="e">
        <f>EK62*#REF!</f>
        <v>#REF!</v>
      </c>
      <c r="EO62" s="25"/>
      <c r="EP62" s="26"/>
      <c r="EQ62" s="27"/>
      <c r="ER62" s="28"/>
      <c r="ES62" s="29"/>
      <c r="ET62" s="79">
        <f t="shared" si="5"/>
        <v>0</v>
      </c>
      <c r="EU62" s="80" t="e">
        <f>ET62*#REF!</f>
        <v>#REF!</v>
      </c>
      <c r="EV62" s="81" t="e">
        <f>ET62*#REF!</f>
        <v>#REF!</v>
      </c>
      <c r="EX62" s="25"/>
      <c r="EY62" s="26"/>
      <c r="EZ62" s="27"/>
      <c r="FA62" s="28"/>
      <c r="FB62" s="29"/>
      <c r="FC62" s="79">
        <f t="shared" si="6"/>
        <v>0</v>
      </c>
      <c r="FD62" s="80" t="e">
        <f>FC62*#REF!</f>
        <v>#REF!</v>
      </c>
      <c r="FE62" s="81" t="e">
        <f>FC62*#REF!</f>
        <v>#REF!</v>
      </c>
      <c r="FG62" s="25"/>
      <c r="FH62" s="26"/>
      <c r="FI62" s="27"/>
      <c r="FJ62" s="28"/>
      <c r="FK62" s="29"/>
      <c r="FL62" s="79">
        <f t="shared" si="7"/>
        <v>0</v>
      </c>
      <c r="FM62" s="80" t="e">
        <f>FL62*#REF!</f>
        <v>#REF!</v>
      </c>
      <c r="FN62" s="81" t="e">
        <f>FL62*#REF!</f>
        <v>#REF!</v>
      </c>
      <c r="FP62" s="25"/>
      <c r="FQ62" s="26"/>
      <c r="FR62" s="27"/>
      <c r="FS62" s="28"/>
      <c r="FT62" s="29"/>
      <c r="FU62" s="79">
        <f t="shared" si="8"/>
        <v>0</v>
      </c>
      <c r="FV62" s="80" t="e">
        <f>FU62*#REF!</f>
        <v>#REF!</v>
      </c>
      <c r="FW62" s="81" t="e">
        <f>FU62*#REF!</f>
        <v>#REF!</v>
      </c>
      <c r="FY62" s="25"/>
      <c r="FZ62" s="26"/>
      <c r="GA62" s="27"/>
      <c r="GB62" s="28"/>
      <c r="GC62" s="29"/>
      <c r="GD62" s="79">
        <f t="shared" si="9"/>
        <v>0</v>
      </c>
      <c r="GE62" s="80" t="e">
        <f>GD62*#REF!</f>
        <v>#REF!</v>
      </c>
      <c r="GF62" s="81" t="e">
        <f>GD62*#REF!</f>
        <v>#REF!</v>
      </c>
      <c r="GH62" s="25"/>
      <c r="GI62" s="26"/>
      <c r="GJ62" s="27"/>
      <c r="GK62" s="28"/>
      <c r="GL62" s="29"/>
      <c r="GM62" s="79">
        <f t="shared" si="10"/>
        <v>0</v>
      </c>
      <c r="GN62" s="80" t="e">
        <f>GM62*#REF!</f>
        <v>#REF!</v>
      </c>
      <c r="GO62" s="81" t="e">
        <f>GM62*#REF!</f>
        <v>#REF!</v>
      </c>
      <c r="GQ62" s="82">
        <f t="shared" si="12"/>
        <v>2</v>
      </c>
      <c r="GR62" s="83">
        <v>2</v>
      </c>
    </row>
    <row r="63" spans="2:200" ht="15">
      <c r="B63" s="22" t="s">
        <v>80</v>
      </c>
      <c r="C63" s="23" t="s">
        <v>79</v>
      </c>
      <c r="D63" s="24" t="str">
        <f>IF(C63="","",_xlfn.XLOOKUP(C63,'[1]Control Sheet'!$L$5:$L$104,'[1]Control Sheet'!$M$5:$M$104,"",0))</f>
        <v xml:space="preserve">Host </v>
      </c>
      <c r="E63" s="24" t="str">
        <f>IF(B63="","",_xlfn.XLOOKUP(B63,'[1]Control Sheet'!$D$5:$D$64,'[1]Control Sheet'!$F$5:$F$64,"",0))</f>
        <v>Admissions</v>
      </c>
      <c r="F63" s="24" t="str">
        <f>IF(B63="","",_xlfn.XLOOKUP(B63,'[1]Control Sheet'!$D$5:$D$64,'[1]Control Sheet'!$E$5:$E$64,"",0))</f>
        <v>C1150-N</v>
      </c>
      <c r="I63" s="25"/>
      <c r="J63" s="26"/>
      <c r="K63" s="27"/>
      <c r="L63" s="28"/>
      <c r="M63" s="29"/>
      <c r="P63" s="25"/>
      <c r="Q63" s="26"/>
      <c r="R63" s="27"/>
      <c r="S63" s="28"/>
      <c r="T63" s="29"/>
      <c r="V63" s="25"/>
      <c r="W63" s="26"/>
      <c r="X63" s="27"/>
      <c r="Y63" s="28"/>
      <c r="Z63" s="29"/>
      <c r="AB63" s="25"/>
      <c r="AC63" s="26"/>
      <c r="AD63" s="27"/>
      <c r="AE63" s="28"/>
      <c r="AF63" s="29"/>
      <c r="AH63" s="25">
        <v>0.38541666666666669</v>
      </c>
      <c r="AI63" s="26">
        <v>0.54166666666666663</v>
      </c>
      <c r="AJ63" s="27">
        <v>45</v>
      </c>
      <c r="AK63" s="28">
        <v>2</v>
      </c>
      <c r="AL63" s="29">
        <v>0.5</v>
      </c>
      <c r="AN63" s="25">
        <v>0.38541666666666669</v>
      </c>
      <c r="AO63" s="26">
        <v>0.54166666666666663</v>
      </c>
      <c r="AP63" s="33">
        <v>60</v>
      </c>
      <c r="AQ63" s="28">
        <v>2</v>
      </c>
      <c r="AR63" s="29">
        <v>0.5</v>
      </c>
      <c r="AT63" s="25">
        <v>0.39583333333333331</v>
      </c>
      <c r="AU63" s="26">
        <v>0.54166666666666663</v>
      </c>
      <c r="AV63" s="27">
        <v>45</v>
      </c>
      <c r="AW63" s="28">
        <v>5</v>
      </c>
      <c r="AX63" s="29">
        <v>0.5</v>
      </c>
      <c r="AZ63" s="25">
        <v>0.38541666666666669</v>
      </c>
      <c r="BA63" s="26">
        <v>0.54166666666666663</v>
      </c>
      <c r="BB63" s="33">
        <v>60</v>
      </c>
      <c r="BC63" s="28">
        <v>5</v>
      </c>
      <c r="BD63" s="29">
        <v>0.5</v>
      </c>
      <c r="BF63" s="25">
        <v>0.39583333333333331</v>
      </c>
      <c r="BG63" s="26">
        <v>0.83333333333333337</v>
      </c>
      <c r="BH63" s="27">
        <v>60</v>
      </c>
      <c r="BI63" s="28">
        <v>5</v>
      </c>
      <c r="BJ63" s="29">
        <v>0.5</v>
      </c>
      <c r="BL63" s="25"/>
      <c r="BM63" s="26"/>
      <c r="BN63" s="27"/>
      <c r="BO63" s="28"/>
      <c r="BP63" s="29"/>
      <c r="BR63" s="25"/>
      <c r="BS63" s="26"/>
      <c r="BT63" s="27"/>
      <c r="BU63" s="28"/>
      <c r="BV63" s="29"/>
      <c r="BX63" s="25"/>
      <c r="BY63" s="26"/>
      <c r="BZ63" s="27"/>
      <c r="CA63" s="28"/>
      <c r="CB63" s="29"/>
      <c r="CD63" s="25"/>
      <c r="CE63" s="26"/>
      <c r="CF63" s="27"/>
      <c r="CG63" s="28"/>
      <c r="CH63" s="29"/>
      <c r="CJ63" s="25"/>
      <c r="CK63" s="26"/>
      <c r="CL63" s="27"/>
      <c r="CM63" s="28"/>
      <c r="CN63" s="29"/>
      <c r="CP63" s="25"/>
      <c r="CQ63" s="26"/>
      <c r="CR63" s="27"/>
      <c r="CS63" s="28"/>
      <c r="CT63" s="29"/>
      <c r="CV63" s="25"/>
      <c r="CW63" s="26"/>
      <c r="CX63" s="27"/>
      <c r="CY63" s="28"/>
      <c r="CZ63" s="29"/>
      <c r="DA63" s="79">
        <f t="shared" si="0"/>
        <v>0</v>
      </c>
      <c r="DB63" s="80" t="e">
        <f>DA63*#REF!</f>
        <v>#REF!</v>
      </c>
      <c r="DC63" s="81" t="e">
        <f>DA63*#REF!</f>
        <v>#REF!</v>
      </c>
      <c r="DE63" s="25"/>
      <c r="DF63" s="26"/>
      <c r="DG63" s="27"/>
      <c r="DH63" s="28"/>
      <c r="DI63" s="29"/>
      <c r="DJ63" s="79">
        <f t="shared" si="1"/>
        <v>0</v>
      </c>
      <c r="DK63" s="80" t="e">
        <f>DJ63*#REF!</f>
        <v>#REF!</v>
      </c>
      <c r="DL63" s="81" t="e">
        <f>DJ63*#REF!</f>
        <v>#REF!</v>
      </c>
      <c r="DN63" s="25"/>
      <c r="DO63" s="26"/>
      <c r="DP63" s="27"/>
      <c r="DQ63" s="28"/>
      <c r="DR63" s="29"/>
      <c r="DS63" s="79">
        <f t="shared" si="2"/>
        <v>0</v>
      </c>
      <c r="DT63" s="80" t="e">
        <f>DS63*#REF!</f>
        <v>#REF!</v>
      </c>
      <c r="DU63" s="81" t="e">
        <f>DS63*#REF!</f>
        <v>#REF!</v>
      </c>
      <c r="DW63" s="25"/>
      <c r="DX63" s="26"/>
      <c r="DY63" s="27"/>
      <c r="DZ63" s="28"/>
      <c r="EA63" s="29"/>
      <c r="EB63" s="79">
        <f t="shared" si="3"/>
        <v>0</v>
      </c>
      <c r="EC63" s="80" t="e">
        <f>EB63*#REF!</f>
        <v>#REF!</v>
      </c>
      <c r="ED63" s="81" t="e">
        <f>EB63*#REF!</f>
        <v>#REF!</v>
      </c>
      <c r="EF63" s="25"/>
      <c r="EG63" s="26"/>
      <c r="EH63" s="27"/>
      <c r="EI63" s="28"/>
      <c r="EJ63" s="29"/>
      <c r="EK63" s="79">
        <f t="shared" si="4"/>
        <v>0</v>
      </c>
      <c r="EL63" s="80" t="e">
        <f>EK63*#REF!</f>
        <v>#REF!</v>
      </c>
      <c r="EM63" s="81" t="e">
        <f>EK63*#REF!</f>
        <v>#REF!</v>
      </c>
      <c r="EO63" s="25"/>
      <c r="EP63" s="26"/>
      <c r="EQ63" s="27"/>
      <c r="ER63" s="28"/>
      <c r="ES63" s="29"/>
      <c r="ET63" s="79">
        <f t="shared" si="5"/>
        <v>0</v>
      </c>
      <c r="EU63" s="80" t="e">
        <f>ET63*#REF!</f>
        <v>#REF!</v>
      </c>
      <c r="EV63" s="81" t="e">
        <f>ET63*#REF!</f>
        <v>#REF!</v>
      </c>
      <c r="EX63" s="25"/>
      <c r="EY63" s="26"/>
      <c r="EZ63" s="27"/>
      <c r="FA63" s="28"/>
      <c r="FB63" s="29"/>
      <c r="FC63" s="79">
        <f t="shared" si="6"/>
        <v>0</v>
      </c>
      <c r="FD63" s="80" t="e">
        <f>FC63*#REF!</f>
        <v>#REF!</v>
      </c>
      <c r="FE63" s="81" t="e">
        <f>FC63*#REF!</f>
        <v>#REF!</v>
      </c>
      <c r="FG63" s="25"/>
      <c r="FH63" s="26"/>
      <c r="FI63" s="27"/>
      <c r="FJ63" s="28"/>
      <c r="FK63" s="29"/>
      <c r="FL63" s="79">
        <f t="shared" si="7"/>
        <v>0</v>
      </c>
      <c r="FM63" s="80" t="e">
        <f>FL63*#REF!</f>
        <v>#REF!</v>
      </c>
      <c r="FN63" s="81" t="e">
        <f>FL63*#REF!</f>
        <v>#REF!</v>
      </c>
      <c r="FP63" s="25"/>
      <c r="FQ63" s="26"/>
      <c r="FR63" s="27"/>
      <c r="FS63" s="28"/>
      <c r="FT63" s="29"/>
      <c r="FU63" s="79">
        <f t="shared" si="8"/>
        <v>0</v>
      </c>
      <c r="FV63" s="80" t="e">
        <f>FU63*#REF!</f>
        <v>#REF!</v>
      </c>
      <c r="FW63" s="81" t="e">
        <f>FU63*#REF!</f>
        <v>#REF!</v>
      </c>
      <c r="FY63" s="25"/>
      <c r="FZ63" s="26"/>
      <c r="GA63" s="27"/>
      <c r="GB63" s="28"/>
      <c r="GC63" s="29"/>
      <c r="GD63" s="79">
        <f t="shared" si="9"/>
        <v>0</v>
      </c>
      <c r="GE63" s="80" t="e">
        <f>GD63*#REF!</f>
        <v>#REF!</v>
      </c>
      <c r="GF63" s="81" t="e">
        <f>GD63*#REF!</f>
        <v>#REF!</v>
      </c>
      <c r="GH63" s="25"/>
      <c r="GI63" s="26"/>
      <c r="GJ63" s="27"/>
      <c r="GK63" s="28"/>
      <c r="GL63" s="29"/>
      <c r="GM63" s="79">
        <f t="shared" si="10"/>
        <v>0</v>
      </c>
      <c r="GN63" s="80" t="e">
        <f>GM63*#REF!</f>
        <v>#REF!</v>
      </c>
      <c r="GO63" s="81" t="e">
        <f>GM63*#REF!</f>
        <v>#REF!</v>
      </c>
      <c r="GQ63" s="82">
        <f t="shared" si="12"/>
        <v>5</v>
      </c>
      <c r="GR63" s="83">
        <v>5</v>
      </c>
    </row>
    <row r="64" spans="2:200" ht="15">
      <c r="B64" s="22"/>
      <c r="C64" s="23"/>
      <c r="D64" s="24" t="str">
        <f>IF(C64="","",_xlfn.XLOOKUP(C64,'[1]Control Sheet'!$L$5:$L$104,'[1]Control Sheet'!$M$5:$M$104,"",0))</f>
        <v/>
      </c>
      <c r="E64" s="24" t="str">
        <f>IF(B64="","",_xlfn.XLOOKUP(B64,'[1]Control Sheet'!$D$5:$D$64,'[1]Control Sheet'!$F$5:$F$64,"",0))</f>
        <v/>
      </c>
      <c r="F64" s="24" t="str">
        <f>IF(B64="","",_xlfn.XLOOKUP(B64,'[1]Control Sheet'!$D$5:$D$64,'[1]Control Sheet'!$E$5:$E$64,"",0))</f>
        <v/>
      </c>
      <c r="I64" s="25"/>
      <c r="J64" s="26"/>
      <c r="K64" s="27"/>
      <c r="L64" s="28"/>
      <c r="M64" s="29"/>
      <c r="P64" s="25"/>
      <c r="Q64" s="26"/>
      <c r="R64" s="27"/>
      <c r="S64" s="28"/>
      <c r="T64" s="29"/>
      <c r="V64" s="25"/>
      <c r="W64" s="26"/>
      <c r="X64" s="27"/>
      <c r="Y64" s="28"/>
      <c r="Z64" s="29"/>
      <c r="AB64" s="25"/>
      <c r="AC64" s="26"/>
      <c r="AD64" s="27"/>
      <c r="AE64" s="28"/>
      <c r="AF64" s="29"/>
      <c r="AH64" s="25"/>
      <c r="AI64" s="26"/>
      <c r="AJ64" s="27"/>
      <c r="AK64" s="28"/>
      <c r="AL64" s="29"/>
      <c r="AN64" s="25"/>
      <c r="AO64" s="26"/>
      <c r="AP64" s="27"/>
      <c r="AQ64" s="28"/>
      <c r="AR64" s="29"/>
      <c r="AT64" s="25"/>
      <c r="AU64" s="26"/>
      <c r="AV64" s="27"/>
      <c r="AW64" s="28"/>
      <c r="AX64" s="29"/>
      <c r="AZ64" s="25"/>
      <c r="BA64" s="26"/>
      <c r="BB64" s="27"/>
      <c r="BC64" s="28"/>
      <c r="BD64" s="29"/>
      <c r="BF64" s="25"/>
      <c r="BG64" s="26"/>
      <c r="BH64" s="27"/>
      <c r="BI64" s="28"/>
      <c r="BJ64" s="29"/>
      <c r="BL64" s="25"/>
      <c r="BM64" s="26"/>
      <c r="BN64" s="27"/>
      <c r="BO64" s="28"/>
      <c r="BP64" s="29"/>
      <c r="BR64" s="25"/>
      <c r="BS64" s="26"/>
      <c r="BT64" s="27"/>
      <c r="BU64" s="28"/>
      <c r="BV64" s="29"/>
      <c r="BX64" s="25"/>
      <c r="BY64" s="26"/>
      <c r="BZ64" s="27"/>
      <c r="CA64" s="28"/>
      <c r="CB64" s="29"/>
      <c r="CD64" s="25"/>
      <c r="CE64" s="26"/>
      <c r="CF64" s="27"/>
      <c r="CG64" s="28"/>
      <c r="CH64" s="29"/>
      <c r="CJ64" s="25"/>
      <c r="CK64" s="26"/>
      <c r="CL64" s="27"/>
      <c r="CM64" s="28"/>
      <c r="CN64" s="29"/>
      <c r="CP64" s="25"/>
      <c r="CQ64" s="26"/>
      <c r="CR64" s="27"/>
      <c r="CS64" s="28"/>
      <c r="CT64" s="29"/>
      <c r="CV64" s="25"/>
      <c r="CW64" s="26"/>
      <c r="CX64" s="27"/>
      <c r="CY64" s="28"/>
      <c r="CZ64" s="29"/>
      <c r="DA64" s="79">
        <f t="shared" si="0"/>
        <v>0</v>
      </c>
      <c r="DB64" s="80" t="e">
        <f>DA64*#REF!</f>
        <v>#REF!</v>
      </c>
      <c r="DC64" s="81" t="e">
        <f>DA64*#REF!</f>
        <v>#REF!</v>
      </c>
      <c r="DE64" s="25"/>
      <c r="DF64" s="26"/>
      <c r="DG64" s="27"/>
      <c r="DH64" s="28"/>
      <c r="DI64" s="29"/>
      <c r="DJ64" s="79">
        <f t="shared" si="1"/>
        <v>0</v>
      </c>
      <c r="DK64" s="80" t="e">
        <f>DJ64*#REF!</f>
        <v>#REF!</v>
      </c>
      <c r="DL64" s="81" t="e">
        <f>DJ64*#REF!</f>
        <v>#REF!</v>
      </c>
      <c r="DN64" s="25"/>
      <c r="DO64" s="26"/>
      <c r="DP64" s="27"/>
      <c r="DQ64" s="28"/>
      <c r="DR64" s="29"/>
      <c r="DS64" s="79">
        <f t="shared" si="2"/>
        <v>0</v>
      </c>
      <c r="DT64" s="80" t="e">
        <f>DS64*#REF!</f>
        <v>#REF!</v>
      </c>
      <c r="DU64" s="81" t="e">
        <f>DS64*#REF!</f>
        <v>#REF!</v>
      </c>
      <c r="DW64" s="25"/>
      <c r="DX64" s="26"/>
      <c r="DY64" s="27"/>
      <c r="DZ64" s="28"/>
      <c r="EA64" s="29"/>
      <c r="EB64" s="79">
        <f t="shared" si="3"/>
        <v>0</v>
      </c>
      <c r="EC64" s="80" t="e">
        <f>EB64*#REF!</f>
        <v>#REF!</v>
      </c>
      <c r="ED64" s="81" t="e">
        <f>EB64*#REF!</f>
        <v>#REF!</v>
      </c>
      <c r="EF64" s="25"/>
      <c r="EG64" s="26"/>
      <c r="EH64" s="27"/>
      <c r="EI64" s="28"/>
      <c r="EJ64" s="29"/>
      <c r="EK64" s="79">
        <f t="shared" si="4"/>
        <v>0</v>
      </c>
      <c r="EL64" s="80" t="e">
        <f>EK64*#REF!</f>
        <v>#REF!</v>
      </c>
      <c r="EM64" s="81" t="e">
        <f>EK64*#REF!</f>
        <v>#REF!</v>
      </c>
      <c r="EO64" s="25"/>
      <c r="EP64" s="26"/>
      <c r="EQ64" s="27"/>
      <c r="ER64" s="28"/>
      <c r="ES64" s="29"/>
      <c r="ET64" s="79">
        <f t="shared" si="5"/>
        <v>0</v>
      </c>
      <c r="EU64" s="80" t="e">
        <f>ET64*#REF!</f>
        <v>#REF!</v>
      </c>
      <c r="EV64" s="81" t="e">
        <f>ET64*#REF!</f>
        <v>#REF!</v>
      </c>
      <c r="EX64" s="25"/>
      <c r="EY64" s="26"/>
      <c r="EZ64" s="27"/>
      <c r="FA64" s="28"/>
      <c r="FB64" s="29"/>
      <c r="FC64" s="79">
        <f t="shared" si="6"/>
        <v>0</v>
      </c>
      <c r="FD64" s="80" t="e">
        <f>FC64*#REF!</f>
        <v>#REF!</v>
      </c>
      <c r="FE64" s="81" t="e">
        <f>FC64*#REF!</f>
        <v>#REF!</v>
      </c>
      <c r="FG64" s="25"/>
      <c r="FH64" s="26"/>
      <c r="FI64" s="27"/>
      <c r="FJ64" s="28"/>
      <c r="FK64" s="29"/>
      <c r="FL64" s="79">
        <f t="shared" si="7"/>
        <v>0</v>
      </c>
      <c r="FM64" s="80" t="e">
        <f>FL64*#REF!</f>
        <v>#REF!</v>
      </c>
      <c r="FN64" s="81" t="e">
        <f>FL64*#REF!</f>
        <v>#REF!</v>
      </c>
      <c r="FP64" s="25"/>
      <c r="FQ64" s="26"/>
      <c r="FR64" s="27"/>
      <c r="FS64" s="28"/>
      <c r="FT64" s="29"/>
      <c r="FU64" s="79">
        <f t="shared" si="8"/>
        <v>0</v>
      </c>
      <c r="FV64" s="80" t="e">
        <f>FU64*#REF!</f>
        <v>#REF!</v>
      </c>
      <c r="FW64" s="81" t="e">
        <f>FU64*#REF!</f>
        <v>#REF!</v>
      </c>
      <c r="FY64" s="25"/>
      <c r="FZ64" s="26"/>
      <c r="GA64" s="27"/>
      <c r="GB64" s="28"/>
      <c r="GC64" s="29"/>
      <c r="GD64" s="79">
        <f t="shared" si="9"/>
        <v>0</v>
      </c>
      <c r="GE64" s="80" t="e">
        <f>GD64*#REF!</f>
        <v>#REF!</v>
      </c>
      <c r="GF64" s="81" t="e">
        <f>GD64*#REF!</f>
        <v>#REF!</v>
      </c>
      <c r="GH64" s="25"/>
      <c r="GI64" s="26"/>
      <c r="GJ64" s="27"/>
      <c r="GK64" s="28"/>
      <c r="GL64" s="29"/>
      <c r="GM64" s="79">
        <f t="shared" si="10"/>
        <v>0</v>
      </c>
      <c r="GN64" s="80" t="e">
        <f>GM64*#REF!</f>
        <v>#REF!</v>
      </c>
      <c r="GO64" s="81" t="e">
        <f>GM64*#REF!</f>
        <v>#REF!</v>
      </c>
      <c r="GQ64" s="82">
        <f t="shared" si="12"/>
        <v>0</v>
      </c>
      <c r="GR64" s="83">
        <v>0</v>
      </c>
    </row>
    <row r="65" spans="2:200" ht="15">
      <c r="B65" s="22" t="s">
        <v>81</v>
      </c>
      <c r="C65" s="23" t="s">
        <v>79</v>
      </c>
      <c r="D65" s="24" t="str">
        <f>IF(C65="","",_xlfn.XLOOKUP(C65,'[1]Control Sheet'!$L$5:$L$104,'[1]Control Sheet'!$M$5:$M$104,"",0))</f>
        <v xml:space="preserve">Host </v>
      </c>
      <c r="E65" s="24" t="str">
        <f>IF(B65="","",_xlfn.XLOOKUP(B65,'[1]Control Sheet'!$D$5:$D$64,'[1]Control Sheet'!$F$5:$F$64,"",0))</f>
        <v>Admissions</v>
      </c>
      <c r="F65" s="24" t="str">
        <f>IF(B65="","",_xlfn.XLOOKUP(B65,'[1]Control Sheet'!$D$5:$D$64,'[1]Control Sheet'!$E$5:$E$64,"",0))</f>
        <v>C1150-N</v>
      </c>
      <c r="I65" s="25">
        <v>0.35416666666666669</v>
      </c>
      <c r="J65" s="26">
        <v>0.45833333333333331</v>
      </c>
      <c r="K65" s="27">
        <v>0</v>
      </c>
      <c r="L65" s="28">
        <v>1</v>
      </c>
      <c r="M65" s="29">
        <v>0.5</v>
      </c>
      <c r="P65" s="25">
        <v>0.35416666666666669</v>
      </c>
      <c r="Q65" s="26">
        <v>0.45833333333333331</v>
      </c>
      <c r="R65" s="27">
        <v>0</v>
      </c>
      <c r="S65" s="28">
        <v>1</v>
      </c>
      <c r="T65" s="29">
        <v>0.5</v>
      </c>
      <c r="V65" s="25">
        <v>0.35416666666666669</v>
      </c>
      <c r="W65" s="26">
        <v>0.45833333333333331</v>
      </c>
      <c r="X65" s="27">
        <v>0</v>
      </c>
      <c r="Y65" s="28">
        <v>1</v>
      </c>
      <c r="Z65" s="29">
        <v>0.5</v>
      </c>
      <c r="AB65" s="25">
        <v>0.35416666666666669</v>
      </c>
      <c r="AC65" s="26">
        <v>0.45833333333333331</v>
      </c>
      <c r="AD65" s="27">
        <v>0</v>
      </c>
      <c r="AE65" s="28">
        <v>1</v>
      </c>
      <c r="AF65" s="29">
        <v>0.5</v>
      </c>
      <c r="AH65" s="25">
        <v>0.35416666666666669</v>
      </c>
      <c r="AI65" s="26">
        <v>0.45833333333333331</v>
      </c>
      <c r="AJ65" s="27">
        <v>0</v>
      </c>
      <c r="AK65" s="28">
        <v>1</v>
      </c>
      <c r="AL65" s="29">
        <v>0.5</v>
      </c>
      <c r="AN65" s="25">
        <v>0.35416666666666669</v>
      </c>
      <c r="AO65" s="26">
        <v>0.45833333333333331</v>
      </c>
      <c r="AP65" s="27">
        <v>0</v>
      </c>
      <c r="AQ65" s="28">
        <v>1</v>
      </c>
      <c r="AR65" s="29">
        <v>0.5</v>
      </c>
      <c r="AT65" s="25">
        <v>0.35416666666666669</v>
      </c>
      <c r="AU65" s="26">
        <v>0.45833333333333331</v>
      </c>
      <c r="AV65" s="27">
        <v>0</v>
      </c>
      <c r="AW65" s="28">
        <v>1</v>
      </c>
      <c r="AX65" s="29">
        <v>0.5</v>
      </c>
      <c r="AZ65" s="25">
        <v>0.35416666666666669</v>
      </c>
      <c r="BA65" s="26">
        <v>0.45833333333333331</v>
      </c>
      <c r="BB65" s="27">
        <v>0</v>
      </c>
      <c r="BC65" s="28">
        <v>1</v>
      </c>
      <c r="BD65" s="29">
        <v>0.5</v>
      </c>
      <c r="BF65" s="25">
        <v>0.35416666666666669</v>
      </c>
      <c r="BG65" s="26">
        <v>0.45833333333333331</v>
      </c>
      <c r="BH65" s="27">
        <v>0</v>
      </c>
      <c r="BI65" s="28">
        <v>1</v>
      </c>
      <c r="BJ65" s="29">
        <v>0.5</v>
      </c>
      <c r="BL65" s="25">
        <v>0.38541666666666669</v>
      </c>
      <c r="BM65" s="26">
        <v>0.65625</v>
      </c>
      <c r="BN65" s="27">
        <v>45</v>
      </c>
      <c r="BO65" s="28">
        <v>3</v>
      </c>
      <c r="BP65" s="29">
        <v>1</v>
      </c>
      <c r="BR65" s="25"/>
      <c r="BS65" s="26"/>
      <c r="BT65" s="27"/>
      <c r="BU65" s="28"/>
      <c r="BV65" s="29"/>
      <c r="BX65" s="25"/>
      <c r="BY65" s="26"/>
      <c r="BZ65" s="27"/>
      <c r="CA65" s="28"/>
      <c r="CB65" s="29"/>
      <c r="CD65" s="25"/>
      <c r="CE65" s="26"/>
      <c r="CF65" s="27"/>
      <c r="CG65" s="28"/>
      <c r="CH65" s="29"/>
      <c r="CJ65" s="25"/>
      <c r="CK65" s="26"/>
      <c r="CL65" s="27"/>
      <c r="CM65" s="28"/>
      <c r="CN65" s="29"/>
      <c r="CP65" s="25"/>
      <c r="CQ65" s="26"/>
      <c r="CR65" s="27"/>
      <c r="CS65" s="28"/>
      <c r="CT65" s="29"/>
      <c r="CV65" s="25"/>
      <c r="CW65" s="26"/>
      <c r="CX65" s="27"/>
      <c r="CY65" s="28"/>
      <c r="CZ65" s="29"/>
      <c r="DA65" s="79">
        <f t="shared" si="0"/>
        <v>0</v>
      </c>
      <c r="DB65" s="80" t="e">
        <f>DA65*#REF!</f>
        <v>#REF!</v>
      </c>
      <c r="DC65" s="81" t="e">
        <f>DA65*#REF!</f>
        <v>#REF!</v>
      </c>
      <c r="DE65" s="25"/>
      <c r="DF65" s="26"/>
      <c r="DG65" s="27"/>
      <c r="DH65" s="28"/>
      <c r="DI65" s="29"/>
      <c r="DJ65" s="79">
        <f t="shared" si="1"/>
        <v>0</v>
      </c>
      <c r="DK65" s="80" t="e">
        <f>DJ65*#REF!</f>
        <v>#REF!</v>
      </c>
      <c r="DL65" s="81" t="e">
        <f>DJ65*#REF!</f>
        <v>#REF!</v>
      </c>
      <c r="DN65" s="25"/>
      <c r="DO65" s="26"/>
      <c r="DP65" s="27"/>
      <c r="DQ65" s="28"/>
      <c r="DR65" s="29"/>
      <c r="DS65" s="79">
        <f t="shared" si="2"/>
        <v>0</v>
      </c>
      <c r="DT65" s="80" t="e">
        <f>DS65*#REF!</f>
        <v>#REF!</v>
      </c>
      <c r="DU65" s="81" t="e">
        <f>DS65*#REF!</f>
        <v>#REF!</v>
      </c>
      <c r="DW65" s="25"/>
      <c r="DX65" s="26"/>
      <c r="DY65" s="27"/>
      <c r="DZ65" s="28"/>
      <c r="EA65" s="29"/>
      <c r="EB65" s="79">
        <f t="shared" si="3"/>
        <v>0</v>
      </c>
      <c r="EC65" s="80" t="e">
        <f>EB65*#REF!</f>
        <v>#REF!</v>
      </c>
      <c r="ED65" s="81" t="e">
        <f>EB65*#REF!</f>
        <v>#REF!</v>
      </c>
      <c r="EF65" s="25"/>
      <c r="EG65" s="26"/>
      <c r="EH65" s="27"/>
      <c r="EI65" s="28"/>
      <c r="EJ65" s="29"/>
      <c r="EK65" s="79">
        <f t="shared" si="4"/>
        <v>0</v>
      </c>
      <c r="EL65" s="80" t="e">
        <f>EK65*#REF!</f>
        <v>#REF!</v>
      </c>
      <c r="EM65" s="81" t="e">
        <f>EK65*#REF!</f>
        <v>#REF!</v>
      </c>
      <c r="EO65" s="25"/>
      <c r="EP65" s="26"/>
      <c r="EQ65" s="27"/>
      <c r="ER65" s="28"/>
      <c r="ES65" s="29"/>
      <c r="ET65" s="79">
        <f t="shared" si="5"/>
        <v>0</v>
      </c>
      <c r="EU65" s="80" t="e">
        <f>ET65*#REF!</f>
        <v>#REF!</v>
      </c>
      <c r="EV65" s="81" t="e">
        <f>ET65*#REF!</f>
        <v>#REF!</v>
      </c>
      <c r="EX65" s="25"/>
      <c r="EY65" s="26"/>
      <c r="EZ65" s="27"/>
      <c r="FA65" s="28"/>
      <c r="FB65" s="29"/>
      <c r="FC65" s="79">
        <f t="shared" si="6"/>
        <v>0</v>
      </c>
      <c r="FD65" s="80" t="e">
        <f>FC65*#REF!</f>
        <v>#REF!</v>
      </c>
      <c r="FE65" s="81" t="e">
        <f>FC65*#REF!</f>
        <v>#REF!</v>
      </c>
      <c r="FG65" s="25"/>
      <c r="FH65" s="26"/>
      <c r="FI65" s="27"/>
      <c r="FJ65" s="28"/>
      <c r="FK65" s="29"/>
      <c r="FL65" s="79">
        <f t="shared" si="7"/>
        <v>0</v>
      </c>
      <c r="FM65" s="80" t="e">
        <f>FL65*#REF!</f>
        <v>#REF!</v>
      </c>
      <c r="FN65" s="81" t="e">
        <f>FL65*#REF!</f>
        <v>#REF!</v>
      </c>
      <c r="FP65" s="25"/>
      <c r="FQ65" s="26"/>
      <c r="FR65" s="27"/>
      <c r="FS65" s="28"/>
      <c r="FT65" s="29"/>
      <c r="FU65" s="79">
        <f t="shared" si="8"/>
        <v>0</v>
      </c>
      <c r="FV65" s="80" t="e">
        <f>FU65*#REF!</f>
        <v>#REF!</v>
      </c>
      <c r="FW65" s="81" t="e">
        <f>FU65*#REF!</f>
        <v>#REF!</v>
      </c>
      <c r="FY65" s="25"/>
      <c r="FZ65" s="26"/>
      <c r="GA65" s="27"/>
      <c r="GB65" s="28"/>
      <c r="GC65" s="29"/>
      <c r="GD65" s="79">
        <f t="shared" si="9"/>
        <v>0</v>
      </c>
      <c r="GE65" s="80" t="e">
        <f>GD65*#REF!</f>
        <v>#REF!</v>
      </c>
      <c r="GF65" s="81" t="e">
        <f>GD65*#REF!</f>
        <v>#REF!</v>
      </c>
      <c r="GH65" s="25"/>
      <c r="GI65" s="26"/>
      <c r="GJ65" s="27"/>
      <c r="GK65" s="28"/>
      <c r="GL65" s="29"/>
      <c r="GM65" s="79">
        <f t="shared" si="10"/>
        <v>0</v>
      </c>
      <c r="GN65" s="80" t="e">
        <f>GM65*#REF!</f>
        <v>#REF!</v>
      </c>
      <c r="GO65" s="81" t="e">
        <f>GM65*#REF!</f>
        <v>#REF!</v>
      </c>
      <c r="GQ65" s="82">
        <f t="shared" si="12"/>
        <v>3</v>
      </c>
      <c r="GR65" s="83">
        <v>3</v>
      </c>
    </row>
    <row r="66" spans="2:200" ht="15">
      <c r="B66" s="22" t="s">
        <v>81</v>
      </c>
      <c r="C66" s="23" t="s">
        <v>79</v>
      </c>
      <c r="D66" s="24" t="str">
        <f>IF(C66="","",_xlfn.XLOOKUP(C66,'[1]Control Sheet'!$L$5:$L$104,'[1]Control Sheet'!$M$5:$M$104,"",0))</f>
        <v xml:space="preserve">Host </v>
      </c>
      <c r="E66" s="24" t="str">
        <f>IF(B66="","",_xlfn.XLOOKUP(B66,'[1]Control Sheet'!$D$5:$D$64,'[1]Control Sheet'!$F$5:$F$64,"",0))</f>
        <v>Admissions</v>
      </c>
      <c r="F66" s="24" t="str">
        <f>IF(B66="","",_xlfn.XLOOKUP(B66,'[1]Control Sheet'!$D$5:$D$64,'[1]Control Sheet'!$E$5:$E$64,"",0))</f>
        <v>C1150-N</v>
      </c>
      <c r="I66" s="25">
        <v>0.35416666666666669</v>
      </c>
      <c r="J66" s="26">
        <v>0.45833333333333331</v>
      </c>
      <c r="K66" s="27">
        <v>0</v>
      </c>
      <c r="L66" s="28">
        <v>1</v>
      </c>
      <c r="M66" s="29">
        <v>0.5</v>
      </c>
      <c r="P66" s="25">
        <v>0.35416666666666669</v>
      </c>
      <c r="Q66" s="26">
        <v>0.45833333333333331</v>
      </c>
      <c r="R66" s="27">
        <v>0</v>
      </c>
      <c r="S66" s="28">
        <v>1</v>
      </c>
      <c r="T66" s="29">
        <v>0.5</v>
      </c>
      <c r="V66" s="25">
        <v>0.35416666666666669</v>
      </c>
      <c r="W66" s="26">
        <v>0.45833333333333331</v>
      </c>
      <c r="X66" s="27">
        <v>0</v>
      </c>
      <c r="Y66" s="28">
        <v>1</v>
      </c>
      <c r="Z66" s="29">
        <v>0.5</v>
      </c>
      <c r="AB66" s="25">
        <v>0.35416666666666669</v>
      </c>
      <c r="AC66" s="26">
        <v>0.45833333333333331</v>
      </c>
      <c r="AD66" s="27">
        <v>0</v>
      </c>
      <c r="AE66" s="28">
        <v>1</v>
      </c>
      <c r="AF66" s="29">
        <v>0.5</v>
      </c>
      <c r="AH66" s="25">
        <v>0.35416666666666669</v>
      </c>
      <c r="AI66" s="26">
        <v>0.45833333333333331</v>
      </c>
      <c r="AJ66" s="27">
        <v>0</v>
      </c>
      <c r="AK66" s="28">
        <v>1</v>
      </c>
      <c r="AL66" s="29">
        <v>0.5</v>
      </c>
      <c r="AN66" s="25">
        <v>0.35416666666666669</v>
      </c>
      <c r="AO66" s="26">
        <v>0.45833333333333331</v>
      </c>
      <c r="AP66" s="27">
        <v>0</v>
      </c>
      <c r="AQ66" s="28">
        <v>1</v>
      </c>
      <c r="AR66" s="29">
        <v>0.5</v>
      </c>
      <c r="AT66" s="25">
        <v>0.35416666666666669</v>
      </c>
      <c r="AU66" s="26">
        <v>0.45833333333333331</v>
      </c>
      <c r="AV66" s="27">
        <v>0</v>
      </c>
      <c r="AW66" s="28">
        <v>1</v>
      </c>
      <c r="AX66" s="29">
        <v>0.5</v>
      </c>
      <c r="AZ66" s="25">
        <v>0.35416666666666669</v>
      </c>
      <c r="BA66" s="26">
        <v>0.45833333333333331</v>
      </c>
      <c r="BB66" s="27">
        <v>0</v>
      </c>
      <c r="BC66" s="28">
        <v>1</v>
      </c>
      <c r="BD66" s="29">
        <v>0.5</v>
      </c>
      <c r="BF66" s="25">
        <v>0.35416666666666669</v>
      </c>
      <c r="BG66" s="26">
        <v>0.45833333333333331</v>
      </c>
      <c r="BH66" s="27">
        <v>0</v>
      </c>
      <c r="BI66" s="28">
        <v>1</v>
      </c>
      <c r="BJ66" s="29">
        <v>0.5</v>
      </c>
      <c r="BL66" s="25"/>
      <c r="BM66" s="26"/>
      <c r="BN66" s="27"/>
      <c r="BO66" s="28"/>
      <c r="BP66" s="29"/>
      <c r="BR66" s="25"/>
      <c r="BS66" s="26"/>
      <c r="BT66" s="27"/>
      <c r="BU66" s="28"/>
      <c r="BV66" s="29"/>
      <c r="BX66" s="25"/>
      <c r="BY66" s="26"/>
      <c r="BZ66" s="27"/>
      <c r="CA66" s="28"/>
      <c r="CB66" s="29"/>
      <c r="CD66" s="25"/>
      <c r="CE66" s="26"/>
      <c r="CF66" s="27"/>
      <c r="CG66" s="28"/>
      <c r="CH66" s="29"/>
      <c r="CJ66" s="25"/>
      <c r="CK66" s="26"/>
      <c r="CL66" s="27"/>
      <c r="CM66" s="28"/>
      <c r="CN66" s="29"/>
      <c r="CP66" s="25"/>
      <c r="CQ66" s="26"/>
      <c r="CR66" s="27"/>
      <c r="CS66" s="28"/>
      <c r="CT66" s="29"/>
      <c r="CV66" s="25"/>
      <c r="CW66" s="26"/>
      <c r="CX66" s="27"/>
      <c r="CY66" s="28"/>
      <c r="CZ66" s="29"/>
      <c r="DA66" s="79">
        <f t="shared" si="0"/>
        <v>0</v>
      </c>
      <c r="DB66" s="80" t="e">
        <f>DA66*#REF!</f>
        <v>#REF!</v>
      </c>
      <c r="DC66" s="81" t="e">
        <f>DA66*#REF!</f>
        <v>#REF!</v>
      </c>
      <c r="DE66" s="25"/>
      <c r="DF66" s="26"/>
      <c r="DG66" s="27"/>
      <c r="DH66" s="28"/>
      <c r="DI66" s="29"/>
      <c r="DJ66" s="79">
        <f t="shared" si="1"/>
        <v>0</v>
      </c>
      <c r="DK66" s="80" t="e">
        <f>DJ66*#REF!</f>
        <v>#REF!</v>
      </c>
      <c r="DL66" s="81" t="e">
        <f>DJ66*#REF!</f>
        <v>#REF!</v>
      </c>
      <c r="DN66" s="25"/>
      <c r="DO66" s="26"/>
      <c r="DP66" s="27"/>
      <c r="DQ66" s="28"/>
      <c r="DR66" s="29"/>
      <c r="DS66" s="79">
        <f t="shared" si="2"/>
        <v>0</v>
      </c>
      <c r="DT66" s="80" t="e">
        <f>DS66*#REF!</f>
        <v>#REF!</v>
      </c>
      <c r="DU66" s="81" t="e">
        <f>DS66*#REF!</f>
        <v>#REF!</v>
      </c>
      <c r="DW66" s="25"/>
      <c r="DX66" s="26"/>
      <c r="DY66" s="27"/>
      <c r="DZ66" s="28"/>
      <c r="EA66" s="29"/>
      <c r="EB66" s="79">
        <f t="shared" si="3"/>
        <v>0</v>
      </c>
      <c r="EC66" s="80" t="e">
        <f>EB66*#REF!</f>
        <v>#REF!</v>
      </c>
      <c r="ED66" s="81" t="e">
        <f>EB66*#REF!</f>
        <v>#REF!</v>
      </c>
      <c r="EF66" s="25"/>
      <c r="EG66" s="26"/>
      <c r="EH66" s="27"/>
      <c r="EI66" s="28"/>
      <c r="EJ66" s="29"/>
      <c r="EK66" s="79">
        <f t="shared" si="4"/>
        <v>0</v>
      </c>
      <c r="EL66" s="80" t="e">
        <f>EK66*#REF!</f>
        <v>#REF!</v>
      </c>
      <c r="EM66" s="81" t="e">
        <f>EK66*#REF!</f>
        <v>#REF!</v>
      </c>
      <c r="EO66" s="25"/>
      <c r="EP66" s="26"/>
      <c r="EQ66" s="27"/>
      <c r="ER66" s="28"/>
      <c r="ES66" s="29"/>
      <c r="ET66" s="79">
        <f t="shared" si="5"/>
        <v>0</v>
      </c>
      <c r="EU66" s="80" t="e">
        <f>ET66*#REF!</f>
        <v>#REF!</v>
      </c>
      <c r="EV66" s="81" t="e">
        <f>ET66*#REF!</f>
        <v>#REF!</v>
      </c>
      <c r="EX66" s="25"/>
      <c r="EY66" s="26"/>
      <c r="EZ66" s="27"/>
      <c r="FA66" s="28"/>
      <c r="FB66" s="29"/>
      <c r="FC66" s="79">
        <f t="shared" si="6"/>
        <v>0</v>
      </c>
      <c r="FD66" s="80" t="e">
        <f>FC66*#REF!</f>
        <v>#REF!</v>
      </c>
      <c r="FE66" s="81" t="e">
        <f>FC66*#REF!</f>
        <v>#REF!</v>
      </c>
      <c r="FG66" s="25"/>
      <c r="FH66" s="26"/>
      <c r="FI66" s="27"/>
      <c r="FJ66" s="28"/>
      <c r="FK66" s="29"/>
      <c r="FL66" s="79">
        <f t="shared" si="7"/>
        <v>0</v>
      </c>
      <c r="FM66" s="80" t="e">
        <f>FL66*#REF!</f>
        <v>#REF!</v>
      </c>
      <c r="FN66" s="81" t="e">
        <f>FL66*#REF!</f>
        <v>#REF!</v>
      </c>
      <c r="FP66" s="25"/>
      <c r="FQ66" s="26"/>
      <c r="FR66" s="27"/>
      <c r="FS66" s="28"/>
      <c r="FT66" s="29"/>
      <c r="FU66" s="79">
        <f t="shared" si="8"/>
        <v>0</v>
      </c>
      <c r="FV66" s="80" t="e">
        <f>FU66*#REF!</f>
        <v>#REF!</v>
      </c>
      <c r="FW66" s="81" t="e">
        <f>FU66*#REF!</f>
        <v>#REF!</v>
      </c>
      <c r="FY66" s="25"/>
      <c r="FZ66" s="26"/>
      <c r="GA66" s="27"/>
      <c r="GB66" s="28"/>
      <c r="GC66" s="29"/>
      <c r="GD66" s="79">
        <f t="shared" si="9"/>
        <v>0</v>
      </c>
      <c r="GE66" s="80" t="e">
        <f>GD66*#REF!</f>
        <v>#REF!</v>
      </c>
      <c r="GF66" s="81" t="e">
        <f>GD66*#REF!</f>
        <v>#REF!</v>
      </c>
      <c r="GH66" s="25"/>
      <c r="GI66" s="26"/>
      <c r="GJ66" s="27"/>
      <c r="GK66" s="28"/>
      <c r="GL66" s="29"/>
      <c r="GM66" s="79">
        <f t="shared" si="10"/>
        <v>0</v>
      </c>
      <c r="GN66" s="80" t="e">
        <f>GM66*#REF!</f>
        <v>#REF!</v>
      </c>
      <c r="GO66" s="81" t="e">
        <f>GM66*#REF!</f>
        <v>#REF!</v>
      </c>
      <c r="GQ66" s="82">
        <f t="shared" si="12"/>
        <v>1</v>
      </c>
      <c r="GR66" s="83">
        <v>1</v>
      </c>
    </row>
    <row r="67" spans="2:200" ht="15">
      <c r="B67" s="22" t="s">
        <v>82</v>
      </c>
      <c r="C67" s="23" t="s">
        <v>78</v>
      </c>
      <c r="D67" s="24" t="str">
        <f>IF(C67="","",_xlfn.XLOOKUP(C67,'[1]Control Sheet'!$L$5:$L$104,'[1]Control Sheet'!$M$5:$M$104,"",0))</f>
        <v>Senior Host</v>
      </c>
      <c r="E67" s="24" t="str">
        <f>IF(B67="","",_xlfn.XLOOKUP(B67,'[1]Control Sheet'!$D$5:$D$64,'[1]Control Sheet'!$F$5:$F$64,"",0))</f>
        <v>Admissions</v>
      </c>
      <c r="F67" s="24" t="str">
        <f>IF(B67="","",_xlfn.XLOOKUP(B67,'[1]Control Sheet'!$D$5:$D$64,'[1]Control Sheet'!$E$5:$E$64,"",0))</f>
        <v>C1150-N</v>
      </c>
      <c r="I67" s="25"/>
      <c r="J67" s="26"/>
      <c r="K67" s="27"/>
      <c r="L67" s="28"/>
      <c r="M67" s="29"/>
      <c r="P67" s="25">
        <v>0.35416666666666669</v>
      </c>
      <c r="Q67" s="26">
        <v>0.73958333333333337</v>
      </c>
      <c r="R67" s="27">
        <v>45</v>
      </c>
      <c r="S67" s="28">
        <v>1</v>
      </c>
      <c r="T67" s="29">
        <v>1</v>
      </c>
      <c r="V67" s="25">
        <v>0.35416666666666669</v>
      </c>
      <c r="W67" s="26">
        <v>0.73958333333333337</v>
      </c>
      <c r="X67" s="27">
        <v>45</v>
      </c>
      <c r="Y67" s="28">
        <v>1</v>
      </c>
      <c r="Z67" s="29">
        <v>1</v>
      </c>
      <c r="AB67" s="25">
        <v>0.35416666666666669</v>
      </c>
      <c r="AC67" s="26">
        <v>0.73958333333333337</v>
      </c>
      <c r="AD67" s="27">
        <v>45</v>
      </c>
      <c r="AE67" s="28">
        <v>1</v>
      </c>
      <c r="AF67" s="29">
        <v>1</v>
      </c>
      <c r="AH67" s="25">
        <v>0.35416666666666669</v>
      </c>
      <c r="AI67" s="26">
        <v>0.73958333333333337</v>
      </c>
      <c r="AJ67" s="27">
        <v>45</v>
      </c>
      <c r="AK67" s="28">
        <v>1</v>
      </c>
      <c r="AL67" s="29">
        <v>1</v>
      </c>
      <c r="AN67" s="25">
        <v>0.35416666666666669</v>
      </c>
      <c r="AO67" s="26">
        <v>0.73958333333333337</v>
      </c>
      <c r="AP67" s="27">
        <v>45</v>
      </c>
      <c r="AQ67" s="28">
        <v>1</v>
      </c>
      <c r="AR67" s="29">
        <v>1</v>
      </c>
      <c r="AT67" s="25">
        <v>0.35416666666666669</v>
      </c>
      <c r="AU67" s="26">
        <v>0.73958333333333337</v>
      </c>
      <c r="AV67" s="27">
        <v>45</v>
      </c>
      <c r="AW67" s="28">
        <v>1</v>
      </c>
      <c r="AX67" s="29">
        <v>1</v>
      </c>
      <c r="AZ67" s="25"/>
      <c r="BA67" s="26"/>
      <c r="BB67" s="27"/>
      <c r="BC67" s="28"/>
      <c r="BD67" s="29"/>
      <c r="BF67" s="25"/>
      <c r="BG67" s="26"/>
      <c r="BH67" s="27"/>
      <c r="BI67" s="28"/>
      <c r="BJ67" s="29"/>
      <c r="BL67" s="25"/>
      <c r="BM67" s="26"/>
      <c r="BN67" s="27"/>
      <c r="BO67" s="28"/>
      <c r="BP67" s="29"/>
      <c r="BR67" s="25"/>
      <c r="BS67" s="26"/>
      <c r="BT67" s="27"/>
      <c r="BU67" s="28"/>
      <c r="BV67" s="29"/>
      <c r="BX67" s="25"/>
      <c r="BY67" s="26"/>
      <c r="BZ67" s="27"/>
      <c r="CA67" s="28"/>
      <c r="CB67" s="29"/>
      <c r="CD67" s="25"/>
      <c r="CE67" s="26"/>
      <c r="CF67" s="27"/>
      <c r="CG67" s="28"/>
      <c r="CH67" s="29"/>
      <c r="CJ67" s="25"/>
      <c r="CK67" s="26"/>
      <c r="CL67" s="27"/>
      <c r="CM67" s="28"/>
      <c r="CN67" s="29"/>
      <c r="CP67" s="25"/>
      <c r="CQ67" s="26"/>
      <c r="CR67" s="27"/>
      <c r="CS67" s="28"/>
      <c r="CT67" s="29"/>
      <c r="CV67" s="25"/>
      <c r="CW67" s="26"/>
      <c r="CX67" s="27"/>
      <c r="CY67" s="28"/>
      <c r="CZ67" s="29"/>
      <c r="DA67" s="79">
        <f t="shared" si="0"/>
        <v>0</v>
      </c>
      <c r="DB67" s="80" t="e">
        <f>DA67*#REF!</f>
        <v>#REF!</v>
      </c>
      <c r="DC67" s="81" t="e">
        <f>DA67*#REF!</f>
        <v>#REF!</v>
      </c>
      <c r="DE67" s="25"/>
      <c r="DF67" s="26"/>
      <c r="DG67" s="27"/>
      <c r="DH67" s="28"/>
      <c r="DI67" s="29"/>
      <c r="DJ67" s="79">
        <f t="shared" si="1"/>
        <v>0</v>
      </c>
      <c r="DK67" s="80" t="e">
        <f>DJ67*#REF!</f>
        <v>#REF!</v>
      </c>
      <c r="DL67" s="81" t="e">
        <f>DJ67*#REF!</f>
        <v>#REF!</v>
      </c>
      <c r="DN67" s="25"/>
      <c r="DO67" s="26"/>
      <c r="DP67" s="27"/>
      <c r="DQ67" s="28"/>
      <c r="DR67" s="29"/>
      <c r="DS67" s="79">
        <f t="shared" si="2"/>
        <v>0</v>
      </c>
      <c r="DT67" s="80" t="e">
        <f>DS67*#REF!</f>
        <v>#REF!</v>
      </c>
      <c r="DU67" s="81" t="e">
        <f>DS67*#REF!</f>
        <v>#REF!</v>
      </c>
      <c r="DW67" s="25"/>
      <c r="DX67" s="26"/>
      <c r="DY67" s="27"/>
      <c r="DZ67" s="28"/>
      <c r="EA67" s="29"/>
      <c r="EB67" s="79">
        <f t="shared" si="3"/>
        <v>0</v>
      </c>
      <c r="EC67" s="80" t="e">
        <f>EB67*#REF!</f>
        <v>#REF!</v>
      </c>
      <c r="ED67" s="81" t="e">
        <f>EB67*#REF!</f>
        <v>#REF!</v>
      </c>
      <c r="EF67" s="25"/>
      <c r="EG67" s="26"/>
      <c r="EH67" s="27"/>
      <c r="EI67" s="28"/>
      <c r="EJ67" s="29"/>
      <c r="EK67" s="79">
        <f t="shared" si="4"/>
        <v>0</v>
      </c>
      <c r="EL67" s="80" t="e">
        <f>EK67*#REF!</f>
        <v>#REF!</v>
      </c>
      <c r="EM67" s="81" t="e">
        <f>EK67*#REF!</f>
        <v>#REF!</v>
      </c>
      <c r="EO67" s="25"/>
      <c r="EP67" s="26"/>
      <c r="EQ67" s="27"/>
      <c r="ER67" s="28"/>
      <c r="ES67" s="29"/>
      <c r="ET67" s="79">
        <f t="shared" si="5"/>
        <v>0</v>
      </c>
      <c r="EU67" s="80" t="e">
        <f>ET67*#REF!</f>
        <v>#REF!</v>
      </c>
      <c r="EV67" s="81" t="e">
        <f>ET67*#REF!</f>
        <v>#REF!</v>
      </c>
      <c r="EX67" s="25"/>
      <c r="EY67" s="26"/>
      <c r="EZ67" s="27"/>
      <c r="FA67" s="28"/>
      <c r="FB67" s="29"/>
      <c r="FC67" s="79">
        <f t="shared" si="6"/>
        <v>0</v>
      </c>
      <c r="FD67" s="80" t="e">
        <f>FC67*#REF!</f>
        <v>#REF!</v>
      </c>
      <c r="FE67" s="81" t="e">
        <f>FC67*#REF!</f>
        <v>#REF!</v>
      </c>
      <c r="FG67" s="25"/>
      <c r="FH67" s="26"/>
      <c r="FI67" s="27"/>
      <c r="FJ67" s="28"/>
      <c r="FK67" s="29"/>
      <c r="FL67" s="79">
        <f t="shared" si="7"/>
        <v>0</v>
      </c>
      <c r="FM67" s="80" t="e">
        <f>FL67*#REF!</f>
        <v>#REF!</v>
      </c>
      <c r="FN67" s="81" t="e">
        <f>FL67*#REF!</f>
        <v>#REF!</v>
      </c>
      <c r="FP67" s="25"/>
      <c r="FQ67" s="26"/>
      <c r="FR67" s="27"/>
      <c r="FS67" s="28"/>
      <c r="FT67" s="29"/>
      <c r="FU67" s="79">
        <f t="shared" si="8"/>
        <v>0</v>
      </c>
      <c r="FV67" s="80" t="e">
        <f>FU67*#REF!</f>
        <v>#REF!</v>
      </c>
      <c r="FW67" s="81" t="e">
        <f>FU67*#REF!</f>
        <v>#REF!</v>
      </c>
      <c r="FY67" s="25"/>
      <c r="FZ67" s="26"/>
      <c r="GA67" s="27"/>
      <c r="GB67" s="28"/>
      <c r="GC67" s="29"/>
      <c r="GD67" s="79">
        <f t="shared" si="9"/>
        <v>0</v>
      </c>
      <c r="GE67" s="80" t="e">
        <f>GD67*#REF!</f>
        <v>#REF!</v>
      </c>
      <c r="GF67" s="81" t="e">
        <f>GD67*#REF!</f>
        <v>#REF!</v>
      </c>
      <c r="GH67" s="25"/>
      <c r="GI67" s="26"/>
      <c r="GJ67" s="27"/>
      <c r="GK67" s="28"/>
      <c r="GL67" s="29"/>
      <c r="GM67" s="79">
        <f t="shared" si="10"/>
        <v>0</v>
      </c>
      <c r="GN67" s="80" t="e">
        <f>GM67*#REF!</f>
        <v>#REF!</v>
      </c>
      <c r="GO67" s="81" t="e">
        <f>GM67*#REF!</f>
        <v>#REF!</v>
      </c>
      <c r="GQ67" s="82">
        <f t="shared" si="12"/>
        <v>1</v>
      </c>
      <c r="GR67" s="83">
        <v>1</v>
      </c>
    </row>
    <row r="68" spans="2:200" ht="15">
      <c r="B68" s="22" t="s">
        <v>82</v>
      </c>
      <c r="C68" s="23" t="s">
        <v>79</v>
      </c>
      <c r="D68" s="24" t="str">
        <f>IF(C68="","",_xlfn.XLOOKUP(C68,'[1]Control Sheet'!$L$5:$L$104,'[1]Control Sheet'!$M$5:$M$104,"",0))</f>
        <v xml:space="preserve">Host </v>
      </c>
      <c r="E68" s="24" t="str">
        <f>IF(B68="","",_xlfn.XLOOKUP(B68,'[1]Control Sheet'!$D$5:$D$64,'[1]Control Sheet'!$F$5:$F$64,"",0))</f>
        <v>Admissions</v>
      </c>
      <c r="F68" s="24" t="str">
        <f>IF(B68="","",_xlfn.XLOOKUP(B68,'[1]Control Sheet'!$D$5:$D$64,'[1]Control Sheet'!$E$5:$E$64,"",0))</f>
        <v>C1150-N</v>
      </c>
      <c r="I68" s="25"/>
      <c r="J68" s="26"/>
      <c r="K68" s="27"/>
      <c r="L68" s="28"/>
      <c r="M68" s="29"/>
      <c r="P68" s="25">
        <v>0.35416666666666669</v>
      </c>
      <c r="Q68" s="26">
        <v>0.625</v>
      </c>
      <c r="R68" s="27">
        <v>45</v>
      </c>
      <c r="S68" s="28">
        <v>3</v>
      </c>
      <c r="T68" s="29">
        <v>1</v>
      </c>
      <c r="V68" s="25">
        <v>0.35416666666666669</v>
      </c>
      <c r="W68" s="26">
        <v>0.625</v>
      </c>
      <c r="X68" s="27">
        <v>45</v>
      </c>
      <c r="Y68" s="28">
        <v>3</v>
      </c>
      <c r="Z68" s="29">
        <v>1</v>
      </c>
      <c r="AB68" s="25">
        <v>0.35416666666666669</v>
      </c>
      <c r="AC68" s="26">
        <v>0.625</v>
      </c>
      <c r="AD68" s="27">
        <v>45</v>
      </c>
      <c r="AE68" s="28">
        <v>3</v>
      </c>
      <c r="AF68" s="29">
        <v>1</v>
      </c>
      <c r="AH68" s="25">
        <v>0.35416666666666669</v>
      </c>
      <c r="AI68" s="26">
        <v>0.625</v>
      </c>
      <c r="AJ68" s="27">
        <v>45</v>
      </c>
      <c r="AK68" s="28">
        <v>3</v>
      </c>
      <c r="AL68" s="29">
        <v>1</v>
      </c>
      <c r="AN68" s="25">
        <v>0.35416666666666669</v>
      </c>
      <c r="AO68" s="26">
        <v>0.625</v>
      </c>
      <c r="AP68" s="27">
        <v>45</v>
      </c>
      <c r="AQ68" s="28">
        <v>3</v>
      </c>
      <c r="AR68" s="29">
        <v>1</v>
      </c>
      <c r="AT68" s="25">
        <v>0.35416666666666669</v>
      </c>
      <c r="AU68" s="26">
        <v>0.625</v>
      </c>
      <c r="AV68" s="27">
        <v>45</v>
      </c>
      <c r="AW68" s="28">
        <v>3</v>
      </c>
      <c r="AX68" s="29">
        <v>1</v>
      </c>
      <c r="AZ68" s="25"/>
      <c r="BA68" s="26"/>
      <c r="BB68" s="27"/>
      <c r="BC68" s="28"/>
      <c r="BD68" s="29"/>
      <c r="BF68" s="25"/>
      <c r="BG68" s="26"/>
      <c r="BH68" s="27"/>
      <c r="BI68" s="28"/>
      <c r="BJ68" s="29"/>
      <c r="BL68" s="25"/>
      <c r="BM68" s="26"/>
      <c r="BN68" s="27"/>
      <c r="BO68" s="28"/>
      <c r="BP68" s="29"/>
      <c r="BR68" s="25"/>
      <c r="BS68" s="26"/>
      <c r="BT68" s="27"/>
      <c r="BU68" s="28"/>
      <c r="BV68" s="29"/>
      <c r="BX68" s="25"/>
      <c r="BY68" s="26"/>
      <c r="BZ68" s="27"/>
      <c r="CA68" s="28"/>
      <c r="CB68" s="29"/>
      <c r="CD68" s="25"/>
      <c r="CE68" s="26"/>
      <c r="CF68" s="27"/>
      <c r="CG68" s="28"/>
      <c r="CH68" s="29"/>
      <c r="CJ68" s="25"/>
      <c r="CK68" s="26"/>
      <c r="CL68" s="27"/>
      <c r="CM68" s="28"/>
      <c r="CN68" s="29"/>
      <c r="CP68" s="25"/>
      <c r="CQ68" s="26"/>
      <c r="CR68" s="27"/>
      <c r="CS68" s="28"/>
      <c r="CT68" s="29"/>
      <c r="CV68" s="25"/>
      <c r="CW68" s="26"/>
      <c r="CX68" s="27"/>
      <c r="CY68" s="28"/>
      <c r="CZ68" s="29"/>
      <c r="DA68" s="79">
        <f t="shared" si="0"/>
        <v>0</v>
      </c>
      <c r="DB68" s="80" t="e">
        <f>DA68*#REF!</f>
        <v>#REF!</v>
      </c>
      <c r="DC68" s="81" t="e">
        <f>DA68*#REF!</f>
        <v>#REF!</v>
      </c>
      <c r="DE68" s="25"/>
      <c r="DF68" s="26"/>
      <c r="DG68" s="27"/>
      <c r="DH68" s="28"/>
      <c r="DI68" s="29"/>
      <c r="DJ68" s="79">
        <f t="shared" si="1"/>
        <v>0</v>
      </c>
      <c r="DK68" s="80" t="e">
        <f>DJ68*#REF!</f>
        <v>#REF!</v>
      </c>
      <c r="DL68" s="81" t="e">
        <f>DJ68*#REF!</f>
        <v>#REF!</v>
      </c>
      <c r="DN68" s="25"/>
      <c r="DO68" s="26"/>
      <c r="DP68" s="27"/>
      <c r="DQ68" s="28"/>
      <c r="DR68" s="29"/>
      <c r="DS68" s="79">
        <f t="shared" si="2"/>
        <v>0</v>
      </c>
      <c r="DT68" s="80" t="e">
        <f>DS68*#REF!</f>
        <v>#REF!</v>
      </c>
      <c r="DU68" s="81" t="e">
        <f>DS68*#REF!</f>
        <v>#REF!</v>
      </c>
      <c r="DW68" s="25"/>
      <c r="DX68" s="26"/>
      <c r="DY68" s="27"/>
      <c r="DZ68" s="28"/>
      <c r="EA68" s="29"/>
      <c r="EB68" s="79">
        <f t="shared" si="3"/>
        <v>0</v>
      </c>
      <c r="EC68" s="80" t="e">
        <f>EB68*#REF!</f>
        <v>#REF!</v>
      </c>
      <c r="ED68" s="81" t="e">
        <f>EB68*#REF!</f>
        <v>#REF!</v>
      </c>
      <c r="EF68" s="25"/>
      <c r="EG68" s="26"/>
      <c r="EH68" s="27"/>
      <c r="EI68" s="28"/>
      <c r="EJ68" s="29"/>
      <c r="EK68" s="79">
        <f t="shared" si="4"/>
        <v>0</v>
      </c>
      <c r="EL68" s="80" t="e">
        <f>EK68*#REF!</f>
        <v>#REF!</v>
      </c>
      <c r="EM68" s="81" t="e">
        <f>EK68*#REF!</f>
        <v>#REF!</v>
      </c>
      <c r="EO68" s="25"/>
      <c r="EP68" s="26"/>
      <c r="EQ68" s="27"/>
      <c r="ER68" s="28"/>
      <c r="ES68" s="29"/>
      <c r="ET68" s="79">
        <f t="shared" si="5"/>
        <v>0</v>
      </c>
      <c r="EU68" s="80" t="e">
        <f>ET68*#REF!</f>
        <v>#REF!</v>
      </c>
      <c r="EV68" s="81" t="e">
        <f>ET68*#REF!</f>
        <v>#REF!</v>
      </c>
      <c r="EX68" s="25"/>
      <c r="EY68" s="26"/>
      <c r="EZ68" s="27"/>
      <c r="FA68" s="28"/>
      <c r="FB68" s="29"/>
      <c r="FC68" s="79">
        <f t="shared" si="6"/>
        <v>0</v>
      </c>
      <c r="FD68" s="80" t="e">
        <f>FC68*#REF!</f>
        <v>#REF!</v>
      </c>
      <c r="FE68" s="81" t="e">
        <f>FC68*#REF!</f>
        <v>#REF!</v>
      </c>
      <c r="FG68" s="25"/>
      <c r="FH68" s="26"/>
      <c r="FI68" s="27"/>
      <c r="FJ68" s="28"/>
      <c r="FK68" s="29"/>
      <c r="FL68" s="79">
        <f t="shared" si="7"/>
        <v>0</v>
      </c>
      <c r="FM68" s="80" t="e">
        <f>FL68*#REF!</f>
        <v>#REF!</v>
      </c>
      <c r="FN68" s="81" t="e">
        <f>FL68*#REF!</f>
        <v>#REF!</v>
      </c>
      <c r="FP68" s="25"/>
      <c r="FQ68" s="26"/>
      <c r="FR68" s="27"/>
      <c r="FS68" s="28"/>
      <c r="FT68" s="29"/>
      <c r="FU68" s="79">
        <f t="shared" si="8"/>
        <v>0</v>
      </c>
      <c r="FV68" s="80" t="e">
        <f>FU68*#REF!</f>
        <v>#REF!</v>
      </c>
      <c r="FW68" s="81" t="e">
        <f>FU68*#REF!</f>
        <v>#REF!</v>
      </c>
      <c r="FY68" s="25"/>
      <c r="FZ68" s="26"/>
      <c r="GA68" s="27"/>
      <c r="GB68" s="28"/>
      <c r="GC68" s="29"/>
      <c r="GD68" s="79">
        <f t="shared" si="9"/>
        <v>0</v>
      </c>
      <c r="GE68" s="80" t="e">
        <f>GD68*#REF!</f>
        <v>#REF!</v>
      </c>
      <c r="GF68" s="81" t="e">
        <f>GD68*#REF!</f>
        <v>#REF!</v>
      </c>
      <c r="GH68" s="25"/>
      <c r="GI68" s="26"/>
      <c r="GJ68" s="27"/>
      <c r="GK68" s="28"/>
      <c r="GL68" s="29"/>
      <c r="GM68" s="79">
        <f t="shared" si="10"/>
        <v>0</v>
      </c>
      <c r="GN68" s="80" t="e">
        <f>GM68*#REF!</f>
        <v>#REF!</v>
      </c>
      <c r="GO68" s="81" t="e">
        <f>GM68*#REF!</f>
        <v>#REF!</v>
      </c>
      <c r="GQ68" s="82">
        <f t="shared" si="12"/>
        <v>3</v>
      </c>
      <c r="GR68" s="83">
        <v>3</v>
      </c>
    </row>
    <row r="69" spans="2:200" ht="15">
      <c r="B69" s="22"/>
      <c r="C69" s="23"/>
      <c r="D69" s="24" t="str">
        <f>IF(C69="","",_xlfn.XLOOKUP(C69,'[1]Control Sheet'!$L$5:$L$104,'[1]Control Sheet'!$M$5:$M$104,"",0))</f>
        <v/>
      </c>
      <c r="E69" s="24" t="str">
        <f>IF(B69="","",_xlfn.XLOOKUP(B69,'[1]Control Sheet'!$D$5:$D$64,'[1]Control Sheet'!$F$5:$F$64,"",0))</f>
        <v/>
      </c>
      <c r="F69" s="24" t="str">
        <f>IF(B69="","",_xlfn.XLOOKUP(B69,'[1]Control Sheet'!$D$5:$D$64,'[1]Control Sheet'!$E$5:$E$64,"",0))</f>
        <v/>
      </c>
      <c r="I69" s="25"/>
      <c r="J69" s="26"/>
      <c r="K69" s="27"/>
      <c r="L69" s="28"/>
      <c r="M69" s="29"/>
      <c r="P69" s="25"/>
      <c r="Q69" s="26"/>
      <c r="R69" s="27"/>
      <c r="S69" s="28"/>
      <c r="T69" s="29"/>
      <c r="V69" s="25"/>
      <c r="W69" s="26"/>
      <c r="X69" s="27"/>
      <c r="Y69" s="28"/>
      <c r="Z69" s="29"/>
      <c r="AB69" s="25"/>
      <c r="AC69" s="26"/>
      <c r="AD69" s="27"/>
      <c r="AE69" s="28"/>
      <c r="AF69" s="29"/>
      <c r="AH69" s="25"/>
      <c r="AI69" s="26"/>
      <c r="AJ69" s="27"/>
      <c r="AK69" s="28"/>
      <c r="AL69" s="29"/>
      <c r="AN69" s="25"/>
      <c r="AO69" s="26"/>
      <c r="AP69" s="27"/>
      <c r="AQ69" s="28"/>
      <c r="AR69" s="29"/>
      <c r="AT69" s="25"/>
      <c r="AU69" s="26"/>
      <c r="AV69" s="27"/>
      <c r="AW69" s="28"/>
      <c r="AX69" s="29"/>
      <c r="AZ69" s="25"/>
      <c r="BA69" s="26"/>
      <c r="BB69" s="27"/>
      <c r="BC69" s="28"/>
      <c r="BD69" s="29"/>
      <c r="BF69" s="25"/>
      <c r="BG69" s="26"/>
      <c r="BH69" s="27"/>
      <c r="BI69" s="28"/>
      <c r="BJ69" s="29"/>
      <c r="BL69" s="25"/>
      <c r="BM69" s="26"/>
      <c r="BN69" s="27"/>
      <c r="BO69" s="28"/>
      <c r="BP69" s="29"/>
      <c r="BR69" s="25"/>
      <c r="BS69" s="26"/>
      <c r="BT69" s="27"/>
      <c r="BU69" s="28"/>
      <c r="BV69" s="29"/>
      <c r="BX69" s="25"/>
      <c r="BY69" s="26"/>
      <c r="BZ69" s="27"/>
      <c r="CA69" s="28"/>
      <c r="CB69" s="29"/>
      <c r="CD69" s="25"/>
      <c r="CE69" s="26"/>
      <c r="CF69" s="27"/>
      <c r="CG69" s="28"/>
      <c r="CH69" s="29"/>
      <c r="CJ69" s="25"/>
      <c r="CK69" s="26"/>
      <c r="CL69" s="27"/>
      <c r="CM69" s="28"/>
      <c r="CN69" s="29"/>
      <c r="CP69" s="25"/>
      <c r="CQ69" s="26"/>
      <c r="CR69" s="27"/>
      <c r="CS69" s="28"/>
      <c r="CT69" s="29"/>
      <c r="CV69" s="25"/>
      <c r="CW69" s="26"/>
      <c r="CX69" s="27"/>
      <c r="CY69" s="28"/>
      <c r="CZ69" s="29"/>
      <c r="DA69" s="79">
        <f t="shared" si="0"/>
        <v>0</v>
      </c>
      <c r="DB69" s="80" t="e">
        <f>DA69*#REF!</f>
        <v>#REF!</v>
      </c>
      <c r="DC69" s="81" t="e">
        <f>DA69*#REF!</f>
        <v>#REF!</v>
      </c>
      <c r="DE69" s="25"/>
      <c r="DF69" s="26"/>
      <c r="DG69" s="27"/>
      <c r="DH69" s="28"/>
      <c r="DI69" s="29"/>
      <c r="DJ69" s="79">
        <f t="shared" si="1"/>
        <v>0</v>
      </c>
      <c r="DK69" s="80" t="e">
        <f>DJ69*#REF!</f>
        <v>#REF!</v>
      </c>
      <c r="DL69" s="81" t="e">
        <f>DJ69*#REF!</f>
        <v>#REF!</v>
      </c>
      <c r="DN69" s="25"/>
      <c r="DO69" s="26"/>
      <c r="DP69" s="27"/>
      <c r="DQ69" s="28"/>
      <c r="DR69" s="29"/>
      <c r="DS69" s="79">
        <f t="shared" si="2"/>
        <v>0</v>
      </c>
      <c r="DT69" s="80" t="e">
        <f>DS69*#REF!</f>
        <v>#REF!</v>
      </c>
      <c r="DU69" s="81" t="e">
        <f>DS69*#REF!</f>
        <v>#REF!</v>
      </c>
      <c r="DW69" s="25"/>
      <c r="DX69" s="26"/>
      <c r="DY69" s="27"/>
      <c r="DZ69" s="28"/>
      <c r="EA69" s="29"/>
      <c r="EB69" s="79">
        <f t="shared" si="3"/>
        <v>0</v>
      </c>
      <c r="EC69" s="80" t="e">
        <f>EB69*#REF!</f>
        <v>#REF!</v>
      </c>
      <c r="ED69" s="81" t="e">
        <f>EB69*#REF!</f>
        <v>#REF!</v>
      </c>
      <c r="EF69" s="25"/>
      <c r="EG69" s="26"/>
      <c r="EH69" s="27"/>
      <c r="EI69" s="28"/>
      <c r="EJ69" s="29"/>
      <c r="EK69" s="79">
        <f t="shared" si="4"/>
        <v>0</v>
      </c>
      <c r="EL69" s="80" t="e">
        <f>EK69*#REF!</f>
        <v>#REF!</v>
      </c>
      <c r="EM69" s="81" t="e">
        <f>EK69*#REF!</f>
        <v>#REF!</v>
      </c>
      <c r="EO69" s="25"/>
      <c r="EP69" s="26"/>
      <c r="EQ69" s="27"/>
      <c r="ER69" s="28"/>
      <c r="ES69" s="29"/>
      <c r="ET69" s="79">
        <f t="shared" si="5"/>
        <v>0</v>
      </c>
      <c r="EU69" s="80" t="e">
        <f>ET69*#REF!</f>
        <v>#REF!</v>
      </c>
      <c r="EV69" s="81" t="e">
        <f>ET69*#REF!</f>
        <v>#REF!</v>
      </c>
      <c r="EX69" s="25"/>
      <c r="EY69" s="26"/>
      <c r="EZ69" s="27"/>
      <c r="FA69" s="28"/>
      <c r="FB69" s="29"/>
      <c r="FC69" s="79">
        <f t="shared" si="6"/>
        <v>0</v>
      </c>
      <c r="FD69" s="80" t="e">
        <f>FC69*#REF!</f>
        <v>#REF!</v>
      </c>
      <c r="FE69" s="81" t="e">
        <f>FC69*#REF!</f>
        <v>#REF!</v>
      </c>
      <c r="FG69" s="25"/>
      <c r="FH69" s="26"/>
      <c r="FI69" s="27"/>
      <c r="FJ69" s="28"/>
      <c r="FK69" s="29"/>
      <c r="FL69" s="79">
        <f t="shared" si="7"/>
        <v>0</v>
      </c>
      <c r="FM69" s="80" t="e">
        <f>FL69*#REF!</f>
        <v>#REF!</v>
      </c>
      <c r="FN69" s="81" t="e">
        <f>FL69*#REF!</f>
        <v>#REF!</v>
      </c>
      <c r="FP69" s="25"/>
      <c r="FQ69" s="26"/>
      <c r="FR69" s="27"/>
      <c r="FS69" s="28"/>
      <c r="FT69" s="29"/>
      <c r="FU69" s="79">
        <f t="shared" si="8"/>
        <v>0</v>
      </c>
      <c r="FV69" s="80" t="e">
        <f>FU69*#REF!</f>
        <v>#REF!</v>
      </c>
      <c r="FW69" s="81" t="e">
        <f>FU69*#REF!</f>
        <v>#REF!</v>
      </c>
      <c r="FY69" s="25"/>
      <c r="FZ69" s="26"/>
      <c r="GA69" s="27"/>
      <c r="GB69" s="28"/>
      <c r="GC69" s="29"/>
      <c r="GD69" s="79">
        <f t="shared" si="9"/>
        <v>0</v>
      </c>
      <c r="GE69" s="80" t="e">
        <f>GD69*#REF!</f>
        <v>#REF!</v>
      </c>
      <c r="GF69" s="81" t="e">
        <f>GD69*#REF!</f>
        <v>#REF!</v>
      </c>
      <c r="GH69" s="25"/>
      <c r="GI69" s="26"/>
      <c r="GJ69" s="27"/>
      <c r="GK69" s="28"/>
      <c r="GL69" s="29"/>
      <c r="GM69" s="79">
        <f t="shared" si="10"/>
        <v>0</v>
      </c>
      <c r="GN69" s="80" t="e">
        <f>GM69*#REF!</f>
        <v>#REF!</v>
      </c>
      <c r="GO69" s="81" t="e">
        <f>GM69*#REF!</f>
        <v>#REF!</v>
      </c>
      <c r="GQ69" s="82">
        <f t="shared" si="12"/>
        <v>0</v>
      </c>
      <c r="GR69" s="83">
        <v>0</v>
      </c>
    </row>
    <row r="70" spans="2:200" ht="15">
      <c r="B70" s="22" t="s">
        <v>110</v>
      </c>
      <c r="C70" s="23" t="s">
        <v>83</v>
      </c>
      <c r="D70" s="24" t="str">
        <f>IF(C70="","",_xlfn.XLOOKUP(C70,'[1]Control Sheet'!$L$5:$L$104,'[1]Control Sheet'!$M$5:$M$104,"",0))</f>
        <v>Senior Host</v>
      </c>
      <c r="E70" s="24" t="str">
        <f>IF(B70="","",_xlfn.XLOOKUP(B70,'[1]Control Sheet'!$D$5:$D$64,'[1]Control Sheet'!$F$5:$F$64,"",0))</f>
        <v>Retail</v>
      </c>
      <c r="F70" s="24" t="str">
        <f>IF(B70="","",_xlfn.XLOOKUP(B70,'[1]Control Sheet'!$D$5:$D$64,'[1]Control Sheet'!$E$5:$E$64,"",0))</f>
        <v>C1150-N</v>
      </c>
      <c r="I70" s="25">
        <v>0.35416666666666669</v>
      </c>
      <c r="J70" s="26">
        <v>0.69791666666666663</v>
      </c>
      <c r="K70" s="27">
        <v>45</v>
      </c>
      <c r="L70" s="28">
        <v>1</v>
      </c>
      <c r="M70" s="29">
        <v>1</v>
      </c>
      <c r="P70" s="25">
        <v>0.35416666666666669</v>
      </c>
      <c r="Q70" s="26">
        <v>0.73958333333333337</v>
      </c>
      <c r="R70" s="27">
        <v>45</v>
      </c>
      <c r="S70" s="28">
        <v>1</v>
      </c>
      <c r="T70" s="29">
        <v>1</v>
      </c>
      <c r="V70" s="25">
        <v>0.35416666666666669</v>
      </c>
      <c r="W70" s="26">
        <v>0.73958333333333337</v>
      </c>
      <c r="X70" s="27">
        <v>45</v>
      </c>
      <c r="Y70" s="28">
        <v>1</v>
      </c>
      <c r="Z70" s="29">
        <v>1</v>
      </c>
      <c r="AB70" s="25">
        <v>0.35416666666666669</v>
      </c>
      <c r="AC70" s="26">
        <v>0.73958333333333337</v>
      </c>
      <c r="AD70" s="27">
        <v>45</v>
      </c>
      <c r="AE70" s="28">
        <v>1</v>
      </c>
      <c r="AF70" s="29">
        <v>1</v>
      </c>
      <c r="AH70" s="25">
        <v>0.35416666666666669</v>
      </c>
      <c r="AI70" s="26">
        <v>0.73958333333333337</v>
      </c>
      <c r="AJ70" s="27">
        <v>45</v>
      </c>
      <c r="AK70" s="28">
        <v>1</v>
      </c>
      <c r="AL70" s="29">
        <v>1</v>
      </c>
      <c r="AN70" s="25">
        <v>0.35416666666666669</v>
      </c>
      <c r="AO70" s="26">
        <v>0.79166666666666663</v>
      </c>
      <c r="AP70" s="33">
        <v>60</v>
      </c>
      <c r="AQ70" s="28">
        <v>1</v>
      </c>
      <c r="AR70" s="29">
        <v>1</v>
      </c>
      <c r="AT70" s="25">
        <v>0.35416666666666669</v>
      </c>
      <c r="AU70" s="26">
        <v>0.73958333333333337</v>
      </c>
      <c r="AV70" s="27">
        <v>45</v>
      </c>
      <c r="AW70" s="28">
        <v>1</v>
      </c>
      <c r="AX70" s="29">
        <v>1</v>
      </c>
      <c r="AZ70" s="25">
        <v>0.35416666666666669</v>
      </c>
      <c r="BA70" s="26">
        <v>0.79166666666666663</v>
      </c>
      <c r="BB70" s="33">
        <v>60</v>
      </c>
      <c r="BC70" s="28">
        <v>1</v>
      </c>
      <c r="BD70" s="29">
        <v>1</v>
      </c>
      <c r="BF70" s="25">
        <v>0.35416666666666669</v>
      </c>
      <c r="BG70" s="26">
        <v>0.83333333333333337</v>
      </c>
      <c r="BH70" s="27">
        <v>60</v>
      </c>
      <c r="BI70" s="28">
        <v>1</v>
      </c>
      <c r="BJ70" s="29">
        <v>1</v>
      </c>
      <c r="BL70" s="25">
        <v>0.38541666666666669</v>
      </c>
      <c r="BM70" s="26">
        <v>0.69791666666666663</v>
      </c>
      <c r="BN70" s="27">
        <v>45</v>
      </c>
      <c r="BO70" s="28">
        <v>1</v>
      </c>
      <c r="BP70" s="29">
        <v>1</v>
      </c>
      <c r="BR70" s="25">
        <v>0.35416666666666669</v>
      </c>
      <c r="BS70" s="26">
        <v>0.66666666666666663</v>
      </c>
      <c r="BT70" s="27">
        <v>45</v>
      </c>
      <c r="BU70" s="28">
        <v>1</v>
      </c>
      <c r="BV70" s="29">
        <v>1</v>
      </c>
      <c r="BX70" s="25">
        <v>0.35416666666666669</v>
      </c>
      <c r="BY70" s="26">
        <v>0.75</v>
      </c>
      <c r="BZ70" s="27">
        <v>45</v>
      </c>
      <c r="CA70" s="28">
        <v>1</v>
      </c>
      <c r="CB70" s="29">
        <v>1</v>
      </c>
      <c r="CD70" s="25">
        <v>0.35416666666666669</v>
      </c>
      <c r="CE70" s="26">
        <v>0.8125</v>
      </c>
      <c r="CF70" s="33">
        <v>60</v>
      </c>
      <c r="CG70" s="28">
        <v>1</v>
      </c>
      <c r="CH70" s="29">
        <v>1</v>
      </c>
      <c r="CJ70" s="25">
        <v>0.35416666666666669</v>
      </c>
      <c r="CK70" s="26">
        <v>0.66666666666666663</v>
      </c>
      <c r="CL70" s="27">
        <v>45</v>
      </c>
      <c r="CM70" s="28">
        <v>1</v>
      </c>
      <c r="CN70" s="29">
        <v>1</v>
      </c>
      <c r="CP70" s="25"/>
      <c r="CQ70" s="26"/>
      <c r="CR70" s="27"/>
      <c r="CS70" s="28"/>
      <c r="CT70" s="29"/>
      <c r="CV70" s="25"/>
      <c r="CW70" s="26"/>
      <c r="CX70" s="27"/>
      <c r="CY70" s="28"/>
      <c r="CZ70" s="29"/>
      <c r="DA70" s="79">
        <f t="shared" ref="DA70:DA133" si="13">IF(SUM((CW70-CV70)*24,-CX70/60)*CY70&gt;=0,SUM((CW70-CV70)*24,-CX70/60)*CY70,0)</f>
        <v>0</v>
      </c>
      <c r="DB70" s="80" t="e">
        <f>DA70*#REF!</f>
        <v>#REF!</v>
      </c>
      <c r="DC70" s="81" t="e">
        <f>DA70*#REF!</f>
        <v>#REF!</v>
      </c>
      <c r="DE70" s="25"/>
      <c r="DF70" s="26"/>
      <c r="DG70" s="27"/>
      <c r="DH70" s="28"/>
      <c r="DI70" s="29"/>
      <c r="DJ70" s="79">
        <f t="shared" ref="DJ70:DJ133" si="14">IF(SUM((DF70-DE70)*24,-DG70/60)*DH70&gt;=0,SUM((DF70-DE70)*24,-DG70/60)*DH70,0)</f>
        <v>0</v>
      </c>
      <c r="DK70" s="80" t="e">
        <f>DJ70*#REF!</f>
        <v>#REF!</v>
      </c>
      <c r="DL70" s="81" t="e">
        <f>DJ70*#REF!</f>
        <v>#REF!</v>
      </c>
      <c r="DN70" s="25"/>
      <c r="DO70" s="26"/>
      <c r="DP70" s="27"/>
      <c r="DQ70" s="28"/>
      <c r="DR70" s="29"/>
      <c r="DS70" s="79">
        <f t="shared" ref="DS70:DS133" si="15">IF(SUM((DO70-DN70)*24,-DP70/60)*DQ70&gt;=0,SUM((DO70-DN70)*24,-DP70/60)*DQ70,0)</f>
        <v>0</v>
      </c>
      <c r="DT70" s="80" t="e">
        <f>DS70*#REF!</f>
        <v>#REF!</v>
      </c>
      <c r="DU70" s="81" t="e">
        <f>DS70*#REF!</f>
        <v>#REF!</v>
      </c>
      <c r="DW70" s="25"/>
      <c r="DX70" s="26"/>
      <c r="DY70" s="27"/>
      <c r="DZ70" s="28"/>
      <c r="EA70" s="29"/>
      <c r="EB70" s="79">
        <f t="shared" ref="EB70:EB133" si="16">IF(SUM((DX70-DW70)*24,-DY70/60)*DZ70&gt;=0,SUM((DX70-DW70)*24,-DY70/60)*DZ70,0)</f>
        <v>0</v>
      </c>
      <c r="EC70" s="80" t="e">
        <f>EB70*#REF!</f>
        <v>#REF!</v>
      </c>
      <c r="ED70" s="81" t="e">
        <f>EB70*#REF!</f>
        <v>#REF!</v>
      </c>
      <c r="EF70" s="25"/>
      <c r="EG70" s="26"/>
      <c r="EH70" s="27"/>
      <c r="EI70" s="28"/>
      <c r="EJ70" s="29"/>
      <c r="EK70" s="79">
        <f t="shared" ref="EK70:EK133" si="17">IF(SUM((EG70-EF70)*24,-EH70/60)*EI70&gt;=0,SUM((EG70-EF70)*24,-EH70/60)*EI70,0)</f>
        <v>0</v>
      </c>
      <c r="EL70" s="80" t="e">
        <f>EK70*#REF!</f>
        <v>#REF!</v>
      </c>
      <c r="EM70" s="81" t="e">
        <f>EK70*#REF!</f>
        <v>#REF!</v>
      </c>
      <c r="EO70" s="25"/>
      <c r="EP70" s="26"/>
      <c r="EQ70" s="27"/>
      <c r="ER70" s="28"/>
      <c r="ES70" s="29"/>
      <c r="ET70" s="79">
        <f t="shared" ref="ET70:ET133" si="18">IF(SUM((EP70-EO70)*24,-EQ70/60)*ER70&gt;=0,SUM((EP70-EO70)*24,-EQ70/60)*ER70,0)</f>
        <v>0</v>
      </c>
      <c r="EU70" s="80" t="e">
        <f>ET70*#REF!</f>
        <v>#REF!</v>
      </c>
      <c r="EV70" s="81" t="e">
        <f>ET70*#REF!</f>
        <v>#REF!</v>
      </c>
      <c r="EX70" s="25"/>
      <c r="EY70" s="26"/>
      <c r="EZ70" s="27"/>
      <c r="FA70" s="28"/>
      <c r="FB70" s="29"/>
      <c r="FC70" s="79">
        <f t="shared" ref="FC70:FC133" si="19">IF(SUM((EY70-EX70)*24,-EZ70/60)*FA70&gt;=0,SUM((EY70-EX70)*24,-EZ70/60)*FA70,0)</f>
        <v>0</v>
      </c>
      <c r="FD70" s="80" t="e">
        <f>FC70*#REF!</f>
        <v>#REF!</v>
      </c>
      <c r="FE70" s="81" t="e">
        <f>FC70*#REF!</f>
        <v>#REF!</v>
      </c>
      <c r="FG70" s="25"/>
      <c r="FH70" s="26"/>
      <c r="FI70" s="27"/>
      <c r="FJ70" s="28"/>
      <c r="FK70" s="29"/>
      <c r="FL70" s="79">
        <f t="shared" ref="FL70:FL133" si="20">IF(SUM((FH70-FG70)*24,-FI70/60)*FJ70&gt;=0,SUM((FH70-FG70)*24,-FI70/60)*FJ70,0)</f>
        <v>0</v>
      </c>
      <c r="FM70" s="80" t="e">
        <f>FL70*#REF!</f>
        <v>#REF!</v>
      </c>
      <c r="FN70" s="81" t="e">
        <f>FL70*#REF!</f>
        <v>#REF!</v>
      </c>
      <c r="FP70" s="25"/>
      <c r="FQ70" s="26"/>
      <c r="FR70" s="27"/>
      <c r="FS70" s="28"/>
      <c r="FT70" s="29"/>
      <c r="FU70" s="79">
        <f t="shared" ref="FU70:FU133" si="21">IF(SUM((FQ70-FP70)*24,-FR70/60)*FS70&gt;=0,SUM((FQ70-FP70)*24,-FR70/60)*FS70,0)</f>
        <v>0</v>
      </c>
      <c r="FV70" s="80" t="e">
        <f>FU70*#REF!</f>
        <v>#REF!</v>
      </c>
      <c r="FW70" s="81" t="e">
        <f>FU70*#REF!</f>
        <v>#REF!</v>
      </c>
      <c r="FY70" s="25"/>
      <c r="FZ70" s="26"/>
      <c r="GA70" s="27"/>
      <c r="GB70" s="28"/>
      <c r="GC70" s="29"/>
      <c r="GD70" s="79">
        <f t="shared" ref="GD70:GD133" si="22">IF(SUM((FZ70-FY70)*24,-GA70/60)*GB70&gt;=0,SUM((FZ70-FY70)*24,-GA70/60)*GB70,0)</f>
        <v>0</v>
      </c>
      <c r="GE70" s="80" t="e">
        <f>GD70*#REF!</f>
        <v>#REF!</v>
      </c>
      <c r="GF70" s="81" t="e">
        <f>GD70*#REF!</f>
        <v>#REF!</v>
      </c>
      <c r="GH70" s="25"/>
      <c r="GI70" s="26"/>
      <c r="GJ70" s="27"/>
      <c r="GK70" s="28"/>
      <c r="GL70" s="29"/>
      <c r="GM70" s="79">
        <f t="shared" ref="GM70:GM133" si="23">IF(SUM((GI70-GH70)*24,-GJ70/60)*GK70&gt;=0,SUM((GI70-GH70)*24,-GJ70/60)*GK70,0)</f>
        <v>0</v>
      </c>
      <c r="GN70" s="80" t="e">
        <f>GM70*#REF!</f>
        <v>#REF!</v>
      </c>
      <c r="GO70" s="81" t="e">
        <f>GM70*#REF!</f>
        <v>#REF!</v>
      </c>
      <c r="GQ70" s="82">
        <f t="shared" ref="GQ70:GQ101" si="24">_xlfn.MAXIFS(I70:GO70,$I$5:$GO$5,"Staff #")</f>
        <v>1</v>
      </c>
      <c r="GR70" s="83">
        <v>1</v>
      </c>
    </row>
    <row r="71" spans="2:200" ht="15">
      <c r="B71" s="22" t="s">
        <v>110</v>
      </c>
      <c r="C71" s="23" t="s">
        <v>84</v>
      </c>
      <c r="D71" s="24" t="str">
        <f>IF(C71="","",_xlfn.XLOOKUP(C71,'[1]Control Sheet'!$L$5:$L$104,'[1]Control Sheet'!$M$5:$M$104,"",0))</f>
        <v xml:space="preserve">Host </v>
      </c>
      <c r="E71" s="24" t="str">
        <f>IF(B71="","",_xlfn.XLOOKUP(B71,'[1]Control Sheet'!$D$5:$D$64,'[1]Control Sheet'!$F$5:$F$64,"",0))</f>
        <v>Retail</v>
      </c>
      <c r="F71" s="24" t="str">
        <f>IF(B71="","",_xlfn.XLOOKUP(B71,'[1]Control Sheet'!$D$5:$D$64,'[1]Control Sheet'!$E$5:$E$64,"",0))</f>
        <v>C1150-N</v>
      </c>
      <c r="I71" s="25">
        <v>0.35416666666666669</v>
      </c>
      <c r="J71" s="26">
        <v>0.69791666666666663</v>
      </c>
      <c r="K71" s="27">
        <v>45</v>
      </c>
      <c r="L71" s="28">
        <v>1</v>
      </c>
      <c r="M71" s="29">
        <v>1</v>
      </c>
      <c r="P71" s="25">
        <v>0.35416666666666669</v>
      </c>
      <c r="Q71" s="26">
        <v>0.73958333333333337</v>
      </c>
      <c r="R71" s="27">
        <v>45</v>
      </c>
      <c r="S71" s="28">
        <v>1</v>
      </c>
      <c r="T71" s="29">
        <v>1</v>
      </c>
      <c r="V71" s="25">
        <v>0.35416666666666669</v>
      </c>
      <c r="W71" s="26">
        <v>0.73958333333333337</v>
      </c>
      <c r="X71" s="27">
        <v>45</v>
      </c>
      <c r="Y71" s="28">
        <v>1</v>
      </c>
      <c r="Z71" s="29">
        <v>1</v>
      </c>
      <c r="AB71" s="25">
        <v>0.35416666666666669</v>
      </c>
      <c r="AC71" s="26">
        <v>0.73958333333333337</v>
      </c>
      <c r="AD71" s="27">
        <v>45</v>
      </c>
      <c r="AE71" s="28">
        <v>1</v>
      </c>
      <c r="AF71" s="29">
        <v>1</v>
      </c>
      <c r="AH71" s="25">
        <v>0.35416666666666669</v>
      </c>
      <c r="AI71" s="26">
        <v>0.73958333333333337</v>
      </c>
      <c r="AJ71" s="27">
        <v>45</v>
      </c>
      <c r="AK71" s="28">
        <v>1</v>
      </c>
      <c r="AL71" s="29">
        <v>1</v>
      </c>
      <c r="AN71" s="25">
        <v>0.35416666666666669</v>
      </c>
      <c r="AO71" s="26">
        <v>0.75</v>
      </c>
      <c r="AP71" s="33">
        <v>60</v>
      </c>
      <c r="AQ71" s="28">
        <v>1</v>
      </c>
      <c r="AR71" s="29">
        <v>1</v>
      </c>
      <c r="AT71" s="25">
        <v>0.35416666666666669</v>
      </c>
      <c r="AU71" s="26">
        <v>0.73958333333333337</v>
      </c>
      <c r="AV71" s="27">
        <v>45</v>
      </c>
      <c r="AW71" s="28">
        <v>1</v>
      </c>
      <c r="AX71" s="29">
        <v>1</v>
      </c>
      <c r="AZ71" s="25">
        <v>0.35416666666666669</v>
      </c>
      <c r="BA71" s="26">
        <v>0.75</v>
      </c>
      <c r="BB71" s="33">
        <v>60</v>
      </c>
      <c r="BC71" s="28">
        <v>1</v>
      </c>
      <c r="BD71" s="29">
        <v>1</v>
      </c>
      <c r="BF71" s="25">
        <v>0.35416666666666669</v>
      </c>
      <c r="BG71" s="26">
        <v>0.79166666666666663</v>
      </c>
      <c r="BH71" s="27">
        <v>60</v>
      </c>
      <c r="BI71" s="28">
        <v>1</v>
      </c>
      <c r="BJ71" s="29">
        <v>1</v>
      </c>
      <c r="BL71" s="25">
        <v>0.38541666666666669</v>
      </c>
      <c r="BM71" s="26">
        <v>0.69791666666666663</v>
      </c>
      <c r="BN71" s="27">
        <v>45</v>
      </c>
      <c r="BO71" s="28">
        <v>1</v>
      </c>
      <c r="BP71" s="29">
        <v>1</v>
      </c>
      <c r="BR71" s="25">
        <v>0.35416666666666669</v>
      </c>
      <c r="BS71" s="26">
        <v>0.66666666666666663</v>
      </c>
      <c r="BT71" s="27">
        <v>45</v>
      </c>
      <c r="BU71" s="28">
        <v>1</v>
      </c>
      <c r="BV71" s="29">
        <v>1</v>
      </c>
      <c r="BX71" s="25">
        <v>0.35416666666666669</v>
      </c>
      <c r="BY71" s="26">
        <v>0.75</v>
      </c>
      <c r="BZ71" s="27">
        <v>45</v>
      </c>
      <c r="CA71" s="28">
        <v>1</v>
      </c>
      <c r="CB71" s="29">
        <v>1</v>
      </c>
      <c r="CD71" s="25">
        <v>0.35416666666666669</v>
      </c>
      <c r="CE71" s="26">
        <v>0.75</v>
      </c>
      <c r="CF71" s="33">
        <v>60</v>
      </c>
      <c r="CG71" s="28">
        <v>1</v>
      </c>
      <c r="CH71" s="29">
        <v>1</v>
      </c>
      <c r="CJ71" s="25">
        <v>0.35416666666666669</v>
      </c>
      <c r="CK71" s="26">
        <v>0.66666666666666663</v>
      </c>
      <c r="CL71" s="27">
        <v>45</v>
      </c>
      <c r="CM71" s="28">
        <v>1</v>
      </c>
      <c r="CN71" s="29">
        <v>1</v>
      </c>
      <c r="CP71" s="25"/>
      <c r="CQ71" s="26"/>
      <c r="CR71" s="27"/>
      <c r="CS71" s="28"/>
      <c r="CT71" s="29"/>
      <c r="CV71" s="25"/>
      <c r="CW71" s="26"/>
      <c r="CX71" s="27"/>
      <c r="CY71" s="28"/>
      <c r="CZ71" s="29"/>
      <c r="DA71" s="79">
        <f t="shared" si="13"/>
        <v>0</v>
      </c>
      <c r="DB71" s="80" t="e">
        <f>DA71*#REF!</f>
        <v>#REF!</v>
      </c>
      <c r="DC71" s="81" t="e">
        <f>DA71*#REF!</f>
        <v>#REF!</v>
      </c>
      <c r="DE71" s="25"/>
      <c r="DF71" s="26"/>
      <c r="DG71" s="27"/>
      <c r="DH71" s="28"/>
      <c r="DI71" s="29"/>
      <c r="DJ71" s="79">
        <f t="shared" si="14"/>
        <v>0</v>
      </c>
      <c r="DK71" s="80" t="e">
        <f>DJ71*#REF!</f>
        <v>#REF!</v>
      </c>
      <c r="DL71" s="81" t="e">
        <f>DJ71*#REF!</f>
        <v>#REF!</v>
      </c>
      <c r="DN71" s="25"/>
      <c r="DO71" s="26"/>
      <c r="DP71" s="27"/>
      <c r="DQ71" s="28"/>
      <c r="DR71" s="29"/>
      <c r="DS71" s="79">
        <f t="shared" si="15"/>
        <v>0</v>
      </c>
      <c r="DT71" s="80" t="e">
        <f>DS71*#REF!</f>
        <v>#REF!</v>
      </c>
      <c r="DU71" s="81" t="e">
        <f>DS71*#REF!</f>
        <v>#REF!</v>
      </c>
      <c r="DW71" s="25"/>
      <c r="DX71" s="26"/>
      <c r="DY71" s="27"/>
      <c r="DZ71" s="28"/>
      <c r="EA71" s="29"/>
      <c r="EB71" s="79">
        <f t="shared" si="16"/>
        <v>0</v>
      </c>
      <c r="EC71" s="80" t="e">
        <f>EB71*#REF!</f>
        <v>#REF!</v>
      </c>
      <c r="ED71" s="81" t="e">
        <f>EB71*#REF!</f>
        <v>#REF!</v>
      </c>
      <c r="EF71" s="25"/>
      <c r="EG71" s="26"/>
      <c r="EH71" s="27"/>
      <c r="EI71" s="28"/>
      <c r="EJ71" s="29"/>
      <c r="EK71" s="79">
        <f t="shared" si="17"/>
        <v>0</v>
      </c>
      <c r="EL71" s="80" t="e">
        <f>EK71*#REF!</f>
        <v>#REF!</v>
      </c>
      <c r="EM71" s="81" t="e">
        <f>EK71*#REF!</f>
        <v>#REF!</v>
      </c>
      <c r="EO71" s="25"/>
      <c r="EP71" s="26"/>
      <c r="EQ71" s="27"/>
      <c r="ER71" s="28"/>
      <c r="ES71" s="29"/>
      <c r="ET71" s="79">
        <f t="shared" si="18"/>
        <v>0</v>
      </c>
      <c r="EU71" s="80" t="e">
        <f>ET71*#REF!</f>
        <v>#REF!</v>
      </c>
      <c r="EV71" s="81" t="e">
        <f>ET71*#REF!</f>
        <v>#REF!</v>
      </c>
      <c r="EX71" s="25"/>
      <c r="EY71" s="26"/>
      <c r="EZ71" s="27"/>
      <c r="FA71" s="28"/>
      <c r="FB71" s="29"/>
      <c r="FC71" s="79">
        <f t="shared" si="19"/>
        <v>0</v>
      </c>
      <c r="FD71" s="80" t="e">
        <f>FC71*#REF!</f>
        <v>#REF!</v>
      </c>
      <c r="FE71" s="81" t="e">
        <f>FC71*#REF!</f>
        <v>#REF!</v>
      </c>
      <c r="FG71" s="25"/>
      <c r="FH71" s="26"/>
      <c r="FI71" s="27"/>
      <c r="FJ71" s="28"/>
      <c r="FK71" s="29"/>
      <c r="FL71" s="79">
        <f t="shared" si="20"/>
        <v>0</v>
      </c>
      <c r="FM71" s="80" t="e">
        <f>FL71*#REF!</f>
        <v>#REF!</v>
      </c>
      <c r="FN71" s="81" t="e">
        <f>FL71*#REF!</f>
        <v>#REF!</v>
      </c>
      <c r="FP71" s="25"/>
      <c r="FQ71" s="26"/>
      <c r="FR71" s="27"/>
      <c r="FS71" s="28"/>
      <c r="FT71" s="29"/>
      <c r="FU71" s="79">
        <f t="shared" si="21"/>
        <v>0</v>
      </c>
      <c r="FV71" s="80" t="e">
        <f>FU71*#REF!</f>
        <v>#REF!</v>
      </c>
      <c r="FW71" s="81" t="e">
        <f>FU71*#REF!</f>
        <v>#REF!</v>
      </c>
      <c r="FY71" s="25"/>
      <c r="FZ71" s="26"/>
      <c r="GA71" s="27"/>
      <c r="GB71" s="28"/>
      <c r="GC71" s="29"/>
      <c r="GD71" s="79">
        <f t="shared" si="22"/>
        <v>0</v>
      </c>
      <c r="GE71" s="80" t="e">
        <f>GD71*#REF!</f>
        <v>#REF!</v>
      </c>
      <c r="GF71" s="81" t="e">
        <f>GD71*#REF!</f>
        <v>#REF!</v>
      </c>
      <c r="GH71" s="25"/>
      <c r="GI71" s="26"/>
      <c r="GJ71" s="27"/>
      <c r="GK71" s="28"/>
      <c r="GL71" s="29"/>
      <c r="GM71" s="79">
        <f t="shared" si="23"/>
        <v>0</v>
      </c>
      <c r="GN71" s="80" t="e">
        <f>GM71*#REF!</f>
        <v>#REF!</v>
      </c>
      <c r="GO71" s="81" t="e">
        <f>GM71*#REF!</f>
        <v>#REF!</v>
      </c>
      <c r="GQ71" s="82">
        <f t="shared" si="24"/>
        <v>1</v>
      </c>
      <c r="GR71" s="83">
        <v>1</v>
      </c>
    </row>
    <row r="72" spans="2:200" ht="15">
      <c r="B72" s="22" t="s">
        <v>110</v>
      </c>
      <c r="C72" s="23" t="s">
        <v>84</v>
      </c>
      <c r="D72" s="24" t="str">
        <f>IF(C72="","",_xlfn.XLOOKUP(C72,'[1]Control Sheet'!$L$5:$L$104,'[1]Control Sheet'!$M$5:$M$104,"",0))</f>
        <v xml:space="preserve">Host </v>
      </c>
      <c r="E72" s="24" t="str">
        <f>IF(B72="","",_xlfn.XLOOKUP(B72,'[1]Control Sheet'!$D$5:$D$64,'[1]Control Sheet'!$F$5:$F$64,"",0))</f>
        <v>Retail</v>
      </c>
      <c r="F72" s="24" t="str">
        <f>IF(B72="","",_xlfn.XLOOKUP(B72,'[1]Control Sheet'!$D$5:$D$64,'[1]Control Sheet'!$E$5:$E$64,"",0))</f>
        <v>C1150-N</v>
      </c>
      <c r="I72" s="25">
        <v>0.38541666666666669</v>
      </c>
      <c r="J72" s="26">
        <v>0.69791666666666663</v>
      </c>
      <c r="K72" s="27">
        <v>45</v>
      </c>
      <c r="L72" s="28">
        <v>1</v>
      </c>
      <c r="M72" s="29">
        <v>1</v>
      </c>
      <c r="P72" s="25">
        <v>0.38541666666666669</v>
      </c>
      <c r="Q72" s="26">
        <v>0.73958333333333337</v>
      </c>
      <c r="R72" s="27">
        <v>45</v>
      </c>
      <c r="S72" s="28">
        <v>1</v>
      </c>
      <c r="T72" s="29">
        <v>1</v>
      </c>
      <c r="V72" s="25">
        <v>0.38541666666666669</v>
      </c>
      <c r="W72" s="26">
        <v>0.73958333333333337</v>
      </c>
      <c r="X72" s="27">
        <v>45</v>
      </c>
      <c r="Y72" s="28">
        <v>1</v>
      </c>
      <c r="Z72" s="29">
        <v>1</v>
      </c>
      <c r="AB72" s="25">
        <v>0.38541666666666669</v>
      </c>
      <c r="AC72" s="26">
        <v>0.73958333333333337</v>
      </c>
      <c r="AD72" s="27">
        <v>45</v>
      </c>
      <c r="AE72" s="28">
        <v>1</v>
      </c>
      <c r="AF72" s="29">
        <v>1</v>
      </c>
      <c r="AH72" s="25">
        <v>0.38541666666666669</v>
      </c>
      <c r="AI72" s="26">
        <v>0.73958333333333337</v>
      </c>
      <c r="AJ72" s="27">
        <v>45</v>
      </c>
      <c r="AK72" s="28">
        <v>1</v>
      </c>
      <c r="AL72" s="29">
        <v>1</v>
      </c>
      <c r="AN72" s="25">
        <v>0.38541666666666669</v>
      </c>
      <c r="AO72" s="26">
        <v>0.79166666666666663</v>
      </c>
      <c r="AP72" s="33">
        <v>60</v>
      </c>
      <c r="AQ72" s="28">
        <v>1</v>
      </c>
      <c r="AR72" s="29">
        <v>1</v>
      </c>
      <c r="AT72" s="25">
        <v>0.39583333333333331</v>
      </c>
      <c r="AU72" s="26">
        <v>0.73958333333333337</v>
      </c>
      <c r="AV72" s="27">
        <v>45</v>
      </c>
      <c r="AW72" s="28">
        <v>1</v>
      </c>
      <c r="AX72" s="29">
        <v>1</v>
      </c>
      <c r="AZ72" s="25">
        <v>0.38541666666666669</v>
      </c>
      <c r="BA72" s="26">
        <v>0.79166666666666663</v>
      </c>
      <c r="BB72" s="33">
        <v>60</v>
      </c>
      <c r="BC72" s="28">
        <v>1</v>
      </c>
      <c r="BD72" s="29">
        <v>1</v>
      </c>
      <c r="BF72" s="25">
        <v>0.39583333333333331</v>
      </c>
      <c r="BG72" s="26">
        <v>0.83333333333333337</v>
      </c>
      <c r="BH72" s="27">
        <v>60</v>
      </c>
      <c r="BI72" s="28">
        <v>1</v>
      </c>
      <c r="BJ72" s="29">
        <v>1</v>
      </c>
      <c r="BL72" s="25"/>
      <c r="BM72" s="26"/>
      <c r="BN72" s="27"/>
      <c r="BO72" s="28"/>
      <c r="BP72" s="29"/>
      <c r="BR72" s="25">
        <v>0.39583333333333331</v>
      </c>
      <c r="BS72" s="26">
        <v>0.66666666666666663</v>
      </c>
      <c r="BT72" s="27">
        <v>45</v>
      </c>
      <c r="BU72" s="28">
        <v>1</v>
      </c>
      <c r="BV72" s="29">
        <v>1</v>
      </c>
      <c r="BX72" s="25">
        <v>0.39583333333333331</v>
      </c>
      <c r="BY72" s="26">
        <v>0.75</v>
      </c>
      <c r="BZ72" s="27">
        <v>45</v>
      </c>
      <c r="CA72" s="28">
        <v>1</v>
      </c>
      <c r="CB72" s="29">
        <v>1</v>
      </c>
      <c r="CD72" s="25">
        <v>0.39583333333333331</v>
      </c>
      <c r="CE72" s="26">
        <v>0.8125</v>
      </c>
      <c r="CF72" s="33">
        <v>60</v>
      </c>
      <c r="CG72" s="28">
        <v>1</v>
      </c>
      <c r="CH72" s="29">
        <v>1</v>
      </c>
      <c r="CJ72" s="25">
        <v>0.39583333333333331</v>
      </c>
      <c r="CK72" s="26">
        <v>0.66666666666666663</v>
      </c>
      <c r="CL72" s="27">
        <v>45</v>
      </c>
      <c r="CM72" s="28">
        <v>1</v>
      </c>
      <c r="CN72" s="29">
        <v>1</v>
      </c>
      <c r="CP72" s="25"/>
      <c r="CQ72" s="26"/>
      <c r="CR72" s="27"/>
      <c r="CS72" s="28"/>
      <c r="CT72" s="29"/>
      <c r="CV72" s="25"/>
      <c r="CW72" s="26"/>
      <c r="CX72" s="27"/>
      <c r="CY72" s="28"/>
      <c r="CZ72" s="29"/>
      <c r="DA72" s="79">
        <f t="shared" si="13"/>
        <v>0</v>
      </c>
      <c r="DB72" s="80" t="e">
        <f>DA72*#REF!</f>
        <v>#REF!</v>
      </c>
      <c r="DC72" s="81" t="e">
        <f>DA72*#REF!</f>
        <v>#REF!</v>
      </c>
      <c r="DE72" s="25"/>
      <c r="DF72" s="26"/>
      <c r="DG72" s="27"/>
      <c r="DH72" s="28"/>
      <c r="DI72" s="29"/>
      <c r="DJ72" s="79">
        <f t="shared" si="14"/>
        <v>0</v>
      </c>
      <c r="DK72" s="80" t="e">
        <f>DJ72*#REF!</f>
        <v>#REF!</v>
      </c>
      <c r="DL72" s="81" t="e">
        <f>DJ72*#REF!</f>
        <v>#REF!</v>
      </c>
      <c r="DN72" s="25"/>
      <c r="DO72" s="26"/>
      <c r="DP72" s="27"/>
      <c r="DQ72" s="28"/>
      <c r="DR72" s="29"/>
      <c r="DS72" s="79">
        <f t="shared" si="15"/>
        <v>0</v>
      </c>
      <c r="DT72" s="80" t="e">
        <f>DS72*#REF!</f>
        <v>#REF!</v>
      </c>
      <c r="DU72" s="81" t="e">
        <f>DS72*#REF!</f>
        <v>#REF!</v>
      </c>
      <c r="DW72" s="25"/>
      <c r="DX72" s="26"/>
      <c r="DY72" s="27"/>
      <c r="DZ72" s="28"/>
      <c r="EA72" s="29"/>
      <c r="EB72" s="79">
        <f t="shared" si="16"/>
        <v>0</v>
      </c>
      <c r="EC72" s="80" t="e">
        <f>EB72*#REF!</f>
        <v>#REF!</v>
      </c>
      <c r="ED72" s="81" t="e">
        <f>EB72*#REF!</f>
        <v>#REF!</v>
      </c>
      <c r="EF72" s="25"/>
      <c r="EG72" s="26"/>
      <c r="EH72" s="27"/>
      <c r="EI72" s="28"/>
      <c r="EJ72" s="29"/>
      <c r="EK72" s="79">
        <f t="shared" si="17"/>
        <v>0</v>
      </c>
      <c r="EL72" s="80" t="e">
        <f>EK72*#REF!</f>
        <v>#REF!</v>
      </c>
      <c r="EM72" s="81" t="e">
        <f>EK72*#REF!</f>
        <v>#REF!</v>
      </c>
      <c r="EO72" s="25"/>
      <c r="EP72" s="26"/>
      <c r="EQ72" s="27"/>
      <c r="ER72" s="28"/>
      <c r="ES72" s="29"/>
      <c r="ET72" s="79">
        <f t="shared" si="18"/>
        <v>0</v>
      </c>
      <c r="EU72" s="80" t="e">
        <f>ET72*#REF!</f>
        <v>#REF!</v>
      </c>
      <c r="EV72" s="81" t="e">
        <f>ET72*#REF!</f>
        <v>#REF!</v>
      </c>
      <c r="EX72" s="25"/>
      <c r="EY72" s="26"/>
      <c r="EZ72" s="27"/>
      <c r="FA72" s="28"/>
      <c r="FB72" s="29"/>
      <c r="FC72" s="79">
        <f t="shared" si="19"/>
        <v>0</v>
      </c>
      <c r="FD72" s="80" t="e">
        <f>FC72*#REF!</f>
        <v>#REF!</v>
      </c>
      <c r="FE72" s="81" t="e">
        <f>FC72*#REF!</f>
        <v>#REF!</v>
      </c>
      <c r="FG72" s="25"/>
      <c r="FH72" s="26"/>
      <c r="FI72" s="27"/>
      <c r="FJ72" s="28"/>
      <c r="FK72" s="29"/>
      <c r="FL72" s="79">
        <f t="shared" si="20"/>
        <v>0</v>
      </c>
      <c r="FM72" s="80" t="e">
        <f>FL72*#REF!</f>
        <v>#REF!</v>
      </c>
      <c r="FN72" s="81" t="e">
        <f>FL72*#REF!</f>
        <v>#REF!</v>
      </c>
      <c r="FP72" s="25"/>
      <c r="FQ72" s="26"/>
      <c r="FR72" s="27"/>
      <c r="FS72" s="28"/>
      <c r="FT72" s="29"/>
      <c r="FU72" s="79">
        <f t="shared" si="21"/>
        <v>0</v>
      </c>
      <c r="FV72" s="80" t="e">
        <f>FU72*#REF!</f>
        <v>#REF!</v>
      </c>
      <c r="FW72" s="81" t="e">
        <f>FU72*#REF!</f>
        <v>#REF!</v>
      </c>
      <c r="FY72" s="25"/>
      <c r="FZ72" s="26"/>
      <c r="GA72" s="27"/>
      <c r="GB72" s="28"/>
      <c r="GC72" s="29"/>
      <c r="GD72" s="79">
        <f t="shared" si="22"/>
        <v>0</v>
      </c>
      <c r="GE72" s="80" t="e">
        <f>GD72*#REF!</f>
        <v>#REF!</v>
      </c>
      <c r="GF72" s="81" t="e">
        <f>GD72*#REF!</f>
        <v>#REF!</v>
      </c>
      <c r="GH72" s="25"/>
      <c r="GI72" s="26"/>
      <c r="GJ72" s="27"/>
      <c r="GK72" s="28"/>
      <c r="GL72" s="29"/>
      <c r="GM72" s="79">
        <f t="shared" si="23"/>
        <v>0</v>
      </c>
      <c r="GN72" s="80" t="e">
        <f>GM72*#REF!</f>
        <v>#REF!</v>
      </c>
      <c r="GO72" s="81" t="e">
        <f>GM72*#REF!</f>
        <v>#REF!</v>
      </c>
      <c r="GQ72" s="82">
        <f t="shared" si="24"/>
        <v>1</v>
      </c>
      <c r="GR72" s="83">
        <v>1</v>
      </c>
    </row>
    <row r="73" spans="2:200" ht="15">
      <c r="B73" s="22" t="s">
        <v>110</v>
      </c>
      <c r="C73" s="23" t="s">
        <v>84</v>
      </c>
      <c r="D73" s="24" t="str">
        <f>IF(C73="","",_xlfn.XLOOKUP(C73,'[1]Control Sheet'!$L$5:$L$104,'[1]Control Sheet'!$M$5:$M$104,"",0))</f>
        <v xml:space="preserve">Host </v>
      </c>
      <c r="E73" s="24" t="str">
        <f>IF(B73="","",_xlfn.XLOOKUP(B73,'[1]Control Sheet'!$D$5:$D$64,'[1]Control Sheet'!$F$5:$F$64,"",0))</f>
        <v>Retail</v>
      </c>
      <c r="F73" s="24" t="str">
        <f>IF(B73="","",_xlfn.XLOOKUP(B73,'[1]Control Sheet'!$D$5:$D$64,'[1]Control Sheet'!$E$5:$E$64,"",0))</f>
        <v>C1150-N</v>
      </c>
      <c r="I73" s="25">
        <v>0.45833333333333331</v>
      </c>
      <c r="J73" s="26">
        <v>0.69791666666666663</v>
      </c>
      <c r="K73" s="27">
        <v>45</v>
      </c>
      <c r="L73" s="28">
        <v>1</v>
      </c>
      <c r="M73" s="29">
        <v>0.5</v>
      </c>
      <c r="P73" s="25">
        <v>0.45833333333333331</v>
      </c>
      <c r="Q73" s="26">
        <v>0.73958333333333337</v>
      </c>
      <c r="R73" s="27">
        <v>45</v>
      </c>
      <c r="S73" s="28">
        <v>1</v>
      </c>
      <c r="T73" s="29">
        <v>0.5</v>
      </c>
      <c r="V73" s="25">
        <v>0.45833333333333331</v>
      </c>
      <c r="W73" s="26">
        <v>0.73958333333333337</v>
      </c>
      <c r="X73" s="27">
        <v>45</v>
      </c>
      <c r="Y73" s="28">
        <v>1</v>
      </c>
      <c r="Z73" s="29">
        <v>0.5</v>
      </c>
      <c r="AB73" s="25">
        <v>0.45833333333333331</v>
      </c>
      <c r="AC73" s="26">
        <v>0.73958333333333337</v>
      </c>
      <c r="AD73" s="27">
        <v>45</v>
      </c>
      <c r="AE73" s="28">
        <v>1</v>
      </c>
      <c r="AF73" s="29">
        <v>0.5</v>
      </c>
      <c r="AH73" s="25">
        <v>0.45833333333333331</v>
      </c>
      <c r="AI73" s="26">
        <v>0.73958333333333337</v>
      </c>
      <c r="AJ73" s="27">
        <v>45</v>
      </c>
      <c r="AK73" s="28">
        <v>1</v>
      </c>
      <c r="AL73" s="29">
        <v>0.5</v>
      </c>
      <c r="AN73" s="25">
        <v>0.45833333333333331</v>
      </c>
      <c r="AO73" s="26">
        <v>0.75</v>
      </c>
      <c r="AP73" s="33">
        <v>60</v>
      </c>
      <c r="AQ73" s="28">
        <v>1</v>
      </c>
      <c r="AR73" s="29">
        <v>0.5</v>
      </c>
      <c r="AT73" s="25">
        <v>0.45833333333333331</v>
      </c>
      <c r="AU73" s="26">
        <v>0.73958333333333337</v>
      </c>
      <c r="AV73" s="27">
        <v>45</v>
      </c>
      <c r="AW73" s="28">
        <v>1</v>
      </c>
      <c r="AX73" s="29">
        <v>0.5</v>
      </c>
      <c r="AZ73" s="25">
        <v>0.45833333333333331</v>
      </c>
      <c r="BA73" s="26">
        <v>0.75</v>
      </c>
      <c r="BB73" s="33">
        <v>60</v>
      </c>
      <c r="BC73" s="28">
        <v>1</v>
      </c>
      <c r="BD73" s="29">
        <v>0.5</v>
      </c>
      <c r="BF73" s="25">
        <v>0.45833333333333331</v>
      </c>
      <c r="BG73" s="26">
        <v>0.79166666666666663</v>
      </c>
      <c r="BH73" s="27">
        <v>60</v>
      </c>
      <c r="BI73" s="28">
        <v>1</v>
      </c>
      <c r="BJ73" s="29">
        <v>0.5</v>
      </c>
      <c r="BL73" s="25"/>
      <c r="BM73" s="26"/>
      <c r="BN73" s="27"/>
      <c r="BO73" s="28"/>
      <c r="BP73" s="29"/>
      <c r="BR73" s="25"/>
      <c r="BS73" s="26"/>
      <c r="BT73" s="27"/>
      <c r="BU73" s="28"/>
      <c r="BV73" s="29"/>
      <c r="BX73" s="25">
        <v>0.54166666666666663</v>
      </c>
      <c r="BY73" s="26">
        <v>0.70833333333333337</v>
      </c>
      <c r="BZ73" s="27">
        <v>0</v>
      </c>
      <c r="CA73" s="28">
        <v>1</v>
      </c>
      <c r="CB73" s="29">
        <v>0.5</v>
      </c>
      <c r="CD73" s="25">
        <v>0.54166666666666663</v>
      </c>
      <c r="CE73" s="26">
        <v>0.75</v>
      </c>
      <c r="CF73" s="27">
        <v>0</v>
      </c>
      <c r="CG73" s="28">
        <v>1</v>
      </c>
      <c r="CH73" s="29">
        <v>0.5</v>
      </c>
      <c r="CJ73" s="25"/>
      <c r="CK73" s="26"/>
      <c r="CL73" s="27"/>
      <c r="CM73" s="28"/>
      <c r="CN73" s="29"/>
      <c r="CP73" s="25"/>
      <c r="CQ73" s="26"/>
      <c r="CR73" s="27"/>
      <c r="CS73" s="28"/>
      <c r="CT73" s="29"/>
      <c r="CV73" s="25"/>
      <c r="CW73" s="26"/>
      <c r="CX73" s="27"/>
      <c r="CY73" s="28"/>
      <c r="CZ73" s="29"/>
      <c r="DA73" s="79">
        <f t="shared" si="13"/>
        <v>0</v>
      </c>
      <c r="DB73" s="80" t="e">
        <f>DA73*#REF!</f>
        <v>#REF!</v>
      </c>
      <c r="DC73" s="81" t="e">
        <f>DA73*#REF!</f>
        <v>#REF!</v>
      </c>
      <c r="DE73" s="25"/>
      <c r="DF73" s="26"/>
      <c r="DG73" s="27"/>
      <c r="DH73" s="28"/>
      <c r="DI73" s="29"/>
      <c r="DJ73" s="79">
        <f t="shared" si="14"/>
        <v>0</v>
      </c>
      <c r="DK73" s="80" t="e">
        <f>DJ73*#REF!</f>
        <v>#REF!</v>
      </c>
      <c r="DL73" s="81" t="e">
        <f>DJ73*#REF!</f>
        <v>#REF!</v>
      </c>
      <c r="DN73" s="25"/>
      <c r="DO73" s="26"/>
      <c r="DP73" s="27"/>
      <c r="DQ73" s="28"/>
      <c r="DR73" s="29"/>
      <c r="DS73" s="79">
        <f t="shared" si="15"/>
        <v>0</v>
      </c>
      <c r="DT73" s="80" t="e">
        <f>DS73*#REF!</f>
        <v>#REF!</v>
      </c>
      <c r="DU73" s="81" t="e">
        <f>DS73*#REF!</f>
        <v>#REF!</v>
      </c>
      <c r="DW73" s="25"/>
      <c r="DX73" s="26"/>
      <c r="DY73" s="27"/>
      <c r="DZ73" s="28"/>
      <c r="EA73" s="29"/>
      <c r="EB73" s="79">
        <f t="shared" si="16"/>
        <v>0</v>
      </c>
      <c r="EC73" s="80" t="e">
        <f>EB73*#REF!</f>
        <v>#REF!</v>
      </c>
      <c r="ED73" s="81" t="e">
        <f>EB73*#REF!</f>
        <v>#REF!</v>
      </c>
      <c r="EF73" s="25"/>
      <c r="EG73" s="26"/>
      <c r="EH73" s="27"/>
      <c r="EI73" s="28"/>
      <c r="EJ73" s="29"/>
      <c r="EK73" s="79">
        <f t="shared" si="17"/>
        <v>0</v>
      </c>
      <c r="EL73" s="80" t="e">
        <f>EK73*#REF!</f>
        <v>#REF!</v>
      </c>
      <c r="EM73" s="81" t="e">
        <f>EK73*#REF!</f>
        <v>#REF!</v>
      </c>
      <c r="EO73" s="25"/>
      <c r="EP73" s="26"/>
      <c r="EQ73" s="27"/>
      <c r="ER73" s="28"/>
      <c r="ES73" s="29"/>
      <c r="ET73" s="79">
        <f t="shared" si="18"/>
        <v>0</v>
      </c>
      <c r="EU73" s="80" t="e">
        <f>ET73*#REF!</f>
        <v>#REF!</v>
      </c>
      <c r="EV73" s="81" t="e">
        <f>ET73*#REF!</f>
        <v>#REF!</v>
      </c>
      <c r="EX73" s="25"/>
      <c r="EY73" s="26"/>
      <c r="EZ73" s="27"/>
      <c r="FA73" s="28"/>
      <c r="FB73" s="29"/>
      <c r="FC73" s="79">
        <f t="shared" si="19"/>
        <v>0</v>
      </c>
      <c r="FD73" s="80" t="e">
        <f>FC73*#REF!</f>
        <v>#REF!</v>
      </c>
      <c r="FE73" s="81" t="e">
        <f>FC73*#REF!</f>
        <v>#REF!</v>
      </c>
      <c r="FG73" s="25"/>
      <c r="FH73" s="26"/>
      <c r="FI73" s="27"/>
      <c r="FJ73" s="28"/>
      <c r="FK73" s="29"/>
      <c r="FL73" s="79">
        <f t="shared" si="20"/>
        <v>0</v>
      </c>
      <c r="FM73" s="80" t="e">
        <f>FL73*#REF!</f>
        <v>#REF!</v>
      </c>
      <c r="FN73" s="81" t="e">
        <f>FL73*#REF!</f>
        <v>#REF!</v>
      </c>
      <c r="FP73" s="25"/>
      <c r="FQ73" s="26"/>
      <c r="FR73" s="27"/>
      <c r="FS73" s="28"/>
      <c r="FT73" s="29"/>
      <c r="FU73" s="79">
        <f t="shared" si="21"/>
        <v>0</v>
      </c>
      <c r="FV73" s="80" t="e">
        <f>FU73*#REF!</f>
        <v>#REF!</v>
      </c>
      <c r="FW73" s="81" t="e">
        <f>FU73*#REF!</f>
        <v>#REF!</v>
      </c>
      <c r="FY73" s="25"/>
      <c r="FZ73" s="26"/>
      <c r="GA73" s="27"/>
      <c r="GB73" s="28"/>
      <c r="GC73" s="29"/>
      <c r="GD73" s="79">
        <f t="shared" si="22"/>
        <v>0</v>
      </c>
      <c r="GE73" s="80" t="e">
        <f>GD73*#REF!</f>
        <v>#REF!</v>
      </c>
      <c r="GF73" s="81" t="e">
        <f>GD73*#REF!</f>
        <v>#REF!</v>
      </c>
      <c r="GH73" s="25"/>
      <c r="GI73" s="26"/>
      <c r="GJ73" s="27"/>
      <c r="GK73" s="28"/>
      <c r="GL73" s="29"/>
      <c r="GM73" s="79">
        <f t="shared" si="23"/>
        <v>0</v>
      </c>
      <c r="GN73" s="80" t="e">
        <f>GM73*#REF!</f>
        <v>#REF!</v>
      </c>
      <c r="GO73" s="81" t="e">
        <f>GM73*#REF!</f>
        <v>#REF!</v>
      </c>
      <c r="GQ73" s="82">
        <f t="shared" si="24"/>
        <v>1</v>
      </c>
      <c r="GR73" s="83">
        <v>1</v>
      </c>
    </row>
    <row r="74" spans="2:200" ht="15">
      <c r="B74" s="22" t="s">
        <v>110</v>
      </c>
      <c r="C74" s="23" t="s">
        <v>84</v>
      </c>
      <c r="D74" s="24" t="str">
        <f>IF(C74="","",_xlfn.XLOOKUP(C74,'[1]Control Sheet'!$L$5:$L$104,'[1]Control Sheet'!$M$5:$M$104,"",0))</f>
        <v xml:space="preserve">Host </v>
      </c>
      <c r="E74" s="24" t="str">
        <f>IF(B74="","",_xlfn.XLOOKUP(B74,'[1]Control Sheet'!$D$5:$D$64,'[1]Control Sheet'!$F$5:$F$64,"",0))</f>
        <v>Retail</v>
      </c>
      <c r="F74" s="24" t="str">
        <f>IF(B74="","",_xlfn.XLOOKUP(B74,'[1]Control Sheet'!$D$5:$D$64,'[1]Control Sheet'!$E$5:$E$64,"",0))</f>
        <v>C1150-N</v>
      </c>
      <c r="I74" s="25"/>
      <c r="J74" s="26"/>
      <c r="K74" s="27"/>
      <c r="L74" s="28"/>
      <c r="M74" s="29"/>
      <c r="P74" s="25"/>
      <c r="Q74" s="26"/>
      <c r="R74" s="27"/>
      <c r="S74" s="28"/>
      <c r="T74" s="29"/>
      <c r="V74" s="25"/>
      <c r="W74" s="26"/>
      <c r="X74" s="27"/>
      <c r="Y74" s="28"/>
      <c r="Z74" s="29"/>
      <c r="AB74" s="25"/>
      <c r="AC74" s="26"/>
      <c r="AD74" s="27"/>
      <c r="AE74" s="28"/>
      <c r="AF74" s="29"/>
      <c r="AH74" s="25"/>
      <c r="AI74" s="26"/>
      <c r="AJ74" s="27"/>
      <c r="AK74" s="28"/>
      <c r="AL74" s="29"/>
      <c r="AN74" s="25"/>
      <c r="AO74" s="26"/>
      <c r="AP74" s="27"/>
      <c r="AQ74" s="28"/>
      <c r="AR74" s="29"/>
      <c r="AT74" s="25">
        <v>0.54166666666666663</v>
      </c>
      <c r="AU74" s="26">
        <v>0.73958333333333337</v>
      </c>
      <c r="AV74" s="27">
        <v>0</v>
      </c>
      <c r="AW74" s="28">
        <v>2</v>
      </c>
      <c r="AX74" s="29">
        <v>0.5</v>
      </c>
      <c r="AZ74" s="25">
        <v>0.54166666666666663</v>
      </c>
      <c r="BA74" s="26">
        <v>0.79166666666666663</v>
      </c>
      <c r="BB74" s="27">
        <v>0</v>
      </c>
      <c r="BC74" s="28">
        <v>2</v>
      </c>
      <c r="BD74" s="29">
        <v>0.5</v>
      </c>
      <c r="BF74" s="25">
        <v>0.54166666666666663</v>
      </c>
      <c r="BG74" s="26">
        <v>0.83333333333333337</v>
      </c>
      <c r="BH74" s="27">
        <v>0</v>
      </c>
      <c r="BI74" s="28">
        <v>2</v>
      </c>
      <c r="BJ74" s="29">
        <v>0.5</v>
      </c>
      <c r="BL74" s="25"/>
      <c r="BM74" s="26"/>
      <c r="BN74" s="27"/>
      <c r="BO74" s="28"/>
      <c r="BP74" s="29"/>
      <c r="BR74" s="25"/>
      <c r="BS74" s="26"/>
      <c r="BT74" s="27"/>
      <c r="BU74" s="28"/>
      <c r="BV74" s="29"/>
      <c r="BX74" s="25"/>
      <c r="BY74" s="26"/>
      <c r="BZ74" s="27"/>
      <c r="CA74" s="28"/>
      <c r="CB74" s="29"/>
      <c r="CD74" s="25"/>
      <c r="CE74" s="26"/>
      <c r="CF74" s="27"/>
      <c r="CG74" s="28"/>
      <c r="CH74" s="29"/>
      <c r="CJ74" s="25"/>
      <c r="CK74" s="26"/>
      <c r="CL74" s="27"/>
      <c r="CM74" s="28"/>
      <c r="CN74" s="29"/>
      <c r="CP74" s="25"/>
      <c r="CQ74" s="26"/>
      <c r="CR74" s="27"/>
      <c r="CS74" s="28"/>
      <c r="CT74" s="29"/>
      <c r="CV74" s="25"/>
      <c r="CW74" s="26"/>
      <c r="CX74" s="27"/>
      <c r="CY74" s="28"/>
      <c r="CZ74" s="29"/>
      <c r="DA74" s="79">
        <f t="shared" si="13"/>
        <v>0</v>
      </c>
      <c r="DB74" s="80" t="e">
        <f>DA74*#REF!</f>
        <v>#REF!</v>
      </c>
      <c r="DC74" s="81" t="e">
        <f>DA74*#REF!</f>
        <v>#REF!</v>
      </c>
      <c r="DE74" s="25"/>
      <c r="DF74" s="26"/>
      <c r="DG74" s="27"/>
      <c r="DH74" s="28"/>
      <c r="DI74" s="29"/>
      <c r="DJ74" s="79">
        <f t="shared" si="14"/>
        <v>0</v>
      </c>
      <c r="DK74" s="80" t="e">
        <f>DJ74*#REF!</f>
        <v>#REF!</v>
      </c>
      <c r="DL74" s="81" t="e">
        <f>DJ74*#REF!</f>
        <v>#REF!</v>
      </c>
      <c r="DN74" s="25"/>
      <c r="DO74" s="26"/>
      <c r="DP74" s="27"/>
      <c r="DQ74" s="28"/>
      <c r="DR74" s="29"/>
      <c r="DS74" s="79">
        <f t="shared" si="15"/>
        <v>0</v>
      </c>
      <c r="DT74" s="80" t="e">
        <f>DS74*#REF!</f>
        <v>#REF!</v>
      </c>
      <c r="DU74" s="81" t="e">
        <f>DS74*#REF!</f>
        <v>#REF!</v>
      </c>
      <c r="DW74" s="25"/>
      <c r="DX74" s="26"/>
      <c r="DY74" s="27"/>
      <c r="DZ74" s="28"/>
      <c r="EA74" s="29"/>
      <c r="EB74" s="79">
        <f t="shared" si="16"/>
        <v>0</v>
      </c>
      <c r="EC74" s="80" t="e">
        <f>EB74*#REF!</f>
        <v>#REF!</v>
      </c>
      <c r="ED74" s="81" t="e">
        <f>EB74*#REF!</f>
        <v>#REF!</v>
      </c>
      <c r="EF74" s="25"/>
      <c r="EG74" s="26"/>
      <c r="EH74" s="27"/>
      <c r="EI74" s="28"/>
      <c r="EJ74" s="29"/>
      <c r="EK74" s="79">
        <f t="shared" si="17"/>
        <v>0</v>
      </c>
      <c r="EL74" s="80" t="e">
        <f>EK74*#REF!</f>
        <v>#REF!</v>
      </c>
      <c r="EM74" s="81" t="e">
        <f>EK74*#REF!</f>
        <v>#REF!</v>
      </c>
      <c r="EO74" s="25"/>
      <c r="EP74" s="26"/>
      <c r="EQ74" s="27"/>
      <c r="ER74" s="28"/>
      <c r="ES74" s="29"/>
      <c r="ET74" s="79">
        <f t="shared" si="18"/>
        <v>0</v>
      </c>
      <c r="EU74" s="80" t="e">
        <f>ET74*#REF!</f>
        <v>#REF!</v>
      </c>
      <c r="EV74" s="81" t="e">
        <f>ET74*#REF!</f>
        <v>#REF!</v>
      </c>
      <c r="EX74" s="25"/>
      <c r="EY74" s="26"/>
      <c r="EZ74" s="27"/>
      <c r="FA74" s="28"/>
      <c r="FB74" s="29"/>
      <c r="FC74" s="79">
        <f t="shared" si="19"/>
        <v>0</v>
      </c>
      <c r="FD74" s="80" t="e">
        <f>FC74*#REF!</f>
        <v>#REF!</v>
      </c>
      <c r="FE74" s="81" t="e">
        <f>FC74*#REF!</f>
        <v>#REF!</v>
      </c>
      <c r="FG74" s="25"/>
      <c r="FH74" s="26"/>
      <c r="FI74" s="27"/>
      <c r="FJ74" s="28"/>
      <c r="FK74" s="29"/>
      <c r="FL74" s="79">
        <f t="shared" si="20"/>
        <v>0</v>
      </c>
      <c r="FM74" s="80" t="e">
        <f>FL74*#REF!</f>
        <v>#REF!</v>
      </c>
      <c r="FN74" s="81" t="e">
        <f>FL74*#REF!</f>
        <v>#REF!</v>
      </c>
      <c r="FP74" s="25"/>
      <c r="FQ74" s="26"/>
      <c r="FR74" s="27"/>
      <c r="FS74" s="28"/>
      <c r="FT74" s="29"/>
      <c r="FU74" s="79">
        <f t="shared" si="21"/>
        <v>0</v>
      </c>
      <c r="FV74" s="80" t="e">
        <f>FU74*#REF!</f>
        <v>#REF!</v>
      </c>
      <c r="FW74" s="81" t="e">
        <f>FU74*#REF!</f>
        <v>#REF!</v>
      </c>
      <c r="FY74" s="25"/>
      <c r="FZ74" s="26"/>
      <c r="GA74" s="27"/>
      <c r="GB74" s="28"/>
      <c r="GC74" s="29"/>
      <c r="GD74" s="79">
        <f t="shared" si="22"/>
        <v>0</v>
      </c>
      <c r="GE74" s="80" t="e">
        <f>GD74*#REF!</f>
        <v>#REF!</v>
      </c>
      <c r="GF74" s="81" t="e">
        <f>GD74*#REF!</f>
        <v>#REF!</v>
      </c>
      <c r="GH74" s="25"/>
      <c r="GI74" s="26"/>
      <c r="GJ74" s="27"/>
      <c r="GK74" s="28"/>
      <c r="GL74" s="29"/>
      <c r="GM74" s="79">
        <f t="shared" si="23"/>
        <v>0</v>
      </c>
      <c r="GN74" s="80" t="e">
        <f>GM74*#REF!</f>
        <v>#REF!</v>
      </c>
      <c r="GO74" s="81" t="e">
        <f>GM74*#REF!</f>
        <v>#REF!</v>
      </c>
      <c r="GQ74" s="82">
        <f t="shared" si="24"/>
        <v>2</v>
      </c>
      <c r="GR74" s="83">
        <v>2</v>
      </c>
    </row>
    <row r="75" spans="2:200" ht="15">
      <c r="B75" s="22"/>
      <c r="C75" s="23"/>
      <c r="D75" s="24" t="str">
        <f>IF(C75="","",_xlfn.XLOOKUP(C75,'[1]Control Sheet'!$L$5:$L$104,'[1]Control Sheet'!$M$5:$M$104,"",0))</f>
        <v/>
      </c>
      <c r="E75" s="24" t="str">
        <f>IF(B75="","",_xlfn.XLOOKUP(B75,'[1]Control Sheet'!$D$5:$D$64,'[1]Control Sheet'!$F$5:$F$64,"",0))</f>
        <v/>
      </c>
      <c r="F75" s="24" t="str">
        <f>IF(B75="","",_xlfn.XLOOKUP(B75,'[1]Control Sheet'!$D$5:$D$64,'[1]Control Sheet'!$E$5:$E$64,"",0))</f>
        <v/>
      </c>
      <c r="I75" s="25"/>
      <c r="J75" s="26"/>
      <c r="K75" s="27"/>
      <c r="L75" s="28"/>
      <c r="M75" s="29"/>
      <c r="P75" s="25"/>
      <c r="Q75" s="26"/>
      <c r="R75" s="27"/>
      <c r="S75" s="28"/>
      <c r="T75" s="29"/>
      <c r="V75" s="25"/>
      <c r="W75" s="26"/>
      <c r="X75" s="27"/>
      <c r="Y75" s="28"/>
      <c r="Z75" s="29"/>
      <c r="AB75" s="25"/>
      <c r="AC75" s="26"/>
      <c r="AD75" s="27"/>
      <c r="AE75" s="28"/>
      <c r="AF75" s="29"/>
      <c r="AH75" s="25"/>
      <c r="AI75" s="26"/>
      <c r="AJ75" s="27"/>
      <c r="AK75" s="28"/>
      <c r="AL75" s="29"/>
      <c r="AN75" s="25"/>
      <c r="AO75" s="26"/>
      <c r="AP75" s="27"/>
      <c r="AQ75" s="28"/>
      <c r="AR75" s="29"/>
      <c r="AT75" s="25"/>
      <c r="AU75" s="26"/>
      <c r="AV75" s="27"/>
      <c r="AW75" s="28"/>
      <c r="AX75" s="29"/>
      <c r="AZ75" s="25"/>
      <c r="BA75" s="26"/>
      <c r="BB75" s="27"/>
      <c r="BC75" s="28"/>
      <c r="BD75" s="29"/>
      <c r="BF75" s="25"/>
      <c r="BG75" s="26"/>
      <c r="BH75" s="27"/>
      <c r="BI75" s="28"/>
      <c r="BJ75" s="29"/>
      <c r="BL75" s="25"/>
      <c r="BM75" s="26"/>
      <c r="BN75" s="27"/>
      <c r="BO75" s="28"/>
      <c r="BP75" s="29"/>
      <c r="BR75" s="25"/>
      <c r="BS75" s="26"/>
      <c r="BT75" s="27"/>
      <c r="BU75" s="28"/>
      <c r="BV75" s="29"/>
      <c r="BX75" s="25"/>
      <c r="BY75" s="26"/>
      <c r="BZ75" s="27"/>
      <c r="CA75" s="28"/>
      <c r="CB75" s="29"/>
      <c r="CD75" s="25"/>
      <c r="CE75" s="26"/>
      <c r="CF75" s="27"/>
      <c r="CG75" s="28"/>
      <c r="CH75" s="29"/>
      <c r="CJ75" s="25"/>
      <c r="CK75" s="26"/>
      <c r="CL75" s="27"/>
      <c r="CM75" s="28"/>
      <c r="CN75" s="29"/>
      <c r="CP75" s="25"/>
      <c r="CQ75" s="26"/>
      <c r="CR75" s="27"/>
      <c r="CS75" s="28"/>
      <c r="CT75" s="29"/>
      <c r="CV75" s="25"/>
      <c r="CW75" s="26"/>
      <c r="CX75" s="27"/>
      <c r="CY75" s="28"/>
      <c r="CZ75" s="29"/>
      <c r="DA75" s="79">
        <f t="shared" si="13"/>
        <v>0</v>
      </c>
      <c r="DB75" s="80" t="e">
        <f>DA75*#REF!</f>
        <v>#REF!</v>
      </c>
      <c r="DC75" s="81" t="e">
        <f>DA75*#REF!</f>
        <v>#REF!</v>
      </c>
      <c r="DE75" s="25"/>
      <c r="DF75" s="26"/>
      <c r="DG75" s="27"/>
      <c r="DH75" s="28"/>
      <c r="DI75" s="29"/>
      <c r="DJ75" s="79">
        <f t="shared" si="14"/>
        <v>0</v>
      </c>
      <c r="DK75" s="80" t="e">
        <f>DJ75*#REF!</f>
        <v>#REF!</v>
      </c>
      <c r="DL75" s="81" t="e">
        <f>DJ75*#REF!</f>
        <v>#REF!</v>
      </c>
      <c r="DN75" s="25"/>
      <c r="DO75" s="26"/>
      <c r="DP75" s="27"/>
      <c r="DQ75" s="28"/>
      <c r="DR75" s="29"/>
      <c r="DS75" s="79">
        <f t="shared" si="15"/>
        <v>0</v>
      </c>
      <c r="DT75" s="80" t="e">
        <f>DS75*#REF!</f>
        <v>#REF!</v>
      </c>
      <c r="DU75" s="81" t="e">
        <f>DS75*#REF!</f>
        <v>#REF!</v>
      </c>
      <c r="DW75" s="25"/>
      <c r="DX75" s="26"/>
      <c r="DY75" s="27"/>
      <c r="DZ75" s="28"/>
      <c r="EA75" s="29"/>
      <c r="EB75" s="79">
        <f t="shared" si="16"/>
        <v>0</v>
      </c>
      <c r="EC75" s="80" t="e">
        <f>EB75*#REF!</f>
        <v>#REF!</v>
      </c>
      <c r="ED75" s="81" t="e">
        <f>EB75*#REF!</f>
        <v>#REF!</v>
      </c>
      <c r="EF75" s="25"/>
      <c r="EG75" s="26"/>
      <c r="EH75" s="27"/>
      <c r="EI75" s="28"/>
      <c r="EJ75" s="29"/>
      <c r="EK75" s="79">
        <f t="shared" si="17"/>
        <v>0</v>
      </c>
      <c r="EL75" s="80" t="e">
        <f>EK75*#REF!</f>
        <v>#REF!</v>
      </c>
      <c r="EM75" s="81" t="e">
        <f>EK75*#REF!</f>
        <v>#REF!</v>
      </c>
      <c r="EO75" s="25"/>
      <c r="EP75" s="26"/>
      <c r="EQ75" s="27"/>
      <c r="ER75" s="28"/>
      <c r="ES75" s="29"/>
      <c r="ET75" s="79">
        <f t="shared" si="18"/>
        <v>0</v>
      </c>
      <c r="EU75" s="80" t="e">
        <f>ET75*#REF!</f>
        <v>#REF!</v>
      </c>
      <c r="EV75" s="81" t="e">
        <f>ET75*#REF!</f>
        <v>#REF!</v>
      </c>
      <c r="EX75" s="25"/>
      <c r="EY75" s="26"/>
      <c r="EZ75" s="27"/>
      <c r="FA75" s="28"/>
      <c r="FB75" s="29"/>
      <c r="FC75" s="79">
        <f t="shared" si="19"/>
        <v>0</v>
      </c>
      <c r="FD75" s="80" t="e">
        <f>FC75*#REF!</f>
        <v>#REF!</v>
      </c>
      <c r="FE75" s="81" t="e">
        <f>FC75*#REF!</f>
        <v>#REF!</v>
      </c>
      <c r="FG75" s="25"/>
      <c r="FH75" s="26"/>
      <c r="FI75" s="27"/>
      <c r="FJ75" s="28"/>
      <c r="FK75" s="29"/>
      <c r="FL75" s="79">
        <f t="shared" si="20"/>
        <v>0</v>
      </c>
      <c r="FM75" s="80" t="e">
        <f>FL75*#REF!</f>
        <v>#REF!</v>
      </c>
      <c r="FN75" s="81" t="e">
        <f>FL75*#REF!</f>
        <v>#REF!</v>
      </c>
      <c r="FP75" s="25"/>
      <c r="FQ75" s="26"/>
      <c r="FR75" s="27"/>
      <c r="FS75" s="28"/>
      <c r="FT75" s="29"/>
      <c r="FU75" s="79">
        <f t="shared" si="21"/>
        <v>0</v>
      </c>
      <c r="FV75" s="80" t="e">
        <f>FU75*#REF!</f>
        <v>#REF!</v>
      </c>
      <c r="FW75" s="81" t="e">
        <f>FU75*#REF!</f>
        <v>#REF!</v>
      </c>
      <c r="FY75" s="25"/>
      <c r="FZ75" s="26"/>
      <c r="GA75" s="27"/>
      <c r="GB75" s="28"/>
      <c r="GC75" s="29"/>
      <c r="GD75" s="79">
        <f t="shared" si="22"/>
        <v>0</v>
      </c>
      <c r="GE75" s="80" t="e">
        <f>GD75*#REF!</f>
        <v>#REF!</v>
      </c>
      <c r="GF75" s="81" t="e">
        <f>GD75*#REF!</f>
        <v>#REF!</v>
      </c>
      <c r="GH75" s="25"/>
      <c r="GI75" s="26"/>
      <c r="GJ75" s="27"/>
      <c r="GK75" s="28"/>
      <c r="GL75" s="29"/>
      <c r="GM75" s="79">
        <f t="shared" si="23"/>
        <v>0</v>
      </c>
      <c r="GN75" s="80" t="e">
        <f>GM75*#REF!</f>
        <v>#REF!</v>
      </c>
      <c r="GO75" s="81" t="e">
        <f>GM75*#REF!</f>
        <v>#REF!</v>
      </c>
      <c r="GQ75" s="82">
        <f t="shared" si="24"/>
        <v>0</v>
      </c>
      <c r="GR75" s="83">
        <v>0</v>
      </c>
    </row>
    <row r="76" spans="2:200" ht="15">
      <c r="B76" s="22" t="s">
        <v>85</v>
      </c>
      <c r="C76" s="23" t="s">
        <v>84</v>
      </c>
      <c r="D76" s="24" t="str">
        <f>IF(C76="","",_xlfn.XLOOKUP(C76,'[1]Control Sheet'!$L$5:$L$104,'[1]Control Sheet'!$M$5:$M$104,"",0))</f>
        <v xml:space="preserve">Host </v>
      </c>
      <c r="E76" s="24" t="str">
        <f>IF(B76="","",_xlfn.XLOOKUP(B76,'[1]Control Sheet'!$D$5:$D$64,'[1]Control Sheet'!$F$5:$F$64,"",0))</f>
        <v>Retail</v>
      </c>
      <c r="F76" s="24" t="str">
        <f>IF(B76="","",_xlfn.XLOOKUP(B76,'[1]Control Sheet'!$D$5:$D$64,'[1]Control Sheet'!$E$5:$E$64,"",0))</f>
        <v>C1150-N</v>
      </c>
      <c r="I76" s="25"/>
      <c r="J76" s="26"/>
      <c r="K76" s="27"/>
      <c r="L76" s="28"/>
      <c r="M76" s="29"/>
      <c r="P76" s="25"/>
      <c r="Q76" s="26"/>
      <c r="R76" s="27"/>
      <c r="S76" s="28"/>
      <c r="T76" s="29"/>
      <c r="V76" s="25"/>
      <c r="W76" s="26"/>
      <c r="X76" s="27"/>
      <c r="Y76" s="28"/>
      <c r="Z76" s="29"/>
      <c r="AB76" s="25"/>
      <c r="AC76" s="26"/>
      <c r="AD76" s="27"/>
      <c r="AE76" s="28"/>
      <c r="AF76" s="29"/>
      <c r="AH76" s="25">
        <v>0.38541666666666669</v>
      </c>
      <c r="AI76" s="26">
        <v>0.73958333333333337</v>
      </c>
      <c r="AJ76" s="27">
        <v>45</v>
      </c>
      <c r="AK76" s="28">
        <v>1</v>
      </c>
      <c r="AL76" s="29">
        <v>1</v>
      </c>
      <c r="AN76" s="25">
        <v>0.38541666666666669</v>
      </c>
      <c r="AO76" s="26">
        <v>0.79166666666666663</v>
      </c>
      <c r="AP76" s="33">
        <v>60</v>
      </c>
      <c r="AQ76" s="28">
        <v>1</v>
      </c>
      <c r="AR76" s="29">
        <v>1</v>
      </c>
      <c r="AT76" s="25">
        <v>0.39583333333333331</v>
      </c>
      <c r="AU76" s="26">
        <v>0.73958333333333337</v>
      </c>
      <c r="AV76" s="27">
        <v>45</v>
      </c>
      <c r="AW76" s="28">
        <v>2</v>
      </c>
      <c r="AX76" s="29">
        <v>1</v>
      </c>
      <c r="AZ76" s="25">
        <v>0.38541666666666669</v>
      </c>
      <c r="BA76" s="26">
        <v>0.79166666666666663</v>
      </c>
      <c r="BB76" s="33">
        <v>60</v>
      </c>
      <c r="BC76" s="28">
        <v>2</v>
      </c>
      <c r="BD76" s="29">
        <v>1</v>
      </c>
      <c r="BF76" s="25">
        <v>0.36458333333333331</v>
      </c>
      <c r="BG76" s="26">
        <v>0.83333333333333337</v>
      </c>
      <c r="BH76" s="27">
        <v>60</v>
      </c>
      <c r="BI76" s="28">
        <v>2</v>
      </c>
      <c r="BJ76" s="29">
        <v>1</v>
      </c>
      <c r="BL76" s="25"/>
      <c r="BM76" s="26"/>
      <c r="BN76" s="27"/>
      <c r="BO76" s="28"/>
      <c r="BP76" s="29"/>
      <c r="BR76" s="25"/>
      <c r="BS76" s="26"/>
      <c r="BT76" s="27"/>
      <c r="BU76" s="28"/>
      <c r="BV76" s="29"/>
      <c r="BX76" s="25"/>
      <c r="BY76" s="26"/>
      <c r="BZ76" s="27"/>
      <c r="CA76" s="28"/>
      <c r="CB76" s="29"/>
      <c r="CD76" s="25"/>
      <c r="CE76" s="26"/>
      <c r="CF76" s="27"/>
      <c r="CG76" s="28"/>
      <c r="CH76" s="29"/>
      <c r="CJ76" s="25"/>
      <c r="CK76" s="26"/>
      <c r="CL76" s="27"/>
      <c r="CM76" s="28"/>
      <c r="CN76" s="29"/>
      <c r="CP76" s="25"/>
      <c r="CQ76" s="26"/>
      <c r="CR76" s="27"/>
      <c r="CS76" s="28"/>
      <c r="CT76" s="29"/>
      <c r="CV76" s="25"/>
      <c r="CW76" s="26"/>
      <c r="CX76" s="27"/>
      <c r="CY76" s="28"/>
      <c r="CZ76" s="29"/>
      <c r="DA76" s="79">
        <f t="shared" si="13"/>
        <v>0</v>
      </c>
      <c r="DB76" s="80" t="e">
        <f>DA76*#REF!</f>
        <v>#REF!</v>
      </c>
      <c r="DC76" s="81" t="e">
        <f>DA76*#REF!</f>
        <v>#REF!</v>
      </c>
      <c r="DE76" s="25"/>
      <c r="DF76" s="26"/>
      <c r="DG76" s="27"/>
      <c r="DH76" s="28"/>
      <c r="DI76" s="29"/>
      <c r="DJ76" s="79">
        <f t="shared" si="14"/>
        <v>0</v>
      </c>
      <c r="DK76" s="80" t="e">
        <f>DJ76*#REF!</f>
        <v>#REF!</v>
      </c>
      <c r="DL76" s="81" t="e">
        <f>DJ76*#REF!</f>
        <v>#REF!</v>
      </c>
      <c r="DN76" s="25"/>
      <c r="DO76" s="26"/>
      <c r="DP76" s="27"/>
      <c r="DQ76" s="28"/>
      <c r="DR76" s="29"/>
      <c r="DS76" s="79">
        <f t="shared" si="15"/>
        <v>0</v>
      </c>
      <c r="DT76" s="80" t="e">
        <f>DS76*#REF!</f>
        <v>#REF!</v>
      </c>
      <c r="DU76" s="81" t="e">
        <f>DS76*#REF!</f>
        <v>#REF!</v>
      </c>
      <c r="DW76" s="25"/>
      <c r="DX76" s="26"/>
      <c r="DY76" s="27"/>
      <c r="DZ76" s="28"/>
      <c r="EA76" s="29"/>
      <c r="EB76" s="79">
        <f t="shared" si="16"/>
        <v>0</v>
      </c>
      <c r="EC76" s="80" t="e">
        <f>EB76*#REF!</f>
        <v>#REF!</v>
      </c>
      <c r="ED76" s="81" t="e">
        <f>EB76*#REF!</f>
        <v>#REF!</v>
      </c>
      <c r="EF76" s="25"/>
      <c r="EG76" s="26"/>
      <c r="EH76" s="27"/>
      <c r="EI76" s="28"/>
      <c r="EJ76" s="29"/>
      <c r="EK76" s="79">
        <f t="shared" si="17"/>
        <v>0</v>
      </c>
      <c r="EL76" s="80" t="e">
        <f>EK76*#REF!</f>
        <v>#REF!</v>
      </c>
      <c r="EM76" s="81" t="e">
        <f>EK76*#REF!</f>
        <v>#REF!</v>
      </c>
      <c r="EO76" s="25"/>
      <c r="EP76" s="26"/>
      <c r="EQ76" s="27"/>
      <c r="ER76" s="28"/>
      <c r="ES76" s="29"/>
      <c r="ET76" s="79">
        <f t="shared" si="18"/>
        <v>0</v>
      </c>
      <c r="EU76" s="80" t="e">
        <f>ET76*#REF!</f>
        <v>#REF!</v>
      </c>
      <c r="EV76" s="81" t="e">
        <f>ET76*#REF!</f>
        <v>#REF!</v>
      </c>
      <c r="EX76" s="25"/>
      <c r="EY76" s="26"/>
      <c r="EZ76" s="27"/>
      <c r="FA76" s="28"/>
      <c r="FB76" s="29"/>
      <c r="FC76" s="79">
        <f t="shared" si="19"/>
        <v>0</v>
      </c>
      <c r="FD76" s="80" t="e">
        <f>FC76*#REF!</f>
        <v>#REF!</v>
      </c>
      <c r="FE76" s="81" t="e">
        <f>FC76*#REF!</f>
        <v>#REF!</v>
      </c>
      <c r="FG76" s="25"/>
      <c r="FH76" s="26"/>
      <c r="FI76" s="27"/>
      <c r="FJ76" s="28"/>
      <c r="FK76" s="29"/>
      <c r="FL76" s="79">
        <f t="shared" si="20"/>
        <v>0</v>
      </c>
      <c r="FM76" s="80" t="e">
        <f>FL76*#REF!</f>
        <v>#REF!</v>
      </c>
      <c r="FN76" s="81" t="e">
        <f>FL76*#REF!</f>
        <v>#REF!</v>
      </c>
      <c r="FP76" s="25"/>
      <c r="FQ76" s="26"/>
      <c r="FR76" s="27"/>
      <c r="FS76" s="28"/>
      <c r="FT76" s="29"/>
      <c r="FU76" s="79">
        <f t="shared" si="21"/>
        <v>0</v>
      </c>
      <c r="FV76" s="80" t="e">
        <f>FU76*#REF!</f>
        <v>#REF!</v>
      </c>
      <c r="FW76" s="81" t="e">
        <f>FU76*#REF!</f>
        <v>#REF!</v>
      </c>
      <c r="FY76" s="25"/>
      <c r="FZ76" s="26"/>
      <c r="GA76" s="27"/>
      <c r="GB76" s="28"/>
      <c r="GC76" s="29"/>
      <c r="GD76" s="79">
        <f t="shared" si="22"/>
        <v>0</v>
      </c>
      <c r="GE76" s="80" t="e">
        <f>GD76*#REF!</f>
        <v>#REF!</v>
      </c>
      <c r="GF76" s="81" t="e">
        <f>GD76*#REF!</f>
        <v>#REF!</v>
      </c>
      <c r="GH76" s="25"/>
      <c r="GI76" s="26"/>
      <c r="GJ76" s="27"/>
      <c r="GK76" s="28"/>
      <c r="GL76" s="29"/>
      <c r="GM76" s="79">
        <f t="shared" si="23"/>
        <v>0</v>
      </c>
      <c r="GN76" s="80" t="e">
        <f>GM76*#REF!</f>
        <v>#REF!</v>
      </c>
      <c r="GO76" s="81" t="e">
        <f>GM76*#REF!</f>
        <v>#REF!</v>
      </c>
      <c r="GQ76" s="82">
        <f t="shared" si="24"/>
        <v>2</v>
      </c>
      <c r="GR76" s="83">
        <v>2</v>
      </c>
    </row>
    <row r="77" spans="2:200" ht="15">
      <c r="B77" s="22"/>
      <c r="C77" s="23"/>
      <c r="D77" s="24" t="str">
        <f>IF(C77="","",_xlfn.XLOOKUP(C77,'[1]Control Sheet'!$L$5:$L$104,'[1]Control Sheet'!$M$5:$M$104,"",0))</f>
        <v/>
      </c>
      <c r="E77" s="24" t="str">
        <f>IF(B77="","",_xlfn.XLOOKUP(B77,'[1]Control Sheet'!$D$5:$D$64,'[1]Control Sheet'!$F$5:$F$64,"",0))</f>
        <v/>
      </c>
      <c r="F77" s="24" t="str">
        <f>IF(B77="","",_xlfn.XLOOKUP(B77,'[1]Control Sheet'!$D$5:$D$64,'[1]Control Sheet'!$E$5:$E$64,"",0))</f>
        <v/>
      </c>
      <c r="I77" s="25"/>
      <c r="J77" s="26"/>
      <c r="K77" s="27"/>
      <c r="L77" s="28"/>
      <c r="M77" s="29"/>
      <c r="P77" s="25"/>
      <c r="Q77" s="26"/>
      <c r="R77" s="27"/>
      <c r="S77" s="28"/>
      <c r="T77" s="29"/>
      <c r="V77" s="25"/>
      <c r="W77" s="26"/>
      <c r="X77" s="27"/>
      <c r="Y77" s="28"/>
      <c r="Z77" s="29"/>
      <c r="AB77" s="25"/>
      <c r="AC77" s="26"/>
      <c r="AD77" s="27"/>
      <c r="AE77" s="28"/>
      <c r="AF77" s="29"/>
      <c r="AH77" s="25"/>
      <c r="AI77" s="26"/>
      <c r="AJ77" s="27"/>
      <c r="AK77" s="28"/>
      <c r="AL77" s="29"/>
      <c r="AN77" s="25"/>
      <c r="AO77" s="26"/>
      <c r="AP77" s="27"/>
      <c r="AQ77" s="28"/>
      <c r="AR77" s="29"/>
      <c r="AT77" s="25"/>
      <c r="AU77" s="26"/>
      <c r="AV77" s="27"/>
      <c r="AW77" s="28"/>
      <c r="AX77" s="29"/>
      <c r="AZ77" s="25"/>
      <c r="BA77" s="26"/>
      <c r="BB77" s="27"/>
      <c r="BC77" s="28"/>
      <c r="BD77" s="29"/>
      <c r="BF77" s="25"/>
      <c r="BG77" s="26"/>
      <c r="BH77" s="27"/>
      <c r="BI77" s="28"/>
      <c r="BJ77" s="29"/>
      <c r="BL77" s="25"/>
      <c r="BM77" s="26"/>
      <c r="BN77" s="27"/>
      <c r="BO77" s="28"/>
      <c r="BP77" s="29"/>
      <c r="BR77" s="25"/>
      <c r="BS77" s="26"/>
      <c r="BT77" s="27"/>
      <c r="BU77" s="28"/>
      <c r="BV77" s="29"/>
      <c r="BX77" s="25"/>
      <c r="BY77" s="26"/>
      <c r="BZ77" s="27"/>
      <c r="CA77" s="28"/>
      <c r="CB77" s="29"/>
      <c r="CD77" s="25"/>
      <c r="CE77" s="26"/>
      <c r="CF77" s="27"/>
      <c r="CG77" s="28"/>
      <c r="CH77" s="29"/>
      <c r="CJ77" s="25"/>
      <c r="CK77" s="26"/>
      <c r="CL77" s="27"/>
      <c r="CM77" s="28"/>
      <c r="CN77" s="29"/>
      <c r="CP77" s="25"/>
      <c r="CQ77" s="26"/>
      <c r="CR77" s="27"/>
      <c r="CS77" s="28"/>
      <c r="CT77" s="29"/>
      <c r="CV77" s="25"/>
      <c r="CW77" s="26"/>
      <c r="CX77" s="27"/>
      <c r="CY77" s="28"/>
      <c r="CZ77" s="29"/>
      <c r="DA77" s="79">
        <f t="shared" si="13"/>
        <v>0</v>
      </c>
      <c r="DB77" s="80" t="e">
        <f>DA77*#REF!</f>
        <v>#REF!</v>
      </c>
      <c r="DC77" s="81" t="e">
        <f>DA77*#REF!</f>
        <v>#REF!</v>
      </c>
      <c r="DE77" s="25"/>
      <c r="DF77" s="26"/>
      <c r="DG77" s="27"/>
      <c r="DH77" s="28"/>
      <c r="DI77" s="29"/>
      <c r="DJ77" s="79">
        <f t="shared" si="14"/>
        <v>0</v>
      </c>
      <c r="DK77" s="80" t="e">
        <f>DJ77*#REF!</f>
        <v>#REF!</v>
      </c>
      <c r="DL77" s="81" t="e">
        <f>DJ77*#REF!</f>
        <v>#REF!</v>
      </c>
      <c r="DN77" s="25"/>
      <c r="DO77" s="26"/>
      <c r="DP77" s="27"/>
      <c r="DQ77" s="28"/>
      <c r="DR77" s="29"/>
      <c r="DS77" s="79">
        <f t="shared" si="15"/>
        <v>0</v>
      </c>
      <c r="DT77" s="80" t="e">
        <f>DS77*#REF!</f>
        <v>#REF!</v>
      </c>
      <c r="DU77" s="81" t="e">
        <f>DS77*#REF!</f>
        <v>#REF!</v>
      </c>
      <c r="DW77" s="25"/>
      <c r="DX77" s="26"/>
      <c r="DY77" s="27"/>
      <c r="DZ77" s="28"/>
      <c r="EA77" s="29"/>
      <c r="EB77" s="79">
        <f t="shared" si="16"/>
        <v>0</v>
      </c>
      <c r="EC77" s="80" t="e">
        <f>EB77*#REF!</f>
        <v>#REF!</v>
      </c>
      <c r="ED77" s="81" t="e">
        <f>EB77*#REF!</f>
        <v>#REF!</v>
      </c>
      <c r="EF77" s="25"/>
      <c r="EG77" s="26"/>
      <c r="EH77" s="27"/>
      <c r="EI77" s="28"/>
      <c r="EJ77" s="29"/>
      <c r="EK77" s="79">
        <f t="shared" si="17"/>
        <v>0</v>
      </c>
      <c r="EL77" s="80" t="e">
        <f>EK77*#REF!</f>
        <v>#REF!</v>
      </c>
      <c r="EM77" s="81" t="e">
        <f>EK77*#REF!</f>
        <v>#REF!</v>
      </c>
      <c r="EO77" s="25"/>
      <c r="EP77" s="26"/>
      <c r="EQ77" s="27"/>
      <c r="ER77" s="28"/>
      <c r="ES77" s="29"/>
      <c r="ET77" s="79">
        <f t="shared" si="18"/>
        <v>0</v>
      </c>
      <c r="EU77" s="80" t="e">
        <f>ET77*#REF!</f>
        <v>#REF!</v>
      </c>
      <c r="EV77" s="81" t="e">
        <f>ET77*#REF!</f>
        <v>#REF!</v>
      </c>
      <c r="EX77" s="25"/>
      <c r="EY77" s="26"/>
      <c r="EZ77" s="27"/>
      <c r="FA77" s="28"/>
      <c r="FB77" s="29"/>
      <c r="FC77" s="79">
        <f t="shared" si="19"/>
        <v>0</v>
      </c>
      <c r="FD77" s="80" t="e">
        <f>FC77*#REF!</f>
        <v>#REF!</v>
      </c>
      <c r="FE77" s="81" t="e">
        <f>FC77*#REF!</f>
        <v>#REF!</v>
      </c>
      <c r="FG77" s="25"/>
      <c r="FH77" s="26"/>
      <c r="FI77" s="27"/>
      <c r="FJ77" s="28"/>
      <c r="FK77" s="29"/>
      <c r="FL77" s="79">
        <f t="shared" si="20"/>
        <v>0</v>
      </c>
      <c r="FM77" s="80" t="e">
        <f>FL77*#REF!</f>
        <v>#REF!</v>
      </c>
      <c r="FN77" s="81" t="e">
        <f>FL77*#REF!</f>
        <v>#REF!</v>
      </c>
      <c r="FP77" s="25"/>
      <c r="FQ77" s="26"/>
      <c r="FR77" s="27"/>
      <c r="FS77" s="28"/>
      <c r="FT77" s="29"/>
      <c r="FU77" s="79">
        <f t="shared" si="21"/>
        <v>0</v>
      </c>
      <c r="FV77" s="80" t="e">
        <f>FU77*#REF!</f>
        <v>#REF!</v>
      </c>
      <c r="FW77" s="81" t="e">
        <f>FU77*#REF!</f>
        <v>#REF!</v>
      </c>
      <c r="FY77" s="25"/>
      <c r="FZ77" s="26"/>
      <c r="GA77" s="27"/>
      <c r="GB77" s="28"/>
      <c r="GC77" s="29"/>
      <c r="GD77" s="79">
        <f t="shared" si="22"/>
        <v>0</v>
      </c>
      <c r="GE77" s="80" t="e">
        <f>GD77*#REF!</f>
        <v>#REF!</v>
      </c>
      <c r="GF77" s="81" t="e">
        <f>GD77*#REF!</f>
        <v>#REF!</v>
      </c>
      <c r="GH77" s="25"/>
      <c r="GI77" s="26"/>
      <c r="GJ77" s="27"/>
      <c r="GK77" s="28"/>
      <c r="GL77" s="29"/>
      <c r="GM77" s="79">
        <f t="shared" si="23"/>
        <v>0</v>
      </c>
      <c r="GN77" s="80" t="e">
        <f>GM77*#REF!</f>
        <v>#REF!</v>
      </c>
      <c r="GO77" s="81" t="e">
        <f>GM77*#REF!</f>
        <v>#REF!</v>
      </c>
      <c r="GQ77" s="82">
        <f t="shared" si="24"/>
        <v>0</v>
      </c>
      <c r="GR77" s="83">
        <v>0</v>
      </c>
    </row>
    <row r="78" spans="2:200" ht="15">
      <c r="B78" s="22" t="s">
        <v>86</v>
      </c>
      <c r="C78" s="23" t="s">
        <v>84</v>
      </c>
      <c r="D78" s="24" t="str">
        <f>IF(C78="","",_xlfn.XLOOKUP(C78,'[1]Control Sheet'!$L$5:$L$104,'[1]Control Sheet'!$M$5:$M$104,"",0))</f>
        <v xml:space="preserve">Host </v>
      </c>
      <c r="E78" s="24" t="str">
        <f>IF(B78="","",_xlfn.XLOOKUP(B78,'[1]Control Sheet'!$D$5:$D$64,'[1]Control Sheet'!$F$5:$F$64,"",0))</f>
        <v>Retail</v>
      </c>
      <c r="F78" s="24" t="str">
        <f>IF(B78="","",_xlfn.XLOOKUP(B78,'[1]Control Sheet'!$D$5:$D$64,'[1]Control Sheet'!$E$5:$E$64,"",0))</f>
        <v>C1150-N</v>
      </c>
      <c r="I78" s="25">
        <v>0.45833333333333331</v>
      </c>
      <c r="J78" s="26">
        <v>0.66666666666666663</v>
      </c>
      <c r="K78" s="27">
        <v>45</v>
      </c>
      <c r="L78" s="28">
        <v>1</v>
      </c>
      <c r="M78" s="29">
        <v>1</v>
      </c>
      <c r="P78" s="25">
        <v>0.45833333333333331</v>
      </c>
      <c r="Q78" s="26">
        <v>0.70833333333333337</v>
      </c>
      <c r="R78" s="27">
        <v>45</v>
      </c>
      <c r="S78" s="28">
        <v>1</v>
      </c>
      <c r="T78" s="29">
        <v>1</v>
      </c>
      <c r="V78" s="25">
        <v>0.45833333333333331</v>
      </c>
      <c r="W78" s="26">
        <v>0.70833333333333337</v>
      </c>
      <c r="X78" s="27">
        <v>45</v>
      </c>
      <c r="Y78" s="28">
        <v>1</v>
      </c>
      <c r="Z78" s="29">
        <v>1</v>
      </c>
      <c r="AB78" s="25">
        <v>0.45833333333333331</v>
      </c>
      <c r="AC78" s="26">
        <v>0.70833333333333337</v>
      </c>
      <c r="AD78" s="27">
        <v>45</v>
      </c>
      <c r="AE78" s="28">
        <v>1</v>
      </c>
      <c r="AF78" s="29">
        <v>1</v>
      </c>
      <c r="AH78" s="25">
        <v>0.45833333333333331</v>
      </c>
      <c r="AI78" s="26">
        <v>0.70833333333333337</v>
      </c>
      <c r="AJ78" s="27">
        <v>45</v>
      </c>
      <c r="AK78" s="28">
        <v>1</v>
      </c>
      <c r="AL78" s="29">
        <v>1</v>
      </c>
      <c r="AN78" s="25">
        <v>0.45833333333333331</v>
      </c>
      <c r="AO78" s="26">
        <v>0.70833333333333337</v>
      </c>
      <c r="AP78" s="27">
        <v>45</v>
      </c>
      <c r="AQ78" s="28">
        <v>1</v>
      </c>
      <c r="AR78" s="29">
        <v>1</v>
      </c>
      <c r="AT78" s="25">
        <v>0.45833333333333331</v>
      </c>
      <c r="AU78" s="26">
        <v>0.70833333333333337</v>
      </c>
      <c r="AV78" s="27">
        <v>45</v>
      </c>
      <c r="AW78" s="28">
        <v>1</v>
      </c>
      <c r="AX78" s="29">
        <v>1</v>
      </c>
      <c r="AZ78" s="25">
        <v>0.45833333333333331</v>
      </c>
      <c r="BA78" s="26">
        <v>0.70833333333333337</v>
      </c>
      <c r="BB78" s="27">
        <v>45</v>
      </c>
      <c r="BC78" s="28">
        <v>1</v>
      </c>
      <c r="BD78" s="29">
        <v>1</v>
      </c>
      <c r="BF78" s="25">
        <v>0.45833333333333331</v>
      </c>
      <c r="BG78" s="26">
        <v>0.70833333333333337</v>
      </c>
      <c r="BH78" s="27">
        <v>45</v>
      </c>
      <c r="BI78" s="28">
        <v>1</v>
      </c>
      <c r="BJ78" s="29">
        <v>1</v>
      </c>
      <c r="BL78" s="25"/>
      <c r="BM78" s="26"/>
      <c r="BN78" s="27"/>
      <c r="BO78" s="28"/>
      <c r="BP78" s="29"/>
      <c r="BR78" s="25"/>
      <c r="BS78" s="26"/>
      <c r="BT78" s="27"/>
      <c r="BU78" s="28"/>
      <c r="BV78" s="29"/>
      <c r="BX78" s="25"/>
      <c r="BY78" s="26"/>
      <c r="BZ78" s="27"/>
      <c r="CA78" s="28"/>
      <c r="CB78" s="29"/>
      <c r="CD78" s="25"/>
      <c r="CE78" s="26"/>
      <c r="CF78" s="27"/>
      <c r="CG78" s="28"/>
      <c r="CH78" s="29"/>
      <c r="CJ78" s="25"/>
      <c r="CK78" s="26"/>
      <c r="CL78" s="27"/>
      <c r="CM78" s="28"/>
      <c r="CN78" s="29"/>
      <c r="CP78" s="25"/>
      <c r="CQ78" s="26"/>
      <c r="CR78" s="27"/>
      <c r="CS78" s="28"/>
      <c r="CT78" s="29"/>
      <c r="CV78" s="25"/>
      <c r="CW78" s="26"/>
      <c r="CX78" s="27"/>
      <c r="CY78" s="28"/>
      <c r="CZ78" s="29"/>
      <c r="DA78" s="79">
        <f t="shared" si="13"/>
        <v>0</v>
      </c>
      <c r="DB78" s="80" t="e">
        <f>DA78*#REF!</f>
        <v>#REF!</v>
      </c>
      <c r="DC78" s="81" t="e">
        <f>DA78*#REF!</f>
        <v>#REF!</v>
      </c>
      <c r="DE78" s="25"/>
      <c r="DF78" s="26"/>
      <c r="DG78" s="27"/>
      <c r="DH78" s="28"/>
      <c r="DI78" s="29"/>
      <c r="DJ78" s="79">
        <f t="shared" si="14"/>
        <v>0</v>
      </c>
      <c r="DK78" s="80" t="e">
        <f>DJ78*#REF!</f>
        <v>#REF!</v>
      </c>
      <c r="DL78" s="81" t="e">
        <f>DJ78*#REF!</f>
        <v>#REF!</v>
      </c>
      <c r="DN78" s="25"/>
      <c r="DO78" s="26"/>
      <c r="DP78" s="27"/>
      <c r="DQ78" s="28"/>
      <c r="DR78" s="29"/>
      <c r="DS78" s="79">
        <f t="shared" si="15"/>
        <v>0</v>
      </c>
      <c r="DT78" s="80" t="e">
        <f>DS78*#REF!</f>
        <v>#REF!</v>
      </c>
      <c r="DU78" s="81" t="e">
        <f>DS78*#REF!</f>
        <v>#REF!</v>
      </c>
      <c r="DW78" s="25"/>
      <c r="DX78" s="26"/>
      <c r="DY78" s="27"/>
      <c r="DZ78" s="28"/>
      <c r="EA78" s="29"/>
      <c r="EB78" s="79">
        <f t="shared" si="16"/>
        <v>0</v>
      </c>
      <c r="EC78" s="80" t="e">
        <f>EB78*#REF!</f>
        <v>#REF!</v>
      </c>
      <c r="ED78" s="81" t="e">
        <f>EB78*#REF!</f>
        <v>#REF!</v>
      </c>
      <c r="EF78" s="25"/>
      <c r="EG78" s="26"/>
      <c r="EH78" s="27"/>
      <c r="EI78" s="28"/>
      <c r="EJ78" s="29"/>
      <c r="EK78" s="79">
        <f t="shared" si="17"/>
        <v>0</v>
      </c>
      <c r="EL78" s="80" t="e">
        <f>EK78*#REF!</f>
        <v>#REF!</v>
      </c>
      <c r="EM78" s="81" t="e">
        <f>EK78*#REF!</f>
        <v>#REF!</v>
      </c>
      <c r="EO78" s="25"/>
      <c r="EP78" s="26"/>
      <c r="EQ78" s="27"/>
      <c r="ER78" s="28"/>
      <c r="ES78" s="29"/>
      <c r="ET78" s="79">
        <f t="shared" si="18"/>
        <v>0</v>
      </c>
      <c r="EU78" s="80" t="e">
        <f>ET78*#REF!</f>
        <v>#REF!</v>
      </c>
      <c r="EV78" s="81" t="e">
        <f>ET78*#REF!</f>
        <v>#REF!</v>
      </c>
      <c r="EX78" s="25"/>
      <c r="EY78" s="26"/>
      <c r="EZ78" s="27"/>
      <c r="FA78" s="28"/>
      <c r="FB78" s="29"/>
      <c r="FC78" s="79">
        <f t="shared" si="19"/>
        <v>0</v>
      </c>
      <c r="FD78" s="80" t="e">
        <f>FC78*#REF!</f>
        <v>#REF!</v>
      </c>
      <c r="FE78" s="81" t="e">
        <f>FC78*#REF!</f>
        <v>#REF!</v>
      </c>
      <c r="FG78" s="25"/>
      <c r="FH78" s="26"/>
      <c r="FI78" s="27"/>
      <c r="FJ78" s="28"/>
      <c r="FK78" s="29"/>
      <c r="FL78" s="79">
        <f t="shared" si="20"/>
        <v>0</v>
      </c>
      <c r="FM78" s="80" t="e">
        <f>FL78*#REF!</f>
        <v>#REF!</v>
      </c>
      <c r="FN78" s="81" t="e">
        <f>FL78*#REF!</f>
        <v>#REF!</v>
      </c>
      <c r="FP78" s="25"/>
      <c r="FQ78" s="26"/>
      <c r="FR78" s="27"/>
      <c r="FS78" s="28"/>
      <c r="FT78" s="29"/>
      <c r="FU78" s="79">
        <f t="shared" si="21"/>
        <v>0</v>
      </c>
      <c r="FV78" s="80" t="e">
        <f>FU78*#REF!</f>
        <v>#REF!</v>
      </c>
      <c r="FW78" s="81" t="e">
        <f>FU78*#REF!</f>
        <v>#REF!</v>
      </c>
      <c r="FY78" s="25"/>
      <c r="FZ78" s="26"/>
      <c r="GA78" s="27"/>
      <c r="GB78" s="28"/>
      <c r="GC78" s="29"/>
      <c r="GD78" s="79">
        <f t="shared" si="22"/>
        <v>0</v>
      </c>
      <c r="GE78" s="80" t="e">
        <f>GD78*#REF!</f>
        <v>#REF!</v>
      </c>
      <c r="GF78" s="81" t="e">
        <f>GD78*#REF!</f>
        <v>#REF!</v>
      </c>
      <c r="GH78" s="25"/>
      <c r="GI78" s="26"/>
      <c r="GJ78" s="27"/>
      <c r="GK78" s="28"/>
      <c r="GL78" s="29"/>
      <c r="GM78" s="79">
        <f t="shared" si="23"/>
        <v>0</v>
      </c>
      <c r="GN78" s="80" t="e">
        <f>GM78*#REF!</f>
        <v>#REF!</v>
      </c>
      <c r="GO78" s="81" t="e">
        <f>GM78*#REF!</f>
        <v>#REF!</v>
      </c>
      <c r="GQ78" s="82">
        <f t="shared" si="24"/>
        <v>1</v>
      </c>
      <c r="GR78" s="83">
        <v>1</v>
      </c>
    </row>
    <row r="79" spans="2:200" ht="15">
      <c r="B79" s="22"/>
      <c r="C79" s="23"/>
      <c r="D79" s="24" t="str">
        <f>IF(C79="","",_xlfn.XLOOKUP(C79,'[1]Control Sheet'!$L$5:$L$104,'[1]Control Sheet'!$M$5:$M$104,"",0))</f>
        <v/>
      </c>
      <c r="E79" s="24" t="str">
        <f>IF(B79="","",_xlfn.XLOOKUP(B79,'[1]Control Sheet'!$D$5:$D$64,'[1]Control Sheet'!$F$5:$F$64,"",0))</f>
        <v/>
      </c>
      <c r="F79" s="24" t="str">
        <f>IF(B79="","",_xlfn.XLOOKUP(B79,'[1]Control Sheet'!$D$5:$D$64,'[1]Control Sheet'!$E$5:$E$64,"",0))</f>
        <v/>
      </c>
      <c r="I79" s="25"/>
      <c r="J79" s="26"/>
      <c r="K79" s="27"/>
      <c r="L79" s="28"/>
      <c r="M79" s="29"/>
      <c r="P79" s="25"/>
      <c r="Q79" s="26"/>
      <c r="R79" s="27"/>
      <c r="S79" s="28"/>
      <c r="T79" s="29"/>
      <c r="V79" s="25"/>
      <c r="W79" s="26"/>
      <c r="X79" s="27"/>
      <c r="Y79" s="28"/>
      <c r="Z79" s="29"/>
      <c r="AB79" s="25"/>
      <c r="AC79" s="26"/>
      <c r="AD79" s="27"/>
      <c r="AE79" s="28"/>
      <c r="AF79" s="29"/>
      <c r="AH79" s="25"/>
      <c r="AI79" s="26"/>
      <c r="AJ79" s="27"/>
      <c r="AK79" s="28"/>
      <c r="AL79" s="29"/>
      <c r="AN79" s="25"/>
      <c r="AO79" s="26"/>
      <c r="AP79" s="27"/>
      <c r="AQ79" s="28"/>
      <c r="AR79" s="29"/>
      <c r="AT79" s="25"/>
      <c r="AU79" s="26"/>
      <c r="AV79" s="27"/>
      <c r="AW79" s="28"/>
      <c r="AX79" s="29"/>
      <c r="AZ79" s="25"/>
      <c r="BA79" s="26"/>
      <c r="BB79" s="27"/>
      <c r="BC79" s="28"/>
      <c r="BD79" s="29"/>
      <c r="BF79" s="25"/>
      <c r="BG79" s="26"/>
      <c r="BH79" s="27"/>
      <c r="BI79" s="28"/>
      <c r="BJ79" s="29"/>
      <c r="BL79" s="25"/>
      <c r="BM79" s="26"/>
      <c r="BN79" s="27"/>
      <c r="BO79" s="28"/>
      <c r="BP79" s="29"/>
      <c r="BR79" s="25"/>
      <c r="BS79" s="26"/>
      <c r="BT79" s="27"/>
      <c r="BU79" s="28"/>
      <c r="BV79" s="29"/>
      <c r="BX79" s="25"/>
      <c r="BY79" s="26"/>
      <c r="BZ79" s="27"/>
      <c r="CA79" s="28"/>
      <c r="CB79" s="29"/>
      <c r="CD79" s="25"/>
      <c r="CE79" s="26"/>
      <c r="CF79" s="27"/>
      <c r="CG79" s="28"/>
      <c r="CH79" s="29"/>
      <c r="CJ79" s="25"/>
      <c r="CK79" s="26"/>
      <c r="CL79" s="27"/>
      <c r="CM79" s="28"/>
      <c r="CN79" s="29"/>
      <c r="CP79" s="25"/>
      <c r="CQ79" s="26"/>
      <c r="CR79" s="27"/>
      <c r="CS79" s="28"/>
      <c r="CT79" s="29"/>
      <c r="CV79" s="25"/>
      <c r="CW79" s="26"/>
      <c r="CX79" s="27"/>
      <c r="CY79" s="28"/>
      <c r="CZ79" s="29"/>
      <c r="DA79" s="79">
        <f t="shared" si="13"/>
        <v>0</v>
      </c>
      <c r="DB79" s="80" t="e">
        <f>DA79*#REF!</f>
        <v>#REF!</v>
      </c>
      <c r="DC79" s="81" t="e">
        <f>DA79*#REF!</f>
        <v>#REF!</v>
      </c>
      <c r="DE79" s="25"/>
      <c r="DF79" s="26"/>
      <c r="DG79" s="27"/>
      <c r="DH79" s="28"/>
      <c r="DI79" s="29"/>
      <c r="DJ79" s="79">
        <f t="shared" si="14"/>
        <v>0</v>
      </c>
      <c r="DK79" s="80" t="e">
        <f>DJ79*#REF!</f>
        <v>#REF!</v>
      </c>
      <c r="DL79" s="81" t="e">
        <f>DJ79*#REF!</f>
        <v>#REF!</v>
      </c>
      <c r="DN79" s="25"/>
      <c r="DO79" s="26"/>
      <c r="DP79" s="27"/>
      <c r="DQ79" s="28"/>
      <c r="DR79" s="29"/>
      <c r="DS79" s="79">
        <f t="shared" si="15"/>
        <v>0</v>
      </c>
      <c r="DT79" s="80" t="e">
        <f>DS79*#REF!</f>
        <v>#REF!</v>
      </c>
      <c r="DU79" s="81" t="e">
        <f>DS79*#REF!</f>
        <v>#REF!</v>
      </c>
      <c r="DW79" s="25"/>
      <c r="DX79" s="26"/>
      <c r="DY79" s="27"/>
      <c r="DZ79" s="28"/>
      <c r="EA79" s="29"/>
      <c r="EB79" s="79">
        <f t="shared" si="16"/>
        <v>0</v>
      </c>
      <c r="EC79" s="80" t="e">
        <f>EB79*#REF!</f>
        <v>#REF!</v>
      </c>
      <c r="ED79" s="81" t="e">
        <f>EB79*#REF!</f>
        <v>#REF!</v>
      </c>
      <c r="EF79" s="25"/>
      <c r="EG79" s="26"/>
      <c r="EH79" s="27"/>
      <c r="EI79" s="28"/>
      <c r="EJ79" s="29"/>
      <c r="EK79" s="79">
        <f t="shared" si="17"/>
        <v>0</v>
      </c>
      <c r="EL79" s="80" t="e">
        <f>EK79*#REF!</f>
        <v>#REF!</v>
      </c>
      <c r="EM79" s="81" t="e">
        <f>EK79*#REF!</f>
        <v>#REF!</v>
      </c>
      <c r="EO79" s="25"/>
      <c r="EP79" s="26"/>
      <c r="EQ79" s="27"/>
      <c r="ER79" s="28"/>
      <c r="ES79" s="29"/>
      <c r="ET79" s="79">
        <f t="shared" si="18"/>
        <v>0</v>
      </c>
      <c r="EU79" s="80" t="e">
        <f>ET79*#REF!</f>
        <v>#REF!</v>
      </c>
      <c r="EV79" s="81" t="e">
        <f>ET79*#REF!</f>
        <v>#REF!</v>
      </c>
      <c r="EX79" s="25"/>
      <c r="EY79" s="26"/>
      <c r="EZ79" s="27"/>
      <c r="FA79" s="28"/>
      <c r="FB79" s="29"/>
      <c r="FC79" s="79">
        <f t="shared" si="19"/>
        <v>0</v>
      </c>
      <c r="FD79" s="80" t="e">
        <f>FC79*#REF!</f>
        <v>#REF!</v>
      </c>
      <c r="FE79" s="81" t="e">
        <f>FC79*#REF!</f>
        <v>#REF!</v>
      </c>
      <c r="FG79" s="25"/>
      <c r="FH79" s="26"/>
      <c r="FI79" s="27"/>
      <c r="FJ79" s="28"/>
      <c r="FK79" s="29"/>
      <c r="FL79" s="79">
        <f t="shared" si="20"/>
        <v>0</v>
      </c>
      <c r="FM79" s="80" t="e">
        <f>FL79*#REF!</f>
        <v>#REF!</v>
      </c>
      <c r="FN79" s="81" t="e">
        <f>FL79*#REF!</f>
        <v>#REF!</v>
      </c>
      <c r="FP79" s="25"/>
      <c r="FQ79" s="26"/>
      <c r="FR79" s="27"/>
      <c r="FS79" s="28"/>
      <c r="FT79" s="29"/>
      <c r="FU79" s="79">
        <f t="shared" si="21"/>
        <v>0</v>
      </c>
      <c r="FV79" s="80" t="e">
        <f>FU79*#REF!</f>
        <v>#REF!</v>
      </c>
      <c r="FW79" s="81" t="e">
        <f>FU79*#REF!</f>
        <v>#REF!</v>
      </c>
      <c r="FY79" s="25"/>
      <c r="FZ79" s="26"/>
      <c r="GA79" s="27"/>
      <c r="GB79" s="28"/>
      <c r="GC79" s="29"/>
      <c r="GD79" s="79">
        <f t="shared" si="22"/>
        <v>0</v>
      </c>
      <c r="GE79" s="80" t="e">
        <f>GD79*#REF!</f>
        <v>#REF!</v>
      </c>
      <c r="GF79" s="81" t="e">
        <f>GD79*#REF!</f>
        <v>#REF!</v>
      </c>
      <c r="GH79" s="25"/>
      <c r="GI79" s="26"/>
      <c r="GJ79" s="27"/>
      <c r="GK79" s="28"/>
      <c r="GL79" s="29"/>
      <c r="GM79" s="79">
        <f t="shared" si="23"/>
        <v>0</v>
      </c>
      <c r="GN79" s="80" t="e">
        <f>GM79*#REF!</f>
        <v>#REF!</v>
      </c>
      <c r="GO79" s="81" t="e">
        <f>GM79*#REF!</f>
        <v>#REF!</v>
      </c>
      <c r="GQ79" s="82">
        <f t="shared" si="24"/>
        <v>0</v>
      </c>
      <c r="GR79" s="83">
        <v>0</v>
      </c>
    </row>
    <row r="80" spans="2:200" ht="15">
      <c r="B80" s="22" t="s">
        <v>111</v>
      </c>
      <c r="C80" s="23" t="s">
        <v>83</v>
      </c>
      <c r="D80" s="24" t="str">
        <f>IF(C80="","",_xlfn.XLOOKUP(C80,'[1]Control Sheet'!$L$5:$L$104,'[1]Control Sheet'!$M$5:$M$104,"",0))</f>
        <v>Senior Host</v>
      </c>
      <c r="E80" s="24" t="str">
        <f>IF(B80="","",_xlfn.XLOOKUP(B80,'[1]Control Sheet'!$D$5:$D$64,'[1]Control Sheet'!$F$5:$F$64,"",0))</f>
        <v>Retail</v>
      </c>
      <c r="F80" s="24" t="str">
        <f>IF(B80="","",_xlfn.XLOOKUP(B80,'[1]Control Sheet'!$D$5:$D$64,'[1]Control Sheet'!$E$5:$E$64,"",0))</f>
        <v>C1150-N</v>
      </c>
      <c r="I80" s="25"/>
      <c r="J80" s="26"/>
      <c r="K80" s="27"/>
      <c r="L80" s="28"/>
      <c r="M80" s="29"/>
      <c r="P80" s="25"/>
      <c r="Q80" s="26"/>
      <c r="R80" s="27"/>
      <c r="S80" s="28"/>
      <c r="T80" s="29"/>
      <c r="V80" s="25"/>
      <c r="W80" s="26"/>
      <c r="X80" s="27"/>
      <c r="Y80" s="28"/>
      <c r="Z80" s="29"/>
      <c r="AB80" s="25"/>
      <c r="AC80" s="26"/>
      <c r="AD80" s="27"/>
      <c r="AE80" s="28"/>
      <c r="AF80" s="29"/>
      <c r="AH80" s="25"/>
      <c r="AI80" s="26"/>
      <c r="AJ80" s="27"/>
      <c r="AK80" s="28"/>
      <c r="AL80" s="29"/>
      <c r="AN80" s="25"/>
      <c r="AO80" s="26"/>
      <c r="AP80" s="27"/>
      <c r="AQ80" s="28"/>
      <c r="AR80" s="29"/>
      <c r="AT80" s="25"/>
      <c r="AU80" s="26"/>
      <c r="AV80" s="27"/>
      <c r="AW80" s="28"/>
      <c r="AX80" s="29"/>
      <c r="AZ80" s="25"/>
      <c r="BA80" s="26"/>
      <c r="BB80" s="27"/>
      <c r="BC80" s="28"/>
      <c r="BD80" s="29"/>
      <c r="BF80" s="25"/>
      <c r="BG80" s="26"/>
      <c r="BH80" s="27"/>
      <c r="BI80" s="28"/>
      <c r="BJ80" s="29"/>
      <c r="BL80" s="25">
        <v>0.38541666666666669</v>
      </c>
      <c r="BM80" s="26">
        <v>0.69791666666666663</v>
      </c>
      <c r="BN80" s="27">
        <v>45</v>
      </c>
      <c r="BO80" s="28">
        <v>1</v>
      </c>
      <c r="BP80" s="29">
        <v>1</v>
      </c>
      <c r="BR80" s="25"/>
      <c r="BS80" s="26"/>
      <c r="BT80" s="27"/>
      <c r="BU80" s="28"/>
      <c r="BV80" s="29"/>
      <c r="BX80" s="25"/>
      <c r="BY80" s="26"/>
      <c r="BZ80" s="27"/>
      <c r="CA80" s="28"/>
      <c r="CB80" s="29"/>
      <c r="CD80" s="25"/>
      <c r="CE80" s="26"/>
      <c r="CF80" s="27"/>
      <c r="CG80" s="28"/>
      <c r="CH80" s="29"/>
      <c r="CJ80" s="25"/>
      <c r="CK80" s="26"/>
      <c r="CL80" s="27"/>
      <c r="CM80" s="28"/>
      <c r="CN80" s="29"/>
      <c r="CP80" s="25"/>
      <c r="CQ80" s="26"/>
      <c r="CR80" s="27"/>
      <c r="CS80" s="28"/>
      <c r="CT80" s="29"/>
      <c r="CV80" s="25"/>
      <c r="CW80" s="26"/>
      <c r="CX80" s="27"/>
      <c r="CY80" s="28"/>
      <c r="CZ80" s="29"/>
      <c r="DA80" s="79">
        <f t="shared" si="13"/>
        <v>0</v>
      </c>
      <c r="DB80" s="80" t="e">
        <f>DA80*#REF!</f>
        <v>#REF!</v>
      </c>
      <c r="DC80" s="81" t="e">
        <f>DA80*#REF!</f>
        <v>#REF!</v>
      </c>
      <c r="DE80" s="25"/>
      <c r="DF80" s="26"/>
      <c r="DG80" s="27"/>
      <c r="DH80" s="28"/>
      <c r="DI80" s="29"/>
      <c r="DJ80" s="79">
        <f t="shared" si="14"/>
        <v>0</v>
      </c>
      <c r="DK80" s="80" t="e">
        <f>DJ80*#REF!</f>
        <v>#REF!</v>
      </c>
      <c r="DL80" s="81" t="e">
        <f>DJ80*#REF!</f>
        <v>#REF!</v>
      </c>
      <c r="DN80" s="25"/>
      <c r="DO80" s="26"/>
      <c r="DP80" s="27"/>
      <c r="DQ80" s="28"/>
      <c r="DR80" s="29"/>
      <c r="DS80" s="79">
        <f t="shared" si="15"/>
        <v>0</v>
      </c>
      <c r="DT80" s="80" t="e">
        <f>DS80*#REF!</f>
        <v>#REF!</v>
      </c>
      <c r="DU80" s="81" t="e">
        <f>DS80*#REF!</f>
        <v>#REF!</v>
      </c>
      <c r="DW80" s="25"/>
      <c r="DX80" s="26"/>
      <c r="DY80" s="27"/>
      <c r="DZ80" s="28"/>
      <c r="EA80" s="29"/>
      <c r="EB80" s="79">
        <f t="shared" si="16"/>
        <v>0</v>
      </c>
      <c r="EC80" s="80" t="e">
        <f>EB80*#REF!</f>
        <v>#REF!</v>
      </c>
      <c r="ED80" s="81" t="e">
        <f>EB80*#REF!</f>
        <v>#REF!</v>
      </c>
      <c r="EF80" s="25"/>
      <c r="EG80" s="26"/>
      <c r="EH80" s="27"/>
      <c r="EI80" s="28"/>
      <c r="EJ80" s="29"/>
      <c r="EK80" s="79">
        <f t="shared" si="17"/>
        <v>0</v>
      </c>
      <c r="EL80" s="80" t="e">
        <f>EK80*#REF!</f>
        <v>#REF!</v>
      </c>
      <c r="EM80" s="81" t="e">
        <f>EK80*#REF!</f>
        <v>#REF!</v>
      </c>
      <c r="EO80" s="25"/>
      <c r="EP80" s="26"/>
      <c r="EQ80" s="27"/>
      <c r="ER80" s="28"/>
      <c r="ES80" s="29"/>
      <c r="ET80" s="79">
        <f t="shared" si="18"/>
        <v>0</v>
      </c>
      <c r="EU80" s="80" t="e">
        <f>ET80*#REF!</f>
        <v>#REF!</v>
      </c>
      <c r="EV80" s="81" t="e">
        <f>ET80*#REF!</f>
        <v>#REF!</v>
      </c>
      <c r="EX80" s="25"/>
      <c r="EY80" s="26"/>
      <c r="EZ80" s="27"/>
      <c r="FA80" s="28"/>
      <c r="FB80" s="29"/>
      <c r="FC80" s="79">
        <f t="shared" si="19"/>
        <v>0</v>
      </c>
      <c r="FD80" s="80" t="e">
        <f>FC80*#REF!</f>
        <v>#REF!</v>
      </c>
      <c r="FE80" s="81" t="e">
        <f>FC80*#REF!</f>
        <v>#REF!</v>
      </c>
      <c r="FG80" s="25"/>
      <c r="FH80" s="26"/>
      <c r="FI80" s="27"/>
      <c r="FJ80" s="28"/>
      <c r="FK80" s="29"/>
      <c r="FL80" s="79">
        <f t="shared" si="20"/>
        <v>0</v>
      </c>
      <c r="FM80" s="80" t="e">
        <f>FL80*#REF!</f>
        <v>#REF!</v>
      </c>
      <c r="FN80" s="81" t="e">
        <f>FL80*#REF!</f>
        <v>#REF!</v>
      </c>
      <c r="FP80" s="25"/>
      <c r="FQ80" s="26"/>
      <c r="FR80" s="27"/>
      <c r="FS80" s="28"/>
      <c r="FT80" s="29"/>
      <c r="FU80" s="79">
        <f t="shared" si="21"/>
        <v>0</v>
      </c>
      <c r="FV80" s="80" t="e">
        <f>FU80*#REF!</f>
        <v>#REF!</v>
      </c>
      <c r="FW80" s="81" t="e">
        <f>FU80*#REF!</f>
        <v>#REF!</v>
      </c>
      <c r="FY80" s="25"/>
      <c r="FZ80" s="26"/>
      <c r="GA80" s="27"/>
      <c r="GB80" s="28"/>
      <c r="GC80" s="29"/>
      <c r="GD80" s="79">
        <f t="shared" si="22"/>
        <v>0</v>
      </c>
      <c r="GE80" s="80" t="e">
        <f>GD80*#REF!</f>
        <v>#REF!</v>
      </c>
      <c r="GF80" s="81" t="e">
        <f>GD80*#REF!</f>
        <v>#REF!</v>
      </c>
      <c r="GH80" s="25"/>
      <c r="GI80" s="26"/>
      <c r="GJ80" s="27"/>
      <c r="GK80" s="28"/>
      <c r="GL80" s="29"/>
      <c r="GM80" s="79">
        <f t="shared" si="23"/>
        <v>0</v>
      </c>
      <c r="GN80" s="80" t="e">
        <f>GM80*#REF!</f>
        <v>#REF!</v>
      </c>
      <c r="GO80" s="81" t="e">
        <f>GM80*#REF!</f>
        <v>#REF!</v>
      </c>
      <c r="GQ80" s="82">
        <f t="shared" si="24"/>
        <v>1</v>
      </c>
      <c r="GR80" s="83">
        <v>1</v>
      </c>
    </row>
    <row r="81" spans="2:200" ht="15">
      <c r="B81" s="22" t="s">
        <v>111</v>
      </c>
      <c r="C81" s="23" t="s">
        <v>84</v>
      </c>
      <c r="D81" s="24" t="str">
        <f>IF(C81="","",_xlfn.XLOOKUP(C81,'[1]Control Sheet'!$L$5:$L$104,'[1]Control Sheet'!$M$5:$M$104,"",0))</f>
        <v xml:space="preserve">Host </v>
      </c>
      <c r="E81" s="24" t="str">
        <f>IF(B81="","",_xlfn.XLOOKUP(B81,'[1]Control Sheet'!$D$5:$D$64,'[1]Control Sheet'!$F$5:$F$64,"",0))</f>
        <v>Retail</v>
      </c>
      <c r="F81" s="24" t="str">
        <f>IF(B81="","",_xlfn.XLOOKUP(B81,'[1]Control Sheet'!$D$5:$D$64,'[1]Control Sheet'!$E$5:$E$64,"",0))</f>
        <v>C1150-N</v>
      </c>
      <c r="I81" s="25">
        <v>0.38541666666666669</v>
      </c>
      <c r="J81" s="26">
        <v>0.69791666666666663</v>
      </c>
      <c r="K81" s="27">
        <v>45</v>
      </c>
      <c r="L81" s="28">
        <v>1</v>
      </c>
      <c r="M81" s="29">
        <v>1</v>
      </c>
      <c r="P81" s="25">
        <v>0.38541666666666669</v>
      </c>
      <c r="Q81" s="26">
        <v>0.73958333333333337</v>
      </c>
      <c r="R81" s="27">
        <v>45</v>
      </c>
      <c r="S81" s="28">
        <v>1</v>
      </c>
      <c r="T81" s="29">
        <v>1</v>
      </c>
      <c r="V81" s="25">
        <v>0.38541666666666669</v>
      </c>
      <c r="W81" s="26">
        <v>0.73958333333333337</v>
      </c>
      <c r="X81" s="27">
        <v>45</v>
      </c>
      <c r="Y81" s="28">
        <v>1</v>
      </c>
      <c r="Z81" s="29">
        <v>1</v>
      </c>
      <c r="AB81" s="25">
        <v>0.38541666666666669</v>
      </c>
      <c r="AC81" s="26">
        <v>0.73958333333333337</v>
      </c>
      <c r="AD81" s="27">
        <v>45</v>
      </c>
      <c r="AE81" s="28">
        <v>1</v>
      </c>
      <c r="AF81" s="29">
        <v>1</v>
      </c>
      <c r="AH81" s="25">
        <v>0.38541666666666669</v>
      </c>
      <c r="AI81" s="26">
        <v>0.73958333333333337</v>
      </c>
      <c r="AJ81" s="27">
        <v>45</v>
      </c>
      <c r="AK81" s="28">
        <v>2</v>
      </c>
      <c r="AL81" s="29">
        <v>1</v>
      </c>
      <c r="AN81" s="25">
        <v>0.38541666666666669</v>
      </c>
      <c r="AO81" s="26">
        <v>0.77083333333333337</v>
      </c>
      <c r="AP81" s="33">
        <v>60</v>
      </c>
      <c r="AQ81" s="28">
        <v>2</v>
      </c>
      <c r="AR81" s="29">
        <v>1</v>
      </c>
      <c r="AT81" s="25">
        <v>0.39583333333333331</v>
      </c>
      <c r="AU81" s="26">
        <v>0.73958333333333337</v>
      </c>
      <c r="AV81" s="27">
        <v>45</v>
      </c>
      <c r="AW81" s="28">
        <v>2</v>
      </c>
      <c r="AX81" s="29">
        <v>1</v>
      </c>
      <c r="AZ81" s="25">
        <v>0.38541666666666669</v>
      </c>
      <c r="BA81" s="26">
        <v>0.77083333333333337</v>
      </c>
      <c r="BB81" s="33">
        <v>60</v>
      </c>
      <c r="BC81" s="28">
        <v>2</v>
      </c>
      <c r="BD81" s="29">
        <v>1</v>
      </c>
      <c r="BF81" s="25">
        <v>0.39583333333333331</v>
      </c>
      <c r="BG81" s="26">
        <v>0.8125</v>
      </c>
      <c r="BH81" s="27">
        <v>60</v>
      </c>
      <c r="BI81" s="28">
        <v>2</v>
      </c>
      <c r="BJ81" s="29">
        <v>1</v>
      </c>
      <c r="BL81" s="25">
        <v>0.38541666666666669</v>
      </c>
      <c r="BM81" s="26">
        <v>0.69791666666666663</v>
      </c>
      <c r="BN81" s="27">
        <v>45</v>
      </c>
      <c r="BO81" s="28">
        <v>1</v>
      </c>
      <c r="BP81" s="29">
        <v>1</v>
      </c>
      <c r="BR81" s="25">
        <v>0.39583333333333331</v>
      </c>
      <c r="BS81" s="26">
        <v>0.64583333333333337</v>
      </c>
      <c r="BT81" s="27">
        <v>45</v>
      </c>
      <c r="BU81" s="28">
        <v>1</v>
      </c>
      <c r="BV81" s="29">
        <v>1</v>
      </c>
      <c r="BX81" s="25">
        <v>0.39583333333333331</v>
      </c>
      <c r="BY81" s="26">
        <v>0.75</v>
      </c>
      <c r="BZ81" s="27">
        <v>45</v>
      </c>
      <c r="CA81" s="28">
        <v>1</v>
      </c>
      <c r="CB81" s="29">
        <v>1</v>
      </c>
      <c r="CD81" s="25">
        <v>0.39583333333333331</v>
      </c>
      <c r="CE81" s="26">
        <v>0.79166666666666663</v>
      </c>
      <c r="CF81" s="33">
        <v>60</v>
      </c>
      <c r="CG81" s="28">
        <v>1</v>
      </c>
      <c r="CH81" s="29">
        <v>1</v>
      </c>
      <c r="CJ81" s="25">
        <v>0.39583333333333331</v>
      </c>
      <c r="CK81" s="26">
        <v>0.64583333333333337</v>
      </c>
      <c r="CL81" s="27">
        <v>45</v>
      </c>
      <c r="CM81" s="28">
        <v>1</v>
      </c>
      <c r="CN81" s="29">
        <v>1</v>
      </c>
      <c r="CP81" s="25"/>
      <c r="CQ81" s="26"/>
      <c r="CR81" s="27"/>
      <c r="CS81" s="28"/>
      <c r="CT81" s="29"/>
      <c r="CV81" s="25"/>
      <c r="CW81" s="26"/>
      <c r="CX81" s="27"/>
      <c r="CY81" s="28"/>
      <c r="CZ81" s="29"/>
      <c r="DA81" s="79">
        <f t="shared" si="13"/>
        <v>0</v>
      </c>
      <c r="DB81" s="80" t="e">
        <f>DA81*#REF!</f>
        <v>#REF!</v>
      </c>
      <c r="DC81" s="81" t="e">
        <f>DA81*#REF!</f>
        <v>#REF!</v>
      </c>
      <c r="DE81" s="25"/>
      <c r="DF81" s="26"/>
      <c r="DG81" s="27"/>
      <c r="DH81" s="28"/>
      <c r="DI81" s="29"/>
      <c r="DJ81" s="79">
        <f t="shared" si="14"/>
        <v>0</v>
      </c>
      <c r="DK81" s="80" t="e">
        <f>DJ81*#REF!</f>
        <v>#REF!</v>
      </c>
      <c r="DL81" s="81" t="e">
        <f>DJ81*#REF!</f>
        <v>#REF!</v>
      </c>
      <c r="DN81" s="25"/>
      <c r="DO81" s="26"/>
      <c r="DP81" s="27"/>
      <c r="DQ81" s="28"/>
      <c r="DR81" s="29"/>
      <c r="DS81" s="79">
        <f t="shared" si="15"/>
        <v>0</v>
      </c>
      <c r="DT81" s="80" t="e">
        <f>DS81*#REF!</f>
        <v>#REF!</v>
      </c>
      <c r="DU81" s="81" t="e">
        <f>DS81*#REF!</f>
        <v>#REF!</v>
      </c>
      <c r="DW81" s="25"/>
      <c r="DX81" s="26"/>
      <c r="DY81" s="27"/>
      <c r="DZ81" s="28"/>
      <c r="EA81" s="29"/>
      <c r="EB81" s="79">
        <f t="shared" si="16"/>
        <v>0</v>
      </c>
      <c r="EC81" s="80" t="e">
        <f>EB81*#REF!</f>
        <v>#REF!</v>
      </c>
      <c r="ED81" s="81" t="e">
        <f>EB81*#REF!</f>
        <v>#REF!</v>
      </c>
      <c r="EF81" s="25"/>
      <c r="EG81" s="26"/>
      <c r="EH81" s="27"/>
      <c r="EI81" s="28"/>
      <c r="EJ81" s="29"/>
      <c r="EK81" s="79">
        <f t="shared" si="17"/>
        <v>0</v>
      </c>
      <c r="EL81" s="80" t="e">
        <f>EK81*#REF!</f>
        <v>#REF!</v>
      </c>
      <c r="EM81" s="81" t="e">
        <f>EK81*#REF!</f>
        <v>#REF!</v>
      </c>
      <c r="EO81" s="25"/>
      <c r="EP81" s="26"/>
      <c r="EQ81" s="27"/>
      <c r="ER81" s="28"/>
      <c r="ES81" s="29"/>
      <c r="ET81" s="79">
        <f t="shared" si="18"/>
        <v>0</v>
      </c>
      <c r="EU81" s="80" t="e">
        <f>ET81*#REF!</f>
        <v>#REF!</v>
      </c>
      <c r="EV81" s="81" t="e">
        <f>ET81*#REF!</f>
        <v>#REF!</v>
      </c>
      <c r="EX81" s="25"/>
      <c r="EY81" s="26"/>
      <c r="EZ81" s="27"/>
      <c r="FA81" s="28"/>
      <c r="FB81" s="29"/>
      <c r="FC81" s="79">
        <f t="shared" si="19"/>
        <v>0</v>
      </c>
      <c r="FD81" s="80" t="e">
        <f>FC81*#REF!</f>
        <v>#REF!</v>
      </c>
      <c r="FE81" s="81" t="e">
        <f>FC81*#REF!</f>
        <v>#REF!</v>
      </c>
      <c r="FG81" s="25"/>
      <c r="FH81" s="26"/>
      <c r="FI81" s="27"/>
      <c r="FJ81" s="28"/>
      <c r="FK81" s="29"/>
      <c r="FL81" s="79">
        <f t="shared" si="20"/>
        <v>0</v>
      </c>
      <c r="FM81" s="80" t="e">
        <f>FL81*#REF!</f>
        <v>#REF!</v>
      </c>
      <c r="FN81" s="81" t="e">
        <f>FL81*#REF!</f>
        <v>#REF!</v>
      </c>
      <c r="FP81" s="25"/>
      <c r="FQ81" s="26"/>
      <c r="FR81" s="27"/>
      <c r="FS81" s="28"/>
      <c r="FT81" s="29"/>
      <c r="FU81" s="79">
        <f t="shared" si="21"/>
        <v>0</v>
      </c>
      <c r="FV81" s="80" t="e">
        <f>FU81*#REF!</f>
        <v>#REF!</v>
      </c>
      <c r="FW81" s="81" t="e">
        <f>FU81*#REF!</f>
        <v>#REF!</v>
      </c>
      <c r="FY81" s="25"/>
      <c r="FZ81" s="26"/>
      <c r="GA81" s="27"/>
      <c r="GB81" s="28"/>
      <c r="GC81" s="29"/>
      <c r="GD81" s="79">
        <f t="shared" si="22"/>
        <v>0</v>
      </c>
      <c r="GE81" s="80" t="e">
        <f>GD81*#REF!</f>
        <v>#REF!</v>
      </c>
      <c r="GF81" s="81" t="e">
        <f>GD81*#REF!</f>
        <v>#REF!</v>
      </c>
      <c r="GH81" s="25"/>
      <c r="GI81" s="26"/>
      <c r="GJ81" s="27"/>
      <c r="GK81" s="28"/>
      <c r="GL81" s="29"/>
      <c r="GM81" s="79">
        <f t="shared" si="23"/>
        <v>0</v>
      </c>
      <c r="GN81" s="80" t="e">
        <f>GM81*#REF!</f>
        <v>#REF!</v>
      </c>
      <c r="GO81" s="81" t="e">
        <f>GM81*#REF!</f>
        <v>#REF!</v>
      </c>
      <c r="GQ81" s="82">
        <f t="shared" si="24"/>
        <v>2</v>
      </c>
      <c r="GR81" s="83">
        <v>2</v>
      </c>
    </row>
    <row r="82" spans="2:200" ht="15">
      <c r="B82" s="22"/>
      <c r="C82" s="23"/>
      <c r="D82" s="24" t="str">
        <f>IF(C82="","",_xlfn.XLOOKUP(C82,'[1]Control Sheet'!$L$5:$L$104,'[1]Control Sheet'!$M$5:$M$104,"",0))</f>
        <v/>
      </c>
      <c r="E82" s="24" t="str">
        <f>IF(B82="","",_xlfn.XLOOKUP(B82,'[1]Control Sheet'!$D$5:$D$64,'[1]Control Sheet'!$F$5:$F$64,"",0))</f>
        <v/>
      </c>
      <c r="F82" s="24" t="str">
        <f>IF(B82="","",_xlfn.XLOOKUP(B82,'[1]Control Sheet'!$D$5:$D$64,'[1]Control Sheet'!$E$5:$E$64,"",0))</f>
        <v/>
      </c>
      <c r="I82" s="25"/>
      <c r="J82" s="26"/>
      <c r="K82" s="27"/>
      <c r="L82" s="28"/>
      <c r="M82" s="29"/>
      <c r="P82" s="25"/>
      <c r="Q82" s="26"/>
      <c r="R82" s="27"/>
      <c r="S82" s="28"/>
      <c r="T82" s="29"/>
      <c r="V82" s="25"/>
      <c r="W82" s="26"/>
      <c r="X82" s="27"/>
      <c r="Y82" s="28"/>
      <c r="Z82" s="29"/>
      <c r="AB82" s="25"/>
      <c r="AC82" s="26"/>
      <c r="AD82" s="27"/>
      <c r="AE82" s="28"/>
      <c r="AF82" s="29"/>
      <c r="AH82" s="25"/>
      <c r="AI82" s="26"/>
      <c r="AJ82" s="27"/>
      <c r="AK82" s="28"/>
      <c r="AL82" s="29"/>
      <c r="AN82" s="25"/>
      <c r="AO82" s="26"/>
      <c r="AP82" s="27"/>
      <c r="AQ82" s="28"/>
      <c r="AR82" s="29"/>
      <c r="AT82" s="25"/>
      <c r="AU82" s="26"/>
      <c r="AV82" s="27"/>
      <c r="AW82" s="28"/>
      <c r="AX82" s="29"/>
      <c r="AZ82" s="25"/>
      <c r="BA82" s="26"/>
      <c r="BB82" s="27"/>
      <c r="BC82" s="28"/>
      <c r="BD82" s="29"/>
      <c r="BF82" s="25"/>
      <c r="BG82" s="26"/>
      <c r="BH82" s="27"/>
      <c r="BI82" s="28"/>
      <c r="BJ82" s="29"/>
      <c r="BL82" s="25"/>
      <c r="BM82" s="26"/>
      <c r="BN82" s="27"/>
      <c r="BO82" s="28"/>
      <c r="BP82" s="29"/>
      <c r="BR82" s="25"/>
      <c r="BS82" s="26"/>
      <c r="BT82" s="27"/>
      <c r="BU82" s="28"/>
      <c r="BV82" s="29"/>
      <c r="BX82" s="25"/>
      <c r="BY82" s="26"/>
      <c r="BZ82" s="27"/>
      <c r="CA82" s="28"/>
      <c r="CB82" s="29"/>
      <c r="CD82" s="25"/>
      <c r="CE82" s="26"/>
      <c r="CF82" s="27"/>
      <c r="CG82" s="28"/>
      <c r="CH82" s="29"/>
      <c r="CJ82" s="25"/>
      <c r="CK82" s="26"/>
      <c r="CL82" s="27"/>
      <c r="CM82" s="28"/>
      <c r="CN82" s="29"/>
      <c r="CP82" s="25"/>
      <c r="CQ82" s="26"/>
      <c r="CR82" s="27"/>
      <c r="CS82" s="28"/>
      <c r="CT82" s="29"/>
      <c r="CV82" s="25"/>
      <c r="CW82" s="26"/>
      <c r="CX82" s="27"/>
      <c r="CY82" s="28"/>
      <c r="CZ82" s="29"/>
      <c r="DA82" s="79">
        <f t="shared" si="13"/>
        <v>0</v>
      </c>
      <c r="DB82" s="80" t="e">
        <f>DA82*#REF!</f>
        <v>#REF!</v>
      </c>
      <c r="DC82" s="81" t="e">
        <f>DA82*#REF!</f>
        <v>#REF!</v>
      </c>
      <c r="DE82" s="25"/>
      <c r="DF82" s="26"/>
      <c r="DG82" s="27"/>
      <c r="DH82" s="28"/>
      <c r="DI82" s="29"/>
      <c r="DJ82" s="79">
        <f t="shared" si="14"/>
        <v>0</v>
      </c>
      <c r="DK82" s="80" t="e">
        <f>DJ82*#REF!</f>
        <v>#REF!</v>
      </c>
      <c r="DL82" s="81" t="e">
        <f>DJ82*#REF!</f>
        <v>#REF!</v>
      </c>
      <c r="DN82" s="25"/>
      <c r="DO82" s="26"/>
      <c r="DP82" s="27"/>
      <c r="DQ82" s="28"/>
      <c r="DR82" s="29"/>
      <c r="DS82" s="79">
        <f t="shared" si="15"/>
        <v>0</v>
      </c>
      <c r="DT82" s="80" t="e">
        <f>DS82*#REF!</f>
        <v>#REF!</v>
      </c>
      <c r="DU82" s="81" t="e">
        <f>DS82*#REF!</f>
        <v>#REF!</v>
      </c>
      <c r="DW82" s="25"/>
      <c r="DX82" s="26"/>
      <c r="DY82" s="27"/>
      <c r="DZ82" s="28"/>
      <c r="EA82" s="29"/>
      <c r="EB82" s="79">
        <f t="shared" si="16"/>
        <v>0</v>
      </c>
      <c r="EC82" s="80" t="e">
        <f>EB82*#REF!</f>
        <v>#REF!</v>
      </c>
      <c r="ED82" s="81" t="e">
        <f>EB82*#REF!</f>
        <v>#REF!</v>
      </c>
      <c r="EF82" s="25"/>
      <c r="EG82" s="26"/>
      <c r="EH82" s="27"/>
      <c r="EI82" s="28"/>
      <c r="EJ82" s="29"/>
      <c r="EK82" s="79">
        <f t="shared" si="17"/>
        <v>0</v>
      </c>
      <c r="EL82" s="80" t="e">
        <f>EK82*#REF!</f>
        <v>#REF!</v>
      </c>
      <c r="EM82" s="81" t="e">
        <f>EK82*#REF!</f>
        <v>#REF!</v>
      </c>
      <c r="EO82" s="25"/>
      <c r="EP82" s="26"/>
      <c r="EQ82" s="27"/>
      <c r="ER82" s="28"/>
      <c r="ES82" s="29"/>
      <c r="ET82" s="79">
        <f t="shared" si="18"/>
        <v>0</v>
      </c>
      <c r="EU82" s="80" t="e">
        <f>ET82*#REF!</f>
        <v>#REF!</v>
      </c>
      <c r="EV82" s="81" t="e">
        <f>ET82*#REF!</f>
        <v>#REF!</v>
      </c>
      <c r="EX82" s="25"/>
      <c r="EY82" s="26"/>
      <c r="EZ82" s="27"/>
      <c r="FA82" s="28"/>
      <c r="FB82" s="29"/>
      <c r="FC82" s="79">
        <f t="shared" si="19"/>
        <v>0</v>
      </c>
      <c r="FD82" s="80" t="e">
        <f>FC82*#REF!</f>
        <v>#REF!</v>
      </c>
      <c r="FE82" s="81" t="e">
        <f>FC82*#REF!</f>
        <v>#REF!</v>
      </c>
      <c r="FG82" s="25"/>
      <c r="FH82" s="26"/>
      <c r="FI82" s="27"/>
      <c r="FJ82" s="28"/>
      <c r="FK82" s="29"/>
      <c r="FL82" s="79">
        <f t="shared" si="20"/>
        <v>0</v>
      </c>
      <c r="FM82" s="80" t="e">
        <f>FL82*#REF!</f>
        <v>#REF!</v>
      </c>
      <c r="FN82" s="81" t="e">
        <f>FL82*#REF!</f>
        <v>#REF!</v>
      </c>
      <c r="FP82" s="25"/>
      <c r="FQ82" s="26"/>
      <c r="FR82" s="27"/>
      <c r="FS82" s="28"/>
      <c r="FT82" s="29"/>
      <c r="FU82" s="79">
        <f t="shared" si="21"/>
        <v>0</v>
      </c>
      <c r="FV82" s="80" t="e">
        <f>FU82*#REF!</f>
        <v>#REF!</v>
      </c>
      <c r="FW82" s="81" t="e">
        <f>FU82*#REF!</f>
        <v>#REF!</v>
      </c>
      <c r="FY82" s="25"/>
      <c r="FZ82" s="26"/>
      <c r="GA82" s="27"/>
      <c r="GB82" s="28"/>
      <c r="GC82" s="29"/>
      <c r="GD82" s="79">
        <f t="shared" si="22"/>
        <v>0</v>
      </c>
      <c r="GE82" s="80" t="e">
        <f>GD82*#REF!</f>
        <v>#REF!</v>
      </c>
      <c r="GF82" s="81" t="e">
        <f>GD82*#REF!</f>
        <v>#REF!</v>
      </c>
      <c r="GH82" s="25"/>
      <c r="GI82" s="26"/>
      <c r="GJ82" s="27"/>
      <c r="GK82" s="28"/>
      <c r="GL82" s="29"/>
      <c r="GM82" s="79">
        <f t="shared" si="23"/>
        <v>0</v>
      </c>
      <c r="GN82" s="80" t="e">
        <f>GM82*#REF!</f>
        <v>#REF!</v>
      </c>
      <c r="GO82" s="81" t="e">
        <f>GM82*#REF!</f>
        <v>#REF!</v>
      </c>
      <c r="GQ82" s="82">
        <f t="shared" si="24"/>
        <v>0</v>
      </c>
      <c r="GR82" s="83">
        <v>0</v>
      </c>
    </row>
    <row r="83" spans="2:200" ht="15">
      <c r="B83" s="22" t="s">
        <v>87</v>
      </c>
      <c r="C83" s="23" t="s">
        <v>83</v>
      </c>
      <c r="D83" s="24" t="str">
        <f>IF(C83="","",_xlfn.XLOOKUP(C83,'[1]Control Sheet'!$L$5:$L$104,'[1]Control Sheet'!$M$5:$M$104,"",0))</f>
        <v>Senior Host</v>
      </c>
      <c r="E83" s="24" t="str">
        <f>IF(B83="","",_xlfn.XLOOKUP(B83,'[1]Control Sheet'!$D$5:$D$64,'[1]Control Sheet'!$F$5:$F$64,"",0))</f>
        <v>Retail</v>
      </c>
      <c r="F83" s="24" t="str">
        <f>IF(B83="","",_xlfn.XLOOKUP(B83,'[1]Control Sheet'!$D$5:$D$64,'[1]Control Sheet'!$E$5:$E$64,"",0))</f>
        <v>C1150-N</v>
      </c>
      <c r="I83" s="25"/>
      <c r="J83" s="26"/>
      <c r="K83" s="27"/>
      <c r="L83" s="28"/>
      <c r="M83" s="29"/>
      <c r="P83" s="25"/>
      <c r="Q83" s="26"/>
      <c r="R83" s="27"/>
      <c r="S83" s="28"/>
      <c r="T83" s="29"/>
      <c r="V83" s="25"/>
      <c r="W83" s="26"/>
      <c r="X83" s="27"/>
      <c r="Y83" s="28"/>
      <c r="Z83" s="29"/>
      <c r="AB83" s="25"/>
      <c r="AC83" s="26"/>
      <c r="AD83" s="27"/>
      <c r="AE83" s="28"/>
      <c r="AF83" s="29"/>
      <c r="AH83" s="25">
        <v>0.45833333333333331</v>
      </c>
      <c r="AI83" s="26">
        <v>0.73958333333333337</v>
      </c>
      <c r="AJ83" s="27">
        <v>45</v>
      </c>
      <c r="AK83" s="28">
        <v>1</v>
      </c>
      <c r="AL83" s="29">
        <v>1</v>
      </c>
      <c r="AN83" s="25">
        <v>0.45833333333333331</v>
      </c>
      <c r="AO83" s="26">
        <v>0.79166666666666663</v>
      </c>
      <c r="AP83" s="33">
        <v>60</v>
      </c>
      <c r="AQ83" s="28">
        <v>1</v>
      </c>
      <c r="AR83" s="29">
        <v>1</v>
      </c>
      <c r="AT83" s="25">
        <v>0.45833333333333331</v>
      </c>
      <c r="AU83" s="26">
        <v>0.73958333333333337</v>
      </c>
      <c r="AV83" s="27">
        <v>45</v>
      </c>
      <c r="AW83" s="28">
        <v>1</v>
      </c>
      <c r="AX83" s="29">
        <v>1</v>
      </c>
      <c r="AZ83" s="25">
        <v>0.45833333333333331</v>
      </c>
      <c r="BA83" s="26">
        <v>0.79166666666666663</v>
      </c>
      <c r="BB83" s="33">
        <v>60</v>
      </c>
      <c r="BC83" s="28">
        <v>1</v>
      </c>
      <c r="BD83" s="29">
        <v>1</v>
      </c>
      <c r="BF83" s="25">
        <v>0.45833333333333331</v>
      </c>
      <c r="BG83" s="26">
        <v>0.83333333333333337</v>
      </c>
      <c r="BH83" s="27">
        <v>60</v>
      </c>
      <c r="BI83" s="28">
        <v>1</v>
      </c>
      <c r="BJ83" s="29">
        <v>1</v>
      </c>
      <c r="BL83" s="25"/>
      <c r="BM83" s="26"/>
      <c r="BN83" s="27"/>
      <c r="BO83" s="28"/>
      <c r="BP83" s="29"/>
      <c r="BR83" s="25">
        <v>0.39583333333333331</v>
      </c>
      <c r="BS83" s="26">
        <v>0.66666666666666663</v>
      </c>
      <c r="BT83" s="27">
        <v>45</v>
      </c>
      <c r="BU83" s="28">
        <v>1</v>
      </c>
      <c r="BV83" s="29">
        <v>1</v>
      </c>
      <c r="BX83" s="25">
        <v>0.39583333333333331</v>
      </c>
      <c r="BY83" s="26">
        <v>0.75</v>
      </c>
      <c r="BZ83" s="27">
        <v>45</v>
      </c>
      <c r="CA83" s="28">
        <v>1</v>
      </c>
      <c r="CB83" s="29">
        <v>1</v>
      </c>
      <c r="CD83" s="25">
        <v>0.39583333333333331</v>
      </c>
      <c r="CE83" s="26">
        <v>0.8125</v>
      </c>
      <c r="CF83" s="33">
        <v>60</v>
      </c>
      <c r="CG83" s="28">
        <v>1</v>
      </c>
      <c r="CH83" s="29">
        <v>1</v>
      </c>
      <c r="CJ83" s="25">
        <v>0.39583333333333331</v>
      </c>
      <c r="CK83" s="26">
        <v>0.66666666666666663</v>
      </c>
      <c r="CL83" s="27">
        <v>45</v>
      </c>
      <c r="CM83" s="28">
        <v>1</v>
      </c>
      <c r="CN83" s="29">
        <v>1</v>
      </c>
      <c r="CP83" s="25"/>
      <c r="CQ83" s="26"/>
      <c r="CR83" s="27"/>
      <c r="CS83" s="28"/>
      <c r="CT83" s="29"/>
      <c r="CV83" s="25"/>
      <c r="CW83" s="26"/>
      <c r="CX83" s="27"/>
      <c r="CY83" s="28"/>
      <c r="CZ83" s="29"/>
      <c r="DA83" s="79">
        <f t="shared" si="13"/>
        <v>0</v>
      </c>
      <c r="DB83" s="80" t="e">
        <f>DA83*#REF!</f>
        <v>#REF!</v>
      </c>
      <c r="DC83" s="81" t="e">
        <f>DA83*#REF!</f>
        <v>#REF!</v>
      </c>
      <c r="DE83" s="25"/>
      <c r="DF83" s="26"/>
      <c r="DG83" s="27"/>
      <c r="DH83" s="28"/>
      <c r="DI83" s="29"/>
      <c r="DJ83" s="79">
        <f t="shared" si="14"/>
        <v>0</v>
      </c>
      <c r="DK83" s="80" t="e">
        <f>DJ83*#REF!</f>
        <v>#REF!</v>
      </c>
      <c r="DL83" s="81" t="e">
        <f>DJ83*#REF!</f>
        <v>#REF!</v>
      </c>
      <c r="DN83" s="25"/>
      <c r="DO83" s="26"/>
      <c r="DP83" s="27"/>
      <c r="DQ83" s="28"/>
      <c r="DR83" s="29"/>
      <c r="DS83" s="79">
        <f t="shared" si="15"/>
        <v>0</v>
      </c>
      <c r="DT83" s="80" t="e">
        <f>DS83*#REF!</f>
        <v>#REF!</v>
      </c>
      <c r="DU83" s="81" t="e">
        <f>DS83*#REF!</f>
        <v>#REF!</v>
      </c>
      <c r="DW83" s="25"/>
      <c r="DX83" s="26"/>
      <c r="DY83" s="27"/>
      <c r="DZ83" s="28"/>
      <c r="EA83" s="29"/>
      <c r="EB83" s="79">
        <f t="shared" si="16"/>
        <v>0</v>
      </c>
      <c r="EC83" s="80" t="e">
        <f>EB83*#REF!</f>
        <v>#REF!</v>
      </c>
      <c r="ED83" s="81" t="e">
        <f>EB83*#REF!</f>
        <v>#REF!</v>
      </c>
      <c r="EF83" s="25"/>
      <c r="EG83" s="26"/>
      <c r="EH83" s="27"/>
      <c r="EI83" s="28"/>
      <c r="EJ83" s="29"/>
      <c r="EK83" s="79">
        <f t="shared" si="17"/>
        <v>0</v>
      </c>
      <c r="EL83" s="80" t="e">
        <f>EK83*#REF!</f>
        <v>#REF!</v>
      </c>
      <c r="EM83" s="81" t="e">
        <f>EK83*#REF!</f>
        <v>#REF!</v>
      </c>
      <c r="EO83" s="25"/>
      <c r="EP83" s="26"/>
      <c r="EQ83" s="27"/>
      <c r="ER83" s="28"/>
      <c r="ES83" s="29"/>
      <c r="ET83" s="79">
        <f t="shared" si="18"/>
        <v>0</v>
      </c>
      <c r="EU83" s="80" t="e">
        <f>ET83*#REF!</f>
        <v>#REF!</v>
      </c>
      <c r="EV83" s="81" t="e">
        <f>ET83*#REF!</f>
        <v>#REF!</v>
      </c>
      <c r="EX83" s="25"/>
      <c r="EY83" s="26"/>
      <c r="EZ83" s="27"/>
      <c r="FA83" s="28"/>
      <c r="FB83" s="29"/>
      <c r="FC83" s="79">
        <f t="shared" si="19"/>
        <v>0</v>
      </c>
      <c r="FD83" s="80" t="e">
        <f>FC83*#REF!</f>
        <v>#REF!</v>
      </c>
      <c r="FE83" s="81" t="e">
        <f>FC83*#REF!</f>
        <v>#REF!</v>
      </c>
      <c r="FG83" s="25"/>
      <c r="FH83" s="26"/>
      <c r="FI83" s="27"/>
      <c r="FJ83" s="28"/>
      <c r="FK83" s="29"/>
      <c r="FL83" s="79">
        <f t="shared" si="20"/>
        <v>0</v>
      </c>
      <c r="FM83" s="80" t="e">
        <f>FL83*#REF!</f>
        <v>#REF!</v>
      </c>
      <c r="FN83" s="81" t="e">
        <f>FL83*#REF!</f>
        <v>#REF!</v>
      </c>
      <c r="FP83" s="25"/>
      <c r="FQ83" s="26"/>
      <c r="FR83" s="27"/>
      <c r="FS83" s="28"/>
      <c r="FT83" s="29"/>
      <c r="FU83" s="79">
        <f t="shared" si="21"/>
        <v>0</v>
      </c>
      <c r="FV83" s="80" t="e">
        <f>FU83*#REF!</f>
        <v>#REF!</v>
      </c>
      <c r="FW83" s="81" t="e">
        <f>FU83*#REF!</f>
        <v>#REF!</v>
      </c>
      <c r="FY83" s="25"/>
      <c r="FZ83" s="26"/>
      <c r="GA83" s="27"/>
      <c r="GB83" s="28"/>
      <c r="GC83" s="29"/>
      <c r="GD83" s="79">
        <f t="shared" si="22"/>
        <v>0</v>
      </c>
      <c r="GE83" s="80" t="e">
        <f>GD83*#REF!</f>
        <v>#REF!</v>
      </c>
      <c r="GF83" s="81" t="e">
        <f>GD83*#REF!</f>
        <v>#REF!</v>
      </c>
      <c r="GH83" s="25"/>
      <c r="GI83" s="26"/>
      <c r="GJ83" s="27"/>
      <c r="GK83" s="28"/>
      <c r="GL83" s="29"/>
      <c r="GM83" s="79">
        <f t="shared" si="23"/>
        <v>0</v>
      </c>
      <c r="GN83" s="80" t="e">
        <f>GM83*#REF!</f>
        <v>#REF!</v>
      </c>
      <c r="GO83" s="81" t="e">
        <f>GM83*#REF!</f>
        <v>#REF!</v>
      </c>
      <c r="GQ83" s="82">
        <f t="shared" si="24"/>
        <v>1</v>
      </c>
      <c r="GR83" s="83">
        <v>1</v>
      </c>
    </row>
    <row r="84" spans="2:200" ht="15">
      <c r="B84" s="22" t="s">
        <v>87</v>
      </c>
      <c r="C84" s="23" t="s">
        <v>84</v>
      </c>
      <c r="D84" s="24" t="str">
        <f>IF(C84="","",_xlfn.XLOOKUP(C84,'[1]Control Sheet'!$L$5:$L$104,'[1]Control Sheet'!$M$5:$M$104,"",0))</f>
        <v xml:space="preserve">Host </v>
      </c>
      <c r="E84" s="24" t="str">
        <f>IF(B84="","",_xlfn.XLOOKUP(B84,'[1]Control Sheet'!$D$5:$D$64,'[1]Control Sheet'!$F$5:$F$64,"",0))</f>
        <v>Retail</v>
      </c>
      <c r="F84" s="24" t="str">
        <f>IF(B84="","",_xlfn.XLOOKUP(B84,'[1]Control Sheet'!$D$5:$D$64,'[1]Control Sheet'!$E$5:$E$64,"",0))</f>
        <v>C1150-N</v>
      </c>
      <c r="I84" s="25">
        <v>0.45833333333333331</v>
      </c>
      <c r="J84" s="26">
        <v>0.69791666666666663</v>
      </c>
      <c r="K84" s="27">
        <v>45</v>
      </c>
      <c r="L84" s="28">
        <v>1</v>
      </c>
      <c r="M84" s="29">
        <v>1</v>
      </c>
      <c r="P84" s="25">
        <v>0.45833333333333331</v>
      </c>
      <c r="Q84" s="26">
        <v>0.73958333333333337</v>
      </c>
      <c r="R84" s="27">
        <v>45</v>
      </c>
      <c r="S84" s="28">
        <v>1</v>
      </c>
      <c r="T84" s="29">
        <v>1</v>
      </c>
      <c r="V84" s="25">
        <v>0.45833333333333331</v>
      </c>
      <c r="W84" s="26">
        <v>0.73958333333333337</v>
      </c>
      <c r="X84" s="27">
        <v>45</v>
      </c>
      <c r="Y84" s="28">
        <v>2</v>
      </c>
      <c r="Z84" s="29">
        <v>1</v>
      </c>
      <c r="AB84" s="25">
        <v>0.45833333333333331</v>
      </c>
      <c r="AC84" s="26">
        <v>0.73958333333333337</v>
      </c>
      <c r="AD84" s="27">
        <v>45</v>
      </c>
      <c r="AE84" s="28">
        <v>2</v>
      </c>
      <c r="AF84" s="29">
        <v>1</v>
      </c>
      <c r="AH84" s="25">
        <v>0.45833333333333331</v>
      </c>
      <c r="AI84" s="26">
        <v>0.73958333333333337</v>
      </c>
      <c r="AJ84" s="27">
        <v>45</v>
      </c>
      <c r="AK84" s="28">
        <v>2</v>
      </c>
      <c r="AL84" s="29">
        <v>1</v>
      </c>
      <c r="AN84" s="25">
        <v>0.45833333333333331</v>
      </c>
      <c r="AO84" s="26">
        <v>0.79166666666666663</v>
      </c>
      <c r="AP84" s="33">
        <v>60</v>
      </c>
      <c r="AQ84" s="28">
        <v>2</v>
      </c>
      <c r="AR84" s="29">
        <v>1</v>
      </c>
      <c r="AT84" s="25">
        <v>0.45833333333333331</v>
      </c>
      <c r="AU84" s="26">
        <v>0.73958333333333337</v>
      </c>
      <c r="AV84" s="27">
        <v>45</v>
      </c>
      <c r="AW84" s="28">
        <v>2</v>
      </c>
      <c r="AX84" s="29">
        <v>1</v>
      </c>
      <c r="AZ84" s="25">
        <v>0.45833333333333331</v>
      </c>
      <c r="BA84" s="26">
        <v>0.79166666666666663</v>
      </c>
      <c r="BB84" s="33">
        <v>60</v>
      </c>
      <c r="BC84" s="28">
        <v>2</v>
      </c>
      <c r="BD84" s="29">
        <v>1</v>
      </c>
      <c r="BF84" s="25">
        <v>0.45833333333333331</v>
      </c>
      <c r="BG84" s="26">
        <v>0.83333333333333337</v>
      </c>
      <c r="BH84" s="27">
        <v>60</v>
      </c>
      <c r="BI84" s="28">
        <v>2</v>
      </c>
      <c r="BJ84" s="29">
        <v>1</v>
      </c>
      <c r="BL84" s="25">
        <v>0.38541666666666669</v>
      </c>
      <c r="BM84" s="26">
        <v>0.69791666666666663</v>
      </c>
      <c r="BN84" s="27">
        <v>45</v>
      </c>
      <c r="BO84" s="28">
        <v>2</v>
      </c>
      <c r="BP84" s="29">
        <v>1</v>
      </c>
      <c r="BR84" s="25">
        <v>0.39583333333333331</v>
      </c>
      <c r="BS84" s="26">
        <v>0.66666666666666663</v>
      </c>
      <c r="BT84" s="27">
        <v>45</v>
      </c>
      <c r="BU84" s="28">
        <v>1</v>
      </c>
      <c r="BV84" s="29">
        <v>1</v>
      </c>
      <c r="BX84" s="25">
        <v>0.39583333333333331</v>
      </c>
      <c r="BY84" s="26">
        <v>0.75</v>
      </c>
      <c r="BZ84" s="27">
        <v>45</v>
      </c>
      <c r="CA84" s="28">
        <v>1</v>
      </c>
      <c r="CB84" s="29">
        <v>1</v>
      </c>
      <c r="CD84" s="25">
        <v>0.39583333333333331</v>
      </c>
      <c r="CE84" s="26">
        <v>0.8125</v>
      </c>
      <c r="CF84" s="27">
        <v>60</v>
      </c>
      <c r="CG84" s="28">
        <v>2</v>
      </c>
      <c r="CH84" s="29">
        <v>1</v>
      </c>
      <c r="CJ84" s="25">
        <v>0.39583333333333331</v>
      </c>
      <c r="CK84" s="26">
        <v>0.66666666666666663</v>
      </c>
      <c r="CL84" s="27">
        <v>45</v>
      </c>
      <c r="CM84" s="28">
        <v>1</v>
      </c>
      <c r="CN84" s="29">
        <v>1</v>
      </c>
      <c r="CP84" s="25"/>
      <c r="CQ84" s="26"/>
      <c r="CR84" s="27"/>
      <c r="CS84" s="28"/>
      <c r="CT84" s="29"/>
      <c r="CV84" s="25"/>
      <c r="CW84" s="26"/>
      <c r="CX84" s="27"/>
      <c r="CY84" s="28"/>
      <c r="CZ84" s="29"/>
      <c r="DA84" s="79">
        <f t="shared" si="13"/>
        <v>0</v>
      </c>
      <c r="DB84" s="80" t="e">
        <f>DA84*#REF!</f>
        <v>#REF!</v>
      </c>
      <c r="DC84" s="81" t="e">
        <f>DA84*#REF!</f>
        <v>#REF!</v>
      </c>
      <c r="DE84" s="25"/>
      <c r="DF84" s="26"/>
      <c r="DG84" s="27"/>
      <c r="DH84" s="28"/>
      <c r="DI84" s="29"/>
      <c r="DJ84" s="79">
        <f t="shared" si="14"/>
        <v>0</v>
      </c>
      <c r="DK84" s="80" t="e">
        <f>DJ84*#REF!</f>
        <v>#REF!</v>
      </c>
      <c r="DL84" s="81" t="e">
        <f>DJ84*#REF!</f>
        <v>#REF!</v>
      </c>
      <c r="DN84" s="25"/>
      <c r="DO84" s="26"/>
      <c r="DP84" s="27"/>
      <c r="DQ84" s="28"/>
      <c r="DR84" s="29"/>
      <c r="DS84" s="79">
        <f t="shared" si="15"/>
        <v>0</v>
      </c>
      <c r="DT84" s="80" t="e">
        <f>DS84*#REF!</f>
        <v>#REF!</v>
      </c>
      <c r="DU84" s="81" t="e">
        <f>DS84*#REF!</f>
        <v>#REF!</v>
      </c>
      <c r="DW84" s="25"/>
      <c r="DX84" s="26"/>
      <c r="DY84" s="27"/>
      <c r="DZ84" s="28"/>
      <c r="EA84" s="29"/>
      <c r="EB84" s="79">
        <f t="shared" si="16"/>
        <v>0</v>
      </c>
      <c r="EC84" s="80" t="e">
        <f>EB84*#REF!</f>
        <v>#REF!</v>
      </c>
      <c r="ED84" s="81" t="e">
        <f>EB84*#REF!</f>
        <v>#REF!</v>
      </c>
      <c r="EF84" s="25"/>
      <c r="EG84" s="26"/>
      <c r="EH84" s="27"/>
      <c r="EI84" s="28"/>
      <c r="EJ84" s="29"/>
      <c r="EK84" s="79">
        <f t="shared" si="17"/>
        <v>0</v>
      </c>
      <c r="EL84" s="80" t="e">
        <f>EK84*#REF!</f>
        <v>#REF!</v>
      </c>
      <c r="EM84" s="81" t="e">
        <f>EK84*#REF!</f>
        <v>#REF!</v>
      </c>
      <c r="EO84" s="25"/>
      <c r="EP84" s="26"/>
      <c r="EQ84" s="27"/>
      <c r="ER84" s="28"/>
      <c r="ES84" s="29"/>
      <c r="ET84" s="79">
        <f t="shared" si="18"/>
        <v>0</v>
      </c>
      <c r="EU84" s="80" t="e">
        <f>ET84*#REF!</f>
        <v>#REF!</v>
      </c>
      <c r="EV84" s="81" t="e">
        <f>ET84*#REF!</f>
        <v>#REF!</v>
      </c>
      <c r="EX84" s="25"/>
      <c r="EY84" s="26"/>
      <c r="EZ84" s="27"/>
      <c r="FA84" s="28"/>
      <c r="FB84" s="29"/>
      <c r="FC84" s="79">
        <f t="shared" si="19"/>
        <v>0</v>
      </c>
      <c r="FD84" s="80" t="e">
        <f>FC84*#REF!</f>
        <v>#REF!</v>
      </c>
      <c r="FE84" s="81" t="e">
        <f>FC84*#REF!</f>
        <v>#REF!</v>
      </c>
      <c r="FG84" s="25"/>
      <c r="FH84" s="26"/>
      <c r="FI84" s="27"/>
      <c r="FJ84" s="28"/>
      <c r="FK84" s="29"/>
      <c r="FL84" s="79">
        <f t="shared" si="20"/>
        <v>0</v>
      </c>
      <c r="FM84" s="80" t="e">
        <f>FL84*#REF!</f>
        <v>#REF!</v>
      </c>
      <c r="FN84" s="81" t="e">
        <f>FL84*#REF!</f>
        <v>#REF!</v>
      </c>
      <c r="FP84" s="25"/>
      <c r="FQ84" s="26"/>
      <c r="FR84" s="27"/>
      <c r="FS84" s="28"/>
      <c r="FT84" s="29"/>
      <c r="FU84" s="79">
        <f t="shared" si="21"/>
        <v>0</v>
      </c>
      <c r="FV84" s="80" t="e">
        <f>FU84*#REF!</f>
        <v>#REF!</v>
      </c>
      <c r="FW84" s="81" t="e">
        <f>FU84*#REF!</f>
        <v>#REF!</v>
      </c>
      <c r="FY84" s="25"/>
      <c r="FZ84" s="26"/>
      <c r="GA84" s="27"/>
      <c r="GB84" s="28"/>
      <c r="GC84" s="29"/>
      <c r="GD84" s="79">
        <f t="shared" si="22"/>
        <v>0</v>
      </c>
      <c r="GE84" s="80" t="e">
        <f>GD84*#REF!</f>
        <v>#REF!</v>
      </c>
      <c r="GF84" s="81" t="e">
        <f>GD84*#REF!</f>
        <v>#REF!</v>
      </c>
      <c r="GH84" s="25"/>
      <c r="GI84" s="26"/>
      <c r="GJ84" s="27"/>
      <c r="GK84" s="28"/>
      <c r="GL84" s="29"/>
      <c r="GM84" s="79">
        <f t="shared" si="23"/>
        <v>0</v>
      </c>
      <c r="GN84" s="80" t="e">
        <f>GM84*#REF!</f>
        <v>#REF!</v>
      </c>
      <c r="GO84" s="81" t="e">
        <f>GM84*#REF!</f>
        <v>#REF!</v>
      </c>
      <c r="GQ84" s="82">
        <f t="shared" si="24"/>
        <v>2</v>
      </c>
      <c r="GR84" s="83">
        <v>2</v>
      </c>
    </row>
    <row r="85" spans="2:200" ht="15">
      <c r="B85" s="22" t="s">
        <v>87</v>
      </c>
      <c r="C85" s="23" t="s">
        <v>84</v>
      </c>
      <c r="D85" s="24" t="str">
        <f>IF(C85="","",_xlfn.XLOOKUP(C85,'[1]Control Sheet'!$L$5:$L$104,'[1]Control Sheet'!$M$5:$M$104,"",0))</f>
        <v xml:space="preserve">Host </v>
      </c>
      <c r="E85" s="24" t="str">
        <f>IF(B85="","",_xlfn.XLOOKUP(B85,'[1]Control Sheet'!$D$5:$D$64,'[1]Control Sheet'!$F$5:$F$64,"",0))</f>
        <v>Retail</v>
      </c>
      <c r="F85" s="24" t="str">
        <f>IF(B85="","",_xlfn.XLOOKUP(B85,'[1]Control Sheet'!$D$5:$D$64,'[1]Control Sheet'!$E$5:$E$64,"",0))</f>
        <v>C1150-N</v>
      </c>
      <c r="I85" s="25">
        <v>0.45833333333333331</v>
      </c>
      <c r="J85" s="26">
        <v>0.69791666666666663</v>
      </c>
      <c r="K85" s="27">
        <v>45</v>
      </c>
      <c r="L85" s="28">
        <v>1</v>
      </c>
      <c r="M85" s="29">
        <v>0.5</v>
      </c>
      <c r="P85" s="25">
        <v>0.45833333333333331</v>
      </c>
      <c r="Q85" s="26">
        <v>0.73958333333333337</v>
      </c>
      <c r="R85" s="27">
        <v>45</v>
      </c>
      <c r="S85" s="28">
        <v>1</v>
      </c>
      <c r="T85" s="29">
        <v>0.5</v>
      </c>
      <c r="V85" s="25">
        <v>0.54166666666666663</v>
      </c>
      <c r="W85" s="26">
        <v>0.73958333333333337</v>
      </c>
      <c r="X85" s="27">
        <v>0</v>
      </c>
      <c r="Y85" s="28">
        <v>1</v>
      </c>
      <c r="Z85" s="29">
        <v>0.5</v>
      </c>
      <c r="AB85" s="25">
        <v>0.54166666666666663</v>
      </c>
      <c r="AC85" s="26">
        <v>0.73958333333333337</v>
      </c>
      <c r="AD85" s="27">
        <v>0</v>
      </c>
      <c r="AE85" s="28">
        <v>1</v>
      </c>
      <c r="AF85" s="29">
        <v>0.5</v>
      </c>
      <c r="AH85" s="25">
        <v>0.54166666666666663</v>
      </c>
      <c r="AI85" s="26">
        <v>0.73958333333333337</v>
      </c>
      <c r="AJ85" s="27">
        <v>0</v>
      </c>
      <c r="AK85" s="28">
        <v>2</v>
      </c>
      <c r="AL85" s="29">
        <v>0.5</v>
      </c>
      <c r="AN85" s="25">
        <v>0.54166666666666663</v>
      </c>
      <c r="AO85" s="26">
        <v>0.79166666666666663</v>
      </c>
      <c r="AP85" s="27">
        <v>0</v>
      </c>
      <c r="AQ85" s="28">
        <v>2</v>
      </c>
      <c r="AR85" s="29">
        <v>0.5</v>
      </c>
      <c r="AT85" s="25">
        <v>0.54166666666666663</v>
      </c>
      <c r="AU85" s="26">
        <v>0.73958333333333337</v>
      </c>
      <c r="AV85" s="27">
        <v>0</v>
      </c>
      <c r="AW85" s="28">
        <v>3</v>
      </c>
      <c r="AX85" s="29">
        <v>0.5</v>
      </c>
      <c r="AZ85" s="25">
        <v>0.54166666666666663</v>
      </c>
      <c r="BA85" s="26">
        <v>0.79166666666666663</v>
      </c>
      <c r="BB85" s="27">
        <v>0</v>
      </c>
      <c r="BC85" s="28">
        <v>3</v>
      </c>
      <c r="BD85" s="29">
        <v>0.5</v>
      </c>
      <c r="BF85" s="25">
        <v>0.54166666666666663</v>
      </c>
      <c r="BG85" s="26">
        <v>0.79166666666666663</v>
      </c>
      <c r="BH85" s="27">
        <v>0</v>
      </c>
      <c r="BI85" s="28">
        <v>3</v>
      </c>
      <c r="BJ85" s="29">
        <v>0.5</v>
      </c>
      <c r="BL85" s="25"/>
      <c r="BM85" s="26"/>
      <c r="BN85" s="27"/>
      <c r="BO85" s="28"/>
      <c r="BP85" s="29"/>
      <c r="BR85" s="25">
        <v>0.54166666666666663</v>
      </c>
      <c r="BS85" s="26">
        <v>0.66666666666666663</v>
      </c>
      <c r="BT85" s="27">
        <v>0</v>
      </c>
      <c r="BU85" s="28">
        <v>1</v>
      </c>
      <c r="BV85" s="29">
        <v>0.5</v>
      </c>
      <c r="BX85" s="25">
        <v>0.54166666666666663</v>
      </c>
      <c r="BY85" s="26">
        <v>0.70833333333333337</v>
      </c>
      <c r="BZ85" s="27">
        <v>0</v>
      </c>
      <c r="CA85" s="28">
        <v>1</v>
      </c>
      <c r="CB85" s="29">
        <v>0.5</v>
      </c>
      <c r="CD85" s="25">
        <v>0.54166666666666663</v>
      </c>
      <c r="CE85" s="26">
        <v>0.75</v>
      </c>
      <c r="CF85" s="27">
        <v>0</v>
      </c>
      <c r="CG85" s="28">
        <v>1</v>
      </c>
      <c r="CH85" s="29">
        <v>0.5</v>
      </c>
      <c r="CJ85" s="25">
        <v>0.54166666666666663</v>
      </c>
      <c r="CK85" s="26">
        <v>0.66666666666666663</v>
      </c>
      <c r="CL85" s="27">
        <v>0</v>
      </c>
      <c r="CM85" s="28">
        <v>1</v>
      </c>
      <c r="CN85" s="29">
        <v>0.5</v>
      </c>
      <c r="CP85" s="25"/>
      <c r="CQ85" s="26"/>
      <c r="CR85" s="27"/>
      <c r="CS85" s="28"/>
      <c r="CT85" s="29"/>
      <c r="CV85" s="25"/>
      <c r="CW85" s="26"/>
      <c r="CX85" s="27"/>
      <c r="CY85" s="28"/>
      <c r="CZ85" s="29"/>
      <c r="DA85" s="79">
        <f t="shared" si="13"/>
        <v>0</v>
      </c>
      <c r="DB85" s="80" t="e">
        <f>DA85*#REF!</f>
        <v>#REF!</v>
      </c>
      <c r="DC85" s="81" t="e">
        <f>DA85*#REF!</f>
        <v>#REF!</v>
      </c>
      <c r="DE85" s="25"/>
      <c r="DF85" s="26"/>
      <c r="DG85" s="27"/>
      <c r="DH85" s="28"/>
      <c r="DI85" s="29"/>
      <c r="DJ85" s="79">
        <f t="shared" si="14"/>
        <v>0</v>
      </c>
      <c r="DK85" s="80" t="e">
        <f>DJ85*#REF!</f>
        <v>#REF!</v>
      </c>
      <c r="DL85" s="81" t="e">
        <f>DJ85*#REF!</f>
        <v>#REF!</v>
      </c>
      <c r="DN85" s="25"/>
      <c r="DO85" s="26"/>
      <c r="DP85" s="27"/>
      <c r="DQ85" s="28"/>
      <c r="DR85" s="29"/>
      <c r="DS85" s="79">
        <f t="shared" si="15"/>
        <v>0</v>
      </c>
      <c r="DT85" s="80" t="e">
        <f>DS85*#REF!</f>
        <v>#REF!</v>
      </c>
      <c r="DU85" s="81" t="e">
        <f>DS85*#REF!</f>
        <v>#REF!</v>
      </c>
      <c r="DW85" s="25"/>
      <c r="DX85" s="26"/>
      <c r="DY85" s="27"/>
      <c r="DZ85" s="28"/>
      <c r="EA85" s="29"/>
      <c r="EB85" s="79">
        <f t="shared" si="16"/>
        <v>0</v>
      </c>
      <c r="EC85" s="80" t="e">
        <f>EB85*#REF!</f>
        <v>#REF!</v>
      </c>
      <c r="ED85" s="81" t="e">
        <f>EB85*#REF!</f>
        <v>#REF!</v>
      </c>
      <c r="EF85" s="25"/>
      <c r="EG85" s="26"/>
      <c r="EH85" s="27"/>
      <c r="EI85" s="28"/>
      <c r="EJ85" s="29"/>
      <c r="EK85" s="79">
        <f t="shared" si="17"/>
        <v>0</v>
      </c>
      <c r="EL85" s="80" t="e">
        <f>EK85*#REF!</f>
        <v>#REF!</v>
      </c>
      <c r="EM85" s="81" t="e">
        <f>EK85*#REF!</f>
        <v>#REF!</v>
      </c>
      <c r="EO85" s="25"/>
      <c r="EP85" s="26"/>
      <c r="EQ85" s="27"/>
      <c r="ER85" s="28"/>
      <c r="ES85" s="29"/>
      <c r="ET85" s="79">
        <f t="shared" si="18"/>
        <v>0</v>
      </c>
      <c r="EU85" s="80" t="e">
        <f>ET85*#REF!</f>
        <v>#REF!</v>
      </c>
      <c r="EV85" s="81" t="e">
        <f>ET85*#REF!</f>
        <v>#REF!</v>
      </c>
      <c r="EX85" s="25"/>
      <c r="EY85" s="26"/>
      <c r="EZ85" s="27"/>
      <c r="FA85" s="28"/>
      <c r="FB85" s="29"/>
      <c r="FC85" s="79">
        <f t="shared" si="19"/>
        <v>0</v>
      </c>
      <c r="FD85" s="80" t="e">
        <f>FC85*#REF!</f>
        <v>#REF!</v>
      </c>
      <c r="FE85" s="81" t="e">
        <f>FC85*#REF!</f>
        <v>#REF!</v>
      </c>
      <c r="FG85" s="25"/>
      <c r="FH85" s="26"/>
      <c r="FI85" s="27"/>
      <c r="FJ85" s="28"/>
      <c r="FK85" s="29"/>
      <c r="FL85" s="79">
        <f t="shared" si="20"/>
        <v>0</v>
      </c>
      <c r="FM85" s="80" t="e">
        <f>FL85*#REF!</f>
        <v>#REF!</v>
      </c>
      <c r="FN85" s="81" t="e">
        <f>FL85*#REF!</f>
        <v>#REF!</v>
      </c>
      <c r="FP85" s="25"/>
      <c r="FQ85" s="26"/>
      <c r="FR85" s="27"/>
      <c r="FS85" s="28"/>
      <c r="FT85" s="29"/>
      <c r="FU85" s="79">
        <f t="shared" si="21"/>
        <v>0</v>
      </c>
      <c r="FV85" s="80" t="e">
        <f>FU85*#REF!</f>
        <v>#REF!</v>
      </c>
      <c r="FW85" s="81" t="e">
        <f>FU85*#REF!</f>
        <v>#REF!</v>
      </c>
      <c r="FY85" s="25"/>
      <c r="FZ85" s="26"/>
      <c r="GA85" s="27"/>
      <c r="GB85" s="28"/>
      <c r="GC85" s="29"/>
      <c r="GD85" s="79">
        <f t="shared" si="22"/>
        <v>0</v>
      </c>
      <c r="GE85" s="80" t="e">
        <f>GD85*#REF!</f>
        <v>#REF!</v>
      </c>
      <c r="GF85" s="81" t="e">
        <f>GD85*#REF!</f>
        <v>#REF!</v>
      </c>
      <c r="GH85" s="25"/>
      <c r="GI85" s="26"/>
      <c r="GJ85" s="27"/>
      <c r="GK85" s="28"/>
      <c r="GL85" s="29"/>
      <c r="GM85" s="79">
        <f t="shared" si="23"/>
        <v>0</v>
      </c>
      <c r="GN85" s="80" t="e">
        <f>GM85*#REF!</f>
        <v>#REF!</v>
      </c>
      <c r="GO85" s="81" t="e">
        <f>GM85*#REF!</f>
        <v>#REF!</v>
      </c>
      <c r="GQ85" s="82">
        <f t="shared" si="24"/>
        <v>3</v>
      </c>
      <c r="GR85" s="83">
        <v>3</v>
      </c>
    </row>
    <row r="86" spans="2:200" ht="15">
      <c r="B86" s="22"/>
      <c r="C86" s="23"/>
      <c r="D86" s="24" t="str">
        <f>IF(C86="","",_xlfn.XLOOKUP(C86,'[1]Control Sheet'!$L$5:$L$104,'[1]Control Sheet'!$M$5:$M$104,"",0))</f>
        <v/>
      </c>
      <c r="E86" s="24" t="str">
        <f>IF(B86="","",_xlfn.XLOOKUP(B86,'[1]Control Sheet'!$D$5:$D$64,'[1]Control Sheet'!$F$5:$F$64,"",0))</f>
        <v/>
      </c>
      <c r="F86" s="24" t="str">
        <f>IF(B86="","",_xlfn.XLOOKUP(B86,'[1]Control Sheet'!$D$5:$D$64,'[1]Control Sheet'!$E$5:$E$64,"",0))</f>
        <v/>
      </c>
      <c r="I86" s="25"/>
      <c r="J86" s="26"/>
      <c r="K86" s="27"/>
      <c r="L86" s="28"/>
      <c r="M86" s="29"/>
      <c r="P86" s="25"/>
      <c r="Q86" s="26"/>
      <c r="R86" s="27"/>
      <c r="S86" s="28"/>
      <c r="T86" s="29"/>
      <c r="V86" s="25"/>
      <c r="W86" s="26"/>
      <c r="X86" s="27"/>
      <c r="Y86" s="28"/>
      <c r="Z86" s="29"/>
      <c r="AB86" s="25"/>
      <c r="AC86" s="26"/>
      <c r="AD86" s="27"/>
      <c r="AE86" s="28"/>
      <c r="AF86" s="29"/>
      <c r="AH86" s="25"/>
      <c r="AI86" s="26"/>
      <c r="AJ86" s="27"/>
      <c r="AK86" s="28"/>
      <c r="AL86" s="29"/>
      <c r="AN86" s="25"/>
      <c r="AO86" s="26"/>
      <c r="AP86" s="27"/>
      <c r="AQ86" s="28"/>
      <c r="AR86" s="29"/>
      <c r="AT86" s="25"/>
      <c r="AU86" s="26"/>
      <c r="AV86" s="27"/>
      <c r="AW86" s="28"/>
      <c r="AX86" s="29"/>
      <c r="AZ86" s="25"/>
      <c r="BA86" s="26"/>
      <c r="BB86" s="27"/>
      <c r="BC86" s="28"/>
      <c r="BD86" s="29"/>
      <c r="BF86" s="25"/>
      <c r="BG86" s="26"/>
      <c r="BH86" s="27"/>
      <c r="BI86" s="28"/>
      <c r="BJ86" s="29"/>
      <c r="BL86" s="25"/>
      <c r="BM86" s="26"/>
      <c r="BN86" s="27"/>
      <c r="BO86" s="28"/>
      <c r="BP86" s="29"/>
      <c r="BR86" s="25"/>
      <c r="BS86" s="26"/>
      <c r="BT86" s="27"/>
      <c r="BU86" s="28"/>
      <c r="BV86" s="29"/>
      <c r="BX86" s="25"/>
      <c r="BY86" s="26"/>
      <c r="BZ86" s="27"/>
      <c r="CA86" s="28"/>
      <c r="CB86" s="29"/>
      <c r="CD86" s="25"/>
      <c r="CE86" s="26"/>
      <c r="CF86" s="27"/>
      <c r="CG86" s="28"/>
      <c r="CH86" s="29"/>
      <c r="CJ86" s="25"/>
      <c r="CK86" s="26"/>
      <c r="CL86" s="27"/>
      <c r="CM86" s="28"/>
      <c r="CN86" s="29"/>
      <c r="CP86" s="25"/>
      <c r="CQ86" s="26"/>
      <c r="CR86" s="27"/>
      <c r="CS86" s="28"/>
      <c r="CT86" s="29"/>
      <c r="CV86" s="25"/>
      <c r="CW86" s="26"/>
      <c r="CX86" s="27"/>
      <c r="CY86" s="28"/>
      <c r="CZ86" s="29"/>
      <c r="DA86" s="79">
        <f t="shared" si="13"/>
        <v>0</v>
      </c>
      <c r="DB86" s="80" t="e">
        <f>DA86*#REF!</f>
        <v>#REF!</v>
      </c>
      <c r="DC86" s="81" t="e">
        <f>DA86*#REF!</f>
        <v>#REF!</v>
      </c>
      <c r="DE86" s="25"/>
      <c r="DF86" s="26"/>
      <c r="DG86" s="27"/>
      <c r="DH86" s="28"/>
      <c r="DI86" s="29"/>
      <c r="DJ86" s="79">
        <f t="shared" si="14"/>
        <v>0</v>
      </c>
      <c r="DK86" s="80" t="e">
        <f>DJ86*#REF!</f>
        <v>#REF!</v>
      </c>
      <c r="DL86" s="81" t="e">
        <f>DJ86*#REF!</f>
        <v>#REF!</v>
      </c>
      <c r="DN86" s="25"/>
      <c r="DO86" s="26"/>
      <c r="DP86" s="27"/>
      <c r="DQ86" s="28"/>
      <c r="DR86" s="29"/>
      <c r="DS86" s="79">
        <f t="shared" si="15"/>
        <v>0</v>
      </c>
      <c r="DT86" s="80" t="e">
        <f>DS86*#REF!</f>
        <v>#REF!</v>
      </c>
      <c r="DU86" s="81" t="e">
        <f>DS86*#REF!</f>
        <v>#REF!</v>
      </c>
      <c r="DW86" s="25"/>
      <c r="DX86" s="26"/>
      <c r="DY86" s="27"/>
      <c r="DZ86" s="28"/>
      <c r="EA86" s="29"/>
      <c r="EB86" s="79">
        <f t="shared" si="16"/>
        <v>0</v>
      </c>
      <c r="EC86" s="80" t="e">
        <f>EB86*#REF!</f>
        <v>#REF!</v>
      </c>
      <c r="ED86" s="81" t="e">
        <f>EB86*#REF!</f>
        <v>#REF!</v>
      </c>
      <c r="EF86" s="25"/>
      <c r="EG86" s="26"/>
      <c r="EH86" s="27"/>
      <c r="EI86" s="28"/>
      <c r="EJ86" s="29"/>
      <c r="EK86" s="79">
        <f t="shared" si="17"/>
        <v>0</v>
      </c>
      <c r="EL86" s="80" t="e">
        <f>EK86*#REF!</f>
        <v>#REF!</v>
      </c>
      <c r="EM86" s="81" t="e">
        <f>EK86*#REF!</f>
        <v>#REF!</v>
      </c>
      <c r="EO86" s="25"/>
      <c r="EP86" s="26"/>
      <c r="EQ86" s="27"/>
      <c r="ER86" s="28"/>
      <c r="ES86" s="29"/>
      <c r="ET86" s="79">
        <f t="shared" si="18"/>
        <v>0</v>
      </c>
      <c r="EU86" s="80" t="e">
        <f>ET86*#REF!</f>
        <v>#REF!</v>
      </c>
      <c r="EV86" s="81" t="e">
        <f>ET86*#REF!</f>
        <v>#REF!</v>
      </c>
      <c r="EX86" s="25"/>
      <c r="EY86" s="26"/>
      <c r="EZ86" s="27"/>
      <c r="FA86" s="28"/>
      <c r="FB86" s="29"/>
      <c r="FC86" s="79">
        <f t="shared" si="19"/>
        <v>0</v>
      </c>
      <c r="FD86" s="80" t="e">
        <f>FC86*#REF!</f>
        <v>#REF!</v>
      </c>
      <c r="FE86" s="81" t="e">
        <f>FC86*#REF!</f>
        <v>#REF!</v>
      </c>
      <c r="FG86" s="25"/>
      <c r="FH86" s="26"/>
      <c r="FI86" s="27"/>
      <c r="FJ86" s="28"/>
      <c r="FK86" s="29"/>
      <c r="FL86" s="79">
        <f t="shared" si="20"/>
        <v>0</v>
      </c>
      <c r="FM86" s="80" t="e">
        <f>FL86*#REF!</f>
        <v>#REF!</v>
      </c>
      <c r="FN86" s="81" t="e">
        <f>FL86*#REF!</f>
        <v>#REF!</v>
      </c>
      <c r="FP86" s="25"/>
      <c r="FQ86" s="26"/>
      <c r="FR86" s="27"/>
      <c r="FS86" s="28"/>
      <c r="FT86" s="29"/>
      <c r="FU86" s="79">
        <f t="shared" si="21"/>
        <v>0</v>
      </c>
      <c r="FV86" s="80" t="e">
        <f>FU86*#REF!</f>
        <v>#REF!</v>
      </c>
      <c r="FW86" s="81" t="e">
        <f>FU86*#REF!</f>
        <v>#REF!</v>
      </c>
      <c r="FY86" s="25"/>
      <c r="FZ86" s="26"/>
      <c r="GA86" s="27"/>
      <c r="GB86" s="28"/>
      <c r="GC86" s="29"/>
      <c r="GD86" s="79">
        <f t="shared" si="22"/>
        <v>0</v>
      </c>
      <c r="GE86" s="80" t="e">
        <f>GD86*#REF!</f>
        <v>#REF!</v>
      </c>
      <c r="GF86" s="81" t="e">
        <f>GD86*#REF!</f>
        <v>#REF!</v>
      </c>
      <c r="GH86" s="25"/>
      <c r="GI86" s="26"/>
      <c r="GJ86" s="27"/>
      <c r="GK86" s="28"/>
      <c r="GL86" s="29"/>
      <c r="GM86" s="79">
        <f t="shared" si="23"/>
        <v>0</v>
      </c>
      <c r="GN86" s="80" t="e">
        <f>GM86*#REF!</f>
        <v>#REF!</v>
      </c>
      <c r="GO86" s="81" t="e">
        <f>GM86*#REF!</f>
        <v>#REF!</v>
      </c>
      <c r="GQ86" s="82">
        <f t="shared" si="24"/>
        <v>0</v>
      </c>
      <c r="GR86" s="83">
        <v>0</v>
      </c>
    </row>
    <row r="87" spans="2:200" ht="15">
      <c r="B87" s="22" t="s">
        <v>88</v>
      </c>
      <c r="C87" s="23" t="s">
        <v>84</v>
      </c>
      <c r="D87" s="24" t="str">
        <f>IF(C87="","",_xlfn.XLOOKUP(C87,'[1]Control Sheet'!$L$5:$L$104,'[1]Control Sheet'!$M$5:$M$104,"",0))</f>
        <v xml:space="preserve">Host </v>
      </c>
      <c r="E87" s="24" t="str">
        <f>IF(B87="","",_xlfn.XLOOKUP(B87,'[1]Control Sheet'!$D$5:$D$64,'[1]Control Sheet'!$F$5:$F$64,"",0))</f>
        <v>Retail</v>
      </c>
      <c r="F87" s="24" t="str">
        <f>IF(B87="","",_xlfn.XLOOKUP(B87,'[1]Control Sheet'!$D$5:$D$64,'[1]Control Sheet'!$E$5:$E$64,"",0))</f>
        <v>C1150-N</v>
      </c>
      <c r="I87" s="25"/>
      <c r="J87" s="26"/>
      <c r="K87" s="27"/>
      <c r="L87" s="28"/>
      <c r="M87" s="29"/>
      <c r="P87" s="25"/>
      <c r="Q87" s="26"/>
      <c r="R87" s="27"/>
      <c r="S87" s="28"/>
      <c r="T87" s="29"/>
      <c r="V87" s="25">
        <v>0.45833333333333331</v>
      </c>
      <c r="W87" s="26">
        <v>0.73958333333333337</v>
      </c>
      <c r="X87" s="27">
        <v>45</v>
      </c>
      <c r="Y87" s="28">
        <v>1</v>
      </c>
      <c r="Z87" s="29">
        <v>0.5</v>
      </c>
      <c r="AB87" s="25">
        <v>0.45833333333333331</v>
      </c>
      <c r="AC87" s="26">
        <v>0.73958333333333337</v>
      </c>
      <c r="AD87" s="27">
        <v>45</v>
      </c>
      <c r="AE87" s="28">
        <v>1</v>
      </c>
      <c r="AF87" s="29">
        <v>0.5</v>
      </c>
      <c r="AH87" s="25">
        <v>0.45833333333333331</v>
      </c>
      <c r="AI87" s="26">
        <v>0.73958333333333337</v>
      </c>
      <c r="AJ87" s="27">
        <v>45</v>
      </c>
      <c r="AK87" s="28">
        <v>1</v>
      </c>
      <c r="AL87" s="29">
        <v>0.5</v>
      </c>
      <c r="AN87" s="25">
        <v>0.45833333333333331</v>
      </c>
      <c r="AO87" s="26">
        <v>0.75</v>
      </c>
      <c r="AP87" s="33">
        <v>60</v>
      </c>
      <c r="AQ87" s="28">
        <v>1</v>
      </c>
      <c r="AR87" s="29">
        <v>0.5</v>
      </c>
      <c r="AT87" s="25">
        <v>0.45833333333333331</v>
      </c>
      <c r="AU87" s="26">
        <v>0.73958333333333337</v>
      </c>
      <c r="AV87" s="27">
        <v>45</v>
      </c>
      <c r="AW87" s="28">
        <v>1</v>
      </c>
      <c r="AX87" s="29">
        <v>0.5</v>
      </c>
      <c r="AZ87" s="25">
        <v>0.45833333333333331</v>
      </c>
      <c r="BA87" s="26">
        <v>0.75</v>
      </c>
      <c r="BB87" s="33">
        <v>60</v>
      </c>
      <c r="BC87" s="28">
        <v>1</v>
      </c>
      <c r="BD87" s="29">
        <v>0.5</v>
      </c>
      <c r="BF87" s="25">
        <v>0.45833333333333331</v>
      </c>
      <c r="BG87" s="26">
        <v>0.79166666666666663</v>
      </c>
      <c r="BH87" s="27">
        <v>60</v>
      </c>
      <c r="BI87" s="28">
        <v>1</v>
      </c>
      <c r="BJ87" s="29">
        <v>0.5</v>
      </c>
      <c r="BL87" s="25"/>
      <c r="BM87" s="26"/>
      <c r="BN87" s="27"/>
      <c r="BO87" s="28"/>
      <c r="BP87" s="29"/>
      <c r="BR87" s="25"/>
      <c r="BS87" s="26"/>
      <c r="BT87" s="27"/>
      <c r="BU87" s="28"/>
      <c r="BV87" s="29"/>
      <c r="BX87" s="25"/>
      <c r="BY87" s="26"/>
      <c r="BZ87" s="27"/>
      <c r="CA87" s="28"/>
      <c r="CB87" s="29"/>
      <c r="CD87" s="25"/>
      <c r="CE87" s="26"/>
      <c r="CF87" s="27"/>
      <c r="CG87" s="28"/>
      <c r="CH87" s="29"/>
      <c r="CJ87" s="25"/>
      <c r="CK87" s="26"/>
      <c r="CL87" s="27"/>
      <c r="CM87" s="28"/>
      <c r="CN87" s="29"/>
      <c r="CP87" s="25"/>
      <c r="CQ87" s="26"/>
      <c r="CR87" s="27"/>
      <c r="CS87" s="28"/>
      <c r="CT87" s="29"/>
      <c r="CV87" s="25"/>
      <c r="CW87" s="26"/>
      <c r="CX87" s="27"/>
      <c r="CY87" s="28"/>
      <c r="CZ87" s="29"/>
      <c r="DA87" s="79">
        <f t="shared" si="13"/>
        <v>0</v>
      </c>
      <c r="DB87" s="80" t="e">
        <f>DA87*#REF!</f>
        <v>#REF!</v>
      </c>
      <c r="DC87" s="81" t="e">
        <f>DA87*#REF!</f>
        <v>#REF!</v>
      </c>
      <c r="DE87" s="25"/>
      <c r="DF87" s="26"/>
      <c r="DG87" s="27"/>
      <c r="DH87" s="28"/>
      <c r="DI87" s="29"/>
      <c r="DJ87" s="79">
        <f t="shared" si="14"/>
        <v>0</v>
      </c>
      <c r="DK87" s="80" t="e">
        <f>DJ87*#REF!</f>
        <v>#REF!</v>
      </c>
      <c r="DL87" s="81" t="e">
        <f>DJ87*#REF!</f>
        <v>#REF!</v>
      </c>
      <c r="DN87" s="25"/>
      <c r="DO87" s="26"/>
      <c r="DP87" s="27"/>
      <c r="DQ87" s="28"/>
      <c r="DR87" s="29"/>
      <c r="DS87" s="79">
        <f t="shared" si="15"/>
        <v>0</v>
      </c>
      <c r="DT87" s="80" t="e">
        <f>DS87*#REF!</f>
        <v>#REF!</v>
      </c>
      <c r="DU87" s="81" t="e">
        <f>DS87*#REF!</f>
        <v>#REF!</v>
      </c>
      <c r="DW87" s="25"/>
      <c r="DX87" s="26"/>
      <c r="DY87" s="27"/>
      <c r="DZ87" s="28"/>
      <c r="EA87" s="29"/>
      <c r="EB87" s="79">
        <f t="shared" si="16"/>
        <v>0</v>
      </c>
      <c r="EC87" s="80" t="e">
        <f>EB87*#REF!</f>
        <v>#REF!</v>
      </c>
      <c r="ED87" s="81" t="e">
        <f>EB87*#REF!</f>
        <v>#REF!</v>
      </c>
      <c r="EF87" s="25"/>
      <c r="EG87" s="26"/>
      <c r="EH87" s="27"/>
      <c r="EI87" s="28"/>
      <c r="EJ87" s="29"/>
      <c r="EK87" s="79">
        <f t="shared" si="17"/>
        <v>0</v>
      </c>
      <c r="EL87" s="80" t="e">
        <f>EK87*#REF!</f>
        <v>#REF!</v>
      </c>
      <c r="EM87" s="81" t="e">
        <f>EK87*#REF!</f>
        <v>#REF!</v>
      </c>
      <c r="EO87" s="25"/>
      <c r="EP87" s="26"/>
      <c r="EQ87" s="27"/>
      <c r="ER87" s="28"/>
      <c r="ES87" s="29"/>
      <c r="ET87" s="79">
        <f t="shared" si="18"/>
        <v>0</v>
      </c>
      <c r="EU87" s="80" t="e">
        <f>ET87*#REF!</f>
        <v>#REF!</v>
      </c>
      <c r="EV87" s="81" t="e">
        <f>ET87*#REF!</f>
        <v>#REF!</v>
      </c>
      <c r="EX87" s="25"/>
      <c r="EY87" s="26"/>
      <c r="EZ87" s="27"/>
      <c r="FA87" s="28"/>
      <c r="FB87" s="29"/>
      <c r="FC87" s="79">
        <f t="shared" si="19"/>
        <v>0</v>
      </c>
      <c r="FD87" s="80" t="e">
        <f>FC87*#REF!</f>
        <v>#REF!</v>
      </c>
      <c r="FE87" s="81" t="e">
        <f>FC87*#REF!</f>
        <v>#REF!</v>
      </c>
      <c r="FG87" s="25"/>
      <c r="FH87" s="26"/>
      <c r="FI87" s="27"/>
      <c r="FJ87" s="28"/>
      <c r="FK87" s="29"/>
      <c r="FL87" s="79">
        <f t="shared" si="20"/>
        <v>0</v>
      </c>
      <c r="FM87" s="80" t="e">
        <f>FL87*#REF!</f>
        <v>#REF!</v>
      </c>
      <c r="FN87" s="81" t="e">
        <f>FL87*#REF!</f>
        <v>#REF!</v>
      </c>
      <c r="FP87" s="25"/>
      <c r="FQ87" s="26"/>
      <c r="FR87" s="27"/>
      <c r="FS87" s="28"/>
      <c r="FT87" s="29"/>
      <c r="FU87" s="79">
        <f t="shared" si="21"/>
        <v>0</v>
      </c>
      <c r="FV87" s="80" t="e">
        <f>FU87*#REF!</f>
        <v>#REF!</v>
      </c>
      <c r="FW87" s="81" t="e">
        <f>FU87*#REF!</f>
        <v>#REF!</v>
      </c>
      <c r="FY87" s="25"/>
      <c r="FZ87" s="26"/>
      <c r="GA87" s="27"/>
      <c r="GB87" s="28"/>
      <c r="GC87" s="29"/>
      <c r="GD87" s="79">
        <f t="shared" si="22"/>
        <v>0</v>
      </c>
      <c r="GE87" s="80" t="e">
        <f>GD87*#REF!</f>
        <v>#REF!</v>
      </c>
      <c r="GF87" s="81" t="e">
        <f>GD87*#REF!</f>
        <v>#REF!</v>
      </c>
      <c r="GH87" s="25"/>
      <c r="GI87" s="26"/>
      <c r="GJ87" s="27"/>
      <c r="GK87" s="28"/>
      <c r="GL87" s="29"/>
      <c r="GM87" s="79">
        <f t="shared" si="23"/>
        <v>0</v>
      </c>
      <c r="GN87" s="80" t="e">
        <f>GM87*#REF!</f>
        <v>#REF!</v>
      </c>
      <c r="GO87" s="81" t="e">
        <f>GM87*#REF!</f>
        <v>#REF!</v>
      </c>
      <c r="GQ87" s="82">
        <f t="shared" si="24"/>
        <v>1</v>
      </c>
      <c r="GR87" s="83">
        <v>1</v>
      </c>
    </row>
    <row r="88" spans="2:200" ht="15">
      <c r="B88" s="22" t="s">
        <v>88</v>
      </c>
      <c r="C88" s="23" t="s">
        <v>84</v>
      </c>
      <c r="D88" s="24" t="str">
        <f>IF(C88="","",_xlfn.XLOOKUP(C88,'[1]Control Sheet'!$L$5:$L$104,'[1]Control Sheet'!$M$5:$M$104,"",0))</f>
        <v xml:space="preserve">Host </v>
      </c>
      <c r="E88" s="24" t="str">
        <f>IF(B88="","",_xlfn.XLOOKUP(B88,'[1]Control Sheet'!$D$5:$D$64,'[1]Control Sheet'!$F$5:$F$64,"",0))</f>
        <v>Retail</v>
      </c>
      <c r="F88" s="24" t="str">
        <f>IF(B88="","",_xlfn.XLOOKUP(B88,'[1]Control Sheet'!$D$5:$D$64,'[1]Control Sheet'!$E$5:$E$64,"",0))</f>
        <v>C1150-N</v>
      </c>
      <c r="I88" s="25"/>
      <c r="J88" s="26"/>
      <c r="K88" s="27"/>
      <c r="L88" s="28"/>
      <c r="M88" s="29"/>
      <c r="P88" s="25"/>
      <c r="Q88" s="26"/>
      <c r="R88" s="27"/>
      <c r="S88" s="28"/>
      <c r="T88" s="29"/>
      <c r="V88" s="25">
        <v>0.45833333333333331</v>
      </c>
      <c r="W88" s="26">
        <v>0.73958333333333337</v>
      </c>
      <c r="X88" s="27">
        <v>45</v>
      </c>
      <c r="Y88" s="28">
        <v>1</v>
      </c>
      <c r="Z88" s="29">
        <v>1</v>
      </c>
      <c r="AB88" s="25">
        <v>0.45833333333333331</v>
      </c>
      <c r="AC88" s="26">
        <v>0.73958333333333337</v>
      </c>
      <c r="AD88" s="27">
        <v>45</v>
      </c>
      <c r="AE88" s="28">
        <v>1</v>
      </c>
      <c r="AF88" s="29">
        <v>1</v>
      </c>
      <c r="AH88" s="25">
        <v>0.45833333333333331</v>
      </c>
      <c r="AI88" s="26">
        <v>0.73958333333333337</v>
      </c>
      <c r="AJ88" s="27">
        <v>45</v>
      </c>
      <c r="AK88" s="28">
        <v>1</v>
      </c>
      <c r="AL88" s="29">
        <v>1</v>
      </c>
      <c r="AN88" s="25">
        <v>0.45833333333333331</v>
      </c>
      <c r="AO88" s="26">
        <v>0.79166666666666663</v>
      </c>
      <c r="AP88" s="33">
        <v>60</v>
      </c>
      <c r="AQ88" s="28">
        <v>1</v>
      </c>
      <c r="AR88" s="29">
        <v>1</v>
      </c>
      <c r="AT88" s="25">
        <v>0.45833333333333331</v>
      </c>
      <c r="AU88" s="26">
        <v>0.73958333333333337</v>
      </c>
      <c r="AV88" s="27">
        <v>45</v>
      </c>
      <c r="AW88" s="28">
        <v>1</v>
      </c>
      <c r="AX88" s="29">
        <v>1</v>
      </c>
      <c r="AZ88" s="25">
        <v>0.45833333333333331</v>
      </c>
      <c r="BA88" s="26">
        <v>0.79166666666666663</v>
      </c>
      <c r="BB88" s="33">
        <v>60</v>
      </c>
      <c r="BC88" s="28">
        <v>1</v>
      </c>
      <c r="BD88" s="29">
        <v>1</v>
      </c>
      <c r="BF88" s="25">
        <v>0.45833333333333331</v>
      </c>
      <c r="BG88" s="26">
        <v>0.83333333333333337</v>
      </c>
      <c r="BH88" s="27">
        <v>60</v>
      </c>
      <c r="BI88" s="28">
        <v>1</v>
      </c>
      <c r="BJ88" s="29">
        <v>1</v>
      </c>
      <c r="BL88" s="25"/>
      <c r="BM88" s="26"/>
      <c r="BN88" s="27"/>
      <c r="BO88" s="28"/>
      <c r="BP88" s="29"/>
      <c r="BR88" s="25"/>
      <c r="BS88" s="26"/>
      <c r="BT88" s="27"/>
      <c r="BU88" s="28"/>
      <c r="BV88" s="29"/>
      <c r="BX88" s="25"/>
      <c r="BY88" s="26"/>
      <c r="BZ88" s="27"/>
      <c r="CA88" s="28"/>
      <c r="CB88" s="29"/>
      <c r="CD88" s="25"/>
      <c r="CE88" s="26"/>
      <c r="CF88" s="27"/>
      <c r="CG88" s="28"/>
      <c r="CH88" s="29"/>
      <c r="CJ88" s="25"/>
      <c r="CK88" s="26"/>
      <c r="CL88" s="27"/>
      <c r="CM88" s="28"/>
      <c r="CN88" s="29"/>
      <c r="CP88" s="25"/>
      <c r="CQ88" s="26"/>
      <c r="CR88" s="27"/>
      <c r="CS88" s="28"/>
      <c r="CT88" s="29"/>
      <c r="CV88" s="25"/>
      <c r="CW88" s="26"/>
      <c r="CX88" s="27"/>
      <c r="CY88" s="28"/>
      <c r="CZ88" s="29"/>
      <c r="DA88" s="79">
        <f t="shared" si="13"/>
        <v>0</v>
      </c>
      <c r="DB88" s="80" t="e">
        <f>DA88*#REF!</f>
        <v>#REF!</v>
      </c>
      <c r="DC88" s="81" t="e">
        <f>DA88*#REF!</f>
        <v>#REF!</v>
      </c>
      <c r="DE88" s="25"/>
      <c r="DF88" s="26"/>
      <c r="DG88" s="27"/>
      <c r="DH88" s="28"/>
      <c r="DI88" s="29"/>
      <c r="DJ88" s="79">
        <f t="shared" si="14"/>
        <v>0</v>
      </c>
      <c r="DK88" s="80" t="e">
        <f>DJ88*#REF!</f>
        <v>#REF!</v>
      </c>
      <c r="DL88" s="81" t="e">
        <f>DJ88*#REF!</f>
        <v>#REF!</v>
      </c>
      <c r="DN88" s="25"/>
      <c r="DO88" s="26"/>
      <c r="DP88" s="27"/>
      <c r="DQ88" s="28"/>
      <c r="DR88" s="29"/>
      <c r="DS88" s="79">
        <f t="shared" si="15"/>
        <v>0</v>
      </c>
      <c r="DT88" s="80" t="e">
        <f>DS88*#REF!</f>
        <v>#REF!</v>
      </c>
      <c r="DU88" s="81" t="e">
        <f>DS88*#REF!</f>
        <v>#REF!</v>
      </c>
      <c r="DW88" s="25"/>
      <c r="DX88" s="26"/>
      <c r="DY88" s="27"/>
      <c r="DZ88" s="28"/>
      <c r="EA88" s="29"/>
      <c r="EB88" s="79">
        <f t="shared" si="16"/>
        <v>0</v>
      </c>
      <c r="EC88" s="80" t="e">
        <f>EB88*#REF!</f>
        <v>#REF!</v>
      </c>
      <c r="ED88" s="81" t="e">
        <f>EB88*#REF!</f>
        <v>#REF!</v>
      </c>
      <c r="EF88" s="25"/>
      <c r="EG88" s="26"/>
      <c r="EH88" s="27"/>
      <c r="EI88" s="28"/>
      <c r="EJ88" s="29"/>
      <c r="EK88" s="79">
        <f t="shared" si="17"/>
        <v>0</v>
      </c>
      <c r="EL88" s="80" t="e">
        <f>EK88*#REF!</f>
        <v>#REF!</v>
      </c>
      <c r="EM88" s="81" t="e">
        <f>EK88*#REF!</f>
        <v>#REF!</v>
      </c>
      <c r="EO88" s="25"/>
      <c r="EP88" s="26"/>
      <c r="EQ88" s="27"/>
      <c r="ER88" s="28"/>
      <c r="ES88" s="29"/>
      <c r="ET88" s="79">
        <f t="shared" si="18"/>
        <v>0</v>
      </c>
      <c r="EU88" s="80" t="e">
        <f>ET88*#REF!</f>
        <v>#REF!</v>
      </c>
      <c r="EV88" s="81" t="e">
        <f>ET88*#REF!</f>
        <v>#REF!</v>
      </c>
      <c r="EX88" s="25"/>
      <c r="EY88" s="26"/>
      <c r="EZ88" s="27"/>
      <c r="FA88" s="28"/>
      <c r="FB88" s="29"/>
      <c r="FC88" s="79">
        <f t="shared" si="19"/>
        <v>0</v>
      </c>
      <c r="FD88" s="80" t="e">
        <f>FC88*#REF!</f>
        <v>#REF!</v>
      </c>
      <c r="FE88" s="81" t="e">
        <f>FC88*#REF!</f>
        <v>#REF!</v>
      </c>
      <c r="FG88" s="25"/>
      <c r="FH88" s="26"/>
      <c r="FI88" s="27"/>
      <c r="FJ88" s="28"/>
      <c r="FK88" s="29"/>
      <c r="FL88" s="79">
        <f t="shared" si="20"/>
        <v>0</v>
      </c>
      <c r="FM88" s="80" t="e">
        <f>FL88*#REF!</f>
        <v>#REF!</v>
      </c>
      <c r="FN88" s="81" t="e">
        <f>FL88*#REF!</f>
        <v>#REF!</v>
      </c>
      <c r="FP88" s="25"/>
      <c r="FQ88" s="26"/>
      <c r="FR88" s="27"/>
      <c r="FS88" s="28"/>
      <c r="FT88" s="29"/>
      <c r="FU88" s="79">
        <f t="shared" si="21"/>
        <v>0</v>
      </c>
      <c r="FV88" s="80" t="e">
        <f>FU88*#REF!</f>
        <v>#REF!</v>
      </c>
      <c r="FW88" s="81" t="e">
        <f>FU88*#REF!</f>
        <v>#REF!</v>
      </c>
      <c r="FY88" s="25"/>
      <c r="FZ88" s="26"/>
      <c r="GA88" s="27"/>
      <c r="GB88" s="28"/>
      <c r="GC88" s="29"/>
      <c r="GD88" s="79">
        <f t="shared" si="22"/>
        <v>0</v>
      </c>
      <c r="GE88" s="80" t="e">
        <f>GD88*#REF!</f>
        <v>#REF!</v>
      </c>
      <c r="GF88" s="81" t="e">
        <f>GD88*#REF!</f>
        <v>#REF!</v>
      </c>
      <c r="GH88" s="25"/>
      <c r="GI88" s="26"/>
      <c r="GJ88" s="27"/>
      <c r="GK88" s="28"/>
      <c r="GL88" s="29"/>
      <c r="GM88" s="79">
        <f t="shared" si="23"/>
        <v>0</v>
      </c>
      <c r="GN88" s="80" t="e">
        <f>GM88*#REF!</f>
        <v>#REF!</v>
      </c>
      <c r="GO88" s="81" t="e">
        <f>GM88*#REF!</f>
        <v>#REF!</v>
      </c>
      <c r="GQ88" s="82">
        <f t="shared" si="24"/>
        <v>1</v>
      </c>
      <c r="GR88" s="83">
        <v>1</v>
      </c>
    </row>
    <row r="89" spans="2:200" ht="15">
      <c r="B89" s="22" t="s">
        <v>88</v>
      </c>
      <c r="C89" s="23" t="s">
        <v>84</v>
      </c>
      <c r="D89" s="24" t="str">
        <f>IF(C89="","",_xlfn.XLOOKUP(C89,'[1]Control Sheet'!$L$5:$L$104,'[1]Control Sheet'!$M$5:$M$104,"",0))</f>
        <v xml:space="preserve">Host </v>
      </c>
      <c r="E89" s="24" t="str">
        <f>IF(B89="","",_xlfn.XLOOKUP(B89,'[1]Control Sheet'!$D$5:$D$64,'[1]Control Sheet'!$F$5:$F$64,"",0))</f>
        <v>Retail</v>
      </c>
      <c r="F89" s="24" t="str">
        <f>IF(B89="","",_xlfn.XLOOKUP(B89,'[1]Control Sheet'!$D$5:$D$64,'[1]Control Sheet'!$E$5:$E$64,"",0))</f>
        <v>C1150-N</v>
      </c>
      <c r="I89" s="25"/>
      <c r="J89" s="26"/>
      <c r="K89" s="27"/>
      <c r="L89" s="28"/>
      <c r="M89" s="29"/>
      <c r="P89" s="25"/>
      <c r="Q89" s="26"/>
      <c r="R89" s="27"/>
      <c r="S89" s="28"/>
      <c r="T89" s="29"/>
      <c r="V89" s="25">
        <v>0.54166666666666663</v>
      </c>
      <c r="W89" s="26">
        <v>0.73958333333333337</v>
      </c>
      <c r="X89" s="27">
        <v>0</v>
      </c>
      <c r="Y89" s="28">
        <v>1</v>
      </c>
      <c r="Z89" s="29">
        <v>0.5</v>
      </c>
      <c r="AB89" s="25">
        <v>0.54166666666666663</v>
      </c>
      <c r="AC89" s="26">
        <v>0.73958333333333337</v>
      </c>
      <c r="AD89" s="27">
        <v>0</v>
      </c>
      <c r="AE89" s="28">
        <v>1</v>
      </c>
      <c r="AF89" s="29">
        <v>0.5</v>
      </c>
      <c r="AH89" s="25">
        <v>0.54166666666666663</v>
      </c>
      <c r="AI89" s="26">
        <v>0.73958333333333337</v>
      </c>
      <c r="AJ89" s="27">
        <v>0</v>
      </c>
      <c r="AK89" s="28">
        <v>2</v>
      </c>
      <c r="AL89" s="29">
        <v>0.5</v>
      </c>
      <c r="AN89" s="25">
        <v>0.54166666666666663</v>
      </c>
      <c r="AO89" s="26">
        <v>0.79166666666666663</v>
      </c>
      <c r="AP89" s="27">
        <v>0</v>
      </c>
      <c r="AQ89" s="28">
        <v>2</v>
      </c>
      <c r="AR89" s="29">
        <v>0.5</v>
      </c>
      <c r="AT89" s="25">
        <v>0.54166666666666663</v>
      </c>
      <c r="AU89" s="26">
        <v>0.73958333333333337</v>
      </c>
      <c r="AV89" s="27">
        <v>0</v>
      </c>
      <c r="AW89" s="28">
        <v>2</v>
      </c>
      <c r="AX89" s="29">
        <v>0.5</v>
      </c>
      <c r="AZ89" s="25">
        <v>0.54166666666666663</v>
      </c>
      <c r="BA89" s="26">
        <v>0.79166666666666663</v>
      </c>
      <c r="BB89" s="27">
        <v>0</v>
      </c>
      <c r="BC89" s="28">
        <v>2</v>
      </c>
      <c r="BD89" s="29">
        <v>0.5</v>
      </c>
      <c r="BF89" s="25">
        <v>0.54166666666666663</v>
      </c>
      <c r="BG89" s="26">
        <v>0.79166666666666663</v>
      </c>
      <c r="BH89" s="27">
        <v>0</v>
      </c>
      <c r="BI89" s="28">
        <v>2</v>
      </c>
      <c r="BJ89" s="29">
        <v>0.5</v>
      </c>
      <c r="BL89" s="25"/>
      <c r="BM89" s="26"/>
      <c r="BN89" s="27"/>
      <c r="BO89" s="28"/>
      <c r="BP89" s="29"/>
      <c r="BR89" s="25"/>
      <c r="BS89" s="26"/>
      <c r="BT89" s="27"/>
      <c r="BU89" s="28"/>
      <c r="BV89" s="29"/>
      <c r="BX89" s="25"/>
      <c r="BY89" s="26"/>
      <c r="BZ89" s="27"/>
      <c r="CA89" s="28"/>
      <c r="CB89" s="29"/>
      <c r="CD89" s="25"/>
      <c r="CE89" s="26"/>
      <c r="CF89" s="27"/>
      <c r="CG89" s="28"/>
      <c r="CH89" s="29"/>
      <c r="CJ89" s="25"/>
      <c r="CK89" s="26"/>
      <c r="CL89" s="27"/>
      <c r="CM89" s="28"/>
      <c r="CN89" s="29"/>
      <c r="CP89" s="25"/>
      <c r="CQ89" s="26"/>
      <c r="CR89" s="27"/>
      <c r="CS89" s="28"/>
      <c r="CT89" s="29"/>
      <c r="CV89" s="25"/>
      <c r="CW89" s="26"/>
      <c r="CX89" s="27"/>
      <c r="CY89" s="28"/>
      <c r="CZ89" s="29"/>
      <c r="DA89" s="79">
        <f t="shared" si="13"/>
        <v>0</v>
      </c>
      <c r="DB89" s="80" t="e">
        <f>DA89*#REF!</f>
        <v>#REF!</v>
      </c>
      <c r="DC89" s="81" t="e">
        <f>DA89*#REF!</f>
        <v>#REF!</v>
      </c>
      <c r="DE89" s="25"/>
      <c r="DF89" s="26"/>
      <c r="DG89" s="27"/>
      <c r="DH89" s="28"/>
      <c r="DI89" s="29"/>
      <c r="DJ89" s="79">
        <f t="shared" si="14"/>
        <v>0</v>
      </c>
      <c r="DK89" s="80" t="e">
        <f>DJ89*#REF!</f>
        <v>#REF!</v>
      </c>
      <c r="DL89" s="81" t="e">
        <f>DJ89*#REF!</f>
        <v>#REF!</v>
      </c>
      <c r="DN89" s="25"/>
      <c r="DO89" s="26"/>
      <c r="DP89" s="27"/>
      <c r="DQ89" s="28"/>
      <c r="DR89" s="29"/>
      <c r="DS89" s="79">
        <f t="shared" si="15"/>
        <v>0</v>
      </c>
      <c r="DT89" s="80" t="e">
        <f>DS89*#REF!</f>
        <v>#REF!</v>
      </c>
      <c r="DU89" s="81" t="e">
        <f>DS89*#REF!</f>
        <v>#REF!</v>
      </c>
      <c r="DW89" s="25"/>
      <c r="DX89" s="26"/>
      <c r="DY89" s="27"/>
      <c r="DZ89" s="28"/>
      <c r="EA89" s="29"/>
      <c r="EB89" s="79">
        <f t="shared" si="16"/>
        <v>0</v>
      </c>
      <c r="EC89" s="80" t="e">
        <f>EB89*#REF!</f>
        <v>#REF!</v>
      </c>
      <c r="ED89" s="81" t="e">
        <f>EB89*#REF!</f>
        <v>#REF!</v>
      </c>
      <c r="EF89" s="25"/>
      <c r="EG89" s="26"/>
      <c r="EH89" s="27"/>
      <c r="EI89" s="28"/>
      <c r="EJ89" s="29"/>
      <c r="EK89" s="79">
        <f t="shared" si="17"/>
        <v>0</v>
      </c>
      <c r="EL89" s="80" t="e">
        <f>EK89*#REF!</f>
        <v>#REF!</v>
      </c>
      <c r="EM89" s="81" t="e">
        <f>EK89*#REF!</f>
        <v>#REF!</v>
      </c>
      <c r="EO89" s="25"/>
      <c r="EP89" s="26"/>
      <c r="EQ89" s="27"/>
      <c r="ER89" s="28"/>
      <c r="ES89" s="29"/>
      <c r="ET89" s="79">
        <f t="shared" si="18"/>
        <v>0</v>
      </c>
      <c r="EU89" s="80" t="e">
        <f>ET89*#REF!</f>
        <v>#REF!</v>
      </c>
      <c r="EV89" s="81" t="e">
        <f>ET89*#REF!</f>
        <v>#REF!</v>
      </c>
      <c r="EX89" s="25"/>
      <c r="EY89" s="26"/>
      <c r="EZ89" s="27"/>
      <c r="FA89" s="28"/>
      <c r="FB89" s="29"/>
      <c r="FC89" s="79">
        <f t="shared" si="19"/>
        <v>0</v>
      </c>
      <c r="FD89" s="80" t="e">
        <f>FC89*#REF!</f>
        <v>#REF!</v>
      </c>
      <c r="FE89" s="81" t="e">
        <f>FC89*#REF!</f>
        <v>#REF!</v>
      </c>
      <c r="FG89" s="25"/>
      <c r="FH89" s="26"/>
      <c r="FI89" s="27"/>
      <c r="FJ89" s="28"/>
      <c r="FK89" s="29"/>
      <c r="FL89" s="79">
        <f t="shared" si="20"/>
        <v>0</v>
      </c>
      <c r="FM89" s="80" t="e">
        <f>FL89*#REF!</f>
        <v>#REF!</v>
      </c>
      <c r="FN89" s="81" t="e">
        <f>FL89*#REF!</f>
        <v>#REF!</v>
      </c>
      <c r="FP89" s="25"/>
      <c r="FQ89" s="26"/>
      <c r="FR89" s="27"/>
      <c r="FS89" s="28"/>
      <c r="FT89" s="29"/>
      <c r="FU89" s="79">
        <f t="shared" si="21"/>
        <v>0</v>
      </c>
      <c r="FV89" s="80" t="e">
        <f>FU89*#REF!</f>
        <v>#REF!</v>
      </c>
      <c r="FW89" s="81" t="e">
        <f>FU89*#REF!</f>
        <v>#REF!</v>
      </c>
      <c r="FY89" s="25"/>
      <c r="FZ89" s="26"/>
      <c r="GA89" s="27"/>
      <c r="GB89" s="28"/>
      <c r="GC89" s="29"/>
      <c r="GD89" s="79">
        <f t="shared" si="22"/>
        <v>0</v>
      </c>
      <c r="GE89" s="80" t="e">
        <f>GD89*#REF!</f>
        <v>#REF!</v>
      </c>
      <c r="GF89" s="81" t="e">
        <f>GD89*#REF!</f>
        <v>#REF!</v>
      </c>
      <c r="GH89" s="25"/>
      <c r="GI89" s="26"/>
      <c r="GJ89" s="27"/>
      <c r="GK89" s="28"/>
      <c r="GL89" s="29"/>
      <c r="GM89" s="79">
        <f t="shared" si="23"/>
        <v>0</v>
      </c>
      <c r="GN89" s="80" t="e">
        <f>GM89*#REF!</f>
        <v>#REF!</v>
      </c>
      <c r="GO89" s="81" t="e">
        <f>GM89*#REF!</f>
        <v>#REF!</v>
      </c>
      <c r="GQ89" s="82">
        <f t="shared" si="24"/>
        <v>2</v>
      </c>
      <c r="GR89" s="83">
        <v>2</v>
      </c>
    </row>
    <row r="90" spans="2:200" ht="15">
      <c r="B90" s="22"/>
      <c r="C90" s="23"/>
      <c r="D90" s="24" t="str">
        <f>IF(C90="","",_xlfn.XLOOKUP(C90,'[1]Control Sheet'!$L$5:$L$104,'[1]Control Sheet'!$M$5:$M$104,"",0))</f>
        <v/>
      </c>
      <c r="E90" s="24" t="str">
        <f>IF(B90="","",_xlfn.XLOOKUP(B90,'[1]Control Sheet'!$D$5:$D$64,'[1]Control Sheet'!$F$5:$F$64,"",0))</f>
        <v/>
      </c>
      <c r="F90" s="24" t="str">
        <f>IF(B90="","",_xlfn.XLOOKUP(B90,'[1]Control Sheet'!$D$5:$D$64,'[1]Control Sheet'!$E$5:$E$64,"",0))</f>
        <v/>
      </c>
      <c r="I90" s="25"/>
      <c r="J90" s="26"/>
      <c r="K90" s="27"/>
      <c r="L90" s="28"/>
      <c r="M90" s="29"/>
      <c r="P90" s="25"/>
      <c r="Q90" s="26"/>
      <c r="R90" s="27"/>
      <c r="S90" s="28"/>
      <c r="T90" s="29"/>
      <c r="V90" s="25"/>
      <c r="W90" s="26"/>
      <c r="X90" s="27"/>
      <c r="Y90" s="28"/>
      <c r="Z90" s="29"/>
      <c r="AB90" s="25"/>
      <c r="AC90" s="26"/>
      <c r="AD90" s="27"/>
      <c r="AE90" s="28"/>
      <c r="AF90" s="29"/>
      <c r="AH90" s="25"/>
      <c r="AI90" s="26"/>
      <c r="AJ90" s="27"/>
      <c r="AK90" s="28"/>
      <c r="AL90" s="29"/>
      <c r="AN90" s="25"/>
      <c r="AO90" s="26"/>
      <c r="AP90" s="27"/>
      <c r="AQ90" s="28"/>
      <c r="AR90" s="29"/>
      <c r="AT90" s="25"/>
      <c r="AU90" s="26"/>
      <c r="AV90" s="27"/>
      <c r="AW90" s="28"/>
      <c r="AX90" s="29"/>
      <c r="AZ90" s="25"/>
      <c r="BA90" s="26"/>
      <c r="BB90" s="33"/>
      <c r="BC90" s="28"/>
      <c r="BD90" s="29"/>
      <c r="BF90" s="25"/>
      <c r="BG90" s="26"/>
      <c r="BH90" s="27"/>
      <c r="BI90" s="28"/>
      <c r="BJ90" s="29"/>
      <c r="BL90" s="25"/>
      <c r="BM90" s="26"/>
      <c r="BN90" s="27"/>
      <c r="BO90" s="28"/>
      <c r="BP90" s="29"/>
      <c r="BR90" s="25"/>
      <c r="BS90" s="26"/>
      <c r="BT90" s="27"/>
      <c r="BU90" s="28"/>
      <c r="BV90" s="29"/>
      <c r="BX90" s="25"/>
      <c r="BY90" s="26"/>
      <c r="BZ90" s="27"/>
      <c r="CA90" s="28"/>
      <c r="CB90" s="29"/>
      <c r="CD90" s="25"/>
      <c r="CE90" s="26"/>
      <c r="CF90" s="27"/>
      <c r="CG90" s="28"/>
      <c r="CH90" s="29"/>
      <c r="CJ90" s="25"/>
      <c r="CK90" s="26"/>
      <c r="CL90" s="27"/>
      <c r="CM90" s="28"/>
      <c r="CN90" s="29"/>
      <c r="CP90" s="25"/>
      <c r="CQ90" s="26"/>
      <c r="CR90" s="27"/>
      <c r="CS90" s="28"/>
      <c r="CT90" s="29"/>
      <c r="CV90" s="25"/>
      <c r="CW90" s="26"/>
      <c r="CX90" s="27"/>
      <c r="CY90" s="28"/>
      <c r="CZ90" s="29"/>
      <c r="DA90" s="79">
        <f t="shared" si="13"/>
        <v>0</v>
      </c>
      <c r="DB90" s="80" t="e">
        <f>DA90*#REF!</f>
        <v>#REF!</v>
      </c>
      <c r="DC90" s="81" t="e">
        <f>DA90*#REF!</f>
        <v>#REF!</v>
      </c>
      <c r="DE90" s="25"/>
      <c r="DF90" s="26"/>
      <c r="DG90" s="27"/>
      <c r="DH90" s="28"/>
      <c r="DI90" s="29"/>
      <c r="DJ90" s="79">
        <f t="shared" si="14"/>
        <v>0</v>
      </c>
      <c r="DK90" s="80" t="e">
        <f>DJ90*#REF!</f>
        <v>#REF!</v>
      </c>
      <c r="DL90" s="81" t="e">
        <f>DJ90*#REF!</f>
        <v>#REF!</v>
      </c>
      <c r="DN90" s="25"/>
      <c r="DO90" s="26"/>
      <c r="DP90" s="27"/>
      <c r="DQ90" s="28"/>
      <c r="DR90" s="29"/>
      <c r="DS90" s="79">
        <f t="shared" si="15"/>
        <v>0</v>
      </c>
      <c r="DT90" s="80" t="e">
        <f>DS90*#REF!</f>
        <v>#REF!</v>
      </c>
      <c r="DU90" s="81" t="e">
        <f>DS90*#REF!</f>
        <v>#REF!</v>
      </c>
      <c r="DW90" s="25"/>
      <c r="DX90" s="26"/>
      <c r="DY90" s="27"/>
      <c r="DZ90" s="28"/>
      <c r="EA90" s="29"/>
      <c r="EB90" s="79">
        <f t="shared" si="16"/>
        <v>0</v>
      </c>
      <c r="EC90" s="80" t="e">
        <f>EB90*#REF!</f>
        <v>#REF!</v>
      </c>
      <c r="ED90" s="81" t="e">
        <f>EB90*#REF!</f>
        <v>#REF!</v>
      </c>
      <c r="EF90" s="25"/>
      <c r="EG90" s="26"/>
      <c r="EH90" s="27"/>
      <c r="EI90" s="28"/>
      <c r="EJ90" s="29"/>
      <c r="EK90" s="79">
        <f t="shared" si="17"/>
        <v>0</v>
      </c>
      <c r="EL90" s="80" t="e">
        <f>EK90*#REF!</f>
        <v>#REF!</v>
      </c>
      <c r="EM90" s="81" t="e">
        <f>EK90*#REF!</f>
        <v>#REF!</v>
      </c>
      <c r="EO90" s="25"/>
      <c r="EP90" s="26"/>
      <c r="EQ90" s="27"/>
      <c r="ER90" s="28"/>
      <c r="ES90" s="29"/>
      <c r="ET90" s="79">
        <f t="shared" si="18"/>
        <v>0</v>
      </c>
      <c r="EU90" s="80" t="e">
        <f>ET90*#REF!</f>
        <v>#REF!</v>
      </c>
      <c r="EV90" s="81" t="e">
        <f>ET90*#REF!</f>
        <v>#REF!</v>
      </c>
      <c r="EX90" s="25"/>
      <c r="EY90" s="26"/>
      <c r="EZ90" s="27"/>
      <c r="FA90" s="28"/>
      <c r="FB90" s="29"/>
      <c r="FC90" s="79">
        <f t="shared" si="19"/>
        <v>0</v>
      </c>
      <c r="FD90" s="80" t="e">
        <f>FC90*#REF!</f>
        <v>#REF!</v>
      </c>
      <c r="FE90" s="81" t="e">
        <f>FC90*#REF!</f>
        <v>#REF!</v>
      </c>
      <c r="FG90" s="25"/>
      <c r="FH90" s="26"/>
      <c r="FI90" s="27"/>
      <c r="FJ90" s="28"/>
      <c r="FK90" s="29"/>
      <c r="FL90" s="79">
        <f t="shared" si="20"/>
        <v>0</v>
      </c>
      <c r="FM90" s="80" t="e">
        <f>FL90*#REF!</f>
        <v>#REF!</v>
      </c>
      <c r="FN90" s="81" t="e">
        <f>FL90*#REF!</f>
        <v>#REF!</v>
      </c>
      <c r="FP90" s="25"/>
      <c r="FQ90" s="26"/>
      <c r="FR90" s="27"/>
      <c r="FS90" s="28"/>
      <c r="FT90" s="29"/>
      <c r="FU90" s="79">
        <f t="shared" si="21"/>
        <v>0</v>
      </c>
      <c r="FV90" s="80" t="e">
        <f>FU90*#REF!</f>
        <v>#REF!</v>
      </c>
      <c r="FW90" s="81" t="e">
        <f>FU90*#REF!</f>
        <v>#REF!</v>
      </c>
      <c r="FY90" s="25"/>
      <c r="FZ90" s="26"/>
      <c r="GA90" s="27"/>
      <c r="GB90" s="28"/>
      <c r="GC90" s="29"/>
      <c r="GD90" s="79">
        <f t="shared" si="22"/>
        <v>0</v>
      </c>
      <c r="GE90" s="80" t="e">
        <f>GD90*#REF!</f>
        <v>#REF!</v>
      </c>
      <c r="GF90" s="81" t="e">
        <f>GD90*#REF!</f>
        <v>#REF!</v>
      </c>
      <c r="GH90" s="25"/>
      <c r="GI90" s="26"/>
      <c r="GJ90" s="27"/>
      <c r="GK90" s="28"/>
      <c r="GL90" s="29"/>
      <c r="GM90" s="79">
        <f t="shared" si="23"/>
        <v>0</v>
      </c>
      <c r="GN90" s="80" t="e">
        <f>GM90*#REF!</f>
        <v>#REF!</v>
      </c>
      <c r="GO90" s="81" t="e">
        <f>GM90*#REF!</f>
        <v>#REF!</v>
      </c>
      <c r="GQ90" s="82">
        <f t="shared" si="24"/>
        <v>0</v>
      </c>
      <c r="GR90" s="83">
        <v>0</v>
      </c>
    </row>
    <row r="91" spans="2:200" ht="15">
      <c r="B91" s="22" t="s">
        <v>89</v>
      </c>
      <c r="C91" s="23" t="s">
        <v>84</v>
      </c>
      <c r="D91" s="24" t="str">
        <f>IF(C91="","",_xlfn.XLOOKUP(C91,'[1]Control Sheet'!$L$5:$L$104,'[1]Control Sheet'!$M$5:$M$104,"",0))</f>
        <v xml:space="preserve">Host </v>
      </c>
      <c r="E91" s="24" t="str">
        <f>IF(B91="","",_xlfn.XLOOKUP(B91,'[1]Control Sheet'!$D$5:$D$64,'[1]Control Sheet'!$F$5:$F$64,"",0))</f>
        <v>Retail</v>
      </c>
      <c r="F91" s="24" t="str">
        <f>IF(B91="","",_xlfn.XLOOKUP(B91,'[1]Control Sheet'!$D$5:$D$64,'[1]Control Sheet'!$E$5:$E$64,"",0))</f>
        <v>C1150-N</v>
      </c>
      <c r="I91" s="25"/>
      <c r="J91" s="26"/>
      <c r="K91" s="27"/>
      <c r="L91" s="28"/>
      <c r="M91" s="29"/>
      <c r="P91" s="25"/>
      <c r="Q91" s="26"/>
      <c r="R91" s="27"/>
      <c r="S91" s="28"/>
      <c r="T91" s="29"/>
      <c r="V91" s="25"/>
      <c r="W91" s="26"/>
      <c r="X91" s="27"/>
      <c r="Y91" s="28"/>
      <c r="Z91" s="29"/>
      <c r="AB91" s="25"/>
      <c r="AC91" s="26"/>
      <c r="AD91" s="27"/>
      <c r="AE91" s="28"/>
      <c r="AF91" s="29"/>
      <c r="AH91" s="25">
        <v>0.45833333333333331</v>
      </c>
      <c r="AI91" s="26">
        <v>0.73958333333333337</v>
      </c>
      <c r="AJ91" s="27">
        <v>45</v>
      </c>
      <c r="AK91" s="28">
        <v>1</v>
      </c>
      <c r="AL91" s="29">
        <v>1</v>
      </c>
      <c r="AN91" s="25">
        <v>0.45833333333333331</v>
      </c>
      <c r="AO91" s="26">
        <v>0.75</v>
      </c>
      <c r="AP91" s="33">
        <v>60</v>
      </c>
      <c r="AQ91" s="28">
        <v>1</v>
      </c>
      <c r="AR91" s="29">
        <v>1</v>
      </c>
      <c r="AT91" s="25">
        <v>0.45833333333333331</v>
      </c>
      <c r="AU91" s="26">
        <v>0.73958333333333337</v>
      </c>
      <c r="AV91" s="27">
        <v>45</v>
      </c>
      <c r="AW91" s="28">
        <v>2</v>
      </c>
      <c r="AX91" s="29">
        <v>1</v>
      </c>
      <c r="AZ91" s="25">
        <v>0.45833333333333331</v>
      </c>
      <c r="BA91" s="26">
        <v>0.75</v>
      </c>
      <c r="BB91" s="33">
        <v>60</v>
      </c>
      <c r="BC91" s="28">
        <v>2</v>
      </c>
      <c r="BD91" s="29">
        <v>1</v>
      </c>
      <c r="BF91" s="25">
        <v>0.45833333333333331</v>
      </c>
      <c r="BG91" s="26">
        <v>0.79166666666666663</v>
      </c>
      <c r="BH91" s="27">
        <v>60</v>
      </c>
      <c r="BI91" s="28">
        <v>2</v>
      </c>
      <c r="BJ91" s="29">
        <v>1</v>
      </c>
      <c r="BL91" s="25"/>
      <c r="BM91" s="26"/>
      <c r="BN91" s="27"/>
      <c r="BO91" s="28"/>
      <c r="BP91" s="29"/>
      <c r="BR91" s="25"/>
      <c r="BS91" s="26"/>
      <c r="BT91" s="27"/>
      <c r="BU91" s="28"/>
      <c r="BV91" s="29"/>
      <c r="BX91" s="25"/>
      <c r="BY91" s="26"/>
      <c r="BZ91" s="27"/>
      <c r="CA91" s="28"/>
      <c r="CB91" s="29"/>
      <c r="CD91" s="25"/>
      <c r="CE91" s="26"/>
      <c r="CF91" s="27"/>
      <c r="CG91" s="28"/>
      <c r="CH91" s="29"/>
      <c r="CJ91" s="25"/>
      <c r="CK91" s="26"/>
      <c r="CL91" s="27"/>
      <c r="CM91" s="28"/>
      <c r="CN91" s="29"/>
      <c r="CP91" s="25"/>
      <c r="CQ91" s="26"/>
      <c r="CR91" s="27"/>
      <c r="CS91" s="28"/>
      <c r="CT91" s="29"/>
      <c r="CV91" s="25"/>
      <c r="CW91" s="26"/>
      <c r="CX91" s="27"/>
      <c r="CY91" s="28"/>
      <c r="CZ91" s="29"/>
      <c r="DA91" s="79">
        <f t="shared" si="13"/>
        <v>0</v>
      </c>
      <c r="DB91" s="80" t="e">
        <f>DA91*#REF!</f>
        <v>#REF!</v>
      </c>
      <c r="DC91" s="81" t="e">
        <f>DA91*#REF!</f>
        <v>#REF!</v>
      </c>
      <c r="DE91" s="25"/>
      <c r="DF91" s="26"/>
      <c r="DG91" s="27"/>
      <c r="DH91" s="28"/>
      <c r="DI91" s="29"/>
      <c r="DJ91" s="79">
        <f t="shared" si="14"/>
        <v>0</v>
      </c>
      <c r="DK91" s="80" t="e">
        <f>DJ91*#REF!</f>
        <v>#REF!</v>
      </c>
      <c r="DL91" s="81" t="e">
        <f>DJ91*#REF!</f>
        <v>#REF!</v>
      </c>
      <c r="DN91" s="25"/>
      <c r="DO91" s="26"/>
      <c r="DP91" s="27"/>
      <c r="DQ91" s="28"/>
      <c r="DR91" s="29"/>
      <c r="DS91" s="79">
        <f t="shared" si="15"/>
        <v>0</v>
      </c>
      <c r="DT91" s="80" t="e">
        <f>DS91*#REF!</f>
        <v>#REF!</v>
      </c>
      <c r="DU91" s="81" t="e">
        <f>DS91*#REF!</f>
        <v>#REF!</v>
      </c>
      <c r="DW91" s="25"/>
      <c r="DX91" s="26"/>
      <c r="DY91" s="27"/>
      <c r="DZ91" s="28"/>
      <c r="EA91" s="29"/>
      <c r="EB91" s="79">
        <f t="shared" si="16"/>
        <v>0</v>
      </c>
      <c r="EC91" s="80" t="e">
        <f>EB91*#REF!</f>
        <v>#REF!</v>
      </c>
      <c r="ED91" s="81" t="e">
        <f>EB91*#REF!</f>
        <v>#REF!</v>
      </c>
      <c r="EF91" s="25"/>
      <c r="EG91" s="26"/>
      <c r="EH91" s="27"/>
      <c r="EI91" s="28"/>
      <c r="EJ91" s="29"/>
      <c r="EK91" s="79">
        <f t="shared" si="17"/>
        <v>0</v>
      </c>
      <c r="EL91" s="80" t="e">
        <f>EK91*#REF!</f>
        <v>#REF!</v>
      </c>
      <c r="EM91" s="81" t="e">
        <f>EK91*#REF!</f>
        <v>#REF!</v>
      </c>
      <c r="EO91" s="25"/>
      <c r="EP91" s="26"/>
      <c r="EQ91" s="27"/>
      <c r="ER91" s="28"/>
      <c r="ES91" s="29"/>
      <c r="ET91" s="79">
        <f t="shared" si="18"/>
        <v>0</v>
      </c>
      <c r="EU91" s="80" t="e">
        <f>ET91*#REF!</f>
        <v>#REF!</v>
      </c>
      <c r="EV91" s="81" t="e">
        <f>ET91*#REF!</f>
        <v>#REF!</v>
      </c>
      <c r="EX91" s="25"/>
      <c r="EY91" s="26"/>
      <c r="EZ91" s="27"/>
      <c r="FA91" s="28"/>
      <c r="FB91" s="29"/>
      <c r="FC91" s="79">
        <f t="shared" si="19"/>
        <v>0</v>
      </c>
      <c r="FD91" s="80" t="e">
        <f>FC91*#REF!</f>
        <v>#REF!</v>
      </c>
      <c r="FE91" s="81" t="e">
        <f>FC91*#REF!</f>
        <v>#REF!</v>
      </c>
      <c r="FG91" s="25"/>
      <c r="FH91" s="26"/>
      <c r="FI91" s="27"/>
      <c r="FJ91" s="28"/>
      <c r="FK91" s="29"/>
      <c r="FL91" s="79">
        <f t="shared" si="20"/>
        <v>0</v>
      </c>
      <c r="FM91" s="80" t="e">
        <f>FL91*#REF!</f>
        <v>#REF!</v>
      </c>
      <c r="FN91" s="81" t="e">
        <f>FL91*#REF!</f>
        <v>#REF!</v>
      </c>
      <c r="FP91" s="25"/>
      <c r="FQ91" s="26"/>
      <c r="FR91" s="27"/>
      <c r="FS91" s="28"/>
      <c r="FT91" s="29"/>
      <c r="FU91" s="79">
        <f t="shared" si="21"/>
        <v>0</v>
      </c>
      <c r="FV91" s="80" t="e">
        <f>FU91*#REF!</f>
        <v>#REF!</v>
      </c>
      <c r="FW91" s="81" t="e">
        <f>FU91*#REF!</f>
        <v>#REF!</v>
      </c>
      <c r="FY91" s="25"/>
      <c r="FZ91" s="26"/>
      <c r="GA91" s="27"/>
      <c r="GB91" s="28"/>
      <c r="GC91" s="29"/>
      <c r="GD91" s="79">
        <f t="shared" si="22"/>
        <v>0</v>
      </c>
      <c r="GE91" s="80" t="e">
        <f>GD91*#REF!</f>
        <v>#REF!</v>
      </c>
      <c r="GF91" s="81" t="e">
        <f>GD91*#REF!</f>
        <v>#REF!</v>
      </c>
      <c r="GH91" s="25"/>
      <c r="GI91" s="26"/>
      <c r="GJ91" s="27"/>
      <c r="GK91" s="28"/>
      <c r="GL91" s="29"/>
      <c r="GM91" s="79">
        <f t="shared" si="23"/>
        <v>0</v>
      </c>
      <c r="GN91" s="80" t="e">
        <f>GM91*#REF!</f>
        <v>#REF!</v>
      </c>
      <c r="GO91" s="81" t="e">
        <f>GM91*#REF!</f>
        <v>#REF!</v>
      </c>
      <c r="GQ91" s="82">
        <f t="shared" si="24"/>
        <v>2</v>
      </c>
      <c r="GR91" s="83">
        <v>2</v>
      </c>
    </row>
    <row r="92" spans="2:200" ht="15">
      <c r="B92" s="22" t="s">
        <v>89</v>
      </c>
      <c r="C92" s="23" t="s">
        <v>84</v>
      </c>
      <c r="D92" s="24" t="str">
        <f>IF(C92="","",_xlfn.XLOOKUP(C92,'[1]Control Sheet'!$L$5:$L$104,'[1]Control Sheet'!$M$5:$M$104,"",0))</f>
        <v xml:space="preserve">Host </v>
      </c>
      <c r="E92" s="24" t="str">
        <f>IF(B92="","",_xlfn.XLOOKUP(B92,'[1]Control Sheet'!$D$5:$D$64,'[1]Control Sheet'!$F$5:$F$64,"",0))</f>
        <v>Retail</v>
      </c>
      <c r="F92" s="24" t="str">
        <f>IF(B92="","",_xlfn.XLOOKUP(B92,'[1]Control Sheet'!$D$5:$D$64,'[1]Control Sheet'!$E$5:$E$64,"",0))</f>
        <v>C1150-N</v>
      </c>
      <c r="I92" s="25"/>
      <c r="J92" s="26"/>
      <c r="K92" s="27"/>
      <c r="L92" s="28"/>
      <c r="M92" s="29"/>
      <c r="P92" s="25"/>
      <c r="Q92" s="26"/>
      <c r="R92" s="27"/>
      <c r="S92" s="28"/>
      <c r="T92" s="29"/>
      <c r="V92" s="25"/>
      <c r="W92" s="26"/>
      <c r="X92" s="27"/>
      <c r="Y92" s="28"/>
      <c r="Z92" s="29"/>
      <c r="AB92" s="25"/>
      <c r="AC92" s="26"/>
      <c r="AD92" s="27"/>
      <c r="AE92" s="28"/>
      <c r="AF92" s="29"/>
      <c r="AH92" s="25"/>
      <c r="AI92" s="26"/>
      <c r="AJ92" s="27"/>
      <c r="AK92" s="28"/>
      <c r="AL92" s="29"/>
      <c r="AN92" s="25"/>
      <c r="AO92" s="26"/>
      <c r="AP92" s="27"/>
      <c r="AQ92" s="28"/>
      <c r="AR92" s="29"/>
      <c r="AT92" s="25"/>
      <c r="AU92" s="26"/>
      <c r="AV92" s="27"/>
      <c r="AW92" s="28"/>
      <c r="AX92" s="29"/>
      <c r="AZ92" s="25"/>
      <c r="BA92" s="26"/>
      <c r="BB92" s="27"/>
      <c r="BC92" s="28"/>
      <c r="BD92" s="29"/>
      <c r="BF92" s="25"/>
      <c r="BG92" s="26"/>
      <c r="BH92" s="27"/>
      <c r="BI92" s="28"/>
      <c r="BJ92" s="29"/>
      <c r="BL92" s="25"/>
      <c r="BM92" s="26"/>
      <c r="BN92" s="27"/>
      <c r="BO92" s="28"/>
      <c r="BP92" s="29"/>
      <c r="BR92" s="25"/>
      <c r="BS92" s="26"/>
      <c r="BT92" s="27"/>
      <c r="BU92" s="28"/>
      <c r="BV92" s="29"/>
      <c r="BX92" s="25"/>
      <c r="BY92" s="26"/>
      <c r="BZ92" s="27"/>
      <c r="CA92" s="28"/>
      <c r="CB92" s="29"/>
      <c r="CD92" s="25"/>
      <c r="CE92" s="26"/>
      <c r="CF92" s="27"/>
      <c r="CG92" s="28"/>
      <c r="CH92" s="29"/>
      <c r="CJ92" s="25"/>
      <c r="CK92" s="26"/>
      <c r="CL92" s="27"/>
      <c r="CM92" s="28"/>
      <c r="CN92" s="29"/>
      <c r="CP92" s="25"/>
      <c r="CQ92" s="26"/>
      <c r="CR92" s="27"/>
      <c r="CS92" s="28"/>
      <c r="CT92" s="29"/>
      <c r="CV92" s="25"/>
      <c r="CW92" s="26"/>
      <c r="CX92" s="27"/>
      <c r="CY92" s="28"/>
      <c r="CZ92" s="29"/>
      <c r="DA92" s="79">
        <f t="shared" si="13"/>
        <v>0</v>
      </c>
      <c r="DB92" s="80" t="e">
        <f>DA92*#REF!</f>
        <v>#REF!</v>
      </c>
      <c r="DC92" s="81" t="e">
        <f>DA92*#REF!</f>
        <v>#REF!</v>
      </c>
      <c r="DE92" s="25"/>
      <c r="DF92" s="26"/>
      <c r="DG92" s="27"/>
      <c r="DH92" s="28"/>
      <c r="DI92" s="29"/>
      <c r="DJ92" s="79">
        <f t="shared" si="14"/>
        <v>0</v>
      </c>
      <c r="DK92" s="80" t="e">
        <f>DJ92*#REF!</f>
        <v>#REF!</v>
      </c>
      <c r="DL92" s="81" t="e">
        <f>DJ92*#REF!</f>
        <v>#REF!</v>
      </c>
      <c r="DN92" s="25"/>
      <c r="DO92" s="26"/>
      <c r="DP92" s="27"/>
      <c r="DQ92" s="28"/>
      <c r="DR92" s="29"/>
      <c r="DS92" s="79">
        <f t="shared" si="15"/>
        <v>0</v>
      </c>
      <c r="DT92" s="80" t="e">
        <f>DS92*#REF!</f>
        <v>#REF!</v>
      </c>
      <c r="DU92" s="81" t="e">
        <f>DS92*#REF!</f>
        <v>#REF!</v>
      </c>
      <c r="DW92" s="25"/>
      <c r="DX92" s="26"/>
      <c r="DY92" s="27"/>
      <c r="DZ92" s="28"/>
      <c r="EA92" s="29"/>
      <c r="EB92" s="79">
        <f t="shared" si="16"/>
        <v>0</v>
      </c>
      <c r="EC92" s="80" t="e">
        <f>EB92*#REF!</f>
        <v>#REF!</v>
      </c>
      <c r="ED92" s="81" t="e">
        <f>EB92*#REF!</f>
        <v>#REF!</v>
      </c>
      <c r="EF92" s="25"/>
      <c r="EG92" s="26"/>
      <c r="EH92" s="27"/>
      <c r="EI92" s="28"/>
      <c r="EJ92" s="29"/>
      <c r="EK92" s="79">
        <f t="shared" si="17"/>
        <v>0</v>
      </c>
      <c r="EL92" s="80" t="e">
        <f>EK92*#REF!</f>
        <v>#REF!</v>
      </c>
      <c r="EM92" s="81" t="e">
        <f>EK92*#REF!</f>
        <v>#REF!</v>
      </c>
      <c r="EO92" s="25"/>
      <c r="EP92" s="26"/>
      <c r="EQ92" s="27"/>
      <c r="ER92" s="28"/>
      <c r="ES92" s="29"/>
      <c r="ET92" s="79">
        <f t="shared" si="18"/>
        <v>0</v>
      </c>
      <c r="EU92" s="80" t="e">
        <f>ET92*#REF!</f>
        <v>#REF!</v>
      </c>
      <c r="EV92" s="81" t="e">
        <f>ET92*#REF!</f>
        <v>#REF!</v>
      </c>
      <c r="EX92" s="25"/>
      <c r="EY92" s="26"/>
      <c r="EZ92" s="27"/>
      <c r="FA92" s="28"/>
      <c r="FB92" s="29"/>
      <c r="FC92" s="79">
        <f t="shared" si="19"/>
        <v>0</v>
      </c>
      <c r="FD92" s="80" t="e">
        <f>FC92*#REF!</f>
        <v>#REF!</v>
      </c>
      <c r="FE92" s="81" t="e">
        <f>FC92*#REF!</f>
        <v>#REF!</v>
      </c>
      <c r="FG92" s="25"/>
      <c r="FH92" s="26"/>
      <c r="FI92" s="27"/>
      <c r="FJ92" s="28"/>
      <c r="FK92" s="29"/>
      <c r="FL92" s="79">
        <f t="shared" si="20"/>
        <v>0</v>
      </c>
      <c r="FM92" s="80" t="e">
        <f>FL92*#REF!</f>
        <v>#REF!</v>
      </c>
      <c r="FN92" s="81" t="e">
        <f>FL92*#REF!</f>
        <v>#REF!</v>
      </c>
      <c r="FP92" s="25"/>
      <c r="FQ92" s="26"/>
      <c r="FR92" s="27"/>
      <c r="FS92" s="28"/>
      <c r="FT92" s="29"/>
      <c r="FU92" s="79">
        <f t="shared" si="21"/>
        <v>0</v>
      </c>
      <c r="FV92" s="80" t="e">
        <f>FU92*#REF!</f>
        <v>#REF!</v>
      </c>
      <c r="FW92" s="81" t="e">
        <f>FU92*#REF!</f>
        <v>#REF!</v>
      </c>
      <c r="FY92" s="25"/>
      <c r="FZ92" s="26"/>
      <c r="GA92" s="27"/>
      <c r="GB92" s="28"/>
      <c r="GC92" s="29"/>
      <c r="GD92" s="79">
        <f t="shared" si="22"/>
        <v>0</v>
      </c>
      <c r="GE92" s="80" t="e">
        <f>GD92*#REF!</f>
        <v>#REF!</v>
      </c>
      <c r="GF92" s="81" t="e">
        <f>GD92*#REF!</f>
        <v>#REF!</v>
      </c>
      <c r="GH92" s="25"/>
      <c r="GI92" s="26"/>
      <c r="GJ92" s="27"/>
      <c r="GK92" s="28"/>
      <c r="GL92" s="29"/>
      <c r="GM92" s="79">
        <f t="shared" si="23"/>
        <v>0</v>
      </c>
      <c r="GN92" s="80" t="e">
        <f>GM92*#REF!</f>
        <v>#REF!</v>
      </c>
      <c r="GO92" s="81" t="e">
        <f>GM92*#REF!</f>
        <v>#REF!</v>
      </c>
      <c r="GQ92" s="82">
        <f t="shared" si="24"/>
        <v>0</v>
      </c>
      <c r="GR92" s="83">
        <v>0</v>
      </c>
    </row>
    <row r="93" spans="2:200" ht="15">
      <c r="B93" s="22"/>
      <c r="C93" s="23"/>
      <c r="D93" s="24" t="str">
        <f>IF(C93="","",_xlfn.XLOOKUP(C93,'[1]Control Sheet'!$L$5:$L$104,'[1]Control Sheet'!$M$5:$M$104,"",0))</f>
        <v/>
      </c>
      <c r="E93" s="24" t="str">
        <f>IF(B93="","",_xlfn.XLOOKUP(B93,'[1]Control Sheet'!$D$5:$D$64,'[1]Control Sheet'!$F$5:$F$64,"",0))</f>
        <v/>
      </c>
      <c r="F93" s="24" t="str">
        <f>IF(B93="","",_xlfn.XLOOKUP(B93,'[1]Control Sheet'!$D$5:$D$64,'[1]Control Sheet'!$E$5:$E$64,"",0))</f>
        <v/>
      </c>
      <c r="I93" s="25"/>
      <c r="J93" s="26"/>
      <c r="K93" s="27"/>
      <c r="L93" s="28"/>
      <c r="M93" s="29"/>
      <c r="P93" s="25"/>
      <c r="Q93" s="26"/>
      <c r="R93" s="27"/>
      <c r="S93" s="28"/>
      <c r="T93" s="29"/>
      <c r="V93" s="25"/>
      <c r="W93" s="26"/>
      <c r="X93" s="27"/>
      <c r="Y93" s="28"/>
      <c r="Z93" s="29"/>
      <c r="AB93" s="25"/>
      <c r="AC93" s="26"/>
      <c r="AD93" s="27"/>
      <c r="AE93" s="28"/>
      <c r="AF93" s="29"/>
      <c r="AH93" s="25"/>
      <c r="AI93" s="26"/>
      <c r="AJ93" s="27"/>
      <c r="AK93" s="28"/>
      <c r="AL93" s="29"/>
      <c r="AN93" s="25"/>
      <c r="AO93" s="26"/>
      <c r="AP93" s="27"/>
      <c r="AQ93" s="28"/>
      <c r="AR93" s="29"/>
      <c r="AT93" s="25"/>
      <c r="AU93" s="26"/>
      <c r="AV93" s="27"/>
      <c r="AW93" s="28"/>
      <c r="AX93" s="29"/>
      <c r="AZ93" s="25"/>
      <c r="BA93" s="26"/>
      <c r="BB93" s="27"/>
      <c r="BC93" s="28"/>
      <c r="BD93" s="29"/>
      <c r="BF93" s="25"/>
      <c r="BG93" s="26"/>
      <c r="BH93" s="27"/>
      <c r="BI93" s="28"/>
      <c r="BJ93" s="29"/>
      <c r="BL93" s="25"/>
      <c r="BM93" s="26"/>
      <c r="BN93" s="27"/>
      <c r="BO93" s="28"/>
      <c r="BP93" s="29"/>
      <c r="BR93" s="25"/>
      <c r="BS93" s="26"/>
      <c r="BT93" s="27"/>
      <c r="BU93" s="28"/>
      <c r="BV93" s="29"/>
      <c r="BX93" s="25"/>
      <c r="BY93" s="26"/>
      <c r="BZ93" s="27"/>
      <c r="CA93" s="28"/>
      <c r="CB93" s="29"/>
      <c r="CD93" s="25"/>
      <c r="CE93" s="26"/>
      <c r="CF93" s="27"/>
      <c r="CG93" s="28"/>
      <c r="CH93" s="29"/>
      <c r="CJ93" s="25"/>
      <c r="CK93" s="26"/>
      <c r="CL93" s="27"/>
      <c r="CM93" s="28"/>
      <c r="CN93" s="29"/>
      <c r="CP93" s="25"/>
      <c r="CQ93" s="26"/>
      <c r="CR93" s="27"/>
      <c r="CS93" s="28"/>
      <c r="CT93" s="29"/>
      <c r="CV93" s="25"/>
      <c r="CW93" s="26"/>
      <c r="CX93" s="27"/>
      <c r="CY93" s="28"/>
      <c r="CZ93" s="29"/>
      <c r="DA93" s="79">
        <f t="shared" si="13"/>
        <v>0</v>
      </c>
      <c r="DB93" s="80" t="e">
        <f>DA93*#REF!</f>
        <v>#REF!</v>
      </c>
      <c r="DC93" s="81" t="e">
        <f>DA93*#REF!</f>
        <v>#REF!</v>
      </c>
      <c r="DE93" s="25"/>
      <c r="DF93" s="26"/>
      <c r="DG93" s="27"/>
      <c r="DH93" s="28"/>
      <c r="DI93" s="29"/>
      <c r="DJ93" s="79">
        <f t="shared" si="14"/>
        <v>0</v>
      </c>
      <c r="DK93" s="80" t="e">
        <f>DJ93*#REF!</f>
        <v>#REF!</v>
      </c>
      <c r="DL93" s="81" t="e">
        <f>DJ93*#REF!</f>
        <v>#REF!</v>
      </c>
      <c r="DN93" s="25"/>
      <c r="DO93" s="26"/>
      <c r="DP93" s="27"/>
      <c r="DQ93" s="28"/>
      <c r="DR93" s="29"/>
      <c r="DS93" s="79">
        <f t="shared" si="15"/>
        <v>0</v>
      </c>
      <c r="DT93" s="80" t="e">
        <f>DS93*#REF!</f>
        <v>#REF!</v>
      </c>
      <c r="DU93" s="81" t="e">
        <f>DS93*#REF!</f>
        <v>#REF!</v>
      </c>
      <c r="DW93" s="25"/>
      <c r="DX93" s="26"/>
      <c r="DY93" s="27"/>
      <c r="DZ93" s="28"/>
      <c r="EA93" s="29"/>
      <c r="EB93" s="79">
        <f t="shared" si="16"/>
        <v>0</v>
      </c>
      <c r="EC93" s="80" t="e">
        <f>EB93*#REF!</f>
        <v>#REF!</v>
      </c>
      <c r="ED93" s="81" t="e">
        <f>EB93*#REF!</f>
        <v>#REF!</v>
      </c>
      <c r="EF93" s="25"/>
      <c r="EG93" s="26"/>
      <c r="EH93" s="27"/>
      <c r="EI93" s="28"/>
      <c r="EJ93" s="29"/>
      <c r="EK93" s="79">
        <f t="shared" si="17"/>
        <v>0</v>
      </c>
      <c r="EL93" s="80" t="e">
        <f>EK93*#REF!</f>
        <v>#REF!</v>
      </c>
      <c r="EM93" s="81" t="e">
        <f>EK93*#REF!</f>
        <v>#REF!</v>
      </c>
      <c r="EO93" s="25"/>
      <c r="EP93" s="26"/>
      <c r="EQ93" s="27"/>
      <c r="ER93" s="28"/>
      <c r="ES93" s="29"/>
      <c r="ET93" s="79">
        <f t="shared" si="18"/>
        <v>0</v>
      </c>
      <c r="EU93" s="80" t="e">
        <f>ET93*#REF!</f>
        <v>#REF!</v>
      </c>
      <c r="EV93" s="81" t="e">
        <f>ET93*#REF!</f>
        <v>#REF!</v>
      </c>
      <c r="EX93" s="25"/>
      <c r="EY93" s="26"/>
      <c r="EZ93" s="27"/>
      <c r="FA93" s="28"/>
      <c r="FB93" s="29"/>
      <c r="FC93" s="79">
        <f t="shared" si="19"/>
        <v>0</v>
      </c>
      <c r="FD93" s="80" t="e">
        <f>FC93*#REF!</f>
        <v>#REF!</v>
      </c>
      <c r="FE93" s="81" t="e">
        <f>FC93*#REF!</f>
        <v>#REF!</v>
      </c>
      <c r="FG93" s="25"/>
      <c r="FH93" s="26"/>
      <c r="FI93" s="27"/>
      <c r="FJ93" s="28"/>
      <c r="FK93" s="29"/>
      <c r="FL93" s="79">
        <f t="shared" si="20"/>
        <v>0</v>
      </c>
      <c r="FM93" s="80" t="e">
        <f>FL93*#REF!</f>
        <v>#REF!</v>
      </c>
      <c r="FN93" s="81" t="e">
        <f>FL93*#REF!</f>
        <v>#REF!</v>
      </c>
      <c r="FP93" s="25"/>
      <c r="FQ93" s="26"/>
      <c r="FR93" s="27"/>
      <c r="FS93" s="28"/>
      <c r="FT93" s="29"/>
      <c r="FU93" s="79">
        <f t="shared" si="21"/>
        <v>0</v>
      </c>
      <c r="FV93" s="80" t="e">
        <f>FU93*#REF!</f>
        <v>#REF!</v>
      </c>
      <c r="FW93" s="81" t="e">
        <f>FU93*#REF!</f>
        <v>#REF!</v>
      </c>
      <c r="FY93" s="25"/>
      <c r="FZ93" s="26"/>
      <c r="GA93" s="27"/>
      <c r="GB93" s="28"/>
      <c r="GC93" s="29"/>
      <c r="GD93" s="79">
        <f t="shared" si="22"/>
        <v>0</v>
      </c>
      <c r="GE93" s="80" t="e">
        <f>GD93*#REF!</f>
        <v>#REF!</v>
      </c>
      <c r="GF93" s="81" t="e">
        <f>GD93*#REF!</f>
        <v>#REF!</v>
      </c>
      <c r="GH93" s="25"/>
      <c r="GI93" s="26"/>
      <c r="GJ93" s="27"/>
      <c r="GK93" s="28"/>
      <c r="GL93" s="29"/>
      <c r="GM93" s="79">
        <f t="shared" si="23"/>
        <v>0</v>
      </c>
      <c r="GN93" s="80" t="e">
        <f>GM93*#REF!</f>
        <v>#REF!</v>
      </c>
      <c r="GO93" s="81" t="e">
        <f>GM93*#REF!</f>
        <v>#REF!</v>
      </c>
      <c r="GQ93" s="82">
        <f t="shared" si="24"/>
        <v>0</v>
      </c>
      <c r="GR93" s="83">
        <v>0</v>
      </c>
    </row>
    <row r="94" spans="2:200" ht="15">
      <c r="B94" s="22" t="s">
        <v>112</v>
      </c>
      <c r="C94" s="23" t="s">
        <v>90</v>
      </c>
      <c r="D94" s="24" t="str">
        <f>IF(C94="","",_xlfn.XLOOKUP(C94,'[1]Control Sheet'!$L$5:$L$104,'[1]Control Sheet'!$M$5:$M$104,"",0))</f>
        <v xml:space="preserve">Host </v>
      </c>
      <c r="E94" s="24" t="str">
        <f>IF(B94="","",_xlfn.XLOOKUP(B94,'[1]Control Sheet'!$D$5:$D$64,'[1]Control Sheet'!$F$5:$F$64,"",0))</f>
        <v>Retail</v>
      </c>
      <c r="F94" s="24" t="str">
        <f>IF(B94="","",_xlfn.XLOOKUP(B94,'[1]Control Sheet'!$D$5:$D$64,'[1]Control Sheet'!$E$5:$E$64,"",0))</f>
        <v>C1150-N</v>
      </c>
      <c r="I94" s="25">
        <v>0.45833333333333331</v>
      </c>
      <c r="J94" s="26">
        <v>0.625</v>
      </c>
      <c r="K94" s="27">
        <v>0</v>
      </c>
      <c r="L94" s="28">
        <v>2</v>
      </c>
      <c r="M94" s="29">
        <v>1</v>
      </c>
      <c r="P94" s="25">
        <v>0.45833333333333331</v>
      </c>
      <c r="Q94" s="26">
        <v>0.625</v>
      </c>
      <c r="R94" s="27">
        <v>0</v>
      </c>
      <c r="S94" s="28">
        <v>2</v>
      </c>
      <c r="T94" s="29">
        <v>1</v>
      </c>
      <c r="V94" s="25">
        <v>0.45833333333333331</v>
      </c>
      <c r="W94" s="26">
        <v>0.625</v>
      </c>
      <c r="X94" s="27">
        <v>0</v>
      </c>
      <c r="Y94" s="28">
        <v>2</v>
      </c>
      <c r="Z94" s="29">
        <v>1</v>
      </c>
      <c r="AB94" s="25">
        <v>0.45833333333333331</v>
      </c>
      <c r="AC94" s="26">
        <v>0.625</v>
      </c>
      <c r="AD94" s="27">
        <v>0</v>
      </c>
      <c r="AE94" s="28">
        <v>2</v>
      </c>
      <c r="AF94" s="29">
        <v>1</v>
      </c>
      <c r="AH94" s="25">
        <v>0.45833333333333331</v>
      </c>
      <c r="AI94" s="26">
        <v>0.625</v>
      </c>
      <c r="AJ94" s="27">
        <v>0</v>
      </c>
      <c r="AK94" s="28">
        <v>2</v>
      </c>
      <c r="AL94" s="29">
        <v>1</v>
      </c>
      <c r="AN94" s="25">
        <v>0.45833333333333331</v>
      </c>
      <c r="AO94" s="26">
        <v>0.625</v>
      </c>
      <c r="AP94" s="27">
        <v>0</v>
      </c>
      <c r="AQ94" s="28">
        <v>4</v>
      </c>
      <c r="AR94" s="29">
        <v>1</v>
      </c>
      <c r="AT94" s="25">
        <v>0.45833333333333331</v>
      </c>
      <c r="AU94" s="26">
        <v>0.625</v>
      </c>
      <c r="AV94" s="27">
        <v>0</v>
      </c>
      <c r="AW94" s="28">
        <v>4</v>
      </c>
      <c r="AX94" s="29">
        <v>1</v>
      </c>
      <c r="AZ94" s="25">
        <v>0.45833333333333331</v>
      </c>
      <c r="BA94" s="26">
        <v>0.625</v>
      </c>
      <c r="BB94" s="27">
        <v>0</v>
      </c>
      <c r="BC94" s="28">
        <v>4</v>
      </c>
      <c r="BD94" s="29">
        <v>1</v>
      </c>
      <c r="BF94" s="25">
        <v>0.45833333333333331</v>
      </c>
      <c r="BG94" s="26">
        <v>0.625</v>
      </c>
      <c r="BH94" s="27">
        <v>0</v>
      </c>
      <c r="BI94" s="28">
        <v>4</v>
      </c>
      <c r="BJ94" s="29">
        <v>1</v>
      </c>
      <c r="BL94" s="25">
        <v>0.45833333333333331</v>
      </c>
      <c r="BM94" s="26">
        <v>0.625</v>
      </c>
      <c r="BN94" s="27">
        <v>0</v>
      </c>
      <c r="BO94" s="28">
        <v>2</v>
      </c>
      <c r="BP94" s="29">
        <v>1</v>
      </c>
      <c r="BR94" s="25">
        <v>0.45833333333333331</v>
      </c>
      <c r="BS94" s="26">
        <v>0.625</v>
      </c>
      <c r="BT94" s="27">
        <v>0</v>
      </c>
      <c r="BU94" s="28">
        <v>2</v>
      </c>
      <c r="BV94" s="29">
        <v>1</v>
      </c>
      <c r="BX94" s="25">
        <v>0.45833333333333331</v>
      </c>
      <c r="BY94" s="26">
        <v>0.625</v>
      </c>
      <c r="BZ94" s="27">
        <v>0</v>
      </c>
      <c r="CA94" s="28">
        <v>2</v>
      </c>
      <c r="CB94" s="29">
        <v>1</v>
      </c>
      <c r="CD94" s="25">
        <v>0.45833333333333331</v>
      </c>
      <c r="CE94" s="26">
        <v>0.625</v>
      </c>
      <c r="CF94" s="27">
        <v>0</v>
      </c>
      <c r="CG94" s="28">
        <v>2</v>
      </c>
      <c r="CH94" s="29">
        <v>1</v>
      </c>
      <c r="CJ94" s="25">
        <v>0.45833333333333331</v>
      </c>
      <c r="CK94" s="26">
        <v>0.625</v>
      </c>
      <c r="CL94" s="27">
        <v>0</v>
      </c>
      <c r="CM94" s="28">
        <v>2</v>
      </c>
      <c r="CN94" s="29">
        <v>1</v>
      </c>
      <c r="CP94" s="25"/>
      <c r="CQ94" s="26"/>
      <c r="CR94" s="27"/>
      <c r="CS94" s="28"/>
      <c r="CT94" s="29"/>
      <c r="CV94" s="25"/>
      <c r="CW94" s="26"/>
      <c r="CX94" s="27"/>
      <c r="CY94" s="28"/>
      <c r="CZ94" s="29"/>
      <c r="DA94" s="79">
        <f t="shared" si="13"/>
        <v>0</v>
      </c>
      <c r="DB94" s="80" t="e">
        <f>DA94*#REF!</f>
        <v>#REF!</v>
      </c>
      <c r="DC94" s="81" t="e">
        <f>DA94*#REF!</f>
        <v>#REF!</v>
      </c>
      <c r="DE94" s="25"/>
      <c r="DF94" s="26"/>
      <c r="DG94" s="27"/>
      <c r="DH94" s="28"/>
      <c r="DI94" s="29"/>
      <c r="DJ94" s="79">
        <f t="shared" si="14"/>
        <v>0</v>
      </c>
      <c r="DK94" s="80" t="e">
        <f>DJ94*#REF!</f>
        <v>#REF!</v>
      </c>
      <c r="DL94" s="81" t="e">
        <f>DJ94*#REF!</f>
        <v>#REF!</v>
      </c>
      <c r="DN94" s="25"/>
      <c r="DO94" s="26"/>
      <c r="DP94" s="27"/>
      <c r="DQ94" s="28"/>
      <c r="DR94" s="29"/>
      <c r="DS94" s="79">
        <f t="shared" si="15"/>
        <v>0</v>
      </c>
      <c r="DT94" s="80" t="e">
        <f>DS94*#REF!</f>
        <v>#REF!</v>
      </c>
      <c r="DU94" s="81" t="e">
        <f>DS94*#REF!</f>
        <v>#REF!</v>
      </c>
      <c r="DW94" s="25"/>
      <c r="DX94" s="26"/>
      <c r="DY94" s="27"/>
      <c r="DZ94" s="28"/>
      <c r="EA94" s="29"/>
      <c r="EB94" s="79">
        <f t="shared" si="16"/>
        <v>0</v>
      </c>
      <c r="EC94" s="80" t="e">
        <f>EB94*#REF!</f>
        <v>#REF!</v>
      </c>
      <c r="ED94" s="81" t="e">
        <f>EB94*#REF!</f>
        <v>#REF!</v>
      </c>
      <c r="EF94" s="25"/>
      <c r="EG94" s="26"/>
      <c r="EH94" s="27"/>
      <c r="EI94" s="28"/>
      <c r="EJ94" s="29"/>
      <c r="EK94" s="79">
        <f t="shared" si="17"/>
        <v>0</v>
      </c>
      <c r="EL94" s="80" t="e">
        <f>EK94*#REF!</f>
        <v>#REF!</v>
      </c>
      <c r="EM94" s="81" t="e">
        <f>EK94*#REF!</f>
        <v>#REF!</v>
      </c>
      <c r="EO94" s="25"/>
      <c r="EP94" s="26"/>
      <c r="EQ94" s="27"/>
      <c r="ER94" s="28"/>
      <c r="ES94" s="29"/>
      <c r="ET94" s="79">
        <f t="shared" si="18"/>
        <v>0</v>
      </c>
      <c r="EU94" s="80" t="e">
        <f>ET94*#REF!</f>
        <v>#REF!</v>
      </c>
      <c r="EV94" s="81" t="e">
        <f>ET94*#REF!</f>
        <v>#REF!</v>
      </c>
      <c r="EX94" s="25"/>
      <c r="EY94" s="26"/>
      <c r="EZ94" s="27"/>
      <c r="FA94" s="28"/>
      <c r="FB94" s="29"/>
      <c r="FC94" s="79">
        <f t="shared" si="19"/>
        <v>0</v>
      </c>
      <c r="FD94" s="80" t="e">
        <f>FC94*#REF!</f>
        <v>#REF!</v>
      </c>
      <c r="FE94" s="81" t="e">
        <f>FC94*#REF!</f>
        <v>#REF!</v>
      </c>
      <c r="FG94" s="25"/>
      <c r="FH94" s="26"/>
      <c r="FI94" s="27"/>
      <c r="FJ94" s="28"/>
      <c r="FK94" s="29"/>
      <c r="FL94" s="79">
        <f t="shared" si="20"/>
        <v>0</v>
      </c>
      <c r="FM94" s="80" t="e">
        <f>FL94*#REF!</f>
        <v>#REF!</v>
      </c>
      <c r="FN94" s="81" t="e">
        <f>FL94*#REF!</f>
        <v>#REF!</v>
      </c>
      <c r="FP94" s="25"/>
      <c r="FQ94" s="26"/>
      <c r="FR94" s="27"/>
      <c r="FS94" s="28"/>
      <c r="FT94" s="29"/>
      <c r="FU94" s="79">
        <f t="shared" si="21"/>
        <v>0</v>
      </c>
      <c r="FV94" s="80" t="e">
        <f>FU94*#REF!</f>
        <v>#REF!</v>
      </c>
      <c r="FW94" s="81" t="e">
        <f>FU94*#REF!</f>
        <v>#REF!</v>
      </c>
      <c r="FY94" s="25"/>
      <c r="FZ94" s="26"/>
      <c r="GA94" s="27"/>
      <c r="GB94" s="28"/>
      <c r="GC94" s="29"/>
      <c r="GD94" s="79">
        <f t="shared" si="22"/>
        <v>0</v>
      </c>
      <c r="GE94" s="80" t="e">
        <f>GD94*#REF!</f>
        <v>#REF!</v>
      </c>
      <c r="GF94" s="81" t="e">
        <f>GD94*#REF!</f>
        <v>#REF!</v>
      </c>
      <c r="GH94" s="25"/>
      <c r="GI94" s="26"/>
      <c r="GJ94" s="27"/>
      <c r="GK94" s="28"/>
      <c r="GL94" s="29"/>
      <c r="GM94" s="79">
        <f t="shared" si="23"/>
        <v>0</v>
      </c>
      <c r="GN94" s="80" t="e">
        <f>GM94*#REF!</f>
        <v>#REF!</v>
      </c>
      <c r="GO94" s="81" t="e">
        <f>GM94*#REF!</f>
        <v>#REF!</v>
      </c>
      <c r="GQ94" s="82">
        <f t="shared" si="24"/>
        <v>4</v>
      </c>
      <c r="GR94" s="83">
        <v>4</v>
      </c>
    </row>
    <row r="95" spans="2:200" ht="15">
      <c r="B95" s="22"/>
      <c r="C95" s="23"/>
      <c r="D95" s="24" t="str">
        <f>IF(C95="","",_xlfn.XLOOKUP(C95,'[1]Control Sheet'!$L$5:$L$104,'[1]Control Sheet'!$M$5:$M$104,"",0))</f>
        <v/>
      </c>
      <c r="E95" s="24" t="str">
        <f>IF(B95="","",_xlfn.XLOOKUP(B95,'[1]Control Sheet'!$D$5:$D$64,'[1]Control Sheet'!$F$5:$F$64,"",0))</f>
        <v/>
      </c>
      <c r="F95" s="24" t="str">
        <f>IF(B95="","",_xlfn.XLOOKUP(B95,'[1]Control Sheet'!$D$5:$D$64,'[1]Control Sheet'!$E$5:$E$64,"",0))</f>
        <v/>
      </c>
      <c r="I95" s="25"/>
      <c r="J95" s="26"/>
      <c r="K95" s="27"/>
      <c r="L95" s="28"/>
      <c r="M95" s="29"/>
      <c r="P95" s="25"/>
      <c r="Q95" s="26"/>
      <c r="R95" s="27"/>
      <c r="S95" s="28"/>
      <c r="T95" s="29"/>
      <c r="V95" s="25"/>
      <c r="W95" s="26"/>
      <c r="X95" s="27"/>
      <c r="Y95" s="28"/>
      <c r="Z95" s="29"/>
      <c r="AB95" s="25"/>
      <c r="AC95" s="26"/>
      <c r="AD95" s="27"/>
      <c r="AE95" s="28"/>
      <c r="AF95" s="29"/>
      <c r="AH95" s="25"/>
      <c r="AI95" s="26"/>
      <c r="AJ95" s="27"/>
      <c r="AK95" s="28"/>
      <c r="AL95" s="29"/>
      <c r="AN95" s="25"/>
      <c r="AO95" s="26"/>
      <c r="AP95" s="27"/>
      <c r="AQ95" s="28"/>
      <c r="AR95" s="29"/>
      <c r="AT95" s="25"/>
      <c r="AU95" s="26"/>
      <c r="AV95" s="27"/>
      <c r="AW95" s="28"/>
      <c r="AX95" s="29"/>
      <c r="AZ95" s="25"/>
      <c r="BA95" s="26"/>
      <c r="BB95" s="27"/>
      <c r="BC95" s="28"/>
      <c r="BD95" s="29"/>
      <c r="BF95" s="25"/>
      <c r="BG95" s="26"/>
      <c r="BH95" s="27"/>
      <c r="BI95" s="28"/>
      <c r="BJ95" s="29"/>
      <c r="BL95" s="25"/>
      <c r="BM95" s="26"/>
      <c r="BN95" s="27"/>
      <c r="BO95" s="28"/>
      <c r="BP95" s="29"/>
      <c r="BR95" s="25"/>
      <c r="BS95" s="26"/>
      <c r="BT95" s="27"/>
      <c r="BU95" s="28"/>
      <c r="BV95" s="29"/>
      <c r="BX95" s="25"/>
      <c r="BY95" s="26"/>
      <c r="BZ95" s="27"/>
      <c r="CA95" s="28"/>
      <c r="CB95" s="29"/>
      <c r="CD95" s="25"/>
      <c r="CE95" s="26"/>
      <c r="CF95" s="27"/>
      <c r="CG95" s="28"/>
      <c r="CH95" s="29"/>
      <c r="CJ95" s="25"/>
      <c r="CK95" s="26"/>
      <c r="CL95" s="27"/>
      <c r="CM95" s="28"/>
      <c r="CN95" s="29"/>
      <c r="CP95" s="25"/>
      <c r="CQ95" s="26"/>
      <c r="CR95" s="27"/>
      <c r="CS95" s="28"/>
      <c r="CT95" s="29"/>
      <c r="CV95" s="25"/>
      <c r="CW95" s="26"/>
      <c r="CX95" s="27"/>
      <c r="CY95" s="28"/>
      <c r="CZ95" s="29"/>
      <c r="DA95" s="79">
        <f t="shared" si="13"/>
        <v>0</v>
      </c>
      <c r="DB95" s="80" t="e">
        <f>DA95*#REF!</f>
        <v>#REF!</v>
      </c>
      <c r="DC95" s="81" t="e">
        <f>DA95*#REF!</f>
        <v>#REF!</v>
      </c>
      <c r="DE95" s="25"/>
      <c r="DF95" s="26"/>
      <c r="DG95" s="27"/>
      <c r="DH95" s="28"/>
      <c r="DI95" s="29"/>
      <c r="DJ95" s="79">
        <f t="shared" si="14"/>
        <v>0</v>
      </c>
      <c r="DK95" s="80" t="e">
        <f>DJ95*#REF!</f>
        <v>#REF!</v>
      </c>
      <c r="DL95" s="81" t="e">
        <f>DJ95*#REF!</f>
        <v>#REF!</v>
      </c>
      <c r="DN95" s="25"/>
      <c r="DO95" s="26"/>
      <c r="DP95" s="27"/>
      <c r="DQ95" s="28"/>
      <c r="DR95" s="29"/>
      <c r="DS95" s="79">
        <f t="shared" si="15"/>
        <v>0</v>
      </c>
      <c r="DT95" s="80" t="e">
        <f>DS95*#REF!</f>
        <v>#REF!</v>
      </c>
      <c r="DU95" s="81" t="e">
        <f>DS95*#REF!</f>
        <v>#REF!</v>
      </c>
      <c r="DW95" s="25"/>
      <c r="DX95" s="26"/>
      <c r="DY95" s="27"/>
      <c r="DZ95" s="28"/>
      <c r="EA95" s="29"/>
      <c r="EB95" s="79">
        <f t="shared" si="16"/>
        <v>0</v>
      </c>
      <c r="EC95" s="80" t="e">
        <f>EB95*#REF!</f>
        <v>#REF!</v>
      </c>
      <c r="ED95" s="81" t="e">
        <f>EB95*#REF!</f>
        <v>#REF!</v>
      </c>
      <c r="EF95" s="25"/>
      <c r="EG95" s="26"/>
      <c r="EH95" s="27"/>
      <c r="EI95" s="28"/>
      <c r="EJ95" s="29"/>
      <c r="EK95" s="79">
        <f t="shared" si="17"/>
        <v>0</v>
      </c>
      <c r="EL95" s="80" t="e">
        <f>EK95*#REF!</f>
        <v>#REF!</v>
      </c>
      <c r="EM95" s="81" t="e">
        <f>EK95*#REF!</f>
        <v>#REF!</v>
      </c>
      <c r="EO95" s="25"/>
      <c r="EP95" s="26"/>
      <c r="EQ95" s="27"/>
      <c r="ER95" s="28"/>
      <c r="ES95" s="29"/>
      <c r="ET95" s="79">
        <f t="shared" si="18"/>
        <v>0</v>
      </c>
      <c r="EU95" s="80" t="e">
        <f>ET95*#REF!</f>
        <v>#REF!</v>
      </c>
      <c r="EV95" s="81" t="e">
        <f>ET95*#REF!</f>
        <v>#REF!</v>
      </c>
      <c r="EX95" s="25"/>
      <c r="EY95" s="26"/>
      <c r="EZ95" s="27"/>
      <c r="FA95" s="28"/>
      <c r="FB95" s="29"/>
      <c r="FC95" s="79">
        <f t="shared" si="19"/>
        <v>0</v>
      </c>
      <c r="FD95" s="80" t="e">
        <f>FC95*#REF!</f>
        <v>#REF!</v>
      </c>
      <c r="FE95" s="81" t="e">
        <f>FC95*#REF!</f>
        <v>#REF!</v>
      </c>
      <c r="FG95" s="25"/>
      <c r="FH95" s="26"/>
      <c r="FI95" s="27"/>
      <c r="FJ95" s="28"/>
      <c r="FK95" s="29"/>
      <c r="FL95" s="79">
        <f t="shared" si="20"/>
        <v>0</v>
      </c>
      <c r="FM95" s="80" t="e">
        <f>FL95*#REF!</f>
        <v>#REF!</v>
      </c>
      <c r="FN95" s="81" t="e">
        <f>FL95*#REF!</f>
        <v>#REF!</v>
      </c>
      <c r="FP95" s="25"/>
      <c r="FQ95" s="26"/>
      <c r="FR95" s="27"/>
      <c r="FS95" s="28"/>
      <c r="FT95" s="29"/>
      <c r="FU95" s="79">
        <f t="shared" si="21"/>
        <v>0</v>
      </c>
      <c r="FV95" s="80" t="e">
        <f>FU95*#REF!</f>
        <v>#REF!</v>
      </c>
      <c r="FW95" s="81" t="e">
        <f>FU95*#REF!</f>
        <v>#REF!</v>
      </c>
      <c r="FY95" s="25"/>
      <c r="FZ95" s="26"/>
      <c r="GA95" s="27"/>
      <c r="GB95" s="28"/>
      <c r="GC95" s="29"/>
      <c r="GD95" s="79">
        <f t="shared" si="22"/>
        <v>0</v>
      </c>
      <c r="GE95" s="80" t="e">
        <f>GD95*#REF!</f>
        <v>#REF!</v>
      </c>
      <c r="GF95" s="81" t="e">
        <f>GD95*#REF!</f>
        <v>#REF!</v>
      </c>
      <c r="GH95" s="25"/>
      <c r="GI95" s="26"/>
      <c r="GJ95" s="27"/>
      <c r="GK95" s="28"/>
      <c r="GL95" s="29"/>
      <c r="GM95" s="79">
        <f t="shared" si="23"/>
        <v>0</v>
      </c>
      <c r="GN95" s="80" t="e">
        <f>GM95*#REF!</f>
        <v>#REF!</v>
      </c>
      <c r="GO95" s="81" t="e">
        <f>GM95*#REF!</f>
        <v>#REF!</v>
      </c>
      <c r="GQ95" s="82">
        <f t="shared" si="24"/>
        <v>0</v>
      </c>
      <c r="GR95" s="83">
        <v>0</v>
      </c>
    </row>
    <row r="96" spans="2:200" ht="15">
      <c r="B96" s="22"/>
      <c r="C96" s="23"/>
      <c r="D96" s="24" t="str">
        <f>IF(C96="","",_xlfn.XLOOKUP(C96,'[1]Control Sheet'!$L$5:$L$104,'[1]Control Sheet'!$M$5:$M$104,"",0))</f>
        <v/>
      </c>
      <c r="E96" s="24" t="str">
        <f>IF(B96="","",_xlfn.XLOOKUP(B96,'[1]Control Sheet'!$D$5:$D$64,'[1]Control Sheet'!$F$5:$F$64,"",0))</f>
        <v/>
      </c>
      <c r="F96" s="24" t="str">
        <f>IF(B96="","",_xlfn.XLOOKUP(B96,'[1]Control Sheet'!$D$5:$D$64,'[1]Control Sheet'!$E$5:$E$64,"",0))</f>
        <v/>
      </c>
      <c r="I96" s="25"/>
      <c r="J96" s="26"/>
      <c r="K96" s="27"/>
      <c r="L96" s="28"/>
      <c r="M96" s="29"/>
      <c r="P96" s="25"/>
      <c r="Q96" s="26"/>
      <c r="R96" s="27"/>
      <c r="S96" s="28"/>
      <c r="T96" s="29"/>
      <c r="V96" s="25"/>
      <c r="W96" s="26"/>
      <c r="X96" s="27"/>
      <c r="Y96" s="28"/>
      <c r="Z96" s="29"/>
      <c r="AB96" s="25"/>
      <c r="AC96" s="26"/>
      <c r="AD96" s="27"/>
      <c r="AE96" s="28"/>
      <c r="AF96" s="29"/>
      <c r="AH96" s="25"/>
      <c r="AI96" s="26"/>
      <c r="AJ96" s="27"/>
      <c r="AK96" s="28"/>
      <c r="AL96" s="29"/>
      <c r="AN96" s="25"/>
      <c r="AO96" s="26"/>
      <c r="AP96" s="27"/>
      <c r="AQ96" s="28"/>
      <c r="AR96" s="29"/>
      <c r="AT96" s="25"/>
      <c r="AU96" s="26"/>
      <c r="AV96" s="27"/>
      <c r="AW96" s="28"/>
      <c r="AX96" s="29"/>
      <c r="AZ96" s="25"/>
      <c r="BA96" s="26"/>
      <c r="BB96" s="27"/>
      <c r="BC96" s="28"/>
      <c r="BD96" s="29"/>
      <c r="BF96" s="25"/>
      <c r="BG96" s="26"/>
      <c r="BH96" s="27"/>
      <c r="BI96" s="28"/>
      <c r="BJ96" s="29"/>
      <c r="BL96" s="25"/>
      <c r="BM96" s="26"/>
      <c r="BN96" s="27"/>
      <c r="BO96" s="28"/>
      <c r="BP96" s="29"/>
      <c r="BR96" s="25"/>
      <c r="BS96" s="26"/>
      <c r="BT96" s="27"/>
      <c r="BU96" s="28"/>
      <c r="BV96" s="29"/>
      <c r="BX96" s="25"/>
      <c r="BY96" s="26"/>
      <c r="BZ96" s="27"/>
      <c r="CA96" s="28"/>
      <c r="CB96" s="29"/>
      <c r="CD96" s="25"/>
      <c r="CE96" s="26"/>
      <c r="CF96" s="27"/>
      <c r="CG96" s="28"/>
      <c r="CH96" s="29"/>
      <c r="CJ96" s="25"/>
      <c r="CK96" s="26"/>
      <c r="CL96" s="27"/>
      <c r="CM96" s="28"/>
      <c r="CN96" s="29"/>
      <c r="CP96" s="25"/>
      <c r="CQ96" s="26"/>
      <c r="CR96" s="27"/>
      <c r="CS96" s="28"/>
      <c r="CT96" s="29"/>
      <c r="CV96" s="25"/>
      <c r="CW96" s="26"/>
      <c r="CX96" s="27"/>
      <c r="CY96" s="28"/>
      <c r="CZ96" s="29"/>
      <c r="DA96" s="79">
        <f t="shared" si="13"/>
        <v>0</v>
      </c>
      <c r="DB96" s="80" t="e">
        <f>DA96*#REF!</f>
        <v>#REF!</v>
      </c>
      <c r="DC96" s="81" t="e">
        <f>DA96*#REF!</f>
        <v>#REF!</v>
      </c>
      <c r="DE96" s="25"/>
      <c r="DF96" s="26"/>
      <c r="DG96" s="27"/>
      <c r="DH96" s="28"/>
      <c r="DI96" s="29"/>
      <c r="DJ96" s="79">
        <f t="shared" si="14"/>
        <v>0</v>
      </c>
      <c r="DK96" s="80" t="e">
        <f>DJ96*#REF!</f>
        <v>#REF!</v>
      </c>
      <c r="DL96" s="81" t="e">
        <f>DJ96*#REF!</f>
        <v>#REF!</v>
      </c>
      <c r="DN96" s="25"/>
      <c r="DO96" s="26"/>
      <c r="DP96" s="27"/>
      <c r="DQ96" s="28"/>
      <c r="DR96" s="29"/>
      <c r="DS96" s="79">
        <f t="shared" si="15"/>
        <v>0</v>
      </c>
      <c r="DT96" s="80" t="e">
        <f>DS96*#REF!</f>
        <v>#REF!</v>
      </c>
      <c r="DU96" s="81" t="e">
        <f>DS96*#REF!</f>
        <v>#REF!</v>
      </c>
      <c r="DW96" s="25"/>
      <c r="DX96" s="26"/>
      <c r="DY96" s="27"/>
      <c r="DZ96" s="28"/>
      <c r="EA96" s="29"/>
      <c r="EB96" s="79">
        <f t="shared" si="16"/>
        <v>0</v>
      </c>
      <c r="EC96" s="80" t="e">
        <f>EB96*#REF!</f>
        <v>#REF!</v>
      </c>
      <c r="ED96" s="81" t="e">
        <f>EB96*#REF!</f>
        <v>#REF!</v>
      </c>
      <c r="EF96" s="25"/>
      <c r="EG96" s="26"/>
      <c r="EH96" s="27"/>
      <c r="EI96" s="28"/>
      <c r="EJ96" s="29"/>
      <c r="EK96" s="79">
        <f t="shared" si="17"/>
        <v>0</v>
      </c>
      <c r="EL96" s="80" t="e">
        <f>EK96*#REF!</f>
        <v>#REF!</v>
      </c>
      <c r="EM96" s="81" t="e">
        <f>EK96*#REF!</f>
        <v>#REF!</v>
      </c>
      <c r="EO96" s="25"/>
      <c r="EP96" s="26"/>
      <c r="EQ96" s="27"/>
      <c r="ER96" s="28"/>
      <c r="ES96" s="29"/>
      <c r="ET96" s="79">
        <f t="shared" si="18"/>
        <v>0</v>
      </c>
      <c r="EU96" s="80" t="e">
        <f>ET96*#REF!</f>
        <v>#REF!</v>
      </c>
      <c r="EV96" s="81" t="e">
        <f>ET96*#REF!</f>
        <v>#REF!</v>
      </c>
      <c r="EX96" s="25"/>
      <c r="EY96" s="26"/>
      <c r="EZ96" s="27"/>
      <c r="FA96" s="28"/>
      <c r="FB96" s="29"/>
      <c r="FC96" s="79">
        <f t="shared" si="19"/>
        <v>0</v>
      </c>
      <c r="FD96" s="80" t="e">
        <f>FC96*#REF!</f>
        <v>#REF!</v>
      </c>
      <c r="FE96" s="81" t="e">
        <f>FC96*#REF!</f>
        <v>#REF!</v>
      </c>
      <c r="FG96" s="25"/>
      <c r="FH96" s="26"/>
      <c r="FI96" s="27"/>
      <c r="FJ96" s="28"/>
      <c r="FK96" s="29"/>
      <c r="FL96" s="79">
        <f t="shared" si="20"/>
        <v>0</v>
      </c>
      <c r="FM96" s="80" t="e">
        <f>FL96*#REF!</f>
        <v>#REF!</v>
      </c>
      <c r="FN96" s="81" t="e">
        <f>FL96*#REF!</f>
        <v>#REF!</v>
      </c>
      <c r="FP96" s="25"/>
      <c r="FQ96" s="26"/>
      <c r="FR96" s="27"/>
      <c r="FS96" s="28"/>
      <c r="FT96" s="29"/>
      <c r="FU96" s="79">
        <f t="shared" si="21"/>
        <v>0</v>
      </c>
      <c r="FV96" s="80" t="e">
        <f>FU96*#REF!</f>
        <v>#REF!</v>
      </c>
      <c r="FW96" s="81" t="e">
        <f>FU96*#REF!</f>
        <v>#REF!</v>
      </c>
      <c r="FY96" s="25"/>
      <c r="FZ96" s="26"/>
      <c r="GA96" s="27"/>
      <c r="GB96" s="28"/>
      <c r="GC96" s="29"/>
      <c r="GD96" s="79">
        <f t="shared" si="22"/>
        <v>0</v>
      </c>
      <c r="GE96" s="80" t="e">
        <f>GD96*#REF!</f>
        <v>#REF!</v>
      </c>
      <c r="GF96" s="81" t="e">
        <f>GD96*#REF!</f>
        <v>#REF!</v>
      </c>
      <c r="GH96" s="25"/>
      <c r="GI96" s="26"/>
      <c r="GJ96" s="27"/>
      <c r="GK96" s="28"/>
      <c r="GL96" s="29"/>
      <c r="GM96" s="79">
        <f t="shared" si="23"/>
        <v>0</v>
      </c>
      <c r="GN96" s="80" t="e">
        <f>GM96*#REF!</f>
        <v>#REF!</v>
      </c>
      <c r="GO96" s="81" t="e">
        <f>GM96*#REF!</f>
        <v>#REF!</v>
      </c>
      <c r="GQ96" s="82">
        <f t="shared" si="24"/>
        <v>0</v>
      </c>
      <c r="GR96" s="83">
        <v>0</v>
      </c>
    </row>
    <row r="97" spans="2:200" ht="15">
      <c r="B97" s="22"/>
      <c r="C97" s="23"/>
      <c r="D97" s="24" t="str">
        <f>IF(C97="","",_xlfn.XLOOKUP(C97,'[1]Control Sheet'!$L$5:$L$104,'[1]Control Sheet'!$M$5:$M$104,"",0))</f>
        <v/>
      </c>
      <c r="E97" s="24" t="str">
        <f>IF(B97="","",_xlfn.XLOOKUP(B97,'[1]Control Sheet'!$D$5:$D$64,'[1]Control Sheet'!$F$5:$F$64,"",0))</f>
        <v/>
      </c>
      <c r="F97" s="24" t="str">
        <f>IF(B97="","",_xlfn.XLOOKUP(B97,'[1]Control Sheet'!$D$5:$D$64,'[1]Control Sheet'!$E$5:$E$64,"",0))</f>
        <v/>
      </c>
      <c r="I97" s="25"/>
      <c r="J97" s="26"/>
      <c r="K97" s="27"/>
      <c r="L97" s="28"/>
      <c r="M97" s="29"/>
      <c r="P97" s="25"/>
      <c r="Q97" s="26"/>
      <c r="R97" s="27"/>
      <c r="S97" s="28"/>
      <c r="T97" s="29"/>
      <c r="V97" s="25"/>
      <c r="W97" s="26"/>
      <c r="X97" s="27"/>
      <c r="Y97" s="28"/>
      <c r="Z97" s="29"/>
      <c r="AB97" s="25"/>
      <c r="AC97" s="26"/>
      <c r="AD97" s="27"/>
      <c r="AE97" s="28"/>
      <c r="AF97" s="29"/>
      <c r="AH97" s="25"/>
      <c r="AI97" s="26"/>
      <c r="AJ97" s="27"/>
      <c r="AK97" s="28"/>
      <c r="AL97" s="29"/>
      <c r="AN97" s="25"/>
      <c r="AO97" s="26"/>
      <c r="AP97" s="27"/>
      <c r="AQ97" s="28"/>
      <c r="AR97" s="29"/>
      <c r="AT97" s="25"/>
      <c r="AU97" s="26"/>
      <c r="AV97" s="27"/>
      <c r="AW97" s="28"/>
      <c r="AX97" s="29"/>
      <c r="AZ97" s="25"/>
      <c r="BA97" s="26"/>
      <c r="BB97" s="27"/>
      <c r="BC97" s="28"/>
      <c r="BD97" s="29"/>
      <c r="BF97" s="25"/>
      <c r="BG97" s="26"/>
      <c r="BH97" s="27"/>
      <c r="BI97" s="28"/>
      <c r="BJ97" s="29"/>
      <c r="BL97" s="25"/>
      <c r="BM97" s="26"/>
      <c r="BN97" s="27"/>
      <c r="BO97" s="28"/>
      <c r="BP97" s="29"/>
      <c r="BR97" s="25"/>
      <c r="BS97" s="26"/>
      <c r="BT97" s="27"/>
      <c r="BU97" s="28"/>
      <c r="BV97" s="29"/>
      <c r="BX97" s="25"/>
      <c r="BY97" s="26"/>
      <c r="BZ97" s="27"/>
      <c r="CA97" s="28"/>
      <c r="CB97" s="29"/>
      <c r="CD97" s="25"/>
      <c r="CE97" s="26"/>
      <c r="CF97" s="27"/>
      <c r="CG97" s="28"/>
      <c r="CH97" s="29"/>
      <c r="CJ97" s="25"/>
      <c r="CK97" s="26"/>
      <c r="CL97" s="27"/>
      <c r="CM97" s="28"/>
      <c r="CN97" s="29"/>
      <c r="CP97" s="25"/>
      <c r="CQ97" s="26"/>
      <c r="CR97" s="27"/>
      <c r="CS97" s="28"/>
      <c r="CT97" s="29"/>
      <c r="CV97" s="25"/>
      <c r="CW97" s="26"/>
      <c r="CX97" s="27"/>
      <c r="CY97" s="28"/>
      <c r="CZ97" s="29"/>
      <c r="DA97" s="79">
        <f t="shared" si="13"/>
        <v>0</v>
      </c>
      <c r="DB97" s="80" t="e">
        <f>DA97*#REF!</f>
        <v>#REF!</v>
      </c>
      <c r="DC97" s="81" t="e">
        <f>DA97*#REF!</f>
        <v>#REF!</v>
      </c>
      <c r="DE97" s="25"/>
      <c r="DF97" s="26"/>
      <c r="DG97" s="27"/>
      <c r="DH97" s="28"/>
      <c r="DI97" s="29"/>
      <c r="DJ97" s="79">
        <f t="shared" si="14"/>
        <v>0</v>
      </c>
      <c r="DK97" s="80" t="e">
        <f>DJ97*#REF!</f>
        <v>#REF!</v>
      </c>
      <c r="DL97" s="81" t="e">
        <f>DJ97*#REF!</f>
        <v>#REF!</v>
      </c>
      <c r="DN97" s="25"/>
      <c r="DO97" s="26"/>
      <c r="DP97" s="27"/>
      <c r="DQ97" s="28"/>
      <c r="DR97" s="29"/>
      <c r="DS97" s="79">
        <f t="shared" si="15"/>
        <v>0</v>
      </c>
      <c r="DT97" s="80" t="e">
        <f>DS97*#REF!</f>
        <v>#REF!</v>
      </c>
      <c r="DU97" s="81" t="e">
        <f>DS97*#REF!</f>
        <v>#REF!</v>
      </c>
      <c r="DW97" s="25"/>
      <c r="DX97" s="26"/>
      <c r="DY97" s="27"/>
      <c r="DZ97" s="28"/>
      <c r="EA97" s="29"/>
      <c r="EB97" s="79">
        <f t="shared" si="16"/>
        <v>0</v>
      </c>
      <c r="EC97" s="80" t="e">
        <f>EB97*#REF!</f>
        <v>#REF!</v>
      </c>
      <c r="ED97" s="81" t="e">
        <f>EB97*#REF!</f>
        <v>#REF!</v>
      </c>
      <c r="EF97" s="25"/>
      <c r="EG97" s="26"/>
      <c r="EH97" s="27"/>
      <c r="EI97" s="28"/>
      <c r="EJ97" s="29"/>
      <c r="EK97" s="79">
        <f t="shared" si="17"/>
        <v>0</v>
      </c>
      <c r="EL97" s="80" t="e">
        <f>EK97*#REF!</f>
        <v>#REF!</v>
      </c>
      <c r="EM97" s="81" t="e">
        <f>EK97*#REF!</f>
        <v>#REF!</v>
      </c>
      <c r="EO97" s="25"/>
      <c r="EP97" s="26"/>
      <c r="EQ97" s="27"/>
      <c r="ER97" s="28"/>
      <c r="ES97" s="29"/>
      <c r="ET97" s="79">
        <f t="shared" si="18"/>
        <v>0</v>
      </c>
      <c r="EU97" s="80" t="e">
        <f>ET97*#REF!</f>
        <v>#REF!</v>
      </c>
      <c r="EV97" s="81" t="e">
        <f>ET97*#REF!</f>
        <v>#REF!</v>
      </c>
      <c r="EX97" s="25"/>
      <c r="EY97" s="26"/>
      <c r="EZ97" s="27"/>
      <c r="FA97" s="28"/>
      <c r="FB97" s="29"/>
      <c r="FC97" s="79">
        <f t="shared" si="19"/>
        <v>0</v>
      </c>
      <c r="FD97" s="80" t="e">
        <f>FC97*#REF!</f>
        <v>#REF!</v>
      </c>
      <c r="FE97" s="81" t="e">
        <f>FC97*#REF!</f>
        <v>#REF!</v>
      </c>
      <c r="FG97" s="25"/>
      <c r="FH97" s="26"/>
      <c r="FI97" s="27"/>
      <c r="FJ97" s="28"/>
      <c r="FK97" s="29"/>
      <c r="FL97" s="79">
        <f t="shared" si="20"/>
        <v>0</v>
      </c>
      <c r="FM97" s="80" t="e">
        <f>FL97*#REF!</f>
        <v>#REF!</v>
      </c>
      <c r="FN97" s="81" t="e">
        <f>FL97*#REF!</f>
        <v>#REF!</v>
      </c>
      <c r="FP97" s="25"/>
      <c r="FQ97" s="26"/>
      <c r="FR97" s="27"/>
      <c r="FS97" s="28"/>
      <c r="FT97" s="29"/>
      <c r="FU97" s="79">
        <f t="shared" si="21"/>
        <v>0</v>
      </c>
      <c r="FV97" s="80" t="e">
        <f>FU97*#REF!</f>
        <v>#REF!</v>
      </c>
      <c r="FW97" s="81" t="e">
        <f>FU97*#REF!</f>
        <v>#REF!</v>
      </c>
      <c r="FY97" s="25"/>
      <c r="FZ97" s="26"/>
      <c r="GA97" s="27"/>
      <c r="GB97" s="28"/>
      <c r="GC97" s="29"/>
      <c r="GD97" s="79">
        <f t="shared" si="22"/>
        <v>0</v>
      </c>
      <c r="GE97" s="80" t="e">
        <f>GD97*#REF!</f>
        <v>#REF!</v>
      </c>
      <c r="GF97" s="81" t="e">
        <f>GD97*#REF!</f>
        <v>#REF!</v>
      </c>
      <c r="GH97" s="25"/>
      <c r="GI97" s="26"/>
      <c r="GJ97" s="27"/>
      <c r="GK97" s="28"/>
      <c r="GL97" s="29"/>
      <c r="GM97" s="79">
        <f t="shared" si="23"/>
        <v>0</v>
      </c>
      <c r="GN97" s="80" t="e">
        <f>GM97*#REF!</f>
        <v>#REF!</v>
      </c>
      <c r="GO97" s="81" t="e">
        <f>GM97*#REF!</f>
        <v>#REF!</v>
      </c>
      <c r="GQ97" s="82">
        <f t="shared" si="24"/>
        <v>0</v>
      </c>
      <c r="GR97" s="83">
        <v>0</v>
      </c>
    </row>
    <row r="98" spans="2:200" ht="15">
      <c r="B98" s="22"/>
      <c r="C98" s="23"/>
      <c r="D98" s="24" t="str">
        <f>IF(C98="","",_xlfn.XLOOKUP(C98,'[1]Control Sheet'!$L$5:$L$104,'[1]Control Sheet'!$M$5:$M$104,"",0))</f>
        <v/>
      </c>
      <c r="E98" s="24" t="str">
        <f>IF(B98="","",_xlfn.XLOOKUP(B98,'[1]Control Sheet'!$D$5:$D$64,'[1]Control Sheet'!$F$5:$F$64,"",0))</f>
        <v/>
      </c>
      <c r="F98" s="24" t="str">
        <f>IF(B98="","",_xlfn.XLOOKUP(B98,'[1]Control Sheet'!$D$5:$D$64,'[1]Control Sheet'!$E$5:$E$64,"",0))</f>
        <v/>
      </c>
      <c r="I98" s="25"/>
      <c r="J98" s="26"/>
      <c r="K98" s="27"/>
      <c r="L98" s="28"/>
      <c r="M98" s="29"/>
      <c r="P98" s="25"/>
      <c r="Q98" s="26"/>
      <c r="R98" s="27"/>
      <c r="S98" s="28"/>
      <c r="T98" s="29"/>
      <c r="V98" s="25"/>
      <c r="W98" s="26"/>
      <c r="X98" s="27"/>
      <c r="Y98" s="28"/>
      <c r="Z98" s="29"/>
      <c r="AB98" s="25"/>
      <c r="AC98" s="26"/>
      <c r="AD98" s="27"/>
      <c r="AE98" s="28"/>
      <c r="AF98" s="29"/>
      <c r="AH98" s="25"/>
      <c r="AI98" s="26"/>
      <c r="AJ98" s="27"/>
      <c r="AK98" s="28"/>
      <c r="AL98" s="29"/>
      <c r="AN98" s="25"/>
      <c r="AO98" s="26"/>
      <c r="AP98" s="27"/>
      <c r="AQ98" s="28"/>
      <c r="AR98" s="29"/>
      <c r="AT98" s="25"/>
      <c r="AU98" s="26"/>
      <c r="AV98" s="27"/>
      <c r="AW98" s="28"/>
      <c r="AX98" s="29"/>
      <c r="AZ98" s="25"/>
      <c r="BA98" s="26"/>
      <c r="BB98" s="27"/>
      <c r="BC98" s="28"/>
      <c r="BD98" s="29"/>
      <c r="BF98" s="25"/>
      <c r="BG98" s="26"/>
      <c r="BH98" s="27"/>
      <c r="BI98" s="28"/>
      <c r="BJ98" s="29"/>
      <c r="BL98" s="25"/>
      <c r="BM98" s="26"/>
      <c r="BN98" s="27"/>
      <c r="BO98" s="28"/>
      <c r="BP98" s="29"/>
      <c r="BR98" s="25"/>
      <c r="BS98" s="26"/>
      <c r="BT98" s="27"/>
      <c r="BU98" s="28"/>
      <c r="BV98" s="29"/>
      <c r="BX98" s="25"/>
      <c r="BY98" s="26"/>
      <c r="BZ98" s="27"/>
      <c r="CA98" s="28"/>
      <c r="CB98" s="29"/>
      <c r="CD98" s="25"/>
      <c r="CE98" s="26"/>
      <c r="CF98" s="27"/>
      <c r="CG98" s="28"/>
      <c r="CH98" s="29"/>
      <c r="CJ98" s="25"/>
      <c r="CK98" s="26"/>
      <c r="CL98" s="27"/>
      <c r="CM98" s="28"/>
      <c r="CN98" s="29"/>
      <c r="CP98" s="25"/>
      <c r="CQ98" s="26"/>
      <c r="CR98" s="27"/>
      <c r="CS98" s="28"/>
      <c r="CT98" s="29"/>
      <c r="CV98" s="25"/>
      <c r="CW98" s="26"/>
      <c r="CX98" s="27"/>
      <c r="CY98" s="28"/>
      <c r="CZ98" s="29"/>
      <c r="DA98" s="79">
        <f t="shared" si="13"/>
        <v>0</v>
      </c>
      <c r="DB98" s="80" t="e">
        <f>DA98*#REF!</f>
        <v>#REF!</v>
      </c>
      <c r="DC98" s="81" t="e">
        <f>DA98*#REF!</f>
        <v>#REF!</v>
      </c>
      <c r="DE98" s="25"/>
      <c r="DF98" s="26"/>
      <c r="DG98" s="27"/>
      <c r="DH98" s="28"/>
      <c r="DI98" s="29"/>
      <c r="DJ98" s="79">
        <f t="shared" si="14"/>
        <v>0</v>
      </c>
      <c r="DK98" s="80" t="e">
        <f>DJ98*#REF!</f>
        <v>#REF!</v>
      </c>
      <c r="DL98" s="81" t="e">
        <f>DJ98*#REF!</f>
        <v>#REF!</v>
      </c>
      <c r="DN98" s="25"/>
      <c r="DO98" s="26"/>
      <c r="DP98" s="27"/>
      <c r="DQ98" s="28"/>
      <c r="DR98" s="29"/>
      <c r="DS98" s="79">
        <f t="shared" si="15"/>
        <v>0</v>
      </c>
      <c r="DT98" s="80" t="e">
        <f>DS98*#REF!</f>
        <v>#REF!</v>
      </c>
      <c r="DU98" s="81" t="e">
        <f>DS98*#REF!</f>
        <v>#REF!</v>
      </c>
      <c r="DW98" s="25"/>
      <c r="DX98" s="26"/>
      <c r="DY98" s="27"/>
      <c r="DZ98" s="28"/>
      <c r="EA98" s="29"/>
      <c r="EB98" s="79">
        <f t="shared" si="16"/>
        <v>0</v>
      </c>
      <c r="EC98" s="80" t="e">
        <f>EB98*#REF!</f>
        <v>#REF!</v>
      </c>
      <c r="ED98" s="81" t="e">
        <f>EB98*#REF!</f>
        <v>#REF!</v>
      </c>
      <c r="EF98" s="25"/>
      <c r="EG98" s="26"/>
      <c r="EH98" s="27"/>
      <c r="EI98" s="28"/>
      <c r="EJ98" s="29"/>
      <c r="EK98" s="79">
        <f t="shared" si="17"/>
        <v>0</v>
      </c>
      <c r="EL98" s="80" t="e">
        <f>EK98*#REF!</f>
        <v>#REF!</v>
      </c>
      <c r="EM98" s="81" t="e">
        <f>EK98*#REF!</f>
        <v>#REF!</v>
      </c>
      <c r="EO98" s="25"/>
      <c r="EP98" s="26"/>
      <c r="EQ98" s="27"/>
      <c r="ER98" s="28"/>
      <c r="ES98" s="29"/>
      <c r="ET98" s="79">
        <f t="shared" si="18"/>
        <v>0</v>
      </c>
      <c r="EU98" s="80" t="e">
        <f>ET98*#REF!</f>
        <v>#REF!</v>
      </c>
      <c r="EV98" s="81" t="e">
        <f>ET98*#REF!</f>
        <v>#REF!</v>
      </c>
      <c r="EX98" s="25"/>
      <c r="EY98" s="26"/>
      <c r="EZ98" s="27"/>
      <c r="FA98" s="28"/>
      <c r="FB98" s="29"/>
      <c r="FC98" s="79">
        <f t="shared" si="19"/>
        <v>0</v>
      </c>
      <c r="FD98" s="80" t="e">
        <f>FC98*#REF!</f>
        <v>#REF!</v>
      </c>
      <c r="FE98" s="81" t="e">
        <f>FC98*#REF!</f>
        <v>#REF!</v>
      </c>
      <c r="FG98" s="25"/>
      <c r="FH98" s="26"/>
      <c r="FI98" s="27"/>
      <c r="FJ98" s="28"/>
      <c r="FK98" s="29"/>
      <c r="FL98" s="79">
        <f t="shared" si="20"/>
        <v>0</v>
      </c>
      <c r="FM98" s="80" t="e">
        <f>FL98*#REF!</f>
        <v>#REF!</v>
      </c>
      <c r="FN98" s="81" t="e">
        <f>FL98*#REF!</f>
        <v>#REF!</v>
      </c>
      <c r="FP98" s="25"/>
      <c r="FQ98" s="26"/>
      <c r="FR98" s="27"/>
      <c r="FS98" s="28"/>
      <c r="FT98" s="29"/>
      <c r="FU98" s="79">
        <f t="shared" si="21"/>
        <v>0</v>
      </c>
      <c r="FV98" s="80" t="e">
        <f>FU98*#REF!</f>
        <v>#REF!</v>
      </c>
      <c r="FW98" s="81" t="e">
        <f>FU98*#REF!</f>
        <v>#REF!</v>
      </c>
      <c r="FY98" s="25"/>
      <c r="FZ98" s="26"/>
      <c r="GA98" s="27"/>
      <c r="GB98" s="28"/>
      <c r="GC98" s="29"/>
      <c r="GD98" s="79">
        <f t="shared" si="22"/>
        <v>0</v>
      </c>
      <c r="GE98" s="80" t="e">
        <f>GD98*#REF!</f>
        <v>#REF!</v>
      </c>
      <c r="GF98" s="81" t="e">
        <f>GD98*#REF!</f>
        <v>#REF!</v>
      </c>
      <c r="GH98" s="25"/>
      <c r="GI98" s="26"/>
      <c r="GJ98" s="27"/>
      <c r="GK98" s="28"/>
      <c r="GL98" s="29"/>
      <c r="GM98" s="79">
        <f t="shared" si="23"/>
        <v>0</v>
      </c>
      <c r="GN98" s="80" t="e">
        <f>GM98*#REF!</f>
        <v>#REF!</v>
      </c>
      <c r="GO98" s="81" t="e">
        <f>GM98*#REF!</f>
        <v>#REF!</v>
      </c>
      <c r="GQ98" s="82">
        <f t="shared" si="24"/>
        <v>0</v>
      </c>
      <c r="GR98" s="83">
        <v>0</v>
      </c>
    </row>
    <row r="99" spans="2:200" ht="15">
      <c r="B99" s="22"/>
      <c r="C99" s="23"/>
      <c r="D99" s="24" t="str">
        <f>IF(C99="","",_xlfn.XLOOKUP(C99,'[1]Control Sheet'!$L$5:$L$104,'[1]Control Sheet'!$M$5:$M$104,"",0))</f>
        <v/>
      </c>
      <c r="E99" s="24" t="str">
        <f>IF(B99="","",_xlfn.XLOOKUP(B99,'[1]Control Sheet'!$D$5:$D$64,'[1]Control Sheet'!$F$5:$F$64,"",0))</f>
        <v/>
      </c>
      <c r="F99" s="24" t="str">
        <f>IF(B99="","",_xlfn.XLOOKUP(B99,'[1]Control Sheet'!$D$5:$D$64,'[1]Control Sheet'!$E$5:$E$64,"",0))</f>
        <v/>
      </c>
      <c r="I99" s="25"/>
      <c r="J99" s="26"/>
      <c r="K99" s="27"/>
      <c r="L99" s="28"/>
      <c r="M99" s="29"/>
      <c r="P99" s="25"/>
      <c r="Q99" s="26"/>
      <c r="R99" s="27"/>
      <c r="S99" s="28"/>
      <c r="T99" s="29"/>
      <c r="V99" s="25"/>
      <c r="W99" s="26"/>
      <c r="X99" s="27"/>
      <c r="Y99" s="28"/>
      <c r="Z99" s="29"/>
      <c r="AB99" s="25"/>
      <c r="AC99" s="26"/>
      <c r="AD99" s="27"/>
      <c r="AE99" s="28"/>
      <c r="AF99" s="29"/>
      <c r="AH99" s="25"/>
      <c r="AI99" s="26"/>
      <c r="AJ99" s="27"/>
      <c r="AK99" s="28"/>
      <c r="AL99" s="29"/>
      <c r="AN99" s="25"/>
      <c r="AO99" s="26"/>
      <c r="AP99" s="27"/>
      <c r="AQ99" s="28"/>
      <c r="AR99" s="29"/>
      <c r="AT99" s="25"/>
      <c r="AU99" s="26"/>
      <c r="AV99" s="27"/>
      <c r="AW99" s="28"/>
      <c r="AX99" s="29"/>
      <c r="AZ99" s="25"/>
      <c r="BA99" s="26"/>
      <c r="BB99" s="27"/>
      <c r="BC99" s="28"/>
      <c r="BD99" s="29"/>
      <c r="BF99" s="25"/>
      <c r="BG99" s="26"/>
      <c r="BH99" s="27"/>
      <c r="BI99" s="28"/>
      <c r="BJ99" s="29"/>
      <c r="BL99" s="25"/>
      <c r="BM99" s="26"/>
      <c r="BN99" s="27"/>
      <c r="BO99" s="28"/>
      <c r="BP99" s="29"/>
      <c r="BR99" s="25"/>
      <c r="BS99" s="26"/>
      <c r="BT99" s="27"/>
      <c r="BU99" s="28"/>
      <c r="BV99" s="29"/>
      <c r="BX99" s="25"/>
      <c r="BY99" s="26"/>
      <c r="BZ99" s="27"/>
      <c r="CA99" s="28"/>
      <c r="CB99" s="29"/>
      <c r="CD99" s="25"/>
      <c r="CE99" s="26"/>
      <c r="CF99" s="27"/>
      <c r="CG99" s="28"/>
      <c r="CH99" s="29"/>
      <c r="CJ99" s="25"/>
      <c r="CK99" s="26"/>
      <c r="CL99" s="27"/>
      <c r="CM99" s="28"/>
      <c r="CN99" s="29"/>
      <c r="CP99" s="25"/>
      <c r="CQ99" s="26"/>
      <c r="CR99" s="27"/>
      <c r="CS99" s="28"/>
      <c r="CT99" s="29"/>
      <c r="CV99" s="25"/>
      <c r="CW99" s="26"/>
      <c r="CX99" s="27"/>
      <c r="CY99" s="28"/>
      <c r="CZ99" s="29"/>
      <c r="DA99" s="79">
        <f t="shared" si="13"/>
        <v>0</v>
      </c>
      <c r="DB99" s="80" t="e">
        <f>DA99*#REF!</f>
        <v>#REF!</v>
      </c>
      <c r="DC99" s="81" t="e">
        <f>DA99*#REF!</f>
        <v>#REF!</v>
      </c>
      <c r="DE99" s="25"/>
      <c r="DF99" s="26"/>
      <c r="DG99" s="27"/>
      <c r="DH99" s="28"/>
      <c r="DI99" s="29"/>
      <c r="DJ99" s="79">
        <f t="shared" si="14"/>
        <v>0</v>
      </c>
      <c r="DK99" s="80" t="e">
        <f>DJ99*#REF!</f>
        <v>#REF!</v>
      </c>
      <c r="DL99" s="81" t="e">
        <f>DJ99*#REF!</f>
        <v>#REF!</v>
      </c>
      <c r="DN99" s="25"/>
      <c r="DO99" s="26"/>
      <c r="DP99" s="27"/>
      <c r="DQ99" s="28"/>
      <c r="DR99" s="29"/>
      <c r="DS99" s="79">
        <f t="shared" si="15"/>
        <v>0</v>
      </c>
      <c r="DT99" s="80" t="e">
        <f>DS99*#REF!</f>
        <v>#REF!</v>
      </c>
      <c r="DU99" s="81" t="e">
        <f>DS99*#REF!</f>
        <v>#REF!</v>
      </c>
      <c r="DW99" s="25"/>
      <c r="DX99" s="26"/>
      <c r="DY99" s="27"/>
      <c r="DZ99" s="28"/>
      <c r="EA99" s="29"/>
      <c r="EB99" s="79">
        <f t="shared" si="16"/>
        <v>0</v>
      </c>
      <c r="EC99" s="80" t="e">
        <f>EB99*#REF!</f>
        <v>#REF!</v>
      </c>
      <c r="ED99" s="81" t="e">
        <f>EB99*#REF!</f>
        <v>#REF!</v>
      </c>
      <c r="EF99" s="25"/>
      <c r="EG99" s="26"/>
      <c r="EH99" s="27"/>
      <c r="EI99" s="28"/>
      <c r="EJ99" s="29"/>
      <c r="EK99" s="79">
        <f t="shared" si="17"/>
        <v>0</v>
      </c>
      <c r="EL99" s="80" t="e">
        <f>EK99*#REF!</f>
        <v>#REF!</v>
      </c>
      <c r="EM99" s="81" t="e">
        <f>EK99*#REF!</f>
        <v>#REF!</v>
      </c>
      <c r="EO99" s="25"/>
      <c r="EP99" s="26"/>
      <c r="EQ99" s="27"/>
      <c r="ER99" s="28"/>
      <c r="ES99" s="29"/>
      <c r="ET99" s="79">
        <f t="shared" si="18"/>
        <v>0</v>
      </c>
      <c r="EU99" s="80" t="e">
        <f>ET99*#REF!</f>
        <v>#REF!</v>
      </c>
      <c r="EV99" s="81" t="e">
        <f>ET99*#REF!</f>
        <v>#REF!</v>
      </c>
      <c r="EX99" s="25"/>
      <c r="EY99" s="26"/>
      <c r="EZ99" s="27"/>
      <c r="FA99" s="28"/>
      <c r="FB99" s="29"/>
      <c r="FC99" s="79">
        <f t="shared" si="19"/>
        <v>0</v>
      </c>
      <c r="FD99" s="80" t="e">
        <f>FC99*#REF!</f>
        <v>#REF!</v>
      </c>
      <c r="FE99" s="81" t="e">
        <f>FC99*#REF!</f>
        <v>#REF!</v>
      </c>
      <c r="FG99" s="25"/>
      <c r="FH99" s="26"/>
      <c r="FI99" s="27"/>
      <c r="FJ99" s="28"/>
      <c r="FK99" s="29"/>
      <c r="FL99" s="79">
        <f t="shared" si="20"/>
        <v>0</v>
      </c>
      <c r="FM99" s="80" t="e">
        <f>FL99*#REF!</f>
        <v>#REF!</v>
      </c>
      <c r="FN99" s="81" t="e">
        <f>FL99*#REF!</f>
        <v>#REF!</v>
      </c>
      <c r="FP99" s="25"/>
      <c r="FQ99" s="26"/>
      <c r="FR99" s="27"/>
      <c r="FS99" s="28"/>
      <c r="FT99" s="29"/>
      <c r="FU99" s="79">
        <f t="shared" si="21"/>
        <v>0</v>
      </c>
      <c r="FV99" s="80" t="e">
        <f>FU99*#REF!</f>
        <v>#REF!</v>
      </c>
      <c r="FW99" s="81" t="e">
        <f>FU99*#REF!</f>
        <v>#REF!</v>
      </c>
      <c r="FY99" s="25"/>
      <c r="FZ99" s="26"/>
      <c r="GA99" s="27"/>
      <c r="GB99" s="28"/>
      <c r="GC99" s="29"/>
      <c r="GD99" s="79">
        <f t="shared" si="22"/>
        <v>0</v>
      </c>
      <c r="GE99" s="80" t="e">
        <f>GD99*#REF!</f>
        <v>#REF!</v>
      </c>
      <c r="GF99" s="81" t="e">
        <f>GD99*#REF!</f>
        <v>#REF!</v>
      </c>
      <c r="GH99" s="25"/>
      <c r="GI99" s="26"/>
      <c r="GJ99" s="27"/>
      <c r="GK99" s="28"/>
      <c r="GL99" s="29"/>
      <c r="GM99" s="79">
        <f t="shared" si="23"/>
        <v>0</v>
      </c>
      <c r="GN99" s="80" t="e">
        <f>GM99*#REF!</f>
        <v>#REF!</v>
      </c>
      <c r="GO99" s="81" t="e">
        <f>GM99*#REF!</f>
        <v>#REF!</v>
      </c>
      <c r="GQ99" s="82">
        <f t="shared" si="24"/>
        <v>0</v>
      </c>
      <c r="GR99" s="83">
        <v>0</v>
      </c>
    </row>
    <row r="100" spans="2:200" ht="15">
      <c r="B100" s="22"/>
      <c r="C100" s="23"/>
      <c r="D100" s="24" t="str">
        <f>IF(C100="","",_xlfn.XLOOKUP(C100,'[1]Control Sheet'!$L$5:$L$104,'[1]Control Sheet'!$M$5:$M$104,"",0))</f>
        <v/>
      </c>
      <c r="E100" s="24" t="str">
        <f>IF(B100="","",_xlfn.XLOOKUP(B100,'[1]Control Sheet'!$D$5:$D$64,'[1]Control Sheet'!$F$5:$F$64,"",0))</f>
        <v/>
      </c>
      <c r="F100" s="24" t="str">
        <f>IF(B100="","",_xlfn.XLOOKUP(B100,'[1]Control Sheet'!$D$5:$D$64,'[1]Control Sheet'!$E$5:$E$64,"",0))</f>
        <v/>
      </c>
      <c r="I100" s="25"/>
      <c r="J100" s="26"/>
      <c r="K100" s="27"/>
      <c r="L100" s="28"/>
      <c r="M100" s="29"/>
      <c r="P100" s="25"/>
      <c r="Q100" s="26"/>
      <c r="R100" s="27"/>
      <c r="S100" s="28"/>
      <c r="T100" s="29"/>
      <c r="V100" s="25"/>
      <c r="W100" s="26"/>
      <c r="X100" s="27"/>
      <c r="Y100" s="28"/>
      <c r="Z100" s="29"/>
      <c r="AB100" s="25"/>
      <c r="AC100" s="26"/>
      <c r="AD100" s="27"/>
      <c r="AE100" s="28"/>
      <c r="AF100" s="29"/>
      <c r="AH100" s="25"/>
      <c r="AI100" s="26"/>
      <c r="AJ100" s="27"/>
      <c r="AK100" s="28"/>
      <c r="AL100" s="29"/>
      <c r="AN100" s="25"/>
      <c r="AO100" s="26"/>
      <c r="AP100" s="27"/>
      <c r="AQ100" s="28"/>
      <c r="AR100" s="29"/>
      <c r="AT100" s="25"/>
      <c r="AU100" s="26"/>
      <c r="AV100" s="27"/>
      <c r="AW100" s="28"/>
      <c r="AX100" s="29"/>
      <c r="AZ100" s="25"/>
      <c r="BA100" s="26"/>
      <c r="BB100" s="27"/>
      <c r="BC100" s="28"/>
      <c r="BD100" s="29"/>
      <c r="BF100" s="25"/>
      <c r="BG100" s="26"/>
      <c r="BH100" s="27"/>
      <c r="BI100" s="28"/>
      <c r="BJ100" s="29"/>
      <c r="BL100" s="25"/>
      <c r="BM100" s="26"/>
      <c r="BN100" s="27"/>
      <c r="BO100" s="28"/>
      <c r="BP100" s="29"/>
      <c r="BR100" s="25"/>
      <c r="BS100" s="26"/>
      <c r="BT100" s="27"/>
      <c r="BU100" s="28"/>
      <c r="BV100" s="29"/>
      <c r="BX100" s="25"/>
      <c r="BY100" s="26"/>
      <c r="BZ100" s="27"/>
      <c r="CA100" s="28"/>
      <c r="CB100" s="29"/>
      <c r="CD100" s="25"/>
      <c r="CE100" s="26"/>
      <c r="CF100" s="27"/>
      <c r="CG100" s="28"/>
      <c r="CH100" s="29"/>
      <c r="CJ100" s="25"/>
      <c r="CK100" s="26"/>
      <c r="CL100" s="27"/>
      <c r="CM100" s="28"/>
      <c r="CN100" s="29"/>
      <c r="CP100" s="25"/>
      <c r="CQ100" s="26"/>
      <c r="CR100" s="27"/>
      <c r="CS100" s="28"/>
      <c r="CT100" s="29"/>
      <c r="CV100" s="25"/>
      <c r="CW100" s="26"/>
      <c r="CX100" s="27"/>
      <c r="CY100" s="28"/>
      <c r="CZ100" s="29"/>
      <c r="DA100" s="79">
        <f t="shared" si="13"/>
        <v>0</v>
      </c>
      <c r="DB100" s="80" t="e">
        <f>DA100*#REF!</f>
        <v>#REF!</v>
      </c>
      <c r="DC100" s="81" t="e">
        <f>DA100*#REF!</f>
        <v>#REF!</v>
      </c>
      <c r="DE100" s="25"/>
      <c r="DF100" s="26"/>
      <c r="DG100" s="27"/>
      <c r="DH100" s="28"/>
      <c r="DI100" s="29"/>
      <c r="DJ100" s="79">
        <f t="shared" si="14"/>
        <v>0</v>
      </c>
      <c r="DK100" s="80" t="e">
        <f>DJ100*#REF!</f>
        <v>#REF!</v>
      </c>
      <c r="DL100" s="81" t="e">
        <f>DJ100*#REF!</f>
        <v>#REF!</v>
      </c>
      <c r="DN100" s="25"/>
      <c r="DO100" s="26"/>
      <c r="DP100" s="27"/>
      <c r="DQ100" s="28"/>
      <c r="DR100" s="29"/>
      <c r="DS100" s="79">
        <f t="shared" si="15"/>
        <v>0</v>
      </c>
      <c r="DT100" s="80" t="e">
        <f>DS100*#REF!</f>
        <v>#REF!</v>
      </c>
      <c r="DU100" s="81" t="e">
        <f>DS100*#REF!</f>
        <v>#REF!</v>
      </c>
      <c r="DW100" s="25"/>
      <c r="DX100" s="26"/>
      <c r="DY100" s="27"/>
      <c r="DZ100" s="28"/>
      <c r="EA100" s="29"/>
      <c r="EB100" s="79">
        <f t="shared" si="16"/>
        <v>0</v>
      </c>
      <c r="EC100" s="80" t="e">
        <f>EB100*#REF!</f>
        <v>#REF!</v>
      </c>
      <c r="ED100" s="81" t="e">
        <f>EB100*#REF!</f>
        <v>#REF!</v>
      </c>
      <c r="EF100" s="25"/>
      <c r="EG100" s="26"/>
      <c r="EH100" s="27"/>
      <c r="EI100" s="28"/>
      <c r="EJ100" s="29"/>
      <c r="EK100" s="79">
        <f t="shared" si="17"/>
        <v>0</v>
      </c>
      <c r="EL100" s="80" t="e">
        <f>EK100*#REF!</f>
        <v>#REF!</v>
      </c>
      <c r="EM100" s="81" t="e">
        <f>EK100*#REF!</f>
        <v>#REF!</v>
      </c>
      <c r="EO100" s="25"/>
      <c r="EP100" s="26"/>
      <c r="EQ100" s="27"/>
      <c r="ER100" s="28"/>
      <c r="ES100" s="29"/>
      <c r="ET100" s="79">
        <f t="shared" si="18"/>
        <v>0</v>
      </c>
      <c r="EU100" s="80" t="e">
        <f>ET100*#REF!</f>
        <v>#REF!</v>
      </c>
      <c r="EV100" s="81" t="e">
        <f>ET100*#REF!</f>
        <v>#REF!</v>
      </c>
      <c r="EX100" s="25"/>
      <c r="EY100" s="26"/>
      <c r="EZ100" s="27"/>
      <c r="FA100" s="28"/>
      <c r="FB100" s="29"/>
      <c r="FC100" s="79">
        <f t="shared" si="19"/>
        <v>0</v>
      </c>
      <c r="FD100" s="80" t="e">
        <f>FC100*#REF!</f>
        <v>#REF!</v>
      </c>
      <c r="FE100" s="81" t="e">
        <f>FC100*#REF!</f>
        <v>#REF!</v>
      </c>
      <c r="FG100" s="25"/>
      <c r="FH100" s="26"/>
      <c r="FI100" s="27"/>
      <c r="FJ100" s="28"/>
      <c r="FK100" s="29"/>
      <c r="FL100" s="79">
        <f t="shared" si="20"/>
        <v>0</v>
      </c>
      <c r="FM100" s="80" t="e">
        <f>FL100*#REF!</f>
        <v>#REF!</v>
      </c>
      <c r="FN100" s="81" t="e">
        <f>FL100*#REF!</f>
        <v>#REF!</v>
      </c>
      <c r="FP100" s="25"/>
      <c r="FQ100" s="26"/>
      <c r="FR100" s="27"/>
      <c r="FS100" s="28"/>
      <c r="FT100" s="29"/>
      <c r="FU100" s="79">
        <f t="shared" si="21"/>
        <v>0</v>
      </c>
      <c r="FV100" s="80" t="e">
        <f>FU100*#REF!</f>
        <v>#REF!</v>
      </c>
      <c r="FW100" s="81" t="e">
        <f>FU100*#REF!</f>
        <v>#REF!</v>
      </c>
      <c r="FY100" s="25"/>
      <c r="FZ100" s="26"/>
      <c r="GA100" s="27"/>
      <c r="GB100" s="28"/>
      <c r="GC100" s="29"/>
      <c r="GD100" s="79">
        <f t="shared" si="22"/>
        <v>0</v>
      </c>
      <c r="GE100" s="80" t="e">
        <f>GD100*#REF!</f>
        <v>#REF!</v>
      </c>
      <c r="GF100" s="81" t="e">
        <f>GD100*#REF!</f>
        <v>#REF!</v>
      </c>
      <c r="GH100" s="25"/>
      <c r="GI100" s="26"/>
      <c r="GJ100" s="27"/>
      <c r="GK100" s="28"/>
      <c r="GL100" s="29"/>
      <c r="GM100" s="79">
        <f t="shared" si="23"/>
        <v>0</v>
      </c>
      <c r="GN100" s="80" t="e">
        <f>GM100*#REF!</f>
        <v>#REF!</v>
      </c>
      <c r="GO100" s="81" t="e">
        <f>GM100*#REF!</f>
        <v>#REF!</v>
      </c>
      <c r="GQ100" s="82">
        <f t="shared" si="24"/>
        <v>0</v>
      </c>
      <c r="GR100" s="83">
        <v>0</v>
      </c>
    </row>
    <row r="101" spans="2:200" ht="15">
      <c r="B101" s="22"/>
      <c r="C101" s="23"/>
      <c r="D101" s="24" t="str">
        <f>IF(C101="","",_xlfn.XLOOKUP(C101,'[1]Control Sheet'!$L$5:$L$104,'[1]Control Sheet'!$M$5:$M$104,"",0))</f>
        <v/>
      </c>
      <c r="E101" s="24" t="str">
        <f>IF(B101="","",_xlfn.XLOOKUP(B101,'[1]Control Sheet'!$D$5:$D$64,'[1]Control Sheet'!$F$5:$F$64,"",0))</f>
        <v/>
      </c>
      <c r="F101" s="24" t="str">
        <f>IF(B101="","",_xlfn.XLOOKUP(B101,'[1]Control Sheet'!$D$5:$D$64,'[1]Control Sheet'!$E$5:$E$64,"",0))</f>
        <v/>
      </c>
      <c r="I101" s="25"/>
      <c r="J101" s="26"/>
      <c r="K101" s="27"/>
      <c r="L101" s="28"/>
      <c r="M101" s="29"/>
      <c r="P101" s="25"/>
      <c r="Q101" s="26"/>
      <c r="R101" s="27"/>
      <c r="S101" s="28"/>
      <c r="T101" s="29"/>
      <c r="V101" s="25"/>
      <c r="W101" s="26"/>
      <c r="X101" s="27"/>
      <c r="Y101" s="28"/>
      <c r="Z101" s="29"/>
      <c r="AB101" s="25"/>
      <c r="AC101" s="26"/>
      <c r="AD101" s="27"/>
      <c r="AE101" s="28"/>
      <c r="AF101" s="29"/>
      <c r="AH101" s="25"/>
      <c r="AI101" s="26"/>
      <c r="AJ101" s="27"/>
      <c r="AK101" s="28"/>
      <c r="AL101" s="29"/>
      <c r="AN101" s="25"/>
      <c r="AO101" s="26"/>
      <c r="AP101" s="27"/>
      <c r="AQ101" s="28"/>
      <c r="AR101" s="29"/>
      <c r="AT101" s="25"/>
      <c r="AU101" s="26"/>
      <c r="AV101" s="27"/>
      <c r="AW101" s="28"/>
      <c r="AX101" s="29"/>
      <c r="AZ101" s="25"/>
      <c r="BA101" s="26"/>
      <c r="BB101" s="27"/>
      <c r="BC101" s="28"/>
      <c r="BD101" s="29"/>
      <c r="BF101" s="25"/>
      <c r="BG101" s="26"/>
      <c r="BH101" s="27"/>
      <c r="BI101" s="28"/>
      <c r="BJ101" s="29"/>
      <c r="BL101" s="25"/>
      <c r="BM101" s="26"/>
      <c r="BN101" s="27"/>
      <c r="BO101" s="28"/>
      <c r="BP101" s="29"/>
      <c r="BR101" s="25"/>
      <c r="BS101" s="26"/>
      <c r="BT101" s="27"/>
      <c r="BU101" s="28"/>
      <c r="BV101" s="29"/>
      <c r="BX101" s="25"/>
      <c r="BY101" s="26"/>
      <c r="BZ101" s="27"/>
      <c r="CA101" s="28"/>
      <c r="CB101" s="29"/>
      <c r="CD101" s="25"/>
      <c r="CE101" s="26"/>
      <c r="CF101" s="27"/>
      <c r="CG101" s="28"/>
      <c r="CH101" s="29"/>
      <c r="CJ101" s="25"/>
      <c r="CK101" s="26"/>
      <c r="CL101" s="27"/>
      <c r="CM101" s="28"/>
      <c r="CN101" s="29"/>
      <c r="CP101" s="25"/>
      <c r="CQ101" s="26"/>
      <c r="CR101" s="27"/>
      <c r="CS101" s="28"/>
      <c r="CT101" s="29"/>
      <c r="CV101" s="25"/>
      <c r="CW101" s="26"/>
      <c r="CX101" s="27"/>
      <c r="CY101" s="28"/>
      <c r="CZ101" s="29"/>
      <c r="DA101" s="79">
        <f t="shared" si="13"/>
        <v>0</v>
      </c>
      <c r="DB101" s="80" t="e">
        <f>DA101*#REF!</f>
        <v>#REF!</v>
      </c>
      <c r="DC101" s="81" t="e">
        <f>DA101*#REF!</f>
        <v>#REF!</v>
      </c>
      <c r="DE101" s="25"/>
      <c r="DF101" s="26"/>
      <c r="DG101" s="27"/>
      <c r="DH101" s="28"/>
      <c r="DI101" s="29"/>
      <c r="DJ101" s="79">
        <f t="shared" si="14"/>
        <v>0</v>
      </c>
      <c r="DK101" s="80" t="e">
        <f>DJ101*#REF!</f>
        <v>#REF!</v>
      </c>
      <c r="DL101" s="81" t="e">
        <f>DJ101*#REF!</f>
        <v>#REF!</v>
      </c>
      <c r="DN101" s="25"/>
      <c r="DO101" s="26"/>
      <c r="DP101" s="27"/>
      <c r="DQ101" s="28"/>
      <c r="DR101" s="29"/>
      <c r="DS101" s="79">
        <f t="shared" si="15"/>
        <v>0</v>
      </c>
      <c r="DT101" s="80" t="e">
        <f>DS101*#REF!</f>
        <v>#REF!</v>
      </c>
      <c r="DU101" s="81" t="e">
        <f>DS101*#REF!</f>
        <v>#REF!</v>
      </c>
      <c r="DW101" s="25"/>
      <c r="DX101" s="26"/>
      <c r="DY101" s="27"/>
      <c r="DZ101" s="28"/>
      <c r="EA101" s="29"/>
      <c r="EB101" s="79">
        <f t="shared" si="16"/>
        <v>0</v>
      </c>
      <c r="EC101" s="80" t="e">
        <f>EB101*#REF!</f>
        <v>#REF!</v>
      </c>
      <c r="ED101" s="81" t="e">
        <f>EB101*#REF!</f>
        <v>#REF!</v>
      </c>
      <c r="EF101" s="25"/>
      <c r="EG101" s="26"/>
      <c r="EH101" s="27"/>
      <c r="EI101" s="28"/>
      <c r="EJ101" s="29"/>
      <c r="EK101" s="79">
        <f t="shared" si="17"/>
        <v>0</v>
      </c>
      <c r="EL101" s="80" t="e">
        <f>EK101*#REF!</f>
        <v>#REF!</v>
      </c>
      <c r="EM101" s="81" t="e">
        <f>EK101*#REF!</f>
        <v>#REF!</v>
      </c>
      <c r="EO101" s="25"/>
      <c r="EP101" s="26"/>
      <c r="EQ101" s="27"/>
      <c r="ER101" s="28"/>
      <c r="ES101" s="29"/>
      <c r="ET101" s="79">
        <f t="shared" si="18"/>
        <v>0</v>
      </c>
      <c r="EU101" s="80" t="e">
        <f>ET101*#REF!</f>
        <v>#REF!</v>
      </c>
      <c r="EV101" s="81" t="e">
        <f>ET101*#REF!</f>
        <v>#REF!</v>
      </c>
      <c r="EX101" s="25"/>
      <c r="EY101" s="26"/>
      <c r="EZ101" s="27"/>
      <c r="FA101" s="28"/>
      <c r="FB101" s="29"/>
      <c r="FC101" s="79">
        <f t="shared" si="19"/>
        <v>0</v>
      </c>
      <c r="FD101" s="80" t="e">
        <f>FC101*#REF!</f>
        <v>#REF!</v>
      </c>
      <c r="FE101" s="81" t="e">
        <f>FC101*#REF!</f>
        <v>#REF!</v>
      </c>
      <c r="FG101" s="25"/>
      <c r="FH101" s="26"/>
      <c r="FI101" s="27"/>
      <c r="FJ101" s="28"/>
      <c r="FK101" s="29"/>
      <c r="FL101" s="79">
        <f t="shared" si="20"/>
        <v>0</v>
      </c>
      <c r="FM101" s="80" t="e">
        <f>FL101*#REF!</f>
        <v>#REF!</v>
      </c>
      <c r="FN101" s="81" t="e">
        <f>FL101*#REF!</f>
        <v>#REF!</v>
      </c>
      <c r="FP101" s="25"/>
      <c r="FQ101" s="26"/>
      <c r="FR101" s="27"/>
      <c r="FS101" s="28"/>
      <c r="FT101" s="29"/>
      <c r="FU101" s="79">
        <f t="shared" si="21"/>
        <v>0</v>
      </c>
      <c r="FV101" s="80" t="e">
        <f>FU101*#REF!</f>
        <v>#REF!</v>
      </c>
      <c r="FW101" s="81" t="e">
        <f>FU101*#REF!</f>
        <v>#REF!</v>
      </c>
      <c r="FY101" s="25"/>
      <c r="FZ101" s="26"/>
      <c r="GA101" s="27"/>
      <c r="GB101" s="28"/>
      <c r="GC101" s="29"/>
      <c r="GD101" s="79">
        <f t="shared" si="22"/>
        <v>0</v>
      </c>
      <c r="GE101" s="80" t="e">
        <f>GD101*#REF!</f>
        <v>#REF!</v>
      </c>
      <c r="GF101" s="81" t="e">
        <f>GD101*#REF!</f>
        <v>#REF!</v>
      </c>
      <c r="GH101" s="25"/>
      <c r="GI101" s="26"/>
      <c r="GJ101" s="27"/>
      <c r="GK101" s="28"/>
      <c r="GL101" s="29"/>
      <c r="GM101" s="79">
        <f t="shared" si="23"/>
        <v>0</v>
      </c>
      <c r="GN101" s="80" t="e">
        <f>GM101*#REF!</f>
        <v>#REF!</v>
      </c>
      <c r="GO101" s="81" t="e">
        <f>GM101*#REF!</f>
        <v>#REF!</v>
      </c>
      <c r="GQ101" s="82">
        <f t="shared" si="24"/>
        <v>0</v>
      </c>
      <c r="GR101" s="83">
        <v>0</v>
      </c>
    </row>
    <row r="102" spans="2:200" ht="15">
      <c r="B102" s="22"/>
      <c r="C102" s="23"/>
      <c r="D102" s="24" t="str">
        <f>IF(C102="","",_xlfn.XLOOKUP(C102,'[1]Control Sheet'!$L$5:$L$104,'[1]Control Sheet'!$M$5:$M$104,"",0))</f>
        <v/>
      </c>
      <c r="E102" s="24" t="str">
        <f>IF(B102="","",_xlfn.XLOOKUP(B102,'[1]Control Sheet'!$D$5:$D$64,'[1]Control Sheet'!$F$5:$F$64,"",0))</f>
        <v/>
      </c>
      <c r="F102" s="24" t="str">
        <f>IF(B102="","",_xlfn.XLOOKUP(B102,'[1]Control Sheet'!$D$5:$D$64,'[1]Control Sheet'!$E$5:$E$64,"",0))</f>
        <v/>
      </c>
      <c r="I102" s="25"/>
      <c r="J102" s="26"/>
      <c r="K102" s="27"/>
      <c r="L102" s="28"/>
      <c r="M102" s="29"/>
      <c r="P102" s="25"/>
      <c r="Q102" s="26"/>
      <c r="R102" s="27"/>
      <c r="S102" s="28"/>
      <c r="T102" s="29"/>
      <c r="V102" s="25"/>
      <c r="W102" s="26"/>
      <c r="X102" s="27"/>
      <c r="Y102" s="28"/>
      <c r="Z102" s="29"/>
      <c r="AB102" s="25"/>
      <c r="AC102" s="26"/>
      <c r="AD102" s="27"/>
      <c r="AE102" s="28"/>
      <c r="AF102" s="29"/>
      <c r="AH102" s="25"/>
      <c r="AI102" s="26"/>
      <c r="AJ102" s="27"/>
      <c r="AK102" s="28"/>
      <c r="AL102" s="29"/>
      <c r="AN102" s="25"/>
      <c r="AO102" s="26"/>
      <c r="AP102" s="27"/>
      <c r="AQ102" s="28"/>
      <c r="AR102" s="29"/>
      <c r="AT102" s="25"/>
      <c r="AU102" s="26"/>
      <c r="AV102" s="27"/>
      <c r="AW102" s="28"/>
      <c r="AX102" s="29"/>
      <c r="AZ102" s="25"/>
      <c r="BA102" s="26"/>
      <c r="BB102" s="27"/>
      <c r="BC102" s="28"/>
      <c r="BD102" s="29"/>
      <c r="BF102" s="25"/>
      <c r="BG102" s="26"/>
      <c r="BH102" s="27"/>
      <c r="BI102" s="28"/>
      <c r="BJ102" s="29"/>
      <c r="BL102" s="25"/>
      <c r="BM102" s="26"/>
      <c r="BN102" s="27"/>
      <c r="BO102" s="28"/>
      <c r="BP102" s="29"/>
      <c r="BR102" s="25"/>
      <c r="BS102" s="26"/>
      <c r="BT102" s="27"/>
      <c r="BU102" s="28"/>
      <c r="BV102" s="29"/>
      <c r="BX102" s="25"/>
      <c r="BY102" s="26"/>
      <c r="BZ102" s="27"/>
      <c r="CA102" s="28"/>
      <c r="CB102" s="29"/>
      <c r="CD102" s="25"/>
      <c r="CE102" s="26"/>
      <c r="CF102" s="27"/>
      <c r="CG102" s="28"/>
      <c r="CH102" s="29"/>
      <c r="CJ102" s="25"/>
      <c r="CK102" s="26"/>
      <c r="CL102" s="27"/>
      <c r="CM102" s="28"/>
      <c r="CN102" s="29"/>
      <c r="CP102" s="25"/>
      <c r="CQ102" s="26"/>
      <c r="CR102" s="27"/>
      <c r="CS102" s="28"/>
      <c r="CT102" s="29"/>
      <c r="CV102" s="25"/>
      <c r="CW102" s="26"/>
      <c r="CX102" s="27"/>
      <c r="CY102" s="28"/>
      <c r="CZ102" s="29"/>
      <c r="DA102" s="79">
        <f t="shared" si="13"/>
        <v>0</v>
      </c>
      <c r="DB102" s="80" t="e">
        <f>DA102*#REF!</f>
        <v>#REF!</v>
      </c>
      <c r="DC102" s="81" t="e">
        <f>DA102*#REF!</f>
        <v>#REF!</v>
      </c>
      <c r="DE102" s="25"/>
      <c r="DF102" s="26"/>
      <c r="DG102" s="27"/>
      <c r="DH102" s="28"/>
      <c r="DI102" s="29"/>
      <c r="DJ102" s="79">
        <f t="shared" si="14"/>
        <v>0</v>
      </c>
      <c r="DK102" s="80" t="e">
        <f>DJ102*#REF!</f>
        <v>#REF!</v>
      </c>
      <c r="DL102" s="81" t="e">
        <f>DJ102*#REF!</f>
        <v>#REF!</v>
      </c>
      <c r="DN102" s="25"/>
      <c r="DO102" s="26"/>
      <c r="DP102" s="27"/>
      <c r="DQ102" s="28"/>
      <c r="DR102" s="29"/>
      <c r="DS102" s="79">
        <f t="shared" si="15"/>
        <v>0</v>
      </c>
      <c r="DT102" s="80" t="e">
        <f>DS102*#REF!</f>
        <v>#REF!</v>
      </c>
      <c r="DU102" s="81" t="e">
        <f>DS102*#REF!</f>
        <v>#REF!</v>
      </c>
      <c r="DW102" s="25"/>
      <c r="DX102" s="26"/>
      <c r="DY102" s="27"/>
      <c r="DZ102" s="28"/>
      <c r="EA102" s="29"/>
      <c r="EB102" s="79">
        <f t="shared" si="16"/>
        <v>0</v>
      </c>
      <c r="EC102" s="80" t="e">
        <f>EB102*#REF!</f>
        <v>#REF!</v>
      </c>
      <c r="ED102" s="81" t="e">
        <f>EB102*#REF!</f>
        <v>#REF!</v>
      </c>
      <c r="EF102" s="25"/>
      <c r="EG102" s="26"/>
      <c r="EH102" s="27"/>
      <c r="EI102" s="28"/>
      <c r="EJ102" s="29"/>
      <c r="EK102" s="79">
        <f t="shared" si="17"/>
        <v>0</v>
      </c>
      <c r="EL102" s="80" t="e">
        <f>EK102*#REF!</f>
        <v>#REF!</v>
      </c>
      <c r="EM102" s="81" t="e">
        <f>EK102*#REF!</f>
        <v>#REF!</v>
      </c>
      <c r="EO102" s="25"/>
      <c r="EP102" s="26"/>
      <c r="EQ102" s="27"/>
      <c r="ER102" s="28"/>
      <c r="ES102" s="29"/>
      <c r="ET102" s="79">
        <f t="shared" si="18"/>
        <v>0</v>
      </c>
      <c r="EU102" s="80" t="e">
        <f>ET102*#REF!</f>
        <v>#REF!</v>
      </c>
      <c r="EV102" s="81" t="e">
        <f>ET102*#REF!</f>
        <v>#REF!</v>
      </c>
      <c r="EX102" s="25"/>
      <c r="EY102" s="26"/>
      <c r="EZ102" s="27"/>
      <c r="FA102" s="28"/>
      <c r="FB102" s="29"/>
      <c r="FC102" s="79">
        <f t="shared" si="19"/>
        <v>0</v>
      </c>
      <c r="FD102" s="80" t="e">
        <f>FC102*#REF!</f>
        <v>#REF!</v>
      </c>
      <c r="FE102" s="81" t="e">
        <f>FC102*#REF!</f>
        <v>#REF!</v>
      </c>
      <c r="FG102" s="25"/>
      <c r="FH102" s="26"/>
      <c r="FI102" s="27"/>
      <c r="FJ102" s="28"/>
      <c r="FK102" s="29"/>
      <c r="FL102" s="79">
        <f t="shared" si="20"/>
        <v>0</v>
      </c>
      <c r="FM102" s="80" t="e">
        <f>FL102*#REF!</f>
        <v>#REF!</v>
      </c>
      <c r="FN102" s="81" t="e">
        <f>FL102*#REF!</f>
        <v>#REF!</v>
      </c>
      <c r="FP102" s="25"/>
      <c r="FQ102" s="26"/>
      <c r="FR102" s="27"/>
      <c r="FS102" s="28"/>
      <c r="FT102" s="29"/>
      <c r="FU102" s="79">
        <f t="shared" si="21"/>
        <v>0</v>
      </c>
      <c r="FV102" s="80" t="e">
        <f>FU102*#REF!</f>
        <v>#REF!</v>
      </c>
      <c r="FW102" s="81" t="e">
        <f>FU102*#REF!</f>
        <v>#REF!</v>
      </c>
      <c r="FY102" s="25"/>
      <c r="FZ102" s="26"/>
      <c r="GA102" s="27"/>
      <c r="GB102" s="28"/>
      <c r="GC102" s="29"/>
      <c r="GD102" s="79">
        <f t="shared" si="22"/>
        <v>0</v>
      </c>
      <c r="GE102" s="80" t="e">
        <f>GD102*#REF!</f>
        <v>#REF!</v>
      </c>
      <c r="GF102" s="81" t="e">
        <f>GD102*#REF!</f>
        <v>#REF!</v>
      </c>
      <c r="GH102" s="25"/>
      <c r="GI102" s="26"/>
      <c r="GJ102" s="27"/>
      <c r="GK102" s="28"/>
      <c r="GL102" s="29"/>
      <c r="GM102" s="79">
        <f t="shared" si="23"/>
        <v>0</v>
      </c>
      <c r="GN102" s="80" t="e">
        <f>GM102*#REF!</f>
        <v>#REF!</v>
      </c>
      <c r="GO102" s="81" t="e">
        <f>GM102*#REF!</f>
        <v>#REF!</v>
      </c>
      <c r="GQ102" s="82">
        <f t="shared" ref="GQ102:GQ134" si="25">_xlfn.MAXIFS(I102:GO102,$I$5:$GO$5,"Staff #")</f>
        <v>0</v>
      </c>
      <c r="GR102" s="83">
        <v>0</v>
      </c>
    </row>
    <row r="103" spans="2:200" ht="15">
      <c r="B103" s="22"/>
      <c r="C103" s="23"/>
      <c r="D103" s="24" t="str">
        <f>IF(C103="","",_xlfn.XLOOKUP(C103,'[1]Control Sheet'!$L$5:$L$104,'[1]Control Sheet'!$M$5:$M$104,"",0))</f>
        <v/>
      </c>
      <c r="E103" s="24" t="str">
        <f>IF(B103="","",_xlfn.XLOOKUP(B103,'[1]Control Sheet'!$D$5:$D$64,'[1]Control Sheet'!$F$5:$F$64,"",0))</f>
        <v/>
      </c>
      <c r="F103" s="24" t="str">
        <f>IF(B103="","",_xlfn.XLOOKUP(B103,'[1]Control Sheet'!$D$5:$D$64,'[1]Control Sheet'!$E$5:$E$64,"",0))</f>
        <v/>
      </c>
      <c r="I103" s="25"/>
      <c r="J103" s="26"/>
      <c r="K103" s="27"/>
      <c r="L103" s="28"/>
      <c r="M103" s="29"/>
      <c r="P103" s="25"/>
      <c r="Q103" s="26"/>
      <c r="R103" s="27"/>
      <c r="S103" s="28"/>
      <c r="T103" s="29"/>
      <c r="V103" s="25"/>
      <c r="W103" s="26"/>
      <c r="X103" s="27"/>
      <c r="Y103" s="28"/>
      <c r="Z103" s="29"/>
      <c r="AB103" s="25"/>
      <c r="AC103" s="26"/>
      <c r="AD103" s="27"/>
      <c r="AE103" s="28"/>
      <c r="AF103" s="29"/>
      <c r="AH103" s="25"/>
      <c r="AI103" s="26"/>
      <c r="AJ103" s="27"/>
      <c r="AK103" s="28"/>
      <c r="AL103" s="29"/>
      <c r="AN103" s="25"/>
      <c r="AO103" s="26"/>
      <c r="AP103" s="27"/>
      <c r="AQ103" s="28"/>
      <c r="AR103" s="29"/>
      <c r="AT103" s="25"/>
      <c r="AU103" s="26"/>
      <c r="AV103" s="27"/>
      <c r="AW103" s="28"/>
      <c r="AX103" s="29"/>
      <c r="AZ103" s="25"/>
      <c r="BA103" s="26"/>
      <c r="BB103" s="27"/>
      <c r="BC103" s="28"/>
      <c r="BD103" s="29"/>
      <c r="BF103" s="25"/>
      <c r="BG103" s="26"/>
      <c r="BH103" s="27"/>
      <c r="BI103" s="28"/>
      <c r="BJ103" s="29"/>
      <c r="BL103" s="25"/>
      <c r="BM103" s="26"/>
      <c r="BN103" s="27"/>
      <c r="BO103" s="28"/>
      <c r="BP103" s="29"/>
      <c r="BR103" s="25"/>
      <c r="BS103" s="26"/>
      <c r="BT103" s="27"/>
      <c r="BU103" s="28"/>
      <c r="BV103" s="29"/>
      <c r="BX103" s="25"/>
      <c r="BY103" s="26"/>
      <c r="BZ103" s="27"/>
      <c r="CA103" s="28"/>
      <c r="CB103" s="29"/>
      <c r="CD103" s="25"/>
      <c r="CE103" s="26"/>
      <c r="CF103" s="27"/>
      <c r="CG103" s="28"/>
      <c r="CH103" s="29"/>
      <c r="CJ103" s="25"/>
      <c r="CK103" s="26"/>
      <c r="CL103" s="27"/>
      <c r="CM103" s="28"/>
      <c r="CN103" s="29"/>
      <c r="CP103" s="25"/>
      <c r="CQ103" s="26"/>
      <c r="CR103" s="27"/>
      <c r="CS103" s="28"/>
      <c r="CT103" s="29"/>
      <c r="CV103" s="25"/>
      <c r="CW103" s="26"/>
      <c r="CX103" s="27"/>
      <c r="CY103" s="28"/>
      <c r="CZ103" s="29"/>
      <c r="DA103" s="79">
        <f t="shared" si="13"/>
        <v>0</v>
      </c>
      <c r="DB103" s="80" t="e">
        <f>DA103*#REF!</f>
        <v>#REF!</v>
      </c>
      <c r="DC103" s="81" t="e">
        <f>DA103*#REF!</f>
        <v>#REF!</v>
      </c>
      <c r="DE103" s="25"/>
      <c r="DF103" s="26"/>
      <c r="DG103" s="27"/>
      <c r="DH103" s="28"/>
      <c r="DI103" s="29"/>
      <c r="DJ103" s="79">
        <f t="shared" si="14"/>
        <v>0</v>
      </c>
      <c r="DK103" s="80" t="e">
        <f>DJ103*#REF!</f>
        <v>#REF!</v>
      </c>
      <c r="DL103" s="81" t="e">
        <f>DJ103*#REF!</f>
        <v>#REF!</v>
      </c>
      <c r="DN103" s="25"/>
      <c r="DO103" s="26"/>
      <c r="DP103" s="27"/>
      <c r="DQ103" s="28"/>
      <c r="DR103" s="29"/>
      <c r="DS103" s="79">
        <f t="shared" si="15"/>
        <v>0</v>
      </c>
      <c r="DT103" s="80" t="e">
        <f>DS103*#REF!</f>
        <v>#REF!</v>
      </c>
      <c r="DU103" s="81" t="e">
        <f>DS103*#REF!</f>
        <v>#REF!</v>
      </c>
      <c r="DW103" s="25"/>
      <c r="DX103" s="26"/>
      <c r="DY103" s="27"/>
      <c r="DZ103" s="28"/>
      <c r="EA103" s="29"/>
      <c r="EB103" s="79">
        <f t="shared" si="16"/>
        <v>0</v>
      </c>
      <c r="EC103" s="80" t="e">
        <f>EB103*#REF!</f>
        <v>#REF!</v>
      </c>
      <c r="ED103" s="81" t="e">
        <f>EB103*#REF!</f>
        <v>#REF!</v>
      </c>
      <c r="EF103" s="25"/>
      <c r="EG103" s="26"/>
      <c r="EH103" s="27"/>
      <c r="EI103" s="28"/>
      <c r="EJ103" s="29"/>
      <c r="EK103" s="79">
        <f t="shared" si="17"/>
        <v>0</v>
      </c>
      <c r="EL103" s="80" t="e">
        <f>EK103*#REF!</f>
        <v>#REF!</v>
      </c>
      <c r="EM103" s="81" t="e">
        <f>EK103*#REF!</f>
        <v>#REF!</v>
      </c>
      <c r="EO103" s="25"/>
      <c r="EP103" s="26"/>
      <c r="EQ103" s="27"/>
      <c r="ER103" s="28"/>
      <c r="ES103" s="29"/>
      <c r="ET103" s="79">
        <f t="shared" si="18"/>
        <v>0</v>
      </c>
      <c r="EU103" s="80" t="e">
        <f>ET103*#REF!</f>
        <v>#REF!</v>
      </c>
      <c r="EV103" s="81" t="e">
        <f>ET103*#REF!</f>
        <v>#REF!</v>
      </c>
      <c r="EX103" s="25"/>
      <c r="EY103" s="26"/>
      <c r="EZ103" s="27"/>
      <c r="FA103" s="28"/>
      <c r="FB103" s="29"/>
      <c r="FC103" s="79">
        <f t="shared" si="19"/>
        <v>0</v>
      </c>
      <c r="FD103" s="80" t="e">
        <f>FC103*#REF!</f>
        <v>#REF!</v>
      </c>
      <c r="FE103" s="81" t="e">
        <f>FC103*#REF!</f>
        <v>#REF!</v>
      </c>
      <c r="FG103" s="25"/>
      <c r="FH103" s="26"/>
      <c r="FI103" s="27"/>
      <c r="FJ103" s="28"/>
      <c r="FK103" s="29"/>
      <c r="FL103" s="79">
        <f t="shared" si="20"/>
        <v>0</v>
      </c>
      <c r="FM103" s="80" t="e">
        <f>FL103*#REF!</f>
        <v>#REF!</v>
      </c>
      <c r="FN103" s="81" t="e">
        <f>FL103*#REF!</f>
        <v>#REF!</v>
      </c>
      <c r="FP103" s="25"/>
      <c r="FQ103" s="26"/>
      <c r="FR103" s="27"/>
      <c r="FS103" s="28"/>
      <c r="FT103" s="29"/>
      <c r="FU103" s="79">
        <f t="shared" si="21"/>
        <v>0</v>
      </c>
      <c r="FV103" s="80" t="e">
        <f>FU103*#REF!</f>
        <v>#REF!</v>
      </c>
      <c r="FW103" s="81" t="e">
        <f>FU103*#REF!</f>
        <v>#REF!</v>
      </c>
      <c r="FY103" s="25"/>
      <c r="FZ103" s="26"/>
      <c r="GA103" s="27"/>
      <c r="GB103" s="28"/>
      <c r="GC103" s="29"/>
      <c r="GD103" s="79">
        <f t="shared" si="22"/>
        <v>0</v>
      </c>
      <c r="GE103" s="80" t="e">
        <f>GD103*#REF!</f>
        <v>#REF!</v>
      </c>
      <c r="GF103" s="81" t="e">
        <f>GD103*#REF!</f>
        <v>#REF!</v>
      </c>
      <c r="GH103" s="25"/>
      <c r="GI103" s="26"/>
      <c r="GJ103" s="27"/>
      <c r="GK103" s="28"/>
      <c r="GL103" s="29"/>
      <c r="GM103" s="79">
        <f t="shared" si="23"/>
        <v>0</v>
      </c>
      <c r="GN103" s="80" t="e">
        <f>GM103*#REF!</f>
        <v>#REF!</v>
      </c>
      <c r="GO103" s="81" t="e">
        <f>GM103*#REF!</f>
        <v>#REF!</v>
      </c>
      <c r="GQ103" s="82">
        <f t="shared" si="25"/>
        <v>0</v>
      </c>
      <c r="GR103" s="83">
        <v>0</v>
      </c>
    </row>
    <row r="104" spans="2:200" ht="15">
      <c r="B104" s="22"/>
      <c r="C104" s="23"/>
      <c r="D104" s="24" t="str">
        <f>IF(C104="","",_xlfn.XLOOKUP(C104,'[1]Control Sheet'!$L$5:$L$104,'[1]Control Sheet'!$M$5:$M$104,"",0))</f>
        <v/>
      </c>
      <c r="E104" s="24" t="str">
        <f>IF(B104="","",_xlfn.XLOOKUP(B104,'[1]Control Sheet'!$D$5:$D$64,'[1]Control Sheet'!$F$5:$F$64,"",0))</f>
        <v/>
      </c>
      <c r="F104" s="24" t="str">
        <f>IF(B104="","",_xlfn.XLOOKUP(B104,'[1]Control Sheet'!$D$5:$D$64,'[1]Control Sheet'!$E$5:$E$64,"",0))</f>
        <v/>
      </c>
      <c r="I104" s="25"/>
      <c r="J104" s="26"/>
      <c r="K104" s="27"/>
      <c r="L104" s="28"/>
      <c r="M104" s="29"/>
      <c r="P104" s="25"/>
      <c r="Q104" s="26"/>
      <c r="R104" s="27"/>
      <c r="S104" s="28"/>
      <c r="T104" s="29"/>
      <c r="V104" s="25"/>
      <c r="W104" s="26"/>
      <c r="X104" s="27"/>
      <c r="Y104" s="28"/>
      <c r="Z104" s="29"/>
      <c r="AB104" s="25"/>
      <c r="AC104" s="26"/>
      <c r="AD104" s="27"/>
      <c r="AE104" s="28"/>
      <c r="AF104" s="29"/>
      <c r="AH104" s="25"/>
      <c r="AI104" s="26"/>
      <c r="AJ104" s="27"/>
      <c r="AK104" s="28"/>
      <c r="AL104" s="29"/>
      <c r="AN104" s="25"/>
      <c r="AO104" s="26"/>
      <c r="AP104" s="27"/>
      <c r="AQ104" s="28"/>
      <c r="AR104" s="29"/>
      <c r="AT104" s="25"/>
      <c r="AU104" s="26"/>
      <c r="AV104" s="27"/>
      <c r="AW104" s="28"/>
      <c r="AX104" s="29"/>
      <c r="AZ104" s="25"/>
      <c r="BA104" s="26"/>
      <c r="BB104" s="27"/>
      <c r="BC104" s="28"/>
      <c r="BD104" s="29"/>
      <c r="BF104" s="25"/>
      <c r="BG104" s="26"/>
      <c r="BH104" s="27"/>
      <c r="BI104" s="28"/>
      <c r="BJ104" s="29"/>
      <c r="BL104" s="25"/>
      <c r="BM104" s="26"/>
      <c r="BN104" s="27"/>
      <c r="BO104" s="28"/>
      <c r="BP104" s="29"/>
      <c r="BR104" s="25"/>
      <c r="BS104" s="26"/>
      <c r="BT104" s="27"/>
      <c r="BU104" s="28"/>
      <c r="BV104" s="29"/>
      <c r="BX104" s="25"/>
      <c r="BY104" s="26"/>
      <c r="BZ104" s="27"/>
      <c r="CA104" s="28"/>
      <c r="CB104" s="29"/>
      <c r="CD104" s="25"/>
      <c r="CE104" s="26"/>
      <c r="CF104" s="27"/>
      <c r="CG104" s="28"/>
      <c r="CH104" s="29"/>
      <c r="CJ104" s="25"/>
      <c r="CK104" s="26"/>
      <c r="CL104" s="27"/>
      <c r="CM104" s="28"/>
      <c r="CN104" s="29"/>
      <c r="CP104" s="25"/>
      <c r="CQ104" s="26"/>
      <c r="CR104" s="27"/>
      <c r="CS104" s="28"/>
      <c r="CT104" s="29"/>
      <c r="CV104" s="25"/>
      <c r="CW104" s="26"/>
      <c r="CX104" s="27"/>
      <c r="CY104" s="28"/>
      <c r="CZ104" s="29"/>
      <c r="DA104" s="79">
        <f t="shared" si="13"/>
        <v>0</v>
      </c>
      <c r="DB104" s="80" t="e">
        <f>DA104*#REF!</f>
        <v>#REF!</v>
      </c>
      <c r="DC104" s="81" t="e">
        <f>DA104*#REF!</f>
        <v>#REF!</v>
      </c>
      <c r="DE104" s="25"/>
      <c r="DF104" s="26"/>
      <c r="DG104" s="27"/>
      <c r="DH104" s="28"/>
      <c r="DI104" s="29"/>
      <c r="DJ104" s="79">
        <f t="shared" si="14"/>
        <v>0</v>
      </c>
      <c r="DK104" s="80" t="e">
        <f>DJ104*#REF!</f>
        <v>#REF!</v>
      </c>
      <c r="DL104" s="81" t="e">
        <f>DJ104*#REF!</f>
        <v>#REF!</v>
      </c>
      <c r="DN104" s="25"/>
      <c r="DO104" s="26"/>
      <c r="DP104" s="27"/>
      <c r="DQ104" s="28"/>
      <c r="DR104" s="29"/>
      <c r="DS104" s="79">
        <f t="shared" si="15"/>
        <v>0</v>
      </c>
      <c r="DT104" s="80" t="e">
        <f>DS104*#REF!</f>
        <v>#REF!</v>
      </c>
      <c r="DU104" s="81" t="e">
        <f>DS104*#REF!</f>
        <v>#REF!</v>
      </c>
      <c r="DW104" s="25"/>
      <c r="DX104" s="26"/>
      <c r="DY104" s="27"/>
      <c r="DZ104" s="28"/>
      <c r="EA104" s="29"/>
      <c r="EB104" s="79">
        <f t="shared" si="16"/>
        <v>0</v>
      </c>
      <c r="EC104" s="80" t="e">
        <f>EB104*#REF!</f>
        <v>#REF!</v>
      </c>
      <c r="ED104" s="81" t="e">
        <f>EB104*#REF!</f>
        <v>#REF!</v>
      </c>
      <c r="EF104" s="25"/>
      <c r="EG104" s="26"/>
      <c r="EH104" s="27"/>
      <c r="EI104" s="28"/>
      <c r="EJ104" s="29"/>
      <c r="EK104" s="79">
        <f t="shared" si="17"/>
        <v>0</v>
      </c>
      <c r="EL104" s="80" t="e">
        <f>EK104*#REF!</f>
        <v>#REF!</v>
      </c>
      <c r="EM104" s="81" t="e">
        <f>EK104*#REF!</f>
        <v>#REF!</v>
      </c>
      <c r="EO104" s="25"/>
      <c r="EP104" s="26"/>
      <c r="EQ104" s="27"/>
      <c r="ER104" s="28"/>
      <c r="ES104" s="29"/>
      <c r="ET104" s="79">
        <f t="shared" si="18"/>
        <v>0</v>
      </c>
      <c r="EU104" s="80" t="e">
        <f>ET104*#REF!</f>
        <v>#REF!</v>
      </c>
      <c r="EV104" s="81" t="e">
        <f>ET104*#REF!</f>
        <v>#REF!</v>
      </c>
      <c r="EX104" s="25"/>
      <c r="EY104" s="26"/>
      <c r="EZ104" s="27"/>
      <c r="FA104" s="28"/>
      <c r="FB104" s="29"/>
      <c r="FC104" s="79">
        <f t="shared" si="19"/>
        <v>0</v>
      </c>
      <c r="FD104" s="80" t="e">
        <f>FC104*#REF!</f>
        <v>#REF!</v>
      </c>
      <c r="FE104" s="81" t="e">
        <f>FC104*#REF!</f>
        <v>#REF!</v>
      </c>
      <c r="FG104" s="25"/>
      <c r="FH104" s="26"/>
      <c r="FI104" s="27"/>
      <c r="FJ104" s="28"/>
      <c r="FK104" s="29"/>
      <c r="FL104" s="79">
        <f t="shared" si="20"/>
        <v>0</v>
      </c>
      <c r="FM104" s="80" t="e">
        <f>FL104*#REF!</f>
        <v>#REF!</v>
      </c>
      <c r="FN104" s="81" t="e">
        <f>FL104*#REF!</f>
        <v>#REF!</v>
      </c>
      <c r="FP104" s="25"/>
      <c r="FQ104" s="26"/>
      <c r="FR104" s="27"/>
      <c r="FS104" s="28"/>
      <c r="FT104" s="29"/>
      <c r="FU104" s="79">
        <f t="shared" si="21"/>
        <v>0</v>
      </c>
      <c r="FV104" s="80" t="e">
        <f>FU104*#REF!</f>
        <v>#REF!</v>
      </c>
      <c r="FW104" s="81" t="e">
        <f>FU104*#REF!</f>
        <v>#REF!</v>
      </c>
      <c r="FY104" s="25"/>
      <c r="FZ104" s="26"/>
      <c r="GA104" s="27"/>
      <c r="GB104" s="28"/>
      <c r="GC104" s="29"/>
      <c r="GD104" s="79">
        <f t="shared" si="22"/>
        <v>0</v>
      </c>
      <c r="GE104" s="80" t="e">
        <f>GD104*#REF!</f>
        <v>#REF!</v>
      </c>
      <c r="GF104" s="81" t="e">
        <f>GD104*#REF!</f>
        <v>#REF!</v>
      </c>
      <c r="GH104" s="25"/>
      <c r="GI104" s="26"/>
      <c r="GJ104" s="27"/>
      <c r="GK104" s="28"/>
      <c r="GL104" s="29"/>
      <c r="GM104" s="79">
        <f t="shared" si="23"/>
        <v>0</v>
      </c>
      <c r="GN104" s="80" t="e">
        <f>GM104*#REF!</f>
        <v>#REF!</v>
      </c>
      <c r="GO104" s="81" t="e">
        <f>GM104*#REF!</f>
        <v>#REF!</v>
      </c>
      <c r="GQ104" s="82">
        <f t="shared" si="25"/>
        <v>0</v>
      </c>
      <c r="GR104" s="83">
        <v>0</v>
      </c>
    </row>
    <row r="105" spans="2:200" ht="15">
      <c r="B105" s="22"/>
      <c r="C105" s="23"/>
      <c r="D105" s="24" t="str">
        <f>IF(C105="","",_xlfn.XLOOKUP(C105,'[1]Control Sheet'!$L$5:$L$104,'[1]Control Sheet'!$M$5:$M$104,"",0))</f>
        <v/>
      </c>
      <c r="E105" s="24" t="str">
        <f>IF(B105="","",_xlfn.XLOOKUP(B105,'[1]Control Sheet'!$D$5:$D$64,'[1]Control Sheet'!$F$5:$F$64,"",0))</f>
        <v/>
      </c>
      <c r="F105" s="24" t="str">
        <f>IF(B105="","",_xlfn.XLOOKUP(B105,'[1]Control Sheet'!$D$5:$D$64,'[1]Control Sheet'!$E$5:$E$64,"",0))</f>
        <v/>
      </c>
      <c r="I105" s="25"/>
      <c r="J105" s="26"/>
      <c r="K105" s="27"/>
      <c r="L105" s="28"/>
      <c r="M105" s="29"/>
      <c r="P105" s="25"/>
      <c r="Q105" s="26"/>
      <c r="R105" s="27"/>
      <c r="S105" s="28"/>
      <c r="T105" s="29"/>
      <c r="V105" s="25"/>
      <c r="W105" s="26"/>
      <c r="X105" s="27"/>
      <c r="Y105" s="28"/>
      <c r="Z105" s="29"/>
      <c r="AB105" s="25"/>
      <c r="AC105" s="26"/>
      <c r="AD105" s="27"/>
      <c r="AE105" s="28"/>
      <c r="AF105" s="29"/>
      <c r="AH105" s="25"/>
      <c r="AI105" s="26"/>
      <c r="AJ105" s="27"/>
      <c r="AK105" s="28"/>
      <c r="AL105" s="29"/>
      <c r="AN105" s="25"/>
      <c r="AO105" s="26"/>
      <c r="AP105" s="27"/>
      <c r="AQ105" s="28"/>
      <c r="AR105" s="29"/>
      <c r="AT105" s="25"/>
      <c r="AU105" s="26"/>
      <c r="AV105" s="27"/>
      <c r="AW105" s="28"/>
      <c r="AX105" s="29"/>
      <c r="AZ105" s="25"/>
      <c r="BA105" s="26"/>
      <c r="BB105" s="27"/>
      <c r="BC105" s="28"/>
      <c r="BD105" s="29"/>
      <c r="BF105" s="25"/>
      <c r="BG105" s="26"/>
      <c r="BH105" s="27"/>
      <c r="BI105" s="28"/>
      <c r="BJ105" s="29"/>
      <c r="BL105" s="25"/>
      <c r="BM105" s="26"/>
      <c r="BN105" s="27"/>
      <c r="BO105" s="28"/>
      <c r="BP105" s="29"/>
      <c r="BR105" s="25"/>
      <c r="BS105" s="26"/>
      <c r="BT105" s="27"/>
      <c r="BU105" s="28"/>
      <c r="BV105" s="29"/>
      <c r="BX105" s="25"/>
      <c r="BY105" s="26"/>
      <c r="BZ105" s="27"/>
      <c r="CA105" s="28"/>
      <c r="CB105" s="29"/>
      <c r="CD105" s="25"/>
      <c r="CE105" s="26"/>
      <c r="CF105" s="27"/>
      <c r="CG105" s="28"/>
      <c r="CH105" s="29"/>
      <c r="CJ105" s="25"/>
      <c r="CK105" s="26"/>
      <c r="CL105" s="27"/>
      <c r="CM105" s="28"/>
      <c r="CN105" s="29"/>
      <c r="CP105" s="25"/>
      <c r="CQ105" s="26"/>
      <c r="CR105" s="27"/>
      <c r="CS105" s="28"/>
      <c r="CT105" s="29"/>
      <c r="CV105" s="25"/>
      <c r="CW105" s="26"/>
      <c r="CX105" s="27"/>
      <c r="CY105" s="28"/>
      <c r="CZ105" s="29"/>
      <c r="DA105" s="79">
        <f t="shared" si="13"/>
        <v>0</v>
      </c>
      <c r="DB105" s="80" t="e">
        <f>DA105*#REF!</f>
        <v>#REF!</v>
      </c>
      <c r="DC105" s="81" t="e">
        <f>DA105*#REF!</f>
        <v>#REF!</v>
      </c>
      <c r="DE105" s="25"/>
      <c r="DF105" s="26"/>
      <c r="DG105" s="27"/>
      <c r="DH105" s="28"/>
      <c r="DI105" s="29"/>
      <c r="DJ105" s="79">
        <f t="shared" si="14"/>
        <v>0</v>
      </c>
      <c r="DK105" s="80" t="e">
        <f>DJ105*#REF!</f>
        <v>#REF!</v>
      </c>
      <c r="DL105" s="81" t="e">
        <f>DJ105*#REF!</f>
        <v>#REF!</v>
      </c>
      <c r="DN105" s="25"/>
      <c r="DO105" s="26"/>
      <c r="DP105" s="27"/>
      <c r="DQ105" s="28"/>
      <c r="DR105" s="29"/>
      <c r="DS105" s="79">
        <f t="shared" si="15"/>
        <v>0</v>
      </c>
      <c r="DT105" s="80" t="e">
        <f>DS105*#REF!</f>
        <v>#REF!</v>
      </c>
      <c r="DU105" s="81" t="e">
        <f>DS105*#REF!</f>
        <v>#REF!</v>
      </c>
      <c r="DW105" s="25"/>
      <c r="DX105" s="26"/>
      <c r="DY105" s="27"/>
      <c r="DZ105" s="28"/>
      <c r="EA105" s="29"/>
      <c r="EB105" s="79">
        <f t="shared" si="16"/>
        <v>0</v>
      </c>
      <c r="EC105" s="80" t="e">
        <f>EB105*#REF!</f>
        <v>#REF!</v>
      </c>
      <c r="ED105" s="81" t="e">
        <f>EB105*#REF!</f>
        <v>#REF!</v>
      </c>
      <c r="EF105" s="25"/>
      <c r="EG105" s="26"/>
      <c r="EH105" s="27"/>
      <c r="EI105" s="28"/>
      <c r="EJ105" s="29"/>
      <c r="EK105" s="79">
        <f t="shared" si="17"/>
        <v>0</v>
      </c>
      <c r="EL105" s="80" t="e">
        <f>EK105*#REF!</f>
        <v>#REF!</v>
      </c>
      <c r="EM105" s="81" t="e">
        <f>EK105*#REF!</f>
        <v>#REF!</v>
      </c>
      <c r="EO105" s="25"/>
      <c r="EP105" s="26"/>
      <c r="EQ105" s="27"/>
      <c r="ER105" s="28"/>
      <c r="ES105" s="29"/>
      <c r="ET105" s="79">
        <f t="shared" si="18"/>
        <v>0</v>
      </c>
      <c r="EU105" s="80" t="e">
        <f>ET105*#REF!</f>
        <v>#REF!</v>
      </c>
      <c r="EV105" s="81" t="e">
        <f>ET105*#REF!</f>
        <v>#REF!</v>
      </c>
      <c r="EX105" s="25"/>
      <c r="EY105" s="26"/>
      <c r="EZ105" s="27"/>
      <c r="FA105" s="28"/>
      <c r="FB105" s="29"/>
      <c r="FC105" s="79">
        <f t="shared" si="19"/>
        <v>0</v>
      </c>
      <c r="FD105" s="80" t="e">
        <f>FC105*#REF!</f>
        <v>#REF!</v>
      </c>
      <c r="FE105" s="81" t="e">
        <f>FC105*#REF!</f>
        <v>#REF!</v>
      </c>
      <c r="FG105" s="25"/>
      <c r="FH105" s="26"/>
      <c r="FI105" s="27"/>
      <c r="FJ105" s="28"/>
      <c r="FK105" s="29"/>
      <c r="FL105" s="79">
        <f t="shared" si="20"/>
        <v>0</v>
      </c>
      <c r="FM105" s="80" t="e">
        <f>FL105*#REF!</f>
        <v>#REF!</v>
      </c>
      <c r="FN105" s="81" t="e">
        <f>FL105*#REF!</f>
        <v>#REF!</v>
      </c>
      <c r="FP105" s="25"/>
      <c r="FQ105" s="26"/>
      <c r="FR105" s="27"/>
      <c r="FS105" s="28"/>
      <c r="FT105" s="29"/>
      <c r="FU105" s="79">
        <f t="shared" si="21"/>
        <v>0</v>
      </c>
      <c r="FV105" s="80" t="e">
        <f>FU105*#REF!</f>
        <v>#REF!</v>
      </c>
      <c r="FW105" s="81" t="e">
        <f>FU105*#REF!</f>
        <v>#REF!</v>
      </c>
      <c r="FY105" s="25"/>
      <c r="FZ105" s="26"/>
      <c r="GA105" s="27"/>
      <c r="GB105" s="28"/>
      <c r="GC105" s="29"/>
      <c r="GD105" s="79">
        <f t="shared" si="22"/>
        <v>0</v>
      </c>
      <c r="GE105" s="80" t="e">
        <f>GD105*#REF!</f>
        <v>#REF!</v>
      </c>
      <c r="GF105" s="81" t="e">
        <f>GD105*#REF!</f>
        <v>#REF!</v>
      </c>
      <c r="GH105" s="25"/>
      <c r="GI105" s="26"/>
      <c r="GJ105" s="27"/>
      <c r="GK105" s="28"/>
      <c r="GL105" s="29"/>
      <c r="GM105" s="79">
        <f t="shared" si="23"/>
        <v>0</v>
      </c>
      <c r="GN105" s="80" t="e">
        <f>GM105*#REF!</f>
        <v>#REF!</v>
      </c>
      <c r="GO105" s="81" t="e">
        <f>GM105*#REF!</f>
        <v>#REF!</v>
      </c>
      <c r="GQ105" s="82">
        <f t="shared" si="25"/>
        <v>0</v>
      </c>
      <c r="GR105" s="83">
        <v>0</v>
      </c>
    </row>
    <row r="106" spans="2:200" ht="15">
      <c r="B106" s="22"/>
      <c r="C106" s="23"/>
      <c r="D106" s="24" t="str">
        <f>IF(C106="","",_xlfn.XLOOKUP(C106,'[1]Control Sheet'!$L$5:$L$104,'[1]Control Sheet'!$M$5:$M$104,"",0))</f>
        <v/>
      </c>
      <c r="E106" s="24" t="str">
        <f>IF(B106="","",_xlfn.XLOOKUP(B106,'[1]Control Sheet'!$D$5:$D$64,'[1]Control Sheet'!$F$5:$F$64,"",0))</f>
        <v/>
      </c>
      <c r="F106" s="24" t="str">
        <f>IF(B106="","",_xlfn.XLOOKUP(B106,'[1]Control Sheet'!$D$5:$D$64,'[1]Control Sheet'!$E$5:$E$64,"",0))</f>
        <v/>
      </c>
      <c r="I106" s="25"/>
      <c r="J106" s="26"/>
      <c r="K106" s="27"/>
      <c r="L106" s="28"/>
      <c r="M106" s="29"/>
      <c r="P106" s="25"/>
      <c r="Q106" s="26"/>
      <c r="R106" s="27"/>
      <c r="S106" s="28"/>
      <c r="T106" s="29"/>
      <c r="V106" s="25"/>
      <c r="W106" s="26"/>
      <c r="X106" s="27"/>
      <c r="Y106" s="28"/>
      <c r="Z106" s="29"/>
      <c r="AB106" s="25"/>
      <c r="AC106" s="26"/>
      <c r="AD106" s="27"/>
      <c r="AE106" s="28"/>
      <c r="AF106" s="29"/>
      <c r="AH106" s="25"/>
      <c r="AI106" s="26"/>
      <c r="AJ106" s="27"/>
      <c r="AK106" s="28"/>
      <c r="AL106" s="29"/>
      <c r="AN106" s="25"/>
      <c r="AO106" s="26"/>
      <c r="AP106" s="27"/>
      <c r="AQ106" s="28"/>
      <c r="AR106" s="29"/>
      <c r="AT106" s="25"/>
      <c r="AU106" s="26"/>
      <c r="AV106" s="27"/>
      <c r="AW106" s="28"/>
      <c r="AX106" s="29"/>
      <c r="AZ106" s="25"/>
      <c r="BA106" s="26"/>
      <c r="BB106" s="27"/>
      <c r="BC106" s="28"/>
      <c r="BD106" s="29"/>
      <c r="BF106" s="25"/>
      <c r="BG106" s="26"/>
      <c r="BH106" s="27"/>
      <c r="BI106" s="28"/>
      <c r="BJ106" s="29"/>
      <c r="BL106" s="25"/>
      <c r="BM106" s="26"/>
      <c r="BN106" s="27"/>
      <c r="BO106" s="28"/>
      <c r="BP106" s="29"/>
      <c r="BR106" s="25"/>
      <c r="BS106" s="26"/>
      <c r="BT106" s="27"/>
      <c r="BU106" s="28"/>
      <c r="BV106" s="29"/>
      <c r="BX106" s="25"/>
      <c r="BY106" s="26"/>
      <c r="BZ106" s="27"/>
      <c r="CA106" s="28"/>
      <c r="CB106" s="29"/>
      <c r="CD106" s="25"/>
      <c r="CE106" s="26"/>
      <c r="CF106" s="27"/>
      <c r="CG106" s="28"/>
      <c r="CH106" s="29"/>
      <c r="CJ106" s="25"/>
      <c r="CK106" s="26"/>
      <c r="CL106" s="27"/>
      <c r="CM106" s="28"/>
      <c r="CN106" s="29"/>
      <c r="CP106" s="25"/>
      <c r="CQ106" s="26"/>
      <c r="CR106" s="27"/>
      <c r="CS106" s="28"/>
      <c r="CT106" s="29"/>
      <c r="CV106" s="25"/>
      <c r="CW106" s="26"/>
      <c r="CX106" s="27"/>
      <c r="CY106" s="28"/>
      <c r="CZ106" s="29"/>
      <c r="DA106" s="79">
        <f t="shared" si="13"/>
        <v>0</v>
      </c>
      <c r="DB106" s="80" t="e">
        <f>DA106*#REF!</f>
        <v>#REF!</v>
      </c>
      <c r="DC106" s="81" t="e">
        <f>DA106*#REF!</f>
        <v>#REF!</v>
      </c>
      <c r="DE106" s="25"/>
      <c r="DF106" s="26"/>
      <c r="DG106" s="27"/>
      <c r="DH106" s="28"/>
      <c r="DI106" s="29"/>
      <c r="DJ106" s="79">
        <f t="shared" si="14"/>
        <v>0</v>
      </c>
      <c r="DK106" s="80" t="e">
        <f>DJ106*#REF!</f>
        <v>#REF!</v>
      </c>
      <c r="DL106" s="81" t="e">
        <f>DJ106*#REF!</f>
        <v>#REF!</v>
      </c>
      <c r="DN106" s="25"/>
      <c r="DO106" s="26"/>
      <c r="DP106" s="27"/>
      <c r="DQ106" s="28"/>
      <c r="DR106" s="29"/>
      <c r="DS106" s="79">
        <f t="shared" si="15"/>
        <v>0</v>
      </c>
      <c r="DT106" s="80" t="e">
        <f>DS106*#REF!</f>
        <v>#REF!</v>
      </c>
      <c r="DU106" s="81" t="e">
        <f>DS106*#REF!</f>
        <v>#REF!</v>
      </c>
      <c r="DW106" s="25"/>
      <c r="DX106" s="26"/>
      <c r="DY106" s="27"/>
      <c r="DZ106" s="28"/>
      <c r="EA106" s="29"/>
      <c r="EB106" s="79">
        <f t="shared" si="16"/>
        <v>0</v>
      </c>
      <c r="EC106" s="80" t="e">
        <f>EB106*#REF!</f>
        <v>#REF!</v>
      </c>
      <c r="ED106" s="81" t="e">
        <f>EB106*#REF!</f>
        <v>#REF!</v>
      </c>
      <c r="EF106" s="25"/>
      <c r="EG106" s="26"/>
      <c r="EH106" s="27"/>
      <c r="EI106" s="28"/>
      <c r="EJ106" s="29"/>
      <c r="EK106" s="79">
        <f t="shared" si="17"/>
        <v>0</v>
      </c>
      <c r="EL106" s="80" t="e">
        <f>EK106*#REF!</f>
        <v>#REF!</v>
      </c>
      <c r="EM106" s="81" t="e">
        <f>EK106*#REF!</f>
        <v>#REF!</v>
      </c>
      <c r="EO106" s="25"/>
      <c r="EP106" s="26"/>
      <c r="EQ106" s="27"/>
      <c r="ER106" s="28"/>
      <c r="ES106" s="29"/>
      <c r="ET106" s="79">
        <f t="shared" si="18"/>
        <v>0</v>
      </c>
      <c r="EU106" s="80" t="e">
        <f>ET106*#REF!</f>
        <v>#REF!</v>
      </c>
      <c r="EV106" s="81" t="e">
        <f>ET106*#REF!</f>
        <v>#REF!</v>
      </c>
      <c r="EX106" s="25"/>
      <c r="EY106" s="26"/>
      <c r="EZ106" s="27"/>
      <c r="FA106" s="28"/>
      <c r="FB106" s="29"/>
      <c r="FC106" s="79">
        <f t="shared" si="19"/>
        <v>0</v>
      </c>
      <c r="FD106" s="80" t="e">
        <f>FC106*#REF!</f>
        <v>#REF!</v>
      </c>
      <c r="FE106" s="81" t="e">
        <f>FC106*#REF!</f>
        <v>#REF!</v>
      </c>
      <c r="FG106" s="25"/>
      <c r="FH106" s="26"/>
      <c r="FI106" s="27"/>
      <c r="FJ106" s="28"/>
      <c r="FK106" s="29"/>
      <c r="FL106" s="79">
        <f t="shared" si="20"/>
        <v>0</v>
      </c>
      <c r="FM106" s="80" t="e">
        <f>FL106*#REF!</f>
        <v>#REF!</v>
      </c>
      <c r="FN106" s="81" t="e">
        <f>FL106*#REF!</f>
        <v>#REF!</v>
      </c>
      <c r="FP106" s="25"/>
      <c r="FQ106" s="26"/>
      <c r="FR106" s="27"/>
      <c r="FS106" s="28"/>
      <c r="FT106" s="29"/>
      <c r="FU106" s="79">
        <f t="shared" si="21"/>
        <v>0</v>
      </c>
      <c r="FV106" s="80" t="e">
        <f>FU106*#REF!</f>
        <v>#REF!</v>
      </c>
      <c r="FW106" s="81" t="e">
        <f>FU106*#REF!</f>
        <v>#REF!</v>
      </c>
      <c r="FY106" s="25"/>
      <c r="FZ106" s="26"/>
      <c r="GA106" s="27"/>
      <c r="GB106" s="28"/>
      <c r="GC106" s="29"/>
      <c r="GD106" s="79">
        <f t="shared" si="22"/>
        <v>0</v>
      </c>
      <c r="GE106" s="80" t="e">
        <f>GD106*#REF!</f>
        <v>#REF!</v>
      </c>
      <c r="GF106" s="81" t="e">
        <f>GD106*#REF!</f>
        <v>#REF!</v>
      </c>
      <c r="GH106" s="25"/>
      <c r="GI106" s="26"/>
      <c r="GJ106" s="27"/>
      <c r="GK106" s="28"/>
      <c r="GL106" s="29"/>
      <c r="GM106" s="79">
        <f t="shared" si="23"/>
        <v>0</v>
      </c>
      <c r="GN106" s="80" t="e">
        <f>GM106*#REF!</f>
        <v>#REF!</v>
      </c>
      <c r="GO106" s="81" t="e">
        <f>GM106*#REF!</f>
        <v>#REF!</v>
      </c>
      <c r="GQ106" s="82">
        <f t="shared" si="25"/>
        <v>0</v>
      </c>
      <c r="GR106" s="83">
        <v>0</v>
      </c>
    </row>
    <row r="107" spans="2:200" ht="15">
      <c r="B107" s="22"/>
      <c r="C107" s="23"/>
      <c r="D107" s="24" t="str">
        <f>IF(C107="","",_xlfn.XLOOKUP(C107,'[1]Control Sheet'!$L$5:$L$104,'[1]Control Sheet'!$M$5:$M$104,"",0))</f>
        <v/>
      </c>
      <c r="E107" s="24" t="str">
        <f>IF(B107="","",_xlfn.XLOOKUP(B107,'[1]Control Sheet'!$D$5:$D$64,'[1]Control Sheet'!$F$5:$F$64,"",0))</f>
        <v/>
      </c>
      <c r="F107" s="24" t="str">
        <f>IF(B107="","",_xlfn.XLOOKUP(B107,'[1]Control Sheet'!$D$5:$D$64,'[1]Control Sheet'!$E$5:$E$64,"",0))</f>
        <v/>
      </c>
      <c r="I107" s="25"/>
      <c r="J107" s="26"/>
      <c r="K107" s="27"/>
      <c r="L107" s="28"/>
      <c r="M107" s="29"/>
      <c r="P107" s="25"/>
      <c r="Q107" s="26"/>
      <c r="R107" s="27"/>
      <c r="S107" s="28"/>
      <c r="T107" s="29"/>
      <c r="V107" s="25"/>
      <c r="W107" s="26"/>
      <c r="X107" s="27"/>
      <c r="Y107" s="28"/>
      <c r="Z107" s="29"/>
      <c r="AB107" s="25"/>
      <c r="AC107" s="26"/>
      <c r="AD107" s="27"/>
      <c r="AE107" s="28"/>
      <c r="AF107" s="29"/>
      <c r="AH107" s="25"/>
      <c r="AI107" s="26"/>
      <c r="AJ107" s="27"/>
      <c r="AK107" s="28"/>
      <c r="AL107" s="29"/>
      <c r="AN107" s="25"/>
      <c r="AO107" s="26"/>
      <c r="AP107" s="27"/>
      <c r="AQ107" s="28"/>
      <c r="AR107" s="29"/>
      <c r="AT107" s="25"/>
      <c r="AU107" s="26"/>
      <c r="AV107" s="27"/>
      <c r="AW107" s="28"/>
      <c r="AX107" s="29"/>
      <c r="AZ107" s="25"/>
      <c r="BA107" s="26"/>
      <c r="BB107" s="27"/>
      <c r="BC107" s="28"/>
      <c r="BD107" s="29"/>
      <c r="BF107" s="25"/>
      <c r="BG107" s="26"/>
      <c r="BH107" s="27"/>
      <c r="BI107" s="28"/>
      <c r="BJ107" s="29"/>
      <c r="BL107" s="25"/>
      <c r="BM107" s="26"/>
      <c r="BN107" s="27"/>
      <c r="BO107" s="28"/>
      <c r="BP107" s="29"/>
      <c r="BR107" s="25"/>
      <c r="BS107" s="26"/>
      <c r="BT107" s="27"/>
      <c r="BU107" s="28"/>
      <c r="BV107" s="29"/>
      <c r="BX107" s="25"/>
      <c r="BY107" s="26"/>
      <c r="BZ107" s="27"/>
      <c r="CA107" s="28"/>
      <c r="CB107" s="29"/>
      <c r="CD107" s="25"/>
      <c r="CE107" s="26"/>
      <c r="CF107" s="27"/>
      <c r="CG107" s="28"/>
      <c r="CH107" s="29"/>
      <c r="CJ107" s="25"/>
      <c r="CK107" s="26"/>
      <c r="CL107" s="27"/>
      <c r="CM107" s="28"/>
      <c r="CN107" s="29"/>
      <c r="CP107" s="25"/>
      <c r="CQ107" s="26"/>
      <c r="CR107" s="27"/>
      <c r="CS107" s="28"/>
      <c r="CT107" s="29"/>
      <c r="CV107" s="25"/>
      <c r="CW107" s="26"/>
      <c r="CX107" s="27"/>
      <c r="CY107" s="28"/>
      <c r="CZ107" s="29"/>
      <c r="DA107" s="79">
        <f t="shared" si="13"/>
        <v>0</v>
      </c>
      <c r="DB107" s="80" t="e">
        <f>DA107*#REF!</f>
        <v>#REF!</v>
      </c>
      <c r="DC107" s="81" t="e">
        <f>DA107*#REF!</f>
        <v>#REF!</v>
      </c>
      <c r="DE107" s="25"/>
      <c r="DF107" s="26"/>
      <c r="DG107" s="27"/>
      <c r="DH107" s="28"/>
      <c r="DI107" s="29"/>
      <c r="DJ107" s="79">
        <f t="shared" si="14"/>
        <v>0</v>
      </c>
      <c r="DK107" s="80" t="e">
        <f>DJ107*#REF!</f>
        <v>#REF!</v>
      </c>
      <c r="DL107" s="81" t="e">
        <f>DJ107*#REF!</f>
        <v>#REF!</v>
      </c>
      <c r="DN107" s="25"/>
      <c r="DO107" s="26"/>
      <c r="DP107" s="27"/>
      <c r="DQ107" s="28"/>
      <c r="DR107" s="29"/>
      <c r="DS107" s="79">
        <f t="shared" si="15"/>
        <v>0</v>
      </c>
      <c r="DT107" s="80" t="e">
        <f>DS107*#REF!</f>
        <v>#REF!</v>
      </c>
      <c r="DU107" s="81" t="e">
        <f>DS107*#REF!</f>
        <v>#REF!</v>
      </c>
      <c r="DW107" s="25"/>
      <c r="DX107" s="26"/>
      <c r="DY107" s="27"/>
      <c r="DZ107" s="28"/>
      <c r="EA107" s="29"/>
      <c r="EB107" s="79">
        <f t="shared" si="16"/>
        <v>0</v>
      </c>
      <c r="EC107" s="80" t="e">
        <f>EB107*#REF!</f>
        <v>#REF!</v>
      </c>
      <c r="ED107" s="81" t="e">
        <f>EB107*#REF!</f>
        <v>#REF!</v>
      </c>
      <c r="EF107" s="25"/>
      <c r="EG107" s="26"/>
      <c r="EH107" s="27"/>
      <c r="EI107" s="28"/>
      <c r="EJ107" s="29"/>
      <c r="EK107" s="79">
        <f t="shared" si="17"/>
        <v>0</v>
      </c>
      <c r="EL107" s="80" t="e">
        <f>EK107*#REF!</f>
        <v>#REF!</v>
      </c>
      <c r="EM107" s="81" t="e">
        <f>EK107*#REF!</f>
        <v>#REF!</v>
      </c>
      <c r="EO107" s="25"/>
      <c r="EP107" s="26"/>
      <c r="EQ107" s="27"/>
      <c r="ER107" s="28"/>
      <c r="ES107" s="29"/>
      <c r="ET107" s="79">
        <f t="shared" si="18"/>
        <v>0</v>
      </c>
      <c r="EU107" s="80" t="e">
        <f>ET107*#REF!</f>
        <v>#REF!</v>
      </c>
      <c r="EV107" s="81" t="e">
        <f>ET107*#REF!</f>
        <v>#REF!</v>
      </c>
      <c r="EX107" s="25"/>
      <c r="EY107" s="26"/>
      <c r="EZ107" s="27"/>
      <c r="FA107" s="28"/>
      <c r="FB107" s="29"/>
      <c r="FC107" s="79">
        <f t="shared" si="19"/>
        <v>0</v>
      </c>
      <c r="FD107" s="80" t="e">
        <f>FC107*#REF!</f>
        <v>#REF!</v>
      </c>
      <c r="FE107" s="81" t="e">
        <f>FC107*#REF!</f>
        <v>#REF!</v>
      </c>
      <c r="FG107" s="25"/>
      <c r="FH107" s="26"/>
      <c r="FI107" s="27"/>
      <c r="FJ107" s="28"/>
      <c r="FK107" s="29"/>
      <c r="FL107" s="79">
        <f t="shared" si="20"/>
        <v>0</v>
      </c>
      <c r="FM107" s="80" t="e">
        <f>FL107*#REF!</f>
        <v>#REF!</v>
      </c>
      <c r="FN107" s="81" t="e">
        <f>FL107*#REF!</f>
        <v>#REF!</v>
      </c>
      <c r="FP107" s="25"/>
      <c r="FQ107" s="26"/>
      <c r="FR107" s="27"/>
      <c r="FS107" s="28"/>
      <c r="FT107" s="29"/>
      <c r="FU107" s="79">
        <f t="shared" si="21"/>
        <v>0</v>
      </c>
      <c r="FV107" s="80" t="e">
        <f>FU107*#REF!</f>
        <v>#REF!</v>
      </c>
      <c r="FW107" s="81" t="e">
        <f>FU107*#REF!</f>
        <v>#REF!</v>
      </c>
      <c r="FY107" s="25"/>
      <c r="FZ107" s="26"/>
      <c r="GA107" s="27"/>
      <c r="GB107" s="28"/>
      <c r="GC107" s="29"/>
      <c r="GD107" s="79">
        <f t="shared" si="22"/>
        <v>0</v>
      </c>
      <c r="GE107" s="80" t="e">
        <f>GD107*#REF!</f>
        <v>#REF!</v>
      </c>
      <c r="GF107" s="81" t="e">
        <f>GD107*#REF!</f>
        <v>#REF!</v>
      </c>
      <c r="GH107" s="25"/>
      <c r="GI107" s="26"/>
      <c r="GJ107" s="27"/>
      <c r="GK107" s="28"/>
      <c r="GL107" s="29"/>
      <c r="GM107" s="79">
        <f t="shared" si="23"/>
        <v>0</v>
      </c>
      <c r="GN107" s="80" t="e">
        <f>GM107*#REF!</f>
        <v>#REF!</v>
      </c>
      <c r="GO107" s="81" t="e">
        <f>GM107*#REF!</f>
        <v>#REF!</v>
      </c>
      <c r="GQ107" s="82">
        <f t="shared" si="25"/>
        <v>0</v>
      </c>
      <c r="GR107" s="83">
        <v>0</v>
      </c>
    </row>
    <row r="108" spans="2:200" ht="15">
      <c r="B108" s="22"/>
      <c r="C108" s="23"/>
      <c r="D108" s="24" t="str">
        <f>IF(C108="","",_xlfn.XLOOKUP(C108,'[1]Control Sheet'!$L$5:$L$104,'[1]Control Sheet'!$M$5:$M$104,"",0))</f>
        <v/>
      </c>
      <c r="E108" s="24" t="str">
        <f>IF(B108="","",_xlfn.XLOOKUP(B108,'[1]Control Sheet'!$D$5:$D$64,'[1]Control Sheet'!$F$5:$F$64,"",0))</f>
        <v/>
      </c>
      <c r="F108" s="24" t="str">
        <f>IF(B108="","",_xlfn.XLOOKUP(B108,'[1]Control Sheet'!$D$5:$D$64,'[1]Control Sheet'!$E$5:$E$64,"",0))</f>
        <v/>
      </c>
      <c r="I108" s="25"/>
      <c r="J108" s="26"/>
      <c r="K108" s="27"/>
      <c r="L108" s="28"/>
      <c r="M108" s="29"/>
      <c r="P108" s="25"/>
      <c r="Q108" s="26"/>
      <c r="R108" s="27"/>
      <c r="S108" s="28"/>
      <c r="T108" s="29"/>
      <c r="V108" s="25"/>
      <c r="W108" s="26"/>
      <c r="X108" s="27"/>
      <c r="Y108" s="28"/>
      <c r="Z108" s="29"/>
      <c r="AB108" s="25"/>
      <c r="AC108" s="26"/>
      <c r="AD108" s="27"/>
      <c r="AE108" s="28"/>
      <c r="AF108" s="29"/>
      <c r="AH108" s="25"/>
      <c r="AI108" s="26"/>
      <c r="AJ108" s="27"/>
      <c r="AK108" s="28"/>
      <c r="AL108" s="29"/>
      <c r="AN108" s="25"/>
      <c r="AO108" s="26"/>
      <c r="AP108" s="27"/>
      <c r="AQ108" s="28"/>
      <c r="AR108" s="29"/>
      <c r="AT108" s="25"/>
      <c r="AU108" s="26"/>
      <c r="AV108" s="27"/>
      <c r="AW108" s="28"/>
      <c r="AX108" s="29"/>
      <c r="AZ108" s="25"/>
      <c r="BA108" s="26"/>
      <c r="BB108" s="27"/>
      <c r="BC108" s="28"/>
      <c r="BD108" s="29"/>
      <c r="BF108" s="25"/>
      <c r="BG108" s="26"/>
      <c r="BH108" s="27"/>
      <c r="BI108" s="28"/>
      <c r="BJ108" s="29"/>
      <c r="BL108" s="25"/>
      <c r="BM108" s="26"/>
      <c r="BN108" s="27"/>
      <c r="BO108" s="28"/>
      <c r="BP108" s="29"/>
      <c r="BR108" s="25"/>
      <c r="BS108" s="26"/>
      <c r="BT108" s="27"/>
      <c r="BU108" s="28"/>
      <c r="BV108" s="29"/>
      <c r="BX108" s="25"/>
      <c r="BY108" s="26"/>
      <c r="BZ108" s="27"/>
      <c r="CA108" s="28"/>
      <c r="CB108" s="29"/>
      <c r="CD108" s="25"/>
      <c r="CE108" s="26"/>
      <c r="CF108" s="27"/>
      <c r="CG108" s="28"/>
      <c r="CH108" s="29"/>
      <c r="CJ108" s="25"/>
      <c r="CK108" s="26"/>
      <c r="CL108" s="27"/>
      <c r="CM108" s="28"/>
      <c r="CN108" s="29"/>
      <c r="CP108" s="25"/>
      <c r="CQ108" s="26"/>
      <c r="CR108" s="27"/>
      <c r="CS108" s="28"/>
      <c r="CT108" s="29"/>
      <c r="CV108" s="25"/>
      <c r="CW108" s="26"/>
      <c r="CX108" s="27"/>
      <c r="CY108" s="28"/>
      <c r="CZ108" s="29"/>
      <c r="DA108" s="79">
        <f t="shared" si="13"/>
        <v>0</v>
      </c>
      <c r="DB108" s="80" t="e">
        <f>DA108*#REF!</f>
        <v>#REF!</v>
      </c>
      <c r="DC108" s="81" t="e">
        <f>DA108*#REF!</f>
        <v>#REF!</v>
      </c>
      <c r="DE108" s="25"/>
      <c r="DF108" s="26"/>
      <c r="DG108" s="27"/>
      <c r="DH108" s="28"/>
      <c r="DI108" s="29"/>
      <c r="DJ108" s="79">
        <f t="shared" si="14"/>
        <v>0</v>
      </c>
      <c r="DK108" s="80" t="e">
        <f>DJ108*#REF!</f>
        <v>#REF!</v>
      </c>
      <c r="DL108" s="81" t="e">
        <f>DJ108*#REF!</f>
        <v>#REF!</v>
      </c>
      <c r="DN108" s="25"/>
      <c r="DO108" s="26"/>
      <c r="DP108" s="27"/>
      <c r="DQ108" s="28"/>
      <c r="DR108" s="29"/>
      <c r="DS108" s="79">
        <f t="shared" si="15"/>
        <v>0</v>
      </c>
      <c r="DT108" s="80" t="e">
        <f>DS108*#REF!</f>
        <v>#REF!</v>
      </c>
      <c r="DU108" s="81" t="e">
        <f>DS108*#REF!</f>
        <v>#REF!</v>
      </c>
      <c r="DW108" s="25"/>
      <c r="DX108" s="26"/>
      <c r="DY108" s="27"/>
      <c r="DZ108" s="28"/>
      <c r="EA108" s="29"/>
      <c r="EB108" s="79">
        <f t="shared" si="16"/>
        <v>0</v>
      </c>
      <c r="EC108" s="80" t="e">
        <f>EB108*#REF!</f>
        <v>#REF!</v>
      </c>
      <c r="ED108" s="81" t="e">
        <f>EB108*#REF!</f>
        <v>#REF!</v>
      </c>
      <c r="EF108" s="25"/>
      <c r="EG108" s="26"/>
      <c r="EH108" s="27"/>
      <c r="EI108" s="28"/>
      <c r="EJ108" s="29"/>
      <c r="EK108" s="79">
        <f t="shared" si="17"/>
        <v>0</v>
      </c>
      <c r="EL108" s="80" t="e">
        <f>EK108*#REF!</f>
        <v>#REF!</v>
      </c>
      <c r="EM108" s="81" t="e">
        <f>EK108*#REF!</f>
        <v>#REF!</v>
      </c>
      <c r="EO108" s="25"/>
      <c r="EP108" s="26"/>
      <c r="EQ108" s="27"/>
      <c r="ER108" s="28"/>
      <c r="ES108" s="29"/>
      <c r="ET108" s="79">
        <f t="shared" si="18"/>
        <v>0</v>
      </c>
      <c r="EU108" s="80" t="e">
        <f>ET108*#REF!</f>
        <v>#REF!</v>
      </c>
      <c r="EV108" s="81" t="e">
        <f>ET108*#REF!</f>
        <v>#REF!</v>
      </c>
      <c r="EX108" s="25"/>
      <c r="EY108" s="26"/>
      <c r="EZ108" s="27"/>
      <c r="FA108" s="28"/>
      <c r="FB108" s="29"/>
      <c r="FC108" s="79">
        <f t="shared" si="19"/>
        <v>0</v>
      </c>
      <c r="FD108" s="80" t="e">
        <f>FC108*#REF!</f>
        <v>#REF!</v>
      </c>
      <c r="FE108" s="81" t="e">
        <f>FC108*#REF!</f>
        <v>#REF!</v>
      </c>
      <c r="FG108" s="25"/>
      <c r="FH108" s="26"/>
      <c r="FI108" s="27"/>
      <c r="FJ108" s="28"/>
      <c r="FK108" s="29"/>
      <c r="FL108" s="79">
        <f t="shared" si="20"/>
        <v>0</v>
      </c>
      <c r="FM108" s="80" t="e">
        <f>FL108*#REF!</f>
        <v>#REF!</v>
      </c>
      <c r="FN108" s="81" t="e">
        <f>FL108*#REF!</f>
        <v>#REF!</v>
      </c>
      <c r="FP108" s="25"/>
      <c r="FQ108" s="26"/>
      <c r="FR108" s="27"/>
      <c r="FS108" s="28"/>
      <c r="FT108" s="29"/>
      <c r="FU108" s="79">
        <f t="shared" si="21"/>
        <v>0</v>
      </c>
      <c r="FV108" s="80" t="e">
        <f>FU108*#REF!</f>
        <v>#REF!</v>
      </c>
      <c r="FW108" s="81" t="e">
        <f>FU108*#REF!</f>
        <v>#REF!</v>
      </c>
      <c r="FY108" s="25"/>
      <c r="FZ108" s="26"/>
      <c r="GA108" s="27"/>
      <c r="GB108" s="28"/>
      <c r="GC108" s="29"/>
      <c r="GD108" s="79">
        <f t="shared" si="22"/>
        <v>0</v>
      </c>
      <c r="GE108" s="80" t="e">
        <f>GD108*#REF!</f>
        <v>#REF!</v>
      </c>
      <c r="GF108" s="81" t="e">
        <f>GD108*#REF!</f>
        <v>#REF!</v>
      </c>
      <c r="GH108" s="25"/>
      <c r="GI108" s="26"/>
      <c r="GJ108" s="27"/>
      <c r="GK108" s="28"/>
      <c r="GL108" s="29"/>
      <c r="GM108" s="79">
        <f t="shared" si="23"/>
        <v>0</v>
      </c>
      <c r="GN108" s="80" t="e">
        <f>GM108*#REF!</f>
        <v>#REF!</v>
      </c>
      <c r="GO108" s="81" t="e">
        <f>GM108*#REF!</f>
        <v>#REF!</v>
      </c>
      <c r="GQ108" s="82">
        <f t="shared" si="25"/>
        <v>0</v>
      </c>
      <c r="GR108" s="83">
        <v>0</v>
      </c>
    </row>
    <row r="109" spans="2:200" ht="15">
      <c r="B109" s="22"/>
      <c r="C109" s="23"/>
      <c r="D109" s="24" t="str">
        <f>IF(C109="","",_xlfn.XLOOKUP(C109,'[1]Control Sheet'!$L$5:$L$104,'[1]Control Sheet'!$M$5:$M$104,"",0))</f>
        <v/>
      </c>
      <c r="E109" s="24" t="str">
        <f>IF(B109="","",_xlfn.XLOOKUP(B109,'[1]Control Sheet'!$D$5:$D$64,'[1]Control Sheet'!$F$5:$F$64,"",0))</f>
        <v/>
      </c>
      <c r="F109" s="24" t="str">
        <f>IF(B109="","",_xlfn.XLOOKUP(B109,'[1]Control Sheet'!$D$5:$D$64,'[1]Control Sheet'!$E$5:$E$64,"",0))</f>
        <v/>
      </c>
      <c r="I109" s="25"/>
      <c r="J109" s="26"/>
      <c r="K109" s="27"/>
      <c r="L109" s="28"/>
      <c r="M109" s="29"/>
      <c r="P109" s="25"/>
      <c r="Q109" s="26"/>
      <c r="R109" s="27"/>
      <c r="S109" s="28"/>
      <c r="T109" s="29"/>
      <c r="V109" s="25"/>
      <c r="W109" s="26"/>
      <c r="X109" s="27"/>
      <c r="Y109" s="28"/>
      <c r="Z109" s="29"/>
      <c r="AB109" s="25"/>
      <c r="AC109" s="26"/>
      <c r="AD109" s="27"/>
      <c r="AE109" s="28"/>
      <c r="AF109" s="29"/>
      <c r="AH109" s="25"/>
      <c r="AI109" s="26"/>
      <c r="AJ109" s="27"/>
      <c r="AK109" s="28"/>
      <c r="AL109" s="29"/>
      <c r="AN109" s="25"/>
      <c r="AO109" s="26"/>
      <c r="AP109" s="27"/>
      <c r="AQ109" s="28"/>
      <c r="AR109" s="29"/>
      <c r="AT109" s="25"/>
      <c r="AU109" s="26"/>
      <c r="AV109" s="27"/>
      <c r="AW109" s="28"/>
      <c r="AX109" s="29"/>
      <c r="AZ109" s="25"/>
      <c r="BA109" s="26"/>
      <c r="BB109" s="27"/>
      <c r="BC109" s="28"/>
      <c r="BD109" s="29"/>
      <c r="BF109" s="25"/>
      <c r="BG109" s="26"/>
      <c r="BH109" s="27"/>
      <c r="BI109" s="28"/>
      <c r="BJ109" s="29"/>
      <c r="BL109" s="25"/>
      <c r="BM109" s="26"/>
      <c r="BN109" s="27"/>
      <c r="BO109" s="28"/>
      <c r="BP109" s="29"/>
      <c r="BR109" s="25"/>
      <c r="BS109" s="26"/>
      <c r="BT109" s="27"/>
      <c r="BU109" s="28"/>
      <c r="BV109" s="29"/>
      <c r="BX109" s="25"/>
      <c r="BY109" s="26"/>
      <c r="BZ109" s="27"/>
      <c r="CA109" s="28"/>
      <c r="CB109" s="29"/>
      <c r="CD109" s="25"/>
      <c r="CE109" s="26"/>
      <c r="CF109" s="27"/>
      <c r="CG109" s="28"/>
      <c r="CH109" s="29"/>
      <c r="CJ109" s="25"/>
      <c r="CK109" s="26"/>
      <c r="CL109" s="27"/>
      <c r="CM109" s="28"/>
      <c r="CN109" s="29"/>
      <c r="CP109" s="25"/>
      <c r="CQ109" s="26"/>
      <c r="CR109" s="27"/>
      <c r="CS109" s="28"/>
      <c r="CT109" s="29"/>
      <c r="CV109" s="25"/>
      <c r="CW109" s="26"/>
      <c r="CX109" s="27"/>
      <c r="CY109" s="28"/>
      <c r="CZ109" s="29"/>
      <c r="DA109" s="79">
        <f t="shared" si="13"/>
        <v>0</v>
      </c>
      <c r="DB109" s="80" t="e">
        <f>DA109*#REF!</f>
        <v>#REF!</v>
      </c>
      <c r="DC109" s="81" t="e">
        <f>DA109*#REF!</f>
        <v>#REF!</v>
      </c>
      <c r="DE109" s="25"/>
      <c r="DF109" s="26"/>
      <c r="DG109" s="27"/>
      <c r="DH109" s="28"/>
      <c r="DI109" s="29"/>
      <c r="DJ109" s="79">
        <f t="shared" si="14"/>
        <v>0</v>
      </c>
      <c r="DK109" s="80" t="e">
        <f>DJ109*#REF!</f>
        <v>#REF!</v>
      </c>
      <c r="DL109" s="81" t="e">
        <f>DJ109*#REF!</f>
        <v>#REF!</v>
      </c>
      <c r="DN109" s="25"/>
      <c r="DO109" s="26"/>
      <c r="DP109" s="27"/>
      <c r="DQ109" s="28"/>
      <c r="DR109" s="29"/>
      <c r="DS109" s="79">
        <f t="shared" si="15"/>
        <v>0</v>
      </c>
      <c r="DT109" s="80" t="e">
        <f>DS109*#REF!</f>
        <v>#REF!</v>
      </c>
      <c r="DU109" s="81" t="e">
        <f>DS109*#REF!</f>
        <v>#REF!</v>
      </c>
      <c r="DW109" s="25"/>
      <c r="DX109" s="26"/>
      <c r="DY109" s="27"/>
      <c r="DZ109" s="28"/>
      <c r="EA109" s="29"/>
      <c r="EB109" s="79">
        <f t="shared" si="16"/>
        <v>0</v>
      </c>
      <c r="EC109" s="80" t="e">
        <f>EB109*#REF!</f>
        <v>#REF!</v>
      </c>
      <c r="ED109" s="81" t="e">
        <f>EB109*#REF!</f>
        <v>#REF!</v>
      </c>
      <c r="EF109" s="25"/>
      <c r="EG109" s="26"/>
      <c r="EH109" s="27"/>
      <c r="EI109" s="28"/>
      <c r="EJ109" s="29"/>
      <c r="EK109" s="79">
        <f t="shared" si="17"/>
        <v>0</v>
      </c>
      <c r="EL109" s="80" t="e">
        <f>EK109*#REF!</f>
        <v>#REF!</v>
      </c>
      <c r="EM109" s="81" t="e">
        <f>EK109*#REF!</f>
        <v>#REF!</v>
      </c>
      <c r="EO109" s="25"/>
      <c r="EP109" s="26"/>
      <c r="EQ109" s="27"/>
      <c r="ER109" s="28"/>
      <c r="ES109" s="29"/>
      <c r="ET109" s="79">
        <f t="shared" si="18"/>
        <v>0</v>
      </c>
      <c r="EU109" s="80" t="e">
        <f>ET109*#REF!</f>
        <v>#REF!</v>
      </c>
      <c r="EV109" s="81" t="e">
        <f>ET109*#REF!</f>
        <v>#REF!</v>
      </c>
      <c r="EX109" s="25"/>
      <c r="EY109" s="26"/>
      <c r="EZ109" s="27"/>
      <c r="FA109" s="28"/>
      <c r="FB109" s="29"/>
      <c r="FC109" s="79">
        <f t="shared" si="19"/>
        <v>0</v>
      </c>
      <c r="FD109" s="80" t="e">
        <f>FC109*#REF!</f>
        <v>#REF!</v>
      </c>
      <c r="FE109" s="81" t="e">
        <f>FC109*#REF!</f>
        <v>#REF!</v>
      </c>
      <c r="FG109" s="25"/>
      <c r="FH109" s="26"/>
      <c r="FI109" s="27"/>
      <c r="FJ109" s="28"/>
      <c r="FK109" s="29"/>
      <c r="FL109" s="79">
        <f t="shared" si="20"/>
        <v>0</v>
      </c>
      <c r="FM109" s="80" t="e">
        <f>FL109*#REF!</f>
        <v>#REF!</v>
      </c>
      <c r="FN109" s="81" t="e">
        <f>FL109*#REF!</f>
        <v>#REF!</v>
      </c>
      <c r="FP109" s="25"/>
      <c r="FQ109" s="26"/>
      <c r="FR109" s="27"/>
      <c r="FS109" s="28"/>
      <c r="FT109" s="29"/>
      <c r="FU109" s="79">
        <f t="shared" si="21"/>
        <v>0</v>
      </c>
      <c r="FV109" s="80" t="e">
        <f>FU109*#REF!</f>
        <v>#REF!</v>
      </c>
      <c r="FW109" s="81" t="e">
        <f>FU109*#REF!</f>
        <v>#REF!</v>
      </c>
      <c r="FY109" s="25"/>
      <c r="FZ109" s="26"/>
      <c r="GA109" s="27"/>
      <c r="GB109" s="28"/>
      <c r="GC109" s="29"/>
      <c r="GD109" s="79">
        <f t="shared" si="22"/>
        <v>0</v>
      </c>
      <c r="GE109" s="80" t="e">
        <f>GD109*#REF!</f>
        <v>#REF!</v>
      </c>
      <c r="GF109" s="81" t="e">
        <f>GD109*#REF!</f>
        <v>#REF!</v>
      </c>
      <c r="GH109" s="25"/>
      <c r="GI109" s="26"/>
      <c r="GJ109" s="27"/>
      <c r="GK109" s="28"/>
      <c r="GL109" s="29"/>
      <c r="GM109" s="79">
        <f t="shared" si="23"/>
        <v>0</v>
      </c>
      <c r="GN109" s="80" t="e">
        <f>GM109*#REF!</f>
        <v>#REF!</v>
      </c>
      <c r="GO109" s="81" t="e">
        <f>GM109*#REF!</f>
        <v>#REF!</v>
      </c>
      <c r="GQ109" s="82">
        <f t="shared" si="25"/>
        <v>0</v>
      </c>
      <c r="GR109" s="83">
        <v>0</v>
      </c>
    </row>
    <row r="110" spans="2:200" ht="15">
      <c r="B110" s="22"/>
      <c r="C110" s="23"/>
      <c r="D110" s="24" t="str">
        <f>IF(C110="","",_xlfn.XLOOKUP(C110,'[1]Control Sheet'!$L$5:$L$104,'[1]Control Sheet'!$M$5:$M$104,"",0))</f>
        <v/>
      </c>
      <c r="E110" s="24" t="str">
        <f>IF(B110="","",_xlfn.XLOOKUP(B110,'[1]Control Sheet'!$D$5:$D$64,'[1]Control Sheet'!$F$5:$F$64,"",0))</f>
        <v/>
      </c>
      <c r="F110" s="24" t="str">
        <f>IF(B110="","",_xlfn.XLOOKUP(B110,'[1]Control Sheet'!$D$5:$D$64,'[1]Control Sheet'!$E$5:$E$64,"",0))</f>
        <v/>
      </c>
      <c r="I110" s="25"/>
      <c r="J110" s="26"/>
      <c r="K110" s="27"/>
      <c r="L110" s="28"/>
      <c r="M110" s="29"/>
      <c r="P110" s="25"/>
      <c r="Q110" s="26"/>
      <c r="R110" s="27"/>
      <c r="S110" s="28"/>
      <c r="T110" s="29"/>
      <c r="V110" s="25"/>
      <c r="W110" s="26"/>
      <c r="X110" s="27"/>
      <c r="Y110" s="28"/>
      <c r="Z110" s="29"/>
      <c r="AB110" s="25"/>
      <c r="AC110" s="26"/>
      <c r="AD110" s="27"/>
      <c r="AE110" s="28"/>
      <c r="AF110" s="29"/>
      <c r="AH110" s="25"/>
      <c r="AI110" s="26"/>
      <c r="AJ110" s="27"/>
      <c r="AK110" s="28"/>
      <c r="AL110" s="29"/>
      <c r="AN110" s="25"/>
      <c r="AO110" s="26"/>
      <c r="AP110" s="27"/>
      <c r="AQ110" s="28"/>
      <c r="AR110" s="29"/>
      <c r="AT110" s="25"/>
      <c r="AU110" s="26"/>
      <c r="AV110" s="27"/>
      <c r="AW110" s="28"/>
      <c r="AX110" s="29"/>
      <c r="AZ110" s="25"/>
      <c r="BA110" s="26"/>
      <c r="BB110" s="27"/>
      <c r="BC110" s="28"/>
      <c r="BD110" s="29"/>
      <c r="BF110" s="25"/>
      <c r="BG110" s="26"/>
      <c r="BH110" s="27"/>
      <c r="BI110" s="28"/>
      <c r="BJ110" s="29"/>
      <c r="BL110" s="25"/>
      <c r="BM110" s="26"/>
      <c r="BN110" s="27"/>
      <c r="BO110" s="28"/>
      <c r="BP110" s="29"/>
      <c r="BR110" s="25"/>
      <c r="BS110" s="26"/>
      <c r="BT110" s="27"/>
      <c r="BU110" s="28"/>
      <c r="BV110" s="29"/>
      <c r="BX110" s="25"/>
      <c r="BY110" s="26"/>
      <c r="BZ110" s="27"/>
      <c r="CA110" s="28"/>
      <c r="CB110" s="29"/>
      <c r="CD110" s="25"/>
      <c r="CE110" s="26"/>
      <c r="CF110" s="27"/>
      <c r="CG110" s="28"/>
      <c r="CH110" s="29"/>
      <c r="CJ110" s="25"/>
      <c r="CK110" s="26"/>
      <c r="CL110" s="27"/>
      <c r="CM110" s="28"/>
      <c r="CN110" s="29"/>
      <c r="CP110" s="25"/>
      <c r="CQ110" s="26"/>
      <c r="CR110" s="27"/>
      <c r="CS110" s="28"/>
      <c r="CT110" s="29"/>
      <c r="CV110" s="25"/>
      <c r="CW110" s="26"/>
      <c r="CX110" s="27"/>
      <c r="CY110" s="28"/>
      <c r="CZ110" s="29"/>
      <c r="DA110" s="79">
        <f t="shared" si="13"/>
        <v>0</v>
      </c>
      <c r="DB110" s="80" t="e">
        <f>DA110*#REF!</f>
        <v>#REF!</v>
      </c>
      <c r="DC110" s="81" t="e">
        <f>DA110*#REF!</f>
        <v>#REF!</v>
      </c>
      <c r="DE110" s="25"/>
      <c r="DF110" s="26"/>
      <c r="DG110" s="27"/>
      <c r="DH110" s="28"/>
      <c r="DI110" s="29"/>
      <c r="DJ110" s="79">
        <f t="shared" si="14"/>
        <v>0</v>
      </c>
      <c r="DK110" s="80" t="e">
        <f>DJ110*#REF!</f>
        <v>#REF!</v>
      </c>
      <c r="DL110" s="81" t="e">
        <f>DJ110*#REF!</f>
        <v>#REF!</v>
      </c>
      <c r="DN110" s="25"/>
      <c r="DO110" s="26"/>
      <c r="DP110" s="27"/>
      <c r="DQ110" s="28"/>
      <c r="DR110" s="29"/>
      <c r="DS110" s="79">
        <f t="shared" si="15"/>
        <v>0</v>
      </c>
      <c r="DT110" s="80" t="e">
        <f>DS110*#REF!</f>
        <v>#REF!</v>
      </c>
      <c r="DU110" s="81" t="e">
        <f>DS110*#REF!</f>
        <v>#REF!</v>
      </c>
      <c r="DW110" s="25"/>
      <c r="DX110" s="26"/>
      <c r="DY110" s="27"/>
      <c r="DZ110" s="28"/>
      <c r="EA110" s="29"/>
      <c r="EB110" s="79">
        <f t="shared" si="16"/>
        <v>0</v>
      </c>
      <c r="EC110" s="80" t="e">
        <f>EB110*#REF!</f>
        <v>#REF!</v>
      </c>
      <c r="ED110" s="81" t="e">
        <f>EB110*#REF!</f>
        <v>#REF!</v>
      </c>
      <c r="EF110" s="25"/>
      <c r="EG110" s="26"/>
      <c r="EH110" s="27"/>
      <c r="EI110" s="28"/>
      <c r="EJ110" s="29"/>
      <c r="EK110" s="79">
        <f t="shared" si="17"/>
        <v>0</v>
      </c>
      <c r="EL110" s="80" t="e">
        <f>EK110*#REF!</f>
        <v>#REF!</v>
      </c>
      <c r="EM110" s="81" t="e">
        <f>EK110*#REF!</f>
        <v>#REF!</v>
      </c>
      <c r="EO110" s="25"/>
      <c r="EP110" s="26"/>
      <c r="EQ110" s="27"/>
      <c r="ER110" s="28"/>
      <c r="ES110" s="29"/>
      <c r="ET110" s="79">
        <f t="shared" si="18"/>
        <v>0</v>
      </c>
      <c r="EU110" s="80" t="e">
        <f>ET110*#REF!</f>
        <v>#REF!</v>
      </c>
      <c r="EV110" s="81" t="e">
        <f>ET110*#REF!</f>
        <v>#REF!</v>
      </c>
      <c r="EX110" s="25"/>
      <c r="EY110" s="26"/>
      <c r="EZ110" s="27"/>
      <c r="FA110" s="28"/>
      <c r="FB110" s="29"/>
      <c r="FC110" s="79">
        <f t="shared" si="19"/>
        <v>0</v>
      </c>
      <c r="FD110" s="80" t="e">
        <f>FC110*#REF!</f>
        <v>#REF!</v>
      </c>
      <c r="FE110" s="81" t="e">
        <f>FC110*#REF!</f>
        <v>#REF!</v>
      </c>
      <c r="FG110" s="25"/>
      <c r="FH110" s="26"/>
      <c r="FI110" s="27"/>
      <c r="FJ110" s="28"/>
      <c r="FK110" s="29"/>
      <c r="FL110" s="79">
        <f t="shared" si="20"/>
        <v>0</v>
      </c>
      <c r="FM110" s="80" t="e">
        <f>FL110*#REF!</f>
        <v>#REF!</v>
      </c>
      <c r="FN110" s="81" t="e">
        <f>FL110*#REF!</f>
        <v>#REF!</v>
      </c>
      <c r="FP110" s="25"/>
      <c r="FQ110" s="26"/>
      <c r="FR110" s="27"/>
      <c r="FS110" s="28"/>
      <c r="FT110" s="29"/>
      <c r="FU110" s="79">
        <f t="shared" si="21"/>
        <v>0</v>
      </c>
      <c r="FV110" s="80" t="e">
        <f>FU110*#REF!</f>
        <v>#REF!</v>
      </c>
      <c r="FW110" s="81" t="e">
        <f>FU110*#REF!</f>
        <v>#REF!</v>
      </c>
      <c r="FY110" s="25"/>
      <c r="FZ110" s="26"/>
      <c r="GA110" s="27"/>
      <c r="GB110" s="28"/>
      <c r="GC110" s="29"/>
      <c r="GD110" s="79">
        <f t="shared" si="22"/>
        <v>0</v>
      </c>
      <c r="GE110" s="80" t="e">
        <f>GD110*#REF!</f>
        <v>#REF!</v>
      </c>
      <c r="GF110" s="81" t="e">
        <f>GD110*#REF!</f>
        <v>#REF!</v>
      </c>
      <c r="GH110" s="25"/>
      <c r="GI110" s="26"/>
      <c r="GJ110" s="27"/>
      <c r="GK110" s="28"/>
      <c r="GL110" s="29"/>
      <c r="GM110" s="79">
        <f t="shared" si="23"/>
        <v>0</v>
      </c>
      <c r="GN110" s="80" t="e">
        <f>GM110*#REF!</f>
        <v>#REF!</v>
      </c>
      <c r="GO110" s="81" t="e">
        <f>GM110*#REF!</f>
        <v>#REF!</v>
      </c>
      <c r="GQ110" s="82">
        <f t="shared" si="25"/>
        <v>0</v>
      </c>
      <c r="GR110" s="83">
        <v>0</v>
      </c>
    </row>
    <row r="111" spans="2:200" ht="15">
      <c r="B111" s="22"/>
      <c r="C111" s="23"/>
      <c r="D111" s="24" t="str">
        <f>IF(C111="","",_xlfn.XLOOKUP(C111,'[1]Control Sheet'!$L$5:$L$104,'[1]Control Sheet'!$M$5:$M$104,"",0))</f>
        <v/>
      </c>
      <c r="E111" s="24" t="str">
        <f>IF(B111="","",_xlfn.XLOOKUP(B111,'[1]Control Sheet'!$D$5:$D$64,'[1]Control Sheet'!$F$5:$F$64,"",0))</f>
        <v/>
      </c>
      <c r="F111" s="24" t="str">
        <f>IF(B111="","",_xlfn.XLOOKUP(B111,'[1]Control Sheet'!$D$5:$D$64,'[1]Control Sheet'!$E$5:$E$64,"",0))</f>
        <v/>
      </c>
      <c r="I111" s="25"/>
      <c r="J111" s="26"/>
      <c r="K111" s="27"/>
      <c r="L111" s="28"/>
      <c r="M111" s="29"/>
      <c r="P111" s="25"/>
      <c r="Q111" s="26"/>
      <c r="R111" s="27"/>
      <c r="S111" s="28"/>
      <c r="T111" s="29"/>
      <c r="V111" s="25"/>
      <c r="W111" s="26"/>
      <c r="X111" s="27"/>
      <c r="Y111" s="28"/>
      <c r="Z111" s="29"/>
      <c r="AB111" s="25"/>
      <c r="AC111" s="26"/>
      <c r="AD111" s="27"/>
      <c r="AE111" s="28"/>
      <c r="AF111" s="29"/>
      <c r="AH111" s="25"/>
      <c r="AI111" s="26"/>
      <c r="AJ111" s="27"/>
      <c r="AK111" s="28"/>
      <c r="AL111" s="29"/>
      <c r="AN111" s="25"/>
      <c r="AO111" s="26"/>
      <c r="AP111" s="27"/>
      <c r="AQ111" s="28"/>
      <c r="AR111" s="29"/>
      <c r="AT111" s="25"/>
      <c r="AU111" s="26"/>
      <c r="AV111" s="27"/>
      <c r="AW111" s="28"/>
      <c r="AX111" s="29"/>
      <c r="AZ111" s="25"/>
      <c r="BA111" s="26"/>
      <c r="BB111" s="27"/>
      <c r="BC111" s="28"/>
      <c r="BD111" s="29"/>
      <c r="BF111" s="25"/>
      <c r="BG111" s="26"/>
      <c r="BH111" s="27"/>
      <c r="BI111" s="28"/>
      <c r="BJ111" s="29"/>
      <c r="BL111" s="25"/>
      <c r="BM111" s="26"/>
      <c r="BN111" s="27"/>
      <c r="BO111" s="28"/>
      <c r="BP111" s="29"/>
      <c r="BR111" s="25"/>
      <c r="BS111" s="26"/>
      <c r="BT111" s="27"/>
      <c r="BU111" s="28"/>
      <c r="BV111" s="29"/>
      <c r="BX111" s="25"/>
      <c r="BY111" s="26"/>
      <c r="BZ111" s="27"/>
      <c r="CA111" s="28"/>
      <c r="CB111" s="29"/>
      <c r="CD111" s="25"/>
      <c r="CE111" s="26"/>
      <c r="CF111" s="27"/>
      <c r="CG111" s="28"/>
      <c r="CH111" s="29"/>
      <c r="CJ111" s="25"/>
      <c r="CK111" s="26"/>
      <c r="CL111" s="27"/>
      <c r="CM111" s="28"/>
      <c r="CN111" s="29"/>
      <c r="CP111" s="25"/>
      <c r="CQ111" s="26"/>
      <c r="CR111" s="27"/>
      <c r="CS111" s="28"/>
      <c r="CT111" s="29"/>
      <c r="CV111" s="25"/>
      <c r="CW111" s="26"/>
      <c r="CX111" s="27"/>
      <c r="CY111" s="28"/>
      <c r="CZ111" s="29"/>
      <c r="DA111" s="79">
        <f t="shared" si="13"/>
        <v>0</v>
      </c>
      <c r="DB111" s="80" t="e">
        <f>DA111*#REF!</f>
        <v>#REF!</v>
      </c>
      <c r="DC111" s="81" t="e">
        <f>DA111*#REF!</f>
        <v>#REF!</v>
      </c>
      <c r="DE111" s="25"/>
      <c r="DF111" s="26"/>
      <c r="DG111" s="27"/>
      <c r="DH111" s="28"/>
      <c r="DI111" s="29"/>
      <c r="DJ111" s="79">
        <f t="shared" si="14"/>
        <v>0</v>
      </c>
      <c r="DK111" s="80" t="e">
        <f>DJ111*#REF!</f>
        <v>#REF!</v>
      </c>
      <c r="DL111" s="81" t="e">
        <f>DJ111*#REF!</f>
        <v>#REF!</v>
      </c>
      <c r="DN111" s="25"/>
      <c r="DO111" s="26"/>
      <c r="DP111" s="27"/>
      <c r="DQ111" s="28"/>
      <c r="DR111" s="29"/>
      <c r="DS111" s="79">
        <f t="shared" si="15"/>
        <v>0</v>
      </c>
      <c r="DT111" s="80" t="e">
        <f>DS111*#REF!</f>
        <v>#REF!</v>
      </c>
      <c r="DU111" s="81" t="e">
        <f>DS111*#REF!</f>
        <v>#REF!</v>
      </c>
      <c r="DW111" s="25"/>
      <c r="DX111" s="26"/>
      <c r="DY111" s="27"/>
      <c r="DZ111" s="28"/>
      <c r="EA111" s="29"/>
      <c r="EB111" s="79">
        <f t="shared" si="16"/>
        <v>0</v>
      </c>
      <c r="EC111" s="80" t="e">
        <f>EB111*#REF!</f>
        <v>#REF!</v>
      </c>
      <c r="ED111" s="81" t="e">
        <f>EB111*#REF!</f>
        <v>#REF!</v>
      </c>
      <c r="EF111" s="25"/>
      <c r="EG111" s="26"/>
      <c r="EH111" s="27"/>
      <c r="EI111" s="28"/>
      <c r="EJ111" s="29"/>
      <c r="EK111" s="79">
        <f t="shared" si="17"/>
        <v>0</v>
      </c>
      <c r="EL111" s="80" t="e">
        <f>EK111*#REF!</f>
        <v>#REF!</v>
      </c>
      <c r="EM111" s="81" t="e">
        <f>EK111*#REF!</f>
        <v>#REF!</v>
      </c>
      <c r="EO111" s="25"/>
      <c r="EP111" s="26"/>
      <c r="EQ111" s="27"/>
      <c r="ER111" s="28"/>
      <c r="ES111" s="29"/>
      <c r="ET111" s="79">
        <f t="shared" si="18"/>
        <v>0</v>
      </c>
      <c r="EU111" s="80" t="e">
        <f>ET111*#REF!</f>
        <v>#REF!</v>
      </c>
      <c r="EV111" s="81" t="e">
        <f>ET111*#REF!</f>
        <v>#REF!</v>
      </c>
      <c r="EX111" s="25"/>
      <c r="EY111" s="26"/>
      <c r="EZ111" s="27"/>
      <c r="FA111" s="28"/>
      <c r="FB111" s="29"/>
      <c r="FC111" s="79">
        <f t="shared" si="19"/>
        <v>0</v>
      </c>
      <c r="FD111" s="80" t="e">
        <f>FC111*#REF!</f>
        <v>#REF!</v>
      </c>
      <c r="FE111" s="81" t="e">
        <f>FC111*#REF!</f>
        <v>#REF!</v>
      </c>
      <c r="FG111" s="25"/>
      <c r="FH111" s="26"/>
      <c r="FI111" s="27"/>
      <c r="FJ111" s="28"/>
      <c r="FK111" s="29"/>
      <c r="FL111" s="79">
        <f t="shared" si="20"/>
        <v>0</v>
      </c>
      <c r="FM111" s="80" t="e">
        <f>FL111*#REF!</f>
        <v>#REF!</v>
      </c>
      <c r="FN111" s="81" t="e">
        <f>FL111*#REF!</f>
        <v>#REF!</v>
      </c>
      <c r="FP111" s="25"/>
      <c r="FQ111" s="26"/>
      <c r="FR111" s="27"/>
      <c r="FS111" s="28"/>
      <c r="FT111" s="29"/>
      <c r="FU111" s="79">
        <f t="shared" si="21"/>
        <v>0</v>
      </c>
      <c r="FV111" s="80" t="e">
        <f>FU111*#REF!</f>
        <v>#REF!</v>
      </c>
      <c r="FW111" s="81" t="e">
        <f>FU111*#REF!</f>
        <v>#REF!</v>
      </c>
      <c r="FY111" s="25"/>
      <c r="FZ111" s="26"/>
      <c r="GA111" s="27"/>
      <c r="GB111" s="28"/>
      <c r="GC111" s="29"/>
      <c r="GD111" s="79">
        <f t="shared" si="22"/>
        <v>0</v>
      </c>
      <c r="GE111" s="80" t="e">
        <f>GD111*#REF!</f>
        <v>#REF!</v>
      </c>
      <c r="GF111" s="81" t="e">
        <f>GD111*#REF!</f>
        <v>#REF!</v>
      </c>
      <c r="GH111" s="25"/>
      <c r="GI111" s="26"/>
      <c r="GJ111" s="27"/>
      <c r="GK111" s="28"/>
      <c r="GL111" s="29"/>
      <c r="GM111" s="79">
        <f t="shared" si="23"/>
        <v>0</v>
      </c>
      <c r="GN111" s="80" t="e">
        <f>GM111*#REF!</f>
        <v>#REF!</v>
      </c>
      <c r="GO111" s="81" t="e">
        <f>GM111*#REF!</f>
        <v>#REF!</v>
      </c>
      <c r="GQ111" s="82">
        <f t="shared" si="25"/>
        <v>0</v>
      </c>
      <c r="GR111" s="83">
        <v>0</v>
      </c>
    </row>
    <row r="112" spans="2:200" ht="15">
      <c r="B112" s="22"/>
      <c r="C112" s="23"/>
      <c r="D112" s="24" t="str">
        <f>IF(C112="","",_xlfn.XLOOKUP(C112,'[1]Control Sheet'!$L$5:$L$104,'[1]Control Sheet'!$M$5:$M$104,"",0))</f>
        <v/>
      </c>
      <c r="E112" s="24" t="str">
        <f>IF(B112="","",_xlfn.XLOOKUP(B112,'[1]Control Sheet'!$D$5:$D$64,'[1]Control Sheet'!$F$5:$F$64,"",0))</f>
        <v/>
      </c>
      <c r="F112" s="24" t="str">
        <f>IF(B112="","",_xlfn.XLOOKUP(B112,'[1]Control Sheet'!$D$5:$D$64,'[1]Control Sheet'!$E$5:$E$64,"",0))</f>
        <v/>
      </c>
      <c r="I112" s="25"/>
      <c r="J112" s="26"/>
      <c r="K112" s="27"/>
      <c r="L112" s="28"/>
      <c r="M112" s="29"/>
      <c r="P112" s="25"/>
      <c r="Q112" s="26"/>
      <c r="R112" s="27"/>
      <c r="S112" s="28"/>
      <c r="T112" s="29"/>
      <c r="V112" s="25"/>
      <c r="W112" s="26"/>
      <c r="X112" s="27"/>
      <c r="Y112" s="28"/>
      <c r="Z112" s="29"/>
      <c r="AB112" s="25"/>
      <c r="AC112" s="26"/>
      <c r="AD112" s="27"/>
      <c r="AE112" s="28"/>
      <c r="AF112" s="29"/>
      <c r="AH112" s="25"/>
      <c r="AI112" s="26"/>
      <c r="AJ112" s="27"/>
      <c r="AK112" s="28"/>
      <c r="AL112" s="29"/>
      <c r="AN112" s="25"/>
      <c r="AO112" s="26"/>
      <c r="AP112" s="27"/>
      <c r="AQ112" s="28"/>
      <c r="AR112" s="29"/>
      <c r="AT112" s="25"/>
      <c r="AU112" s="26"/>
      <c r="AV112" s="27"/>
      <c r="AW112" s="28"/>
      <c r="AX112" s="29"/>
      <c r="AZ112" s="25"/>
      <c r="BA112" s="26"/>
      <c r="BB112" s="27"/>
      <c r="BC112" s="28"/>
      <c r="BD112" s="29"/>
      <c r="BF112" s="25"/>
      <c r="BG112" s="26"/>
      <c r="BH112" s="27"/>
      <c r="BI112" s="28"/>
      <c r="BJ112" s="29"/>
      <c r="BL112" s="25"/>
      <c r="BM112" s="26"/>
      <c r="BN112" s="27"/>
      <c r="BO112" s="28"/>
      <c r="BP112" s="29"/>
      <c r="BR112" s="25"/>
      <c r="BS112" s="26"/>
      <c r="BT112" s="27"/>
      <c r="BU112" s="28"/>
      <c r="BV112" s="29"/>
      <c r="BX112" s="25"/>
      <c r="BY112" s="26"/>
      <c r="BZ112" s="27"/>
      <c r="CA112" s="28"/>
      <c r="CB112" s="29"/>
      <c r="CD112" s="25"/>
      <c r="CE112" s="26"/>
      <c r="CF112" s="27"/>
      <c r="CG112" s="28"/>
      <c r="CH112" s="29"/>
      <c r="CJ112" s="25"/>
      <c r="CK112" s="26"/>
      <c r="CL112" s="27"/>
      <c r="CM112" s="28"/>
      <c r="CN112" s="29"/>
      <c r="CP112" s="25"/>
      <c r="CQ112" s="26"/>
      <c r="CR112" s="27"/>
      <c r="CS112" s="28"/>
      <c r="CT112" s="29"/>
      <c r="CV112" s="25"/>
      <c r="CW112" s="26"/>
      <c r="CX112" s="27"/>
      <c r="CY112" s="28"/>
      <c r="CZ112" s="29"/>
      <c r="DA112" s="79">
        <f t="shared" si="13"/>
        <v>0</v>
      </c>
      <c r="DB112" s="80" t="e">
        <f>DA112*#REF!</f>
        <v>#REF!</v>
      </c>
      <c r="DC112" s="81" t="e">
        <f>DA112*#REF!</f>
        <v>#REF!</v>
      </c>
      <c r="DE112" s="25"/>
      <c r="DF112" s="26"/>
      <c r="DG112" s="27"/>
      <c r="DH112" s="28"/>
      <c r="DI112" s="29"/>
      <c r="DJ112" s="79">
        <f t="shared" si="14"/>
        <v>0</v>
      </c>
      <c r="DK112" s="80" t="e">
        <f>DJ112*#REF!</f>
        <v>#REF!</v>
      </c>
      <c r="DL112" s="81" t="e">
        <f>DJ112*#REF!</f>
        <v>#REF!</v>
      </c>
      <c r="DN112" s="25"/>
      <c r="DO112" s="26"/>
      <c r="DP112" s="27"/>
      <c r="DQ112" s="28"/>
      <c r="DR112" s="29"/>
      <c r="DS112" s="79">
        <f t="shared" si="15"/>
        <v>0</v>
      </c>
      <c r="DT112" s="80" t="e">
        <f>DS112*#REF!</f>
        <v>#REF!</v>
      </c>
      <c r="DU112" s="81" t="e">
        <f>DS112*#REF!</f>
        <v>#REF!</v>
      </c>
      <c r="DW112" s="25"/>
      <c r="DX112" s="26"/>
      <c r="DY112" s="27"/>
      <c r="DZ112" s="28"/>
      <c r="EA112" s="29"/>
      <c r="EB112" s="79">
        <f t="shared" si="16"/>
        <v>0</v>
      </c>
      <c r="EC112" s="80" t="e">
        <f>EB112*#REF!</f>
        <v>#REF!</v>
      </c>
      <c r="ED112" s="81" t="e">
        <f>EB112*#REF!</f>
        <v>#REF!</v>
      </c>
      <c r="EF112" s="25"/>
      <c r="EG112" s="26"/>
      <c r="EH112" s="27"/>
      <c r="EI112" s="28"/>
      <c r="EJ112" s="29"/>
      <c r="EK112" s="79">
        <f t="shared" si="17"/>
        <v>0</v>
      </c>
      <c r="EL112" s="80" t="e">
        <f>EK112*#REF!</f>
        <v>#REF!</v>
      </c>
      <c r="EM112" s="81" t="e">
        <f>EK112*#REF!</f>
        <v>#REF!</v>
      </c>
      <c r="EO112" s="25"/>
      <c r="EP112" s="26"/>
      <c r="EQ112" s="27"/>
      <c r="ER112" s="28"/>
      <c r="ES112" s="29"/>
      <c r="ET112" s="79">
        <f t="shared" si="18"/>
        <v>0</v>
      </c>
      <c r="EU112" s="80" t="e">
        <f>ET112*#REF!</f>
        <v>#REF!</v>
      </c>
      <c r="EV112" s="81" t="e">
        <f>ET112*#REF!</f>
        <v>#REF!</v>
      </c>
      <c r="EX112" s="25"/>
      <c r="EY112" s="26"/>
      <c r="EZ112" s="27"/>
      <c r="FA112" s="28"/>
      <c r="FB112" s="29"/>
      <c r="FC112" s="79">
        <f t="shared" si="19"/>
        <v>0</v>
      </c>
      <c r="FD112" s="80" t="e">
        <f>FC112*#REF!</f>
        <v>#REF!</v>
      </c>
      <c r="FE112" s="81" t="e">
        <f>FC112*#REF!</f>
        <v>#REF!</v>
      </c>
      <c r="FG112" s="25"/>
      <c r="FH112" s="26"/>
      <c r="FI112" s="27"/>
      <c r="FJ112" s="28"/>
      <c r="FK112" s="29"/>
      <c r="FL112" s="79">
        <f t="shared" si="20"/>
        <v>0</v>
      </c>
      <c r="FM112" s="80" t="e">
        <f>FL112*#REF!</f>
        <v>#REF!</v>
      </c>
      <c r="FN112" s="81" t="e">
        <f>FL112*#REF!</f>
        <v>#REF!</v>
      </c>
      <c r="FP112" s="25"/>
      <c r="FQ112" s="26"/>
      <c r="FR112" s="27"/>
      <c r="FS112" s="28"/>
      <c r="FT112" s="29"/>
      <c r="FU112" s="79">
        <f t="shared" si="21"/>
        <v>0</v>
      </c>
      <c r="FV112" s="80" t="e">
        <f>FU112*#REF!</f>
        <v>#REF!</v>
      </c>
      <c r="FW112" s="81" t="e">
        <f>FU112*#REF!</f>
        <v>#REF!</v>
      </c>
      <c r="FY112" s="25"/>
      <c r="FZ112" s="26"/>
      <c r="GA112" s="27"/>
      <c r="GB112" s="28"/>
      <c r="GC112" s="29"/>
      <c r="GD112" s="79">
        <f t="shared" si="22"/>
        <v>0</v>
      </c>
      <c r="GE112" s="80" t="e">
        <f>GD112*#REF!</f>
        <v>#REF!</v>
      </c>
      <c r="GF112" s="81" t="e">
        <f>GD112*#REF!</f>
        <v>#REF!</v>
      </c>
      <c r="GH112" s="25"/>
      <c r="GI112" s="26"/>
      <c r="GJ112" s="27"/>
      <c r="GK112" s="28"/>
      <c r="GL112" s="29"/>
      <c r="GM112" s="79">
        <f t="shared" si="23"/>
        <v>0</v>
      </c>
      <c r="GN112" s="80" t="e">
        <f>GM112*#REF!</f>
        <v>#REF!</v>
      </c>
      <c r="GO112" s="81" t="e">
        <f>GM112*#REF!</f>
        <v>#REF!</v>
      </c>
      <c r="GQ112" s="82">
        <f t="shared" si="25"/>
        <v>0</v>
      </c>
      <c r="GR112" s="83">
        <v>0</v>
      </c>
    </row>
    <row r="113" spans="2:200" ht="15">
      <c r="B113" s="22"/>
      <c r="C113" s="23"/>
      <c r="D113" s="24" t="str">
        <f>IF(C113="","",_xlfn.XLOOKUP(C113,'[1]Control Sheet'!$L$5:$L$104,'[1]Control Sheet'!$M$5:$M$104,"",0))</f>
        <v/>
      </c>
      <c r="E113" s="24" t="str">
        <f>IF(B113="","",_xlfn.XLOOKUP(B113,'[1]Control Sheet'!$D$5:$D$64,'[1]Control Sheet'!$F$5:$F$64,"",0))</f>
        <v/>
      </c>
      <c r="F113" s="24" t="str">
        <f>IF(B113="","",_xlfn.XLOOKUP(B113,'[1]Control Sheet'!$D$5:$D$64,'[1]Control Sheet'!$E$5:$E$64,"",0))</f>
        <v/>
      </c>
      <c r="I113" s="25"/>
      <c r="J113" s="26"/>
      <c r="K113" s="27"/>
      <c r="L113" s="28"/>
      <c r="M113" s="29"/>
      <c r="P113" s="25"/>
      <c r="Q113" s="26"/>
      <c r="R113" s="27"/>
      <c r="S113" s="28"/>
      <c r="T113" s="29"/>
      <c r="V113" s="25"/>
      <c r="W113" s="26"/>
      <c r="X113" s="27"/>
      <c r="Y113" s="28"/>
      <c r="Z113" s="29"/>
      <c r="AB113" s="25"/>
      <c r="AC113" s="26"/>
      <c r="AD113" s="27"/>
      <c r="AE113" s="28"/>
      <c r="AF113" s="29"/>
      <c r="AH113" s="25"/>
      <c r="AI113" s="26"/>
      <c r="AJ113" s="27"/>
      <c r="AK113" s="28"/>
      <c r="AL113" s="29"/>
      <c r="AN113" s="25"/>
      <c r="AO113" s="26"/>
      <c r="AP113" s="27"/>
      <c r="AQ113" s="28"/>
      <c r="AR113" s="29"/>
      <c r="AT113" s="25"/>
      <c r="AU113" s="26"/>
      <c r="AV113" s="27"/>
      <c r="AW113" s="28"/>
      <c r="AX113" s="29"/>
      <c r="AZ113" s="25"/>
      <c r="BA113" s="26"/>
      <c r="BB113" s="27"/>
      <c r="BC113" s="28"/>
      <c r="BD113" s="29"/>
      <c r="BF113" s="25"/>
      <c r="BG113" s="26"/>
      <c r="BH113" s="27"/>
      <c r="BI113" s="28"/>
      <c r="BJ113" s="29"/>
      <c r="BL113" s="25"/>
      <c r="BM113" s="26"/>
      <c r="BN113" s="27"/>
      <c r="BO113" s="28"/>
      <c r="BP113" s="29"/>
      <c r="BR113" s="25"/>
      <c r="BS113" s="26"/>
      <c r="BT113" s="27"/>
      <c r="BU113" s="28"/>
      <c r="BV113" s="29"/>
      <c r="BX113" s="25"/>
      <c r="BY113" s="26"/>
      <c r="BZ113" s="27"/>
      <c r="CA113" s="28"/>
      <c r="CB113" s="29"/>
      <c r="CD113" s="25"/>
      <c r="CE113" s="26"/>
      <c r="CF113" s="27"/>
      <c r="CG113" s="28"/>
      <c r="CH113" s="29"/>
      <c r="CJ113" s="25"/>
      <c r="CK113" s="26"/>
      <c r="CL113" s="27"/>
      <c r="CM113" s="28"/>
      <c r="CN113" s="29"/>
      <c r="CP113" s="25"/>
      <c r="CQ113" s="26"/>
      <c r="CR113" s="27"/>
      <c r="CS113" s="28"/>
      <c r="CT113" s="29"/>
      <c r="CV113" s="25"/>
      <c r="CW113" s="26"/>
      <c r="CX113" s="27"/>
      <c r="CY113" s="28"/>
      <c r="CZ113" s="29"/>
      <c r="DA113" s="79">
        <f t="shared" si="13"/>
        <v>0</v>
      </c>
      <c r="DB113" s="80" t="e">
        <f>DA113*#REF!</f>
        <v>#REF!</v>
      </c>
      <c r="DC113" s="81" t="e">
        <f>DA113*#REF!</f>
        <v>#REF!</v>
      </c>
      <c r="DE113" s="25"/>
      <c r="DF113" s="26"/>
      <c r="DG113" s="27"/>
      <c r="DH113" s="28"/>
      <c r="DI113" s="29"/>
      <c r="DJ113" s="79">
        <f t="shared" si="14"/>
        <v>0</v>
      </c>
      <c r="DK113" s="80" t="e">
        <f>DJ113*#REF!</f>
        <v>#REF!</v>
      </c>
      <c r="DL113" s="81" t="e">
        <f>DJ113*#REF!</f>
        <v>#REF!</v>
      </c>
      <c r="DN113" s="25"/>
      <c r="DO113" s="26"/>
      <c r="DP113" s="27"/>
      <c r="DQ113" s="28"/>
      <c r="DR113" s="29"/>
      <c r="DS113" s="79">
        <f t="shared" si="15"/>
        <v>0</v>
      </c>
      <c r="DT113" s="80" t="e">
        <f>DS113*#REF!</f>
        <v>#REF!</v>
      </c>
      <c r="DU113" s="81" t="e">
        <f>DS113*#REF!</f>
        <v>#REF!</v>
      </c>
      <c r="DW113" s="25"/>
      <c r="DX113" s="26"/>
      <c r="DY113" s="27"/>
      <c r="DZ113" s="28"/>
      <c r="EA113" s="29"/>
      <c r="EB113" s="79">
        <f t="shared" si="16"/>
        <v>0</v>
      </c>
      <c r="EC113" s="80" t="e">
        <f>EB113*#REF!</f>
        <v>#REF!</v>
      </c>
      <c r="ED113" s="81" t="e">
        <f>EB113*#REF!</f>
        <v>#REF!</v>
      </c>
      <c r="EF113" s="25"/>
      <c r="EG113" s="26"/>
      <c r="EH113" s="27"/>
      <c r="EI113" s="28"/>
      <c r="EJ113" s="29"/>
      <c r="EK113" s="79">
        <f t="shared" si="17"/>
        <v>0</v>
      </c>
      <c r="EL113" s="80" t="e">
        <f>EK113*#REF!</f>
        <v>#REF!</v>
      </c>
      <c r="EM113" s="81" t="e">
        <f>EK113*#REF!</f>
        <v>#REF!</v>
      </c>
      <c r="EO113" s="25"/>
      <c r="EP113" s="26"/>
      <c r="EQ113" s="27"/>
      <c r="ER113" s="28"/>
      <c r="ES113" s="29"/>
      <c r="ET113" s="79">
        <f t="shared" si="18"/>
        <v>0</v>
      </c>
      <c r="EU113" s="80" t="e">
        <f>ET113*#REF!</f>
        <v>#REF!</v>
      </c>
      <c r="EV113" s="81" t="e">
        <f>ET113*#REF!</f>
        <v>#REF!</v>
      </c>
      <c r="EX113" s="25"/>
      <c r="EY113" s="26"/>
      <c r="EZ113" s="27"/>
      <c r="FA113" s="28"/>
      <c r="FB113" s="29"/>
      <c r="FC113" s="79">
        <f t="shared" si="19"/>
        <v>0</v>
      </c>
      <c r="FD113" s="80" t="e">
        <f>FC113*#REF!</f>
        <v>#REF!</v>
      </c>
      <c r="FE113" s="81" t="e">
        <f>FC113*#REF!</f>
        <v>#REF!</v>
      </c>
      <c r="FG113" s="25"/>
      <c r="FH113" s="26"/>
      <c r="FI113" s="27"/>
      <c r="FJ113" s="28"/>
      <c r="FK113" s="29"/>
      <c r="FL113" s="79">
        <f t="shared" si="20"/>
        <v>0</v>
      </c>
      <c r="FM113" s="80" t="e">
        <f>FL113*#REF!</f>
        <v>#REF!</v>
      </c>
      <c r="FN113" s="81" t="e">
        <f>FL113*#REF!</f>
        <v>#REF!</v>
      </c>
      <c r="FP113" s="25"/>
      <c r="FQ113" s="26"/>
      <c r="FR113" s="27"/>
      <c r="FS113" s="28"/>
      <c r="FT113" s="29"/>
      <c r="FU113" s="79">
        <f t="shared" si="21"/>
        <v>0</v>
      </c>
      <c r="FV113" s="80" t="e">
        <f>FU113*#REF!</f>
        <v>#REF!</v>
      </c>
      <c r="FW113" s="81" t="e">
        <f>FU113*#REF!</f>
        <v>#REF!</v>
      </c>
      <c r="FY113" s="25"/>
      <c r="FZ113" s="26"/>
      <c r="GA113" s="27"/>
      <c r="GB113" s="28"/>
      <c r="GC113" s="29"/>
      <c r="GD113" s="79">
        <f t="shared" si="22"/>
        <v>0</v>
      </c>
      <c r="GE113" s="80" t="e">
        <f>GD113*#REF!</f>
        <v>#REF!</v>
      </c>
      <c r="GF113" s="81" t="e">
        <f>GD113*#REF!</f>
        <v>#REF!</v>
      </c>
      <c r="GH113" s="25"/>
      <c r="GI113" s="26"/>
      <c r="GJ113" s="27"/>
      <c r="GK113" s="28"/>
      <c r="GL113" s="29"/>
      <c r="GM113" s="79">
        <f t="shared" si="23"/>
        <v>0</v>
      </c>
      <c r="GN113" s="80" t="e">
        <f>GM113*#REF!</f>
        <v>#REF!</v>
      </c>
      <c r="GO113" s="81" t="e">
        <f>GM113*#REF!</f>
        <v>#REF!</v>
      </c>
      <c r="GQ113" s="82">
        <f t="shared" si="25"/>
        <v>0</v>
      </c>
      <c r="GR113" s="83">
        <v>0</v>
      </c>
    </row>
    <row r="114" spans="2:200" ht="15">
      <c r="B114" s="22"/>
      <c r="C114" s="23"/>
      <c r="D114" s="24" t="str">
        <f>IF(C114="","",_xlfn.XLOOKUP(C114,'[1]Control Sheet'!$L$5:$L$104,'[1]Control Sheet'!$M$5:$M$104,"",0))</f>
        <v/>
      </c>
      <c r="E114" s="24" t="str">
        <f>IF(B114="","",_xlfn.XLOOKUP(B114,'[1]Control Sheet'!$D$5:$D$64,'[1]Control Sheet'!$F$5:$F$64,"",0))</f>
        <v/>
      </c>
      <c r="F114" s="24" t="str">
        <f>IF(B114="","",_xlfn.XLOOKUP(B114,'[1]Control Sheet'!$D$5:$D$64,'[1]Control Sheet'!$E$5:$E$64,"",0))</f>
        <v/>
      </c>
      <c r="I114" s="25"/>
      <c r="J114" s="26"/>
      <c r="K114" s="27"/>
      <c r="L114" s="28"/>
      <c r="M114" s="29"/>
      <c r="P114" s="25"/>
      <c r="Q114" s="26"/>
      <c r="R114" s="27"/>
      <c r="S114" s="28"/>
      <c r="T114" s="29"/>
      <c r="V114" s="25"/>
      <c r="W114" s="26"/>
      <c r="X114" s="27"/>
      <c r="Y114" s="28"/>
      <c r="Z114" s="29"/>
      <c r="AB114" s="25"/>
      <c r="AC114" s="26"/>
      <c r="AD114" s="27"/>
      <c r="AE114" s="28"/>
      <c r="AF114" s="29"/>
      <c r="AH114" s="25"/>
      <c r="AI114" s="26"/>
      <c r="AJ114" s="27"/>
      <c r="AK114" s="28"/>
      <c r="AL114" s="29"/>
      <c r="AN114" s="25"/>
      <c r="AO114" s="26"/>
      <c r="AP114" s="27"/>
      <c r="AQ114" s="28"/>
      <c r="AR114" s="29"/>
      <c r="AT114" s="25"/>
      <c r="AU114" s="26"/>
      <c r="AV114" s="27"/>
      <c r="AW114" s="28"/>
      <c r="AX114" s="29"/>
      <c r="AZ114" s="25"/>
      <c r="BA114" s="26"/>
      <c r="BB114" s="27"/>
      <c r="BC114" s="28"/>
      <c r="BD114" s="29"/>
      <c r="BF114" s="25"/>
      <c r="BG114" s="26"/>
      <c r="BH114" s="27"/>
      <c r="BI114" s="28"/>
      <c r="BJ114" s="29"/>
      <c r="BL114" s="25"/>
      <c r="BM114" s="26"/>
      <c r="BN114" s="27"/>
      <c r="BO114" s="28"/>
      <c r="BP114" s="29"/>
      <c r="BR114" s="25"/>
      <c r="BS114" s="26"/>
      <c r="BT114" s="27"/>
      <c r="BU114" s="28"/>
      <c r="BV114" s="29"/>
      <c r="BX114" s="25"/>
      <c r="BY114" s="26"/>
      <c r="BZ114" s="27"/>
      <c r="CA114" s="28"/>
      <c r="CB114" s="29"/>
      <c r="CD114" s="25"/>
      <c r="CE114" s="26"/>
      <c r="CF114" s="27"/>
      <c r="CG114" s="28"/>
      <c r="CH114" s="29"/>
      <c r="CJ114" s="25"/>
      <c r="CK114" s="26"/>
      <c r="CL114" s="27"/>
      <c r="CM114" s="28"/>
      <c r="CN114" s="29"/>
      <c r="CP114" s="25"/>
      <c r="CQ114" s="26"/>
      <c r="CR114" s="27"/>
      <c r="CS114" s="28"/>
      <c r="CT114" s="29"/>
      <c r="CV114" s="25"/>
      <c r="CW114" s="26"/>
      <c r="CX114" s="27"/>
      <c r="CY114" s="28"/>
      <c r="CZ114" s="29"/>
      <c r="DA114" s="79">
        <f t="shared" si="13"/>
        <v>0</v>
      </c>
      <c r="DB114" s="80" t="e">
        <f>DA114*#REF!</f>
        <v>#REF!</v>
      </c>
      <c r="DC114" s="81" t="e">
        <f>DA114*#REF!</f>
        <v>#REF!</v>
      </c>
      <c r="DE114" s="25"/>
      <c r="DF114" s="26"/>
      <c r="DG114" s="27"/>
      <c r="DH114" s="28"/>
      <c r="DI114" s="29"/>
      <c r="DJ114" s="79">
        <f t="shared" si="14"/>
        <v>0</v>
      </c>
      <c r="DK114" s="80" t="e">
        <f>DJ114*#REF!</f>
        <v>#REF!</v>
      </c>
      <c r="DL114" s="81" t="e">
        <f>DJ114*#REF!</f>
        <v>#REF!</v>
      </c>
      <c r="DN114" s="25"/>
      <c r="DO114" s="26"/>
      <c r="DP114" s="27"/>
      <c r="DQ114" s="28"/>
      <c r="DR114" s="29"/>
      <c r="DS114" s="79">
        <f t="shared" si="15"/>
        <v>0</v>
      </c>
      <c r="DT114" s="80" t="e">
        <f>DS114*#REF!</f>
        <v>#REF!</v>
      </c>
      <c r="DU114" s="81" t="e">
        <f>DS114*#REF!</f>
        <v>#REF!</v>
      </c>
      <c r="DW114" s="25"/>
      <c r="DX114" s="26"/>
      <c r="DY114" s="27"/>
      <c r="DZ114" s="28"/>
      <c r="EA114" s="29"/>
      <c r="EB114" s="79">
        <f t="shared" si="16"/>
        <v>0</v>
      </c>
      <c r="EC114" s="80" t="e">
        <f>EB114*#REF!</f>
        <v>#REF!</v>
      </c>
      <c r="ED114" s="81" t="e">
        <f>EB114*#REF!</f>
        <v>#REF!</v>
      </c>
      <c r="EF114" s="25"/>
      <c r="EG114" s="26"/>
      <c r="EH114" s="27"/>
      <c r="EI114" s="28"/>
      <c r="EJ114" s="29"/>
      <c r="EK114" s="79">
        <f t="shared" si="17"/>
        <v>0</v>
      </c>
      <c r="EL114" s="80" t="e">
        <f>EK114*#REF!</f>
        <v>#REF!</v>
      </c>
      <c r="EM114" s="81" t="e">
        <f>EK114*#REF!</f>
        <v>#REF!</v>
      </c>
      <c r="EO114" s="25"/>
      <c r="EP114" s="26"/>
      <c r="EQ114" s="27"/>
      <c r="ER114" s="28"/>
      <c r="ES114" s="29"/>
      <c r="ET114" s="79">
        <f t="shared" si="18"/>
        <v>0</v>
      </c>
      <c r="EU114" s="80" t="e">
        <f>ET114*#REF!</f>
        <v>#REF!</v>
      </c>
      <c r="EV114" s="81" t="e">
        <f>ET114*#REF!</f>
        <v>#REF!</v>
      </c>
      <c r="EX114" s="25"/>
      <c r="EY114" s="26"/>
      <c r="EZ114" s="27"/>
      <c r="FA114" s="28"/>
      <c r="FB114" s="29"/>
      <c r="FC114" s="79">
        <f t="shared" si="19"/>
        <v>0</v>
      </c>
      <c r="FD114" s="80" t="e">
        <f>FC114*#REF!</f>
        <v>#REF!</v>
      </c>
      <c r="FE114" s="81" t="e">
        <f>FC114*#REF!</f>
        <v>#REF!</v>
      </c>
      <c r="FG114" s="25"/>
      <c r="FH114" s="26"/>
      <c r="FI114" s="27"/>
      <c r="FJ114" s="28"/>
      <c r="FK114" s="29"/>
      <c r="FL114" s="79">
        <f t="shared" si="20"/>
        <v>0</v>
      </c>
      <c r="FM114" s="80" t="e">
        <f>FL114*#REF!</f>
        <v>#REF!</v>
      </c>
      <c r="FN114" s="81" t="e">
        <f>FL114*#REF!</f>
        <v>#REF!</v>
      </c>
      <c r="FP114" s="25"/>
      <c r="FQ114" s="26"/>
      <c r="FR114" s="27"/>
      <c r="FS114" s="28"/>
      <c r="FT114" s="29"/>
      <c r="FU114" s="79">
        <f t="shared" si="21"/>
        <v>0</v>
      </c>
      <c r="FV114" s="80" t="e">
        <f>FU114*#REF!</f>
        <v>#REF!</v>
      </c>
      <c r="FW114" s="81" t="e">
        <f>FU114*#REF!</f>
        <v>#REF!</v>
      </c>
      <c r="FY114" s="25"/>
      <c r="FZ114" s="26"/>
      <c r="GA114" s="27"/>
      <c r="GB114" s="28"/>
      <c r="GC114" s="29"/>
      <c r="GD114" s="79">
        <f t="shared" si="22"/>
        <v>0</v>
      </c>
      <c r="GE114" s="80" t="e">
        <f>GD114*#REF!</f>
        <v>#REF!</v>
      </c>
      <c r="GF114" s="81" t="e">
        <f>GD114*#REF!</f>
        <v>#REF!</v>
      </c>
      <c r="GH114" s="25"/>
      <c r="GI114" s="26"/>
      <c r="GJ114" s="27"/>
      <c r="GK114" s="28"/>
      <c r="GL114" s="29"/>
      <c r="GM114" s="79">
        <f t="shared" si="23"/>
        <v>0</v>
      </c>
      <c r="GN114" s="80" t="e">
        <f>GM114*#REF!</f>
        <v>#REF!</v>
      </c>
      <c r="GO114" s="81" t="e">
        <f>GM114*#REF!</f>
        <v>#REF!</v>
      </c>
      <c r="GQ114" s="82">
        <f t="shared" si="25"/>
        <v>0</v>
      </c>
      <c r="GR114" s="83">
        <v>0</v>
      </c>
    </row>
    <row r="115" spans="2:200" ht="15">
      <c r="B115" s="22"/>
      <c r="C115" s="23"/>
      <c r="D115" s="24" t="str">
        <f>IF(C115="","",_xlfn.XLOOKUP(C115,'[1]Control Sheet'!$L$5:$L$104,'[1]Control Sheet'!$M$5:$M$104,"",0))</f>
        <v/>
      </c>
      <c r="E115" s="24" t="str">
        <f>IF(B115="","",_xlfn.XLOOKUP(B115,'[1]Control Sheet'!$D$5:$D$64,'[1]Control Sheet'!$F$5:$F$64,"",0))</f>
        <v/>
      </c>
      <c r="F115" s="24" t="str">
        <f>IF(B115="","",_xlfn.XLOOKUP(B115,'[1]Control Sheet'!$D$5:$D$64,'[1]Control Sheet'!$E$5:$E$64,"",0))</f>
        <v/>
      </c>
      <c r="I115" s="25"/>
      <c r="J115" s="26"/>
      <c r="K115" s="27"/>
      <c r="L115" s="28"/>
      <c r="M115" s="29"/>
      <c r="P115" s="25"/>
      <c r="Q115" s="26"/>
      <c r="R115" s="27"/>
      <c r="S115" s="28"/>
      <c r="T115" s="29"/>
      <c r="V115" s="25"/>
      <c r="W115" s="26"/>
      <c r="X115" s="27"/>
      <c r="Y115" s="28"/>
      <c r="Z115" s="29"/>
      <c r="AB115" s="25"/>
      <c r="AC115" s="26"/>
      <c r="AD115" s="27"/>
      <c r="AE115" s="28"/>
      <c r="AF115" s="29"/>
      <c r="AH115" s="25"/>
      <c r="AI115" s="26"/>
      <c r="AJ115" s="27"/>
      <c r="AK115" s="28"/>
      <c r="AL115" s="29"/>
      <c r="AN115" s="25"/>
      <c r="AO115" s="26"/>
      <c r="AP115" s="27"/>
      <c r="AQ115" s="28"/>
      <c r="AR115" s="29"/>
      <c r="AT115" s="25"/>
      <c r="AU115" s="26"/>
      <c r="AV115" s="27"/>
      <c r="AW115" s="28"/>
      <c r="AX115" s="29"/>
      <c r="AZ115" s="25"/>
      <c r="BA115" s="26"/>
      <c r="BB115" s="27"/>
      <c r="BC115" s="28"/>
      <c r="BD115" s="29"/>
      <c r="BF115" s="25"/>
      <c r="BG115" s="26"/>
      <c r="BH115" s="27"/>
      <c r="BI115" s="28"/>
      <c r="BJ115" s="29"/>
      <c r="BL115" s="25"/>
      <c r="BM115" s="26"/>
      <c r="BN115" s="27"/>
      <c r="BO115" s="28"/>
      <c r="BP115" s="29"/>
      <c r="BR115" s="25"/>
      <c r="BS115" s="26"/>
      <c r="BT115" s="27"/>
      <c r="BU115" s="28"/>
      <c r="BV115" s="29"/>
      <c r="BX115" s="25"/>
      <c r="BY115" s="26"/>
      <c r="BZ115" s="27"/>
      <c r="CA115" s="28"/>
      <c r="CB115" s="29"/>
      <c r="CD115" s="25"/>
      <c r="CE115" s="26"/>
      <c r="CF115" s="27"/>
      <c r="CG115" s="28"/>
      <c r="CH115" s="29"/>
      <c r="CJ115" s="25"/>
      <c r="CK115" s="26"/>
      <c r="CL115" s="27"/>
      <c r="CM115" s="28"/>
      <c r="CN115" s="29"/>
      <c r="CP115" s="25"/>
      <c r="CQ115" s="26"/>
      <c r="CR115" s="27"/>
      <c r="CS115" s="28"/>
      <c r="CT115" s="29"/>
      <c r="CV115" s="25"/>
      <c r="CW115" s="26"/>
      <c r="CX115" s="27"/>
      <c r="CY115" s="28"/>
      <c r="CZ115" s="29"/>
      <c r="DA115" s="79">
        <f t="shared" si="13"/>
        <v>0</v>
      </c>
      <c r="DB115" s="80" t="e">
        <f>DA115*#REF!</f>
        <v>#REF!</v>
      </c>
      <c r="DC115" s="81" t="e">
        <f>DA115*#REF!</f>
        <v>#REF!</v>
      </c>
      <c r="DE115" s="25"/>
      <c r="DF115" s="26"/>
      <c r="DG115" s="27"/>
      <c r="DH115" s="28"/>
      <c r="DI115" s="29"/>
      <c r="DJ115" s="79">
        <f t="shared" si="14"/>
        <v>0</v>
      </c>
      <c r="DK115" s="80" t="e">
        <f>DJ115*#REF!</f>
        <v>#REF!</v>
      </c>
      <c r="DL115" s="81" t="e">
        <f>DJ115*#REF!</f>
        <v>#REF!</v>
      </c>
      <c r="DN115" s="25"/>
      <c r="DO115" s="26"/>
      <c r="DP115" s="27"/>
      <c r="DQ115" s="28"/>
      <c r="DR115" s="29"/>
      <c r="DS115" s="79">
        <f t="shared" si="15"/>
        <v>0</v>
      </c>
      <c r="DT115" s="80" t="e">
        <f>DS115*#REF!</f>
        <v>#REF!</v>
      </c>
      <c r="DU115" s="81" t="e">
        <f>DS115*#REF!</f>
        <v>#REF!</v>
      </c>
      <c r="DW115" s="25"/>
      <c r="DX115" s="26"/>
      <c r="DY115" s="27"/>
      <c r="DZ115" s="28"/>
      <c r="EA115" s="29"/>
      <c r="EB115" s="79">
        <f t="shared" si="16"/>
        <v>0</v>
      </c>
      <c r="EC115" s="80" t="e">
        <f>EB115*#REF!</f>
        <v>#REF!</v>
      </c>
      <c r="ED115" s="81" t="e">
        <f>EB115*#REF!</f>
        <v>#REF!</v>
      </c>
      <c r="EF115" s="25"/>
      <c r="EG115" s="26"/>
      <c r="EH115" s="27"/>
      <c r="EI115" s="28"/>
      <c r="EJ115" s="29"/>
      <c r="EK115" s="79">
        <f t="shared" si="17"/>
        <v>0</v>
      </c>
      <c r="EL115" s="80" t="e">
        <f>EK115*#REF!</f>
        <v>#REF!</v>
      </c>
      <c r="EM115" s="81" t="e">
        <f>EK115*#REF!</f>
        <v>#REF!</v>
      </c>
      <c r="EO115" s="25"/>
      <c r="EP115" s="26"/>
      <c r="EQ115" s="27"/>
      <c r="ER115" s="28"/>
      <c r="ES115" s="29"/>
      <c r="ET115" s="79">
        <f t="shared" si="18"/>
        <v>0</v>
      </c>
      <c r="EU115" s="80" t="e">
        <f>ET115*#REF!</f>
        <v>#REF!</v>
      </c>
      <c r="EV115" s="81" t="e">
        <f>ET115*#REF!</f>
        <v>#REF!</v>
      </c>
      <c r="EX115" s="25"/>
      <c r="EY115" s="26"/>
      <c r="EZ115" s="27"/>
      <c r="FA115" s="28"/>
      <c r="FB115" s="29"/>
      <c r="FC115" s="79">
        <f t="shared" si="19"/>
        <v>0</v>
      </c>
      <c r="FD115" s="80" t="e">
        <f>FC115*#REF!</f>
        <v>#REF!</v>
      </c>
      <c r="FE115" s="81" t="e">
        <f>FC115*#REF!</f>
        <v>#REF!</v>
      </c>
      <c r="FG115" s="25"/>
      <c r="FH115" s="26"/>
      <c r="FI115" s="27"/>
      <c r="FJ115" s="28"/>
      <c r="FK115" s="29"/>
      <c r="FL115" s="79">
        <f t="shared" si="20"/>
        <v>0</v>
      </c>
      <c r="FM115" s="80" t="e">
        <f>FL115*#REF!</f>
        <v>#REF!</v>
      </c>
      <c r="FN115" s="81" t="e">
        <f>FL115*#REF!</f>
        <v>#REF!</v>
      </c>
      <c r="FP115" s="25"/>
      <c r="FQ115" s="26"/>
      <c r="FR115" s="27"/>
      <c r="FS115" s="28"/>
      <c r="FT115" s="29"/>
      <c r="FU115" s="79">
        <f t="shared" si="21"/>
        <v>0</v>
      </c>
      <c r="FV115" s="80" t="e">
        <f>FU115*#REF!</f>
        <v>#REF!</v>
      </c>
      <c r="FW115" s="81" t="e">
        <f>FU115*#REF!</f>
        <v>#REF!</v>
      </c>
      <c r="FY115" s="25"/>
      <c r="FZ115" s="26"/>
      <c r="GA115" s="27"/>
      <c r="GB115" s="28"/>
      <c r="GC115" s="29"/>
      <c r="GD115" s="79">
        <f t="shared" si="22"/>
        <v>0</v>
      </c>
      <c r="GE115" s="80" t="e">
        <f>GD115*#REF!</f>
        <v>#REF!</v>
      </c>
      <c r="GF115" s="81" t="e">
        <f>GD115*#REF!</f>
        <v>#REF!</v>
      </c>
      <c r="GH115" s="25"/>
      <c r="GI115" s="26"/>
      <c r="GJ115" s="27"/>
      <c r="GK115" s="28"/>
      <c r="GL115" s="29"/>
      <c r="GM115" s="79">
        <f t="shared" si="23"/>
        <v>0</v>
      </c>
      <c r="GN115" s="80" t="e">
        <f>GM115*#REF!</f>
        <v>#REF!</v>
      </c>
      <c r="GO115" s="81" t="e">
        <f>GM115*#REF!</f>
        <v>#REF!</v>
      </c>
      <c r="GQ115" s="82">
        <f t="shared" si="25"/>
        <v>0</v>
      </c>
      <c r="GR115" s="83">
        <v>0</v>
      </c>
    </row>
    <row r="116" spans="2:200" ht="15">
      <c r="B116" s="22"/>
      <c r="C116" s="23"/>
      <c r="D116" s="24" t="str">
        <f>IF(C116="","",_xlfn.XLOOKUP(C116,'[1]Control Sheet'!$L$5:$L$104,'[1]Control Sheet'!$M$5:$M$104,"",0))</f>
        <v/>
      </c>
      <c r="E116" s="24" t="str">
        <f>IF(B116="","",_xlfn.XLOOKUP(B116,'[1]Control Sheet'!$D$5:$D$64,'[1]Control Sheet'!$F$5:$F$64,"",0))</f>
        <v/>
      </c>
      <c r="F116" s="24" t="str">
        <f>IF(B116="","",_xlfn.XLOOKUP(B116,'[1]Control Sheet'!$D$5:$D$64,'[1]Control Sheet'!$E$5:$E$64,"",0))</f>
        <v/>
      </c>
      <c r="I116" s="25"/>
      <c r="J116" s="26"/>
      <c r="K116" s="27"/>
      <c r="L116" s="28"/>
      <c r="M116" s="29"/>
      <c r="P116" s="25"/>
      <c r="Q116" s="26"/>
      <c r="R116" s="27"/>
      <c r="S116" s="28"/>
      <c r="T116" s="29"/>
      <c r="V116" s="25"/>
      <c r="W116" s="26"/>
      <c r="X116" s="27"/>
      <c r="Y116" s="28"/>
      <c r="Z116" s="29"/>
      <c r="AB116" s="25"/>
      <c r="AC116" s="26"/>
      <c r="AD116" s="27"/>
      <c r="AE116" s="28"/>
      <c r="AF116" s="29"/>
      <c r="AH116" s="25"/>
      <c r="AI116" s="26"/>
      <c r="AJ116" s="27"/>
      <c r="AK116" s="28"/>
      <c r="AL116" s="29"/>
      <c r="AN116" s="25"/>
      <c r="AO116" s="26"/>
      <c r="AP116" s="27"/>
      <c r="AQ116" s="28"/>
      <c r="AR116" s="29"/>
      <c r="AT116" s="25"/>
      <c r="AU116" s="26"/>
      <c r="AV116" s="27"/>
      <c r="AW116" s="28"/>
      <c r="AX116" s="29"/>
      <c r="AZ116" s="25"/>
      <c r="BA116" s="26"/>
      <c r="BB116" s="27"/>
      <c r="BC116" s="28"/>
      <c r="BD116" s="29"/>
      <c r="BF116" s="25"/>
      <c r="BG116" s="26"/>
      <c r="BH116" s="27"/>
      <c r="BI116" s="28"/>
      <c r="BJ116" s="29"/>
      <c r="BL116" s="25"/>
      <c r="BM116" s="26"/>
      <c r="BN116" s="27"/>
      <c r="BO116" s="28"/>
      <c r="BP116" s="29"/>
      <c r="BR116" s="25"/>
      <c r="BS116" s="26"/>
      <c r="BT116" s="27"/>
      <c r="BU116" s="28"/>
      <c r="BV116" s="29"/>
      <c r="BX116" s="25"/>
      <c r="BY116" s="26"/>
      <c r="BZ116" s="27"/>
      <c r="CA116" s="28"/>
      <c r="CB116" s="29"/>
      <c r="CD116" s="25"/>
      <c r="CE116" s="26"/>
      <c r="CF116" s="27"/>
      <c r="CG116" s="28"/>
      <c r="CH116" s="29"/>
      <c r="CJ116" s="25"/>
      <c r="CK116" s="26"/>
      <c r="CL116" s="27"/>
      <c r="CM116" s="28"/>
      <c r="CN116" s="29"/>
      <c r="CP116" s="25"/>
      <c r="CQ116" s="26"/>
      <c r="CR116" s="27"/>
      <c r="CS116" s="28"/>
      <c r="CT116" s="29"/>
      <c r="CV116" s="25"/>
      <c r="CW116" s="26"/>
      <c r="CX116" s="27"/>
      <c r="CY116" s="28"/>
      <c r="CZ116" s="29"/>
      <c r="DA116" s="79">
        <f t="shared" si="13"/>
        <v>0</v>
      </c>
      <c r="DB116" s="80" t="e">
        <f>DA116*#REF!</f>
        <v>#REF!</v>
      </c>
      <c r="DC116" s="81" t="e">
        <f>DA116*#REF!</f>
        <v>#REF!</v>
      </c>
      <c r="DE116" s="25"/>
      <c r="DF116" s="26"/>
      <c r="DG116" s="27"/>
      <c r="DH116" s="28"/>
      <c r="DI116" s="29"/>
      <c r="DJ116" s="79">
        <f t="shared" si="14"/>
        <v>0</v>
      </c>
      <c r="DK116" s="80" t="e">
        <f>DJ116*#REF!</f>
        <v>#REF!</v>
      </c>
      <c r="DL116" s="81" t="e">
        <f>DJ116*#REF!</f>
        <v>#REF!</v>
      </c>
      <c r="DN116" s="25"/>
      <c r="DO116" s="26"/>
      <c r="DP116" s="27"/>
      <c r="DQ116" s="28"/>
      <c r="DR116" s="29"/>
      <c r="DS116" s="79">
        <f t="shared" si="15"/>
        <v>0</v>
      </c>
      <c r="DT116" s="80" t="e">
        <f>DS116*#REF!</f>
        <v>#REF!</v>
      </c>
      <c r="DU116" s="81" t="e">
        <f>DS116*#REF!</f>
        <v>#REF!</v>
      </c>
      <c r="DW116" s="25"/>
      <c r="DX116" s="26"/>
      <c r="DY116" s="27"/>
      <c r="DZ116" s="28"/>
      <c r="EA116" s="29"/>
      <c r="EB116" s="79">
        <f t="shared" si="16"/>
        <v>0</v>
      </c>
      <c r="EC116" s="80" t="e">
        <f>EB116*#REF!</f>
        <v>#REF!</v>
      </c>
      <c r="ED116" s="81" t="e">
        <f>EB116*#REF!</f>
        <v>#REF!</v>
      </c>
      <c r="EF116" s="25"/>
      <c r="EG116" s="26"/>
      <c r="EH116" s="27"/>
      <c r="EI116" s="28"/>
      <c r="EJ116" s="29"/>
      <c r="EK116" s="79">
        <f t="shared" si="17"/>
        <v>0</v>
      </c>
      <c r="EL116" s="80" t="e">
        <f>EK116*#REF!</f>
        <v>#REF!</v>
      </c>
      <c r="EM116" s="81" t="e">
        <f>EK116*#REF!</f>
        <v>#REF!</v>
      </c>
      <c r="EO116" s="25"/>
      <c r="EP116" s="26"/>
      <c r="EQ116" s="27"/>
      <c r="ER116" s="28"/>
      <c r="ES116" s="29"/>
      <c r="ET116" s="79">
        <f t="shared" si="18"/>
        <v>0</v>
      </c>
      <c r="EU116" s="80" t="e">
        <f>ET116*#REF!</f>
        <v>#REF!</v>
      </c>
      <c r="EV116" s="81" t="e">
        <f>ET116*#REF!</f>
        <v>#REF!</v>
      </c>
      <c r="EX116" s="25"/>
      <c r="EY116" s="26"/>
      <c r="EZ116" s="27"/>
      <c r="FA116" s="28"/>
      <c r="FB116" s="29"/>
      <c r="FC116" s="79">
        <f t="shared" si="19"/>
        <v>0</v>
      </c>
      <c r="FD116" s="80" t="e">
        <f>FC116*#REF!</f>
        <v>#REF!</v>
      </c>
      <c r="FE116" s="81" t="e">
        <f>FC116*#REF!</f>
        <v>#REF!</v>
      </c>
      <c r="FG116" s="25"/>
      <c r="FH116" s="26"/>
      <c r="FI116" s="27"/>
      <c r="FJ116" s="28"/>
      <c r="FK116" s="29"/>
      <c r="FL116" s="79">
        <f t="shared" si="20"/>
        <v>0</v>
      </c>
      <c r="FM116" s="80" t="e">
        <f>FL116*#REF!</f>
        <v>#REF!</v>
      </c>
      <c r="FN116" s="81" t="e">
        <f>FL116*#REF!</f>
        <v>#REF!</v>
      </c>
      <c r="FP116" s="25"/>
      <c r="FQ116" s="26"/>
      <c r="FR116" s="27"/>
      <c r="FS116" s="28"/>
      <c r="FT116" s="29"/>
      <c r="FU116" s="79">
        <f t="shared" si="21"/>
        <v>0</v>
      </c>
      <c r="FV116" s="80" t="e">
        <f>FU116*#REF!</f>
        <v>#REF!</v>
      </c>
      <c r="FW116" s="81" t="e">
        <f>FU116*#REF!</f>
        <v>#REF!</v>
      </c>
      <c r="FY116" s="25"/>
      <c r="FZ116" s="26"/>
      <c r="GA116" s="27"/>
      <c r="GB116" s="28"/>
      <c r="GC116" s="29"/>
      <c r="GD116" s="79">
        <f t="shared" si="22"/>
        <v>0</v>
      </c>
      <c r="GE116" s="80" t="e">
        <f>GD116*#REF!</f>
        <v>#REF!</v>
      </c>
      <c r="GF116" s="81" t="e">
        <f>GD116*#REF!</f>
        <v>#REF!</v>
      </c>
      <c r="GH116" s="25"/>
      <c r="GI116" s="26"/>
      <c r="GJ116" s="27"/>
      <c r="GK116" s="28"/>
      <c r="GL116" s="29"/>
      <c r="GM116" s="79">
        <f t="shared" si="23"/>
        <v>0</v>
      </c>
      <c r="GN116" s="80" t="e">
        <f>GM116*#REF!</f>
        <v>#REF!</v>
      </c>
      <c r="GO116" s="81" t="e">
        <f>GM116*#REF!</f>
        <v>#REF!</v>
      </c>
      <c r="GQ116" s="82">
        <f t="shared" si="25"/>
        <v>0</v>
      </c>
      <c r="GR116" s="83">
        <v>0</v>
      </c>
    </row>
    <row r="117" spans="2:200" ht="15">
      <c r="B117" s="22"/>
      <c r="C117" s="23"/>
      <c r="D117" s="24" t="str">
        <f>IF(C117="","",_xlfn.XLOOKUP(C117,'[1]Control Sheet'!$L$5:$L$104,'[1]Control Sheet'!$M$5:$M$104,"",0))</f>
        <v/>
      </c>
      <c r="E117" s="24" t="str">
        <f>IF(B117="","",_xlfn.XLOOKUP(B117,'[1]Control Sheet'!$D$5:$D$64,'[1]Control Sheet'!$F$5:$F$64,"",0))</f>
        <v/>
      </c>
      <c r="F117" s="24" t="str">
        <f>IF(B117="","",_xlfn.XLOOKUP(B117,'[1]Control Sheet'!$D$5:$D$64,'[1]Control Sheet'!$E$5:$E$64,"",0))</f>
        <v/>
      </c>
      <c r="I117" s="25"/>
      <c r="J117" s="26"/>
      <c r="K117" s="27"/>
      <c r="L117" s="28"/>
      <c r="M117" s="29"/>
      <c r="P117" s="25"/>
      <c r="Q117" s="26"/>
      <c r="R117" s="27"/>
      <c r="S117" s="28"/>
      <c r="T117" s="29"/>
      <c r="V117" s="25"/>
      <c r="W117" s="26"/>
      <c r="X117" s="27"/>
      <c r="Y117" s="28"/>
      <c r="Z117" s="29"/>
      <c r="AB117" s="25"/>
      <c r="AC117" s="26"/>
      <c r="AD117" s="27"/>
      <c r="AE117" s="28"/>
      <c r="AF117" s="29"/>
      <c r="AH117" s="25"/>
      <c r="AI117" s="26"/>
      <c r="AJ117" s="27"/>
      <c r="AK117" s="28"/>
      <c r="AL117" s="29"/>
      <c r="AN117" s="25"/>
      <c r="AO117" s="26"/>
      <c r="AP117" s="27"/>
      <c r="AQ117" s="28"/>
      <c r="AR117" s="29"/>
      <c r="AT117" s="25"/>
      <c r="AU117" s="26"/>
      <c r="AV117" s="27"/>
      <c r="AW117" s="28"/>
      <c r="AX117" s="29"/>
      <c r="AZ117" s="25"/>
      <c r="BA117" s="26"/>
      <c r="BB117" s="27"/>
      <c r="BC117" s="28"/>
      <c r="BD117" s="29"/>
      <c r="BF117" s="25"/>
      <c r="BG117" s="26"/>
      <c r="BH117" s="27"/>
      <c r="BI117" s="28"/>
      <c r="BJ117" s="29"/>
      <c r="BL117" s="25"/>
      <c r="BM117" s="26"/>
      <c r="BN117" s="27"/>
      <c r="BO117" s="28"/>
      <c r="BP117" s="29"/>
      <c r="BR117" s="25"/>
      <c r="BS117" s="26"/>
      <c r="BT117" s="27"/>
      <c r="BU117" s="28"/>
      <c r="BV117" s="29"/>
      <c r="BX117" s="25"/>
      <c r="BY117" s="26"/>
      <c r="BZ117" s="27"/>
      <c r="CA117" s="28"/>
      <c r="CB117" s="29"/>
      <c r="CD117" s="25"/>
      <c r="CE117" s="26"/>
      <c r="CF117" s="27"/>
      <c r="CG117" s="28"/>
      <c r="CH117" s="29"/>
      <c r="CJ117" s="25"/>
      <c r="CK117" s="26"/>
      <c r="CL117" s="27"/>
      <c r="CM117" s="28"/>
      <c r="CN117" s="29"/>
      <c r="CP117" s="25"/>
      <c r="CQ117" s="26"/>
      <c r="CR117" s="27"/>
      <c r="CS117" s="28"/>
      <c r="CT117" s="29"/>
      <c r="CV117" s="25"/>
      <c r="CW117" s="26"/>
      <c r="CX117" s="27"/>
      <c r="CY117" s="28"/>
      <c r="CZ117" s="29"/>
      <c r="DA117" s="79">
        <f t="shared" si="13"/>
        <v>0</v>
      </c>
      <c r="DB117" s="80" t="e">
        <f>DA117*#REF!</f>
        <v>#REF!</v>
      </c>
      <c r="DC117" s="81" t="e">
        <f>DA117*#REF!</f>
        <v>#REF!</v>
      </c>
      <c r="DE117" s="25"/>
      <c r="DF117" s="26"/>
      <c r="DG117" s="27"/>
      <c r="DH117" s="28"/>
      <c r="DI117" s="29"/>
      <c r="DJ117" s="79">
        <f t="shared" si="14"/>
        <v>0</v>
      </c>
      <c r="DK117" s="80" t="e">
        <f>DJ117*#REF!</f>
        <v>#REF!</v>
      </c>
      <c r="DL117" s="81" t="e">
        <f>DJ117*#REF!</f>
        <v>#REF!</v>
      </c>
      <c r="DN117" s="25"/>
      <c r="DO117" s="26"/>
      <c r="DP117" s="27"/>
      <c r="DQ117" s="28"/>
      <c r="DR117" s="29"/>
      <c r="DS117" s="79">
        <f t="shared" si="15"/>
        <v>0</v>
      </c>
      <c r="DT117" s="80" t="e">
        <f>DS117*#REF!</f>
        <v>#REF!</v>
      </c>
      <c r="DU117" s="81" t="e">
        <f>DS117*#REF!</f>
        <v>#REF!</v>
      </c>
      <c r="DW117" s="25"/>
      <c r="DX117" s="26"/>
      <c r="DY117" s="27"/>
      <c r="DZ117" s="28"/>
      <c r="EA117" s="29"/>
      <c r="EB117" s="79">
        <f t="shared" si="16"/>
        <v>0</v>
      </c>
      <c r="EC117" s="80" t="e">
        <f>EB117*#REF!</f>
        <v>#REF!</v>
      </c>
      <c r="ED117" s="81" t="e">
        <f>EB117*#REF!</f>
        <v>#REF!</v>
      </c>
      <c r="EF117" s="25"/>
      <c r="EG117" s="26"/>
      <c r="EH117" s="27"/>
      <c r="EI117" s="28"/>
      <c r="EJ117" s="29"/>
      <c r="EK117" s="79">
        <f t="shared" si="17"/>
        <v>0</v>
      </c>
      <c r="EL117" s="80" t="e">
        <f>EK117*#REF!</f>
        <v>#REF!</v>
      </c>
      <c r="EM117" s="81" t="e">
        <f>EK117*#REF!</f>
        <v>#REF!</v>
      </c>
      <c r="EO117" s="25"/>
      <c r="EP117" s="26"/>
      <c r="EQ117" s="27"/>
      <c r="ER117" s="28"/>
      <c r="ES117" s="29"/>
      <c r="ET117" s="79">
        <f t="shared" si="18"/>
        <v>0</v>
      </c>
      <c r="EU117" s="80" t="e">
        <f>ET117*#REF!</f>
        <v>#REF!</v>
      </c>
      <c r="EV117" s="81" t="e">
        <f>ET117*#REF!</f>
        <v>#REF!</v>
      </c>
      <c r="EX117" s="25"/>
      <c r="EY117" s="26"/>
      <c r="EZ117" s="27"/>
      <c r="FA117" s="28"/>
      <c r="FB117" s="29"/>
      <c r="FC117" s="79">
        <f t="shared" si="19"/>
        <v>0</v>
      </c>
      <c r="FD117" s="80" t="e">
        <f>FC117*#REF!</f>
        <v>#REF!</v>
      </c>
      <c r="FE117" s="81" t="e">
        <f>FC117*#REF!</f>
        <v>#REF!</v>
      </c>
      <c r="FG117" s="25"/>
      <c r="FH117" s="26"/>
      <c r="FI117" s="27"/>
      <c r="FJ117" s="28"/>
      <c r="FK117" s="29"/>
      <c r="FL117" s="79">
        <f t="shared" si="20"/>
        <v>0</v>
      </c>
      <c r="FM117" s="80" t="e">
        <f>FL117*#REF!</f>
        <v>#REF!</v>
      </c>
      <c r="FN117" s="81" t="e">
        <f>FL117*#REF!</f>
        <v>#REF!</v>
      </c>
      <c r="FP117" s="25"/>
      <c r="FQ117" s="26"/>
      <c r="FR117" s="27"/>
      <c r="FS117" s="28"/>
      <c r="FT117" s="29"/>
      <c r="FU117" s="79">
        <f t="shared" si="21"/>
        <v>0</v>
      </c>
      <c r="FV117" s="80" t="e">
        <f>FU117*#REF!</f>
        <v>#REF!</v>
      </c>
      <c r="FW117" s="81" t="e">
        <f>FU117*#REF!</f>
        <v>#REF!</v>
      </c>
      <c r="FY117" s="25"/>
      <c r="FZ117" s="26"/>
      <c r="GA117" s="27"/>
      <c r="GB117" s="28"/>
      <c r="GC117" s="29"/>
      <c r="GD117" s="79">
        <f t="shared" si="22"/>
        <v>0</v>
      </c>
      <c r="GE117" s="80" t="e">
        <f>GD117*#REF!</f>
        <v>#REF!</v>
      </c>
      <c r="GF117" s="81" t="e">
        <f>GD117*#REF!</f>
        <v>#REF!</v>
      </c>
      <c r="GH117" s="25"/>
      <c r="GI117" s="26"/>
      <c r="GJ117" s="27"/>
      <c r="GK117" s="28"/>
      <c r="GL117" s="29"/>
      <c r="GM117" s="79">
        <f t="shared" si="23"/>
        <v>0</v>
      </c>
      <c r="GN117" s="80" t="e">
        <f>GM117*#REF!</f>
        <v>#REF!</v>
      </c>
      <c r="GO117" s="81" t="e">
        <f>GM117*#REF!</f>
        <v>#REF!</v>
      </c>
      <c r="GQ117" s="82">
        <f t="shared" si="25"/>
        <v>0</v>
      </c>
      <c r="GR117" s="83">
        <v>0</v>
      </c>
    </row>
    <row r="118" spans="2:200" ht="15">
      <c r="B118" s="22"/>
      <c r="C118" s="23"/>
      <c r="D118" s="24" t="str">
        <f>IF(C118="","",_xlfn.XLOOKUP(C118,'[1]Control Sheet'!$L$5:$L$104,'[1]Control Sheet'!$M$5:$M$104,"",0))</f>
        <v/>
      </c>
      <c r="E118" s="24" t="str">
        <f>IF(B118="","",_xlfn.XLOOKUP(B118,'[1]Control Sheet'!$D$5:$D$64,'[1]Control Sheet'!$F$5:$F$64,"",0))</f>
        <v/>
      </c>
      <c r="F118" s="24" t="str">
        <f>IF(B118="","",_xlfn.XLOOKUP(B118,'[1]Control Sheet'!$D$5:$D$64,'[1]Control Sheet'!$E$5:$E$64,"",0))</f>
        <v/>
      </c>
      <c r="I118" s="25"/>
      <c r="J118" s="26"/>
      <c r="K118" s="27"/>
      <c r="L118" s="28"/>
      <c r="M118" s="29"/>
      <c r="P118" s="25"/>
      <c r="Q118" s="26"/>
      <c r="R118" s="27"/>
      <c r="S118" s="28"/>
      <c r="T118" s="29"/>
      <c r="V118" s="25"/>
      <c r="W118" s="26"/>
      <c r="X118" s="27"/>
      <c r="Y118" s="28"/>
      <c r="Z118" s="29"/>
      <c r="AB118" s="25"/>
      <c r="AC118" s="26"/>
      <c r="AD118" s="27"/>
      <c r="AE118" s="28"/>
      <c r="AF118" s="29"/>
      <c r="AH118" s="25"/>
      <c r="AI118" s="26"/>
      <c r="AJ118" s="27"/>
      <c r="AK118" s="28"/>
      <c r="AL118" s="29"/>
      <c r="AN118" s="25"/>
      <c r="AO118" s="26"/>
      <c r="AP118" s="27"/>
      <c r="AQ118" s="28"/>
      <c r="AR118" s="29"/>
      <c r="AT118" s="25"/>
      <c r="AU118" s="26"/>
      <c r="AV118" s="27"/>
      <c r="AW118" s="28"/>
      <c r="AX118" s="29"/>
      <c r="AZ118" s="25"/>
      <c r="BA118" s="26"/>
      <c r="BB118" s="27"/>
      <c r="BC118" s="28"/>
      <c r="BD118" s="29"/>
      <c r="BF118" s="25"/>
      <c r="BG118" s="26"/>
      <c r="BH118" s="27"/>
      <c r="BI118" s="28"/>
      <c r="BJ118" s="29"/>
      <c r="BL118" s="25"/>
      <c r="BM118" s="26"/>
      <c r="BN118" s="27"/>
      <c r="BO118" s="28"/>
      <c r="BP118" s="29"/>
      <c r="BR118" s="25"/>
      <c r="BS118" s="26"/>
      <c r="BT118" s="27"/>
      <c r="BU118" s="28"/>
      <c r="BV118" s="29"/>
      <c r="BX118" s="25"/>
      <c r="BY118" s="26"/>
      <c r="BZ118" s="27"/>
      <c r="CA118" s="28"/>
      <c r="CB118" s="29"/>
      <c r="CD118" s="25"/>
      <c r="CE118" s="26"/>
      <c r="CF118" s="27"/>
      <c r="CG118" s="28"/>
      <c r="CH118" s="29"/>
      <c r="CJ118" s="25"/>
      <c r="CK118" s="26"/>
      <c r="CL118" s="27"/>
      <c r="CM118" s="28"/>
      <c r="CN118" s="29"/>
      <c r="CP118" s="25"/>
      <c r="CQ118" s="26"/>
      <c r="CR118" s="27"/>
      <c r="CS118" s="28"/>
      <c r="CT118" s="29"/>
      <c r="CV118" s="25"/>
      <c r="CW118" s="26"/>
      <c r="CX118" s="27"/>
      <c r="CY118" s="28"/>
      <c r="CZ118" s="29"/>
      <c r="DA118" s="79">
        <f t="shared" si="13"/>
        <v>0</v>
      </c>
      <c r="DB118" s="80" t="e">
        <f>DA118*#REF!</f>
        <v>#REF!</v>
      </c>
      <c r="DC118" s="81" t="e">
        <f>DA118*#REF!</f>
        <v>#REF!</v>
      </c>
      <c r="DE118" s="25"/>
      <c r="DF118" s="26"/>
      <c r="DG118" s="27"/>
      <c r="DH118" s="28"/>
      <c r="DI118" s="29"/>
      <c r="DJ118" s="79">
        <f t="shared" si="14"/>
        <v>0</v>
      </c>
      <c r="DK118" s="80" t="e">
        <f>DJ118*#REF!</f>
        <v>#REF!</v>
      </c>
      <c r="DL118" s="81" t="e">
        <f>DJ118*#REF!</f>
        <v>#REF!</v>
      </c>
      <c r="DN118" s="25"/>
      <c r="DO118" s="26"/>
      <c r="DP118" s="27"/>
      <c r="DQ118" s="28"/>
      <c r="DR118" s="29"/>
      <c r="DS118" s="79">
        <f t="shared" si="15"/>
        <v>0</v>
      </c>
      <c r="DT118" s="80" t="e">
        <f>DS118*#REF!</f>
        <v>#REF!</v>
      </c>
      <c r="DU118" s="81" t="e">
        <f>DS118*#REF!</f>
        <v>#REF!</v>
      </c>
      <c r="DW118" s="25"/>
      <c r="DX118" s="26"/>
      <c r="DY118" s="27"/>
      <c r="DZ118" s="28"/>
      <c r="EA118" s="29"/>
      <c r="EB118" s="79">
        <f t="shared" si="16"/>
        <v>0</v>
      </c>
      <c r="EC118" s="80" t="e">
        <f>EB118*#REF!</f>
        <v>#REF!</v>
      </c>
      <c r="ED118" s="81" t="e">
        <f>EB118*#REF!</f>
        <v>#REF!</v>
      </c>
      <c r="EF118" s="25"/>
      <c r="EG118" s="26"/>
      <c r="EH118" s="27"/>
      <c r="EI118" s="28"/>
      <c r="EJ118" s="29"/>
      <c r="EK118" s="79">
        <f t="shared" si="17"/>
        <v>0</v>
      </c>
      <c r="EL118" s="80" t="e">
        <f>EK118*#REF!</f>
        <v>#REF!</v>
      </c>
      <c r="EM118" s="81" t="e">
        <f>EK118*#REF!</f>
        <v>#REF!</v>
      </c>
      <c r="EO118" s="25"/>
      <c r="EP118" s="26"/>
      <c r="EQ118" s="27"/>
      <c r="ER118" s="28"/>
      <c r="ES118" s="29"/>
      <c r="ET118" s="79">
        <f t="shared" si="18"/>
        <v>0</v>
      </c>
      <c r="EU118" s="80" t="e">
        <f>ET118*#REF!</f>
        <v>#REF!</v>
      </c>
      <c r="EV118" s="81" t="e">
        <f>ET118*#REF!</f>
        <v>#REF!</v>
      </c>
      <c r="EX118" s="25"/>
      <c r="EY118" s="26"/>
      <c r="EZ118" s="27"/>
      <c r="FA118" s="28"/>
      <c r="FB118" s="29"/>
      <c r="FC118" s="79">
        <f t="shared" si="19"/>
        <v>0</v>
      </c>
      <c r="FD118" s="80" t="e">
        <f>FC118*#REF!</f>
        <v>#REF!</v>
      </c>
      <c r="FE118" s="81" t="e">
        <f>FC118*#REF!</f>
        <v>#REF!</v>
      </c>
      <c r="FG118" s="25"/>
      <c r="FH118" s="26"/>
      <c r="FI118" s="27"/>
      <c r="FJ118" s="28"/>
      <c r="FK118" s="29"/>
      <c r="FL118" s="79">
        <f t="shared" si="20"/>
        <v>0</v>
      </c>
      <c r="FM118" s="80" t="e">
        <f>FL118*#REF!</f>
        <v>#REF!</v>
      </c>
      <c r="FN118" s="81" t="e">
        <f>FL118*#REF!</f>
        <v>#REF!</v>
      </c>
      <c r="FP118" s="25"/>
      <c r="FQ118" s="26"/>
      <c r="FR118" s="27"/>
      <c r="FS118" s="28"/>
      <c r="FT118" s="29"/>
      <c r="FU118" s="79">
        <f t="shared" si="21"/>
        <v>0</v>
      </c>
      <c r="FV118" s="80" t="e">
        <f>FU118*#REF!</f>
        <v>#REF!</v>
      </c>
      <c r="FW118" s="81" t="e">
        <f>FU118*#REF!</f>
        <v>#REF!</v>
      </c>
      <c r="FY118" s="25"/>
      <c r="FZ118" s="26"/>
      <c r="GA118" s="27"/>
      <c r="GB118" s="28"/>
      <c r="GC118" s="29"/>
      <c r="GD118" s="79">
        <f t="shared" si="22"/>
        <v>0</v>
      </c>
      <c r="GE118" s="80" t="e">
        <f>GD118*#REF!</f>
        <v>#REF!</v>
      </c>
      <c r="GF118" s="81" t="e">
        <f>GD118*#REF!</f>
        <v>#REF!</v>
      </c>
      <c r="GH118" s="25"/>
      <c r="GI118" s="26"/>
      <c r="GJ118" s="27"/>
      <c r="GK118" s="28"/>
      <c r="GL118" s="29"/>
      <c r="GM118" s="79">
        <f t="shared" si="23"/>
        <v>0</v>
      </c>
      <c r="GN118" s="80" t="e">
        <f>GM118*#REF!</f>
        <v>#REF!</v>
      </c>
      <c r="GO118" s="81" t="e">
        <f>GM118*#REF!</f>
        <v>#REF!</v>
      </c>
      <c r="GQ118" s="82">
        <f t="shared" si="25"/>
        <v>0</v>
      </c>
      <c r="GR118" s="83">
        <v>0</v>
      </c>
    </row>
    <row r="119" spans="2:200" ht="15">
      <c r="B119" s="22"/>
      <c r="C119" s="23"/>
      <c r="D119" s="24" t="str">
        <f>IF(C119="","",_xlfn.XLOOKUP(C119,'[1]Control Sheet'!$L$5:$L$104,'[1]Control Sheet'!$M$5:$M$104,"",0))</f>
        <v/>
      </c>
      <c r="E119" s="24" t="str">
        <f>IF(B119="","",_xlfn.XLOOKUP(B119,'[1]Control Sheet'!$D$5:$D$64,'[1]Control Sheet'!$F$5:$F$64,"",0))</f>
        <v/>
      </c>
      <c r="F119" s="24" t="str">
        <f>IF(B119="","",_xlfn.XLOOKUP(B119,'[1]Control Sheet'!$D$5:$D$64,'[1]Control Sheet'!$E$5:$E$64,"",0))</f>
        <v/>
      </c>
      <c r="I119" s="25"/>
      <c r="J119" s="26"/>
      <c r="K119" s="27"/>
      <c r="L119" s="28"/>
      <c r="M119" s="29"/>
      <c r="P119" s="25"/>
      <c r="Q119" s="26"/>
      <c r="R119" s="27"/>
      <c r="S119" s="28"/>
      <c r="T119" s="29"/>
      <c r="V119" s="25"/>
      <c r="W119" s="26"/>
      <c r="X119" s="27"/>
      <c r="Y119" s="28"/>
      <c r="Z119" s="29"/>
      <c r="AB119" s="25"/>
      <c r="AC119" s="26"/>
      <c r="AD119" s="27"/>
      <c r="AE119" s="28"/>
      <c r="AF119" s="29"/>
      <c r="AH119" s="25"/>
      <c r="AI119" s="26"/>
      <c r="AJ119" s="27"/>
      <c r="AK119" s="28"/>
      <c r="AL119" s="29"/>
      <c r="AN119" s="25"/>
      <c r="AO119" s="26"/>
      <c r="AP119" s="27"/>
      <c r="AQ119" s="28"/>
      <c r="AR119" s="29"/>
      <c r="AT119" s="25"/>
      <c r="AU119" s="26"/>
      <c r="AV119" s="27"/>
      <c r="AW119" s="28"/>
      <c r="AX119" s="29"/>
      <c r="AZ119" s="25"/>
      <c r="BA119" s="26"/>
      <c r="BB119" s="27"/>
      <c r="BC119" s="28"/>
      <c r="BD119" s="29"/>
      <c r="BF119" s="25"/>
      <c r="BG119" s="26"/>
      <c r="BH119" s="27"/>
      <c r="BI119" s="28"/>
      <c r="BJ119" s="29"/>
      <c r="BL119" s="25"/>
      <c r="BM119" s="26"/>
      <c r="BN119" s="27"/>
      <c r="BO119" s="28"/>
      <c r="BP119" s="29"/>
      <c r="BR119" s="25"/>
      <c r="BS119" s="26"/>
      <c r="BT119" s="27"/>
      <c r="BU119" s="28"/>
      <c r="BV119" s="29"/>
      <c r="BX119" s="25"/>
      <c r="BY119" s="26"/>
      <c r="BZ119" s="27"/>
      <c r="CA119" s="28"/>
      <c r="CB119" s="29"/>
      <c r="CD119" s="25"/>
      <c r="CE119" s="26"/>
      <c r="CF119" s="27"/>
      <c r="CG119" s="28"/>
      <c r="CH119" s="29"/>
      <c r="CJ119" s="25"/>
      <c r="CK119" s="26"/>
      <c r="CL119" s="27"/>
      <c r="CM119" s="28"/>
      <c r="CN119" s="29"/>
      <c r="CP119" s="25"/>
      <c r="CQ119" s="26"/>
      <c r="CR119" s="27"/>
      <c r="CS119" s="28"/>
      <c r="CT119" s="29"/>
      <c r="CV119" s="25"/>
      <c r="CW119" s="26"/>
      <c r="CX119" s="27"/>
      <c r="CY119" s="28"/>
      <c r="CZ119" s="29"/>
      <c r="DA119" s="79">
        <f t="shared" si="13"/>
        <v>0</v>
      </c>
      <c r="DB119" s="80" t="e">
        <f>DA119*#REF!</f>
        <v>#REF!</v>
      </c>
      <c r="DC119" s="81" t="e">
        <f>DA119*#REF!</f>
        <v>#REF!</v>
      </c>
      <c r="DE119" s="25"/>
      <c r="DF119" s="26"/>
      <c r="DG119" s="27"/>
      <c r="DH119" s="28"/>
      <c r="DI119" s="29"/>
      <c r="DJ119" s="79">
        <f t="shared" si="14"/>
        <v>0</v>
      </c>
      <c r="DK119" s="80" t="e">
        <f>DJ119*#REF!</f>
        <v>#REF!</v>
      </c>
      <c r="DL119" s="81" t="e">
        <f>DJ119*#REF!</f>
        <v>#REF!</v>
      </c>
      <c r="DN119" s="25"/>
      <c r="DO119" s="26"/>
      <c r="DP119" s="27"/>
      <c r="DQ119" s="28"/>
      <c r="DR119" s="29"/>
      <c r="DS119" s="79">
        <f t="shared" si="15"/>
        <v>0</v>
      </c>
      <c r="DT119" s="80" t="e">
        <f>DS119*#REF!</f>
        <v>#REF!</v>
      </c>
      <c r="DU119" s="81" t="e">
        <f>DS119*#REF!</f>
        <v>#REF!</v>
      </c>
      <c r="DW119" s="25"/>
      <c r="DX119" s="26"/>
      <c r="DY119" s="27"/>
      <c r="DZ119" s="28"/>
      <c r="EA119" s="29"/>
      <c r="EB119" s="79">
        <f t="shared" si="16"/>
        <v>0</v>
      </c>
      <c r="EC119" s="80" t="e">
        <f>EB119*#REF!</f>
        <v>#REF!</v>
      </c>
      <c r="ED119" s="81" t="e">
        <f>EB119*#REF!</f>
        <v>#REF!</v>
      </c>
      <c r="EF119" s="25"/>
      <c r="EG119" s="26"/>
      <c r="EH119" s="27"/>
      <c r="EI119" s="28"/>
      <c r="EJ119" s="29"/>
      <c r="EK119" s="79">
        <f t="shared" si="17"/>
        <v>0</v>
      </c>
      <c r="EL119" s="80" t="e">
        <f>EK119*#REF!</f>
        <v>#REF!</v>
      </c>
      <c r="EM119" s="81" t="e">
        <f>EK119*#REF!</f>
        <v>#REF!</v>
      </c>
      <c r="EO119" s="25"/>
      <c r="EP119" s="26"/>
      <c r="EQ119" s="27"/>
      <c r="ER119" s="28"/>
      <c r="ES119" s="29"/>
      <c r="ET119" s="79">
        <f t="shared" si="18"/>
        <v>0</v>
      </c>
      <c r="EU119" s="80" t="e">
        <f>ET119*#REF!</f>
        <v>#REF!</v>
      </c>
      <c r="EV119" s="81" t="e">
        <f>ET119*#REF!</f>
        <v>#REF!</v>
      </c>
      <c r="EX119" s="25"/>
      <c r="EY119" s="26"/>
      <c r="EZ119" s="27"/>
      <c r="FA119" s="28"/>
      <c r="FB119" s="29"/>
      <c r="FC119" s="79">
        <f t="shared" si="19"/>
        <v>0</v>
      </c>
      <c r="FD119" s="80" t="e">
        <f>FC119*#REF!</f>
        <v>#REF!</v>
      </c>
      <c r="FE119" s="81" t="e">
        <f>FC119*#REF!</f>
        <v>#REF!</v>
      </c>
      <c r="FG119" s="25"/>
      <c r="FH119" s="26"/>
      <c r="FI119" s="27"/>
      <c r="FJ119" s="28"/>
      <c r="FK119" s="29"/>
      <c r="FL119" s="79">
        <f t="shared" si="20"/>
        <v>0</v>
      </c>
      <c r="FM119" s="80" t="e">
        <f>FL119*#REF!</f>
        <v>#REF!</v>
      </c>
      <c r="FN119" s="81" t="e">
        <f>FL119*#REF!</f>
        <v>#REF!</v>
      </c>
      <c r="FP119" s="25"/>
      <c r="FQ119" s="26"/>
      <c r="FR119" s="27"/>
      <c r="FS119" s="28"/>
      <c r="FT119" s="29"/>
      <c r="FU119" s="79">
        <f t="shared" si="21"/>
        <v>0</v>
      </c>
      <c r="FV119" s="80" t="e">
        <f>FU119*#REF!</f>
        <v>#REF!</v>
      </c>
      <c r="FW119" s="81" t="e">
        <f>FU119*#REF!</f>
        <v>#REF!</v>
      </c>
      <c r="FY119" s="25"/>
      <c r="FZ119" s="26"/>
      <c r="GA119" s="27"/>
      <c r="GB119" s="28"/>
      <c r="GC119" s="29"/>
      <c r="GD119" s="79">
        <f t="shared" si="22"/>
        <v>0</v>
      </c>
      <c r="GE119" s="80" t="e">
        <f>GD119*#REF!</f>
        <v>#REF!</v>
      </c>
      <c r="GF119" s="81" t="e">
        <f>GD119*#REF!</f>
        <v>#REF!</v>
      </c>
      <c r="GH119" s="25"/>
      <c r="GI119" s="26"/>
      <c r="GJ119" s="27"/>
      <c r="GK119" s="28"/>
      <c r="GL119" s="29"/>
      <c r="GM119" s="79">
        <f t="shared" si="23"/>
        <v>0</v>
      </c>
      <c r="GN119" s="80" t="e">
        <f>GM119*#REF!</f>
        <v>#REF!</v>
      </c>
      <c r="GO119" s="81" t="e">
        <f>GM119*#REF!</f>
        <v>#REF!</v>
      </c>
      <c r="GQ119" s="82">
        <f t="shared" si="25"/>
        <v>0</v>
      </c>
      <c r="GR119" s="83">
        <v>0</v>
      </c>
    </row>
    <row r="120" spans="2:200" ht="15">
      <c r="B120" s="22"/>
      <c r="C120" s="23"/>
      <c r="D120" s="24" t="str">
        <f>IF(C120="","",_xlfn.XLOOKUP(C120,'[1]Control Sheet'!$L$5:$L$104,'[1]Control Sheet'!$M$5:$M$104,"",0))</f>
        <v/>
      </c>
      <c r="E120" s="24" t="str">
        <f>IF(B120="","",_xlfn.XLOOKUP(B120,'[1]Control Sheet'!$D$5:$D$64,'[1]Control Sheet'!$F$5:$F$64,"",0))</f>
        <v/>
      </c>
      <c r="F120" s="24" t="str">
        <f>IF(B120="","",_xlfn.XLOOKUP(B120,'[1]Control Sheet'!$D$5:$D$64,'[1]Control Sheet'!$E$5:$E$64,"",0))</f>
        <v/>
      </c>
      <c r="I120" s="25"/>
      <c r="J120" s="26"/>
      <c r="K120" s="27"/>
      <c r="L120" s="28"/>
      <c r="M120" s="29"/>
      <c r="P120" s="25"/>
      <c r="Q120" s="26"/>
      <c r="R120" s="27"/>
      <c r="S120" s="28"/>
      <c r="T120" s="29"/>
      <c r="V120" s="25"/>
      <c r="W120" s="26"/>
      <c r="X120" s="27"/>
      <c r="Y120" s="28"/>
      <c r="Z120" s="29"/>
      <c r="AB120" s="25"/>
      <c r="AC120" s="26"/>
      <c r="AD120" s="27"/>
      <c r="AE120" s="28"/>
      <c r="AF120" s="29"/>
      <c r="AH120" s="25"/>
      <c r="AI120" s="26"/>
      <c r="AJ120" s="27"/>
      <c r="AK120" s="28"/>
      <c r="AL120" s="29"/>
      <c r="AN120" s="25"/>
      <c r="AO120" s="26"/>
      <c r="AP120" s="27"/>
      <c r="AQ120" s="28"/>
      <c r="AR120" s="29"/>
      <c r="AT120" s="25"/>
      <c r="AU120" s="26"/>
      <c r="AV120" s="27"/>
      <c r="AW120" s="28"/>
      <c r="AX120" s="29"/>
      <c r="AZ120" s="25"/>
      <c r="BA120" s="26"/>
      <c r="BB120" s="27"/>
      <c r="BC120" s="28"/>
      <c r="BD120" s="29"/>
      <c r="BF120" s="25"/>
      <c r="BG120" s="26"/>
      <c r="BH120" s="27"/>
      <c r="BI120" s="28"/>
      <c r="BJ120" s="29"/>
      <c r="BL120" s="25"/>
      <c r="BM120" s="26"/>
      <c r="BN120" s="27"/>
      <c r="BO120" s="28"/>
      <c r="BP120" s="29"/>
      <c r="BR120" s="25"/>
      <c r="BS120" s="26"/>
      <c r="BT120" s="27"/>
      <c r="BU120" s="28"/>
      <c r="BV120" s="29"/>
      <c r="BX120" s="25"/>
      <c r="BY120" s="26"/>
      <c r="BZ120" s="27"/>
      <c r="CA120" s="28"/>
      <c r="CB120" s="29"/>
      <c r="CD120" s="25"/>
      <c r="CE120" s="26"/>
      <c r="CF120" s="27"/>
      <c r="CG120" s="28"/>
      <c r="CH120" s="29"/>
      <c r="CJ120" s="25"/>
      <c r="CK120" s="26"/>
      <c r="CL120" s="27"/>
      <c r="CM120" s="28"/>
      <c r="CN120" s="29"/>
      <c r="CP120" s="25"/>
      <c r="CQ120" s="26"/>
      <c r="CR120" s="27"/>
      <c r="CS120" s="28"/>
      <c r="CT120" s="29"/>
      <c r="CV120" s="25"/>
      <c r="CW120" s="26"/>
      <c r="CX120" s="27"/>
      <c r="CY120" s="28"/>
      <c r="CZ120" s="29"/>
      <c r="DA120" s="79">
        <f t="shared" si="13"/>
        <v>0</v>
      </c>
      <c r="DB120" s="80" t="e">
        <f>DA120*#REF!</f>
        <v>#REF!</v>
      </c>
      <c r="DC120" s="81" t="e">
        <f>DA120*#REF!</f>
        <v>#REF!</v>
      </c>
      <c r="DE120" s="25"/>
      <c r="DF120" s="26"/>
      <c r="DG120" s="27"/>
      <c r="DH120" s="28"/>
      <c r="DI120" s="29"/>
      <c r="DJ120" s="79">
        <f t="shared" si="14"/>
        <v>0</v>
      </c>
      <c r="DK120" s="80" t="e">
        <f>DJ120*#REF!</f>
        <v>#REF!</v>
      </c>
      <c r="DL120" s="81" t="e">
        <f>DJ120*#REF!</f>
        <v>#REF!</v>
      </c>
      <c r="DN120" s="25"/>
      <c r="DO120" s="26"/>
      <c r="DP120" s="27"/>
      <c r="DQ120" s="28"/>
      <c r="DR120" s="29"/>
      <c r="DS120" s="79">
        <f t="shared" si="15"/>
        <v>0</v>
      </c>
      <c r="DT120" s="80" t="e">
        <f>DS120*#REF!</f>
        <v>#REF!</v>
      </c>
      <c r="DU120" s="81" t="e">
        <f>DS120*#REF!</f>
        <v>#REF!</v>
      </c>
      <c r="DW120" s="25"/>
      <c r="DX120" s="26"/>
      <c r="DY120" s="27"/>
      <c r="DZ120" s="28"/>
      <c r="EA120" s="29"/>
      <c r="EB120" s="79">
        <f t="shared" si="16"/>
        <v>0</v>
      </c>
      <c r="EC120" s="80" t="e">
        <f>EB120*#REF!</f>
        <v>#REF!</v>
      </c>
      <c r="ED120" s="81" t="e">
        <f>EB120*#REF!</f>
        <v>#REF!</v>
      </c>
      <c r="EF120" s="25"/>
      <c r="EG120" s="26"/>
      <c r="EH120" s="27"/>
      <c r="EI120" s="28"/>
      <c r="EJ120" s="29"/>
      <c r="EK120" s="79">
        <f t="shared" si="17"/>
        <v>0</v>
      </c>
      <c r="EL120" s="80" t="e">
        <f>EK120*#REF!</f>
        <v>#REF!</v>
      </c>
      <c r="EM120" s="81" t="e">
        <f>EK120*#REF!</f>
        <v>#REF!</v>
      </c>
      <c r="EO120" s="25"/>
      <c r="EP120" s="26"/>
      <c r="EQ120" s="27"/>
      <c r="ER120" s="28"/>
      <c r="ES120" s="29"/>
      <c r="ET120" s="79">
        <f t="shared" si="18"/>
        <v>0</v>
      </c>
      <c r="EU120" s="80" t="e">
        <f>ET120*#REF!</f>
        <v>#REF!</v>
      </c>
      <c r="EV120" s="81" t="e">
        <f>ET120*#REF!</f>
        <v>#REF!</v>
      </c>
      <c r="EX120" s="25"/>
      <c r="EY120" s="26"/>
      <c r="EZ120" s="27"/>
      <c r="FA120" s="28"/>
      <c r="FB120" s="29"/>
      <c r="FC120" s="79">
        <f t="shared" si="19"/>
        <v>0</v>
      </c>
      <c r="FD120" s="80" t="e">
        <f>FC120*#REF!</f>
        <v>#REF!</v>
      </c>
      <c r="FE120" s="81" t="e">
        <f>FC120*#REF!</f>
        <v>#REF!</v>
      </c>
      <c r="FG120" s="25"/>
      <c r="FH120" s="26"/>
      <c r="FI120" s="27"/>
      <c r="FJ120" s="28"/>
      <c r="FK120" s="29"/>
      <c r="FL120" s="79">
        <f t="shared" si="20"/>
        <v>0</v>
      </c>
      <c r="FM120" s="80" t="e">
        <f>FL120*#REF!</f>
        <v>#REF!</v>
      </c>
      <c r="FN120" s="81" t="e">
        <f>FL120*#REF!</f>
        <v>#REF!</v>
      </c>
      <c r="FP120" s="25"/>
      <c r="FQ120" s="26"/>
      <c r="FR120" s="27"/>
      <c r="FS120" s="28"/>
      <c r="FT120" s="29"/>
      <c r="FU120" s="79">
        <f t="shared" si="21"/>
        <v>0</v>
      </c>
      <c r="FV120" s="80" t="e">
        <f>FU120*#REF!</f>
        <v>#REF!</v>
      </c>
      <c r="FW120" s="81" t="e">
        <f>FU120*#REF!</f>
        <v>#REF!</v>
      </c>
      <c r="FY120" s="25"/>
      <c r="FZ120" s="26"/>
      <c r="GA120" s="27"/>
      <c r="GB120" s="28"/>
      <c r="GC120" s="29"/>
      <c r="GD120" s="79">
        <f t="shared" si="22"/>
        <v>0</v>
      </c>
      <c r="GE120" s="80" t="e">
        <f>GD120*#REF!</f>
        <v>#REF!</v>
      </c>
      <c r="GF120" s="81" t="e">
        <f>GD120*#REF!</f>
        <v>#REF!</v>
      </c>
      <c r="GH120" s="25"/>
      <c r="GI120" s="26"/>
      <c r="GJ120" s="27"/>
      <c r="GK120" s="28"/>
      <c r="GL120" s="29"/>
      <c r="GM120" s="79">
        <f t="shared" si="23"/>
        <v>0</v>
      </c>
      <c r="GN120" s="80" t="e">
        <f>GM120*#REF!</f>
        <v>#REF!</v>
      </c>
      <c r="GO120" s="81" t="e">
        <f>GM120*#REF!</f>
        <v>#REF!</v>
      </c>
      <c r="GQ120" s="82">
        <f t="shared" si="25"/>
        <v>0</v>
      </c>
      <c r="GR120" s="83">
        <v>0</v>
      </c>
    </row>
    <row r="121" spans="2:200" ht="15">
      <c r="B121" s="22"/>
      <c r="C121" s="23"/>
      <c r="D121" s="24" t="str">
        <f>IF(C121="","",_xlfn.XLOOKUP(C121,'[1]Control Sheet'!$L$5:$L$104,'[1]Control Sheet'!$M$5:$M$104,"",0))</f>
        <v/>
      </c>
      <c r="E121" s="24" t="str">
        <f>IF(B121="","",_xlfn.XLOOKUP(B121,'[1]Control Sheet'!$D$5:$D$64,'[1]Control Sheet'!$F$5:$F$64,"",0))</f>
        <v/>
      </c>
      <c r="F121" s="24" t="str">
        <f>IF(B121="","",_xlfn.XLOOKUP(B121,'[1]Control Sheet'!$D$5:$D$64,'[1]Control Sheet'!$E$5:$E$64,"",0))</f>
        <v/>
      </c>
      <c r="I121" s="25"/>
      <c r="J121" s="26"/>
      <c r="K121" s="27"/>
      <c r="L121" s="28"/>
      <c r="M121" s="29"/>
      <c r="P121" s="25"/>
      <c r="Q121" s="26"/>
      <c r="R121" s="27"/>
      <c r="S121" s="28"/>
      <c r="T121" s="29"/>
      <c r="V121" s="25"/>
      <c r="W121" s="26"/>
      <c r="X121" s="27"/>
      <c r="Y121" s="28"/>
      <c r="Z121" s="29"/>
      <c r="AB121" s="25"/>
      <c r="AC121" s="26"/>
      <c r="AD121" s="27"/>
      <c r="AE121" s="28"/>
      <c r="AF121" s="29"/>
      <c r="AH121" s="25"/>
      <c r="AI121" s="26"/>
      <c r="AJ121" s="27"/>
      <c r="AK121" s="28"/>
      <c r="AL121" s="29"/>
      <c r="AN121" s="25"/>
      <c r="AO121" s="26"/>
      <c r="AP121" s="27"/>
      <c r="AQ121" s="28"/>
      <c r="AR121" s="29"/>
      <c r="AT121" s="25"/>
      <c r="AU121" s="26"/>
      <c r="AV121" s="27"/>
      <c r="AW121" s="28"/>
      <c r="AX121" s="29"/>
      <c r="AZ121" s="25"/>
      <c r="BA121" s="26"/>
      <c r="BB121" s="27"/>
      <c r="BC121" s="28"/>
      <c r="BD121" s="29"/>
      <c r="BF121" s="25"/>
      <c r="BG121" s="26"/>
      <c r="BH121" s="27"/>
      <c r="BI121" s="28"/>
      <c r="BJ121" s="29"/>
      <c r="BL121" s="25"/>
      <c r="BM121" s="26"/>
      <c r="BN121" s="27"/>
      <c r="BO121" s="28"/>
      <c r="BP121" s="29"/>
      <c r="BR121" s="25"/>
      <c r="BS121" s="26"/>
      <c r="BT121" s="27"/>
      <c r="BU121" s="28"/>
      <c r="BV121" s="29"/>
      <c r="BX121" s="25"/>
      <c r="BY121" s="26"/>
      <c r="BZ121" s="27"/>
      <c r="CA121" s="28"/>
      <c r="CB121" s="29"/>
      <c r="CD121" s="25"/>
      <c r="CE121" s="26"/>
      <c r="CF121" s="27"/>
      <c r="CG121" s="28"/>
      <c r="CH121" s="29"/>
      <c r="CJ121" s="25"/>
      <c r="CK121" s="26"/>
      <c r="CL121" s="27"/>
      <c r="CM121" s="28"/>
      <c r="CN121" s="29"/>
      <c r="CP121" s="25"/>
      <c r="CQ121" s="26"/>
      <c r="CR121" s="27"/>
      <c r="CS121" s="28"/>
      <c r="CT121" s="29"/>
      <c r="CV121" s="25"/>
      <c r="CW121" s="26"/>
      <c r="CX121" s="27"/>
      <c r="CY121" s="28"/>
      <c r="CZ121" s="29"/>
      <c r="DA121" s="79">
        <f t="shared" si="13"/>
        <v>0</v>
      </c>
      <c r="DB121" s="80" t="e">
        <f>DA121*#REF!</f>
        <v>#REF!</v>
      </c>
      <c r="DC121" s="81" t="e">
        <f>DA121*#REF!</f>
        <v>#REF!</v>
      </c>
      <c r="DE121" s="25"/>
      <c r="DF121" s="26"/>
      <c r="DG121" s="27"/>
      <c r="DH121" s="28"/>
      <c r="DI121" s="29"/>
      <c r="DJ121" s="79">
        <f t="shared" si="14"/>
        <v>0</v>
      </c>
      <c r="DK121" s="80" t="e">
        <f>DJ121*#REF!</f>
        <v>#REF!</v>
      </c>
      <c r="DL121" s="81" t="e">
        <f>DJ121*#REF!</f>
        <v>#REF!</v>
      </c>
      <c r="DN121" s="25"/>
      <c r="DO121" s="26"/>
      <c r="DP121" s="27"/>
      <c r="DQ121" s="28"/>
      <c r="DR121" s="29"/>
      <c r="DS121" s="79">
        <f t="shared" si="15"/>
        <v>0</v>
      </c>
      <c r="DT121" s="80" t="e">
        <f>DS121*#REF!</f>
        <v>#REF!</v>
      </c>
      <c r="DU121" s="81" t="e">
        <f>DS121*#REF!</f>
        <v>#REF!</v>
      </c>
      <c r="DW121" s="25"/>
      <c r="DX121" s="26"/>
      <c r="DY121" s="27"/>
      <c r="DZ121" s="28"/>
      <c r="EA121" s="29"/>
      <c r="EB121" s="79">
        <f t="shared" si="16"/>
        <v>0</v>
      </c>
      <c r="EC121" s="80" t="e">
        <f>EB121*#REF!</f>
        <v>#REF!</v>
      </c>
      <c r="ED121" s="81" t="e">
        <f>EB121*#REF!</f>
        <v>#REF!</v>
      </c>
      <c r="EF121" s="25"/>
      <c r="EG121" s="26"/>
      <c r="EH121" s="27"/>
      <c r="EI121" s="28"/>
      <c r="EJ121" s="29"/>
      <c r="EK121" s="79">
        <f t="shared" si="17"/>
        <v>0</v>
      </c>
      <c r="EL121" s="80" t="e">
        <f>EK121*#REF!</f>
        <v>#REF!</v>
      </c>
      <c r="EM121" s="81" t="e">
        <f>EK121*#REF!</f>
        <v>#REF!</v>
      </c>
      <c r="EO121" s="25"/>
      <c r="EP121" s="26"/>
      <c r="EQ121" s="27"/>
      <c r="ER121" s="28"/>
      <c r="ES121" s="29"/>
      <c r="ET121" s="79">
        <f t="shared" si="18"/>
        <v>0</v>
      </c>
      <c r="EU121" s="80" t="e">
        <f>ET121*#REF!</f>
        <v>#REF!</v>
      </c>
      <c r="EV121" s="81" t="e">
        <f>ET121*#REF!</f>
        <v>#REF!</v>
      </c>
      <c r="EX121" s="25"/>
      <c r="EY121" s="26"/>
      <c r="EZ121" s="27"/>
      <c r="FA121" s="28"/>
      <c r="FB121" s="29"/>
      <c r="FC121" s="79">
        <f t="shared" si="19"/>
        <v>0</v>
      </c>
      <c r="FD121" s="80" t="e">
        <f>FC121*#REF!</f>
        <v>#REF!</v>
      </c>
      <c r="FE121" s="81" t="e">
        <f>FC121*#REF!</f>
        <v>#REF!</v>
      </c>
      <c r="FG121" s="25"/>
      <c r="FH121" s="26"/>
      <c r="FI121" s="27"/>
      <c r="FJ121" s="28"/>
      <c r="FK121" s="29"/>
      <c r="FL121" s="79">
        <f t="shared" si="20"/>
        <v>0</v>
      </c>
      <c r="FM121" s="80" t="e">
        <f>FL121*#REF!</f>
        <v>#REF!</v>
      </c>
      <c r="FN121" s="81" t="e">
        <f>FL121*#REF!</f>
        <v>#REF!</v>
      </c>
      <c r="FP121" s="25"/>
      <c r="FQ121" s="26"/>
      <c r="FR121" s="27"/>
      <c r="FS121" s="28"/>
      <c r="FT121" s="29"/>
      <c r="FU121" s="79">
        <f t="shared" si="21"/>
        <v>0</v>
      </c>
      <c r="FV121" s="80" t="e">
        <f>FU121*#REF!</f>
        <v>#REF!</v>
      </c>
      <c r="FW121" s="81" t="e">
        <f>FU121*#REF!</f>
        <v>#REF!</v>
      </c>
      <c r="FY121" s="25"/>
      <c r="FZ121" s="26"/>
      <c r="GA121" s="27"/>
      <c r="GB121" s="28"/>
      <c r="GC121" s="29"/>
      <c r="GD121" s="79">
        <f t="shared" si="22"/>
        <v>0</v>
      </c>
      <c r="GE121" s="80" t="e">
        <f>GD121*#REF!</f>
        <v>#REF!</v>
      </c>
      <c r="GF121" s="81" t="e">
        <f>GD121*#REF!</f>
        <v>#REF!</v>
      </c>
      <c r="GH121" s="25"/>
      <c r="GI121" s="26"/>
      <c r="GJ121" s="27"/>
      <c r="GK121" s="28"/>
      <c r="GL121" s="29"/>
      <c r="GM121" s="79">
        <f t="shared" si="23"/>
        <v>0</v>
      </c>
      <c r="GN121" s="80" t="e">
        <f>GM121*#REF!</f>
        <v>#REF!</v>
      </c>
      <c r="GO121" s="81" t="e">
        <f>GM121*#REF!</f>
        <v>#REF!</v>
      </c>
      <c r="GQ121" s="82">
        <f t="shared" si="25"/>
        <v>0</v>
      </c>
      <c r="GR121" s="83">
        <v>0</v>
      </c>
    </row>
    <row r="122" spans="2:200" ht="15">
      <c r="B122" s="22"/>
      <c r="C122" s="23"/>
      <c r="D122" s="24" t="str">
        <f>IF(C122="","",_xlfn.XLOOKUP(C122,'[1]Control Sheet'!$L$5:$L$104,'[1]Control Sheet'!$M$5:$M$104,"",0))</f>
        <v/>
      </c>
      <c r="E122" s="24" t="str">
        <f>IF(B122="","",_xlfn.XLOOKUP(B122,'[1]Control Sheet'!$D$5:$D$64,'[1]Control Sheet'!$F$5:$F$64,"",0))</f>
        <v/>
      </c>
      <c r="F122" s="24" t="str">
        <f>IF(B122="","",_xlfn.XLOOKUP(B122,'[1]Control Sheet'!$D$5:$D$64,'[1]Control Sheet'!$E$5:$E$64,"",0))</f>
        <v/>
      </c>
      <c r="I122" s="25"/>
      <c r="J122" s="26"/>
      <c r="K122" s="27"/>
      <c r="L122" s="28"/>
      <c r="M122" s="29"/>
      <c r="P122" s="25"/>
      <c r="Q122" s="26"/>
      <c r="R122" s="27"/>
      <c r="S122" s="28"/>
      <c r="T122" s="29"/>
      <c r="V122" s="25"/>
      <c r="W122" s="26"/>
      <c r="X122" s="27"/>
      <c r="Y122" s="28"/>
      <c r="Z122" s="29"/>
      <c r="AB122" s="25"/>
      <c r="AC122" s="26"/>
      <c r="AD122" s="27"/>
      <c r="AE122" s="28"/>
      <c r="AF122" s="29"/>
      <c r="AH122" s="25"/>
      <c r="AI122" s="26"/>
      <c r="AJ122" s="27"/>
      <c r="AK122" s="28"/>
      <c r="AL122" s="29"/>
      <c r="AN122" s="25"/>
      <c r="AO122" s="26"/>
      <c r="AP122" s="27"/>
      <c r="AQ122" s="28"/>
      <c r="AR122" s="29"/>
      <c r="AT122" s="25"/>
      <c r="AU122" s="26"/>
      <c r="AV122" s="27"/>
      <c r="AW122" s="28"/>
      <c r="AX122" s="29"/>
      <c r="AZ122" s="25"/>
      <c r="BA122" s="26"/>
      <c r="BB122" s="27"/>
      <c r="BC122" s="28"/>
      <c r="BD122" s="29"/>
      <c r="BF122" s="25"/>
      <c r="BG122" s="26"/>
      <c r="BH122" s="27"/>
      <c r="BI122" s="28"/>
      <c r="BJ122" s="29"/>
      <c r="BL122" s="25"/>
      <c r="BM122" s="26"/>
      <c r="BN122" s="27"/>
      <c r="BO122" s="28"/>
      <c r="BP122" s="29"/>
      <c r="BR122" s="25"/>
      <c r="BS122" s="26"/>
      <c r="BT122" s="27"/>
      <c r="BU122" s="28"/>
      <c r="BV122" s="29"/>
      <c r="BX122" s="25"/>
      <c r="BY122" s="26"/>
      <c r="BZ122" s="27"/>
      <c r="CA122" s="28"/>
      <c r="CB122" s="29"/>
      <c r="CD122" s="25"/>
      <c r="CE122" s="26"/>
      <c r="CF122" s="27"/>
      <c r="CG122" s="28"/>
      <c r="CH122" s="29"/>
      <c r="CJ122" s="25"/>
      <c r="CK122" s="26"/>
      <c r="CL122" s="27"/>
      <c r="CM122" s="28"/>
      <c r="CN122" s="29"/>
      <c r="CP122" s="25"/>
      <c r="CQ122" s="26"/>
      <c r="CR122" s="27"/>
      <c r="CS122" s="28"/>
      <c r="CT122" s="29"/>
      <c r="CV122" s="25"/>
      <c r="CW122" s="26"/>
      <c r="CX122" s="27"/>
      <c r="CY122" s="28"/>
      <c r="CZ122" s="29"/>
      <c r="DA122" s="79">
        <f t="shared" si="13"/>
        <v>0</v>
      </c>
      <c r="DB122" s="80" t="e">
        <f>DA122*#REF!</f>
        <v>#REF!</v>
      </c>
      <c r="DC122" s="81" t="e">
        <f>DA122*#REF!</f>
        <v>#REF!</v>
      </c>
      <c r="DE122" s="25"/>
      <c r="DF122" s="26"/>
      <c r="DG122" s="27"/>
      <c r="DH122" s="28"/>
      <c r="DI122" s="29"/>
      <c r="DJ122" s="79">
        <f t="shared" si="14"/>
        <v>0</v>
      </c>
      <c r="DK122" s="80" t="e">
        <f>DJ122*#REF!</f>
        <v>#REF!</v>
      </c>
      <c r="DL122" s="81" t="e">
        <f>DJ122*#REF!</f>
        <v>#REF!</v>
      </c>
      <c r="DN122" s="25"/>
      <c r="DO122" s="26"/>
      <c r="DP122" s="27"/>
      <c r="DQ122" s="28"/>
      <c r="DR122" s="29"/>
      <c r="DS122" s="79">
        <f t="shared" si="15"/>
        <v>0</v>
      </c>
      <c r="DT122" s="80" t="e">
        <f>DS122*#REF!</f>
        <v>#REF!</v>
      </c>
      <c r="DU122" s="81" t="e">
        <f>DS122*#REF!</f>
        <v>#REF!</v>
      </c>
      <c r="DW122" s="25"/>
      <c r="DX122" s="26"/>
      <c r="DY122" s="27"/>
      <c r="DZ122" s="28"/>
      <c r="EA122" s="29"/>
      <c r="EB122" s="79">
        <f t="shared" si="16"/>
        <v>0</v>
      </c>
      <c r="EC122" s="80" t="e">
        <f>EB122*#REF!</f>
        <v>#REF!</v>
      </c>
      <c r="ED122" s="81" t="e">
        <f>EB122*#REF!</f>
        <v>#REF!</v>
      </c>
      <c r="EF122" s="25"/>
      <c r="EG122" s="26"/>
      <c r="EH122" s="27"/>
      <c r="EI122" s="28"/>
      <c r="EJ122" s="29"/>
      <c r="EK122" s="79">
        <f t="shared" si="17"/>
        <v>0</v>
      </c>
      <c r="EL122" s="80" t="e">
        <f>EK122*#REF!</f>
        <v>#REF!</v>
      </c>
      <c r="EM122" s="81" t="e">
        <f>EK122*#REF!</f>
        <v>#REF!</v>
      </c>
      <c r="EO122" s="25"/>
      <c r="EP122" s="26"/>
      <c r="EQ122" s="27"/>
      <c r="ER122" s="28"/>
      <c r="ES122" s="29"/>
      <c r="ET122" s="79">
        <f t="shared" si="18"/>
        <v>0</v>
      </c>
      <c r="EU122" s="80" t="e">
        <f>ET122*#REF!</f>
        <v>#REF!</v>
      </c>
      <c r="EV122" s="81" t="e">
        <f>ET122*#REF!</f>
        <v>#REF!</v>
      </c>
      <c r="EX122" s="25"/>
      <c r="EY122" s="26"/>
      <c r="EZ122" s="27"/>
      <c r="FA122" s="28"/>
      <c r="FB122" s="29"/>
      <c r="FC122" s="79">
        <f t="shared" si="19"/>
        <v>0</v>
      </c>
      <c r="FD122" s="80" t="e">
        <f>FC122*#REF!</f>
        <v>#REF!</v>
      </c>
      <c r="FE122" s="81" t="e">
        <f>FC122*#REF!</f>
        <v>#REF!</v>
      </c>
      <c r="FG122" s="25"/>
      <c r="FH122" s="26"/>
      <c r="FI122" s="27"/>
      <c r="FJ122" s="28"/>
      <c r="FK122" s="29"/>
      <c r="FL122" s="79">
        <f t="shared" si="20"/>
        <v>0</v>
      </c>
      <c r="FM122" s="80" t="e">
        <f>FL122*#REF!</f>
        <v>#REF!</v>
      </c>
      <c r="FN122" s="81" t="e">
        <f>FL122*#REF!</f>
        <v>#REF!</v>
      </c>
      <c r="FP122" s="25"/>
      <c r="FQ122" s="26"/>
      <c r="FR122" s="27"/>
      <c r="FS122" s="28"/>
      <c r="FT122" s="29"/>
      <c r="FU122" s="79">
        <f t="shared" si="21"/>
        <v>0</v>
      </c>
      <c r="FV122" s="80" t="e">
        <f>FU122*#REF!</f>
        <v>#REF!</v>
      </c>
      <c r="FW122" s="81" t="e">
        <f>FU122*#REF!</f>
        <v>#REF!</v>
      </c>
      <c r="FY122" s="25"/>
      <c r="FZ122" s="26"/>
      <c r="GA122" s="27"/>
      <c r="GB122" s="28"/>
      <c r="GC122" s="29"/>
      <c r="GD122" s="79">
        <f t="shared" si="22"/>
        <v>0</v>
      </c>
      <c r="GE122" s="80" t="e">
        <f>GD122*#REF!</f>
        <v>#REF!</v>
      </c>
      <c r="GF122" s="81" t="e">
        <f>GD122*#REF!</f>
        <v>#REF!</v>
      </c>
      <c r="GH122" s="25"/>
      <c r="GI122" s="26"/>
      <c r="GJ122" s="27"/>
      <c r="GK122" s="28"/>
      <c r="GL122" s="29"/>
      <c r="GM122" s="79">
        <f t="shared" si="23"/>
        <v>0</v>
      </c>
      <c r="GN122" s="80" t="e">
        <f>GM122*#REF!</f>
        <v>#REF!</v>
      </c>
      <c r="GO122" s="81" t="e">
        <f>GM122*#REF!</f>
        <v>#REF!</v>
      </c>
      <c r="GQ122" s="82">
        <f t="shared" si="25"/>
        <v>0</v>
      </c>
      <c r="GR122" s="83">
        <v>0</v>
      </c>
    </row>
    <row r="123" spans="2:200" ht="15">
      <c r="B123" s="22"/>
      <c r="C123" s="23"/>
      <c r="D123" s="24" t="str">
        <f>IF(C123="","",_xlfn.XLOOKUP(C123,'[1]Control Sheet'!$L$5:$L$104,'[1]Control Sheet'!$M$5:$M$104,"",0))</f>
        <v/>
      </c>
      <c r="E123" s="24" t="str">
        <f>IF(B123="","",_xlfn.XLOOKUP(B123,'[1]Control Sheet'!$D$5:$D$64,'[1]Control Sheet'!$F$5:$F$64,"",0))</f>
        <v/>
      </c>
      <c r="F123" s="24" t="str">
        <f>IF(B123="","",_xlfn.XLOOKUP(B123,'[1]Control Sheet'!$D$5:$D$64,'[1]Control Sheet'!$E$5:$E$64,"",0))</f>
        <v/>
      </c>
      <c r="I123" s="25"/>
      <c r="J123" s="26"/>
      <c r="K123" s="27"/>
      <c r="L123" s="28"/>
      <c r="M123" s="29"/>
      <c r="P123" s="25"/>
      <c r="Q123" s="26"/>
      <c r="R123" s="27"/>
      <c r="S123" s="28"/>
      <c r="T123" s="29"/>
      <c r="V123" s="25"/>
      <c r="W123" s="26"/>
      <c r="X123" s="27"/>
      <c r="Y123" s="28"/>
      <c r="Z123" s="29"/>
      <c r="AB123" s="25"/>
      <c r="AC123" s="26"/>
      <c r="AD123" s="27"/>
      <c r="AE123" s="28"/>
      <c r="AF123" s="29"/>
      <c r="AH123" s="25"/>
      <c r="AI123" s="26"/>
      <c r="AJ123" s="27"/>
      <c r="AK123" s="28"/>
      <c r="AL123" s="29"/>
      <c r="AN123" s="25"/>
      <c r="AO123" s="26"/>
      <c r="AP123" s="27"/>
      <c r="AQ123" s="28"/>
      <c r="AR123" s="29"/>
      <c r="AT123" s="25"/>
      <c r="AU123" s="26"/>
      <c r="AV123" s="27"/>
      <c r="AW123" s="28"/>
      <c r="AX123" s="29"/>
      <c r="AZ123" s="25"/>
      <c r="BA123" s="26"/>
      <c r="BB123" s="27"/>
      <c r="BC123" s="28"/>
      <c r="BD123" s="29"/>
      <c r="BF123" s="25"/>
      <c r="BG123" s="26"/>
      <c r="BH123" s="27"/>
      <c r="BI123" s="28"/>
      <c r="BJ123" s="29"/>
      <c r="BL123" s="25"/>
      <c r="BM123" s="26"/>
      <c r="BN123" s="27"/>
      <c r="BO123" s="28"/>
      <c r="BP123" s="29"/>
      <c r="BR123" s="25"/>
      <c r="BS123" s="26"/>
      <c r="BT123" s="27"/>
      <c r="BU123" s="28"/>
      <c r="BV123" s="29"/>
      <c r="BX123" s="25"/>
      <c r="BY123" s="26"/>
      <c r="BZ123" s="27"/>
      <c r="CA123" s="28"/>
      <c r="CB123" s="29"/>
      <c r="CD123" s="25"/>
      <c r="CE123" s="26"/>
      <c r="CF123" s="27"/>
      <c r="CG123" s="28"/>
      <c r="CH123" s="29"/>
      <c r="CJ123" s="25"/>
      <c r="CK123" s="26"/>
      <c r="CL123" s="27"/>
      <c r="CM123" s="28"/>
      <c r="CN123" s="29"/>
      <c r="CP123" s="25"/>
      <c r="CQ123" s="26"/>
      <c r="CR123" s="27"/>
      <c r="CS123" s="28"/>
      <c r="CT123" s="29"/>
      <c r="CV123" s="25"/>
      <c r="CW123" s="26"/>
      <c r="CX123" s="27"/>
      <c r="CY123" s="28"/>
      <c r="CZ123" s="29"/>
      <c r="DA123" s="79">
        <f t="shared" si="13"/>
        <v>0</v>
      </c>
      <c r="DB123" s="80" t="e">
        <f>DA123*#REF!</f>
        <v>#REF!</v>
      </c>
      <c r="DC123" s="81" t="e">
        <f>DA123*#REF!</f>
        <v>#REF!</v>
      </c>
      <c r="DE123" s="25"/>
      <c r="DF123" s="26"/>
      <c r="DG123" s="27"/>
      <c r="DH123" s="28"/>
      <c r="DI123" s="29"/>
      <c r="DJ123" s="79">
        <f t="shared" si="14"/>
        <v>0</v>
      </c>
      <c r="DK123" s="80" t="e">
        <f>DJ123*#REF!</f>
        <v>#REF!</v>
      </c>
      <c r="DL123" s="81" t="e">
        <f>DJ123*#REF!</f>
        <v>#REF!</v>
      </c>
      <c r="DN123" s="25"/>
      <c r="DO123" s="26"/>
      <c r="DP123" s="27"/>
      <c r="DQ123" s="28"/>
      <c r="DR123" s="29"/>
      <c r="DS123" s="79">
        <f t="shared" si="15"/>
        <v>0</v>
      </c>
      <c r="DT123" s="80" t="e">
        <f>DS123*#REF!</f>
        <v>#REF!</v>
      </c>
      <c r="DU123" s="81" t="e">
        <f>DS123*#REF!</f>
        <v>#REF!</v>
      </c>
      <c r="DW123" s="25"/>
      <c r="DX123" s="26"/>
      <c r="DY123" s="27"/>
      <c r="DZ123" s="28"/>
      <c r="EA123" s="29"/>
      <c r="EB123" s="79">
        <f t="shared" si="16"/>
        <v>0</v>
      </c>
      <c r="EC123" s="80" t="e">
        <f>EB123*#REF!</f>
        <v>#REF!</v>
      </c>
      <c r="ED123" s="81" t="e">
        <f>EB123*#REF!</f>
        <v>#REF!</v>
      </c>
      <c r="EF123" s="25"/>
      <c r="EG123" s="26"/>
      <c r="EH123" s="27"/>
      <c r="EI123" s="28"/>
      <c r="EJ123" s="29"/>
      <c r="EK123" s="79">
        <f t="shared" si="17"/>
        <v>0</v>
      </c>
      <c r="EL123" s="80" t="e">
        <f>EK123*#REF!</f>
        <v>#REF!</v>
      </c>
      <c r="EM123" s="81" t="e">
        <f>EK123*#REF!</f>
        <v>#REF!</v>
      </c>
      <c r="EO123" s="25"/>
      <c r="EP123" s="26"/>
      <c r="EQ123" s="27"/>
      <c r="ER123" s="28"/>
      <c r="ES123" s="29"/>
      <c r="ET123" s="79">
        <f t="shared" si="18"/>
        <v>0</v>
      </c>
      <c r="EU123" s="80" t="e">
        <f>ET123*#REF!</f>
        <v>#REF!</v>
      </c>
      <c r="EV123" s="81" t="e">
        <f>ET123*#REF!</f>
        <v>#REF!</v>
      </c>
      <c r="EX123" s="25"/>
      <c r="EY123" s="26"/>
      <c r="EZ123" s="27"/>
      <c r="FA123" s="28"/>
      <c r="FB123" s="29"/>
      <c r="FC123" s="79">
        <f t="shared" si="19"/>
        <v>0</v>
      </c>
      <c r="FD123" s="80" t="e">
        <f>FC123*#REF!</f>
        <v>#REF!</v>
      </c>
      <c r="FE123" s="81" t="e">
        <f>FC123*#REF!</f>
        <v>#REF!</v>
      </c>
      <c r="FG123" s="25"/>
      <c r="FH123" s="26"/>
      <c r="FI123" s="27"/>
      <c r="FJ123" s="28"/>
      <c r="FK123" s="29"/>
      <c r="FL123" s="79">
        <f t="shared" si="20"/>
        <v>0</v>
      </c>
      <c r="FM123" s="80" t="e">
        <f>FL123*#REF!</f>
        <v>#REF!</v>
      </c>
      <c r="FN123" s="81" t="e">
        <f>FL123*#REF!</f>
        <v>#REF!</v>
      </c>
      <c r="FP123" s="25"/>
      <c r="FQ123" s="26"/>
      <c r="FR123" s="27"/>
      <c r="FS123" s="28"/>
      <c r="FT123" s="29"/>
      <c r="FU123" s="79">
        <f t="shared" si="21"/>
        <v>0</v>
      </c>
      <c r="FV123" s="80" t="e">
        <f>FU123*#REF!</f>
        <v>#REF!</v>
      </c>
      <c r="FW123" s="81" t="e">
        <f>FU123*#REF!</f>
        <v>#REF!</v>
      </c>
      <c r="FY123" s="25"/>
      <c r="FZ123" s="26"/>
      <c r="GA123" s="27"/>
      <c r="GB123" s="28"/>
      <c r="GC123" s="29"/>
      <c r="GD123" s="79">
        <f t="shared" si="22"/>
        <v>0</v>
      </c>
      <c r="GE123" s="80" t="e">
        <f>GD123*#REF!</f>
        <v>#REF!</v>
      </c>
      <c r="GF123" s="81" t="e">
        <f>GD123*#REF!</f>
        <v>#REF!</v>
      </c>
      <c r="GH123" s="25"/>
      <c r="GI123" s="26"/>
      <c r="GJ123" s="27"/>
      <c r="GK123" s="28"/>
      <c r="GL123" s="29"/>
      <c r="GM123" s="79">
        <f t="shared" si="23"/>
        <v>0</v>
      </c>
      <c r="GN123" s="80" t="e">
        <f>GM123*#REF!</f>
        <v>#REF!</v>
      </c>
      <c r="GO123" s="81" t="e">
        <f>GM123*#REF!</f>
        <v>#REF!</v>
      </c>
      <c r="GQ123" s="82">
        <f t="shared" si="25"/>
        <v>0</v>
      </c>
      <c r="GR123" s="83">
        <v>0</v>
      </c>
    </row>
    <row r="124" spans="2:200" ht="15">
      <c r="B124" s="22"/>
      <c r="C124" s="23"/>
      <c r="D124" s="24" t="str">
        <f>IF(C124="","",_xlfn.XLOOKUP(C124,'[1]Control Sheet'!$L$5:$L$104,'[1]Control Sheet'!$M$5:$M$104,"",0))</f>
        <v/>
      </c>
      <c r="E124" s="24" t="str">
        <f>IF(B124="","",_xlfn.XLOOKUP(B124,'[1]Control Sheet'!$D$5:$D$64,'[1]Control Sheet'!$F$5:$F$64,"",0))</f>
        <v/>
      </c>
      <c r="F124" s="24" t="str">
        <f>IF(B124="","",_xlfn.XLOOKUP(B124,'[1]Control Sheet'!$D$5:$D$64,'[1]Control Sheet'!$E$5:$E$64,"",0))</f>
        <v/>
      </c>
      <c r="I124" s="25"/>
      <c r="J124" s="26"/>
      <c r="K124" s="27"/>
      <c r="L124" s="28"/>
      <c r="M124" s="29"/>
      <c r="P124" s="25"/>
      <c r="Q124" s="26"/>
      <c r="R124" s="27"/>
      <c r="S124" s="28"/>
      <c r="T124" s="29"/>
      <c r="V124" s="25"/>
      <c r="W124" s="26"/>
      <c r="X124" s="27"/>
      <c r="Y124" s="28"/>
      <c r="Z124" s="29"/>
      <c r="AB124" s="25"/>
      <c r="AC124" s="26"/>
      <c r="AD124" s="27"/>
      <c r="AE124" s="28"/>
      <c r="AF124" s="29"/>
      <c r="AH124" s="25"/>
      <c r="AI124" s="26"/>
      <c r="AJ124" s="27"/>
      <c r="AK124" s="28"/>
      <c r="AL124" s="29"/>
      <c r="AN124" s="25"/>
      <c r="AO124" s="26"/>
      <c r="AP124" s="27"/>
      <c r="AQ124" s="28"/>
      <c r="AR124" s="29"/>
      <c r="AT124" s="25"/>
      <c r="AU124" s="26"/>
      <c r="AV124" s="27"/>
      <c r="AW124" s="28"/>
      <c r="AX124" s="29"/>
      <c r="AZ124" s="25"/>
      <c r="BA124" s="26"/>
      <c r="BB124" s="27"/>
      <c r="BC124" s="28"/>
      <c r="BD124" s="29"/>
      <c r="BF124" s="25"/>
      <c r="BG124" s="26"/>
      <c r="BH124" s="27"/>
      <c r="BI124" s="28"/>
      <c r="BJ124" s="29"/>
      <c r="BL124" s="25"/>
      <c r="BM124" s="26"/>
      <c r="BN124" s="27"/>
      <c r="BO124" s="28"/>
      <c r="BP124" s="29"/>
      <c r="BR124" s="25"/>
      <c r="BS124" s="26"/>
      <c r="BT124" s="27"/>
      <c r="BU124" s="28"/>
      <c r="BV124" s="29"/>
      <c r="BX124" s="25"/>
      <c r="BY124" s="26"/>
      <c r="BZ124" s="27"/>
      <c r="CA124" s="28"/>
      <c r="CB124" s="29"/>
      <c r="CD124" s="25"/>
      <c r="CE124" s="26"/>
      <c r="CF124" s="27"/>
      <c r="CG124" s="28"/>
      <c r="CH124" s="29"/>
      <c r="CJ124" s="25"/>
      <c r="CK124" s="26"/>
      <c r="CL124" s="27"/>
      <c r="CM124" s="28"/>
      <c r="CN124" s="29"/>
      <c r="CP124" s="25"/>
      <c r="CQ124" s="26"/>
      <c r="CR124" s="27"/>
      <c r="CS124" s="28"/>
      <c r="CT124" s="29"/>
      <c r="CV124" s="25"/>
      <c r="CW124" s="26"/>
      <c r="CX124" s="27"/>
      <c r="CY124" s="28"/>
      <c r="CZ124" s="29"/>
      <c r="DA124" s="79">
        <f t="shared" si="13"/>
        <v>0</v>
      </c>
      <c r="DB124" s="80" t="e">
        <f>DA124*#REF!</f>
        <v>#REF!</v>
      </c>
      <c r="DC124" s="81" t="e">
        <f>DA124*#REF!</f>
        <v>#REF!</v>
      </c>
      <c r="DE124" s="25"/>
      <c r="DF124" s="26"/>
      <c r="DG124" s="27"/>
      <c r="DH124" s="28"/>
      <c r="DI124" s="29"/>
      <c r="DJ124" s="79">
        <f t="shared" si="14"/>
        <v>0</v>
      </c>
      <c r="DK124" s="80" t="e">
        <f>DJ124*#REF!</f>
        <v>#REF!</v>
      </c>
      <c r="DL124" s="81" t="e">
        <f>DJ124*#REF!</f>
        <v>#REF!</v>
      </c>
      <c r="DN124" s="25"/>
      <c r="DO124" s="26"/>
      <c r="DP124" s="27"/>
      <c r="DQ124" s="28"/>
      <c r="DR124" s="29"/>
      <c r="DS124" s="79">
        <f t="shared" si="15"/>
        <v>0</v>
      </c>
      <c r="DT124" s="80" t="e">
        <f>DS124*#REF!</f>
        <v>#REF!</v>
      </c>
      <c r="DU124" s="81" t="e">
        <f>DS124*#REF!</f>
        <v>#REF!</v>
      </c>
      <c r="DW124" s="25"/>
      <c r="DX124" s="26"/>
      <c r="DY124" s="27"/>
      <c r="DZ124" s="28"/>
      <c r="EA124" s="29"/>
      <c r="EB124" s="79">
        <f t="shared" si="16"/>
        <v>0</v>
      </c>
      <c r="EC124" s="80" t="e">
        <f>EB124*#REF!</f>
        <v>#REF!</v>
      </c>
      <c r="ED124" s="81" t="e">
        <f>EB124*#REF!</f>
        <v>#REF!</v>
      </c>
      <c r="EF124" s="25"/>
      <c r="EG124" s="26"/>
      <c r="EH124" s="27"/>
      <c r="EI124" s="28"/>
      <c r="EJ124" s="29"/>
      <c r="EK124" s="79">
        <f t="shared" si="17"/>
        <v>0</v>
      </c>
      <c r="EL124" s="80" t="e">
        <f>EK124*#REF!</f>
        <v>#REF!</v>
      </c>
      <c r="EM124" s="81" t="e">
        <f>EK124*#REF!</f>
        <v>#REF!</v>
      </c>
      <c r="EO124" s="25"/>
      <c r="EP124" s="26"/>
      <c r="EQ124" s="27"/>
      <c r="ER124" s="28"/>
      <c r="ES124" s="29"/>
      <c r="ET124" s="79">
        <f t="shared" si="18"/>
        <v>0</v>
      </c>
      <c r="EU124" s="80" t="e">
        <f>ET124*#REF!</f>
        <v>#REF!</v>
      </c>
      <c r="EV124" s="81" t="e">
        <f>ET124*#REF!</f>
        <v>#REF!</v>
      </c>
      <c r="EX124" s="25"/>
      <c r="EY124" s="26"/>
      <c r="EZ124" s="27"/>
      <c r="FA124" s="28"/>
      <c r="FB124" s="29"/>
      <c r="FC124" s="79">
        <f t="shared" si="19"/>
        <v>0</v>
      </c>
      <c r="FD124" s="80" t="e">
        <f>FC124*#REF!</f>
        <v>#REF!</v>
      </c>
      <c r="FE124" s="81" t="e">
        <f>FC124*#REF!</f>
        <v>#REF!</v>
      </c>
      <c r="FG124" s="25"/>
      <c r="FH124" s="26"/>
      <c r="FI124" s="27"/>
      <c r="FJ124" s="28"/>
      <c r="FK124" s="29"/>
      <c r="FL124" s="79">
        <f t="shared" si="20"/>
        <v>0</v>
      </c>
      <c r="FM124" s="80" t="e">
        <f>FL124*#REF!</f>
        <v>#REF!</v>
      </c>
      <c r="FN124" s="81" t="e">
        <f>FL124*#REF!</f>
        <v>#REF!</v>
      </c>
      <c r="FP124" s="25"/>
      <c r="FQ124" s="26"/>
      <c r="FR124" s="27"/>
      <c r="FS124" s="28"/>
      <c r="FT124" s="29"/>
      <c r="FU124" s="79">
        <f t="shared" si="21"/>
        <v>0</v>
      </c>
      <c r="FV124" s="80" t="e">
        <f>FU124*#REF!</f>
        <v>#REF!</v>
      </c>
      <c r="FW124" s="81" t="e">
        <f>FU124*#REF!</f>
        <v>#REF!</v>
      </c>
      <c r="FY124" s="25"/>
      <c r="FZ124" s="26"/>
      <c r="GA124" s="27"/>
      <c r="GB124" s="28"/>
      <c r="GC124" s="29"/>
      <c r="GD124" s="79">
        <f t="shared" si="22"/>
        <v>0</v>
      </c>
      <c r="GE124" s="80" t="e">
        <f>GD124*#REF!</f>
        <v>#REF!</v>
      </c>
      <c r="GF124" s="81" t="e">
        <f>GD124*#REF!</f>
        <v>#REF!</v>
      </c>
      <c r="GH124" s="25"/>
      <c r="GI124" s="26"/>
      <c r="GJ124" s="27"/>
      <c r="GK124" s="28"/>
      <c r="GL124" s="29"/>
      <c r="GM124" s="79">
        <f t="shared" si="23"/>
        <v>0</v>
      </c>
      <c r="GN124" s="80" t="e">
        <f>GM124*#REF!</f>
        <v>#REF!</v>
      </c>
      <c r="GO124" s="81" t="e">
        <f>GM124*#REF!</f>
        <v>#REF!</v>
      </c>
      <c r="GQ124" s="82">
        <f t="shared" si="25"/>
        <v>0</v>
      </c>
      <c r="GR124" s="83">
        <v>0</v>
      </c>
    </row>
    <row r="125" spans="2:200" ht="15">
      <c r="B125" s="22"/>
      <c r="C125" s="23"/>
      <c r="D125" s="24" t="str">
        <f>IF(C125="","",_xlfn.XLOOKUP(C125,'[1]Control Sheet'!$L$5:$L$104,'[1]Control Sheet'!$M$5:$M$104,"",0))</f>
        <v/>
      </c>
      <c r="E125" s="24" t="str">
        <f>IF(B125="","",_xlfn.XLOOKUP(B125,'[1]Control Sheet'!$D$5:$D$64,'[1]Control Sheet'!$F$5:$F$64,"",0))</f>
        <v/>
      </c>
      <c r="F125" s="24" t="str">
        <f>IF(B125="","",_xlfn.XLOOKUP(B125,'[1]Control Sheet'!$D$5:$D$64,'[1]Control Sheet'!$E$5:$E$64,"",0))</f>
        <v/>
      </c>
      <c r="I125" s="25"/>
      <c r="J125" s="26"/>
      <c r="K125" s="27"/>
      <c r="L125" s="28"/>
      <c r="M125" s="29"/>
      <c r="P125" s="25"/>
      <c r="Q125" s="26"/>
      <c r="R125" s="27"/>
      <c r="S125" s="28"/>
      <c r="T125" s="29"/>
      <c r="V125" s="25"/>
      <c r="W125" s="26"/>
      <c r="X125" s="27"/>
      <c r="Y125" s="28"/>
      <c r="Z125" s="29"/>
      <c r="AB125" s="25"/>
      <c r="AC125" s="26"/>
      <c r="AD125" s="27"/>
      <c r="AE125" s="28"/>
      <c r="AF125" s="29"/>
      <c r="AH125" s="25"/>
      <c r="AI125" s="26"/>
      <c r="AJ125" s="27"/>
      <c r="AK125" s="28"/>
      <c r="AL125" s="29"/>
      <c r="AN125" s="25"/>
      <c r="AO125" s="26"/>
      <c r="AP125" s="27"/>
      <c r="AQ125" s="28"/>
      <c r="AR125" s="29"/>
      <c r="AT125" s="25"/>
      <c r="AU125" s="26"/>
      <c r="AV125" s="27"/>
      <c r="AW125" s="28"/>
      <c r="AX125" s="29"/>
      <c r="AZ125" s="25"/>
      <c r="BA125" s="26"/>
      <c r="BB125" s="27"/>
      <c r="BC125" s="28"/>
      <c r="BD125" s="29"/>
      <c r="BF125" s="25"/>
      <c r="BG125" s="26"/>
      <c r="BH125" s="27"/>
      <c r="BI125" s="28"/>
      <c r="BJ125" s="29"/>
      <c r="BL125" s="25"/>
      <c r="BM125" s="26"/>
      <c r="BN125" s="27"/>
      <c r="BO125" s="28"/>
      <c r="BP125" s="29"/>
      <c r="BR125" s="25"/>
      <c r="BS125" s="26"/>
      <c r="BT125" s="27"/>
      <c r="BU125" s="28"/>
      <c r="BV125" s="29"/>
      <c r="BX125" s="25"/>
      <c r="BY125" s="26"/>
      <c r="BZ125" s="27"/>
      <c r="CA125" s="28"/>
      <c r="CB125" s="29"/>
      <c r="CD125" s="25"/>
      <c r="CE125" s="26"/>
      <c r="CF125" s="27"/>
      <c r="CG125" s="28"/>
      <c r="CH125" s="29"/>
      <c r="CJ125" s="25"/>
      <c r="CK125" s="26"/>
      <c r="CL125" s="27"/>
      <c r="CM125" s="28"/>
      <c r="CN125" s="29"/>
      <c r="CP125" s="25"/>
      <c r="CQ125" s="26"/>
      <c r="CR125" s="27"/>
      <c r="CS125" s="28"/>
      <c r="CT125" s="29"/>
      <c r="CV125" s="25"/>
      <c r="CW125" s="26"/>
      <c r="CX125" s="27"/>
      <c r="CY125" s="28"/>
      <c r="CZ125" s="29"/>
      <c r="DA125" s="79">
        <f t="shared" si="13"/>
        <v>0</v>
      </c>
      <c r="DB125" s="80" t="e">
        <f>DA125*#REF!</f>
        <v>#REF!</v>
      </c>
      <c r="DC125" s="81" t="e">
        <f>DA125*#REF!</f>
        <v>#REF!</v>
      </c>
      <c r="DE125" s="25"/>
      <c r="DF125" s="26"/>
      <c r="DG125" s="27"/>
      <c r="DH125" s="28"/>
      <c r="DI125" s="29"/>
      <c r="DJ125" s="79">
        <f t="shared" si="14"/>
        <v>0</v>
      </c>
      <c r="DK125" s="80" t="e">
        <f>DJ125*#REF!</f>
        <v>#REF!</v>
      </c>
      <c r="DL125" s="81" t="e">
        <f>DJ125*#REF!</f>
        <v>#REF!</v>
      </c>
      <c r="DN125" s="25"/>
      <c r="DO125" s="26"/>
      <c r="DP125" s="27"/>
      <c r="DQ125" s="28"/>
      <c r="DR125" s="29"/>
      <c r="DS125" s="79">
        <f t="shared" si="15"/>
        <v>0</v>
      </c>
      <c r="DT125" s="80" t="e">
        <f>DS125*#REF!</f>
        <v>#REF!</v>
      </c>
      <c r="DU125" s="81" t="e">
        <f>DS125*#REF!</f>
        <v>#REF!</v>
      </c>
      <c r="DW125" s="25"/>
      <c r="DX125" s="26"/>
      <c r="DY125" s="27"/>
      <c r="DZ125" s="28"/>
      <c r="EA125" s="29"/>
      <c r="EB125" s="79">
        <f t="shared" si="16"/>
        <v>0</v>
      </c>
      <c r="EC125" s="80" t="e">
        <f>EB125*#REF!</f>
        <v>#REF!</v>
      </c>
      <c r="ED125" s="81" t="e">
        <f>EB125*#REF!</f>
        <v>#REF!</v>
      </c>
      <c r="EF125" s="25"/>
      <c r="EG125" s="26"/>
      <c r="EH125" s="27"/>
      <c r="EI125" s="28"/>
      <c r="EJ125" s="29"/>
      <c r="EK125" s="79">
        <f t="shared" si="17"/>
        <v>0</v>
      </c>
      <c r="EL125" s="80" t="e">
        <f>EK125*#REF!</f>
        <v>#REF!</v>
      </c>
      <c r="EM125" s="81" t="e">
        <f>EK125*#REF!</f>
        <v>#REF!</v>
      </c>
      <c r="EO125" s="25"/>
      <c r="EP125" s="26"/>
      <c r="EQ125" s="27"/>
      <c r="ER125" s="28"/>
      <c r="ES125" s="29"/>
      <c r="ET125" s="79">
        <f t="shared" si="18"/>
        <v>0</v>
      </c>
      <c r="EU125" s="80" t="e">
        <f>ET125*#REF!</f>
        <v>#REF!</v>
      </c>
      <c r="EV125" s="81" t="e">
        <f>ET125*#REF!</f>
        <v>#REF!</v>
      </c>
      <c r="EX125" s="25"/>
      <c r="EY125" s="26"/>
      <c r="EZ125" s="27"/>
      <c r="FA125" s="28"/>
      <c r="FB125" s="29"/>
      <c r="FC125" s="79">
        <f t="shared" si="19"/>
        <v>0</v>
      </c>
      <c r="FD125" s="80" t="e">
        <f>FC125*#REF!</f>
        <v>#REF!</v>
      </c>
      <c r="FE125" s="81" t="e">
        <f>FC125*#REF!</f>
        <v>#REF!</v>
      </c>
      <c r="FG125" s="25"/>
      <c r="FH125" s="26"/>
      <c r="FI125" s="27"/>
      <c r="FJ125" s="28"/>
      <c r="FK125" s="29"/>
      <c r="FL125" s="79">
        <f t="shared" si="20"/>
        <v>0</v>
      </c>
      <c r="FM125" s="80" t="e">
        <f>FL125*#REF!</f>
        <v>#REF!</v>
      </c>
      <c r="FN125" s="81" t="e">
        <f>FL125*#REF!</f>
        <v>#REF!</v>
      </c>
      <c r="FP125" s="25"/>
      <c r="FQ125" s="26"/>
      <c r="FR125" s="27"/>
      <c r="FS125" s="28"/>
      <c r="FT125" s="29"/>
      <c r="FU125" s="79">
        <f t="shared" si="21"/>
        <v>0</v>
      </c>
      <c r="FV125" s="80" t="e">
        <f>FU125*#REF!</f>
        <v>#REF!</v>
      </c>
      <c r="FW125" s="81" t="e">
        <f>FU125*#REF!</f>
        <v>#REF!</v>
      </c>
      <c r="FY125" s="25"/>
      <c r="FZ125" s="26"/>
      <c r="GA125" s="27"/>
      <c r="GB125" s="28"/>
      <c r="GC125" s="29"/>
      <c r="GD125" s="79">
        <f t="shared" si="22"/>
        <v>0</v>
      </c>
      <c r="GE125" s="80" t="e">
        <f>GD125*#REF!</f>
        <v>#REF!</v>
      </c>
      <c r="GF125" s="81" t="e">
        <f>GD125*#REF!</f>
        <v>#REF!</v>
      </c>
      <c r="GH125" s="25"/>
      <c r="GI125" s="26"/>
      <c r="GJ125" s="27"/>
      <c r="GK125" s="28"/>
      <c r="GL125" s="29"/>
      <c r="GM125" s="79">
        <f t="shared" si="23"/>
        <v>0</v>
      </c>
      <c r="GN125" s="80" t="e">
        <f>GM125*#REF!</f>
        <v>#REF!</v>
      </c>
      <c r="GO125" s="81" t="e">
        <f>GM125*#REF!</f>
        <v>#REF!</v>
      </c>
      <c r="GQ125" s="82">
        <f t="shared" si="25"/>
        <v>0</v>
      </c>
      <c r="GR125" s="83">
        <v>0</v>
      </c>
    </row>
    <row r="126" spans="2:200" ht="15">
      <c r="B126" s="22"/>
      <c r="C126" s="23"/>
      <c r="D126" s="24" t="str">
        <f>IF(C126="","",_xlfn.XLOOKUP(C126,'[1]Control Sheet'!$L$5:$L$104,'[1]Control Sheet'!$M$5:$M$104,"",0))</f>
        <v/>
      </c>
      <c r="E126" s="24" t="str">
        <f>IF(B126="","",_xlfn.XLOOKUP(B126,'[1]Control Sheet'!$D$5:$D$64,'[1]Control Sheet'!$F$5:$F$64,"",0))</f>
        <v/>
      </c>
      <c r="F126" s="24" t="str">
        <f>IF(B126="","",_xlfn.XLOOKUP(B126,'[1]Control Sheet'!$D$5:$D$64,'[1]Control Sheet'!$E$5:$E$64,"",0))</f>
        <v/>
      </c>
      <c r="I126" s="25"/>
      <c r="J126" s="26"/>
      <c r="K126" s="27"/>
      <c r="L126" s="28"/>
      <c r="M126" s="29"/>
      <c r="P126" s="25"/>
      <c r="Q126" s="26"/>
      <c r="R126" s="27"/>
      <c r="S126" s="28"/>
      <c r="T126" s="29"/>
      <c r="V126" s="25"/>
      <c r="W126" s="26"/>
      <c r="X126" s="27"/>
      <c r="Y126" s="28"/>
      <c r="Z126" s="29"/>
      <c r="AB126" s="25"/>
      <c r="AC126" s="26"/>
      <c r="AD126" s="27"/>
      <c r="AE126" s="28"/>
      <c r="AF126" s="29"/>
      <c r="AH126" s="25"/>
      <c r="AI126" s="26"/>
      <c r="AJ126" s="27"/>
      <c r="AK126" s="28"/>
      <c r="AL126" s="29"/>
      <c r="AN126" s="25"/>
      <c r="AO126" s="26"/>
      <c r="AP126" s="27"/>
      <c r="AQ126" s="28"/>
      <c r="AR126" s="29"/>
      <c r="AT126" s="25"/>
      <c r="AU126" s="26"/>
      <c r="AV126" s="27"/>
      <c r="AW126" s="28"/>
      <c r="AX126" s="29"/>
      <c r="AZ126" s="25"/>
      <c r="BA126" s="26"/>
      <c r="BB126" s="27"/>
      <c r="BC126" s="28"/>
      <c r="BD126" s="29"/>
      <c r="BF126" s="25"/>
      <c r="BG126" s="26"/>
      <c r="BH126" s="27"/>
      <c r="BI126" s="28"/>
      <c r="BJ126" s="29"/>
      <c r="BL126" s="25"/>
      <c r="BM126" s="26"/>
      <c r="BN126" s="27"/>
      <c r="BO126" s="28"/>
      <c r="BP126" s="29"/>
      <c r="BR126" s="25"/>
      <c r="BS126" s="26"/>
      <c r="BT126" s="27"/>
      <c r="BU126" s="28"/>
      <c r="BV126" s="29"/>
      <c r="BX126" s="25"/>
      <c r="BY126" s="26"/>
      <c r="BZ126" s="27"/>
      <c r="CA126" s="28"/>
      <c r="CB126" s="29"/>
      <c r="CD126" s="25"/>
      <c r="CE126" s="26"/>
      <c r="CF126" s="27"/>
      <c r="CG126" s="28"/>
      <c r="CH126" s="29"/>
      <c r="CJ126" s="25"/>
      <c r="CK126" s="26"/>
      <c r="CL126" s="27"/>
      <c r="CM126" s="28"/>
      <c r="CN126" s="29"/>
      <c r="CP126" s="25"/>
      <c r="CQ126" s="26"/>
      <c r="CR126" s="27"/>
      <c r="CS126" s="28"/>
      <c r="CT126" s="29"/>
      <c r="CV126" s="25"/>
      <c r="CW126" s="26"/>
      <c r="CX126" s="27"/>
      <c r="CY126" s="28"/>
      <c r="CZ126" s="29"/>
      <c r="DA126" s="79">
        <f t="shared" si="13"/>
        <v>0</v>
      </c>
      <c r="DB126" s="80" t="e">
        <f>DA126*#REF!</f>
        <v>#REF!</v>
      </c>
      <c r="DC126" s="81" t="e">
        <f>DA126*#REF!</f>
        <v>#REF!</v>
      </c>
      <c r="DE126" s="25"/>
      <c r="DF126" s="26"/>
      <c r="DG126" s="27"/>
      <c r="DH126" s="28"/>
      <c r="DI126" s="29"/>
      <c r="DJ126" s="79">
        <f t="shared" si="14"/>
        <v>0</v>
      </c>
      <c r="DK126" s="80" t="e">
        <f>DJ126*#REF!</f>
        <v>#REF!</v>
      </c>
      <c r="DL126" s="81" t="e">
        <f>DJ126*#REF!</f>
        <v>#REF!</v>
      </c>
      <c r="DN126" s="25"/>
      <c r="DO126" s="26"/>
      <c r="DP126" s="27"/>
      <c r="DQ126" s="28"/>
      <c r="DR126" s="29"/>
      <c r="DS126" s="79">
        <f t="shared" si="15"/>
        <v>0</v>
      </c>
      <c r="DT126" s="80" t="e">
        <f>DS126*#REF!</f>
        <v>#REF!</v>
      </c>
      <c r="DU126" s="81" t="e">
        <f>DS126*#REF!</f>
        <v>#REF!</v>
      </c>
      <c r="DW126" s="25"/>
      <c r="DX126" s="26"/>
      <c r="DY126" s="27"/>
      <c r="DZ126" s="28"/>
      <c r="EA126" s="29"/>
      <c r="EB126" s="79">
        <f t="shared" si="16"/>
        <v>0</v>
      </c>
      <c r="EC126" s="80" t="e">
        <f>EB126*#REF!</f>
        <v>#REF!</v>
      </c>
      <c r="ED126" s="81" t="e">
        <f>EB126*#REF!</f>
        <v>#REF!</v>
      </c>
      <c r="EF126" s="25"/>
      <c r="EG126" s="26"/>
      <c r="EH126" s="27"/>
      <c r="EI126" s="28"/>
      <c r="EJ126" s="29"/>
      <c r="EK126" s="79">
        <f t="shared" si="17"/>
        <v>0</v>
      </c>
      <c r="EL126" s="80" t="e">
        <f>EK126*#REF!</f>
        <v>#REF!</v>
      </c>
      <c r="EM126" s="81" t="e">
        <f>EK126*#REF!</f>
        <v>#REF!</v>
      </c>
      <c r="EO126" s="25"/>
      <c r="EP126" s="26"/>
      <c r="EQ126" s="27"/>
      <c r="ER126" s="28"/>
      <c r="ES126" s="29"/>
      <c r="ET126" s="79">
        <f t="shared" si="18"/>
        <v>0</v>
      </c>
      <c r="EU126" s="80" t="e">
        <f>ET126*#REF!</f>
        <v>#REF!</v>
      </c>
      <c r="EV126" s="81" t="e">
        <f>ET126*#REF!</f>
        <v>#REF!</v>
      </c>
      <c r="EX126" s="25"/>
      <c r="EY126" s="26"/>
      <c r="EZ126" s="27"/>
      <c r="FA126" s="28"/>
      <c r="FB126" s="29"/>
      <c r="FC126" s="79">
        <f t="shared" si="19"/>
        <v>0</v>
      </c>
      <c r="FD126" s="80" t="e">
        <f>FC126*#REF!</f>
        <v>#REF!</v>
      </c>
      <c r="FE126" s="81" t="e">
        <f>FC126*#REF!</f>
        <v>#REF!</v>
      </c>
      <c r="FG126" s="25"/>
      <c r="FH126" s="26"/>
      <c r="FI126" s="27"/>
      <c r="FJ126" s="28"/>
      <c r="FK126" s="29"/>
      <c r="FL126" s="79">
        <f t="shared" si="20"/>
        <v>0</v>
      </c>
      <c r="FM126" s="80" t="e">
        <f>FL126*#REF!</f>
        <v>#REF!</v>
      </c>
      <c r="FN126" s="81" t="e">
        <f>FL126*#REF!</f>
        <v>#REF!</v>
      </c>
      <c r="FP126" s="25"/>
      <c r="FQ126" s="26"/>
      <c r="FR126" s="27"/>
      <c r="FS126" s="28"/>
      <c r="FT126" s="29"/>
      <c r="FU126" s="79">
        <f t="shared" si="21"/>
        <v>0</v>
      </c>
      <c r="FV126" s="80" t="e">
        <f>FU126*#REF!</f>
        <v>#REF!</v>
      </c>
      <c r="FW126" s="81" t="e">
        <f>FU126*#REF!</f>
        <v>#REF!</v>
      </c>
      <c r="FY126" s="25"/>
      <c r="FZ126" s="26"/>
      <c r="GA126" s="27"/>
      <c r="GB126" s="28"/>
      <c r="GC126" s="29"/>
      <c r="GD126" s="79">
        <f t="shared" si="22"/>
        <v>0</v>
      </c>
      <c r="GE126" s="80" t="e">
        <f>GD126*#REF!</f>
        <v>#REF!</v>
      </c>
      <c r="GF126" s="81" t="e">
        <f>GD126*#REF!</f>
        <v>#REF!</v>
      </c>
      <c r="GH126" s="25"/>
      <c r="GI126" s="26"/>
      <c r="GJ126" s="27"/>
      <c r="GK126" s="28"/>
      <c r="GL126" s="29"/>
      <c r="GM126" s="79">
        <f t="shared" si="23"/>
        <v>0</v>
      </c>
      <c r="GN126" s="80" t="e">
        <f>GM126*#REF!</f>
        <v>#REF!</v>
      </c>
      <c r="GO126" s="81" t="e">
        <f>GM126*#REF!</f>
        <v>#REF!</v>
      </c>
      <c r="GQ126" s="82">
        <f t="shared" si="25"/>
        <v>0</v>
      </c>
      <c r="GR126" s="83">
        <v>0</v>
      </c>
    </row>
    <row r="127" spans="2:200" ht="15">
      <c r="B127" s="22"/>
      <c r="C127" s="23"/>
      <c r="D127" s="24" t="str">
        <f>IF(C127="","",_xlfn.XLOOKUP(C127,'[1]Control Sheet'!$L$5:$L$104,'[1]Control Sheet'!$M$5:$M$104,"",0))</f>
        <v/>
      </c>
      <c r="E127" s="24" t="str">
        <f>IF(B127="","",_xlfn.XLOOKUP(B127,'[1]Control Sheet'!$D$5:$D$64,'[1]Control Sheet'!$F$5:$F$64,"",0))</f>
        <v/>
      </c>
      <c r="F127" s="24" t="str">
        <f>IF(B127="","",_xlfn.XLOOKUP(B127,'[1]Control Sheet'!$D$5:$D$64,'[1]Control Sheet'!$E$5:$E$64,"",0))</f>
        <v/>
      </c>
      <c r="I127" s="25"/>
      <c r="J127" s="26"/>
      <c r="K127" s="27"/>
      <c r="L127" s="28"/>
      <c r="M127" s="29"/>
      <c r="P127" s="25"/>
      <c r="Q127" s="26"/>
      <c r="R127" s="27"/>
      <c r="S127" s="28"/>
      <c r="T127" s="29"/>
      <c r="V127" s="25"/>
      <c r="W127" s="26"/>
      <c r="X127" s="27"/>
      <c r="Y127" s="28"/>
      <c r="Z127" s="29"/>
      <c r="AB127" s="25"/>
      <c r="AC127" s="26"/>
      <c r="AD127" s="27"/>
      <c r="AE127" s="28"/>
      <c r="AF127" s="29"/>
      <c r="AH127" s="25"/>
      <c r="AI127" s="26"/>
      <c r="AJ127" s="27"/>
      <c r="AK127" s="28"/>
      <c r="AL127" s="29"/>
      <c r="AN127" s="25"/>
      <c r="AO127" s="26"/>
      <c r="AP127" s="27"/>
      <c r="AQ127" s="28"/>
      <c r="AR127" s="29"/>
      <c r="AT127" s="25"/>
      <c r="AU127" s="26"/>
      <c r="AV127" s="27"/>
      <c r="AW127" s="28"/>
      <c r="AX127" s="29"/>
      <c r="AZ127" s="25"/>
      <c r="BA127" s="26"/>
      <c r="BB127" s="27"/>
      <c r="BC127" s="28"/>
      <c r="BD127" s="29"/>
      <c r="BF127" s="25"/>
      <c r="BG127" s="26"/>
      <c r="BH127" s="27"/>
      <c r="BI127" s="28"/>
      <c r="BJ127" s="29"/>
      <c r="BL127" s="25"/>
      <c r="BM127" s="26"/>
      <c r="BN127" s="27"/>
      <c r="BO127" s="28"/>
      <c r="BP127" s="29"/>
      <c r="BR127" s="25"/>
      <c r="BS127" s="26"/>
      <c r="BT127" s="27"/>
      <c r="BU127" s="28"/>
      <c r="BV127" s="29"/>
      <c r="BX127" s="25"/>
      <c r="BY127" s="26"/>
      <c r="BZ127" s="27"/>
      <c r="CA127" s="28"/>
      <c r="CB127" s="29"/>
      <c r="CD127" s="25"/>
      <c r="CE127" s="26"/>
      <c r="CF127" s="27"/>
      <c r="CG127" s="28"/>
      <c r="CH127" s="29"/>
      <c r="CJ127" s="25"/>
      <c r="CK127" s="26"/>
      <c r="CL127" s="27"/>
      <c r="CM127" s="28"/>
      <c r="CN127" s="29"/>
      <c r="CP127" s="25"/>
      <c r="CQ127" s="26"/>
      <c r="CR127" s="27"/>
      <c r="CS127" s="28"/>
      <c r="CT127" s="29"/>
      <c r="CV127" s="25"/>
      <c r="CW127" s="26"/>
      <c r="CX127" s="27"/>
      <c r="CY127" s="28"/>
      <c r="CZ127" s="29"/>
      <c r="DA127" s="79">
        <f t="shared" si="13"/>
        <v>0</v>
      </c>
      <c r="DB127" s="80" t="e">
        <f>DA127*#REF!</f>
        <v>#REF!</v>
      </c>
      <c r="DC127" s="81" t="e">
        <f>DA127*#REF!</f>
        <v>#REF!</v>
      </c>
      <c r="DE127" s="25"/>
      <c r="DF127" s="26"/>
      <c r="DG127" s="27"/>
      <c r="DH127" s="28"/>
      <c r="DI127" s="29"/>
      <c r="DJ127" s="79">
        <f t="shared" si="14"/>
        <v>0</v>
      </c>
      <c r="DK127" s="80" t="e">
        <f>DJ127*#REF!</f>
        <v>#REF!</v>
      </c>
      <c r="DL127" s="81" t="e">
        <f>DJ127*#REF!</f>
        <v>#REF!</v>
      </c>
      <c r="DN127" s="25"/>
      <c r="DO127" s="26"/>
      <c r="DP127" s="27"/>
      <c r="DQ127" s="28"/>
      <c r="DR127" s="29"/>
      <c r="DS127" s="79">
        <f t="shared" si="15"/>
        <v>0</v>
      </c>
      <c r="DT127" s="80" t="e">
        <f>DS127*#REF!</f>
        <v>#REF!</v>
      </c>
      <c r="DU127" s="81" t="e">
        <f>DS127*#REF!</f>
        <v>#REF!</v>
      </c>
      <c r="DW127" s="25"/>
      <c r="DX127" s="26"/>
      <c r="DY127" s="27"/>
      <c r="DZ127" s="28"/>
      <c r="EA127" s="29"/>
      <c r="EB127" s="79">
        <f t="shared" si="16"/>
        <v>0</v>
      </c>
      <c r="EC127" s="80" t="e">
        <f>EB127*#REF!</f>
        <v>#REF!</v>
      </c>
      <c r="ED127" s="81" t="e">
        <f>EB127*#REF!</f>
        <v>#REF!</v>
      </c>
      <c r="EF127" s="25"/>
      <c r="EG127" s="26"/>
      <c r="EH127" s="27"/>
      <c r="EI127" s="28"/>
      <c r="EJ127" s="29"/>
      <c r="EK127" s="79">
        <f t="shared" si="17"/>
        <v>0</v>
      </c>
      <c r="EL127" s="80" t="e">
        <f>EK127*#REF!</f>
        <v>#REF!</v>
      </c>
      <c r="EM127" s="81" t="e">
        <f>EK127*#REF!</f>
        <v>#REF!</v>
      </c>
      <c r="EO127" s="25"/>
      <c r="EP127" s="26"/>
      <c r="EQ127" s="27"/>
      <c r="ER127" s="28"/>
      <c r="ES127" s="29"/>
      <c r="ET127" s="79">
        <f t="shared" si="18"/>
        <v>0</v>
      </c>
      <c r="EU127" s="80" t="e">
        <f>ET127*#REF!</f>
        <v>#REF!</v>
      </c>
      <c r="EV127" s="81" t="e">
        <f>ET127*#REF!</f>
        <v>#REF!</v>
      </c>
      <c r="EX127" s="25"/>
      <c r="EY127" s="26"/>
      <c r="EZ127" s="27"/>
      <c r="FA127" s="28"/>
      <c r="FB127" s="29"/>
      <c r="FC127" s="79">
        <f t="shared" si="19"/>
        <v>0</v>
      </c>
      <c r="FD127" s="80" t="e">
        <f>FC127*#REF!</f>
        <v>#REF!</v>
      </c>
      <c r="FE127" s="81" t="e">
        <f>FC127*#REF!</f>
        <v>#REF!</v>
      </c>
      <c r="FG127" s="25"/>
      <c r="FH127" s="26"/>
      <c r="FI127" s="27"/>
      <c r="FJ127" s="28"/>
      <c r="FK127" s="29"/>
      <c r="FL127" s="79">
        <f t="shared" si="20"/>
        <v>0</v>
      </c>
      <c r="FM127" s="80" t="e">
        <f>FL127*#REF!</f>
        <v>#REF!</v>
      </c>
      <c r="FN127" s="81" t="e">
        <f>FL127*#REF!</f>
        <v>#REF!</v>
      </c>
      <c r="FP127" s="25"/>
      <c r="FQ127" s="26"/>
      <c r="FR127" s="27"/>
      <c r="FS127" s="28"/>
      <c r="FT127" s="29"/>
      <c r="FU127" s="79">
        <f t="shared" si="21"/>
        <v>0</v>
      </c>
      <c r="FV127" s="80" t="e">
        <f>FU127*#REF!</f>
        <v>#REF!</v>
      </c>
      <c r="FW127" s="81" t="e">
        <f>FU127*#REF!</f>
        <v>#REF!</v>
      </c>
      <c r="FY127" s="25"/>
      <c r="FZ127" s="26"/>
      <c r="GA127" s="27"/>
      <c r="GB127" s="28"/>
      <c r="GC127" s="29"/>
      <c r="GD127" s="79">
        <f t="shared" si="22"/>
        <v>0</v>
      </c>
      <c r="GE127" s="80" t="e">
        <f>GD127*#REF!</f>
        <v>#REF!</v>
      </c>
      <c r="GF127" s="81" t="e">
        <f>GD127*#REF!</f>
        <v>#REF!</v>
      </c>
      <c r="GH127" s="25"/>
      <c r="GI127" s="26"/>
      <c r="GJ127" s="27"/>
      <c r="GK127" s="28"/>
      <c r="GL127" s="29"/>
      <c r="GM127" s="79">
        <f t="shared" si="23"/>
        <v>0</v>
      </c>
      <c r="GN127" s="80" t="e">
        <f>GM127*#REF!</f>
        <v>#REF!</v>
      </c>
      <c r="GO127" s="81" t="e">
        <f>GM127*#REF!</f>
        <v>#REF!</v>
      </c>
      <c r="GQ127" s="82">
        <f t="shared" si="25"/>
        <v>0</v>
      </c>
      <c r="GR127" s="83">
        <v>0</v>
      </c>
    </row>
    <row r="128" spans="2:200" ht="15">
      <c r="B128" s="22"/>
      <c r="C128" s="23"/>
      <c r="D128" s="24" t="str">
        <f>IF(C128="","",_xlfn.XLOOKUP(C128,'[1]Control Sheet'!$L$5:$L$104,'[1]Control Sheet'!$M$5:$M$104,"",0))</f>
        <v/>
      </c>
      <c r="E128" s="24" t="str">
        <f>IF(B128="","",_xlfn.XLOOKUP(B128,'[1]Control Sheet'!$D$5:$D$64,'[1]Control Sheet'!$F$5:$F$64,"",0))</f>
        <v/>
      </c>
      <c r="F128" s="24" t="str">
        <f>IF(B128="","",_xlfn.XLOOKUP(B128,'[1]Control Sheet'!$D$5:$D$64,'[1]Control Sheet'!$E$5:$E$64,"",0))</f>
        <v/>
      </c>
      <c r="I128" s="25"/>
      <c r="J128" s="26"/>
      <c r="K128" s="27"/>
      <c r="L128" s="28"/>
      <c r="M128" s="29"/>
      <c r="P128" s="25"/>
      <c r="Q128" s="26"/>
      <c r="R128" s="27"/>
      <c r="S128" s="28"/>
      <c r="T128" s="29"/>
      <c r="V128" s="25"/>
      <c r="W128" s="26"/>
      <c r="X128" s="27"/>
      <c r="Y128" s="28"/>
      <c r="Z128" s="29"/>
      <c r="AB128" s="25"/>
      <c r="AC128" s="26"/>
      <c r="AD128" s="27"/>
      <c r="AE128" s="28"/>
      <c r="AF128" s="29"/>
      <c r="AH128" s="25"/>
      <c r="AI128" s="26"/>
      <c r="AJ128" s="27"/>
      <c r="AK128" s="28"/>
      <c r="AL128" s="29"/>
      <c r="AN128" s="25"/>
      <c r="AO128" s="26"/>
      <c r="AP128" s="27"/>
      <c r="AQ128" s="28"/>
      <c r="AR128" s="29"/>
      <c r="AT128" s="25"/>
      <c r="AU128" s="26"/>
      <c r="AV128" s="27"/>
      <c r="AW128" s="28"/>
      <c r="AX128" s="29"/>
      <c r="AZ128" s="25"/>
      <c r="BA128" s="26"/>
      <c r="BB128" s="27"/>
      <c r="BC128" s="28"/>
      <c r="BD128" s="29"/>
      <c r="BF128" s="25"/>
      <c r="BG128" s="26"/>
      <c r="BH128" s="27"/>
      <c r="BI128" s="28"/>
      <c r="BJ128" s="29"/>
      <c r="BL128" s="25"/>
      <c r="BM128" s="26"/>
      <c r="BN128" s="27"/>
      <c r="BO128" s="28"/>
      <c r="BP128" s="29"/>
      <c r="BR128" s="25"/>
      <c r="BS128" s="26"/>
      <c r="BT128" s="27"/>
      <c r="BU128" s="28"/>
      <c r="BV128" s="29"/>
      <c r="BX128" s="25"/>
      <c r="BY128" s="26"/>
      <c r="BZ128" s="27"/>
      <c r="CA128" s="28"/>
      <c r="CB128" s="29"/>
      <c r="CD128" s="25"/>
      <c r="CE128" s="26"/>
      <c r="CF128" s="27"/>
      <c r="CG128" s="28"/>
      <c r="CH128" s="29"/>
      <c r="CJ128" s="25"/>
      <c r="CK128" s="26"/>
      <c r="CL128" s="27"/>
      <c r="CM128" s="28"/>
      <c r="CN128" s="29"/>
      <c r="CP128" s="25"/>
      <c r="CQ128" s="26"/>
      <c r="CR128" s="27"/>
      <c r="CS128" s="28"/>
      <c r="CT128" s="29"/>
      <c r="CV128" s="25"/>
      <c r="CW128" s="26"/>
      <c r="CX128" s="27"/>
      <c r="CY128" s="28"/>
      <c r="CZ128" s="29"/>
      <c r="DA128" s="79">
        <f t="shared" si="13"/>
        <v>0</v>
      </c>
      <c r="DB128" s="80" t="e">
        <f>DA128*#REF!</f>
        <v>#REF!</v>
      </c>
      <c r="DC128" s="81" t="e">
        <f>DA128*#REF!</f>
        <v>#REF!</v>
      </c>
      <c r="DE128" s="25"/>
      <c r="DF128" s="26"/>
      <c r="DG128" s="27"/>
      <c r="DH128" s="28"/>
      <c r="DI128" s="29"/>
      <c r="DJ128" s="79">
        <f t="shared" si="14"/>
        <v>0</v>
      </c>
      <c r="DK128" s="80" t="e">
        <f>DJ128*#REF!</f>
        <v>#REF!</v>
      </c>
      <c r="DL128" s="81" t="e">
        <f>DJ128*#REF!</f>
        <v>#REF!</v>
      </c>
      <c r="DN128" s="25"/>
      <c r="DO128" s="26"/>
      <c r="DP128" s="27"/>
      <c r="DQ128" s="28"/>
      <c r="DR128" s="29"/>
      <c r="DS128" s="79">
        <f t="shared" si="15"/>
        <v>0</v>
      </c>
      <c r="DT128" s="80" t="e">
        <f>DS128*#REF!</f>
        <v>#REF!</v>
      </c>
      <c r="DU128" s="81" t="e">
        <f>DS128*#REF!</f>
        <v>#REF!</v>
      </c>
      <c r="DW128" s="25"/>
      <c r="DX128" s="26"/>
      <c r="DY128" s="27"/>
      <c r="DZ128" s="28"/>
      <c r="EA128" s="29"/>
      <c r="EB128" s="79">
        <f t="shared" si="16"/>
        <v>0</v>
      </c>
      <c r="EC128" s="80" t="e">
        <f>EB128*#REF!</f>
        <v>#REF!</v>
      </c>
      <c r="ED128" s="81" t="e">
        <f>EB128*#REF!</f>
        <v>#REF!</v>
      </c>
      <c r="EF128" s="25"/>
      <c r="EG128" s="26"/>
      <c r="EH128" s="27"/>
      <c r="EI128" s="28"/>
      <c r="EJ128" s="29"/>
      <c r="EK128" s="79">
        <f t="shared" si="17"/>
        <v>0</v>
      </c>
      <c r="EL128" s="80" t="e">
        <f>EK128*#REF!</f>
        <v>#REF!</v>
      </c>
      <c r="EM128" s="81" t="e">
        <f>EK128*#REF!</f>
        <v>#REF!</v>
      </c>
      <c r="EO128" s="25"/>
      <c r="EP128" s="26"/>
      <c r="EQ128" s="27"/>
      <c r="ER128" s="28"/>
      <c r="ES128" s="29"/>
      <c r="ET128" s="79">
        <f t="shared" si="18"/>
        <v>0</v>
      </c>
      <c r="EU128" s="80" t="e">
        <f>ET128*#REF!</f>
        <v>#REF!</v>
      </c>
      <c r="EV128" s="81" t="e">
        <f>ET128*#REF!</f>
        <v>#REF!</v>
      </c>
      <c r="EX128" s="25"/>
      <c r="EY128" s="26"/>
      <c r="EZ128" s="27"/>
      <c r="FA128" s="28"/>
      <c r="FB128" s="29"/>
      <c r="FC128" s="79">
        <f t="shared" si="19"/>
        <v>0</v>
      </c>
      <c r="FD128" s="80" t="e">
        <f>FC128*#REF!</f>
        <v>#REF!</v>
      </c>
      <c r="FE128" s="81" t="e">
        <f>FC128*#REF!</f>
        <v>#REF!</v>
      </c>
      <c r="FG128" s="25"/>
      <c r="FH128" s="26"/>
      <c r="FI128" s="27"/>
      <c r="FJ128" s="28"/>
      <c r="FK128" s="29"/>
      <c r="FL128" s="79">
        <f t="shared" si="20"/>
        <v>0</v>
      </c>
      <c r="FM128" s="80" t="e">
        <f>FL128*#REF!</f>
        <v>#REF!</v>
      </c>
      <c r="FN128" s="81" t="e">
        <f>FL128*#REF!</f>
        <v>#REF!</v>
      </c>
      <c r="FP128" s="25"/>
      <c r="FQ128" s="26"/>
      <c r="FR128" s="27"/>
      <c r="FS128" s="28"/>
      <c r="FT128" s="29"/>
      <c r="FU128" s="79">
        <f t="shared" si="21"/>
        <v>0</v>
      </c>
      <c r="FV128" s="80" t="e">
        <f>FU128*#REF!</f>
        <v>#REF!</v>
      </c>
      <c r="FW128" s="81" t="e">
        <f>FU128*#REF!</f>
        <v>#REF!</v>
      </c>
      <c r="FY128" s="25"/>
      <c r="FZ128" s="26"/>
      <c r="GA128" s="27"/>
      <c r="GB128" s="28"/>
      <c r="GC128" s="29"/>
      <c r="GD128" s="79">
        <f t="shared" si="22"/>
        <v>0</v>
      </c>
      <c r="GE128" s="80" t="e">
        <f>GD128*#REF!</f>
        <v>#REF!</v>
      </c>
      <c r="GF128" s="81" t="e">
        <f>GD128*#REF!</f>
        <v>#REF!</v>
      </c>
      <c r="GH128" s="25"/>
      <c r="GI128" s="26"/>
      <c r="GJ128" s="27"/>
      <c r="GK128" s="28"/>
      <c r="GL128" s="29"/>
      <c r="GM128" s="79">
        <f t="shared" si="23"/>
        <v>0</v>
      </c>
      <c r="GN128" s="80" t="e">
        <f>GM128*#REF!</f>
        <v>#REF!</v>
      </c>
      <c r="GO128" s="81" t="e">
        <f>GM128*#REF!</f>
        <v>#REF!</v>
      </c>
      <c r="GQ128" s="82">
        <f t="shared" si="25"/>
        <v>0</v>
      </c>
      <c r="GR128" s="83">
        <v>0</v>
      </c>
    </row>
    <row r="129" spans="2:201" ht="15">
      <c r="B129" s="22"/>
      <c r="C129" s="23"/>
      <c r="D129" s="24" t="str">
        <f>IF(C129="","",_xlfn.XLOOKUP(C129,'[1]Control Sheet'!$L$5:$L$104,'[1]Control Sheet'!$M$5:$M$104,"",0))</f>
        <v/>
      </c>
      <c r="E129" s="24" t="str">
        <f>IF(B129="","",_xlfn.XLOOKUP(B129,'[1]Control Sheet'!$D$5:$D$64,'[1]Control Sheet'!$F$5:$F$64,"",0))</f>
        <v/>
      </c>
      <c r="F129" s="24" t="str">
        <f>IF(B129="","",_xlfn.XLOOKUP(B129,'[1]Control Sheet'!$D$5:$D$64,'[1]Control Sheet'!$E$5:$E$64,"",0))</f>
        <v/>
      </c>
      <c r="I129" s="25"/>
      <c r="J129" s="26"/>
      <c r="K129" s="27"/>
      <c r="L129" s="28"/>
      <c r="M129" s="29"/>
      <c r="P129" s="25"/>
      <c r="Q129" s="26"/>
      <c r="R129" s="27"/>
      <c r="S129" s="28"/>
      <c r="T129" s="29"/>
      <c r="V129" s="25"/>
      <c r="W129" s="26"/>
      <c r="X129" s="27"/>
      <c r="Y129" s="28"/>
      <c r="Z129" s="29"/>
      <c r="AB129" s="25"/>
      <c r="AC129" s="26"/>
      <c r="AD129" s="27"/>
      <c r="AE129" s="28"/>
      <c r="AF129" s="29"/>
      <c r="AH129" s="25"/>
      <c r="AI129" s="26"/>
      <c r="AJ129" s="27"/>
      <c r="AK129" s="28"/>
      <c r="AL129" s="29"/>
      <c r="AN129" s="25"/>
      <c r="AO129" s="26"/>
      <c r="AP129" s="27"/>
      <c r="AQ129" s="28"/>
      <c r="AR129" s="29"/>
      <c r="AT129" s="25"/>
      <c r="AU129" s="26"/>
      <c r="AV129" s="27"/>
      <c r="AW129" s="28"/>
      <c r="AX129" s="29"/>
      <c r="AZ129" s="25"/>
      <c r="BA129" s="26"/>
      <c r="BB129" s="27"/>
      <c r="BC129" s="28"/>
      <c r="BD129" s="29"/>
      <c r="BF129" s="25"/>
      <c r="BG129" s="26"/>
      <c r="BH129" s="27"/>
      <c r="BI129" s="28"/>
      <c r="BJ129" s="29"/>
      <c r="BL129" s="25"/>
      <c r="BM129" s="26"/>
      <c r="BN129" s="27"/>
      <c r="BO129" s="28"/>
      <c r="BP129" s="29"/>
      <c r="BR129" s="25"/>
      <c r="BS129" s="26"/>
      <c r="BT129" s="27"/>
      <c r="BU129" s="28"/>
      <c r="BV129" s="29"/>
      <c r="BX129" s="25"/>
      <c r="BY129" s="26"/>
      <c r="BZ129" s="27"/>
      <c r="CA129" s="28"/>
      <c r="CB129" s="29"/>
      <c r="CD129" s="25"/>
      <c r="CE129" s="26"/>
      <c r="CF129" s="27"/>
      <c r="CG129" s="28"/>
      <c r="CH129" s="29"/>
      <c r="CJ129" s="25"/>
      <c r="CK129" s="26"/>
      <c r="CL129" s="27"/>
      <c r="CM129" s="28"/>
      <c r="CN129" s="29"/>
      <c r="CP129" s="25"/>
      <c r="CQ129" s="26"/>
      <c r="CR129" s="27"/>
      <c r="CS129" s="28"/>
      <c r="CT129" s="29"/>
      <c r="CV129" s="25"/>
      <c r="CW129" s="26"/>
      <c r="CX129" s="27"/>
      <c r="CY129" s="28"/>
      <c r="CZ129" s="29"/>
      <c r="DA129" s="79">
        <f t="shared" si="13"/>
        <v>0</v>
      </c>
      <c r="DB129" s="80" t="e">
        <f>DA129*#REF!</f>
        <v>#REF!</v>
      </c>
      <c r="DC129" s="81" t="e">
        <f>DA129*#REF!</f>
        <v>#REF!</v>
      </c>
      <c r="DE129" s="25"/>
      <c r="DF129" s="26"/>
      <c r="DG129" s="27"/>
      <c r="DH129" s="28"/>
      <c r="DI129" s="29"/>
      <c r="DJ129" s="79">
        <f t="shared" si="14"/>
        <v>0</v>
      </c>
      <c r="DK129" s="80" t="e">
        <f>DJ129*#REF!</f>
        <v>#REF!</v>
      </c>
      <c r="DL129" s="81" t="e">
        <f>DJ129*#REF!</f>
        <v>#REF!</v>
      </c>
      <c r="DN129" s="25"/>
      <c r="DO129" s="26"/>
      <c r="DP129" s="27"/>
      <c r="DQ129" s="28"/>
      <c r="DR129" s="29"/>
      <c r="DS129" s="79">
        <f t="shared" si="15"/>
        <v>0</v>
      </c>
      <c r="DT129" s="80" t="e">
        <f>DS129*#REF!</f>
        <v>#REF!</v>
      </c>
      <c r="DU129" s="81" t="e">
        <f>DS129*#REF!</f>
        <v>#REF!</v>
      </c>
      <c r="DW129" s="25"/>
      <c r="DX129" s="26"/>
      <c r="DY129" s="27"/>
      <c r="DZ129" s="28"/>
      <c r="EA129" s="29"/>
      <c r="EB129" s="79">
        <f t="shared" si="16"/>
        <v>0</v>
      </c>
      <c r="EC129" s="80" t="e">
        <f>EB129*#REF!</f>
        <v>#REF!</v>
      </c>
      <c r="ED129" s="81" t="e">
        <f>EB129*#REF!</f>
        <v>#REF!</v>
      </c>
      <c r="EF129" s="25"/>
      <c r="EG129" s="26"/>
      <c r="EH129" s="27"/>
      <c r="EI129" s="28"/>
      <c r="EJ129" s="29"/>
      <c r="EK129" s="79">
        <f t="shared" si="17"/>
        <v>0</v>
      </c>
      <c r="EL129" s="80" t="e">
        <f>EK129*#REF!</f>
        <v>#REF!</v>
      </c>
      <c r="EM129" s="81" t="e">
        <f>EK129*#REF!</f>
        <v>#REF!</v>
      </c>
      <c r="EO129" s="25"/>
      <c r="EP129" s="26"/>
      <c r="EQ129" s="27"/>
      <c r="ER129" s="28"/>
      <c r="ES129" s="29"/>
      <c r="ET129" s="79">
        <f t="shared" si="18"/>
        <v>0</v>
      </c>
      <c r="EU129" s="80" t="e">
        <f>ET129*#REF!</f>
        <v>#REF!</v>
      </c>
      <c r="EV129" s="81" t="e">
        <f>ET129*#REF!</f>
        <v>#REF!</v>
      </c>
      <c r="EX129" s="25"/>
      <c r="EY129" s="26"/>
      <c r="EZ129" s="27"/>
      <c r="FA129" s="28"/>
      <c r="FB129" s="29"/>
      <c r="FC129" s="79">
        <f t="shared" si="19"/>
        <v>0</v>
      </c>
      <c r="FD129" s="80" t="e">
        <f>FC129*#REF!</f>
        <v>#REF!</v>
      </c>
      <c r="FE129" s="81" t="e">
        <f>FC129*#REF!</f>
        <v>#REF!</v>
      </c>
      <c r="FG129" s="25"/>
      <c r="FH129" s="26"/>
      <c r="FI129" s="27"/>
      <c r="FJ129" s="28"/>
      <c r="FK129" s="29"/>
      <c r="FL129" s="79">
        <f t="shared" si="20"/>
        <v>0</v>
      </c>
      <c r="FM129" s="80" t="e">
        <f>FL129*#REF!</f>
        <v>#REF!</v>
      </c>
      <c r="FN129" s="81" t="e">
        <f>FL129*#REF!</f>
        <v>#REF!</v>
      </c>
      <c r="FP129" s="25"/>
      <c r="FQ129" s="26"/>
      <c r="FR129" s="27"/>
      <c r="FS129" s="28"/>
      <c r="FT129" s="29"/>
      <c r="FU129" s="79">
        <f t="shared" si="21"/>
        <v>0</v>
      </c>
      <c r="FV129" s="80" t="e">
        <f>FU129*#REF!</f>
        <v>#REF!</v>
      </c>
      <c r="FW129" s="81" t="e">
        <f>FU129*#REF!</f>
        <v>#REF!</v>
      </c>
      <c r="FY129" s="25"/>
      <c r="FZ129" s="26"/>
      <c r="GA129" s="27"/>
      <c r="GB129" s="28"/>
      <c r="GC129" s="29"/>
      <c r="GD129" s="79">
        <f t="shared" si="22"/>
        <v>0</v>
      </c>
      <c r="GE129" s="80" t="e">
        <f>GD129*#REF!</f>
        <v>#REF!</v>
      </c>
      <c r="GF129" s="81" t="e">
        <f>GD129*#REF!</f>
        <v>#REF!</v>
      </c>
      <c r="GH129" s="25"/>
      <c r="GI129" s="26"/>
      <c r="GJ129" s="27"/>
      <c r="GK129" s="28"/>
      <c r="GL129" s="29"/>
      <c r="GM129" s="79">
        <f t="shared" si="23"/>
        <v>0</v>
      </c>
      <c r="GN129" s="80" t="e">
        <f>GM129*#REF!</f>
        <v>#REF!</v>
      </c>
      <c r="GO129" s="81" t="e">
        <f>GM129*#REF!</f>
        <v>#REF!</v>
      </c>
      <c r="GQ129" s="82">
        <f t="shared" si="25"/>
        <v>0</v>
      </c>
      <c r="GR129" s="83">
        <v>0</v>
      </c>
    </row>
    <row r="130" spans="2:201" ht="15">
      <c r="B130" s="22"/>
      <c r="C130" s="23"/>
      <c r="D130" s="24" t="str">
        <f>IF(C130="","",_xlfn.XLOOKUP(C130,'[1]Control Sheet'!$L$5:$L$104,'[1]Control Sheet'!$M$5:$M$104,"",0))</f>
        <v/>
      </c>
      <c r="E130" s="24" t="str">
        <f>IF(B130="","",_xlfn.XLOOKUP(B130,'[1]Control Sheet'!$D$5:$D$64,'[1]Control Sheet'!$F$5:$F$64,"",0))</f>
        <v/>
      </c>
      <c r="F130" s="24" t="str">
        <f>IF(B130="","",_xlfn.XLOOKUP(B130,'[1]Control Sheet'!$D$5:$D$64,'[1]Control Sheet'!$E$5:$E$64,"",0))</f>
        <v/>
      </c>
      <c r="I130" s="25"/>
      <c r="J130" s="26"/>
      <c r="K130" s="27"/>
      <c r="L130" s="28"/>
      <c r="M130" s="29"/>
      <c r="P130" s="25"/>
      <c r="Q130" s="26"/>
      <c r="R130" s="27"/>
      <c r="S130" s="28"/>
      <c r="T130" s="29"/>
      <c r="V130" s="25"/>
      <c r="W130" s="26"/>
      <c r="X130" s="27"/>
      <c r="Y130" s="28"/>
      <c r="Z130" s="29"/>
      <c r="AB130" s="25"/>
      <c r="AC130" s="26"/>
      <c r="AD130" s="27"/>
      <c r="AE130" s="28"/>
      <c r="AF130" s="29"/>
      <c r="AH130" s="25"/>
      <c r="AI130" s="26"/>
      <c r="AJ130" s="27"/>
      <c r="AK130" s="28"/>
      <c r="AL130" s="29"/>
      <c r="AN130" s="25"/>
      <c r="AO130" s="26"/>
      <c r="AP130" s="27"/>
      <c r="AQ130" s="28"/>
      <c r="AR130" s="29"/>
      <c r="AT130" s="25"/>
      <c r="AU130" s="26"/>
      <c r="AV130" s="27"/>
      <c r="AW130" s="28"/>
      <c r="AX130" s="29"/>
      <c r="AZ130" s="25"/>
      <c r="BA130" s="26"/>
      <c r="BB130" s="27"/>
      <c r="BC130" s="28"/>
      <c r="BD130" s="29"/>
      <c r="BF130" s="25"/>
      <c r="BG130" s="26"/>
      <c r="BH130" s="27"/>
      <c r="BI130" s="28"/>
      <c r="BJ130" s="29"/>
      <c r="BL130" s="25"/>
      <c r="BM130" s="26"/>
      <c r="BN130" s="27"/>
      <c r="BO130" s="28"/>
      <c r="BP130" s="29"/>
      <c r="BR130" s="25"/>
      <c r="BS130" s="26"/>
      <c r="BT130" s="27"/>
      <c r="BU130" s="28"/>
      <c r="BV130" s="29"/>
      <c r="BX130" s="25"/>
      <c r="BY130" s="26"/>
      <c r="BZ130" s="27"/>
      <c r="CA130" s="28"/>
      <c r="CB130" s="29"/>
      <c r="CD130" s="25"/>
      <c r="CE130" s="26"/>
      <c r="CF130" s="27"/>
      <c r="CG130" s="28"/>
      <c r="CH130" s="29"/>
      <c r="CJ130" s="25"/>
      <c r="CK130" s="26"/>
      <c r="CL130" s="27"/>
      <c r="CM130" s="28"/>
      <c r="CN130" s="29"/>
      <c r="CP130" s="25"/>
      <c r="CQ130" s="26"/>
      <c r="CR130" s="27"/>
      <c r="CS130" s="28"/>
      <c r="CT130" s="29"/>
      <c r="CV130" s="25"/>
      <c r="CW130" s="26"/>
      <c r="CX130" s="27"/>
      <c r="CY130" s="28"/>
      <c r="CZ130" s="29"/>
      <c r="DA130" s="79">
        <f t="shared" si="13"/>
        <v>0</v>
      </c>
      <c r="DB130" s="80" t="e">
        <f>DA130*#REF!</f>
        <v>#REF!</v>
      </c>
      <c r="DC130" s="81" t="e">
        <f>DA130*#REF!</f>
        <v>#REF!</v>
      </c>
      <c r="DE130" s="25"/>
      <c r="DF130" s="26"/>
      <c r="DG130" s="27"/>
      <c r="DH130" s="28"/>
      <c r="DI130" s="29"/>
      <c r="DJ130" s="79">
        <f t="shared" si="14"/>
        <v>0</v>
      </c>
      <c r="DK130" s="80" t="e">
        <f>DJ130*#REF!</f>
        <v>#REF!</v>
      </c>
      <c r="DL130" s="81" t="e">
        <f>DJ130*#REF!</f>
        <v>#REF!</v>
      </c>
      <c r="DN130" s="25"/>
      <c r="DO130" s="26"/>
      <c r="DP130" s="27"/>
      <c r="DQ130" s="28"/>
      <c r="DR130" s="29"/>
      <c r="DS130" s="79">
        <f t="shared" si="15"/>
        <v>0</v>
      </c>
      <c r="DT130" s="80" t="e">
        <f>DS130*#REF!</f>
        <v>#REF!</v>
      </c>
      <c r="DU130" s="81" t="e">
        <f>DS130*#REF!</f>
        <v>#REF!</v>
      </c>
      <c r="DW130" s="25"/>
      <c r="DX130" s="26"/>
      <c r="DY130" s="27"/>
      <c r="DZ130" s="28"/>
      <c r="EA130" s="29"/>
      <c r="EB130" s="79">
        <f t="shared" si="16"/>
        <v>0</v>
      </c>
      <c r="EC130" s="80" t="e">
        <f>EB130*#REF!</f>
        <v>#REF!</v>
      </c>
      <c r="ED130" s="81" t="e">
        <f>EB130*#REF!</f>
        <v>#REF!</v>
      </c>
      <c r="EF130" s="25"/>
      <c r="EG130" s="26"/>
      <c r="EH130" s="27"/>
      <c r="EI130" s="28"/>
      <c r="EJ130" s="29"/>
      <c r="EK130" s="79">
        <f t="shared" si="17"/>
        <v>0</v>
      </c>
      <c r="EL130" s="80" t="e">
        <f>EK130*#REF!</f>
        <v>#REF!</v>
      </c>
      <c r="EM130" s="81" t="e">
        <f>EK130*#REF!</f>
        <v>#REF!</v>
      </c>
      <c r="EO130" s="25"/>
      <c r="EP130" s="26"/>
      <c r="EQ130" s="27"/>
      <c r="ER130" s="28"/>
      <c r="ES130" s="29"/>
      <c r="ET130" s="79">
        <f t="shared" si="18"/>
        <v>0</v>
      </c>
      <c r="EU130" s="80" t="e">
        <f>ET130*#REF!</f>
        <v>#REF!</v>
      </c>
      <c r="EV130" s="81" t="e">
        <f>ET130*#REF!</f>
        <v>#REF!</v>
      </c>
      <c r="EX130" s="25"/>
      <c r="EY130" s="26"/>
      <c r="EZ130" s="27"/>
      <c r="FA130" s="28"/>
      <c r="FB130" s="29"/>
      <c r="FC130" s="79">
        <f t="shared" si="19"/>
        <v>0</v>
      </c>
      <c r="FD130" s="80" t="e">
        <f>FC130*#REF!</f>
        <v>#REF!</v>
      </c>
      <c r="FE130" s="81" t="e">
        <f>FC130*#REF!</f>
        <v>#REF!</v>
      </c>
      <c r="FG130" s="25"/>
      <c r="FH130" s="26"/>
      <c r="FI130" s="27"/>
      <c r="FJ130" s="28"/>
      <c r="FK130" s="29"/>
      <c r="FL130" s="79">
        <f t="shared" si="20"/>
        <v>0</v>
      </c>
      <c r="FM130" s="80" t="e">
        <f>FL130*#REF!</f>
        <v>#REF!</v>
      </c>
      <c r="FN130" s="81" t="e">
        <f>FL130*#REF!</f>
        <v>#REF!</v>
      </c>
      <c r="FP130" s="25"/>
      <c r="FQ130" s="26"/>
      <c r="FR130" s="27"/>
      <c r="FS130" s="28"/>
      <c r="FT130" s="29"/>
      <c r="FU130" s="79">
        <f t="shared" si="21"/>
        <v>0</v>
      </c>
      <c r="FV130" s="80" t="e">
        <f>FU130*#REF!</f>
        <v>#REF!</v>
      </c>
      <c r="FW130" s="81" t="e">
        <f>FU130*#REF!</f>
        <v>#REF!</v>
      </c>
      <c r="FY130" s="25"/>
      <c r="FZ130" s="26"/>
      <c r="GA130" s="27"/>
      <c r="GB130" s="28"/>
      <c r="GC130" s="29"/>
      <c r="GD130" s="79">
        <f t="shared" si="22"/>
        <v>0</v>
      </c>
      <c r="GE130" s="80" t="e">
        <f>GD130*#REF!</f>
        <v>#REF!</v>
      </c>
      <c r="GF130" s="81" t="e">
        <f>GD130*#REF!</f>
        <v>#REF!</v>
      </c>
      <c r="GH130" s="25"/>
      <c r="GI130" s="26"/>
      <c r="GJ130" s="27"/>
      <c r="GK130" s="28"/>
      <c r="GL130" s="29"/>
      <c r="GM130" s="79">
        <f t="shared" si="23"/>
        <v>0</v>
      </c>
      <c r="GN130" s="80" t="e">
        <f>GM130*#REF!</f>
        <v>#REF!</v>
      </c>
      <c r="GO130" s="81" t="e">
        <f>GM130*#REF!</f>
        <v>#REF!</v>
      </c>
      <c r="GQ130" s="82">
        <f t="shared" si="25"/>
        <v>0</v>
      </c>
      <c r="GR130" s="83">
        <v>0</v>
      </c>
    </row>
    <row r="131" spans="2:201" ht="15">
      <c r="B131" s="22"/>
      <c r="C131" s="23"/>
      <c r="D131" s="24" t="str">
        <f>IF(C131="","",_xlfn.XLOOKUP(C131,'[1]Control Sheet'!$L$5:$L$104,'[1]Control Sheet'!$M$5:$M$104,"",0))</f>
        <v/>
      </c>
      <c r="E131" s="24" t="str">
        <f>IF(B131="","",_xlfn.XLOOKUP(B131,'[1]Control Sheet'!$D$5:$D$64,'[1]Control Sheet'!$F$5:$F$64,"",0))</f>
        <v/>
      </c>
      <c r="F131" s="24" t="str">
        <f>IF(B131="","",_xlfn.XLOOKUP(B131,'[1]Control Sheet'!$D$5:$D$64,'[1]Control Sheet'!$E$5:$E$64,"",0))</f>
        <v/>
      </c>
      <c r="I131" s="25"/>
      <c r="J131" s="26"/>
      <c r="K131" s="27"/>
      <c r="L131" s="28"/>
      <c r="M131" s="29"/>
      <c r="P131" s="25"/>
      <c r="Q131" s="26"/>
      <c r="R131" s="27"/>
      <c r="S131" s="28"/>
      <c r="T131" s="29"/>
      <c r="V131" s="25"/>
      <c r="W131" s="26"/>
      <c r="X131" s="27"/>
      <c r="Y131" s="28"/>
      <c r="Z131" s="29"/>
      <c r="AB131" s="25"/>
      <c r="AC131" s="26"/>
      <c r="AD131" s="27"/>
      <c r="AE131" s="28"/>
      <c r="AF131" s="29"/>
      <c r="AH131" s="25"/>
      <c r="AI131" s="26"/>
      <c r="AJ131" s="27"/>
      <c r="AK131" s="28"/>
      <c r="AL131" s="29"/>
      <c r="AN131" s="25"/>
      <c r="AO131" s="26"/>
      <c r="AP131" s="27"/>
      <c r="AQ131" s="28"/>
      <c r="AR131" s="29"/>
      <c r="AT131" s="25"/>
      <c r="AU131" s="26"/>
      <c r="AV131" s="27"/>
      <c r="AW131" s="28"/>
      <c r="AX131" s="29"/>
      <c r="AZ131" s="25"/>
      <c r="BA131" s="26"/>
      <c r="BB131" s="27"/>
      <c r="BC131" s="28"/>
      <c r="BD131" s="29"/>
      <c r="BF131" s="25"/>
      <c r="BG131" s="26"/>
      <c r="BH131" s="27"/>
      <c r="BI131" s="28"/>
      <c r="BJ131" s="29"/>
      <c r="BL131" s="25"/>
      <c r="BM131" s="26"/>
      <c r="BN131" s="27"/>
      <c r="BO131" s="28"/>
      <c r="BP131" s="29"/>
      <c r="BR131" s="25"/>
      <c r="BS131" s="26"/>
      <c r="BT131" s="27"/>
      <c r="BU131" s="28"/>
      <c r="BV131" s="29"/>
      <c r="BX131" s="25"/>
      <c r="BY131" s="26"/>
      <c r="BZ131" s="27"/>
      <c r="CA131" s="28"/>
      <c r="CB131" s="29"/>
      <c r="CD131" s="25"/>
      <c r="CE131" s="26"/>
      <c r="CF131" s="27"/>
      <c r="CG131" s="28"/>
      <c r="CH131" s="29"/>
      <c r="CJ131" s="25"/>
      <c r="CK131" s="26"/>
      <c r="CL131" s="27"/>
      <c r="CM131" s="28"/>
      <c r="CN131" s="29"/>
      <c r="CP131" s="25"/>
      <c r="CQ131" s="26"/>
      <c r="CR131" s="27"/>
      <c r="CS131" s="28"/>
      <c r="CT131" s="29"/>
      <c r="CV131" s="25"/>
      <c r="CW131" s="26"/>
      <c r="CX131" s="27"/>
      <c r="CY131" s="28"/>
      <c r="CZ131" s="29"/>
      <c r="DA131" s="79">
        <f t="shared" si="13"/>
        <v>0</v>
      </c>
      <c r="DB131" s="80" t="e">
        <f>DA131*#REF!</f>
        <v>#REF!</v>
      </c>
      <c r="DC131" s="81" t="e">
        <f>DA131*#REF!</f>
        <v>#REF!</v>
      </c>
      <c r="DE131" s="25"/>
      <c r="DF131" s="26"/>
      <c r="DG131" s="27"/>
      <c r="DH131" s="28"/>
      <c r="DI131" s="29"/>
      <c r="DJ131" s="79">
        <f t="shared" si="14"/>
        <v>0</v>
      </c>
      <c r="DK131" s="80" t="e">
        <f>DJ131*#REF!</f>
        <v>#REF!</v>
      </c>
      <c r="DL131" s="81" t="e">
        <f>DJ131*#REF!</f>
        <v>#REF!</v>
      </c>
      <c r="DN131" s="25"/>
      <c r="DO131" s="26"/>
      <c r="DP131" s="27"/>
      <c r="DQ131" s="28"/>
      <c r="DR131" s="29"/>
      <c r="DS131" s="79">
        <f t="shared" si="15"/>
        <v>0</v>
      </c>
      <c r="DT131" s="80" t="e">
        <f>DS131*#REF!</f>
        <v>#REF!</v>
      </c>
      <c r="DU131" s="81" t="e">
        <f>DS131*#REF!</f>
        <v>#REF!</v>
      </c>
      <c r="DW131" s="25"/>
      <c r="DX131" s="26"/>
      <c r="DY131" s="27"/>
      <c r="DZ131" s="28"/>
      <c r="EA131" s="29"/>
      <c r="EB131" s="79">
        <f t="shared" si="16"/>
        <v>0</v>
      </c>
      <c r="EC131" s="80" t="e">
        <f>EB131*#REF!</f>
        <v>#REF!</v>
      </c>
      <c r="ED131" s="81" t="e">
        <f>EB131*#REF!</f>
        <v>#REF!</v>
      </c>
      <c r="EF131" s="25"/>
      <c r="EG131" s="26"/>
      <c r="EH131" s="27"/>
      <c r="EI131" s="28"/>
      <c r="EJ131" s="29"/>
      <c r="EK131" s="79">
        <f t="shared" si="17"/>
        <v>0</v>
      </c>
      <c r="EL131" s="80" t="e">
        <f>EK131*#REF!</f>
        <v>#REF!</v>
      </c>
      <c r="EM131" s="81" t="e">
        <f>EK131*#REF!</f>
        <v>#REF!</v>
      </c>
      <c r="EO131" s="25"/>
      <c r="EP131" s="26"/>
      <c r="EQ131" s="27"/>
      <c r="ER131" s="28"/>
      <c r="ES131" s="29"/>
      <c r="ET131" s="79">
        <f t="shared" si="18"/>
        <v>0</v>
      </c>
      <c r="EU131" s="80" t="e">
        <f>ET131*#REF!</f>
        <v>#REF!</v>
      </c>
      <c r="EV131" s="81" t="e">
        <f>ET131*#REF!</f>
        <v>#REF!</v>
      </c>
      <c r="EX131" s="25"/>
      <c r="EY131" s="26"/>
      <c r="EZ131" s="27"/>
      <c r="FA131" s="28"/>
      <c r="FB131" s="29"/>
      <c r="FC131" s="79">
        <f t="shared" si="19"/>
        <v>0</v>
      </c>
      <c r="FD131" s="80" t="e">
        <f>FC131*#REF!</f>
        <v>#REF!</v>
      </c>
      <c r="FE131" s="81" t="e">
        <f>FC131*#REF!</f>
        <v>#REF!</v>
      </c>
      <c r="FG131" s="25"/>
      <c r="FH131" s="26"/>
      <c r="FI131" s="27"/>
      <c r="FJ131" s="28"/>
      <c r="FK131" s="29"/>
      <c r="FL131" s="79">
        <f t="shared" si="20"/>
        <v>0</v>
      </c>
      <c r="FM131" s="80" t="e">
        <f>FL131*#REF!</f>
        <v>#REF!</v>
      </c>
      <c r="FN131" s="81" t="e">
        <f>FL131*#REF!</f>
        <v>#REF!</v>
      </c>
      <c r="FP131" s="25"/>
      <c r="FQ131" s="26"/>
      <c r="FR131" s="27"/>
      <c r="FS131" s="28"/>
      <c r="FT131" s="29"/>
      <c r="FU131" s="79">
        <f t="shared" si="21"/>
        <v>0</v>
      </c>
      <c r="FV131" s="80" t="e">
        <f>FU131*#REF!</f>
        <v>#REF!</v>
      </c>
      <c r="FW131" s="81" t="e">
        <f>FU131*#REF!</f>
        <v>#REF!</v>
      </c>
      <c r="FY131" s="25"/>
      <c r="FZ131" s="26"/>
      <c r="GA131" s="27"/>
      <c r="GB131" s="28"/>
      <c r="GC131" s="29"/>
      <c r="GD131" s="79">
        <f t="shared" si="22"/>
        <v>0</v>
      </c>
      <c r="GE131" s="80" t="e">
        <f>GD131*#REF!</f>
        <v>#REF!</v>
      </c>
      <c r="GF131" s="81" t="e">
        <f>GD131*#REF!</f>
        <v>#REF!</v>
      </c>
      <c r="GH131" s="25"/>
      <c r="GI131" s="26"/>
      <c r="GJ131" s="27"/>
      <c r="GK131" s="28"/>
      <c r="GL131" s="29"/>
      <c r="GM131" s="79">
        <f t="shared" si="23"/>
        <v>0</v>
      </c>
      <c r="GN131" s="80" t="e">
        <f>GM131*#REF!</f>
        <v>#REF!</v>
      </c>
      <c r="GO131" s="81" t="e">
        <f>GM131*#REF!</f>
        <v>#REF!</v>
      </c>
      <c r="GQ131" s="82">
        <f t="shared" si="25"/>
        <v>0</v>
      </c>
      <c r="GR131" s="83">
        <v>0</v>
      </c>
    </row>
    <row r="132" spans="2:201" ht="15">
      <c r="B132" s="22"/>
      <c r="C132" s="23"/>
      <c r="D132" s="24" t="str">
        <f>IF(C132="","",_xlfn.XLOOKUP(C132,'[1]Control Sheet'!$L$5:$L$104,'[1]Control Sheet'!$M$5:$M$104,"",0))</f>
        <v/>
      </c>
      <c r="E132" s="24" t="str">
        <f>IF(B132="","",_xlfn.XLOOKUP(B132,'[1]Control Sheet'!$D$5:$D$64,'[1]Control Sheet'!$F$5:$F$64,"",0))</f>
        <v/>
      </c>
      <c r="F132" s="24" t="str">
        <f>IF(B132="","",_xlfn.XLOOKUP(B132,'[1]Control Sheet'!$D$5:$D$64,'[1]Control Sheet'!$E$5:$E$64,"",0))</f>
        <v/>
      </c>
      <c r="I132" s="25"/>
      <c r="J132" s="26"/>
      <c r="K132" s="27"/>
      <c r="L132" s="28"/>
      <c r="M132" s="29"/>
      <c r="P132" s="25"/>
      <c r="Q132" s="26"/>
      <c r="R132" s="27"/>
      <c r="S132" s="28"/>
      <c r="T132" s="29"/>
      <c r="V132" s="25"/>
      <c r="W132" s="26"/>
      <c r="X132" s="27"/>
      <c r="Y132" s="28"/>
      <c r="Z132" s="29"/>
      <c r="AB132" s="25"/>
      <c r="AC132" s="26"/>
      <c r="AD132" s="27"/>
      <c r="AE132" s="28"/>
      <c r="AF132" s="29"/>
      <c r="AH132" s="25"/>
      <c r="AI132" s="26"/>
      <c r="AJ132" s="27"/>
      <c r="AK132" s="28"/>
      <c r="AL132" s="29"/>
      <c r="AN132" s="25"/>
      <c r="AO132" s="26"/>
      <c r="AP132" s="27"/>
      <c r="AQ132" s="28"/>
      <c r="AR132" s="29"/>
      <c r="AT132" s="25"/>
      <c r="AU132" s="26"/>
      <c r="AV132" s="27"/>
      <c r="AW132" s="28"/>
      <c r="AX132" s="29"/>
      <c r="AZ132" s="25"/>
      <c r="BA132" s="26"/>
      <c r="BB132" s="27"/>
      <c r="BC132" s="28"/>
      <c r="BD132" s="29"/>
      <c r="BF132" s="25"/>
      <c r="BG132" s="26"/>
      <c r="BH132" s="27"/>
      <c r="BI132" s="28"/>
      <c r="BJ132" s="29"/>
      <c r="BL132" s="25"/>
      <c r="BM132" s="26"/>
      <c r="BN132" s="27"/>
      <c r="BO132" s="28"/>
      <c r="BP132" s="29"/>
      <c r="BR132" s="25"/>
      <c r="BS132" s="26"/>
      <c r="BT132" s="27"/>
      <c r="BU132" s="28"/>
      <c r="BV132" s="29"/>
      <c r="BX132" s="25"/>
      <c r="BY132" s="26"/>
      <c r="BZ132" s="27"/>
      <c r="CA132" s="28"/>
      <c r="CB132" s="29"/>
      <c r="CD132" s="25"/>
      <c r="CE132" s="26"/>
      <c r="CF132" s="27"/>
      <c r="CG132" s="28"/>
      <c r="CH132" s="29"/>
      <c r="CJ132" s="25"/>
      <c r="CK132" s="26"/>
      <c r="CL132" s="27"/>
      <c r="CM132" s="28"/>
      <c r="CN132" s="29"/>
      <c r="CP132" s="25"/>
      <c r="CQ132" s="26"/>
      <c r="CR132" s="27"/>
      <c r="CS132" s="28"/>
      <c r="CT132" s="29"/>
      <c r="CV132" s="25"/>
      <c r="CW132" s="26"/>
      <c r="CX132" s="27"/>
      <c r="CY132" s="28"/>
      <c r="CZ132" s="29"/>
      <c r="DA132" s="79">
        <f t="shared" si="13"/>
        <v>0</v>
      </c>
      <c r="DB132" s="80" t="e">
        <f>DA132*#REF!</f>
        <v>#REF!</v>
      </c>
      <c r="DC132" s="81" t="e">
        <f>DA132*#REF!</f>
        <v>#REF!</v>
      </c>
      <c r="DE132" s="25"/>
      <c r="DF132" s="26"/>
      <c r="DG132" s="27"/>
      <c r="DH132" s="28"/>
      <c r="DI132" s="29"/>
      <c r="DJ132" s="79">
        <f t="shared" si="14"/>
        <v>0</v>
      </c>
      <c r="DK132" s="80" t="e">
        <f>DJ132*#REF!</f>
        <v>#REF!</v>
      </c>
      <c r="DL132" s="81" t="e">
        <f>DJ132*#REF!</f>
        <v>#REF!</v>
      </c>
      <c r="DN132" s="25"/>
      <c r="DO132" s="26"/>
      <c r="DP132" s="27"/>
      <c r="DQ132" s="28"/>
      <c r="DR132" s="29"/>
      <c r="DS132" s="79">
        <f t="shared" si="15"/>
        <v>0</v>
      </c>
      <c r="DT132" s="80" t="e">
        <f>DS132*#REF!</f>
        <v>#REF!</v>
      </c>
      <c r="DU132" s="81" t="e">
        <f>DS132*#REF!</f>
        <v>#REF!</v>
      </c>
      <c r="DW132" s="25"/>
      <c r="DX132" s="26"/>
      <c r="DY132" s="27"/>
      <c r="DZ132" s="28"/>
      <c r="EA132" s="29"/>
      <c r="EB132" s="79">
        <f t="shared" si="16"/>
        <v>0</v>
      </c>
      <c r="EC132" s="80" t="e">
        <f>EB132*#REF!</f>
        <v>#REF!</v>
      </c>
      <c r="ED132" s="81" t="e">
        <f>EB132*#REF!</f>
        <v>#REF!</v>
      </c>
      <c r="EF132" s="25"/>
      <c r="EG132" s="26"/>
      <c r="EH132" s="27"/>
      <c r="EI132" s="28"/>
      <c r="EJ132" s="29"/>
      <c r="EK132" s="79">
        <f t="shared" si="17"/>
        <v>0</v>
      </c>
      <c r="EL132" s="80" t="e">
        <f>EK132*#REF!</f>
        <v>#REF!</v>
      </c>
      <c r="EM132" s="81" t="e">
        <f>EK132*#REF!</f>
        <v>#REF!</v>
      </c>
      <c r="EO132" s="25"/>
      <c r="EP132" s="26"/>
      <c r="EQ132" s="27"/>
      <c r="ER132" s="28"/>
      <c r="ES132" s="29"/>
      <c r="ET132" s="79">
        <f t="shared" si="18"/>
        <v>0</v>
      </c>
      <c r="EU132" s="80" t="e">
        <f>ET132*#REF!</f>
        <v>#REF!</v>
      </c>
      <c r="EV132" s="81" t="e">
        <f>ET132*#REF!</f>
        <v>#REF!</v>
      </c>
      <c r="EX132" s="25"/>
      <c r="EY132" s="26"/>
      <c r="EZ132" s="27"/>
      <c r="FA132" s="28"/>
      <c r="FB132" s="29"/>
      <c r="FC132" s="79">
        <f t="shared" si="19"/>
        <v>0</v>
      </c>
      <c r="FD132" s="80" t="e">
        <f>FC132*#REF!</f>
        <v>#REF!</v>
      </c>
      <c r="FE132" s="81" t="e">
        <f>FC132*#REF!</f>
        <v>#REF!</v>
      </c>
      <c r="FG132" s="25"/>
      <c r="FH132" s="26"/>
      <c r="FI132" s="27"/>
      <c r="FJ132" s="28"/>
      <c r="FK132" s="29"/>
      <c r="FL132" s="79">
        <f t="shared" si="20"/>
        <v>0</v>
      </c>
      <c r="FM132" s="80" t="e">
        <f>FL132*#REF!</f>
        <v>#REF!</v>
      </c>
      <c r="FN132" s="81" t="e">
        <f>FL132*#REF!</f>
        <v>#REF!</v>
      </c>
      <c r="FP132" s="25"/>
      <c r="FQ132" s="26"/>
      <c r="FR132" s="27"/>
      <c r="FS132" s="28"/>
      <c r="FT132" s="29"/>
      <c r="FU132" s="79">
        <f t="shared" si="21"/>
        <v>0</v>
      </c>
      <c r="FV132" s="80" t="e">
        <f>FU132*#REF!</f>
        <v>#REF!</v>
      </c>
      <c r="FW132" s="81" t="e">
        <f>FU132*#REF!</f>
        <v>#REF!</v>
      </c>
      <c r="FY132" s="25"/>
      <c r="FZ132" s="26"/>
      <c r="GA132" s="27"/>
      <c r="GB132" s="28"/>
      <c r="GC132" s="29"/>
      <c r="GD132" s="79">
        <f t="shared" si="22"/>
        <v>0</v>
      </c>
      <c r="GE132" s="80" t="e">
        <f>GD132*#REF!</f>
        <v>#REF!</v>
      </c>
      <c r="GF132" s="81" t="e">
        <f>GD132*#REF!</f>
        <v>#REF!</v>
      </c>
      <c r="GH132" s="25"/>
      <c r="GI132" s="26"/>
      <c r="GJ132" s="27"/>
      <c r="GK132" s="28"/>
      <c r="GL132" s="29"/>
      <c r="GM132" s="79">
        <f t="shared" si="23"/>
        <v>0</v>
      </c>
      <c r="GN132" s="80" t="e">
        <f>GM132*#REF!</f>
        <v>#REF!</v>
      </c>
      <c r="GO132" s="81" t="e">
        <f>GM132*#REF!</f>
        <v>#REF!</v>
      </c>
      <c r="GQ132" s="82">
        <f t="shared" si="25"/>
        <v>0</v>
      </c>
      <c r="GR132" s="83">
        <v>0</v>
      </c>
    </row>
    <row r="133" spans="2:201" ht="15">
      <c r="B133" s="22"/>
      <c r="C133" s="23"/>
      <c r="D133" s="24" t="str">
        <f>IF(C133="","",_xlfn.XLOOKUP(C133,'[1]Control Sheet'!$L$5:$L$104,'[1]Control Sheet'!$M$5:$M$104,"",0))</f>
        <v/>
      </c>
      <c r="E133" s="24" t="str">
        <f>IF(B133="","",_xlfn.XLOOKUP(B133,'[1]Control Sheet'!$D$5:$D$64,'[1]Control Sheet'!$F$5:$F$64,"",0))</f>
        <v/>
      </c>
      <c r="F133" s="24" t="str">
        <f>IF(B133="","",_xlfn.XLOOKUP(B133,'[1]Control Sheet'!$D$5:$D$64,'[1]Control Sheet'!$E$5:$E$64,"",0))</f>
        <v/>
      </c>
      <c r="I133" s="25"/>
      <c r="J133" s="26"/>
      <c r="K133" s="27"/>
      <c r="L133" s="28"/>
      <c r="M133" s="29"/>
      <c r="P133" s="25"/>
      <c r="Q133" s="26"/>
      <c r="R133" s="27"/>
      <c r="S133" s="28"/>
      <c r="T133" s="29"/>
      <c r="V133" s="25"/>
      <c r="W133" s="26"/>
      <c r="X133" s="27"/>
      <c r="Y133" s="28"/>
      <c r="Z133" s="29"/>
      <c r="AB133" s="25"/>
      <c r="AC133" s="26"/>
      <c r="AD133" s="27"/>
      <c r="AE133" s="28"/>
      <c r="AF133" s="29"/>
      <c r="AH133" s="25"/>
      <c r="AI133" s="26"/>
      <c r="AJ133" s="27"/>
      <c r="AK133" s="28"/>
      <c r="AL133" s="29"/>
      <c r="AN133" s="25"/>
      <c r="AO133" s="26"/>
      <c r="AP133" s="27"/>
      <c r="AQ133" s="28"/>
      <c r="AR133" s="29"/>
      <c r="AT133" s="25"/>
      <c r="AU133" s="26"/>
      <c r="AV133" s="27"/>
      <c r="AW133" s="28"/>
      <c r="AX133" s="29"/>
      <c r="AZ133" s="25"/>
      <c r="BA133" s="26"/>
      <c r="BB133" s="27"/>
      <c r="BC133" s="28"/>
      <c r="BD133" s="29"/>
      <c r="BF133" s="25"/>
      <c r="BG133" s="26"/>
      <c r="BH133" s="27"/>
      <c r="BI133" s="28"/>
      <c r="BJ133" s="29"/>
      <c r="BL133" s="25"/>
      <c r="BM133" s="26"/>
      <c r="BN133" s="27"/>
      <c r="BO133" s="28"/>
      <c r="BP133" s="29"/>
      <c r="BR133" s="25"/>
      <c r="BS133" s="26"/>
      <c r="BT133" s="27"/>
      <c r="BU133" s="28"/>
      <c r="BV133" s="29"/>
      <c r="BX133" s="25"/>
      <c r="BY133" s="26"/>
      <c r="BZ133" s="27"/>
      <c r="CA133" s="28"/>
      <c r="CB133" s="29"/>
      <c r="CD133" s="25"/>
      <c r="CE133" s="26"/>
      <c r="CF133" s="27"/>
      <c r="CG133" s="28"/>
      <c r="CH133" s="29"/>
      <c r="CJ133" s="25"/>
      <c r="CK133" s="26"/>
      <c r="CL133" s="27"/>
      <c r="CM133" s="28"/>
      <c r="CN133" s="29"/>
      <c r="CP133" s="25"/>
      <c r="CQ133" s="26"/>
      <c r="CR133" s="27"/>
      <c r="CS133" s="28"/>
      <c r="CT133" s="29"/>
      <c r="CV133" s="25"/>
      <c r="CW133" s="26"/>
      <c r="CX133" s="27"/>
      <c r="CY133" s="28"/>
      <c r="CZ133" s="29"/>
      <c r="DA133" s="79">
        <f t="shared" si="13"/>
        <v>0</v>
      </c>
      <c r="DB133" s="80" t="e">
        <f>DA133*#REF!</f>
        <v>#REF!</v>
      </c>
      <c r="DC133" s="81" t="e">
        <f>DA133*#REF!</f>
        <v>#REF!</v>
      </c>
      <c r="DE133" s="25"/>
      <c r="DF133" s="26"/>
      <c r="DG133" s="27"/>
      <c r="DH133" s="28"/>
      <c r="DI133" s="29"/>
      <c r="DJ133" s="79">
        <f t="shared" si="14"/>
        <v>0</v>
      </c>
      <c r="DK133" s="80" t="e">
        <f>DJ133*#REF!</f>
        <v>#REF!</v>
      </c>
      <c r="DL133" s="81" t="e">
        <f>DJ133*#REF!</f>
        <v>#REF!</v>
      </c>
      <c r="DN133" s="25"/>
      <c r="DO133" s="26"/>
      <c r="DP133" s="27"/>
      <c r="DQ133" s="28"/>
      <c r="DR133" s="29"/>
      <c r="DS133" s="79">
        <f t="shared" si="15"/>
        <v>0</v>
      </c>
      <c r="DT133" s="80" t="e">
        <f>DS133*#REF!</f>
        <v>#REF!</v>
      </c>
      <c r="DU133" s="81" t="e">
        <f>DS133*#REF!</f>
        <v>#REF!</v>
      </c>
      <c r="DW133" s="25"/>
      <c r="DX133" s="26"/>
      <c r="DY133" s="27"/>
      <c r="DZ133" s="28"/>
      <c r="EA133" s="29"/>
      <c r="EB133" s="79">
        <f t="shared" si="16"/>
        <v>0</v>
      </c>
      <c r="EC133" s="80" t="e">
        <f>EB133*#REF!</f>
        <v>#REF!</v>
      </c>
      <c r="ED133" s="81" t="e">
        <f>EB133*#REF!</f>
        <v>#REF!</v>
      </c>
      <c r="EF133" s="25"/>
      <c r="EG133" s="26"/>
      <c r="EH133" s="27"/>
      <c r="EI133" s="28"/>
      <c r="EJ133" s="29"/>
      <c r="EK133" s="79">
        <f t="shared" si="17"/>
        <v>0</v>
      </c>
      <c r="EL133" s="80" t="e">
        <f>EK133*#REF!</f>
        <v>#REF!</v>
      </c>
      <c r="EM133" s="81" t="e">
        <f>EK133*#REF!</f>
        <v>#REF!</v>
      </c>
      <c r="EO133" s="25"/>
      <c r="EP133" s="26"/>
      <c r="EQ133" s="27"/>
      <c r="ER133" s="28"/>
      <c r="ES133" s="29"/>
      <c r="ET133" s="79">
        <f t="shared" si="18"/>
        <v>0</v>
      </c>
      <c r="EU133" s="80" t="e">
        <f>ET133*#REF!</f>
        <v>#REF!</v>
      </c>
      <c r="EV133" s="81" t="e">
        <f>ET133*#REF!</f>
        <v>#REF!</v>
      </c>
      <c r="EX133" s="25"/>
      <c r="EY133" s="26"/>
      <c r="EZ133" s="27"/>
      <c r="FA133" s="28"/>
      <c r="FB133" s="29"/>
      <c r="FC133" s="79">
        <f t="shared" si="19"/>
        <v>0</v>
      </c>
      <c r="FD133" s="80" t="e">
        <f>FC133*#REF!</f>
        <v>#REF!</v>
      </c>
      <c r="FE133" s="81" t="e">
        <f>FC133*#REF!</f>
        <v>#REF!</v>
      </c>
      <c r="FG133" s="25"/>
      <c r="FH133" s="26"/>
      <c r="FI133" s="27"/>
      <c r="FJ133" s="28"/>
      <c r="FK133" s="29"/>
      <c r="FL133" s="79">
        <f t="shared" si="20"/>
        <v>0</v>
      </c>
      <c r="FM133" s="80" t="e">
        <f>FL133*#REF!</f>
        <v>#REF!</v>
      </c>
      <c r="FN133" s="81" t="e">
        <f>FL133*#REF!</f>
        <v>#REF!</v>
      </c>
      <c r="FP133" s="25"/>
      <c r="FQ133" s="26"/>
      <c r="FR133" s="27"/>
      <c r="FS133" s="28"/>
      <c r="FT133" s="29"/>
      <c r="FU133" s="79">
        <f t="shared" si="21"/>
        <v>0</v>
      </c>
      <c r="FV133" s="80" t="e">
        <f>FU133*#REF!</f>
        <v>#REF!</v>
      </c>
      <c r="FW133" s="81" t="e">
        <f>FU133*#REF!</f>
        <v>#REF!</v>
      </c>
      <c r="FY133" s="25"/>
      <c r="FZ133" s="26"/>
      <c r="GA133" s="27"/>
      <c r="GB133" s="28"/>
      <c r="GC133" s="29"/>
      <c r="GD133" s="79">
        <f t="shared" si="22"/>
        <v>0</v>
      </c>
      <c r="GE133" s="80" t="e">
        <f>GD133*#REF!</f>
        <v>#REF!</v>
      </c>
      <c r="GF133" s="81" t="e">
        <f>GD133*#REF!</f>
        <v>#REF!</v>
      </c>
      <c r="GH133" s="25"/>
      <c r="GI133" s="26"/>
      <c r="GJ133" s="27"/>
      <c r="GK133" s="28"/>
      <c r="GL133" s="29"/>
      <c r="GM133" s="79">
        <f t="shared" si="23"/>
        <v>0</v>
      </c>
      <c r="GN133" s="80" t="e">
        <f>GM133*#REF!</f>
        <v>#REF!</v>
      </c>
      <c r="GO133" s="81" t="e">
        <f>GM133*#REF!</f>
        <v>#REF!</v>
      </c>
      <c r="GQ133" s="82">
        <f t="shared" si="25"/>
        <v>0</v>
      </c>
      <c r="GR133" s="83">
        <v>0</v>
      </c>
    </row>
    <row r="134" spans="2:201" ht="15.75" thickBot="1">
      <c r="B134" s="22"/>
      <c r="C134" s="23"/>
      <c r="D134" s="24" t="str">
        <f>IF(C134="","",_xlfn.XLOOKUP(C134,'[1]Control Sheet'!$L$5:$L$104,'[1]Control Sheet'!$M$5:$M$104,"",0))</f>
        <v/>
      </c>
      <c r="E134" s="24" t="str">
        <f>IF(B134="","",_xlfn.XLOOKUP(B134,'[1]Control Sheet'!$D$5:$D$64,'[1]Control Sheet'!$F$5:$F$64,"",0))</f>
        <v/>
      </c>
      <c r="F134" s="24" t="str">
        <f>IF(B134="","",_xlfn.XLOOKUP(B134,'[1]Control Sheet'!$D$5:$D$64,'[1]Control Sheet'!$E$5:$E$64,"",0))</f>
        <v/>
      </c>
      <c r="I134" s="25"/>
      <c r="J134" s="26"/>
      <c r="K134" s="27"/>
      <c r="L134" s="28"/>
      <c r="M134" s="29"/>
      <c r="P134" s="25"/>
      <c r="Q134" s="26"/>
      <c r="R134" s="27"/>
      <c r="S134" s="28"/>
      <c r="T134" s="29"/>
      <c r="V134" s="25"/>
      <c r="W134" s="26"/>
      <c r="X134" s="27"/>
      <c r="Y134" s="28"/>
      <c r="Z134" s="29"/>
      <c r="AB134" s="25"/>
      <c r="AC134" s="26"/>
      <c r="AD134" s="27"/>
      <c r="AE134" s="28"/>
      <c r="AF134" s="29"/>
      <c r="AH134" s="25"/>
      <c r="AI134" s="26"/>
      <c r="AJ134" s="27"/>
      <c r="AK134" s="28"/>
      <c r="AL134" s="29"/>
      <c r="AN134" s="25"/>
      <c r="AO134" s="26"/>
      <c r="AP134" s="27"/>
      <c r="AQ134" s="28"/>
      <c r="AR134" s="29"/>
      <c r="AT134" s="25"/>
      <c r="AU134" s="26"/>
      <c r="AV134" s="27"/>
      <c r="AW134" s="28"/>
      <c r="AX134" s="29"/>
      <c r="AZ134" s="25"/>
      <c r="BA134" s="26"/>
      <c r="BB134" s="27"/>
      <c r="BC134" s="28"/>
      <c r="BD134" s="29"/>
      <c r="BF134" s="25"/>
      <c r="BG134" s="26"/>
      <c r="BH134" s="27"/>
      <c r="BI134" s="28"/>
      <c r="BJ134" s="29"/>
      <c r="BL134" s="25"/>
      <c r="BM134" s="26"/>
      <c r="BN134" s="27"/>
      <c r="BO134" s="28"/>
      <c r="BP134" s="29"/>
      <c r="BR134" s="25"/>
      <c r="BS134" s="26"/>
      <c r="BT134" s="27"/>
      <c r="BU134" s="28"/>
      <c r="BV134" s="29"/>
      <c r="BX134" s="25"/>
      <c r="BY134" s="26"/>
      <c r="BZ134" s="27"/>
      <c r="CA134" s="28"/>
      <c r="CB134" s="29"/>
      <c r="CD134" s="25"/>
      <c r="CE134" s="26"/>
      <c r="CF134" s="27"/>
      <c r="CG134" s="28"/>
      <c r="CH134" s="29"/>
      <c r="CJ134" s="25"/>
      <c r="CK134" s="26"/>
      <c r="CL134" s="27"/>
      <c r="CM134" s="28"/>
      <c r="CN134" s="29"/>
      <c r="CP134" s="25"/>
      <c r="CQ134" s="26"/>
      <c r="CR134" s="27"/>
      <c r="CS134" s="28"/>
      <c r="CT134" s="29"/>
      <c r="CV134" s="25"/>
      <c r="CW134" s="26"/>
      <c r="CX134" s="27"/>
      <c r="CY134" s="28"/>
      <c r="CZ134" s="29"/>
      <c r="DA134" s="79">
        <f t="shared" ref="DA134" si="26">IF(SUM((CW134-CV134)*24,-CX134/60)*CY134&gt;=0,SUM((CW134-CV134)*24,-CX134/60)*CY134,0)</f>
        <v>0</v>
      </c>
      <c r="DB134" s="80" t="e">
        <f>DA134*#REF!</f>
        <v>#REF!</v>
      </c>
      <c r="DC134" s="81" t="e">
        <f>DA134*#REF!</f>
        <v>#REF!</v>
      </c>
      <c r="DE134" s="25"/>
      <c r="DF134" s="26"/>
      <c r="DG134" s="27"/>
      <c r="DH134" s="28"/>
      <c r="DI134" s="29"/>
      <c r="DJ134" s="79">
        <f t="shared" ref="DJ134" si="27">IF(SUM((DF134-DE134)*24,-DG134/60)*DH134&gt;=0,SUM((DF134-DE134)*24,-DG134/60)*DH134,0)</f>
        <v>0</v>
      </c>
      <c r="DK134" s="80" t="e">
        <f>DJ134*#REF!</f>
        <v>#REF!</v>
      </c>
      <c r="DL134" s="81" t="e">
        <f>DJ134*#REF!</f>
        <v>#REF!</v>
      </c>
      <c r="DN134" s="25"/>
      <c r="DO134" s="26"/>
      <c r="DP134" s="27"/>
      <c r="DQ134" s="28"/>
      <c r="DR134" s="29"/>
      <c r="DS134" s="79">
        <f t="shared" ref="DS134" si="28">IF(SUM((DO134-DN134)*24,-DP134/60)*DQ134&gt;=0,SUM((DO134-DN134)*24,-DP134/60)*DQ134,0)</f>
        <v>0</v>
      </c>
      <c r="DT134" s="80" t="e">
        <f>DS134*#REF!</f>
        <v>#REF!</v>
      </c>
      <c r="DU134" s="81" t="e">
        <f>DS134*#REF!</f>
        <v>#REF!</v>
      </c>
      <c r="DW134" s="25"/>
      <c r="DX134" s="26"/>
      <c r="DY134" s="27"/>
      <c r="DZ134" s="28"/>
      <c r="EA134" s="29"/>
      <c r="EB134" s="79">
        <f t="shared" ref="EB134" si="29">IF(SUM((DX134-DW134)*24,-DY134/60)*DZ134&gt;=0,SUM((DX134-DW134)*24,-DY134/60)*DZ134,0)</f>
        <v>0</v>
      </c>
      <c r="EC134" s="80" t="e">
        <f>EB134*#REF!</f>
        <v>#REF!</v>
      </c>
      <c r="ED134" s="81" t="e">
        <f>EB134*#REF!</f>
        <v>#REF!</v>
      </c>
      <c r="EF134" s="25"/>
      <c r="EG134" s="26"/>
      <c r="EH134" s="27"/>
      <c r="EI134" s="28"/>
      <c r="EJ134" s="29"/>
      <c r="EK134" s="79">
        <f t="shared" ref="EK134" si="30">IF(SUM((EG134-EF134)*24,-EH134/60)*EI134&gt;=0,SUM((EG134-EF134)*24,-EH134/60)*EI134,0)</f>
        <v>0</v>
      </c>
      <c r="EL134" s="80" t="e">
        <f>EK134*#REF!</f>
        <v>#REF!</v>
      </c>
      <c r="EM134" s="81" t="e">
        <f>EK134*#REF!</f>
        <v>#REF!</v>
      </c>
      <c r="EO134" s="25"/>
      <c r="EP134" s="26"/>
      <c r="EQ134" s="27"/>
      <c r="ER134" s="28"/>
      <c r="ES134" s="29"/>
      <c r="ET134" s="79">
        <f t="shared" ref="ET134" si="31">IF(SUM((EP134-EO134)*24,-EQ134/60)*ER134&gt;=0,SUM((EP134-EO134)*24,-EQ134/60)*ER134,0)</f>
        <v>0</v>
      </c>
      <c r="EU134" s="80" t="e">
        <f>ET134*#REF!</f>
        <v>#REF!</v>
      </c>
      <c r="EV134" s="81" t="e">
        <f>ET134*#REF!</f>
        <v>#REF!</v>
      </c>
      <c r="EX134" s="25"/>
      <c r="EY134" s="26"/>
      <c r="EZ134" s="27"/>
      <c r="FA134" s="28"/>
      <c r="FB134" s="29"/>
      <c r="FC134" s="79">
        <f t="shared" ref="FC134" si="32">IF(SUM((EY134-EX134)*24,-EZ134/60)*FA134&gt;=0,SUM((EY134-EX134)*24,-EZ134/60)*FA134,0)</f>
        <v>0</v>
      </c>
      <c r="FD134" s="80" t="e">
        <f>FC134*#REF!</f>
        <v>#REF!</v>
      </c>
      <c r="FE134" s="81" t="e">
        <f>FC134*#REF!</f>
        <v>#REF!</v>
      </c>
      <c r="FG134" s="25"/>
      <c r="FH134" s="26"/>
      <c r="FI134" s="27"/>
      <c r="FJ134" s="28"/>
      <c r="FK134" s="29"/>
      <c r="FL134" s="79">
        <f t="shared" ref="FL134" si="33">IF(SUM((FH134-FG134)*24,-FI134/60)*FJ134&gt;=0,SUM((FH134-FG134)*24,-FI134/60)*FJ134,0)</f>
        <v>0</v>
      </c>
      <c r="FM134" s="80" t="e">
        <f>FL134*#REF!</f>
        <v>#REF!</v>
      </c>
      <c r="FN134" s="81" t="e">
        <f>FL134*#REF!</f>
        <v>#REF!</v>
      </c>
      <c r="FP134" s="25"/>
      <c r="FQ134" s="26"/>
      <c r="FR134" s="27"/>
      <c r="FS134" s="28"/>
      <c r="FT134" s="29"/>
      <c r="FU134" s="79">
        <f t="shared" ref="FU134" si="34">IF(SUM((FQ134-FP134)*24,-FR134/60)*FS134&gt;=0,SUM((FQ134-FP134)*24,-FR134/60)*FS134,0)</f>
        <v>0</v>
      </c>
      <c r="FV134" s="80" t="e">
        <f>FU134*#REF!</f>
        <v>#REF!</v>
      </c>
      <c r="FW134" s="81" t="e">
        <f>FU134*#REF!</f>
        <v>#REF!</v>
      </c>
      <c r="FY134" s="25"/>
      <c r="FZ134" s="26"/>
      <c r="GA134" s="27"/>
      <c r="GB134" s="28"/>
      <c r="GC134" s="29"/>
      <c r="GD134" s="79">
        <f t="shared" ref="GD134" si="35">IF(SUM((FZ134-FY134)*24,-GA134/60)*GB134&gt;=0,SUM((FZ134-FY134)*24,-GA134/60)*GB134,0)</f>
        <v>0</v>
      </c>
      <c r="GE134" s="80" t="e">
        <f>GD134*#REF!</f>
        <v>#REF!</v>
      </c>
      <c r="GF134" s="81" t="e">
        <f>GD134*#REF!</f>
        <v>#REF!</v>
      </c>
      <c r="GH134" s="25"/>
      <c r="GI134" s="26"/>
      <c r="GJ134" s="27"/>
      <c r="GK134" s="28"/>
      <c r="GL134" s="29"/>
      <c r="GM134" s="79">
        <f t="shared" ref="GM134" si="36">IF(SUM((GI134-GH134)*24,-GJ134/60)*GK134&gt;=0,SUM((GI134-GH134)*24,-GJ134/60)*GK134,0)</f>
        <v>0</v>
      </c>
      <c r="GN134" s="80" t="e">
        <f>GM134*#REF!</f>
        <v>#REF!</v>
      </c>
      <c r="GO134" s="81" t="e">
        <f>GM134*#REF!</f>
        <v>#REF!</v>
      </c>
      <c r="GQ134" s="82">
        <f t="shared" si="25"/>
        <v>0</v>
      </c>
      <c r="GR134" s="84">
        <v>0</v>
      </c>
    </row>
    <row r="135" spans="2:201" ht="15">
      <c r="B135" s="87"/>
      <c r="C135" s="87"/>
      <c r="D135" s="87"/>
      <c r="E135" s="87"/>
      <c r="F135" s="87"/>
      <c r="GS135" s="4" t="s">
        <v>91</v>
      </c>
    </row>
    <row r="136" spans="2:201" ht="15"/>
    <row r="137" spans="2:201" ht="15">
      <c r="L137" s="30"/>
      <c r="S137" s="30"/>
      <c r="T137" s="30"/>
    </row>
  </sheetData>
  <mergeCells count="1">
    <mergeCell ref="B135:F135"/>
  </mergeCells>
  <dataValidations count="3">
    <dataValidation type="list" allowBlank="1" showInputMessage="1" showErrorMessage="1" sqref="BV20:BV23 T6:T16 CH22 CB22 Z15:Z16 M18 T18 Z18 AF18 AL18 AX18 AR18 BD18 BJ18 BV18 CB18 CH18 CN18 CB20 CH20 CN20 M25 T25 Z25 AF25 AL25 AX25 AR25 BD25 BJ25 BV25 CB25 CH25 CN25 M27 T27 Z27 AF27 AL27 AX27 AR27 BD27 BJ27 BV27 BJ6:BJ16 BP14 AR6:AR16 CH6:CH16 CB6:CB16 BV6:BV16 BP6:BP12 BD6:BD16 AX6:AX16 AL6:AL16 AF6:AF16 Z6:Z13 CN48:CN49 M6:M16 BP16 BP22 M20:M23 BJ20:BJ23 AR20:AR23 AL20:AL23 AX20:AX23 AF20:AF23 Z20:Z23 T20:T23 BD20:BD23 BP18:BP20 CN22 Z44 T44 CT6 AR43:AR44 M44 AF38:AF44 AL38:AL44 BD44 CB46:CB50 CH46:CH50 CN6:CN16 AX38:AX44 BV46:BV53 BP46:BP53 CH53 M46:M55 T46:T55 AL46:AL55 Z46:Z55 AF46:AF55 AR46:AR55 AX46:AX55 BD46:BD55 CB53 BJ46:BJ55" xr:uid="{89EDC879-7FE9-47B3-82F7-24CDF911D48A}">
      <formula1>"0.25,0.33,0.5,1"</formula1>
    </dataValidation>
    <dataValidation type="time" allowBlank="1" showInputMessage="1" showErrorMessage="1" sqref="CJ48:CK48 P10:Q12 P6:Q8 V10:W12 V6:W8 AB10:AC12 AB6:AC8 AH10:AI12 Q22 AN10 AH6:AI8 AN12:AO12 AB21 AN6:AO8 AT10:AU10 AT12:AU12 V21 AZ10:BA10 AZ12:BA12 AT6:AU8 AZ6:BA8 BF10:BG10 AH21 BF6:BG8 BL10:BM10 BL12:BM12 AZ23 AT21 BL6:BM8 BR10:BS10 BX10:BY10 BR6:BS8 CD10:CE10 BX6:BY8 AN21 I6:J8 AZ21 I10:J12 J14 Q14 V14:W14 BG14 I16:J16 P16:Q16 V16:W16 AB16:AC16 AH16:AI16 AT16:AU16 AN16:AO16 AZ16:BA16 BF16:BG16 I18:J18 P18:Q18 V18:W18 AB18:AC18 AH18:AI18 AT18:AU18 AN18:AO18 AZ18:BA18 BF18:BG18 BF21 Q20 V20:W20 V22:W22 AB20:AC20 AB22:AC22 AH20:AI20 AH22:AI22 AT20:AU20 AT22:AU22 AN20:AO20 AN22:AO22 AZ20:BA20 AZ22:BA22 BF20:BG20 BF22:BG22 I25:J25 P25 V25 AB25 AH25 AT25 AN25 AZ25 BF25 BR25:BS25 BX25:BY25 CD25:CE25 CJ25:CK25 I27:J27 P27 V27 AB27 AH27 AT27 AN27 AZ27 BF27 BR27:BS27 BX27:BY27 CD27:CE27 CJ27:CK27 CD6:CE8 BL14:BM14 BS12:BS19 BL16:BM16 BR12:BR23 BS21:BS23 BX12:BY23 BF23 CD12:CE23 P19:P23 I20:J22 BL18:BM20 BL22:BM22 I23 V23 AB23 AH23 AN23 AT23 V44:W44 P44:Q44 CP6:CQ6 AH43:AI44 AN43:AO44 BF19 AB42:AC44 I46:J49 I44:J44 P46:Q49 AZ44:BA44 AN50:AO50 AN46:AO48 V46:W49 AT46:AU48 AT50:AU50 AZ46:BA48 AZ50:BA50 BF46:BG48 AZ54:BA54 BF50:BG50 BF52:BG52 BL46:BM49 BR46:BS48 BX46:BY49 CD46:CE49 CJ6:CK23 AT43:AU44 AH46:AI50 BR51:BS53 BL51:BM53 I53:J54 P53:Q54 AH53:AI54 V53:W54 BF54:BG54 AT53:AU54 AB53:AC54 AN54:AO54 AZ52:BA52 BX53:BY53 CD53:CE53 I19 V19 AB19 AH19 AN19 AT19 AZ19 AB46:AC49" xr:uid="{33C23C4F-AAAD-4E18-9018-418E17E58FC0}">
      <formula1>0</formula1>
      <formula2>0.999305555555556</formula2>
    </dataValidation>
    <dataValidation type="time" allowBlank="1" showInputMessage="1" showErrorMessage="1" sqref="AN11:AO11 V13:W13 BX11:BY11 V15:W15 CD11:CE11 BR11:BS11 P9:Q9 P13:Q13 V9:W9 AB9:AC9 AH9:AI9 AN9:AO9 AO10 AT9:AU9 AT11:AU11 AZ9:BA9 AZ11:BA11 BF9:BG9 BL9:BM9 BL11:BM11 AI27 BR9:BS9 BX9:BY9 BG27 CD9:CE9 BS20 I9:J9 I13:J13 BF11:BG13 I15:J15 P15:Q15 BF14 BF15:BG15 I17:J17 P17:Q17 V17:W17 AB17:AC17 AH17:AI17 AT17:AU17 AN17:AO17 AZ17:BA17 BF17:BG17 J19 Q19 W19 AI19 AC19 AO19 AU19 BG21 Q21 W21 AC21 AI21 AU21 AO21 BA21 Q27 W27 AC27 AO27 AU27 BA27 AT26:AU26 AN26:AO26 AZ26:BA26 BF26:BG26 BL13:BM13 BL15:BM15 I14 AZ13:BA15 AT13:AU15 AB13:AC15 P14 AH13:AI15 AN13:AO15 BA19 BL17:BM17 BL21:BM21 AH24 CJ24:CK24 CD24:CE24 BX24:BY24 BR24:BS24 AZ24 AT24 AN24 AB24 V24 P24 I24 J23:J24 Q23:Q25 W23:W25 AC23:AC25 AI23:AI25 AO23:AO25 AU23:AU25 BA23:BA25 BG23:BG25 BF24 I26:J26 CJ26:CK26 CD26:CE26 BX26:BY26 BR26:BS26 AH26:AI26 AB26:AC26 V26:W26 P26:Q26 AH28:AI42 AN49:AO49 AT28:AU42 BL54:BM134 BR49:BS50 BF28:BG45 P28:Q43 I28:J43 AT51:AU52 AB28:AC41 AZ49:BA49 BL50:BM50 BF49:BG49 I45:J45 I50:J52 P45:Q45 P50:Q52 V45:W45 AZ45:BA45 V50:W52 AB45:AC45 AB50:AC52 AH45:AI45 AN45:AO45 AT45:AU45 AT49:AU49 AZ51:BA51 AN28:AO42 AZ53:BA53 BF51:BG51 BR28:BS45 CD28:CE45 BX28:BY45 BL23:BM45 CJ28:CK47 AZ28:BA43 AN51:AO53 BF53:BG53 AH51:AI52 BX50:BY52 CD50:CE52 BG19 BX54:BY134 EO6:EP134 EF6:EG134 DW6:DX134 DN6:DO134 DE6:DF134 CV6:CW134 GH6:GI134 FG6:FH134 FY6:FZ134 FP6:FQ134 EX6:EY134 CJ49:CK134 AT55:AU134 I55:J134 AH55:AI134 P55:Q134 V28:W43 AB55:AC134 V55:W134 BR54:BS134 AN55:AO134 CD54:CE134 BF55:BG134 CP7:CQ134 AZ55:BA134" xr:uid="{9F081FC7-1B82-43F0-B078-F93A559A4BFB}">
      <formula1>0</formula1>
      <formula2>0.989583333333333</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87DA2-FA1C-454E-8952-05FA70502232}">
  <dimension ref="B1:BP372"/>
  <sheetViews>
    <sheetView zoomScale="70" zoomScaleNormal="70" workbookViewId="0">
      <pane ySplit="1" topLeftCell="A2" activePane="bottomLeft" state="frozen"/>
      <selection pane="bottomLeft" activeCell="M23" sqref="M23"/>
    </sheetView>
  </sheetViews>
  <sheetFormatPr defaultColWidth="12.140625" defaultRowHeight="15"/>
  <cols>
    <col min="2" max="2" width="9.140625" bestFit="1" customWidth="1"/>
    <col min="3" max="3" width="7.85546875" bestFit="1" customWidth="1"/>
    <col min="4" max="4" width="6.5703125" bestFit="1" customWidth="1"/>
    <col min="5" max="5" width="21" bestFit="1" customWidth="1"/>
    <col min="6" max="6" width="27.28515625" bestFit="1" customWidth="1"/>
    <col min="7" max="7" width="4.5703125" customWidth="1"/>
    <col min="8" max="8" width="0.140625" customWidth="1"/>
    <col min="9" max="11" width="14.42578125" bestFit="1" customWidth="1"/>
    <col min="12" max="12" width="11.85546875" customWidth="1"/>
    <col min="13" max="13" width="14.42578125" customWidth="1"/>
    <col min="14" max="14" width="11.5703125" bestFit="1" customWidth="1"/>
    <col min="15" max="15" width="13.140625" bestFit="1" customWidth="1"/>
    <col min="16" max="16" width="10.85546875" bestFit="1" customWidth="1"/>
    <col min="17" max="17" width="12.42578125" bestFit="1" customWidth="1"/>
    <col min="18" max="19" width="12.28515625" bestFit="1" customWidth="1"/>
    <col min="20" max="20" width="11.140625" bestFit="1" customWidth="1"/>
    <col min="21" max="21" width="13.7109375" bestFit="1" customWidth="1"/>
    <col min="22" max="22" width="14.5703125" customWidth="1"/>
    <col min="23" max="23" width="13.7109375" bestFit="1" customWidth="1"/>
    <col min="24" max="24" width="10.5703125" bestFit="1" customWidth="1"/>
    <col min="25" max="25" width="13.7109375" customWidth="1"/>
    <col min="26" max="26" width="12.5703125" bestFit="1" customWidth="1"/>
    <col min="27" max="27" width="13.5703125" bestFit="1" customWidth="1"/>
    <col min="28" max="28" width="11.140625" bestFit="1" customWidth="1"/>
    <col min="29" max="29" width="8.5703125" bestFit="1" customWidth="1"/>
    <col min="30" max="30" width="10.42578125" bestFit="1" customWidth="1"/>
    <col min="31" max="31" width="13.85546875" bestFit="1" customWidth="1"/>
    <col min="32" max="32" width="10.5703125" bestFit="1" customWidth="1"/>
    <col min="33" max="33" width="10.42578125" bestFit="1" customWidth="1"/>
    <col min="34" max="34" width="12.85546875" bestFit="1" customWidth="1"/>
    <col min="35" max="35" width="12.28515625" customWidth="1"/>
    <col min="36" max="36" width="10.42578125" bestFit="1" customWidth="1"/>
    <col min="37" max="37" width="10.140625" bestFit="1" customWidth="1"/>
    <col min="38" max="38" width="13.5703125" customWidth="1"/>
    <col min="39" max="41" width="14.42578125" bestFit="1" customWidth="1"/>
    <col min="42" max="42" width="11.85546875" customWidth="1"/>
    <col min="43" max="43" width="14.42578125" customWidth="1"/>
    <col min="44" max="44" width="11.5703125" bestFit="1" customWidth="1"/>
    <col min="45" max="45" width="13.140625" bestFit="1" customWidth="1"/>
    <col min="46" max="46" width="10.85546875" bestFit="1" customWidth="1"/>
    <col min="47" max="47" width="12.42578125" bestFit="1" customWidth="1"/>
    <col min="48" max="48" width="10.5703125" bestFit="1" customWidth="1"/>
    <col min="49" max="49" width="11.5703125" bestFit="1" customWidth="1"/>
    <col min="50" max="50" width="11.140625" bestFit="1" customWidth="1"/>
    <col min="51" max="51" width="13.5703125" bestFit="1" customWidth="1"/>
    <col min="52" max="52" width="10.42578125" bestFit="1" customWidth="1"/>
    <col min="53" max="53" width="13.85546875" bestFit="1" customWidth="1"/>
    <col min="54" max="54" width="12" bestFit="1" customWidth="1"/>
    <col min="55" max="55" width="11.42578125" bestFit="1" customWidth="1"/>
    <col min="56" max="56" width="12.5703125" bestFit="1" customWidth="1"/>
    <col min="57" max="57" width="13.5703125" bestFit="1" customWidth="1"/>
    <col min="58" max="58" width="11.140625" bestFit="1" customWidth="1"/>
    <col min="59" max="59" width="8.5703125" bestFit="1" customWidth="1"/>
    <col min="60" max="60" width="10.42578125" bestFit="1" customWidth="1"/>
    <col min="61" max="61" width="13.85546875" bestFit="1" customWidth="1"/>
    <col min="62" max="62" width="10.5703125" bestFit="1" customWidth="1"/>
    <col min="63" max="63" width="10.42578125" bestFit="1" customWidth="1"/>
    <col min="64" max="64" width="12.85546875" bestFit="1" customWidth="1"/>
    <col min="65" max="65" width="8.42578125" bestFit="1" customWidth="1"/>
    <col min="66" max="66" width="10.42578125" bestFit="1" customWidth="1"/>
    <col min="67" max="67" width="10.140625" bestFit="1" customWidth="1"/>
    <col min="68" max="68" width="13.5703125" customWidth="1"/>
  </cols>
  <sheetData>
    <row r="1" spans="2:68" s="39" customFormat="1" ht="15.75" thickBot="1"/>
    <row r="2" spans="2:68" s="40" customFormat="1" ht="19.5" thickBot="1">
      <c r="B2" s="85" t="s">
        <v>92</v>
      </c>
      <c r="C2" s="86"/>
      <c r="D2" s="86"/>
      <c r="E2" s="86"/>
      <c r="F2" s="86"/>
      <c r="I2" s="41">
        <v>1</v>
      </c>
      <c r="J2" s="42">
        <v>2</v>
      </c>
      <c r="K2" s="42">
        <v>3</v>
      </c>
      <c r="L2" s="42">
        <v>4</v>
      </c>
      <c r="M2" s="42">
        <v>5</v>
      </c>
      <c r="N2" s="42">
        <v>6</v>
      </c>
      <c r="O2" s="42">
        <v>7</v>
      </c>
      <c r="P2" s="42">
        <v>8</v>
      </c>
      <c r="Q2" s="42">
        <v>9</v>
      </c>
      <c r="R2" s="42">
        <v>10</v>
      </c>
      <c r="S2" s="42">
        <v>11</v>
      </c>
      <c r="T2" s="42">
        <v>12</v>
      </c>
      <c r="U2" s="42">
        <v>13</v>
      </c>
      <c r="V2" s="42">
        <v>14</v>
      </c>
      <c r="W2" s="42">
        <v>15</v>
      </c>
      <c r="X2" s="42">
        <v>16</v>
      </c>
      <c r="Y2" s="42">
        <v>17</v>
      </c>
      <c r="Z2" s="42">
        <v>18</v>
      </c>
      <c r="AA2" s="42">
        <v>19</v>
      </c>
      <c r="AB2" s="42">
        <v>20</v>
      </c>
      <c r="AC2" s="42">
        <v>21</v>
      </c>
      <c r="AD2" s="42">
        <v>22</v>
      </c>
      <c r="AE2" s="42">
        <v>23</v>
      </c>
      <c r="AF2" s="42">
        <v>24</v>
      </c>
      <c r="AG2" s="42">
        <v>25</v>
      </c>
      <c r="AH2" s="42">
        <v>26</v>
      </c>
      <c r="AI2" s="42">
        <v>27</v>
      </c>
      <c r="AJ2" s="42">
        <v>28</v>
      </c>
      <c r="AK2" s="42">
        <v>29</v>
      </c>
      <c r="AL2" s="42">
        <v>30</v>
      </c>
      <c r="AM2" s="42">
        <v>31</v>
      </c>
      <c r="AN2" s="42">
        <v>32</v>
      </c>
      <c r="AO2" s="42">
        <v>33</v>
      </c>
      <c r="AP2" s="42">
        <v>34</v>
      </c>
      <c r="AQ2" s="42">
        <v>35</v>
      </c>
      <c r="AR2" s="42">
        <v>36</v>
      </c>
      <c r="AS2" s="42">
        <v>37</v>
      </c>
      <c r="AT2" s="42">
        <v>38</v>
      </c>
      <c r="AU2" s="42">
        <v>39</v>
      </c>
      <c r="AV2" s="42">
        <v>40</v>
      </c>
      <c r="AW2" s="42">
        <v>41</v>
      </c>
      <c r="AX2" s="42">
        <v>42</v>
      </c>
      <c r="AY2" s="42">
        <v>43</v>
      </c>
      <c r="AZ2" s="42">
        <v>44</v>
      </c>
      <c r="BA2" s="42">
        <v>45</v>
      </c>
      <c r="BB2" s="42">
        <v>46</v>
      </c>
      <c r="BC2" s="42">
        <v>47</v>
      </c>
      <c r="BD2" s="42">
        <v>48</v>
      </c>
      <c r="BE2" s="42">
        <v>49</v>
      </c>
      <c r="BF2" s="42">
        <v>50</v>
      </c>
      <c r="BG2" s="42">
        <v>51</v>
      </c>
      <c r="BH2" s="42">
        <v>52</v>
      </c>
      <c r="BI2" s="42">
        <v>53</v>
      </c>
      <c r="BJ2" s="42">
        <v>54</v>
      </c>
      <c r="BK2" s="42">
        <v>55</v>
      </c>
      <c r="BL2" s="42">
        <v>56</v>
      </c>
      <c r="BM2" s="42">
        <v>57</v>
      </c>
      <c r="BN2" s="42">
        <v>58</v>
      </c>
      <c r="BO2" s="42">
        <v>59</v>
      </c>
      <c r="BP2" s="43">
        <v>60</v>
      </c>
    </row>
    <row r="3" spans="2:68" ht="71.25" customHeight="1" thickBot="1">
      <c r="B3" s="44" t="s">
        <v>93</v>
      </c>
      <c r="C3" s="45" t="s">
        <v>94</v>
      </c>
      <c r="D3" s="45" t="s">
        <v>95</v>
      </c>
      <c r="E3" s="45" t="s">
        <v>96</v>
      </c>
      <c r="F3" s="46" t="s">
        <v>97</v>
      </c>
      <c r="I3" s="47" t="str">
        <f t="shared" ref="I3:BP3" si="0">VLOOKUP(I$2,Units,2,0)</f>
        <v>Room on the Broom</v>
      </c>
      <c r="J3" s="48" t="str">
        <f t="shared" si="0"/>
        <v>Adventure Tree</v>
      </c>
      <c r="K3" s="48" t="str">
        <f t="shared" si="0"/>
        <v>Tiny Truckers</v>
      </c>
      <c r="L3" s="48" t="str">
        <f t="shared" si="0"/>
        <v>Elmer's Flying Jumbos</v>
      </c>
      <c r="M3" s="48" t="str">
        <f t="shared" si="0"/>
        <v>Canopy Capers</v>
      </c>
      <c r="N3" s="48" t="str">
        <f t="shared" si="0"/>
        <v>Sea Dragons</v>
      </c>
      <c r="O3" s="48" t="str">
        <f t="shared" si="0"/>
        <v>Griffin's Galeon</v>
      </c>
      <c r="P3" s="48" t="str">
        <f t="shared" si="0"/>
        <v>Dragon's Playhouse</v>
      </c>
      <c r="Q3" s="48" t="str">
        <f t="shared" si="0"/>
        <v>Nexus Rides Break Cover</v>
      </c>
      <c r="R3" s="48" t="str">
        <f t="shared" si="0"/>
        <v>Car Parks - Staff Car Park</v>
      </c>
      <c r="S3" s="48" t="str">
        <f t="shared" si="0"/>
        <v>Car Parks - Hotel Car Park</v>
      </c>
      <c r="T3" s="48" t="str">
        <f t="shared" si="0"/>
        <v>Car Parks - Express</v>
      </c>
      <c r="U3" s="48" t="str">
        <f t="shared" si="0"/>
        <v>Car Parks - Split</v>
      </c>
      <c r="V3" s="48" t="str">
        <f t="shared" si="0"/>
        <v>Car Parks - Flamingo</v>
      </c>
      <c r="W3" s="48" t="str">
        <f t="shared" si="0"/>
        <v>Car Parks - Giraffe</v>
      </c>
      <c r="X3" s="48" t="str">
        <f t="shared" si="0"/>
        <v>Car Parks - Gorilla</v>
      </c>
      <c r="Y3" s="48" t="str">
        <f t="shared" si="0"/>
        <v>Car Parks - Additional Schools</v>
      </c>
      <c r="Z3" s="48" t="str">
        <f t="shared" si="0"/>
        <v>GHI - Rap</v>
      </c>
      <c r="AA3" s="48" t="str">
        <f t="shared" si="0"/>
        <v>GHI - Hub</v>
      </c>
      <c r="AB3" s="48">
        <f t="shared" si="0"/>
        <v>0</v>
      </c>
      <c r="AC3" s="48" t="str">
        <f t="shared" si="0"/>
        <v>GHI - Help Squad</v>
      </c>
      <c r="AD3" s="48" t="str">
        <f t="shared" si="0"/>
        <v>Lodge Entrance</v>
      </c>
      <c r="AE3" s="48" t="str">
        <f t="shared" si="0"/>
        <v>Explorer Entrance</v>
      </c>
      <c r="AF3" s="48" t="str">
        <f t="shared" si="0"/>
        <v>Azteca Entrance</v>
      </c>
      <c r="AG3" s="48" t="str">
        <f t="shared" si="0"/>
        <v>Schools Entrance</v>
      </c>
      <c r="AH3" s="48" t="str">
        <f t="shared" si="0"/>
        <v>Adventure Point Gift Shop</v>
      </c>
      <c r="AI3" s="48">
        <f t="shared" si="0"/>
        <v>0</v>
      </c>
      <c r="AJ3" s="48" t="str">
        <f t="shared" si="0"/>
        <v>Explorer Supplies</v>
      </c>
      <c r="AK3" s="48" t="str">
        <f>VLOOKUP(AK$2,Units,2,0)</f>
        <v>Lorikeets</v>
      </c>
      <c r="AL3" s="48" t="str">
        <f t="shared" si="0"/>
        <v>Sealife Shop</v>
      </c>
      <c r="AM3" s="48" t="str">
        <f t="shared" si="0"/>
        <v>Sweet Shop</v>
      </c>
      <c r="AN3" s="48" t="str">
        <f t="shared" si="0"/>
        <v>Ben &amp; Jerry's</v>
      </c>
      <c r="AO3" s="48" t="str">
        <f t="shared" si="0"/>
        <v>Ben &amp; Jerry's Kiosk</v>
      </c>
      <c r="AP3" s="48" t="str">
        <f t="shared" si="0"/>
        <v>Nexus Retail Break Cover</v>
      </c>
      <c r="AQ3" s="48" t="str">
        <f t="shared" si="0"/>
        <v>Nexus Zonal Leads</v>
      </c>
      <c r="AR3" s="48">
        <f t="shared" si="0"/>
        <v>0</v>
      </c>
      <c r="AS3" s="48">
        <f t="shared" si="0"/>
        <v>0</v>
      </c>
      <c r="AT3" s="48">
        <f t="shared" si="0"/>
        <v>0</v>
      </c>
      <c r="AU3" s="48">
        <f t="shared" si="0"/>
        <v>0</v>
      </c>
      <c r="AV3" s="48">
        <f t="shared" si="0"/>
        <v>0</v>
      </c>
      <c r="AW3" s="48">
        <f t="shared" si="0"/>
        <v>0</v>
      </c>
      <c r="AX3" s="48">
        <f t="shared" si="0"/>
        <v>0</v>
      </c>
      <c r="AY3" s="48">
        <f t="shared" si="0"/>
        <v>0</v>
      </c>
      <c r="AZ3" s="48">
        <f t="shared" si="0"/>
        <v>0</v>
      </c>
      <c r="BA3" s="48">
        <f t="shared" si="0"/>
        <v>0</v>
      </c>
      <c r="BB3" s="48">
        <f t="shared" si="0"/>
        <v>0</v>
      </c>
      <c r="BC3" s="48">
        <f t="shared" si="0"/>
        <v>0</v>
      </c>
      <c r="BD3" s="48">
        <f t="shared" si="0"/>
        <v>0</v>
      </c>
      <c r="BE3" s="48">
        <f t="shared" si="0"/>
        <v>0</v>
      </c>
      <c r="BF3" s="48">
        <f t="shared" si="0"/>
        <v>0</v>
      </c>
      <c r="BG3" s="48">
        <f t="shared" si="0"/>
        <v>0</v>
      </c>
      <c r="BH3" s="48">
        <f t="shared" si="0"/>
        <v>0</v>
      </c>
      <c r="BI3" s="48">
        <f t="shared" si="0"/>
        <v>0</v>
      </c>
      <c r="BJ3" s="48">
        <f t="shared" si="0"/>
        <v>0</v>
      </c>
      <c r="BK3" s="48">
        <f t="shared" si="0"/>
        <v>0</v>
      </c>
      <c r="BL3" s="48">
        <f t="shared" si="0"/>
        <v>0</v>
      </c>
      <c r="BM3" s="48">
        <f t="shared" si="0"/>
        <v>0</v>
      </c>
      <c r="BN3" s="48">
        <f t="shared" si="0"/>
        <v>0</v>
      </c>
      <c r="BO3" s="48">
        <f>VLOOKUP(BO$2,Units,2,0)</f>
        <v>0</v>
      </c>
      <c r="BP3" s="49">
        <f t="shared" si="0"/>
        <v>0</v>
      </c>
    </row>
    <row r="4" spans="2:68">
      <c r="G4" s="50"/>
      <c r="I4" s="39"/>
      <c r="AM4" s="39"/>
    </row>
    <row r="5" spans="2:68" ht="15.75" thickBot="1">
      <c r="G5" s="50"/>
      <c r="I5" s="39"/>
      <c r="AM5" s="39"/>
    </row>
    <row r="6" spans="2:68">
      <c r="B6" s="51">
        <v>1</v>
      </c>
      <c r="C6" s="52">
        <v>1</v>
      </c>
      <c r="D6" s="52" t="s">
        <v>98</v>
      </c>
      <c r="E6" s="53">
        <f>'[1]Master File'!B5</f>
        <v>46019</v>
      </c>
      <c r="F6" s="54" t="str">
        <f>'[1]Master File'!C5</f>
        <v>WT Post Xmas</v>
      </c>
      <c r="G6" s="39"/>
      <c r="I6" s="55" t="s">
        <v>99</v>
      </c>
      <c r="J6" s="55" t="s">
        <v>99</v>
      </c>
      <c r="K6" s="55" t="s">
        <v>99</v>
      </c>
      <c r="L6" s="55" t="s">
        <v>23</v>
      </c>
      <c r="M6" s="55" t="s">
        <v>99</v>
      </c>
      <c r="N6" s="55" t="s">
        <v>99</v>
      </c>
      <c r="O6" s="55" t="s">
        <v>99</v>
      </c>
      <c r="P6" s="55" t="s">
        <v>99</v>
      </c>
      <c r="Q6" s="55" t="s">
        <v>99</v>
      </c>
      <c r="R6" s="55" t="s">
        <v>99</v>
      </c>
      <c r="S6" s="55" t="s">
        <v>99</v>
      </c>
      <c r="T6" s="55" t="s">
        <v>99</v>
      </c>
      <c r="U6" s="55" t="s">
        <v>99</v>
      </c>
      <c r="V6" s="55" t="s">
        <v>99</v>
      </c>
      <c r="W6" s="55" t="s">
        <v>99</v>
      </c>
      <c r="X6" s="55" t="s">
        <v>99</v>
      </c>
      <c r="Y6" s="56" t="s">
        <v>23</v>
      </c>
      <c r="Z6" s="55" t="s">
        <v>99</v>
      </c>
      <c r="AA6" s="55" t="s">
        <v>99</v>
      </c>
      <c r="AB6" s="55" t="s">
        <v>23</v>
      </c>
      <c r="AC6" s="55" t="s">
        <v>23</v>
      </c>
      <c r="AD6" s="55" t="s">
        <v>99</v>
      </c>
      <c r="AE6" s="55" t="s">
        <v>99</v>
      </c>
      <c r="AF6" s="55" t="s">
        <v>99</v>
      </c>
      <c r="AG6" s="55" t="s">
        <v>23</v>
      </c>
      <c r="AH6" s="55" t="s">
        <v>99</v>
      </c>
      <c r="AI6" s="55" t="s">
        <v>99</v>
      </c>
      <c r="AJ6" s="55" t="s">
        <v>99</v>
      </c>
      <c r="AK6" s="55" t="s">
        <v>23</v>
      </c>
      <c r="AL6" s="55" t="s">
        <v>99</v>
      </c>
      <c r="AM6" s="55" t="s">
        <v>99</v>
      </c>
      <c r="AN6" s="55" t="s">
        <v>99</v>
      </c>
      <c r="AO6" s="55" t="s">
        <v>99</v>
      </c>
      <c r="AP6" s="55" t="s">
        <v>99</v>
      </c>
      <c r="AQ6" s="55" t="s">
        <v>23</v>
      </c>
      <c r="AR6" s="55" t="s">
        <v>99</v>
      </c>
      <c r="AS6" s="55" t="s">
        <v>99</v>
      </c>
      <c r="AT6" s="55" t="s">
        <v>99</v>
      </c>
      <c r="AU6" s="55" t="s">
        <v>99</v>
      </c>
      <c r="AV6" s="55" t="s">
        <v>99</v>
      </c>
      <c r="AW6" s="55" t="s">
        <v>99</v>
      </c>
      <c r="AX6" s="55" t="s">
        <v>99</v>
      </c>
      <c r="AY6" s="55" t="s">
        <v>99</v>
      </c>
      <c r="AZ6" s="55" t="s">
        <v>99</v>
      </c>
      <c r="BA6" s="55" t="s">
        <v>99</v>
      </c>
      <c r="BB6" s="55" t="s">
        <v>99</v>
      </c>
      <c r="BC6" s="55" t="s">
        <v>99</v>
      </c>
      <c r="BD6" s="55" t="s">
        <v>99</v>
      </c>
      <c r="BE6" s="55" t="s">
        <v>99</v>
      </c>
      <c r="BF6" s="55" t="s">
        <v>99</v>
      </c>
      <c r="BG6" s="55" t="s">
        <v>99</v>
      </c>
      <c r="BH6" s="55" t="s">
        <v>99</v>
      </c>
      <c r="BI6" s="55" t="s">
        <v>99</v>
      </c>
      <c r="BJ6" s="55" t="s">
        <v>99</v>
      </c>
      <c r="BK6" s="55" t="s">
        <v>99</v>
      </c>
      <c r="BL6" s="55" t="s">
        <v>99</v>
      </c>
      <c r="BM6" s="55" t="s">
        <v>99</v>
      </c>
      <c r="BN6" s="55" t="s">
        <v>99</v>
      </c>
      <c r="BO6" s="55" t="s">
        <v>99</v>
      </c>
      <c r="BP6" s="57" t="s">
        <v>99</v>
      </c>
    </row>
    <row r="7" spans="2:68">
      <c r="B7" s="58">
        <v>1</v>
      </c>
      <c r="C7" s="59">
        <v>1</v>
      </c>
      <c r="D7" s="59" t="s">
        <v>100</v>
      </c>
      <c r="E7" s="60">
        <f>'[1]Master File'!B6</f>
        <v>46020</v>
      </c>
      <c r="F7" s="61" t="str">
        <f>'[1]Master File'!C6</f>
        <v>WT Post Xmas</v>
      </c>
      <c r="G7" s="39"/>
      <c r="I7" s="56" t="s">
        <v>99</v>
      </c>
      <c r="J7" s="56" t="s">
        <v>99</v>
      </c>
      <c r="K7" s="56" t="s">
        <v>99</v>
      </c>
      <c r="L7" s="56" t="s">
        <v>23</v>
      </c>
      <c r="M7" s="56" t="s">
        <v>99</v>
      </c>
      <c r="N7" s="56" t="s">
        <v>99</v>
      </c>
      <c r="O7" s="56" t="s">
        <v>99</v>
      </c>
      <c r="P7" s="56" t="s">
        <v>99</v>
      </c>
      <c r="Q7" s="56" t="s">
        <v>99</v>
      </c>
      <c r="R7" s="56" t="s">
        <v>99</v>
      </c>
      <c r="S7" s="56" t="s">
        <v>99</v>
      </c>
      <c r="T7" s="56" t="s">
        <v>99</v>
      </c>
      <c r="U7" s="56" t="s">
        <v>99</v>
      </c>
      <c r="V7" s="56" t="s">
        <v>99</v>
      </c>
      <c r="W7" s="56" t="s">
        <v>99</v>
      </c>
      <c r="X7" s="56" t="s">
        <v>99</v>
      </c>
      <c r="Y7" s="56" t="s">
        <v>23</v>
      </c>
      <c r="Z7" s="56" t="s">
        <v>99</v>
      </c>
      <c r="AA7" s="56" t="s">
        <v>99</v>
      </c>
      <c r="AB7" s="56" t="s">
        <v>23</v>
      </c>
      <c r="AC7" s="56" t="s">
        <v>23</v>
      </c>
      <c r="AD7" s="56" t="s">
        <v>99</v>
      </c>
      <c r="AE7" s="56" t="s">
        <v>99</v>
      </c>
      <c r="AF7" s="56" t="s">
        <v>99</v>
      </c>
      <c r="AG7" s="56" t="s">
        <v>23</v>
      </c>
      <c r="AH7" s="56" t="s">
        <v>99</v>
      </c>
      <c r="AI7" s="56" t="s">
        <v>99</v>
      </c>
      <c r="AJ7" s="56" t="s">
        <v>99</v>
      </c>
      <c r="AK7" s="56" t="s">
        <v>23</v>
      </c>
      <c r="AL7" s="56" t="s">
        <v>99</v>
      </c>
      <c r="AM7" s="56" t="s">
        <v>99</v>
      </c>
      <c r="AN7" s="56" t="s">
        <v>99</v>
      </c>
      <c r="AO7" s="56" t="s">
        <v>99</v>
      </c>
      <c r="AP7" s="56" t="s">
        <v>99</v>
      </c>
      <c r="AQ7" s="56" t="s">
        <v>99</v>
      </c>
      <c r="AR7" s="56" t="s">
        <v>99</v>
      </c>
      <c r="AS7" s="56" t="s">
        <v>99</v>
      </c>
      <c r="AT7" s="56" t="s">
        <v>99</v>
      </c>
      <c r="AU7" s="56" t="s">
        <v>99</v>
      </c>
      <c r="AV7" s="56" t="s">
        <v>99</v>
      </c>
      <c r="AW7" s="56" t="s">
        <v>99</v>
      </c>
      <c r="AX7" s="56" t="s">
        <v>99</v>
      </c>
      <c r="AY7" s="56" t="s">
        <v>99</v>
      </c>
      <c r="AZ7" s="56" t="s">
        <v>99</v>
      </c>
      <c r="BA7" s="56" t="s">
        <v>99</v>
      </c>
      <c r="BB7" s="56" t="s">
        <v>99</v>
      </c>
      <c r="BC7" s="56" t="s">
        <v>99</v>
      </c>
      <c r="BD7" s="56" t="s">
        <v>99</v>
      </c>
      <c r="BE7" s="56" t="s">
        <v>99</v>
      </c>
      <c r="BF7" s="56" t="s">
        <v>99</v>
      </c>
      <c r="BG7" s="56" t="s">
        <v>99</v>
      </c>
      <c r="BH7" s="56" t="s">
        <v>99</v>
      </c>
      <c r="BI7" s="56" t="s">
        <v>99</v>
      </c>
      <c r="BJ7" s="56" t="s">
        <v>99</v>
      </c>
      <c r="BK7" s="56" t="s">
        <v>99</v>
      </c>
      <c r="BL7" s="56" t="s">
        <v>99</v>
      </c>
      <c r="BM7" s="56" t="s">
        <v>99</v>
      </c>
      <c r="BN7" s="56" t="s">
        <v>99</v>
      </c>
      <c r="BO7" s="56" t="s">
        <v>99</v>
      </c>
      <c r="BP7" s="62" t="s">
        <v>99</v>
      </c>
    </row>
    <row r="8" spans="2:68">
      <c r="B8" s="58">
        <v>1</v>
      </c>
      <c r="C8" s="59">
        <v>1</v>
      </c>
      <c r="D8" s="59" t="s">
        <v>101</v>
      </c>
      <c r="E8" s="60">
        <f>'[1]Master File'!B7</f>
        <v>46021</v>
      </c>
      <c r="F8" s="61" t="str">
        <f>'[1]Master File'!C7</f>
        <v>WT Post Xmas</v>
      </c>
      <c r="G8" s="39"/>
      <c r="I8" s="56" t="s">
        <v>99</v>
      </c>
      <c r="J8" s="56" t="s">
        <v>99</v>
      </c>
      <c r="K8" s="56" t="s">
        <v>99</v>
      </c>
      <c r="L8" s="56" t="s">
        <v>23</v>
      </c>
      <c r="M8" s="56" t="s">
        <v>99</v>
      </c>
      <c r="N8" s="56" t="s">
        <v>99</v>
      </c>
      <c r="O8" s="56" t="s">
        <v>99</v>
      </c>
      <c r="P8" s="56" t="s">
        <v>99</v>
      </c>
      <c r="Q8" s="56" t="s">
        <v>99</v>
      </c>
      <c r="R8" s="56" t="s">
        <v>99</v>
      </c>
      <c r="S8" s="56" t="s">
        <v>99</v>
      </c>
      <c r="T8" s="56" t="s">
        <v>99</v>
      </c>
      <c r="U8" s="56" t="s">
        <v>99</v>
      </c>
      <c r="V8" s="56" t="s">
        <v>99</v>
      </c>
      <c r="W8" s="56" t="s">
        <v>99</v>
      </c>
      <c r="X8" s="56" t="s">
        <v>99</v>
      </c>
      <c r="Y8" s="56" t="s">
        <v>23</v>
      </c>
      <c r="Z8" s="56" t="s">
        <v>99</v>
      </c>
      <c r="AA8" s="56" t="s">
        <v>99</v>
      </c>
      <c r="AB8" s="56" t="s">
        <v>23</v>
      </c>
      <c r="AC8" s="56" t="s">
        <v>23</v>
      </c>
      <c r="AD8" s="56" t="s">
        <v>99</v>
      </c>
      <c r="AE8" s="56" t="s">
        <v>99</v>
      </c>
      <c r="AF8" s="56" t="s">
        <v>99</v>
      </c>
      <c r="AG8" s="56" t="s">
        <v>23</v>
      </c>
      <c r="AH8" s="56" t="s">
        <v>99</v>
      </c>
      <c r="AI8" s="56" t="s">
        <v>99</v>
      </c>
      <c r="AJ8" s="56" t="s">
        <v>99</v>
      </c>
      <c r="AK8" s="56" t="s">
        <v>23</v>
      </c>
      <c r="AL8" s="56" t="s">
        <v>99</v>
      </c>
      <c r="AM8" s="56" t="s">
        <v>99</v>
      </c>
      <c r="AN8" s="56" t="s">
        <v>99</v>
      </c>
      <c r="AO8" s="56" t="s">
        <v>99</v>
      </c>
      <c r="AP8" s="56" t="s">
        <v>99</v>
      </c>
      <c r="AQ8" s="56" t="s">
        <v>99</v>
      </c>
      <c r="AR8" s="56" t="s">
        <v>99</v>
      </c>
      <c r="AS8" s="56" t="s">
        <v>99</v>
      </c>
      <c r="AT8" s="56" t="s">
        <v>99</v>
      </c>
      <c r="AU8" s="56" t="s">
        <v>99</v>
      </c>
      <c r="AV8" s="56" t="s">
        <v>99</v>
      </c>
      <c r="AW8" s="56" t="s">
        <v>99</v>
      </c>
      <c r="AX8" s="56" t="s">
        <v>99</v>
      </c>
      <c r="AY8" s="56" t="s">
        <v>99</v>
      </c>
      <c r="AZ8" s="56" t="s">
        <v>99</v>
      </c>
      <c r="BA8" s="56" t="s">
        <v>99</v>
      </c>
      <c r="BB8" s="56" t="s">
        <v>99</v>
      </c>
      <c r="BC8" s="56" t="s">
        <v>99</v>
      </c>
      <c r="BD8" s="56" t="s">
        <v>99</v>
      </c>
      <c r="BE8" s="56" t="s">
        <v>99</v>
      </c>
      <c r="BF8" s="56" t="s">
        <v>99</v>
      </c>
      <c r="BG8" s="56" t="s">
        <v>99</v>
      </c>
      <c r="BH8" s="56" t="s">
        <v>99</v>
      </c>
      <c r="BI8" s="56" t="s">
        <v>99</v>
      </c>
      <c r="BJ8" s="56" t="s">
        <v>99</v>
      </c>
      <c r="BK8" s="56" t="s">
        <v>99</v>
      </c>
      <c r="BL8" s="56" t="s">
        <v>99</v>
      </c>
      <c r="BM8" s="56" t="s">
        <v>99</v>
      </c>
      <c r="BN8" s="56" t="s">
        <v>99</v>
      </c>
      <c r="BO8" s="56" t="s">
        <v>99</v>
      </c>
      <c r="BP8" s="62" t="s">
        <v>99</v>
      </c>
    </row>
    <row r="9" spans="2:68">
      <c r="B9" s="58">
        <v>1</v>
      </c>
      <c r="C9" s="59">
        <v>1</v>
      </c>
      <c r="D9" s="59" t="s">
        <v>102</v>
      </c>
      <c r="E9" s="60">
        <f>'[1]Master File'!B8</f>
        <v>46022</v>
      </c>
      <c r="F9" s="61" t="str">
        <f>'[1]Master File'!C8</f>
        <v>WT Post Xmas</v>
      </c>
      <c r="G9" s="39"/>
      <c r="I9" s="56" t="s">
        <v>99</v>
      </c>
      <c r="J9" s="56" t="s">
        <v>99</v>
      </c>
      <c r="K9" s="56" t="s">
        <v>99</v>
      </c>
      <c r="L9" s="56" t="s">
        <v>23</v>
      </c>
      <c r="M9" s="56" t="s">
        <v>99</v>
      </c>
      <c r="N9" s="56" t="s">
        <v>99</v>
      </c>
      <c r="O9" s="56" t="s">
        <v>99</v>
      </c>
      <c r="P9" s="56" t="s">
        <v>99</v>
      </c>
      <c r="Q9" s="56" t="s">
        <v>99</v>
      </c>
      <c r="R9" s="56" t="s">
        <v>99</v>
      </c>
      <c r="S9" s="56" t="s">
        <v>99</v>
      </c>
      <c r="T9" s="56" t="s">
        <v>99</v>
      </c>
      <c r="U9" s="56" t="s">
        <v>99</v>
      </c>
      <c r="V9" s="56" t="s">
        <v>99</v>
      </c>
      <c r="W9" s="56" t="s">
        <v>99</v>
      </c>
      <c r="X9" s="56" t="s">
        <v>99</v>
      </c>
      <c r="Y9" s="56" t="s">
        <v>23</v>
      </c>
      <c r="Z9" s="56" t="s">
        <v>99</v>
      </c>
      <c r="AA9" s="56" t="s">
        <v>99</v>
      </c>
      <c r="AB9" s="56" t="s">
        <v>23</v>
      </c>
      <c r="AC9" s="56" t="s">
        <v>23</v>
      </c>
      <c r="AD9" s="56" t="s">
        <v>99</v>
      </c>
      <c r="AE9" s="56" t="s">
        <v>99</v>
      </c>
      <c r="AF9" s="56" t="s">
        <v>99</v>
      </c>
      <c r="AG9" s="56" t="s">
        <v>23</v>
      </c>
      <c r="AH9" s="56" t="s">
        <v>99</v>
      </c>
      <c r="AI9" s="56" t="s">
        <v>99</v>
      </c>
      <c r="AJ9" s="56" t="s">
        <v>99</v>
      </c>
      <c r="AK9" s="56" t="s">
        <v>23</v>
      </c>
      <c r="AL9" s="56" t="s">
        <v>99</v>
      </c>
      <c r="AM9" s="56" t="s">
        <v>99</v>
      </c>
      <c r="AN9" s="56" t="s">
        <v>99</v>
      </c>
      <c r="AO9" s="56" t="s">
        <v>99</v>
      </c>
      <c r="AP9" s="56" t="s">
        <v>99</v>
      </c>
      <c r="AQ9" s="56" t="s">
        <v>99</v>
      </c>
      <c r="AR9" s="56" t="s">
        <v>99</v>
      </c>
      <c r="AS9" s="56" t="s">
        <v>99</v>
      </c>
      <c r="AT9" s="56" t="s">
        <v>99</v>
      </c>
      <c r="AU9" s="56" t="s">
        <v>99</v>
      </c>
      <c r="AV9" s="56" t="s">
        <v>99</v>
      </c>
      <c r="AW9" s="56" t="s">
        <v>99</v>
      </c>
      <c r="AX9" s="56" t="s">
        <v>99</v>
      </c>
      <c r="AY9" s="56" t="s">
        <v>99</v>
      </c>
      <c r="AZ9" s="56" t="s">
        <v>99</v>
      </c>
      <c r="BA9" s="56" t="s">
        <v>99</v>
      </c>
      <c r="BB9" s="56" t="s">
        <v>99</v>
      </c>
      <c r="BC9" s="56" t="s">
        <v>99</v>
      </c>
      <c r="BD9" s="56" t="s">
        <v>99</v>
      </c>
      <c r="BE9" s="56" t="s">
        <v>99</v>
      </c>
      <c r="BF9" s="56" t="s">
        <v>99</v>
      </c>
      <c r="BG9" s="56" t="s">
        <v>99</v>
      </c>
      <c r="BH9" s="56" t="s">
        <v>99</v>
      </c>
      <c r="BI9" s="56" t="s">
        <v>99</v>
      </c>
      <c r="BJ9" s="56" t="s">
        <v>99</v>
      </c>
      <c r="BK9" s="56" t="s">
        <v>99</v>
      </c>
      <c r="BL9" s="56" t="s">
        <v>99</v>
      </c>
      <c r="BM9" s="56" t="s">
        <v>99</v>
      </c>
      <c r="BN9" s="56" t="s">
        <v>99</v>
      </c>
      <c r="BO9" s="56" t="s">
        <v>99</v>
      </c>
      <c r="BP9" s="62" t="s">
        <v>99</v>
      </c>
    </row>
    <row r="10" spans="2:68">
      <c r="B10" s="58">
        <v>1</v>
      </c>
      <c r="C10" s="59">
        <v>1</v>
      </c>
      <c r="D10" s="59" t="s">
        <v>103</v>
      </c>
      <c r="E10" s="60">
        <f>'[1]Master File'!B9</f>
        <v>46023</v>
      </c>
      <c r="F10" s="61" t="str">
        <f>'[1]Master File'!C9</f>
        <v>Zoo</v>
      </c>
      <c r="G10" s="39"/>
      <c r="I10" s="56" t="s">
        <v>23</v>
      </c>
      <c r="J10" s="56" t="s">
        <v>23</v>
      </c>
      <c r="K10" s="56" t="s">
        <v>23</v>
      </c>
      <c r="L10" s="56" t="s">
        <v>23</v>
      </c>
      <c r="M10" s="56" t="s">
        <v>23</v>
      </c>
      <c r="N10" s="56" t="s">
        <v>23</v>
      </c>
      <c r="O10" s="56" t="s">
        <v>23</v>
      </c>
      <c r="P10" s="56" t="s">
        <v>23</v>
      </c>
      <c r="Q10" s="56" t="s">
        <v>23</v>
      </c>
      <c r="R10" s="56" t="s">
        <v>23</v>
      </c>
      <c r="S10" s="56" t="s">
        <v>99</v>
      </c>
      <c r="T10" s="56" t="s">
        <v>23</v>
      </c>
      <c r="U10" s="56" t="s">
        <v>99</v>
      </c>
      <c r="V10" s="56" t="s">
        <v>99</v>
      </c>
      <c r="W10" s="56" t="s">
        <v>99</v>
      </c>
      <c r="X10" s="56" t="s">
        <v>99</v>
      </c>
      <c r="Y10" s="56" t="s">
        <v>23</v>
      </c>
      <c r="Z10" s="56" t="s">
        <v>23</v>
      </c>
      <c r="AA10" s="56" t="s">
        <v>23</v>
      </c>
      <c r="AB10" s="56" t="s">
        <v>23</v>
      </c>
      <c r="AC10" s="56" t="s">
        <v>23</v>
      </c>
      <c r="AD10" s="56" t="s">
        <v>23</v>
      </c>
      <c r="AE10" s="56" t="s">
        <v>99</v>
      </c>
      <c r="AF10" s="56" t="s">
        <v>99</v>
      </c>
      <c r="AG10" s="56" t="s">
        <v>23</v>
      </c>
      <c r="AH10" s="56" t="s">
        <v>23</v>
      </c>
      <c r="AI10" s="56" t="s">
        <v>99</v>
      </c>
      <c r="AJ10" s="56" t="s">
        <v>99</v>
      </c>
      <c r="AK10" s="56" t="s">
        <v>23</v>
      </c>
      <c r="AL10" s="56" t="s">
        <v>99</v>
      </c>
      <c r="AM10" s="56" t="s">
        <v>23</v>
      </c>
      <c r="AN10" s="56" t="s">
        <v>99</v>
      </c>
      <c r="AO10" s="56" t="s">
        <v>99</v>
      </c>
      <c r="AP10" s="56" t="s">
        <v>23</v>
      </c>
      <c r="AQ10" s="56" t="s">
        <v>99</v>
      </c>
      <c r="AR10" s="56" t="s">
        <v>99</v>
      </c>
      <c r="AS10" s="56" t="s">
        <v>99</v>
      </c>
      <c r="AT10" s="56" t="s">
        <v>99</v>
      </c>
      <c r="AU10" s="56" t="s">
        <v>99</v>
      </c>
      <c r="AV10" s="56" t="s">
        <v>99</v>
      </c>
      <c r="AW10" s="56" t="s">
        <v>99</v>
      </c>
      <c r="AX10" s="56" t="s">
        <v>99</v>
      </c>
      <c r="AY10" s="56" t="s">
        <v>99</v>
      </c>
      <c r="AZ10" s="56" t="s">
        <v>99</v>
      </c>
      <c r="BA10" s="56" t="s">
        <v>99</v>
      </c>
      <c r="BB10" s="56" t="s">
        <v>99</v>
      </c>
      <c r="BC10" s="56" t="s">
        <v>99</v>
      </c>
      <c r="BD10" s="56" t="s">
        <v>99</v>
      </c>
      <c r="BE10" s="56" t="s">
        <v>99</v>
      </c>
      <c r="BF10" s="56" t="s">
        <v>99</v>
      </c>
      <c r="BG10" s="56" t="s">
        <v>99</v>
      </c>
      <c r="BH10" s="56" t="s">
        <v>99</v>
      </c>
      <c r="BI10" s="56" t="s">
        <v>99</v>
      </c>
      <c r="BJ10" s="56" t="s">
        <v>99</v>
      </c>
      <c r="BK10" s="56" t="s">
        <v>99</v>
      </c>
      <c r="BL10" s="56" t="s">
        <v>99</v>
      </c>
      <c r="BM10" s="56" t="s">
        <v>99</v>
      </c>
      <c r="BN10" s="56" t="s">
        <v>99</v>
      </c>
      <c r="BO10" s="56" t="s">
        <v>99</v>
      </c>
      <c r="BP10" s="62" t="s">
        <v>99</v>
      </c>
    </row>
    <row r="11" spans="2:68">
      <c r="B11" s="58">
        <v>1</v>
      </c>
      <c r="C11" s="59">
        <v>1</v>
      </c>
      <c r="D11" s="59" t="s">
        <v>104</v>
      </c>
      <c r="E11" s="60">
        <f>'[1]Master File'!B10</f>
        <v>46024</v>
      </c>
      <c r="F11" s="61" t="str">
        <f>'[1]Master File'!C10</f>
        <v>Zoo</v>
      </c>
      <c r="G11" s="39"/>
      <c r="I11" s="56" t="s">
        <v>23</v>
      </c>
      <c r="J11" s="56" t="s">
        <v>23</v>
      </c>
      <c r="K11" s="56" t="s">
        <v>23</v>
      </c>
      <c r="L11" s="56" t="s">
        <v>23</v>
      </c>
      <c r="M11" s="56" t="s">
        <v>23</v>
      </c>
      <c r="N11" s="56" t="s">
        <v>23</v>
      </c>
      <c r="O11" s="56" t="s">
        <v>23</v>
      </c>
      <c r="P11" s="56" t="s">
        <v>23</v>
      </c>
      <c r="Q11" s="56" t="s">
        <v>23</v>
      </c>
      <c r="R11" s="56" t="s">
        <v>23</v>
      </c>
      <c r="S11" s="56" t="s">
        <v>99</v>
      </c>
      <c r="T11" s="56" t="s">
        <v>23</v>
      </c>
      <c r="U11" s="56" t="s">
        <v>99</v>
      </c>
      <c r="V11" s="56" t="s">
        <v>99</v>
      </c>
      <c r="W11" s="56" t="s">
        <v>99</v>
      </c>
      <c r="X11" s="56" t="s">
        <v>99</v>
      </c>
      <c r="Y11" s="56" t="s">
        <v>23</v>
      </c>
      <c r="Z11" s="56" t="s">
        <v>23</v>
      </c>
      <c r="AA11" s="56" t="s">
        <v>23</v>
      </c>
      <c r="AB11" s="56" t="s">
        <v>23</v>
      </c>
      <c r="AC11" s="56" t="s">
        <v>23</v>
      </c>
      <c r="AD11" s="56" t="s">
        <v>23</v>
      </c>
      <c r="AE11" s="56" t="s">
        <v>99</v>
      </c>
      <c r="AF11" s="56" t="s">
        <v>99</v>
      </c>
      <c r="AG11" s="56" t="s">
        <v>23</v>
      </c>
      <c r="AH11" s="56" t="s">
        <v>23</v>
      </c>
      <c r="AI11" s="56" t="s">
        <v>99</v>
      </c>
      <c r="AJ11" s="56" t="s">
        <v>99</v>
      </c>
      <c r="AK11" s="56" t="s">
        <v>23</v>
      </c>
      <c r="AL11" s="56" t="s">
        <v>99</v>
      </c>
      <c r="AM11" s="56" t="s">
        <v>23</v>
      </c>
      <c r="AN11" s="56" t="s">
        <v>99</v>
      </c>
      <c r="AO11" s="56" t="s">
        <v>99</v>
      </c>
      <c r="AP11" s="56" t="s">
        <v>23</v>
      </c>
      <c r="AQ11" s="56" t="s">
        <v>99</v>
      </c>
      <c r="AR11" s="56" t="s">
        <v>99</v>
      </c>
      <c r="AS11" s="56" t="s">
        <v>99</v>
      </c>
      <c r="AT11" s="56" t="s">
        <v>99</v>
      </c>
      <c r="AU11" s="56" t="s">
        <v>99</v>
      </c>
      <c r="AV11" s="56" t="s">
        <v>99</v>
      </c>
      <c r="AW11" s="56" t="s">
        <v>99</v>
      </c>
      <c r="AX11" s="56" t="s">
        <v>99</v>
      </c>
      <c r="AY11" s="56" t="s">
        <v>99</v>
      </c>
      <c r="AZ11" s="56" t="s">
        <v>99</v>
      </c>
      <c r="BA11" s="56" t="s">
        <v>99</v>
      </c>
      <c r="BB11" s="56" t="s">
        <v>99</v>
      </c>
      <c r="BC11" s="56" t="s">
        <v>99</v>
      </c>
      <c r="BD11" s="56" t="s">
        <v>99</v>
      </c>
      <c r="BE11" s="56" t="s">
        <v>99</v>
      </c>
      <c r="BF11" s="56" t="s">
        <v>99</v>
      </c>
      <c r="BG11" s="56" t="s">
        <v>99</v>
      </c>
      <c r="BH11" s="56" t="s">
        <v>99</v>
      </c>
      <c r="BI11" s="56" t="s">
        <v>99</v>
      </c>
      <c r="BJ11" s="56" t="s">
        <v>99</v>
      </c>
      <c r="BK11" s="56" t="s">
        <v>99</v>
      </c>
      <c r="BL11" s="56" t="s">
        <v>99</v>
      </c>
      <c r="BM11" s="56" t="s">
        <v>99</v>
      </c>
      <c r="BN11" s="56" t="s">
        <v>99</v>
      </c>
      <c r="BO11" s="56" t="s">
        <v>99</v>
      </c>
      <c r="BP11" s="62" t="s">
        <v>99</v>
      </c>
    </row>
    <row r="12" spans="2:68">
      <c r="B12" s="58">
        <v>1</v>
      </c>
      <c r="C12" s="59">
        <v>1</v>
      </c>
      <c r="D12" s="59" t="s">
        <v>105</v>
      </c>
      <c r="E12" s="60">
        <f>'[1]Master File'!B11</f>
        <v>46025</v>
      </c>
      <c r="F12" s="61" t="str">
        <f>'[1]Master File'!C11</f>
        <v>Zoo</v>
      </c>
      <c r="G12" s="39"/>
      <c r="I12" s="56" t="s">
        <v>23</v>
      </c>
      <c r="J12" s="56" t="s">
        <v>23</v>
      </c>
      <c r="K12" s="56" t="s">
        <v>23</v>
      </c>
      <c r="L12" s="56" t="s">
        <v>23</v>
      </c>
      <c r="M12" s="56" t="s">
        <v>23</v>
      </c>
      <c r="N12" s="56" t="s">
        <v>23</v>
      </c>
      <c r="O12" s="56" t="s">
        <v>23</v>
      </c>
      <c r="P12" s="56" t="s">
        <v>23</v>
      </c>
      <c r="Q12" s="56" t="s">
        <v>23</v>
      </c>
      <c r="R12" s="63" t="s">
        <v>23</v>
      </c>
      <c r="S12" s="63" t="s">
        <v>99</v>
      </c>
      <c r="T12" s="63" t="s">
        <v>23</v>
      </c>
      <c r="U12" s="63" t="s">
        <v>99</v>
      </c>
      <c r="V12" s="63" t="s">
        <v>99</v>
      </c>
      <c r="W12" s="63" t="s">
        <v>99</v>
      </c>
      <c r="X12" s="63" t="s">
        <v>99</v>
      </c>
      <c r="Y12" s="56" t="s">
        <v>23</v>
      </c>
      <c r="Z12" s="63" t="s">
        <v>23</v>
      </c>
      <c r="AA12" s="63" t="s">
        <v>23</v>
      </c>
      <c r="AB12" s="63" t="s">
        <v>23</v>
      </c>
      <c r="AC12" s="63" t="s">
        <v>23</v>
      </c>
      <c r="AD12" s="63" t="s">
        <v>23</v>
      </c>
      <c r="AE12" s="63" t="s">
        <v>99</v>
      </c>
      <c r="AF12" s="63" t="s">
        <v>99</v>
      </c>
      <c r="AG12" s="63" t="s">
        <v>23</v>
      </c>
      <c r="AH12" s="63" t="s">
        <v>23</v>
      </c>
      <c r="AI12" s="63" t="s">
        <v>99</v>
      </c>
      <c r="AJ12" s="63" t="s">
        <v>99</v>
      </c>
      <c r="AK12" s="63" t="s">
        <v>23</v>
      </c>
      <c r="AL12" s="63" t="s">
        <v>99</v>
      </c>
      <c r="AM12" s="63" t="s">
        <v>23</v>
      </c>
      <c r="AN12" s="63" t="s">
        <v>99</v>
      </c>
      <c r="AO12" s="63" t="s">
        <v>99</v>
      </c>
      <c r="AP12" s="63" t="s">
        <v>23</v>
      </c>
      <c r="AQ12" s="63" t="s">
        <v>23</v>
      </c>
      <c r="AR12" s="63" t="s">
        <v>99</v>
      </c>
      <c r="AS12" s="63" t="s">
        <v>99</v>
      </c>
      <c r="AT12" s="63" t="s">
        <v>99</v>
      </c>
      <c r="AU12" s="63" t="s">
        <v>99</v>
      </c>
      <c r="AV12" s="63" t="s">
        <v>99</v>
      </c>
      <c r="AW12" s="63" t="s">
        <v>99</v>
      </c>
      <c r="AX12" s="63" t="s">
        <v>99</v>
      </c>
      <c r="AY12" s="63" t="s">
        <v>99</v>
      </c>
      <c r="AZ12" s="63" t="s">
        <v>99</v>
      </c>
      <c r="BA12" s="63" t="s">
        <v>99</v>
      </c>
      <c r="BB12" s="63" t="s">
        <v>99</v>
      </c>
      <c r="BC12" s="63" t="s">
        <v>99</v>
      </c>
      <c r="BD12" s="63" t="s">
        <v>99</v>
      </c>
      <c r="BE12" s="63" t="s">
        <v>99</v>
      </c>
      <c r="BF12" s="63" t="s">
        <v>99</v>
      </c>
      <c r="BG12" s="63" t="s">
        <v>99</v>
      </c>
      <c r="BH12" s="63" t="s">
        <v>99</v>
      </c>
      <c r="BI12" s="63" t="s">
        <v>99</v>
      </c>
      <c r="BJ12" s="63" t="s">
        <v>99</v>
      </c>
      <c r="BK12" s="63" t="s">
        <v>99</v>
      </c>
      <c r="BL12" s="63" t="s">
        <v>99</v>
      </c>
      <c r="BM12" s="63" t="s">
        <v>99</v>
      </c>
      <c r="BN12" s="63" t="s">
        <v>99</v>
      </c>
      <c r="BO12" s="63" t="s">
        <v>99</v>
      </c>
      <c r="BP12" s="64" t="s">
        <v>99</v>
      </c>
    </row>
    <row r="13" spans="2:68">
      <c r="B13" s="58">
        <v>1</v>
      </c>
      <c r="C13" s="59">
        <v>2</v>
      </c>
      <c r="D13" s="59" t="s">
        <v>98</v>
      </c>
      <c r="E13" s="60">
        <f>'[1]Master File'!B12</f>
        <v>46026</v>
      </c>
      <c r="F13" s="61" t="str">
        <f>'[1]Master File'!C12</f>
        <v>Zoo</v>
      </c>
      <c r="G13" s="39"/>
      <c r="I13" s="56" t="s">
        <v>23</v>
      </c>
      <c r="J13" s="56" t="s">
        <v>23</v>
      </c>
      <c r="K13" s="56" t="s">
        <v>23</v>
      </c>
      <c r="L13" s="56" t="s">
        <v>23</v>
      </c>
      <c r="M13" s="56" t="s">
        <v>23</v>
      </c>
      <c r="N13" s="56" t="s">
        <v>23</v>
      </c>
      <c r="O13" s="56" t="s">
        <v>23</v>
      </c>
      <c r="P13" s="56" t="s">
        <v>23</v>
      </c>
      <c r="Q13" s="56" t="s">
        <v>23</v>
      </c>
      <c r="R13" s="63" t="s">
        <v>23</v>
      </c>
      <c r="S13" s="63" t="s">
        <v>99</v>
      </c>
      <c r="T13" s="63" t="s">
        <v>23</v>
      </c>
      <c r="U13" s="63" t="s">
        <v>99</v>
      </c>
      <c r="V13" s="63" t="s">
        <v>99</v>
      </c>
      <c r="W13" s="63" t="s">
        <v>99</v>
      </c>
      <c r="X13" s="63" t="s">
        <v>99</v>
      </c>
      <c r="Y13" s="56" t="s">
        <v>23</v>
      </c>
      <c r="Z13" s="63" t="s">
        <v>23</v>
      </c>
      <c r="AA13" s="63" t="s">
        <v>23</v>
      </c>
      <c r="AB13" s="63" t="s">
        <v>23</v>
      </c>
      <c r="AC13" s="63" t="s">
        <v>23</v>
      </c>
      <c r="AD13" s="63" t="s">
        <v>23</v>
      </c>
      <c r="AE13" s="63" t="s">
        <v>99</v>
      </c>
      <c r="AF13" s="63" t="s">
        <v>99</v>
      </c>
      <c r="AG13" s="63" t="s">
        <v>23</v>
      </c>
      <c r="AH13" s="63" t="s">
        <v>23</v>
      </c>
      <c r="AI13" s="63" t="s">
        <v>99</v>
      </c>
      <c r="AJ13" s="63" t="s">
        <v>99</v>
      </c>
      <c r="AK13" s="63" t="s">
        <v>23</v>
      </c>
      <c r="AL13" s="63" t="s">
        <v>99</v>
      </c>
      <c r="AM13" s="63" t="s">
        <v>23</v>
      </c>
      <c r="AN13" s="63" t="s">
        <v>99</v>
      </c>
      <c r="AO13" s="63" t="s">
        <v>99</v>
      </c>
      <c r="AP13" s="63" t="s">
        <v>23</v>
      </c>
      <c r="AQ13" s="63" t="s">
        <v>23</v>
      </c>
      <c r="AR13" s="63" t="s">
        <v>99</v>
      </c>
      <c r="AS13" s="63" t="s">
        <v>99</v>
      </c>
      <c r="AT13" s="63" t="s">
        <v>99</v>
      </c>
      <c r="AU13" s="63" t="s">
        <v>99</v>
      </c>
      <c r="AV13" s="63" t="s">
        <v>99</v>
      </c>
      <c r="AW13" s="63" t="s">
        <v>99</v>
      </c>
      <c r="AX13" s="63" t="s">
        <v>99</v>
      </c>
      <c r="AY13" s="63" t="s">
        <v>99</v>
      </c>
      <c r="AZ13" s="63" t="s">
        <v>99</v>
      </c>
      <c r="BA13" s="63" t="s">
        <v>99</v>
      </c>
      <c r="BB13" s="63" t="s">
        <v>99</v>
      </c>
      <c r="BC13" s="63" t="s">
        <v>99</v>
      </c>
      <c r="BD13" s="63" t="s">
        <v>99</v>
      </c>
      <c r="BE13" s="63" t="s">
        <v>99</v>
      </c>
      <c r="BF13" s="63" t="s">
        <v>99</v>
      </c>
      <c r="BG13" s="63" t="s">
        <v>99</v>
      </c>
      <c r="BH13" s="63" t="s">
        <v>99</v>
      </c>
      <c r="BI13" s="63" t="s">
        <v>99</v>
      </c>
      <c r="BJ13" s="63" t="s">
        <v>99</v>
      </c>
      <c r="BK13" s="63" t="s">
        <v>99</v>
      </c>
      <c r="BL13" s="63" t="s">
        <v>99</v>
      </c>
      <c r="BM13" s="63" t="s">
        <v>99</v>
      </c>
      <c r="BN13" s="63" t="s">
        <v>99</v>
      </c>
      <c r="BO13" s="63" t="s">
        <v>99</v>
      </c>
      <c r="BP13" s="64" t="s">
        <v>99</v>
      </c>
    </row>
    <row r="14" spans="2:68">
      <c r="B14" s="58">
        <v>1</v>
      </c>
      <c r="C14" s="59">
        <v>2</v>
      </c>
      <c r="D14" s="59" t="s">
        <v>100</v>
      </c>
      <c r="E14" s="60">
        <f>'[1]Master File'!B13</f>
        <v>46027</v>
      </c>
      <c r="F14" s="61" t="str">
        <f>'[1]Master File'!C13</f>
        <v>Closed</v>
      </c>
      <c r="G14" s="39"/>
      <c r="I14" s="56" t="s">
        <v>99</v>
      </c>
      <c r="J14" s="56" t="s">
        <v>99</v>
      </c>
      <c r="K14" s="56" t="s">
        <v>99</v>
      </c>
      <c r="L14" s="56" t="s">
        <v>23</v>
      </c>
      <c r="M14" s="56" t="s">
        <v>99</v>
      </c>
      <c r="N14" s="56" t="s">
        <v>99</v>
      </c>
      <c r="O14" s="56" t="s">
        <v>99</v>
      </c>
      <c r="P14" s="56" t="s">
        <v>99</v>
      </c>
      <c r="Q14" s="56" t="s">
        <v>99</v>
      </c>
      <c r="R14" s="56" t="s">
        <v>99</v>
      </c>
      <c r="S14" s="56" t="s">
        <v>99</v>
      </c>
      <c r="T14" s="56" t="s">
        <v>99</v>
      </c>
      <c r="U14" s="56" t="s">
        <v>99</v>
      </c>
      <c r="V14" s="56" t="s">
        <v>99</v>
      </c>
      <c r="W14" s="56" t="s">
        <v>99</v>
      </c>
      <c r="X14" s="56" t="s">
        <v>99</v>
      </c>
      <c r="Y14" s="56" t="s">
        <v>23</v>
      </c>
      <c r="Z14" s="56" t="s">
        <v>99</v>
      </c>
      <c r="AA14" s="56" t="s">
        <v>99</v>
      </c>
      <c r="AB14" s="56" t="s">
        <v>23</v>
      </c>
      <c r="AC14" s="56" t="s">
        <v>23</v>
      </c>
      <c r="AD14" s="56" t="s">
        <v>99</v>
      </c>
      <c r="AE14" s="56" t="s">
        <v>99</v>
      </c>
      <c r="AF14" s="56" t="s">
        <v>99</v>
      </c>
      <c r="AG14" s="56" t="s">
        <v>23</v>
      </c>
      <c r="AH14" s="56" t="s">
        <v>99</v>
      </c>
      <c r="AI14" s="56" t="s">
        <v>99</v>
      </c>
      <c r="AJ14" s="56" t="s">
        <v>99</v>
      </c>
      <c r="AK14" s="56" t="s">
        <v>23</v>
      </c>
      <c r="AL14" s="56" t="s">
        <v>99</v>
      </c>
      <c r="AM14" s="56" t="s">
        <v>99</v>
      </c>
      <c r="AN14" s="56" t="s">
        <v>99</v>
      </c>
      <c r="AO14" s="56" t="s">
        <v>99</v>
      </c>
      <c r="AP14" s="56" t="s">
        <v>99</v>
      </c>
      <c r="AQ14" s="56" t="s">
        <v>99</v>
      </c>
      <c r="AR14" s="56" t="s">
        <v>99</v>
      </c>
      <c r="AS14" s="56" t="s">
        <v>99</v>
      </c>
      <c r="AT14" s="56" t="s">
        <v>99</v>
      </c>
      <c r="AU14" s="56" t="s">
        <v>99</v>
      </c>
      <c r="AV14" s="56" t="s">
        <v>99</v>
      </c>
      <c r="AW14" s="56" t="s">
        <v>99</v>
      </c>
      <c r="AX14" s="56" t="s">
        <v>99</v>
      </c>
      <c r="AY14" s="56" t="s">
        <v>99</v>
      </c>
      <c r="AZ14" s="56" t="s">
        <v>99</v>
      </c>
      <c r="BA14" s="56" t="s">
        <v>99</v>
      </c>
      <c r="BB14" s="56" t="s">
        <v>99</v>
      </c>
      <c r="BC14" s="56" t="s">
        <v>99</v>
      </c>
      <c r="BD14" s="56" t="s">
        <v>99</v>
      </c>
      <c r="BE14" s="56" t="s">
        <v>99</v>
      </c>
      <c r="BF14" s="56" t="s">
        <v>99</v>
      </c>
      <c r="BG14" s="56" t="s">
        <v>99</v>
      </c>
      <c r="BH14" s="56" t="s">
        <v>99</v>
      </c>
      <c r="BI14" s="56" t="s">
        <v>99</v>
      </c>
      <c r="BJ14" s="56" t="s">
        <v>99</v>
      </c>
      <c r="BK14" s="56" t="s">
        <v>99</v>
      </c>
      <c r="BL14" s="56" t="s">
        <v>99</v>
      </c>
      <c r="BM14" s="56" t="s">
        <v>99</v>
      </c>
      <c r="BN14" s="56" t="s">
        <v>99</v>
      </c>
      <c r="BO14" s="56" t="s">
        <v>99</v>
      </c>
      <c r="BP14" s="62" t="s">
        <v>99</v>
      </c>
    </row>
    <row r="15" spans="2:68">
      <c r="B15" s="58">
        <v>1</v>
      </c>
      <c r="C15" s="59">
        <v>2</v>
      </c>
      <c r="D15" s="59" t="s">
        <v>101</v>
      </c>
      <c r="E15" s="60">
        <f>'[1]Master File'!B14</f>
        <v>46028</v>
      </c>
      <c r="F15" s="61" t="str">
        <f>'[1]Master File'!C14</f>
        <v>Closed</v>
      </c>
      <c r="G15" s="39"/>
      <c r="I15" s="56" t="s">
        <v>99</v>
      </c>
      <c r="J15" s="56" t="s">
        <v>99</v>
      </c>
      <c r="K15" s="56" t="s">
        <v>99</v>
      </c>
      <c r="L15" s="56" t="s">
        <v>23</v>
      </c>
      <c r="M15" s="56" t="s">
        <v>99</v>
      </c>
      <c r="N15" s="56" t="s">
        <v>99</v>
      </c>
      <c r="O15" s="56" t="s">
        <v>99</v>
      </c>
      <c r="P15" s="56" t="s">
        <v>99</v>
      </c>
      <c r="Q15" s="56" t="s">
        <v>99</v>
      </c>
      <c r="R15" s="56" t="s">
        <v>99</v>
      </c>
      <c r="S15" s="56" t="s">
        <v>99</v>
      </c>
      <c r="T15" s="56" t="s">
        <v>99</v>
      </c>
      <c r="U15" s="56" t="s">
        <v>99</v>
      </c>
      <c r="V15" s="56" t="s">
        <v>99</v>
      </c>
      <c r="W15" s="56" t="s">
        <v>99</v>
      </c>
      <c r="X15" s="56" t="s">
        <v>99</v>
      </c>
      <c r="Y15" s="56" t="s">
        <v>23</v>
      </c>
      <c r="Z15" s="56" t="s">
        <v>99</v>
      </c>
      <c r="AA15" s="56" t="s">
        <v>99</v>
      </c>
      <c r="AB15" s="56" t="s">
        <v>23</v>
      </c>
      <c r="AC15" s="56" t="s">
        <v>23</v>
      </c>
      <c r="AD15" s="56" t="s">
        <v>99</v>
      </c>
      <c r="AE15" s="56" t="s">
        <v>99</v>
      </c>
      <c r="AF15" s="56" t="s">
        <v>99</v>
      </c>
      <c r="AG15" s="56" t="s">
        <v>23</v>
      </c>
      <c r="AH15" s="56" t="s">
        <v>99</v>
      </c>
      <c r="AI15" s="56" t="s">
        <v>99</v>
      </c>
      <c r="AJ15" s="56" t="s">
        <v>99</v>
      </c>
      <c r="AK15" s="56" t="s">
        <v>23</v>
      </c>
      <c r="AL15" s="56" t="s">
        <v>99</v>
      </c>
      <c r="AM15" s="56" t="s">
        <v>99</v>
      </c>
      <c r="AN15" s="56" t="s">
        <v>99</v>
      </c>
      <c r="AO15" s="56" t="s">
        <v>99</v>
      </c>
      <c r="AP15" s="56" t="s">
        <v>99</v>
      </c>
      <c r="AQ15" s="56" t="s">
        <v>99</v>
      </c>
      <c r="AR15" s="56" t="s">
        <v>99</v>
      </c>
      <c r="AS15" s="56" t="s">
        <v>99</v>
      </c>
      <c r="AT15" s="56" t="s">
        <v>99</v>
      </c>
      <c r="AU15" s="56" t="s">
        <v>99</v>
      </c>
      <c r="AV15" s="56" t="s">
        <v>99</v>
      </c>
      <c r="AW15" s="56" t="s">
        <v>99</v>
      </c>
      <c r="AX15" s="56" t="s">
        <v>99</v>
      </c>
      <c r="AY15" s="56" t="s">
        <v>99</v>
      </c>
      <c r="AZ15" s="56" t="s">
        <v>99</v>
      </c>
      <c r="BA15" s="56" t="s">
        <v>99</v>
      </c>
      <c r="BB15" s="56" t="s">
        <v>99</v>
      </c>
      <c r="BC15" s="56" t="s">
        <v>99</v>
      </c>
      <c r="BD15" s="56" t="s">
        <v>99</v>
      </c>
      <c r="BE15" s="56" t="s">
        <v>99</v>
      </c>
      <c r="BF15" s="56" t="s">
        <v>99</v>
      </c>
      <c r="BG15" s="56" t="s">
        <v>99</v>
      </c>
      <c r="BH15" s="56" t="s">
        <v>99</v>
      </c>
      <c r="BI15" s="56" t="s">
        <v>99</v>
      </c>
      <c r="BJ15" s="56" t="s">
        <v>99</v>
      </c>
      <c r="BK15" s="56" t="s">
        <v>99</v>
      </c>
      <c r="BL15" s="56" t="s">
        <v>99</v>
      </c>
      <c r="BM15" s="56" t="s">
        <v>99</v>
      </c>
      <c r="BN15" s="56" t="s">
        <v>99</v>
      </c>
      <c r="BO15" s="56" t="s">
        <v>99</v>
      </c>
      <c r="BP15" s="62" t="s">
        <v>99</v>
      </c>
    </row>
    <row r="16" spans="2:68">
      <c r="B16" s="58">
        <v>1</v>
      </c>
      <c r="C16" s="59">
        <v>2</v>
      </c>
      <c r="D16" s="59" t="s">
        <v>102</v>
      </c>
      <c r="E16" s="60">
        <f>'[1]Master File'!B15</f>
        <v>46029</v>
      </c>
      <c r="F16" s="61" t="str">
        <f>'[1]Master File'!C15</f>
        <v>Closed</v>
      </c>
      <c r="G16" s="39"/>
      <c r="I16" s="56" t="s">
        <v>99</v>
      </c>
      <c r="J16" s="56" t="s">
        <v>99</v>
      </c>
      <c r="K16" s="56" t="s">
        <v>99</v>
      </c>
      <c r="L16" s="56" t="s">
        <v>23</v>
      </c>
      <c r="M16" s="56" t="s">
        <v>99</v>
      </c>
      <c r="N16" s="56" t="s">
        <v>99</v>
      </c>
      <c r="O16" s="56" t="s">
        <v>99</v>
      </c>
      <c r="P16" s="56" t="s">
        <v>99</v>
      </c>
      <c r="Q16" s="56" t="s">
        <v>99</v>
      </c>
      <c r="R16" s="56" t="s">
        <v>99</v>
      </c>
      <c r="S16" s="56" t="s">
        <v>99</v>
      </c>
      <c r="T16" s="56" t="s">
        <v>99</v>
      </c>
      <c r="U16" s="56" t="s">
        <v>99</v>
      </c>
      <c r="V16" s="56" t="s">
        <v>99</v>
      </c>
      <c r="W16" s="56" t="s">
        <v>99</v>
      </c>
      <c r="X16" s="56" t="s">
        <v>99</v>
      </c>
      <c r="Y16" s="56" t="s">
        <v>23</v>
      </c>
      <c r="Z16" s="56" t="s">
        <v>99</v>
      </c>
      <c r="AA16" s="56" t="s">
        <v>99</v>
      </c>
      <c r="AB16" s="56" t="s">
        <v>23</v>
      </c>
      <c r="AC16" s="56" t="s">
        <v>23</v>
      </c>
      <c r="AD16" s="56" t="s">
        <v>99</v>
      </c>
      <c r="AE16" s="56" t="s">
        <v>99</v>
      </c>
      <c r="AF16" s="56" t="s">
        <v>99</v>
      </c>
      <c r="AG16" s="56" t="s">
        <v>23</v>
      </c>
      <c r="AH16" s="56" t="s">
        <v>99</v>
      </c>
      <c r="AI16" s="56" t="s">
        <v>99</v>
      </c>
      <c r="AJ16" s="56" t="s">
        <v>99</v>
      </c>
      <c r="AK16" s="56" t="s">
        <v>23</v>
      </c>
      <c r="AL16" s="56" t="s">
        <v>99</v>
      </c>
      <c r="AM16" s="56" t="s">
        <v>99</v>
      </c>
      <c r="AN16" s="56" t="s">
        <v>99</v>
      </c>
      <c r="AO16" s="56" t="s">
        <v>99</v>
      </c>
      <c r="AP16" s="56" t="s">
        <v>99</v>
      </c>
      <c r="AQ16" s="56" t="s">
        <v>99</v>
      </c>
      <c r="AR16" s="56" t="s">
        <v>99</v>
      </c>
      <c r="AS16" s="56" t="s">
        <v>99</v>
      </c>
      <c r="AT16" s="56" t="s">
        <v>99</v>
      </c>
      <c r="AU16" s="56" t="s">
        <v>99</v>
      </c>
      <c r="AV16" s="56" t="s">
        <v>99</v>
      </c>
      <c r="AW16" s="56" t="s">
        <v>99</v>
      </c>
      <c r="AX16" s="56" t="s">
        <v>99</v>
      </c>
      <c r="AY16" s="56" t="s">
        <v>99</v>
      </c>
      <c r="AZ16" s="56" t="s">
        <v>99</v>
      </c>
      <c r="BA16" s="56" t="s">
        <v>99</v>
      </c>
      <c r="BB16" s="56" t="s">
        <v>99</v>
      </c>
      <c r="BC16" s="56" t="s">
        <v>99</v>
      </c>
      <c r="BD16" s="56" t="s">
        <v>99</v>
      </c>
      <c r="BE16" s="56" t="s">
        <v>99</v>
      </c>
      <c r="BF16" s="56" t="s">
        <v>99</v>
      </c>
      <c r="BG16" s="56" t="s">
        <v>99</v>
      </c>
      <c r="BH16" s="56" t="s">
        <v>99</v>
      </c>
      <c r="BI16" s="56" t="s">
        <v>99</v>
      </c>
      <c r="BJ16" s="56" t="s">
        <v>99</v>
      </c>
      <c r="BK16" s="56" t="s">
        <v>99</v>
      </c>
      <c r="BL16" s="56" t="s">
        <v>99</v>
      </c>
      <c r="BM16" s="56" t="s">
        <v>99</v>
      </c>
      <c r="BN16" s="56" t="s">
        <v>99</v>
      </c>
      <c r="BO16" s="56" t="s">
        <v>99</v>
      </c>
      <c r="BP16" s="62" t="s">
        <v>99</v>
      </c>
    </row>
    <row r="17" spans="2:68">
      <c r="B17" s="58">
        <v>1</v>
      </c>
      <c r="C17" s="59">
        <v>2</v>
      </c>
      <c r="D17" s="59" t="s">
        <v>103</v>
      </c>
      <c r="E17" s="60">
        <f>'[1]Master File'!B16</f>
        <v>46030</v>
      </c>
      <c r="F17" s="61" t="str">
        <f>'[1]Master File'!C16</f>
        <v>Closed</v>
      </c>
      <c r="G17" s="39"/>
      <c r="I17" s="56" t="s">
        <v>99</v>
      </c>
      <c r="J17" s="56" t="s">
        <v>99</v>
      </c>
      <c r="K17" s="56" t="s">
        <v>99</v>
      </c>
      <c r="L17" s="56" t="s">
        <v>23</v>
      </c>
      <c r="M17" s="56" t="s">
        <v>99</v>
      </c>
      <c r="N17" s="56" t="s">
        <v>99</v>
      </c>
      <c r="O17" s="56" t="s">
        <v>99</v>
      </c>
      <c r="P17" s="56" t="s">
        <v>99</v>
      </c>
      <c r="Q17" s="56" t="s">
        <v>99</v>
      </c>
      <c r="R17" s="56" t="s">
        <v>99</v>
      </c>
      <c r="S17" s="56" t="s">
        <v>99</v>
      </c>
      <c r="T17" s="56" t="s">
        <v>99</v>
      </c>
      <c r="U17" s="56" t="s">
        <v>99</v>
      </c>
      <c r="V17" s="56" t="s">
        <v>99</v>
      </c>
      <c r="W17" s="56" t="s">
        <v>99</v>
      </c>
      <c r="X17" s="56" t="s">
        <v>99</v>
      </c>
      <c r="Y17" s="56" t="s">
        <v>23</v>
      </c>
      <c r="Z17" s="56" t="s">
        <v>99</v>
      </c>
      <c r="AA17" s="56" t="s">
        <v>99</v>
      </c>
      <c r="AB17" s="56" t="s">
        <v>23</v>
      </c>
      <c r="AC17" s="56" t="s">
        <v>23</v>
      </c>
      <c r="AD17" s="56" t="s">
        <v>99</v>
      </c>
      <c r="AE17" s="56" t="s">
        <v>99</v>
      </c>
      <c r="AF17" s="56" t="s">
        <v>99</v>
      </c>
      <c r="AG17" s="56" t="s">
        <v>23</v>
      </c>
      <c r="AH17" s="56" t="s">
        <v>99</v>
      </c>
      <c r="AI17" s="56" t="s">
        <v>99</v>
      </c>
      <c r="AJ17" s="56" t="s">
        <v>99</v>
      </c>
      <c r="AK17" s="56" t="s">
        <v>23</v>
      </c>
      <c r="AL17" s="56" t="s">
        <v>99</v>
      </c>
      <c r="AM17" s="56" t="s">
        <v>99</v>
      </c>
      <c r="AN17" s="56" t="s">
        <v>99</v>
      </c>
      <c r="AO17" s="56" t="s">
        <v>99</v>
      </c>
      <c r="AP17" s="56" t="s">
        <v>99</v>
      </c>
      <c r="AQ17" s="56" t="s">
        <v>99</v>
      </c>
      <c r="AR17" s="56" t="s">
        <v>99</v>
      </c>
      <c r="AS17" s="56" t="s">
        <v>99</v>
      </c>
      <c r="AT17" s="56" t="s">
        <v>99</v>
      </c>
      <c r="AU17" s="56" t="s">
        <v>99</v>
      </c>
      <c r="AV17" s="56" t="s">
        <v>99</v>
      </c>
      <c r="AW17" s="56" t="s">
        <v>99</v>
      </c>
      <c r="AX17" s="56" t="s">
        <v>99</v>
      </c>
      <c r="AY17" s="56" t="s">
        <v>99</v>
      </c>
      <c r="AZ17" s="56" t="s">
        <v>99</v>
      </c>
      <c r="BA17" s="56" t="s">
        <v>99</v>
      </c>
      <c r="BB17" s="56" t="s">
        <v>99</v>
      </c>
      <c r="BC17" s="56" t="s">
        <v>99</v>
      </c>
      <c r="BD17" s="56" t="s">
        <v>99</v>
      </c>
      <c r="BE17" s="56" t="s">
        <v>99</v>
      </c>
      <c r="BF17" s="56" t="s">
        <v>99</v>
      </c>
      <c r="BG17" s="56" t="s">
        <v>99</v>
      </c>
      <c r="BH17" s="56" t="s">
        <v>99</v>
      </c>
      <c r="BI17" s="56" t="s">
        <v>99</v>
      </c>
      <c r="BJ17" s="56" t="s">
        <v>99</v>
      </c>
      <c r="BK17" s="56" t="s">
        <v>99</v>
      </c>
      <c r="BL17" s="56" t="s">
        <v>99</v>
      </c>
      <c r="BM17" s="56" t="s">
        <v>99</v>
      </c>
      <c r="BN17" s="56" t="s">
        <v>99</v>
      </c>
      <c r="BO17" s="56" t="s">
        <v>99</v>
      </c>
      <c r="BP17" s="62" t="s">
        <v>99</v>
      </c>
    </row>
    <row r="18" spans="2:68">
      <c r="B18" s="58">
        <v>1</v>
      </c>
      <c r="C18" s="59">
        <v>2</v>
      </c>
      <c r="D18" s="59" t="s">
        <v>104</v>
      </c>
      <c r="E18" s="60">
        <f>'[1]Master File'!B17</f>
        <v>46031</v>
      </c>
      <c r="F18" s="61" t="str">
        <f>'[1]Master File'!C17</f>
        <v>Closed</v>
      </c>
      <c r="G18" s="39"/>
      <c r="I18" s="56" t="s">
        <v>99</v>
      </c>
      <c r="J18" s="56" t="s">
        <v>99</v>
      </c>
      <c r="K18" s="56" t="s">
        <v>99</v>
      </c>
      <c r="L18" s="56" t="s">
        <v>23</v>
      </c>
      <c r="M18" s="56" t="s">
        <v>99</v>
      </c>
      <c r="N18" s="56" t="s">
        <v>99</v>
      </c>
      <c r="O18" s="56" t="s">
        <v>99</v>
      </c>
      <c r="P18" s="56" t="s">
        <v>99</v>
      </c>
      <c r="Q18" s="56" t="s">
        <v>99</v>
      </c>
      <c r="R18" s="56" t="s">
        <v>99</v>
      </c>
      <c r="S18" s="56" t="s">
        <v>99</v>
      </c>
      <c r="T18" s="56" t="s">
        <v>99</v>
      </c>
      <c r="U18" s="56" t="s">
        <v>99</v>
      </c>
      <c r="V18" s="56" t="s">
        <v>99</v>
      </c>
      <c r="W18" s="56" t="s">
        <v>99</v>
      </c>
      <c r="X18" s="56" t="s">
        <v>99</v>
      </c>
      <c r="Y18" s="56" t="s">
        <v>23</v>
      </c>
      <c r="Z18" s="56" t="s">
        <v>99</v>
      </c>
      <c r="AA18" s="56" t="s">
        <v>99</v>
      </c>
      <c r="AB18" s="56" t="s">
        <v>23</v>
      </c>
      <c r="AC18" s="56" t="s">
        <v>23</v>
      </c>
      <c r="AD18" s="56" t="s">
        <v>99</v>
      </c>
      <c r="AE18" s="56" t="s">
        <v>99</v>
      </c>
      <c r="AF18" s="56" t="s">
        <v>99</v>
      </c>
      <c r="AG18" s="56" t="s">
        <v>23</v>
      </c>
      <c r="AH18" s="56" t="s">
        <v>99</v>
      </c>
      <c r="AI18" s="56" t="s">
        <v>99</v>
      </c>
      <c r="AJ18" s="56" t="s">
        <v>99</v>
      </c>
      <c r="AK18" s="56" t="s">
        <v>23</v>
      </c>
      <c r="AL18" s="56" t="s">
        <v>99</v>
      </c>
      <c r="AM18" s="56" t="s">
        <v>99</v>
      </c>
      <c r="AN18" s="56" t="s">
        <v>99</v>
      </c>
      <c r="AO18" s="56" t="s">
        <v>99</v>
      </c>
      <c r="AP18" s="56" t="s">
        <v>99</v>
      </c>
      <c r="AQ18" s="56" t="s">
        <v>99</v>
      </c>
      <c r="AR18" s="56" t="s">
        <v>99</v>
      </c>
      <c r="AS18" s="56" t="s">
        <v>99</v>
      </c>
      <c r="AT18" s="56" t="s">
        <v>99</v>
      </c>
      <c r="AU18" s="56" t="s">
        <v>99</v>
      </c>
      <c r="AV18" s="56" t="s">
        <v>99</v>
      </c>
      <c r="AW18" s="56" t="s">
        <v>99</v>
      </c>
      <c r="AX18" s="56" t="s">
        <v>99</v>
      </c>
      <c r="AY18" s="56" t="s">
        <v>99</v>
      </c>
      <c r="AZ18" s="56" t="s">
        <v>99</v>
      </c>
      <c r="BA18" s="56" t="s">
        <v>99</v>
      </c>
      <c r="BB18" s="56" t="s">
        <v>99</v>
      </c>
      <c r="BC18" s="56" t="s">
        <v>99</v>
      </c>
      <c r="BD18" s="56" t="s">
        <v>99</v>
      </c>
      <c r="BE18" s="56" t="s">
        <v>99</v>
      </c>
      <c r="BF18" s="56" t="s">
        <v>99</v>
      </c>
      <c r="BG18" s="56" t="s">
        <v>99</v>
      </c>
      <c r="BH18" s="56" t="s">
        <v>99</v>
      </c>
      <c r="BI18" s="56" t="s">
        <v>99</v>
      </c>
      <c r="BJ18" s="56" t="s">
        <v>99</v>
      </c>
      <c r="BK18" s="56" t="s">
        <v>99</v>
      </c>
      <c r="BL18" s="56" t="s">
        <v>99</v>
      </c>
      <c r="BM18" s="56" t="s">
        <v>99</v>
      </c>
      <c r="BN18" s="56" t="s">
        <v>99</v>
      </c>
      <c r="BO18" s="56" t="s">
        <v>99</v>
      </c>
      <c r="BP18" s="62" t="s">
        <v>99</v>
      </c>
    </row>
    <row r="19" spans="2:68">
      <c r="B19" s="58">
        <v>1</v>
      </c>
      <c r="C19" s="59">
        <v>2</v>
      </c>
      <c r="D19" s="59" t="s">
        <v>105</v>
      </c>
      <c r="E19" s="60">
        <f>'[1]Master File'!B18</f>
        <v>46032</v>
      </c>
      <c r="F19" s="61" t="str">
        <f>'[1]Master File'!C18</f>
        <v>Zoo</v>
      </c>
      <c r="G19" s="39"/>
      <c r="I19" s="56" t="s">
        <v>23</v>
      </c>
      <c r="J19" s="56" t="s">
        <v>23</v>
      </c>
      <c r="K19" s="56" t="s">
        <v>23</v>
      </c>
      <c r="L19" s="56" t="s">
        <v>23</v>
      </c>
      <c r="M19" s="56" t="s">
        <v>23</v>
      </c>
      <c r="N19" s="56" t="s">
        <v>23</v>
      </c>
      <c r="O19" s="56" t="s">
        <v>23</v>
      </c>
      <c r="P19" s="56" t="s">
        <v>23</v>
      </c>
      <c r="Q19" s="56" t="s">
        <v>23</v>
      </c>
      <c r="R19" s="63" t="s">
        <v>23</v>
      </c>
      <c r="S19" s="63" t="s">
        <v>99</v>
      </c>
      <c r="T19" s="63" t="s">
        <v>23</v>
      </c>
      <c r="U19" s="63" t="s">
        <v>99</v>
      </c>
      <c r="V19" s="63" t="s">
        <v>99</v>
      </c>
      <c r="W19" s="63" t="s">
        <v>99</v>
      </c>
      <c r="X19" s="63" t="s">
        <v>99</v>
      </c>
      <c r="Y19" s="56" t="s">
        <v>23</v>
      </c>
      <c r="Z19" s="63" t="s">
        <v>23</v>
      </c>
      <c r="AA19" s="63" t="s">
        <v>23</v>
      </c>
      <c r="AB19" s="63" t="s">
        <v>23</v>
      </c>
      <c r="AC19" s="63" t="s">
        <v>23</v>
      </c>
      <c r="AD19" s="63" t="s">
        <v>23</v>
      </c>
      <c r="AE19" s="63" t="s">
        <v>99</v>
      </c>
      <c r="AF19" s="63" t="s">
        <v>99</v>
      </c>
      <c r="AG19" s="63" t="s">
        <v>23</v>
      </c>
      <c r="AH19" s="63" t="s">
        <v>23</v>
      </c>
      <c r="AI19" s="63" t="s">
        <v>99</v>
      </c>
      <c r="AJ19" s="63" t="s">
        <v>99</v>
      </c>
      <c r="AK19" s="63" t="s">
        <v>23</v>
      </c>
      <c r="AL19" s="63" t="s">
        <v>99</v>
      </c>
      <c r="AM19" s="63" t="s">
        <v>23</v>
      </c>
      <c r="AN19" s="63" t="s">
        <v>99</v>
      </c>
      <c r="AO19" s="63" t="s">
        <v>99</v>
      </c>
      <c r="AP19" s="63" t="s">
        <v>23</v>
      </c>
      <c r="AQ19" s="63" t="s">
        <v>23</v>
      </c>
      <c r="AR19" s="63" t="s">
        <v>99</v>
      </c>
      <c r="AS19" s="63" t="s">
        <v>99</v>
      </c>
      <c r="AT19" s="63" t="s">
        <v>99</v>
      </c>
      <c r="AU19" s="63" t="s">
        <v>99</v>
      </c>
      <c r="AV19" s="63" t="s">
        <v>99</v>
      </c>
      <c r="AW19" s="63" t="s">
        <v>99</v>
      </c>
      <c r="AX19" s="63" t="s">
        <v>99</v>
      </c>
      <c r="AY19" s="63" t="s">
        <v>99</v>
      </c>
      <c r="AZ19" s="63" t="s">
        <v>99</v>
      </c>
      <c r="BA19" s="63" t="s">
        <v>99</v>
      </c>
      <c r="BB19" s="63" t="s">
        <v>99</v>
      </c>
      <c r="BC19" s="63" t="s">
        <v>99</v>
      </c>
      <c r="BD19" s="63" t="s">
        <v>99</v>
      </c>
      <c r="BE19" s="63" t="s">
        <v>99</v>
      </c>
      <c r="BF19" s="63" t="s">
        <v>99</v>
      </c>
      <c r="BG19" s="63" t="s">
        <v>99</v>
      </c>
      <c r="BH19" s="63" t="s">
        <v>99</v>
      </c>
      <c r="BI19" s="63" t="s">
        <v>99</v>
      </c>
      <c r="BJ19" s="63" t="s">
        <v>99</v>
      </c>
      <c r="BK19" s="63" t="s">
        <v>99</v>
      </c>
      <c r="BL19" s="63" t="s">
        <v>99</v>
      </c>
      <c r="BM19" s="63" t="s">
        <v>99</v>
      </c>
      <c r="BN19" s="63" t="s">
        <v>99</v>
      </c>
      <c r="BO19" s="63" t="s">
        <v>99</v>
      </c>
      <c r="BP19" s="64" t="s">
        <v>99</v>
      </c>
    </row>
    <row r="20" spans="2:68">
      <c r="B20" s="58">
        <v>1</v>
      </c>
      <c r="C20" s="59">
        <v>3</v>
      </c>
      <c r="D20" s="59" t="s">
        <v>98</v>
      </c>
      <c r="E20" s="60">
        <f>'[1]Master File'!B19</f>
        <v>46033</v>
      </c>
      <c r="F20" s="61" t="str">
        <f>'[1]Master File'!C19</f>
        <v>Zoo</v>
      </c>
      <c r="G20" s="39"/>
      <c r="I20" s="56" t="s">
        <v>23</v>
      </c>
      <c r="J20" s="56" t="s">
        <v>23</v>
      </c>
      <c r="K20" s="56" t="s">
        <v>23</v>
      </c>
      <c r="L20" s="56" t="s">
        <v>23</v>
      </c>
      <c r="M20" s="56" t="s">
        <v>23</v>
      </c>
      <c r="N20" s="56" t="s">
        <v>23</v>
      </c>
      <c r="O20" s="56" t="s">
        <v>23</v>
      </c>
      <c r="P20" s="56" t="s">
        <v>23</v>
      </c>
      <c r="Q20" s="56" t="s">
        <v>23</v>
      </c>
      <c r="R20" s="63" t="s">
        <v>23</v>
      </c>
      <c r="S20" s="63" t="s">
        <v>99</v>
      </c>
      <c r="T20" s="63" t="s">
        <v>23</v>
      </c>
      <c r="U20" s="63" t="s">
        <v>99</v>
      </c>
      <c r="V20" s="63" t="s">
        <v>99</v>
      </c>
      <c r="W20" s="63" t="s">
        <v>99</v>
      </c>
      <c r="X20" s="63" t="s">
        <v>99</v>
      </c>
      <c r="Y20" s="56" t="s">
        <v>23</v>
      </c>
      <c r="Z20" s="63" t="s">
        <v>23</v>
      </c>
      <c r="AA20" s="63" t="s">
        <v>23</v>
      </c>
      <c r="AB20" s="63" t="s">
        <v>23</v>
      </c>
      <c r="AC20" s="63" t="s">
        <v>23</v>
      </c>
      <c r="AD20" s="63" t="s">
        <v>23</v>
      </c>
      <c r="AE20" s="63" t="s">
        <v>99</v>
      </c>
      <c r="AF20" s="63" t="s">
        <v>99</v>
      </c>
      <c r="AG20" s="63" t="s">
        <v>23</v>
      </c>
      <c r="AH20" s="63" t="s">
        <v>23</v>
      </c>
      <c r="AI20" s="63" t="s">
        <v>99</v>
      </c>
      <c r="AJ20" s="63" t="s">
        <v>99</v>
      </c>
      <c r="AK20" s="63" t="s">
        <v>23</v>
      </c>
      <c r="AL20" s="63" t="s">
        <v>99</v>
      </c>
      <c r="AM20" s="63" t="s">
        <v>23</v>
      </c>
      <c r="AN20" s="63" t="s">
        <v>99</v>
      </c>
      <c r="AO20" s="63" t="s">
        <v>99</v>
      </c>
      <c r="AP20" s="63" t="s">
        <v>23</v>
      </c>
      <c r="AQ20" s="63" t="s">
        <v>23</v>
      </c>
      <c r="AR20" s="63" t="s">
        <v>99</v>
      </c>
      <c r="AS20" s="63" t="s">
        <v>99</v>
      </c>
      <c r="AT20" s="63" t="s">
        <v>99</v>
      </c>
      <c r="AU20" s="63" t="s">
        <v>99</v>
      </c>
      <c r="AV20" s="63" t="s">
        <v>99</v>
      </c>
      <c r="AW20" s="63" t="s">
        <v>99</v>
      </c>
      <c r="AX20" s="63" t="s">
        <v>99</v>
      </c>
      <c r="AY20" s="63" t="s">
        <v>99</v>
      </c>
      <c r="AZ20" s="63" t="s">
        <v>99</v>
      </c>
      <c r="BA20" s="63" t="s">
        <v>99</v>
      </c>
      <c r="BB20" s="63" t="s">
        <v>99</v>
      </c>
      <c r="BC20" s="63" t="s">
        <v>99</v>
      </c>
      <c r="BD20" s="63" t="s">
        <v>99</v>
      </c>
      <c r="BE20" s="63" t="s">
        <v>99</v>
      </c>
      <c r="BF20" s="63" t="s">
        <v>99</v>
      </c>
      <c r="BG20" s="63" t="s">
        <v>99</v>
      </c>
      <c r="BH20" s="63" t="s">
        <v>99</v>
      </c>
      <c r="BI20" s="63" t="s">
        <v>99</v>
      </c>
      <c r="BJ20" s="63" t="s">
        <v>99</v>
      </c>
      <c r="BK20" s="63" t="s">
        <v>99</v>
      </c>
      <c r="BL20" s="63" t="s">
        <v>99</v>
      </c>
      <c r="BM20" s="63" t="s">
        <v>99</v>
      </c>
      <c r="BN20" s="63" t="s">
        <v>99</v>
      </c>
      <c r="BO20" s="63" t="s">
        <v>99</v>
      </c>
      <c r="BP20" s="64" t="s">
        <v>99</v>
      </c>
    </row>
    <row r="21" spans="2:68">
      <c r="B21" s="58">
        <v>1</v>
      </c>
      <c r="C21" s="59">
        <v>3</v>
      </c>
      <c r="D21" s="59" t="s">
        <v>100</v>
      </c>
      <c r="E21" s="60">
        <f>'[1]Master File'!B20</f>
        <v>46034</v>
      </c>
      <c r="F21" s="61" t="str">
        <f>'[1]Master File'!C20</f>
        <v>Closed</v>
      </c>
      <c r="G21" s="39"/>
      <c r="I21" s="56" t="s">
        <v>99</v>
      </c>
      <c r="J21" s="56" t="s">
        <v>99</v>
      </c>
      <c r="K21" s="56" t="s">
        <v>99</v>
      </c>
      <c r="L21" s="56" t="s">
        <v>23</v>
      </c>
      <c r="M21" s="56" t="s">
        <v>99</v>
      </c>
      <c r="N21" s="56" t="s">
        <v>99</v>
      </c>
      <c r="O21" s="56" t="s">
        <v>99</v>
      </c>
      <c r="P21" s="56" t="s">
        <v>99</v>
      </c>
      <c r="Q21" s="56" t="s">
        <v>99</v>
      </c>
      <c r="R21" s="56" t="s">
        <v>99</v>
      </c>
      <c r="S21" s="56" t="s">
        <v>99</v>
      </c>
      <c r="T21" s="56" t="s">
        <v>99</v>
      </c>
      <c r="U21" s="56" t="s">
        <v>99</v>
      </c>
      <c r="V21" s="56" t="s">
        <v>99</v>
      </c>
      <c r="W21" s="56" t="s">
        <v>99</v>
      </c>
      <c r="X21" s="56" t="s">
        <v>99</v>
      </c>
      <c r="Y21" s="56" t="s">
        <v>23</v>
      </c>
      <c r="Z21" s="56" t="s">
        <v>99</v>
      </c>
      <c r="AA21" s="56" t="s">
        <v>99</v>
      </c>
      <c r="AB21" s="56" t="s">
        <v>23</v>
      </c>
      <c r="AC21" s="56" t="s">
        <v>23</v>
      </c>
      <c r="AD21" s="56" t="s">
        <v>99</v>
      </c>
      <c r="AE21" s="56" t="s">
        <v>99</v>
      </c>
      <c r="AF21" s="56" t="s">
        <v>99</v>
      </c>
      <c r="AG21" s="56" t="s">
        <v>23</v>
      </c>
      <c r="AH21" s="56" t="s">
        <v>99</v>
      </c>
      <c r="AI21" s="56" t="s">
        <v>99</v>
      </c>
      <c r="AJ21" s="56" t="s">
        <v>99</v>
      </c>
      <c r="AK21" s="56" t="s">
        <v>23</v>
      </c>
      <c r="AL21" s="56" t="s">
        <v>99</v>
      </c>
      <c r="AM21" s="56" t="s">
        <v>99</v>
      </c>
      <c r="AN21" s="56" t="s">
        <v>99</v>
      </c>
      <c r="AO21" s="56" t="s">
        <v>99</v>
      </c>
      <c r="AP21" s="56" t="s">
        <v>99</v>
      </c>
      <c r="AQ21" s="56" t="s">
        <v>99</v>
      </c>
      <c r="AR21" s="56" t="s">
        <v>99</v>
      </c>
      <c r="AS21" s="56" t="s">
        <v>99</v>
      </c>
      <c r="AT21" s="56" t="s">
        <v>99</v>
      </c>
      <c r="AU21" s="56" t="s">
        <v>99</v>
      </c>
      <c r="AV21" s="56" t="s">
        <v>99</v>
      </c>
      <c r="AW21" s="56" t="s">
        <v>99</v>
      </c>
      <c r="AX21" s="56" t="s">
        <v>99</v>
      </c>
      <c r="AY21" s="56" t="s">
        <v>99</v>
      </c>
      <c r="AZ21" s="56" t="s">
        <v>99</v>
      </c>
      <c r="BA21" s="56" t="s">
        <v>99</v>
      </c>
      <c r="BB21" s="56" t="s">
        <v>99</v>
      </c>
      <c r="BC21" s="56" t="s">
        <v>99</v>
      </c>
      <c r="BD21" s="56" t="s">
        <v>99</v>
      </c>
      <c r="BE21" s="56" t="s">
        <v>99</v>
      </c>
      <c r="BF21" s="56" t="s">
        <v>99</v>
      </c>
      <c r="BG21" s="56" t="s">
        <v>99</v>
      </c>
      <c r="BH21" s="56" t="s">
        <v>99</v>
      </c>
      <c r="BI21" s="56" t="s">
        <v>99</v>
      </c>
      <c r="BJ21" s="56" t="s">
        <v>99</v>
      </c>
      <c r="BK21" s="56" t="s">
        <v>99</v>
      </c>
      <c r="BL21" s="56" t="s">
        <v>99</v>
      </c>
      <c r="BM21" s="56" t="s">
        <v>99</v>
      </c>
      <c r="BN21" s="56" t="s">
        <v>99</v>
      </c>
      <c r="BO21" s="56" t="s">
        <v>99</v>
      </c>
      <c r="BP21" s="62" t="s">
        <v>99</v>
      </c>
    </row>
    <row r="22" spans="2:68">
      <c r="B22" s="58">
        <v>1</v>
      </c>
      <c r="C22" s="59">
        <v>3</v>
      </c>
      <c r="D22" s="59" t="s">
        <v>101</v>
      </c>
      <c r="E22" s="60">
        <f>'[1]Master File'!B21</f>
        <v>46035</v>
      </c>
      <c r="F22" s="61" t="str">
        <f>'[1]Master File'!C21</f>
        <v>Closed</v>
      </c>
      <c r="G22" s="39"/>
      <c r="I22" s="56" t="s">
        <v>99</v>
      </c>
      <c r="J22" s="56" t="s">
        <v>99</v>
      </c>
      <c r="K22" s="56" t="s">
        <v>99</v>
      </c>
      <c r="L22" s="56" t="s">
        <v>23</v>
      </c>
      <c r="M22" s="56" t="s">
        <v>99</v>
      </c>
      <c r="N22" s="56" t="s">
        <v>99</v>
      </c>
      <c r="O22" s="56" t="s">
        <v>99</v>
      </c>
      <c r="P22" s="56" t="s">
        <v>99</v>
      </c>
      <c r="Q22" s="56" t="s">
        <v>99</v>
      </c>
      <c r="R22" s="56" t="s">
        <v>99</v>
      </c>
      <c r="S22" s="56" t="s">
        <v>99</v>
      </c>
      <c r="T22" s="56" t="s">
        <v>99</v>
      </c>
      <c r="U22" s="56" t="s">
        <v>99</v>
      </c>
      <c r="V22" s="56" t="s">
        <v>99</v>
      </c>
      <c r="W22" s="56" t="s">
        <v>99</v>
      </c>
      <c r="X22" s="56" t="s">
        <v>99</v>
      </c>
      <c r="Y22" s="56" t="s">
        <v>23</v>
      </c>
      <c r="Z22" s="56" t="s">
        <v>99</v>
      </c>
      <c r="AA22" s="56" t="s">
        <v>99</v>
      </c>
      <c r="AB22" s="56" t="s">
        <v>23</v>
      </c>
      <c r="AC22" s="56" t="s">
        <v>23</v>
      </c>
      <c r="AD22" s="56" t="s">
        <v>99</v>
      </c>
      <c r="AE22" s="56" t="s">
        <v>99</v>
      </c>
      <c r="AF22" s="56" t="s">
        <v>99</v>
      </c>
      <c r="AG22" s="56" t="s">
        <v>23</v>
      </c>
      <c r="AH22" s="56" t="s">
        <v>99</v>
      </c>
      <c r="AI22" s="56" t="s">
        <v>99</v>
      </c>
      <c r="AJ22" s="56" t="s">
        <v>99</v>
      </c>
      <c r="AK22" s="56" t="s">
        <v>23</v>
      </c>
      <c r="AL22" s="56" t="s">
        <v>99</v>
      </c>
      <c r="AM22" s="56" t="s">
        <v>99</v>
      </c>
      <c r="AN22" s="56" t="s">
        <v>99</v>
      </c>
      <c r="AO22" s="56" t="s">
        <v>99</v>
      </c>
      <c r="AP22" s="56" t="s">
        <v>99</v>
      </c>
      <c r="AQ22" s="56" t="s">
        <v>99</v>
      </c>
      <c r="AR22" s="56" t="s">
        <v>99</v>
      </c>
      <c r="AS22" s="56" t="s">
        <v>99</v>
      </c>
      <c r="AT22" s="56" t="s">
        <v>99</v>
      </c>
      <c r="AU22" s="56" t="s">
        <v>99</v>
      </c>
      <c r="AV22" s="56" t="s">
        <v>99</v>
      </c>
      <c r="AW22" s="56" t="s">
        <v>99</v>
      </c>
      <c r="AX22" s="56" t="s">
        <v>99</v>
      </c>
      <c r="AY22" s="56" t="s">
        <v>99</v>
      </c>
      <c r="AZ22" s="56" t="s">
        <v>99</v>
      </c>
      <c r="BA22" s="56" t="s">
        <v>99</v>
      </c>
      <c r="BB22" s="56" t="s">
        <v>99</v>
      </c>
      <c r="BC22" s="56" t="s">
        <v>99</v>
      </c>
      <c r="BD22" s="56" t="s">
        <v>99</v>
      </c>
      <c r="BE22" s="56" t="s">
        <v>99</v>
      </c>
      <c r="BF22" s="56" t="s">
        <v>99</v>
      </c>
      <c r="BG22" s="56" t="s">
        <v>99</v>
      </c>
      <c r="BH22" s="56" t="s">
        <v>99</v>
      </c>
      <c r="BI22" s="56" t="s">
        <v>99</v>
      </c>
      <c r="BJ22" s="56" t="s">
        <v>99</v>
      </c>
      <c r="BK22" s="56" t="s">
        <v>99</v>
      </c>
      <c r="BL22" s="56" t="s">
        <v>99</v>
      </c>
      <c r="BM22" s="56" t="s">
        <v>99</v>
      </c>
      <c r="BN22" s="56" t="s">
        <v>99</v>
      </c>
      <c r="BO22" s="56" t="s">
        <v>99</v>
      </c>
      <c r="BP22" s="62" t="s">
        <v>99</v>
      </c>
    </row>
    <row r="23" spans="2:68">
      <c r="B23" s="58">
        <v>1</v>
      </c>
      <c r="C23" s="59">
        <v>3</v>
      </c>
      <c r="D23" s="59" t="s">
        <v>102</v>
      </c>
      <c r="E23" s="60">
        <f>'[1]Master File'!B22</f>
        <v>46036</v>
      </c>
      <c r="F23" s="61" t="str">
        <f>'[1]Master File'!C22</f>
        <v>Closed</v>
      </c>
      <c r="G23" s="39"/>
      <c r="I23" s="56" t="s">
        <v>99</v>
      </c>
      <c r="J23" s="56" t="s">
        <v>99</v>
      </c>
      <c r="K23" s="56" t="s">
        <v>99</v>
      </c>
      <c r="L23" s="56" t="s">
        <v>23</v>
      </c>
      <c r="M23" s="56" t="s">
        <v>99</v>
      </c>
      <c r="N23" s="56" t="s">
        <v>99</v>
      </c>
      <c r="O23" s="56" t="s">
        <v>99</v>
      </c>
      <c r="P23" s="56" t="s">
        <v>99</v>
      </c>
      <c r="Q23" s="56" t="s">
        <v>99</v>
      </c>
      <c r="R23" s="56" t="s">
        <v>99</v>
      </c>
      <c r="S23" s="56" t="s">
        <v>99</v>
      </c>
      <c r="T23" s="56" t="s">
        <v>99</v>
      </c>
      <c r="U23" s="56" t="s">
        <v>99</v>
      </c>
      <c r="V23" s="56" t="s">
        <v>99</v>
      </c>
      <c r="W23" s="56" t="s">
        <v>99</v>
      </c>
      <c r="X23" s="56" t="s">
        <v>99</v>
      </c>
      <c r="Y23" s="56" t="s">
        <v>23</v>
      </c>
      <c r="Z23" s="56" t="s">
        <v>99</v>
      </c>
      <c r="AA23" s="56" t="s">
        <v>99</v>
      </c>
      <c r="AB23" s="56" t="s">
        <v>23</v>
      </c>
      <c r="AC23" s="56" t="s">
        <v>23</v>
      </c>
      <c r="AD23" s="56" t="s">
        <v>99</v>
      </c>
      <c r="AE23" s="56" t="s">
        <v>99</v>
      </c>
      <c r="AF23" s="56" t="s">
        <v>99</v>
      </c>
      <c r="AG23" s="56" t="s">
        <v>23</v>
      </c>
      <c r="AH23" s="56" t="s">
        <v>99</v>
      </c>
      <c r="AI23" s="56" t="s">
        <v>99</v>
      </c>
      <c r="AJ23" s="56" t="s">
        <v>99</v>
      </c>
      <c r="AK23" s="56" t="s">
        <v>23</v>
      </c>
      <c r="AL23" s="56" t="s">
        <v>99</v>
      </c>
      <c r="AM23" s="56" t="s">
        <v>99</v>
      </c>
      <c r="AN23" s="56" t="s">
        <v>99</v>
      </c>
      <c r="AO23" s="56" t="s">
        <v>99</v>
      </c>
      <c r="AP23" s="56" t="s">
        <v>99</v>
      </c>
      <c r="AQ23" s="56" t="s">
        <v>99</v>
      </c>
      <c r="AR23" s="56" t="s">
        <v>99</v>
      </c>
      <c r="AS23" s="56" t="s">
        <v>99</v>
      </c>
      <c r="AT23" s="56" t="s">
        <v>99</v>
      </c>
      <c r="AU23" s="56" t="s">
        <v>99</v>
      </c>
      <c r="AV23" s="56" t="s">
        <v>99</v>
      </c>
      <c r="AW23" s="56" t="s">
        <v>99</v>
      </c>
      <c r="AX23" s="56" t="s">
        <v>99</v>
      </c>
      <c r="AY23" s="56" t="s">
        <v>99</v>
      </c>
      <c r="AZ23" s="56" t="s">
        <v>99</v>
      </c>
      <c r="BA23" s="56" t="s">
        <v>99</v>
      </c>
      <c r="BB23" s="56" t="s">
        <v>99</v>
      </c>
      <c r="BC23" s="56" t="s">
        <v>99</v>
      </c>
      <c r="BD23" s="56" t="s">
        <v>99</v>
      </c>
      <c r="BE23" s="56" t="s">
        <v>99</v>
      </c>
      <c r="BF23" s="56" t="s">
        <v>99</v>
      </c>
      <c r="BG23" s="56" t="s">
        <v>99</v>
      </c>
      <c r="BH23" s="56" t="s">
        <v>99</v>
      </c>
      <c r="BI23" s="56" t="s">
        <v>99</v>
      </c>
      <c r="BJ23" s="56" t="s">
        <v>99</v>
      </c>
      <c r="BK23" s="56" t="s">
        <v>99</v>
      </c>
      <c r="BL23" s="56" t="s">
        <v>99</v>
      </c>
      <c r="BM23" s="56" t="s">
        <v>99</v>
      </c>
      <c r="BN23" s="56" t="s">
        <v>99</v>
      </c>
      <c r="BO23" s="56" t="s">
        <v>99</v>
      </c>
      <c r="BP23" s="62" t="s">
        <v>99</v>
      </c>
    </row>
    <row r="24" spans="2:68">
      <c r="B24" s="58">
        <v>1</v>
      </c>
      <c r="C24" s="59">
        <v>3</v>
      </c>
      <c r="D24" s="59" t="s">
        <v>103</v>
      </c>
      <c r="E24" s="60">
        <f>'[1]Master File'!B23</f>
        <v>46037</v>
      </c>
      <c r="F24" s="61" t="str">
        <f>'[1]Master File'!C23</f>
        <v>Closed</v>
      </c>
      <c r="G24" s="39"/>
      <c r="I24" s="56" t="s">
        <v>99</v>
      </c>
      <c r="J24" s="56" t="s">
        <v>99</v>
      </c>
      <c r="K24" s="56" t="s">
        <v>99</v>
      </c>
      <c r="L24" s="56" t="s">
        <v>23</v>
      </c>
      <c r="M24" s="56" t="s">
        <v>99</v>
      </c>
      <c r="N24" s="56" t="s">
        <v>99</v>
      </c>
      <c r="O24" s="56" t="s">
        <v>99</v>
      </c>
      <c r="P24" s="56" t="s">
        <v>99</v>
      </c>
      <c r="Q24" s="56" t="s">
        <v>99</v>
      </c>
      <c r="R24" s="56" t="s">
        <v>99</v>
      </c>
      <c r="S24" s="56" t="s">
        <v>99</v>
      </c>
      <c r="T24" s="56" t="s">
        <v>99</v>
      </c>
      <c r="U24" s="56" t="s">
        <v>99</v>
      </c>
      <c r="V24" s="56" t="s">
        <v>99</v>
      </c>
      <c r="W24" s="56" t="s">
        <v>99</v>
      </c>
      <c r="X24" s="56" t="s">
        <v>99</v>
      </c>
      <c r="Y24" s="56" t="s">
        <v>23</v>
      </c>
      <c r="Z24" s="56" t="s">
        <v>99</v>
      </c>
      <c r="AA24" s="56" t="s">
        <v>99</v>
      </c>
      <c r="AB24" s="56" t="s">
        <v>23</v>
      </c>
      <c r="AC24" s="56" t="s">
        <v>23</v>
      </c>
      <c r="AD24" s="56" t="s">
        <v>99</v>
      </c>
      <c r="AE24" s="56" t="s">
        <v>99</v>
      </c>
      <c r="AF24" s="56" t="s">
        <v>99</v>
      </c>
      <c r="AG24" s="56" t="s">
        <v>23</v>
      </c>
      <c r="AH24" s="56" t="s">
        <v>99</v>
      </c>
      <c r="AI24" s="56" t="s">
        <v>99</v>
      </c>
      <c r="AJ24" s="56" t="s">
        <v>99</v>
      </c>
      <c r="AK24" s="56" t="s">
        <v>23</v>
      </c>
      <c r="AL24" s="56" t="s">
        <v>99</v>
      </c>
      <c r="AM24" s="56" t="s">
        <v>99</v>
      </c>
      <c r="AN24" s="56" t="s">
        <v>99</v>
      </c>
      <c r="AO24" s="56" t="s">
        <v>99</v>
      </c>
      <c r="AP24" s="56" t="s">
        <v>99</v>
      </c>
      <c r="AQ24" s="56" t="s">
        <v>99</v>
      </c>
      <c r="AR24" s="56" t="s">
        <v>99</v>
      </c>
      <c r="AS24" s="56" t="s">
        <v>99</v>
      </c>
      <c r="AT24" s="56" t="s">
        <v>99</v>
      </c>
      <c r="AU24" s="56" t="s">
        <v>99</v>
      </c>
      <c r="AV24" s="56" t="s">
        <v>99</v>
      </c>
      <c r="AW24" s="56" t="s">
        <v>99</v>
      </c>
      <c r="AX24" s="56" t="s">
        <v>99</v>
      </c>
      <c r="AY24" s="56" t="s">
        <v>99</v>
      </c>
      <c r="AZ24" s="56" t="s">
        <v>99</v>
      </c>
      <c r="BA24" s="56" t="s">
        <v>99</v>
      </c>
      <c r="BB24" s="56" t="s">
        <v>99</v>
      </c>
      <c r="BC24" s="56" t="s">
        <v>99</v>
      </c>
      <c r="BD24" s="56" t="s">
        <v>99</v>
      </c>
      <c r="BE24" s="56" t="s">
        <v>99</v>
      </c>
      <c r="BF24" s="56" t="s">
        <v>99</v>
      </c>
      <c r="BG24" s="56" t="s">
        <v>99</v>
      </c>
      <c r="BH24" s="56" t="s">
        <v>99</v>
      </c>
      <c r="BI24" s="56" t="s">
        <v>99</v>
      </c>
      <c r="BJ24" s="56" t="s">
        <v>99</v>
      </c>
      <c r="BK24" s="56" t="s">
        <v>99</v>
      </c>
      <c r="BL24" s="56" t="s">
        <v>99</v>
      </c>
      <c r="BM24" s="56" t="s">
        <v>99</v>
      </c>
      <c r="BN24" s="56" t="s">
        <v>99</v>
      </c>
      <c r="BO24" s="56" t="s">
        <v>99</v>
      </c>
      <c r="BP24" s="62" t="s">
        <v>99</v>
      </c>
    </row>
    <row r="25" spans="2:68">
      <c r="B25" s="58">
        <v>1</v>
      </c>
      <c r="C25" s="59">
        <v>3</v>
      </c>
      <c r="D25" s="59" t="s">
        <v>104</v>
      </c>
      <c r="E25" s="60">
        <f>'[1]Master File'!B24</f>
        <v>46038</v>
      </c>
      <c r="F25" s="61" t="str">
        <f>'[1]Master File'!C24</f>
        <v>Closed</v>
      </c>
      <c r="G25" s="39"/>
      <c r="I25" s="56" t="s">
        <v>99</v>
      </c>
      <c r="J25" s="56" t="s">
        <v>99</v>
      </c>
      <c r="K25" s="56" t="s">
        <v>99</v>
      </c>
      <c r="L25" s="56" t="s">
        <v>23</v>
      </c>
      <c r="M25" s="56" t="s">
        <v>99</v>
      </c>
      <c r="N25" s="56" t="s">
        <v>99</v>
      </c>
      <c r="O25" s="56" t="s">
        <v>99</v>
      </c>
      <c r="P25" s="56" t="s">
        <v>99</v>
      </c>
      <c r="Q25" s="56" t="s">
        <v>99</v>
      </c>
      <c r="R25" s="56" t="s">
        <v>99</v>
      </c>
      <c r="S25" s="56" t="s">
        <v>99</v>
      </c>
      <c r="T25" s="56" t="s">
        <v>99</v>
      </c>
      <c r="U25" s="56" t="s">
        <v>99</v>
      </c>
      <c r="V25" s="56" t="s">
        <v>99</v>
      </c>
      <c r="W25" s="56" t="s">
        <v>99</v>
      </c>
      <c r="X25" s="56" t="s">
        <v>99</v>
      </c>
      <c r="Y25" s="56" t="s">
        <v>23</v>
      </c>
      <c r="Z25" s="56" t="s">
        <v>99</v>
      </c>
      <c r="AA25" s="56" t="s">
        <v>99</v>
      </c>
      <c r="AB25" s="56" t="s">
        <v>23</v>
      </c>
      <c r="AC25" s="56" t="s">
        <v>23</v>
      </c>
      <c r="AD25" s="56" t="s">
        <v>99</v>
      </c>
      <c r="AE25" s="56" t="s">
        <v>99</v>
      </c>
      <c r="AF25" s="56" t="s">
        <v>99</v>
      </c>
      <c r="AG25" s="56" t="s">
        <v>23</v>
      </c>
      <c r="AH25" s="56" t="s">
        <v>99</v>
      </c>
      <c r="AI25" s="56" t="s">
        <v>99</v>
      </c>
      <c r="AJ25" s="56" t="s">
        <v>99</v>
      </c>
      <c r="AK25" s="56" t="s">
        <v>23</v>
      </c>
      <c r="AL25" s="56" t="s">
        <v>99</v>
      </c>
      <c r="AM25" s="56" t="s">
        <v>99</v>
      </c>
      <c r="AN25" s="56" t="s">
        <v>99</v>
      </c>
      <c r="AO25" s="56" t="s">
        <v>99</v>
      </c>
      <c r="AP25" s="56" t="s">
        <v>99</v>
      </c>
      <c r="AQ25" s="56" t="s">
        <v>99</v>
      </c>
      <c r="AR25" s="56" t="s">
        <v>99</v>
      </c>
      <c r="AS25" s="56" t="s">
        <v>99</v>
      </c>
      <c r="AT25" s="56" t="s">
        <v>99</v>
      </c>
      <c r="AU25" s="56" t="s">
        <v>99</v>
      </c>
      <c r="AV25" s="56" t="s">
        <v>99</v>
      </c>
      <c r="AW25" s="56" t="s">
        <v>99</v>
      </c>
      <c r="AX25" s="56" t="s">
        <v>99</v>
      </c>
      <c r="AY25" s="56" t="s">
        <v>99</v>
      </c>
      <c r="AZ25" s="56" t="s">
        <v>99</v>
      </c>
      <c r="BA25" s="56" t="s">
        <v>99</v>
      </c>
      <c r="BB25" s="56" t="s">
        <v>99</v>
      </c>
      <c r="BC25" s="56" t="s">
        <v>99</v>
      </c>
      <c r="BD25" s="56" t="s">
        <v>99</v>
      </c>
      <c r="BE25" s="56" t="s">
        <v>99</v>
      </c>
      <c r="BF25" s="56" t="s">
        <v>99</v>
      </c>
      <c r="BG25" s="56" t="s">
        <v>99</v>
      </c>
      <c r="BH25" s="56" t="s">
        <v>99</v>
      </c>
      <c r="BI25" s="56" t="s">
        <v>99</v>
      </c>
      <c r="BJ25" s="56" t="s">
        <v>99</v>
      </c>
      <c r="BK25" s="56" t="s">
        <v>99</v>
      </c>
      <c r="BL25" s="56" t="s">
        <v>99</v>
      </c>
      <c r="BM25" s="56" t="s">
        <v>99</v>
      </c>
      <c r="BN25" s="56" t="s">
        <v>99</v>
      </c>
      <c r="BO25" s="56" t="s">
        <v>99</v>
      </c>
      <c r="BP25" s="62" t="s">
        <v>99</v>
      </c>
    </row>
    <row r="26" spans="2:68">
      <c r="B26" s="58">
        <v>1</v>
      </c>
      <c r="C26" s="59">
        <v>3</v>
      </c>
      <c r="D26" s="59" t="s">
        <v>105</v>
      </c>
      <c r="E26" s="60">
        <f>'[1]Master File'!B25</f>
        <v>46039</v>
      </c>
      <c r="F26" s="61" t="str">
        <f>'[1]Master File'!C25</f>
        <v>Zoo</v>
      </c>
      <c r="G26" s="39"/>
      <c r="I26" s="56" t="s">
        <v>23</v>
      </c>
      <c r="J26" s="56" t="s">
        <v>23</v>
      </c>
      <c r="K26" s="56" t="s">
        <v>23</v>
      </c>
      <c r="L26" s="56" t="s">
        <v>23</v>
      </c>
      <c r="M26" s="56" t="s">
        <v>23</v>
      </c>
      <c r="N26" s="56" t="s">
        <v>23</v>
      </c>
      <c r="O26" s="56" t="s">
        <v>23</v>
      </c>
      <c r="P26" s="56" t="s">
        <v>23</v>
      </c>
      <c r="Q26" s="56" t="s">
        <v>23</v>
      </c>
      <c r="R26" s="63" t="s">
        <v>23</v>
      </c>
      <c r="S26" s="63" t="s">
        <v>99</v>
      </c>
      <c r="T26" s="63" t="s">
        <v>23</v>
      </c>
      <c r="U26" s="63" t="s">
        <v>99</v>
      </c>
      <c r="V26" s="63" t="s">
        <v>99</v>
      </c>
      <c r="W26" s="63" t="s">
        <v>99</v>
      </c>
      <c r="X26" s="63" t="s">
        <v>99</v>
      </c>
      <c r="Y26" s="56" t="s">
        <v>23</v>
      </c>
      <c r="Z26" s="63" t="s">
        <v>23</v>
      </c>
      <c r="AA26" s="63" t="s">
        <v>23</v>
      </c>
      <c r="AB26" s="63" t="s">
        <v>23</v>
      </c>
      <c r="AC26" s="63" t="s">
        <v>23</v>
      </c>
      <c r="AD26" s="63" t="s">
        <v>23</v>
      </c>
      <c r="AE26" s="63" t="s">
        <v>99</v>
      </c>
      <c r="AF26" s="63" t="s">
        <v>99</v>
      </c>
      <c r="AG26" s="63" t="s">
        <v>23</v>
      </c>
      <c r="AH26" s="63" t="s">
        <v>23</v>
      </c>
      <c r="AI26" s="63" t="s">
        <v>99</v>
      </c>
      <c r="AJ26" s="63" t="s">
        <v>99</v>
      </c>
      <c r="AK26" s="63" t="s">
        <v>23</v>
      </c>
      <c r="AL26" s="63" t="s">
        <v>99</v>
      </c>
      <c r="AM26" s="63" t="s">
        <v>23</v>
      </c>
      <c r="AN26" s="63" t="s">
        <v>99</v>
      </c>
      <c r="AO26" s="63" t="s">
        <v>99</v>
      </c>
      <c r="AP26" s="63" t="s">
        <v>23</v>
      </c>
      <c r="AQ26" s="63" t="s">
        <v>23</v>
      </c>
      <c r="AR26" s="63" t="s">
        <v>99</v>
      </c>
      <c r="AS26" s="63" t="s">
        <v>99</v>
      </c>
      <c r="AT26" s="63" t="s">
        <v>99</v>
      </c>
      <c r="AU26" s="63" t="s">
        <v>99</v>
      </c>
      <c r="AV26" s="63" t="s">
        <v>99</v>
      </c>
      <c r="AW26" s="63" t="s">
        <v>99</v>
      </c>
      <c r="AX26" s="63" t="s">
        <v>99</v>
      </c>
      <c r="AY26" s="63" t="s">
        <v>99</v>
      </c>
      <c r="AZ26" s="63" t="s">
        <v>99</v>
      </c>
      <c r="BA26" s="63" t="s">
        <v>99</v>
      </c>
      <c r="BB26" s="63" t="s">
        <v>99</v>
      </c>
      <c r="BC26" s="63" t="s">
        <v>99</v>
      </c>
      <c r="BD26" s="63" t="s">
        <v>99</v>
      </c>
      <c r="BE26" s="63" t="s">
        <v>99</v>
      </c>
      <c r="BF26" s="63" t="s">
        <v>99</v>
      </c>
      <c r="BG26" s="63" t="s">
        <v>99</v>
      </c>
      <c r="BH26" s="63" t="s">
        <v>99</v>
      </c>
      <c r="BI26" s="63" t="s">
        <v>99</v>
      </c>
      <c r="BJ26" s="63" t="s">
        <v>99</v>
      </c>
      <c r="BK26" s="63" t="s">
        <v>99</v>
      </c>
      <c r="BL26" s="63" t="s">
        <v>99</v>
      </c>
      <c r="BM26" s="63" t="s">
        <v>99</v>
      </c>
      <c r="BN26" s="63" t="s">
        <v>99</v>
      </c>
      <c r="BO26" s="63" t="s">
        <v>99</v>
      </c>
      <c r="BP26" s="64" t="s">
        <v>99</v>
      </c>
    </row>
    <row r="27" spans="2:68">
      <c r="B27" s="58">
        <v>1</v>
      </c>
      <c r="C27" s="59">
        <v>4</v>
      </c>
      <c r="D27" s="59" t="s">
        <v>98</v>
      </c>
      <c r="E27" s="60">
        <f>'[1]Master File'!B26</f>
        <v>46040</v>
      </c>
      <c r="F27" s="61" t="str">
        <f>'[1]Master File'!C26</f>
        <v>Zoo</v>
      </c>
      <c r="G27" s="39"/>
      <c r="I27" s="56" t="s">
        <v>23</v>
      </c>
      <c r="J27" s="56" t="s">
        <v>23</v>
      </c>
      <c r="K27" s="56" t="s">
        <v>23</v>
      </c>
      <c r="L27" s="56" t="s">
        <v>23</v>
      </c>
      <c r="M27" s="56" t="s">
        <v>23</v>
      </c>
      <c r="N27" s="56" t="s">
        <v>23</v>
      </c>
      <c r="O27" s="56" t="s">
        <v>23</v>
      </c>
      <c r="P27" s="56" t="s">
        <v>23</v>
      </c>
      <c r="Q27" s="56" t="s">
        <v>23</v>
      </c>
      <c r="R27" s="63" t="s">
        <v>23</v>
      </c>
      <c r="S27" s="63" t="s">
        <v>99</v>
      </c>
      <c r="T27" s="63" t="s">
        <v>23</v>
      </c>
      <c r="U27" s="63" t="s">
        <v>99</v>
      </c>
      <c r="V27" s="63" t="s">
        <v>99</v>
      </c>
      <c r="W27" s="63" t="s">
        <v>99</v>
      </c>
      <c r="X27" s="63" t="s">
        <v>99</v>
      </c>
      <c r="Y27" s="56" t="s">
        <v>23</v>
      </c>
      <c r="Z27" s="63" t="s">
        <v>23</v>
      </c>
      <c r="AA27" s="63" t="s">
        <v>23</v>
      </c>
      <c r="AB27" s="63" t="s">
        <v>23</v>
      </c>
      <c r="AC27" s="63" t="s">
        <v>23</v>
      </c>
      <c r="AD27" s="63" t="s">
        <v>23</v>
      </c>
      <c r="AE27" s="63" t="s">
        <v>99</v>
      </c>
      <c r="AF27" s="63" t="s">
        <v>99</v>
      </c>
      <c r="AG27" s="63" t="s">
        <v>23</v>
      </c>
      <c r="AH27" s="63" t="s">
        <v>23</v>
      </c>
      <c r="AI27" s="63" t="s">
        <v>99</v>
      </c>
      <c r="AJ27" s="63" t="s">
        <v>99</v>
      </c>
      <c r="AK27" s="63" t="s">
        <v>23</v>
      </c>
      <c r="AL27" s="63" t="s">
        <v>99</v>
      </c>
      <c r="AM27" s="63" t="s">
        <v>23</v>
      </c>
      <c r="AN27" s="63" t="s">
        <v>99</v>
      </c>
      <c r="AO27" s="63" t="s">
        <v>99</v>
      </c>
      <c r="AP27" s="63" t="s">
        <v>23</v>
      </c>
      <c r="AQ27" s="63" t="s">
        <v>23</v>
      </c>
      <c r="AR27" s="63" t="s">
        <v>99</v>
      </c>
      <c r="AS27" s="63" t="s">
        <v>99</v>
      </c>
      <c r="AT27" s="63" t="s">
        <v>99</v>
      </c>
      <c r="AU27" s="63" t="s">
        <v>99</v>
      </c>
      <c r="AV27" s="63" t="s">
        <v>99</v>
      </c>
      <c r="AW27" s="63" t="s">
        <v>99</v>
      </c>
      <c r="AX27" s="63" t="s">
        <v>99</v>
      </c>
      <c r="AY27" s="63" t="s">
        <v>99</v>
      </c>
      <c r="AZ27" s="63" t="s">
        <v>99</v>
      </c>
      <c r="BA27" s="63" t="s">
        <v>99</v>
      </c>
      <c r="BB27" s="63" t="s">
        <v>99</v>
      </c>
      <c r="BC27" s="63" t="s">
        <v>99</v>
      </c>
      <c r="BD27" s="63" t="s">
        <v>99</v>
      </c>
      <c r="BE27" s="63" t="s">
        <v>99</v>
      </c>
      <c r="BF27" s="63" t="s">
        <v>99</v>
      </c>
      <c r="BG27" s="63" t="s">
        <v>99</v>
      </c>
      <c r="BH27" s="63" t="s">
        <v>99</v>
      </c>
      <c r="BI27" s="63" t="s">
        <v>99</v>
      </c>
      <c r="BJ27" s="63" t="s">
        <v>99</v>
      </c>
      <c r="BK27" s="63" t="s">
        <v>99</v>
      </c>
      <c r="BL27" s="63" t="s">
        <v>99</v>
      </c>
      <c r="BM27" s="63" t="s">
        <v>99</v>
      </c>
      <c r="BN27" s="63" t="s">
        <v>99</v>
      </c>
      <c r="BO27" s="63" t="s">
        <v>99</v>
      </c>
      <c r="BP27" s="64" t="s">
        <v>99</v>
      </c>
    </row>
    <row r="28" spans="2:68">
      <c r="B28" s="58">
        <v>1</v>
      </c>
      <c r="C28" s="59">
        <v>4</v>
      </c>
      <c r="D28" s="59" t="s">
        <v>100</v>
      </c>
      <c r="E28" s="60">
        <f>'[1]Master File'!B27</f>
        <v>46041</v>
      </c>
      <c r="F28" s="61" t="str">
        <f>'[1]Master File'!C27</f>
        <v>Closed</v>
      </c>
      <c r="G28" s="39"/>
      <c r="I28" s="56" t="s">
        <v>99</v>
      </c>
      <c r="J28" s="56" t="s">
        <v>99</v>
      </c>
      <c r="K28" s="56" t="s">
        <v>99</v>
      </c>
      <c r="L28" s="56" t="s">
        <v>23</v>
      </c>
      <c r="M28" s="56" t="s">
        <v>99</v>
      </c>
      <c r="N28" s="56" t="s">
        <v>99</v>
      </c>
      <c r="O28" s="56" t="s">
        <v>99</v>
      </c>
      <c r="P28" s="56" t="s">
        <v>99</v>
      </c>
      <c r="Q28" s="56" t="s">
        <v>99</v>
      </c>
      <c r="R28" s="56" t="s">
        <v>99</v>
      </c>
      <c r="S28" s="56" t="s">
        <v>99</v>
      </c>
      <c r="T28" s="56" t="s">
        <v>99</v>
      </c>
      <c r="U28" s="56" t="s">
        <v>99</v>
      </c>
      <c r="V28" s="56" t="s">
        <v>99</v>
      </c>
      <c r="W28" s="56" t="s">
        <v>99</v>
      </c>
      <c r="X28" s="56" t="s">
        <v>99</v>
      </c>
      <c r="Y28" s="56" t="s">
        <v>23</v>
      </c>
      <c r="Z28" s="56" t="s">
        <v>99</v>
      </c>
      <c r="AA28" s="56" t="s">
        <v>99</v>
      </c>
      <c r="AB28" s="56" t="s">
        <v>23</v>
      </c>
      <c r="AC28" s="56" t="s">
        <v>23</v>
      </c>
      <c r="AD28" s="56" t="s">
        <v>99</v>
      </c>
      <c r="AE28" s="56" t="s">
        <v>99</v>
      </c>
      <c r="AF28" s="56" t="s">
        <v>99</v>
      </c>
      <c r="AG28" s="56" t="s">
        <v>23</v>
      </c>
      <c r="AH28" s="56" t="s">
        <v>99</v>
      </c>
      <c r="AI28" s="56" t="s">
        <v>99</v>
      </c>
      <c r="AJ28" s="56" t="s">
        <v>99</v>
      </c>
      <c r="AK28" s="56" t="s">
        <v>23</v>
      </c>
      <c r="AL28" s="56" t="s">
        <v>99</v>
      </c>
      <c r="AM28" s="56" t="s">
        <v>99</v>
      </c>
      <c r="AN28" s="56" t="s">
        <v>99</v>
      </c>
      <c r="AO28" s="56" t="s">
        <v>99</v>
      </c>
      <c r="AP28" s="56" t="s">
        <v>99</v>
      </c>
      <c r="AQ28" s="56" t="s">
        <v>99</v>
      </c>
      <c r="AR28" s="56" t="s">
        <v>99</v>
      </c>
      <c r="AS28" s="56" t="s">
        <v>99</v>
      </c>
      <c r="AT28" s="56" t="s">
        <v>99</v>
      </c>
      <c r="AU28" s="56" t="s">
        <v>99</v>
      </c>
      <c r="AV28" s="56" t="s">
        <v>99</v>
      </c>
      <c r="AW28" s="56" t="s">
        <v>99</v>
      </c>
      <c r="AX28" s="56" t="s">
        <v>99</v>
      </c>
      <c r="AY28" s="56" t="s">
        <v>99</v>
      </c>
      <c r="AZ28" s="56" t="s">
        <v>99</v>
      </c>
      <c r="BA28" s="56" t="s">
        <v>99</v>
      </c>
      <c r="BB28" s="56" t="s">
        <v>99</v>
      </c>
      <c r="BC28" s="56" t="s">
        <v>99</v>
      </c>
      <c r="BD28" s="56" t="s">
        <v>99</v>
      </c>
      <c r="BE28" s="56" t="s">
        <v>99</v>
      </c>
      <c r="BF28" s="56" t="s">
        <v>99</v>
      </c>
      <c r="BG28" s="56" t="s">
        <v>99</v>
      </c>
      <c r="BH28" s="56" t="s">
        <v>99</v>
      </c>
      <c r="BI28" s="56" t="s">
        <v>99</v>
      </c>
      <c r="BJ28" s="56" t="s">
        <v>99</v>
      </c>
      <c r="BK28" s="56" t="s">
        <v>99</v>
      </c>
      <c r="BL28" s="56" t="s">
        <v>99</v>
      </c>
      <c r="BM28" s="56" t="s">
        <v>99</v>
      </c>
      <c r="BN28" s="56" t="s">
        <v>99</v>
      </c>
      <c r="BO28" s="56" t="s">
        <v>99</v>
      </c>
      <c r="BP28" s="62" t="s">
        <v>99</v>
      </c>
    </row>
    <row r="29" spans="2:68">
      <c r="B29" s="58">
        <v>1</v>
      </c>
      <c r="C29" s="59">
        <v>4</v>
      </c>
      <c r="D29" s="59" t="s">
        <v>101</v>
      </c>
      <c r="E29" s="60">
        <f>'[1]Master File'!B28</f>
        <v>46042</v>
      </c>
      <c r="F29" s="61" t="str">
        <f>'[1]Master File'!C28</f>
        <v>Closed</v>
      </c>
      <c r="G29" s="39"/>
      <c r="I29" s="56" t="s">
        <v>99</v>
      </c>
      <c r="J29" s="56" t="s">
        <v>99</v>
      </c>
      <c r="K29" s="56" t="s">
        <v>99</v>
      </c>
      <c r="L29" s="56" t="s">
        <v>23</v>
      </c>
      <c r="M29" s="56" t="s">
        <v>99</v>
      </c>
      <c r="N29" s="56" t="s">
        <v>99</v>
      </c>
      <c r="O29" s="56" t="s">
        <v>99</v>
      </c>
      <c r="P29" s="56" t="s">
        <v>99</v>
      </c>
      <c r="Q29" s="56" t="s">
        <v>99</v>
      </c>
      <c r="R29" s="56" t="s">
        <v>99</v>
      </c>
      <c r="S29" s="56" t="s">
        <v>99</v>
      </c>
      <c r="T29" s="56" t="s">
        <v>99</v>
      </c>
      <c r="U29" s="56" t="s">
        <v>99</v>
      </c>
      <c r="V29" s="56" t="s">
        <v>99</v>
      </c>
      <c r="W29" s="56" t="s">
        <v>99</v>
      </c>
      <c r="X29" s="56" t="s">
        <v>99</v>
      </c>
      <c r="Y29" s="56" t="s">
        <v>23</v>
      </c>
      <c r="Z29" s="56" t="s">
        <v>99</v>
      </c>
      <c r="AA29" s="56" t="s">
        <v>99</v>
      </c>
      <c r="AB29" s="56" t="s">
        <v>23</v>
      </c>
      <c r="AC29" s="56" t="s">
        <v>23</v>
      </c>
      <c r="AD29" s="56" t="s">
        <v>99</v>
      </c>
      <c r="AE29" s="56" t="s">
        <v>99</v>
      </c>
      <c r="AF29" s="56" t="s">
        <v>99</v>
      </c>
      <c r="AG29" s="56" t="s">
        <v>23</v>
      </c>
      <c r="AH29" s="56" t="s">
        <v>99</v>
      </c>
      <c r="AI29" s="56" t="s">
        <v>99</v>
      </c>
      <c r="AJ29" s="56" t="s">
        <v>99</v>
      </c>
      <c r="AK29" s="56" t="s">
        <v>23</v>
      </c>
      <c r="AL29" s="56" t="s">
        <v>99</v>
      </c>
      <c r="AM29" s="56" t="s">
        <v>99</v>
      </c>
      <c r="AN29" s="56" t="s">
        <v>99</v>
      </c>
      <c r="AO29" s="56" t="s">
        <v>99</v>
      </c>
      <c r="AP29" s="56" t="s">
        <v>99</v>
      </c>
      <c r="AQ29" s="56" t="s">
        <v>99</v>
      </c>
      <c r="AR29" s="56" t="s">
        <v>99</v>
      </c>
      <c r="AS29" s="56" t="s">
        <v>99</v>
      </c>
      <c r="AT29" s="56" t="s">
        <v>99</v>
      </c>
      <c r="AU29" s="56" t="s">
        <v>99</v>
      </c>
      <c r="AV29" s="56" t="s">
        <v>99</v>
      </c>
      <c r="AW29" s="56" t="s">
        <v>99</v>
      </c>
      <c r="AX29" s="56" t="s">
        <v>99</v>
      </c>
      <c r="AY29" s="56" t="s">
        <v>99</v>
      </c>
      <c r="AZ29" s="56" t="s">
        <v>99</v>
      </c>
      <c r="BA29" s="56" t="s">
        <v>99</v>
      </c>
      <c r="BB29" s="56" t="s">
        <v>99</v>
      </c>
      <c r="BC29" s="56" t="s">
        <v>99</v>
      </c>
      <c r="BD29" s="56" t="s">
        <v>99</v>
      </c>
      <c r="BE29" s="56" t="s">
        <v>99</v>
      </c>
      <c r="BF29" s="56" t="s">
        <v>99</v>
      </c>
      <c r="BG29" s="56" t="s">
        <v>99</v>
      </c>
      <c r="BH29" s="56" t="s">
        <v>99</v>
      </c>
      <c r="BI29" s="56" t="s">
        <v>99</v>
      </c>
      <c r="BJ29" s="56" t="s">
        <v>99</v>
      </c>
      <c r="BK29" s="56" t="s">
        <v>99</v>
      </c>
      <c r="BL29" s="56" t="s">
        <v>99</v>
      </c>
      <c r="BM29" s="56" t="s">
        <v>99</v>
      </c>
      <c r="BN29" s="56" t="s">
        <v>99</v>
      </c>
      <c r="BO29" s="56" t="s">
        <v>99</v>
      </c>
      <c r="BP29" s="62" t="s">
        <v>99</v>
      </c>
    </row>
    <row r="30" spans="2:68">
      <c r="B30" s="58">
        <v>1</v>
      </c>
      <c r="C30" s="59">
        <v>4</v>
      </c>
      <c r="D30" s="59" t="s">
        <v>102</v>
      </c>
      <c r="E30" s="60">
        <f>'[1]Master File'!B29</f>
        <v>46043</v>
      </c>
      <c r="F30" s="61" t="str">
        <f>'[1]Master File'!C29</f>
        <v>Closed</v>
      </c>
      <c r="G30" s="39"/>
      <c r="I30" s="56" t="s">
        <v>99</v>
      </c>
      <c r="J30" s="56" t="s">
        <v>99</v>
      </c>
      <c r="K30" s="56" t="s">
        <v>99</v>
      </c>
      <c r="L30" s="56" t="s">
        <v>23</v>
      </c>
      <c r="M30" s="56" t="s">
        <v>99</v>
      </c>
      <c r="N30" s="56" t="s">
        <v>99</v>
      </c>
      <c r="O30" s="56" t="s">
        <v>99</v>
      </c>
      <c r="P30" s="56" t="s">
        <v>99</v>
      </c>
      <c r="Q30" s="56" t="s">
        <v>99</v>
      </c>
      <c r="R30" s="56" t="s">
        <v>99</v>
      </c>
      <c r="S30" s="56" t="s">
        <v>99</v>
      </c>
      <c r="T30" s="56" t="s">
        <v>99</v>
      </c>
      <c r="U30" s="56" t="s">
        <v>99</v>
      </c>
      <c r="V30" s="56" t="s">
        <v>99</v>
      </c>
      <c r="W30" s="56" t="s">
        <v>99</v>
      </c>
      <c r="X30" s="56" t="s">
        <v>99</v>
      </c>
      <c r="Y30" s="56" t="s">
        <v>23</v>
      </c>
      <c r="Z30" s="56" t="s">
        <v>99</v>
      </c>
      <c r="AA30" s="56" t="s">
        <v>99</v>
      </c>
      <c r="AB30" s="56" t="s">
        <v>23</v>
      </c>
      <c r="AC30" s="56" t="s">
        <v>23</v>
      </c>
      <c r="AD30" s="56" t="s">
        <v>99</v>
      </c>
      <c r="AE30" s="56" t="s">
        <v>99</v>
      </c>
      <c r="AF30" s="56" t="s">
        <v>99</v>
      </c>
      <c r="AG30" s="56" t="s">
        <v>23</v>
      </c>
      <c r="AH30" s="56" t="s">
        <v>99</v>
      </c>
      <c r="AI30" s="56" t="s">
        <v>99</v>
      </c>
      <c r="AJ30" s="56" t="s">
        <v>99</v>
      </c>
      <c r="AK30" s="56" t="s">
        <v>23</v>
      </c>
      <c r="AL30" s="56" t="s">
        <v>99</v>
      </c>
      <c r="AM30" s="56" t="s">
        <v>99</v>
      </c>
      <c r="AN30" s="56" t="s">
        <v>99</v>
      </c>
      <c r="AO30" s="56" t="s">
        <v>99</v>
      </c>
      <c r="AP30" s="56" t="s">
        <v>99</v>
      </c>
      <c r="AQ30" s="56" t="s">
        <v>99</v>
      </c>
      <c r="AR30" s="56" t="s">
        <v>99</v>
      </c>
      <c r="AS30" s="56" t="s">
        <v>99</v>
      </c>
      <c r="AT30" s="56" t="s">
        <v>99</v>
      </c>
      <c r="AU30" s="56" t="s">
        <v>99</v>
      </c>
      <c r="AV30" s="56" t="s">
        <v>99</v>
      </c>
      <c r="AW30" s="56" t="s">
        <v>99</v>
      </c>
      <c r="AX30" s="56" t="s">
        <v>99</v>
      </c>
      <c r="AY30" s="56" t="s">
        <v>99</v>
      </c>
      <c r="AZ30" s="56" t="s">
        <v>99</v>
      </c>
      <c r="BA30" s="56" t="s">
        <v>99</v>
      </c>
      <c r="BB30" s="56" t="s">
        <v>99</v>
      </c>
      <c r="BC30" s="56" t="s">
        <v>99</v>
      </c>
      <c r="BD30" s="56" t="s">
        <v>99</v>
      </c>
      <c r="BE30" s="56" t="s">
        <v>99</v>
      </c>
      <c r="BF30" s="56" t="s">
        <v>99</v>
      </c>
      <c r="BG30" s="56" t="s">
        <v>99</v>
      </c>
      <c r="BH30" s="56" t="s">
        <v>99</v>
      </c>
      <c r="BI30" s="56" t="s">
        <v>99</v>
      </c>
      <c r="BJ30" s="56" t="s">
        <v>99</v>
      </c>
      <c r="BK30" s="56" t="s">
        <v>99</v>
      </c>
      <c r="BL30" s="56" t="s">
        <v>99</v>
      </c>
      <c r="BM30" s="56" t="s">
        <v>99</v>
      </c>
      <c r="BN30" s="56" t="s">
        <v>99</v>
      </c>
      <c r="BO30" s="56" t="s">
        <v>99</v>
      </c>
      <c r="BP30" s="62" t="s">
        <v>99</v>
      </c>
    </row>
    <row r="31" spans="2:68">
      <c r="B31" s="58">
        <v>1</v>
      </c>
      <c r="C31" s="59">
        <v>4</v>
      </c>
      <c r="D31" s="59" t="s">
        <v>103</v>
      </c>
      <c r="E31" s="60">
        <f>'[1]Master File'!B30</f>
        <v>46044</v>
      </c>
      <c r="F31" s="61" t="str">
        <f>'[1]Master File'!C30</f>
        <v>Closed</v>
      </c>
      <c r="G31" s="39"/>
      <c r="I31" s="56" t="s">
        <v>99</v>
      </c>
      <c r="J31" s="56" t="s">
        <v>99</v>
      </c>
      <c r="K31" s="56" t="s">
        <v>99</v>
      </c>
      <c r="L31" s="56" t="s">
        <v>23</v>
      </c>
      <c r="M31" s="56" t="s">
        <v>99</v>
      </c>
      <c r="N31" s="56" t="s">
        <v>99</v>
      </c>
      <c r="O31" s="56" t="s">
        <v>99</v>
      </c>
      <c r="P31" s="56" t="s">
        <v>99</v>
      </c>
      <c r="Q31" s="56" t="s">
        <v>99</v>
      </c>
      <c r="R31" s="56" t="s">
        <v>99</v>
      </c>
      <c r="S31" s="56" t="s">
        <v>99</v>
      </c>
      <c r="T31" s="56" t="s">
        <v>99</v>
      </c>
      <c r="U31" s="56" t="s">
        <v>99</v>
      </c>
      <c r="V31" s="56" t="s">
        <v>99</v>
      </c>
      <c r="W31" s="56" t="s">
        <v>99</v>
      </c>
      <c r="X31" s="56" t="s">
        <v>99</v>
      </c>
      <c r="Y31" s="56" t="s">
        <v>23</v>
      </c>
      <c r="Z31" s="56" t="s">
        <v>99</v>
      </c>
      <c r="AA31" s="56" t="s">
        <v>99</v>
      </c>
      <c r="AB31" s="56" t="s">
        <v>23</v>
      </c>
      <c r="AC31" s="56" t="s">
        <v>23</v>
      </c>
      <c r="AD31" s="56" t="s">
        <v>99</v>
      </c>
      <c r="AE31" s="56" t="s">
        <v>99</v>
      </c>
      <c r="AF31" s="56" t="s">
        <v>99</v>
      </c>
      <c r="AG31" s="56" t="s">
        <v>23</v>
      </c>
      <c r="AH31" s="56" t="s">
        <v>99</v>
      </c>
      <c r="AI31" s="56" t="s">
        <v>99</v>
      </c>
      <c r="AJ31" s="56" t="s">
        <v>99</v>
      </c>
      <c r="AK31" s="56" t="s">
        <v>23</v>
      </c>
      <c r="AL31" s="56" t="s">
        <v>99</v>
      </c>
      <c r="AM31" s="56" t="s">
        <v>99</v>
      </c>
      <c r="AN31" s="56" t="s">
        <v>99</v>
      </c>
      <c r="AO31" s="56" t="s">
        <v>99</v>
      </c>
      <c r="AP31" s="56" t="s">
        <v>99</v>
      </c>
      <c r="AQ31" s="56" t="s">
        <v>99</v>
      </c>
      <c r="AR31" s="56" t="s">
        <v>99</v>
      </c>
      <c r="AS31" s="56" t="s">
        <v>99</v>
      </c>
      <c r="AT31" s="56" t="s">
        <v>99</v>
      </c>
      <c r="AU31" s="56" t="s">
        <v>99</v>
      </c>
      <c r="AV31" s="56" t="s">
        <v>99</v>
      </c>
      <c r="AW31" s="56" t="s">
        <v>99</v>
      </c>
      <c r="AX31" s="56" t="s">
        <v>99</v>
      </c>
      <c r="AY31" s="56" t="s">
        <v>99</v>
      </c>
      <c r="AZ31" s="56" t="s">
        <v>99</v>
      </c>
      <c r="BA31" s="56" t="s">
        <v>99</v>
      </c>
      <c r="BB31" s="56" t="s">
        <v>99</v>
      </c>
      <c r="BC31" s="56" t="s">
        <v>99</v>
      </c>
      <c r="BD31" s="56" t="s">
        <v>99</v>
      </c>
      <c r="BE31" s="56" t="s">
        <v>99</v>
      </c>
      <c r="BF31" s="56" t="s">
        <v>99</v>
      </c>
      <c r="BG31" s="56" t="s">
        <v>99</v>
      </c>
      <c r="BH31" s="56" t="s">
        <v>99</v>
      </c>
      <c r="BI31" s="56" t="s">
        <v>99</v>
      </c>
      <c r="BJ31" s="56" t="s">
        <v>99</v>
      </c>
      <c r="BK31" s="56" t="s">
        <v>99</v>
      </c>
      <c r="BL31" s="56" t="s">
        <v>99</v>
      </c>
      <c r="BM31" s="56" t="s">
        <v>99</v>
      </c>
      <c r="BN31" s="56" t="s">
        <v>99</v>
      </c>
      <c r="BO31" s="56" t="s">
        <v>99</v>
      </c>
      <c r="BP31" s="62" t="s">
        <v>99</v>
      </c>
    </row>
    <row r="32" spans="2:68">
      <c r="B32" s="58">
        <v>1</v>
      </c>
      <c r="C32" s="59">
        <v>4</v>
      </c>
      <c r="D32" s="59" t="s">
        <v>104</v>
      </c>
      <c r="E32" s="60">
        <f>'[1]Master File'!B31</f>
        <v>46045</v>
      </c>
      <c r="F32" s="61" t="str">
        <f>'[1]Master File'!C31</f>
        <v>Closed</v>
      </c>
      <c r="G32" s="39"/>
      <c r="I32" s="56" t="s">
        <v>99</v>
      </c>
      <c r="J32" s="56" t="s">
        <v>99</v>
      </c>
      <c r="K32" s="56" t="s">
        <v>99</v>
      </c>
      <c r="L32" s="56" t="s">
        <v>23</v>
      </c>
      <c r="M32" s="56" t="s">
        <v>99</v>
      </c>
      <c r="N32" s="56" t="s">
        <v>99</v>
      </c>
      <c r="O32" s="56" t="s">
        <v>99</v>
      </c>
      <c r="P32" s="56" t="s">
        <v>99</v>
      </c>
      <c r="Q32" s="56" t="s">
        <v>99</v>
      </c>
      <c r="R32" s="56" t="s">
        <v>99</v>
      </c>
      <c r="S32" s="56" t="s">
        <v>99</v>
      </c>
      <c r="T32" s="56" t="s">
        <v>99</v>
      </c>
      <c r="U32" s="56" t="s">
        <v>99</v>
      </c>
      <c r="V32" s="56" t="s">
        <v>99</v>
      </c>
      <c r="W32" s="56" t="s">
        <v>99</v>
      </c>
      <c r="X32" s="56" t="s">
        <v>99</v>
      </c>
      <c r="Y32" s="56" t="s">
        <v>23</v>
      </c>
      <c r="Z32" s="56" t="s">
        <v>99</v>
      </c>
      <c r="AA32" s="56" t="s">
        <v>99</v>
      </c>
      <c r="AB32" s="56" t="s">
        <v>23</v>
      </c>
      <c r="AC32" s="56" t="s">
        <v>23</v>
      </c>
      <c r="AD32" s="56" t="s">
        <v>99</v>
      </c>
      <c r="AE32" s="56" t="s">
        <v>99</v>
      </c>
      <c r="AF32" s="56" t="s">
        <v>99</v>
      </c>
      <c r="AG32" s="56" t="s">
        <v>23</v>
      </c>
      <c r="AH32" s="56" t="s">
        <v>99</v>
      </c>
      <c r="AI32" s="56" t="s">
        <v>99</v>
      </c>
      <c r="AJ32" s="56" t="s">
        <v>99</v>
      </c>
      <c r="AK32" s="56" t="s">
        <v>23</v>
      </c>
      <c r="AL32" s="56" t="s">
        <v>99</v>
      </c>
      <c r="AM32" s="56" t="s">
        <v>99</v>
      </c>
      <c r="AN32" s="56" t="s">
        <v>99</v>
      </c>
      <c r="AO32" s="56" t="s">
        <v>99</v>
      </c>
      <c r="AP32" s="56" t="s">
        <v>99</v>
      </c>
      <c r="AQ32" s="56" t="s">
        <v>99</v>
      </c>
      <c r="AR32" s="56" t="s">
        <v>99</v>
      </c>
      <c r="AS32" s="56" t="s">
        <v>99</v>
      </c>
      <c r="AT32" s="56" t="s">
        <v>99</v>
      </c>
      <c r="AU32" s="56" t="s">
        <v>99</v>
      </c>
      <c r="AV32" s="56" t="s">
        <v>99</v>
      </c>
      <c r="AW32" s="56" t="s">
        <v>99</v>
      </c>
      <c r="AX32" s="56" t="s">
        <v>99</v>
      </c>
      <c r="AY32" s="56" t="s">
        <v>99</v>
      </c>
      <c r="AZ32" s="56" t="s">
        <v>99</v>
      </c>
      <c r="BA32" s="56" t="s">
        <v>99</v>
      </c>
      <c r="BB32" s="56" t="s">
        <v>99</v>
      </c>
      <c r="BC32" s="56" t="s">
        <v>99</v>
      </c>
      <c r="BD32" s="56" t="s">
        <v>99</v>
      </c>
      <c r="BE32" s="56" t="s">
        <v>99</v>
      </c>
      <c r="BF32" s="56" t="s">
        <v>99</v>
      </c>
      <c r="BG32" s="56" t="s">
        <v>99</v>
      </c>
      <c r="BH32" s="56" t="s">
        <v>99</v>
      </c>
      <c r="BI32" s="56" t="s">
        <v>99</v>
      </c>
      <c r="BJ32" s="56" t="s">
        <v>99</v>
      </c>
      <c r="BK32" s="56" t="s">
        <v>99</v>
      </c>
      <c r="BL32" s="56" t="s">
        <v>99</v>
      </c>
      <c r="BM32" s="56" t="s">
        <v>99</v>
      </c>
      <c r="BN32" s="56" t="s">
        <v>99</v>
      </c>
      <c r="BO32" s="56" t="s">
        <v>99</v>
      </c>
      <c r="BP32" s="62" t="s">
        <v>99</v>
      </c>
    </row>
    <row r="33" spans="2:68">
      <c r="B33" s="58">
        <v>1</v>
      </c>
      <c r="C33" s="59">
        <v>4</v>
      </c>
      <c r="D33" s="59" t="s">
        <v>105</v>
      </c>
      <c r="E33" s="60">
        <f>'[1]Master File'!B32</f>
        <v>46046</v>
      </c>
      <c r="F33" s="61" t="str">
        <f>'[1]Master File'!C32</f>
        <v>Zoo</v>
      </c>
      <c r="G33" s="39"/>
      <c r="I33" s="56" t="s">
        <v>23</v>
      </c>
      <c r="J33" s="56" t="s">
        <v>23</v>
      </c>
      <c r="K33" s="56" t="s">
        <v>23</v>
      </c>
      <c r="L33" s="56" t="s">
        <v>23</v>
      </c>
      <c r="M33" s="56" t="s">
        <v>23</v>
      </c>
      <c r="N33" s="56" t="s">
        <v>23</v>
      </c>
      <c r="O33" s="56" t="s">
        <v>23</v>
      </c>
      <c r="P33" s="56" t="s">
        <v>23</v>
      </c>
      <c r="Q33" s="56" t="s">
        <v>23</v>
      </c>
      <c r="R33" s="63" t="s">
        <v>23</v>
      </c>
      <c r="S33" s="63" t="s">
        <v>99</v>
      </c>
      <c r="T33" s="63" t="s">
        <v>23</v>
      </c>
      <c r="U33" s="63" t="s">
        <v>99</v>
      </c>
      <c r="V33" s="63" t="s">
        <v>99</v>
      </c>
      <c r="W33" s="63" t="s">
        <v>99</v>
      </c>
      <c r="X33" s="63" t="s">
        <v>99</v>
      </c>
      <c r="Y33" s="56" t="s">
        <v>23</v>
      </c>
      <c r="Z33" s="63" t="s">
        <v>23</v>
      </c>
      <c r="AA33" s="63" t="s">
        <v>23</v>
      </c>
      <c r="AB33" s="63" t="s">
        <v>23</v>
      </c>
      <c r="AC33" s="63" t="s">
        <v>23</v>
      </c>
      <c r="AD33" s="63" t="s">
        <v>23</v>
      </c>
      <c r="AE33" s="63" t="s">
        <v>99</v>
      </c>
      <c r="AF33" s="63" t="s">
        <v>99</v>
      </c>
      <c r="AG33" s="63" t="s">
        <v>23</v>
      </c>
      <c r="AH33" s="63" t="s">
        <v>23</v>
      </c>
      <c r="AI33" s="63" t="s">
        <v>99</v>
      </c>
      <c r="AJ33" s="63" t="s">
        <v>99</v>
      </c>
      <c r="AK33" s="63" t="s">
        <v>23</v>
      </c>
      <c r="AL33" s="63" t="s">
        <v>99</v>
      </c>
      <c r="AM33" s="63" t="s">
        <v>23</v>
      </c>
      <c r="AN33" s="63" t="s">
        <v>99</v>
      </c>
      <c r="AO33" s="63" t="s">
        <v>99</v>
      </c>
      <c r="AP33" s="63" t="s">
        <v>23</v>
      </c>
      <c r="AQ33" s="63" t="s">
        <v>23</v>
      </c>
      <c r="AR33" s="63" t="s">
        <v>99</v>
      </c>
      <c r="AS33" s="63" t="s">
        <v>99</v>
      </c>
      <c r="AT33" s="63" t="s">
        <v>99</v>
      </c>
      <c r="AU33" s="63" t="s">
        <v>99</v>
      </c>
      <c r="AV33" s="63" t="s">
        <v>99</v>
      </c>
      <c r="AW33" s="63" t="s">
        <v>99</v>
      </c>
      <c r="AX33" s="63" t="s">
        <v>99</v>
      </c>
      <c r="AY33" s="63" t="s">
        <v>99</v>
      </c>
      <c r="AZ33" s="63" t="s">
        <v>99</v>
      </c>
      <c r="BA33" s="63" t="s">
        <v>99</v>
      </c>
      <c r="BB33" s="63" t="s">
        <v>99</v>
      </c>
      <c r="BC33" s="63" t="s">
        <v>99</v>
      </c>
      <c r="BD33" s="63" t="s">
        <v>99</v>
      </c>
      <c r="BE33" s="63" t="s">
        <v>99</v>
      </c>
      <c r="BF33" s="63" t="s">
        <v>99</v>
      </c>
      <c r="BG33" s="63" t="s">
        <v>99</v>
      </c>
      <c r="BH33" s="63" t="s">
        <v>99</v>
      </c>
      <c r="BI33" s="63" t="s">
        <v>99</v>
      </c>
      <c r="BJ33" s="63" t="s">
        <v>99</v>
      </c>
      <c r="BK33" s="63" t="s">
        <v>99</v>
      </c>
      <c r="BL33" s="63" t="s">
        <v>99</v>
      </c>
      <c r="BM33" s="63" t="s">
        <v>99</v>
      </c>
      <c r="BN33" s="63" t="s">
        <v>99</v>
      </c>
      <c r="BO33" s="63" t="s">
        <v>99</v>
      </c>
      <c r="BP33" s="64" t="s">
        <v>99</v>
      </c>
    </row>
    <row r="34" spans="2:68">
      <c r="B34" s="58">
        <v>1</v>
      </c>
      <c r="C34" s="59">
        <v>5</v>
      </c>
      <c r="D34" s="59" t="s">
        <v>98</v>
      </c>
      <c r="E34" s="60">
        <f>'[1]Master File'!B33</f>
        <v>46047</v>
      </c>
      <c r="F34" s="61" t="str">
        <f>'[1]Master File'!C33</f>
        <v>Zoo</v>
      </c>
      <c r="G34" s="39"/>
      <c r="I34" s="56" t="s">
        <v>23</v>
      </c>
      <c r="J34" s="56" t="s">
        <v>23</v>
      </c>
      <c r="K34" s="56" t="s">
        <v>23</v>
      </c>
      <c r="L34" s="56" t="s">
        <v>23</v>
      </c>
      <c r="M34" s="56" t="s">
        <v>23</v>
      </c>
      <c r="N34" s="56" t="s">
        <v>23</v>
      </c>
      <c r="O34" s="56" t="s">
        <v>23</v>
      </c>
      <c r="P34" s="56" t="s">
        <v>23</v>
      </c>
      <c r="Q34" s="56" t="s">
        <v>23</v>
      </c>
      <c r="R34" s="63" t="s">
        <v>23</v>
      </c>
      <c r="S34" s="63" t="s">
        <v>99</v>
      </c>
      <c r="T34" s="63" t="s">
        <v>23</v>
      </c>
      <c r="U34" s="63" t="s">
        <v>99</v>
      </c>
      <c r="V34" s="63" t="s">
        <v>99</v>
      </c>
      <c r="W34" s="63" t="s">
        <v>99</v>
      </c>
      <c r="X34" s="63" t="s">
        <v>99</v>
      </c>
      <c r="Y34" s="56" t="s">
        <v>23</v>
      </c>
      <c r="Z34" s="63" t="s">
        <v>23</v>
      </c>
      <c r="AA34" s="63" t="s">
        <v>23</v>
      </c>
      <c r="AB34" s="63" t="s">
        <v>23</v>
      </c>
      <c r="AC34" s="63" t="s">
        <v>23</v>
      </c>
      <c r="AD34" s="63" t="s">
        <v>23</v>
      </c>
      <c r="AE34" s="63" t="s">
        <v>99</v>
      </c>
      <c r="AF34" s="63" t="s">
        <v>99</v>
      </c>
      <c r="AG34" s="63" t="s">
        <v>23</v>
      </c>
      <c r="AH34" s="63" t="s">
        <v>23</v>
      </c>
      <c r="AI34" s="63" t="s">
        <v>99</v>
      </c>
      <c r="AJ34" s="63" t="s">
        <v>99</v>
      </c>
      <c r="AK34" s="63" t="s">
        <v>23</v>
      </c>
      <c r="AL34" s="63" t="s">
        <v>99</v>
      </c>
      <c r="AM34" s="63" t="s">
        <v>23</v>
      </c>
      <c r="AN34" s="63" t="s">
        <v>99</v>
      </c>
      <c r="AO34" s="63" t="s">
        <v>99</v>
      </c>
      <c r="AP34" s="63" t="s">
        <v>23</v>
      </c>
      <c r="AQ34" s="63" t="s">
        <v>23</v>
      </c>
      <c r="AR34" s="63" t="s">
        <v>99</v>
      </c>
      <c r="AS34" s="63" t="s">
        <v>99</v>
      </c>
      <c r="AT34" s="63" t="s">
        <v>99</v>
      </c>
      <c r="AU34" s="63" t="s">
        <v>99</v>
      </c>
      <c r="AV34" s="63" t="s">
        <v>99</v>
      </c>
      <c r="AW34" s="63" t="s">
        <v>99</v>
      </c>
      <c r="AX34" s="63" t="s">
        <v>99</v>
      </c>
      <c r="AY34" s="63" t="s">
        <v>99</v>
      </c>
      <c r="AZ34" s="63" t="s">
        <v>99</v>
      </c>
      <c r="BA34" s="63" t="s">
        <v>99</v>
      </c>
      <c r="BB34" s="63" t="s">
        <v>99</v>
      </c>
      <c r="BC34" s="63" t="s">
        <v>99</v>
      </c>
      <c r="BD34" s="63" t="s">
        <v>99</v>
      </c>
      <c r="BE34" s="63" t="s">
        <v>99</v>
      </c>
      <c r="BF34" s="63" t="s">
        <v>99</v>
      </c>
      <c r="BG34" s="63" t="s">
        <v>99</v>
      </c>
      <c r="BH34" s="63" t="s">
        <v>99</v>
      </c>
      <c r="BI34" s="63" t="s">
        <v>99</v>
      </c>
      <c r="BJ34" s="63" t="s">
        <v>99</v>
      </c>
      <c r="BK34" s="63" t="s">
        <v>99</v>
      </c>
      <c r="BL34" s="63" t="s">
        <v>99</v>
      </c>
      <c r="BM34" s="63" t="s">
        <v>99</v>
      </c>
      <c r="BN34" s="63" t="s">
        <v>99</v>
      </c>
      <c r="BO34" s="63" t="s">
        <v>99</v>
      </c>
      <c r="BP34" s="64" t="s">
        <v>99</v>
      </c>
    </row>
    <row r="35" spans="2:68">
      <c r="B35" s="58">
        <v>1</v>
      </c>
      <c r="C35" s="59">
        <v>5</v>
      </c>
      <c r="D35" s="59" t="s">
        <v>100</v>
      </c>
      <c r="E35" s="60">
        <f>'[1]Master File'!B34</f>
        <v>46048</v>
      </c>
      <c r="F35" s="61" t="str">
        <f>'[1]Master File'!C34</f>
        <v>Closed</v>
      </c>
      <c r="G35" s="39"/>
      <c r="I35" s="56" t="s">
        <v>99</v>
      </c>
      <c r="J35" s="56" t="s">
        <v>99</v>
      </c>
      <c r="K35" s="56" t="s">
        <v>99</v>
      </c>
      <c r="L35" s="56" t="s">
        <v>23</v>
      </c>
      <c r="M35" s="56" t="s">
        <v>99</v>
      </c>
      <c r="N35" s="56" t="s">
        <v>99</v>
      </c>
      <c r="O35" s="56" t="s">
        <v>99</v>
      </c>
      <c r="P35" s="56" t="s">
        <v>99</v>
      </c>
      <c r="Q35" s="56" t="s">
        <v>99</v>
      </c>
      <c r="R35" s="56" t="s">
        <v>99</v>
      </c>
      <c r="S35" s="56" t="s">
        <v>99</v>
      </c>
      <c r="T35" s="56" t="s">
        <v>99</v>
      </c>
      <c r="U35" s="56" t="s">
        <v>99</v>
      </c>
      <c r="V35" s="56" t="s">
        <v>99</v>
      </c>
      <c r="W35" s="56" t="s">
        <v>99</v>
      </c>
      <c r="X35" s="56" t="s">
        <v>99</v>
      </c>
      <c r="Y35" s="56" t="s">
        <v>23</v>
      </c>
      <c r="Z35" s="56" t="s">
        <v>99</v>
      </c>
      <c r="AA35" s="56" t="s">
        <v>99</v>
      </c>
      <c r="AB35" s="56" t="s">
        <v>23</v>
      </c>
      <c r="AC35" s="56" t="s">
        <v>23</v>
      </c>
      <c r="AD35" s="56" t="s">
        <v>99</v>
      </c>
      <c r="AE35" s="56" t="s">
        <v>99</v>
      </c>
      <c r="AF35" s="56" t="s">
        <v>99</v>
      </c>
      <c r="AG35" s="56" t="s">
        <v>23</v>
      </c>
      <c r="AH35" s="56" t="s">
        <v>99</v>
      </c>
      <c r="AI35" s="56" t="s">
        <v>99</v>
      </c>
      <c r="AJ35" s="56" t="s">
        <v>99</v>
      </c>
      <c r="AK35" s="56" t="s">
        <v>23</v>
      </c>
      <c r="AL35" s="56" t="s">
        <v>99</v>
      </c>
      <c r="AM35" s="56" t="s">
        <v>99</v>
      </c>
      <c r="AN35" s="56" t="s">
        <v>99</v>
      </c>
      <c r="AO35" s="56" t="s">
        <v>99</v>
      </c>
      <c r="AP35" s="56" t="s">
        <v>99</v>
      </c>
      <c r="AQ35" s="56" t="s">
        <v>99</v>
      </c>
      <c r="AR35" s="56" t="s">
        <v>99</v>
      </c>
      <c r="AS35" s="56" t="s">
        <v>99</v>
      </c>
      <c r="AT35" s="56" t="s">
        <v>99</v>
      </c>
      <c r="AU35" s="56" t="s">
        <v>99</v>
      </c>
      <c r="AV35" s="56" t="s">
        <v>99</v>
      </c>
      <c r="AW35" s="56" t="s">
        <v>99</v>
      </c>
      <c r="AX35" s="56" t="s">
        <v>99</v>
      </c>
      <c r="AY35" s="56" t="s">
        <v>99</v>
      </c>
      <c r="AZ35" s="56" t="s">
        <v>99</v>
      </c>
      <c r="BA35" s="56" t="s">
        <v>99</v>
      </c>
      <c r="BB35" s="56" t="s">
        <v>99</v>
      </c>
      <c r="BC35" s="56" t="s">
        <v>99</v>
      </c>
      <c r="BD35" s="56" t="s">
        <v>99</v>
      </c>
      <c r="BE35" s="56" t="s">
        <v>99</v>
      </c>
      <c r="BF35" s="56" t="s">
        <v>99</v>
      </c>
      <c r="BG35" s="56" t="s">
        <v>99</v>
      </c>
      <c r="BH35" s="56" t="s">
        <v>99</v>
      </c>
      <c r="BI35" s="56" t="s">
        <v>99</v>
      </c>
      <c r="BJ35" s="56" t="s">
        <v>99</v>
      </c>
      <c r="BK35" s="56" t="s">
        <v>99</v>
      </c>
      <c r="BL35" s="56" t="s">
        <v>99</v>
      </c>
      <c r="BM35" s="56" t="s">
        <v>99</v>
      </c>
      <c r="BN35" s="56" t="s">
        <v>99</v>
      </c>
      <c r="BO35" s="56" t="s">
        <v>99</v>
      </c>
      <c r="BP35" s="62" t="s">
        <v>99</v>
      </c>
    </row>
    <row r="36" spans="2:68">
      <c r="B36" s="58">
        <v>1</v>
      </c>
      <c r="C36" s="59">
        <v>5</v>
      </c>
      <c r="D36" s="59" t="s">
        <v>101</v>
      </c>
      <c r="E36" s="60">
        <f>'[1]Master File'!B35</f>
        <v>46049</v>
      </c>
      <c r="F36" s="61" t="str">
        <f>'[1]Master File'!C35</f>
        <v>Closed</v>
      </c>
      <c r="G36" s="39"/>
      <c r="I36" s="56" t="s">
        <v>99</v>
      </c>
      <c r="J36" s="56" t="s">
        <v>99</v>
      </c>
      <c r="K36" s="56" t="s">
        <v>99</v>
      </c>
      <c r="L36" s="56" t="s">
        <v>23</v>
      </c>
      <c r="M36" s="56" t="s">
        <v>99</v>
      </c>
      <c r="N36" s="56" t="s">
        <v>99</v>
      </c>
      <c r="O36" s="56" t="s">
        <v>99</v>
      </c>
      <c r="P36" s="56" t="s">
        <v>99</v>
      </c>
      <c r="Q36" s="56" t="s">
        <v>99</v>
      </c>
      <c r="R36" s="56" t="s">
        <v>99</v>
      </c>
      <c r="S36" s="56" t="s">
        <v>99</v>
      </c>
      <c r="T36" s="56" t="s">
        <v>99</v>
      </c>
      <c r="U36" s="56" t="s">
        <v>99</v>
      </c>
      <c r="V36" s="56" t="s">
        <v>99</v>
      </c>
      <c r="W36" s="56" t="s">
        <v>99</v>
      </c>
      <c r="X36" s="56" t="s">
        <v>99</v>
      </c>
      <c r="Y36" s="56" t="s">
        <v>23</v>
      </c>
      <c r="Z36" s="56" t="s">
        <v>99</v>
      </c>
      <c r="AA36" s="56" t="s">
        <v>99</v>
      </c>
      <c r="AB36" s="56" t="s">
        <v>23</v>
      </c>
      <c r="AC36" s="56" t="s">
        <v>23</v>
      </c>
      <c r="AD36" s="56" t="s">
        <v>99</v>
      </c>
      <c r="AE36" s="56" t="s">
        <v>99</v>
      </c>
      <c r="AF36" s="56" t="s">
        <v>99</v>
      </c>
      <c r="AG36" s="56" t="s">
        <v>23</v>
      </c>
      <c r="AH36" s="56" t="s">
        <v>99</v>
      </c>
      <c r="AI36" s="56" t="s">
        <v>99</v>
      </c>
      <c r="AJ36" s="56" t="s">
        <v>99</v>
      </c>
      <c r="AK36" s="56" t="s">
        <v>23</v>
      </c>
      <c r="AL36" s="56" t="s">
        <v>99</v>
      </c>
      <c r="AM36" s="56" t="s">
        <v>99</v>
      </c>
      <c r="AN36" s="56" t="s">
        <v>99</v>
      </c>
      <c r="AO36" s="56" t="s">
        <v>99</v>
      </c>
      <c r="AP36" s="56" t="s">
        <v>99</v>
      </c>
      <c r="AQ36" s="56" t="s">
        <v>99</v>
      </c>
      <c r="AR36" s="56" t="s">
        <v>99</v>
      </c>
      <c r="AS36" s="56" t="s">
        <v>99</v>
      </c>
      <c r="AT36" s="56" t="s">
        <v>99</v>
      </c>
      <c r="AU36" s="56" t="s">
        <v>99</v>
      </c>
      <c r="AV36" s="56" t="s">
        <v>99</v>
      </c>
      <c r="AW36" s="56" t="s">
        <v>99</v>
      </c>
      <c r="AX36" s="56" t="s">
        <v>99</v>
      </c>
      <c r="AY36" s="56" t="s">
        <v>99</v>
      </c>
      <c r="AZ36" s="56" t="s">
        <v>99</v>
      </c>
      <c r="BA36" s="56" t="s">
        <v>99</v>
      </c>
      <c r="BB36" s="56" t="s">
        <v>99</v>
      </c>
      <c r="BC36" s="56" t="s">
        <v>99</v>
      </c>
      <c r="BD36" s="56" t="s">
        <v>99</v>
      </c>
      <c r="BE36" s="56" t="s">
        <v>99</v>
      </c>
      <c r="BF36" s="56" t="s">
        <v>99</v>
      </c>
      <c r="BG36" s="56" t="s">
        <v>99</v>
      </c>
      <c r="BH36" s="56" t="s">
        <v>99</v>
      </c>
      <c r="BI36" s="56" t="s">
        <v>99</v>
      </c>
      <c r="BJ36" s="56" t="s">
        <v>99</v>
      </c>
      <c r="BK36" s="56" t="s">
        <v>99</v>
      </c>
      <c r="BL36" s="56" t="s">
        <v>99</v>
      </c>
      <c r="BM36" s="56" t="s">
        <v>99</v>
      </c>
      <c r="BN36" s="56" t="s">
        <v>99</v>
      </c>
      <c r="BO36" s="56" t="s">
        <v>99</v>
      </c>
      <c r="BP36" s="62" t="s">
        <v>99</v>
      </c>
    </row>
    <row r="37" spans="2:68">
      <c r="B37" s="58">
        <v>1</v>
      </c>
      <c r="C37" s="59">
        <v>5</v>
      </c>
      <c r="D37" s="59" t="s">
        <v>102</v>
      </c>
      <c r="E37" s="60">
        <f>'[1]Master File'!B36</f>
        <v>46050</v>
      </c>
      <c r="F37" s="61" t="str">
        <f>'[1]Master File'!C36</f>
        <v>Closed</v>
      </c>
      <c r="G37" s="39"/>
      <c r="I37" s="56" t="s">
        <v>99</v>
      </c>
      <c r="J37" s="56" t="s">
        <v>99</v>
      </c>
      <c r="K37" s="56" t="s">
        <v>99</v>
      </c>
      <c r="L37" s="56" t="s">
        <v>23</v>
      </c>
      <c r="M37" s="56" t="s">
        <v>99</v>
      </c>
      <c r="N37" s="56" t="s">
        <v>99</v>
      </c>
      <c r="O37" s="56" t="s">
        <v>99</v>
      </c>
      <c r="P37" s="56" t="s">
        <v>99</v>
      </c>
      <c r="Q37" s="56" t="s">
        <v>99</v>
      </c>
      <c r="R37" s="56" t="s">
        <v>99</v>
      </c>
      <c r="S37" s="56" t="s">
        <v>99</v>
      </c>
      <c r="T37" s="56" t="s">
        <v>99</v>
      </c>
      <c r="U37" s="56" t="s">
        <v>99</v>
      </c>
      <c r="V37" s="56" t="s">
        <v>99</v>
      </c>
      <c r="W37" s="56" t="s">
        <v>99</v>
      </c>
      <c r="X37" s="56" t="s">
        <v>99</v>
      </c>
      <c r="Y37" s="56" t="s">
        <v>23</v>
      </c>
      <c r="Z37" s="56" t="s">
        <v>99</v>
      </c>
      <c r="AA37" s="56" t="s">
        <v>99</v>
      </c>
      <c r="AB37" s="56" t="s">
        <v>23</v>
      </c>
      <c r="AC37" s="56" t="s">
        <v>23</v>
      </c>
      <c r="AD37" s="56" t="s">
        <v>99</v>
      </c>
      <c r="AE37" s="56" t="s">
        <v>99</v>
      </c>
      <c r="AF37" s="56" t="s">
        <v>99</v>
      </c>
      <c r="AG37" s="56" t="s">
        <v>23</v>
      </c>
      <c r="AH37" s="56" t="s">
        <v>99</v>
      </c>
      <c r="AI37" s="56" t="s">
        <v>99</v>
      </c>
      <c r="AJ37" s="56" t="s">
        <v>99</v>
      </c>
      <c r="AK37" s="56" t="s">
        <v>23</v>
      </c>
      <c r="AL37" s="56" t="s">
        <v>99</v>
      </c>
      <c r="AM37" s="56" t="s">
        <v>99</v>
      </c>
      <c r="AN37" s="56" t="s">
        <v>99</v>
      </c>
      <c r="AO37" s="56" t="s">
        <v>99</v>
      </c>
      <c r="AP37" s="56" t="s">
        <v>99</v>
      </c>
      <c r="AQ37" s="56" t="s">
        <v>99</v>
      </c>
      <c r="AR37" s="56" t="s">
        <v>99</v>
      </c>
      <c r="AS37" s="56" t="s">
        <v>99</v>
      </c>
      <c r="AT37" s="56" t="s">
        <v>99</v>
      </c>
      <c r="AU37" s="56" t="s">
        <v>99</v>
      </c>
      <c r="AV37" s="56" t="s">
        <v>99</v>
      </c>
      <c r="AW37" s="56" t="s">
        <v>99</v>
      </c>
      <c r="AX37" s="56" t="s">
        <v>99</v>
      </c>
      <c r="AY37" s="56" t="s">
        <v>99</v>
      </c>
      <c r="AZ37" s="56" t="s">
        <v>99</v>
      </c>
      <c r="BA37" s="56" t="s">
        <v>99</v>
      </c>
      <c r="BB37" s="56" t="s">
        <v>99</v>
      </c>
      <c r="BC37" s="56" t="s">
        <v>99</v>
      </c>
      <c r="BD37" s="56" t="s">
        <v>99</v>
      </c>
      <c r="BE37" s="56" t="s">
        <v>99</v>
      </c>
      <c r="BF37" s="56" t="s">
        <v>99</v>
      </c>
      <c r="BG37" s="56" t="s">
        <v>99</v>
      </c>
      <c r="BH37" s="56" t="s">
        <v>99</v>
      </c>
      <c r="BI37" s="56" t="s">
        <v>99</v>
      </c>
      <c r="BJ37" s="56" t="s">
        <v>99</v>
      </c>
      <c r="BK37" s="56" t="s">
        <v>99</v>
      </c>
      <c r="BL37" s="56" t="s">
        <v>99</v>
      </c>
      <c r="BM37" s="56" t="s">
        <v>99</v>
      </c>
      <c r="BN37" s="56" t="s">
        <v>99</v>
      </c>
      <c r="BO37" s="56" t="s">
        <v>99</v>
      </c>
      <c r="BP37" s="62" t="s">
        <v>99</v>
      </c>
    </row>
    <row r="38" spans="2:68">
      <c r="B38" s="58">
        <v>1</v>
      </c>
      <c r="C38" s="59">
        <v>5</v>
      </c>
      <c r="D38" s="59" t="s">
        <v>103</v>
      </c>
      <c r="E38" s="60">
        <f>'[1]Master File'!B37</f>
        <v>46051</v>
      </c>
      <c r="F38" s="61" t="str">
        <f>'[1]Master File'!C37</f>
        <v>Closed</v>
      </c>
      <c r="G38" s="39"/>
      <c r="I38" s="56" t="s">
        <v>99</v>
      </c>
      <c r="J38" s="56" t="s">
        <v>99</v>
      </c>
      <c r="K38" s="56" t="s">
        <v>99</v>
      </c>
      <c r="L38" s="56" t="s">
        <v>23</v>
      </c>
      <c r="M38" s="56" t="s">
        <v>99</v>
      </c>
      <c r="N38" s="56" t="s">
        <v>99</v>
      </c>
      <c r="O38" s="56" t="s">
        <v>99</v>
      </c>
      <c r="P38" s="56" t="s">
        <v>99</v>
      </c>
      <c r="Q38" s="56" t="s">
        <v>99</v>
      </c>
      <c r="R38" s="56" t="s">
        <v>99</v>
      </c>
      <c r="S38" s="56" t="s">
        <v>99</v>
      </c>
      <c r="T38" s="56" t="s">
        <v>99</v>
      </c>
      <c r="U38" s="56" t="s">
        <v>99</v>
      </c>
      <c r="V38" s="56" t="s">
        <v>99</v>
      </c>
      <c r="W38" s="56" t="s">
        <v>99</v>
      </c>
      <c r="X38" s="56" t="s">
        <v>99</v>
      </c>
      <c r="Y38" s="56" t="s">
        <v>23</v>
      </c>
      <c r="Z38" s="56" t="s">
        <v>99</v>
      </c>
      <c r="AA38" s="56" t="s">
        <v>99</v>
      </c>
      <c r="AB38" s="56" t="s">
        <v>23</v>
      </c>
      <c r="AC38" s="56" t="s">
        <v>23</v>
      </c>
      <c r="AD38" s="56" t="s">
        <v>99</v>
      </c>
      <c r="AE38" s="56" t="s">
        <v>99</v>
      </c>
      <c r="AF38" s="56" t="s">
        <v>99</v>
      </c>
      <c r="AG38" s="56" t="s">
        <v>23</v>
      </c>
      <c r="AH38" s="56" t="s">
        <v>99</v>
      </c>
      <c r="AI38" s="56" t="s">
        <v>99</v>
      </c>
      <c r="AJ38" s="56" t="s">
        <v>99</v>
      </c>
      <c r="AK38" s="56" t="s">
        <v>23</v>
      </c>
      <c r="AL38" s="56" t="s">
        <v>99</v>
      </c>
      <c r="AM38" s="56" t="s">
        <v>99</v>
      </c>
      <c r="AN38" s="56" t="s">
        <v>99</v>
      </c>
      <c r="AO38" s="56" t="s">
        <v>99</v>
      </c>
      <c r="AP38" s="56" t="s">
        <v>99</v>
      </c>
      <c r="AQ38" s="56" t="s">
        <v>99</v>
      </c>
      <c r="AR38" s="56" t="s">
        <v>99</v>
      </c>
      <c r="AS38" s="56" t="s">
        <v>99</v>
      </c>
      <c r="AT38" s="56" t="s">
        <v>99</v>
      </c>
      <c r="AU38" s="56" t="s">
        <v>99</v>
      </c>
      <c r="AV38" s="56" t="s">
        <v>99</v>
      </c>
      <c r="AW38" s="56" t="s">
        <v>99</v>
      </c>
      <c r="AX38" s="56" t="s">
        <v>99</v>
      </c>
      <c r="AY38" s="56" t="s">
        <v>99</v>
      </c>
      <c r="AZ38" s="56" t="s">
        <v>99</v>
      </c>
      <c r="BA38" s="56" t="s">
        <v>99</v>
      </c>
      <c r="BB38" s="56" t="s">
        <v>99</v>
      </c>
      <c r="BC38" s="56" t="s">
        <v>99</v>
      </c>
      <c r="BD38" s="56" t="s">
        <v>99</v>
      </c>
      <c r="BE38" s="56" t="s">
        <v>99</v>
      </c>
      <c r="BF38" s="56" t="s">
        <v>99</v>
      </c>
      <c r="BG38" s="56" t="s">
        <v>99</v>
      </c>
      <c r="BH38" s="56" t="s">
        <v>99</v>
      </c>
      <c r="BI38" s="56" t="s">
        <v>99</v>
      </c>
      <c r="BJ38" s="56" t="s">
        <v>99</v>
      </c>
      <c r="BK38" s="56" t="s">
        <v>99</v>
      </c>
      <c r="BL38" s="56" t="s">
        <v>99</v>
      </c>
      <c r="BM38" s="56" t="s">
        <v>99</v>
      </c>
      <c r="BN38" s="56" t="s">
        <v>99</v>
      </c>
      <c r="BO38" s="56" t="s">
        <v>99</v>
      </c>
      <c r="BP38" s="62" t="s">
        <v>99</v>
      </c>
    </row>
    <row r="39" spans="2:68">
      <c r="B39" s="58">
        <v>1</v>
      </c>
      <c r="C39" s="59">
        <v>5</v>
      </c>
      <c r="D39" s="59" t="s">
        <v>104</v>
      </c>
      <c r="E39" s="60">
        <f>'[1]Master File'!B38</f>
        <v>46052</v>
      </c>
      <c r="F39" s="61" t="str">
        <f>'[1]Master File'!C38</f>
        <v>Closed</v>
      </c>
      <c r="G39" s="39"/>
      <c r="I39" s="56" t="s">
        <v>99</v>
      </c>
      <c r="J39" s="56" t="s">
        <v>99</v>
      </c>
      <c r="K39" s="56" t="s">
        <v>99</v>
      </c>
      <c r="L39" s="56" t="s">
        <v>23</v>
      </c>
      <c r="M39" s="56" t="s">
        <v>99</v>
      </c>
      <c r="N39" s="56" t="s">
        <v>99</v>
      </c>
      <c r="O39" s="56" t="s">
        <v>99</v>
      </c>
      <c r="P39" s="56" t="s">
        <v>99</v>
      </c>
      <c r="Q39" s="56" t="s">
        <v>99</v>
      </c>
      <c r="R39" s="56" t="s">
        <v>99</v>
      </c>
      <c r="S39" s="56" t="s">
        <v>99</v>
      </c>
      <c r="T39" s="56" t="s">
        <v>99</v>
      </c>
      <c r="U39" s="56" t="s">
        <v>99</v>
      </c>
      <c r="V39" s="56" t="s">
        <v>99</v>
      </c>
      <c r="W39" s="56" t="s">
        <v>99</v>
      </c>
      <c r="X39" s="56" t="s">
        <v>99</v>
      </c>
      <c r="Y39" s="56" t="s">
        <v>23</v>
      </c>
      <c r="Z39" s="56" t="s">
        <v>99</v>
      </c>
      <c r="AA39" s="56" t="s">
        <v>99</v>
      </c>
      <c r="AB39" s="56" t="s">
        <v>23</v>
      </c>
      <c r="AC39" s="56" t="s">
        <v>23</v>
      </c>
      <c r="AD39" s="56" t="s">
        <v>99</v>
      </c>
      <c r="AE39" s="56" t="s">
        <v>99</v>
      </c>
      <c r="AF39" s="56" t="s">
        <v>99</v>
      </c>
      <c r="AG39" s="56" t="s">
        <v>23</v>
      </c>
      <c r="AH39" s="56" t="s">
        <v>99</v>
      </c>
      <c r="AI39" s="56" t="s">
        <v>99</v>
      </c>
      <c r="AJ39" s="56" t="s">
        <v>99</v>
      </c>
      <c r="AK39" s="56" t="s">
        <v>23</v>
      </c>
      <c r="AL39" s="56" t="s">
        <v>99</v>
      </c>
      <c r="AM39" s="56" t="s">
        <v>99</v>
      </c>
      <c r="AN39" s="56" t="s">
        <v>99</v>
      </c>
      <c r="AO39" s="56" t="s">
        <v>99</v>
      </c>
      <c r="AP39" s="56" t="s">
        <v>99</v>
      </c>
      <c r="AQ39" s="56" t="s">
        <v>99</v>
      </c>
      <c r="AR39" s="56" t="s">
        <v>99</v>
      </c>
      <c r="AS39" s="56" t="s">
        <v>99</v>
      </c>
      <c r="AT39" s="56" t="s">
        <v>99</v>
      </c>
      <c r="AU39" s="56" t="s">
        <v>99</v>
      </c>
      <c r="AV39" s="56" t="s">
        <v>99</v>
      </c>
      <c r="AW39" s="56" t="s">
        <v>99</v>
      </c>
      <c r="AX39" s="56" t="s">
        <v>99</v>
      </c>
      <c r="AY39" s="56" t="s">
        <v>99</v>
      </c>
      <c r="AZ39" s="56" t="s">
        <v>99</v>
      </c>
      <c r="BA39" s="56" t="s">
        <v>99</v>
      </c>
      <c r="BB39" s="56" t="s">
        <v>99</v>
      </c>
      <c r="BC39" s="56" t="s">
        <v>99</v>
      </c>
      <c r="BD39" s="56" t="s">
        <v>99</v>
      </c>
      <c r="BE39" s="56" t="s">
        <v>99</v>
      </c>
      <c r="BF39" s="56" t="s">
        <v>99</v>
      </c>
      <c r="BG39" s="56" t="s">
        <v>99</v>
      </c>
      <c r="BH39" s="56" t="s">
        <v>99</v>
      </c>
      <c r="BI39" s="56" t="s">
        <v>99</v>
      </c>
      <c r="BJ39" s="56" t="s">
        <v>99</v>
      </c>
      <c r="BK39" s="56" t="s">
        <v>99</v>
      </c>
      <c r="BL39" s="56" t="s">
        <v>99</v>
      </c>
      <c r="BM39" s="56" t="s">
        <v>99</v>
      </c>
      <c r="BN39" s="56" t="s">
        <v>99</v>
      </c>
      <c r="BO39" s="56" t="s">
        <v>99</v>
      </c>
      <c r="BP39" s="62" t="s">
        <v>99</v>
      </c>
    </row>
    <row r="40" spans="2:68">
      <c r="B40" s="58">
        <v>1</v>
      </c>
      <c r="C40" s="59">
        <v>5</v>
      </c>
      <c r="D40" s="59" t="s">
        <v>105</v>
      </c>
      <c r="E40" s="60">
        <f>'[1]Master File'!B39</f>
        <v>46053</v>
      </c>
      <c r="F40" s="61" t="str">
        <f>'[1]Master File'!C39</f>
        <v>Zoo</v>
      </c>
      <c r="G40" s="39"/>
      <c r="I40" s="56" t="s">
        <v>23</v>
      </c>
      <c r="J40" s="56" t="s">
        <v>23</v>
      </c>
      <c r="K40" s="56" t="s">
        <v>23</v>
      </c>
      <c r="L40" s="56" t="s">
        <v>23</v>
      </c>
      <c r="M40" s="56" t="s">
        <v>23</v>
      </c>
      <c r="N40" s="56" t="s">
        <v>23</v>
      </c>
      <c r="O40" s="56" t="s">
        <v>23</v>
      </c>
      <c r="P40" s="56" t="s">
        <v>23</v>
      </c>
      <c r="Q40" s="56" t="s">
        <v>23</v>
      </c>
      <c r="R40" s="63" t="s">
        <v>23</v>
      </c>
      <c r="S40" s="63" t="s">
        <v>99</v>
      </c>
      <c r="T40" s="63" t="s">
        <v>23</v>
      </c>
      <c r="U40" s="63" t="s">
        <v>99</v>
      </c>
      <c r="V40" s="63" t="s">
        <v>99</v>
      </c>
      <c r="W40" s="63" t="s">
        <v>99</v>
      </c>
      <c r="X40" s="63" t="s">
        <v>99</v>
      </c>
      <c r="Y40" s="56" t="s">
        <v>23</v>
      </c>
      <c r="Z40" s="63" t="s">
        <v>23</v>
      </c>
      <c r="AA40" s="63" t="s">
        <v>23</v>
      </c>
      <c r="AB40" s="63" t="s">
        <v>23</v>
      </c>
      <c r="AC40" s="63" t="s">
        <v>23</v>
      </c>
      <c r="AD40" s="63" t="s">
        <v>23</v>
      </c>
      <c r="AE40" s="63" t="s">
        <v>99</v>
      </c>
      <c r="AF40" s="63" t="s">
        <v>99</v>
      </c>
      <c r="AG40" s="63" t="s">
        <v>23</v>
      </c>
      <c r="AH40" s="63" t="s">
        <v>23</v>
      </c>
      <c r="AI40" s="63" t="s">
        <v>99</v>
      </c>
      <c r="AJ40" s="63" t="s">
        <v>99</v>
      </c>
      <c r="AK40" s="63" t="s">
        <v>23</v>
      </c>
      <c r="AL40" s="63" t="s">
        <v>99</v>
      </c>
      <c r="AM40" s="63" t="s">
        <v>23</v>
      </c>
      <c r="AN40" s="63" t="s">
        <v>99</v>
      </c>
      <c r="AO40" s="63" t="s">
        <v>99</v>
      </c>
      <c r="AP40" s="63" t="s">
        <v>23</v>
      </c>
      <c r="AQ40" s="63" t="s">
        <v>23</v>
      </c>
      <c r="AR40" s="63" t="s">
        <v>99</v>
      </c>
      <c r="AS40" s="63" t="s">
        <v>99</v>
      </c>
      <c r="AT40" s="63" t="s">
        <v>99</v>
      </c>
      <c r="AU40" s="63" t="s">
        <v>99</v>
      </c>
      <c r="AV40" s="63" t="s">
        <v>99</v>
      </c>
      <c r="AW40" s="63" t="s">
        <v>99</v>
      </c>
      <c r="AX40" s="63" t="s">
        <v>99</v>
      </c>
      <c r="AY40" s="63" t="s">
        <v>99</v>
      </c>
      <c r="AZ40" s="63" t="s">
        <v>99</v>
      </c>
      <c r="BA40" s="63" t="s">
        <v>99</v>
      </c>
      <c r="BB40" s="63" t="s">
        <v>99</v>
      </c>
      <c r="BC40" s="63" t="s">
        <v>99</v>
      </c>
      <c r="BD40" s="63" t="s">
        <v>99</v>
      </c>
      <c r="BE40" s="63" t="s">
        <v>99</v>
      </c>
      <c r="BF40" s="63" t="s">
        <v>99</v>
      </c>
      <c r="BG40" s="63" t="s">
        <v>99</v>
      </c>
      <c r="BH40" s="63" t="s">
        <v>99</v>
      </c>
      <c r="BI40" s="63" t="s">
        <v>99</v>
      </c>
      <c r="BJ40" s="63" t="s">
        <v>99</v>
      </c>
      <c r="BK40" s="63" t="s">
        <v>99</v>
      </c>
      <c r="BL40" s="63" t="s">
        <v>99</v>
      </c>
      <c r="BM40" s="63" t="s">
        <v>99</v>
      </c>
      <c r="BN40" s="63" t="s">
        <v>99</v>
      </c>
      <c r="BO40" s="63" t="s">
        <v>99</v>
      </c>
      <c r="BP40" s="64" t="s">
        <v>99</v>
      </c>
    </row>
    <row r="41" spans="2:68">
      <c r="B41" s="58">
        <v>2</v>
      </c>
      <c r="C41" s="59">
        <v>6</v>
      </c>
      <c r="D41" s="59" t="s">
        <v>98</v>
      </c>
      <c r="E41" s="60">
        <f>'[1]Master File'!B40</f>
        <v>46054</v>
      </c>
      <c r="F41" s="61" t="str">
        <f>'[1]Master File'!C40</f>
        <v>Zoo</v>
      </c>
      <c r="G41" s="39"/>
      <c r="I41" s="56" t="s">
        <v>23</v>
      </c>
      <c r="J41" s="56" t="s">
        <v>23</v>
      </c>
      <c r="K41" s="56" t="s">
        <v>23</v>
      </c>
      <c r="L41" s="56" t="s">
        <v>23</v>
      </c>
      <c r="M41" s="56" t="s">
        <v>23</v>
      </c>
      <c r="N41" s="56" t="s">
        <v>23</v>
      </c>
      <c r="O41" s="56" t="s">
        <v>23</v>
      </c>
      <c r="P41" s="56" t="s">
        <v>23</v>
      </c>
      <c r="Q41" s="56" t="s">
        <v>23</v>
      </c>
      <c r="R41" s="63" t="s">
        <v>23</v>
      </c>
      <c r="S41" s="63" t="s">
        <v>99</v>
      </c>
      <c r="T41" s="63" t="s">
        <v>23</v>
      </c>
      <c r="U41" s="63" t="s">
        <v>99</v>
      </c>
      <c r="V41" s="63" t="s">
        <v>99</v>
      </c>
      <c r="W41" s="63" t="s">
        <v>99</v>
      </c>
      <c r="X41" s="63" t="s">
        <v>99</v>
      </c>
      <c r="Y41" s="56" t="s">
        <v>23</v>
      </c>
      <c r="Z41" s="63" t="s">
        <v>23</v>
      </c>
      <c r="AA41" s="63" t="s">
        <v>23</v>
      </c>
      <c r="AB41" s="63" t="s">
        <v>23</v>
      </c>
      <c r="AC41" s="63" t="s">
        <v>23</v>
      </c>
      <c r="AD41" s="63" t="s">
        <v>23</v>
      </c>
      <c r="AE41" s="63" t="s">
        <v>99</v>
      </c>
      <c r="AF41" s="63" t="s">
        <v>99</v>
      </c>
      <c r="AG41" s="63" t="s">
        <v>23</v>
      </c>
      <c r="AH41" s="63" t="s">
        <v>23</v>
      </c>
      <c r="AI41" s="63" t="s">
        <v>99</v>
      </c>
      <c r="AJ41" s="63" t="s">
        <v>99</v>
      </c>
      <c r="AK41" s="63" t="s">
        <v>23</v>
      </c>
      <c r="AL41" s="63" t="s">
        <v>99</v>
      </c>
      <c r="AM41" s="63" t="s">
        <v>23</v>
      </c>
      <c r="AN41" s="63" t="s">
        <v>99</v>
      </c>
      <c r="AO41" s="63" t="s">
        <v>99</v>
      </c>
      <c r="AP41" s="63" t="s">
        <v>23</v>
      </c>
      <c r="AQ41" s="63" t="s">
        <v>23</v>
      </c>
      <c r="AR41" s="63" t="s">
        <v>99</v>
      </c>
      <c r="AS41" s="63" t="s">
        <v>99</v>
      </c>
      <c r="AT41" s="63" t="s">
        <v>99</v>
      </c>
      <c r="AU41" s="63" t="s">
        <v>99</v>
      </c>
      <c r="AV41" s="63" t="s">
        <v>99</v>
      </c>
      <c r="AW41" s="63" t="s">
        <v>99</v>
      </c>
      <c r="AX41" s="63" t="s">
        <v>99</v>
      </c>
      <c r="AY41" s="63" t="s">
        <v>99</v>
      </c>
      <c r="AZ41" s="63" t="s">
        <v>99</v>
      </c>
      <c r="BA41" s="63" t="s">
        <v>99</v>
      </c>
      <c r="BB41" s="63" t="s">
        <v>99</v>
      </c>
      <c r="BC41" s="63" t="s">
        <v>99</v>
      </c>
      <c r="BD41" s="63" t="s">
        <v>99</v>
      </c>
      <c r="BE41" s="63" t="s">
        <v>99</v>
      </c>
      <c r="BF41" s="63" t="s">
        <v>99</v>
      </c>
      <c r="BG41" s="63" t="s">
        <v>99</v>
      </c>
      <c r="BH41" s="63" t="s">
        <v>99</v>
      </c>
      <c r="BI41" s="63" t="s">
        <v>99</v>
      </c>
      <c r="BJ41" s="63" t="s">
        <v>99</v>
      </c>
      <c r="BK41" s="63" t="s">
        <v>99</v>
      </c>
      <c r="BL41" s="63" t="s">
        <v>99</v>
      </c>
      <c r="BM41" s="63" t="s">
        <v>99</v>
      </c>
      <c r="BN41" s="63" t="s">
        <v>99</v>
      </c>
      <c r="BO41" s="63" t="s">
        <v>99</v>
      </c>
      <c r="BP41" s="64" t="s">
        <v>99</v>
      </c>
    </row>
    <row r="42" spans="2:68">
      <c r="B42" s="58">
        <v>2</v>
      </c>
      <c r="C42" s="59">
        <v>6</v>
      </c>
      <c r="D42" s="59" t="s">
        <v>100</v>
      </c>
      <c r="E42" s="60">
        <f>'[1]Master File'!B41</f>
        <v>46055</v>
      </c>
      <c r="F42" s="61" t="str">
        <f>'[1]Master File'!C41</f>
        <v>Closed</v>
      </c>
      <c r="G42" s="39"/>
      <c r="I42" s="56" t="s">
        <v>99</v>
      </c>
      <c r="J42" s="56" t="s">
        <v>99</v>
      </c>
      <c r="K42" s="56" t="s">
        <v>99</v>
      </c>
      <c r="L42" s="56" t="s">
        <v>23</v>
      </c>
      <c r="M42" s="56" t="s">
        <v>99</v>
      </c>
      <c r="N42" s="56" t="s">
        <v>99</v>
      </c>
      <c r="O42" s="56" t="s">
        <v>99</v>
      </c>
      <c r="P42" s="56" t="s">
        <v>99</v>
      </c>
      <c r="Q42" s="56" t="s">
        <v>99</v>
      </c>
      <c r="R42" s="56" t="s">
        <v>99</v>
      </c>
      <c r="S42" s="56" t="s">
        <v>99</v>
      </c>
      <c r="T42" s="56" t="s">
        <v>99</v>
      </c>
      <c r="U42" s="56" t="s">
        <v>99</v>
      </c>
      <c r="V42" s="56" t="s">
        <v>99</v>
      </c>
      <c r="W42" s="56" t="s">
        <v>99</v>
      </c>
      <c r="X42" s="56" t="s">
        <v>99</v>
      </c>
      <c r="Y42" s="56" t="s">
        <v>23</v>
      </c>
      <c r="Z42" s="56" t="s">
        <v>99</v>
      </c>
      <c r="AA42" s="56" t="s">
        <v>99</v>
      </c>
      <c r="AB42" s="56" t="s">
        <v>23</v>
      </c>
      <c r="AC42" s="56" t="s">
        <v>23</v>
      </c>
      <c r="AD42" s="56" t="s">
        <v>99</v>
      </c>
      <c r="AE42" s="56" t="s">
        <v>99</v>
      </c>
      <c r="AF42" s="56" t="s">
        <v>99</v>
      </c>
      <c r="AG42" s="56" t="s">
        <v>23</v>
      </c>
      <c r="AH42" s="56" t="s">
        <v>99</v>
      </c>
      <c r="AI42" s="56" t="s">
        <v>99</v>
      </c>
      <c r="AJ42" s="56" t="s">
        <v>99</v>
      </c>
      <c r="AK42" s="56" t="s">
        <v>23</v>
      </c>
      <c r="AL42" s="56" t="s">
        <v>99</v>
      </c>
      <c r="AM42" s="56" t="s">
        <v>99</v>
      </c>
      <c r="AN42" s="56" t="s">
        <v>99</v>
      </c>
      <c r="AO42" s="56" t="s">
        <v>99</v>
      </c>
      <c r="AP42" s="56" t="s">
        <v>99</v>
      </c>
      <c r="AQ42" s="56" t="s">
        <v>99</v>
      </c>
      <c r="AR42" s="56" t="s">
        <v>99</v>
      </c>
      <c r="AS42" s="56" t="s">
        <v>99</v>
      </c>
      <c r="AT42" s="56" t="s">
        <v>99</v>
      </c>
      <c r="AU42" s="56" t="s">
        <v>99</v>
      </c>
      <c r="AV42" s="56" t="s">
        <v>99</v>
      </c>
      <c r="AW42" s="56" t="s">
        <v>99</v>
      </c>
      <c r="AX42" s="56" t="s">
        <v>99</v>
      </c>
      <c r="AY42" s="56" t="s">
        <v>99</v>
      </c>
      <c r="AZ42" s="56" t="s">
        <v>99</v>
      </c>
      <c r="BA42" s="56" t="s">
        <v>99</v>
      </c>
      <c r="BB42" s="56" t="s">
        <v>99</v>
      </c>
      <c r="BC42" s="56" t="s">
        <v>99</v>
      </c>
      <c r="BD42" s="56" t="s">
        <v>99</v>
      </c>
      <c r="BE42" s="56" t="s">
        <v>99</v>
      </c>
      <c r="BF42" s="56" t="s">
        <v>99</v>
      </c>
      <c r="BG42" s="56" t="s">
        <v>99</v>
      </c>
      <c r="BH42" s="56" t="s">
        <v>99</v>
      </c>
      <c r="BI42" s="56" t="s">
        <v>99</v>
      </c>
      <c r="BJ42" s="56" t="s">
        <v>99</v>
      </c>
      <c r="BK42" s="56" t="s">
        <v>99</v>
      </c>
      <c r="BL42" s="56" t="s">
        <v>99</v>
      </c>
      <c r="BM42" s="56" t="s">
        <v>99</v>
      </c>
      <c r="BN42" s="56" t="s">
        <v>99</v>
      </c>
      <c r="BO42" s="56" t="s">
        <v>99</v>
      </c>
      <c r="BP42" s="62" t="s">
        <v>99</v>
      </c>
    </row>
    <row r="43" spans="2:68">
      <c r="B43" s="58">
        <v>2</v>
      </c>
      <c r="C43" s="59">
        <v>6</v>
      </c>
      <c r="D43" s="59" t="s">
        <v>101</v>
      </c>
      <c r="E43" s="60">
        <f>'[1]Master File'!B42</f>
        <v>46056</v>
      </c>
      <c r="F43" s="61" t="str">
        <f>'[1]Master File'!C42</f>
        <v>Closed</v>
      </c>
      <c r="G43" s="39"/>
      <c r="I43" s="56" t="s">
        <v>99</v>
      </c>
      <c r="J43" s="56" t="s">
        <v>99</v>
      </c>
      <c r="K43" s="56" t="s">
        <v>99</v>
      </c>
      <c r="L43" s="56" t="s">
        <v>23</v>
      </c>
      <c r="M43" s="56" t="s">
        <v>99</v>
      </c>
      <c r="N43" s="56" t="s">
        <v>99</v>
      </c>
      <c r="O43" s="56" t="s">
        <v>99</v>
      </c>
      <c r="P43" s="56" t="s">
        <v>99</v>
      </c>
      <c r="Q43" s="56" t="s">
        <v>99</v>
      </c>
      <c r="R43" s="56" t="s">
        <v>99</v>
      </c>
      <c r="S43" s="56" t="s">
        <v>99</v>
      </c>
      <c r="T43" s="56" t="s">
        <v>99</v>
      </c>
      <c r="U43" s="56" t="s">
        <v>99</v>
      </c>
      <c r="V43" s="56" t="s">
        <v>99</v>
      </c>
      <c r="W43" s="56" t="s">
        <v>99</v>
      </c>
      <c r="X43" s="56" t="s">
        <v>99</v>
      </c>
      <c r="Y43" s="56" t="s">
        <v>23</v>
      </c>
      <c r="Z43" s="56" t="s">
        <v>99</v>
      </c>
      <c r="AA43" s="56" t="s">
        <v>99</v>
      </c>
      <c r="AB43" s="56" t="s">
        <v>23</v>
      </c>
      <c r="AC43" s="56" t="s">
        <v>23</v>
      </c>
      <c r="AD43" s="56" t="s">
        <v>99</v>
      </c>
      <c r="AE43" s="56" t="s">
        <v>99</v>
      </c>
      <c r="AF43" s="56" t="s">
        <v>99</v>
      </c>
      <c r="AG43" s="56" t="s">
        <v>23</v>
      </c>
      <c r="AH43" s="56" t="s">
        <v>99</v>
      </c>
      <c r="AI43" s="56" t="s">
        <v>99</v>
      </c>
      <c r="AJ43" s="56" t="s">
        <v>99</v>
      </c>
      <c r="AK43" s="56" t="s">
        <v>23</v>
      </c>
      <c r="AL43" s="56" t="s">
        <v>99</v>
      </c>
      <c r="AM43" s="56" t="s">
        <v>99</v>
      </c>
      <c r="AN43" s="56" t="s">
        <v>99</v>
      </c>
      <c r="AO43" s="56" t="s">
        <v>99</v>
      </c>
      <c r="AP43" s="56" t="s">
        <v>99</v>
      </c>
      <c r="AQ43" s="56" t="s">
        <v>99</v>
      </c>
      <c r="AR43" s="56" t="s">
        <v>99</v>
      </c>
      <c r="AS43" s="56" t="s">
        <v>99</v>
      </c>
      <c r="AT43" s="56" t="s">
        <v>99</v>
      </c>
      <c r="AU43" s="56" t="s">
        <v>99</v>
      </c>
      <c r="AV43" s="56" t="s">
        <v>99</v>
      </c>
      <c r="AW43" s="56" t="s">
        <v>99</v>
      </c>
      <c r="AX43" s="56" t="s">
        <v>99</v>
      </c>
      <c r="AY43" s="56" t="s">
        <v>99</v>
      </c>
      <c r="AZ43" s="56" t="s">
        <v>99</v>
      </c>
      <c r="BA43" s="56" t="s">
        <v>99</v>
      </c>
      <c r="BB43" s="56" t="s">
        <v>99</v>
      </c>
      <c r="BC43" s="56" t="s">
        <v>99</v>
      </c>
      <c r="BD43" s="56" t="s">
        <v>99</v>
      </c>
      <c r="BE43" s="56" t="s">
        <v>99</v>
      </c>
      <c r="BF43" s="56" t="s">
        <v>99</v>
      </c>
      <c r="BG43" s="56" t="s">
        <v>99</v>
      </c>
      <c r="BH43" s="56" t="s">
        <v>99</v>
      </c>
      <c r="BI43" s="56" t="s">
        <v>99</v>
      </c>
      <c r="BJ43" s="56" t="s">
        <v>99</v>
      </c>
      <c r="BK43" s="56" t="s">
        <v>99</v>
      </c>
      <c r="BL43" s="56" t="s">
        <v>99</v>
      </c>
      <c r="BM43" s="56" t="s">
        <v>99</v>
      </c>
      <c r="BN43" s="56" t="s">
        <v>99</v>
      </c>
      <c r="BO43" s="56" t="s">
        <v>99</v>
      </c>
      <c r="BP43" s="62" t="s">
        <v>99</v>
      </c>
    </row>
    <row r="44" spans="2:68">
      <c r="B44" s="58">
        <v>2</v>
      </c>
      <c r="C44" s="59">
        <v>6</v>
      </c>
      <c r="D44" s="59" t="s">
        <v>102</v>
      </c>
      <c r="E44" s="60">
        <f>'[1]Master File'!B43</f>
        <v>46057</v>
      </c>
      <c r="F44" s="61" t="str">
        <f>'[1]Master File'!C43</f>
        <v>Closed</v>
      </c>
      <c r="G44" s="39"/>
      <c r="I44" s="56" t="s">
        <v>99</v>
      </c>
      <c r="J44" s="56" t="s">
        <v>99</v>
      </c>
      <c r="K44" s="56" t="s">
        <v>99</v>
      </c>
      <c r="L44" s="56" t="s">
        <v>23</v>
      </c>
      <c r="M44" s="56" t="s">
        <v>99</v>
      </c>
      <c r="N44" s="56" t="s">
        <v>99</v>
      </c>
      <c r="O44" s="56" t="s">
        <v>99</v>
      </c>
      <c r="P44" s="56" t="s">
        <v>99</v>
      </c>
      <c r="Q44" s="56" t="s">
        <v>99</v>
      </c>
      <c r="R44" s="56" t="s">
        <v>99</v>
      </c>
      <c r="S44" s="56" t="s">
        <v>99</v>
      </c>
      <c r="T44" s="56" t="s">
        <v>99</v>
      </c>
      <c r="U44" s="56" t="s">
        <v>99</v>
      </c>
      <c r="V44" s="56" t="s">
        <v>99</v>
      </c>
      <c r="W44" s="56" t="s">
        <v>99</v>
      </c>
      <c r="X44" s="56" t="s">
        <v>99</v>
      </c>
      <c r="Y44" s="56" t="s">
        <v>23</v>
      </c>
      <c r="Z44" s="56" t="s">
        <v>99</v>
      </c>
      <c r="AA44" s="56" t="s">
        <v>99</v>
      </c>
      <c r="AB44" s="56" t="s">
        <v>23</v>
      </c>
      <c r="AC44" s="56" t="s">
        <v>23</v>
      </c>
      <c r="AD44" s="56" t="s">
        <v>99</v>
      </c>
      <c r="AE44" s="56" t="s">
        <v>99</v>
      </c>
      <c r="AF44" s="56" t="s">
        <v>99</v>
      </c>
      <c r="AG44" s="56" t="s">
        <v>23</v>
      </c>
      <c r="AH44" s="56" t="s">
        <v>99</v>
      </c>
      <c r="AI44" s="56" t="s">
        <v>99</v>
      </c>
      <c r="AJ44" s="56" t="s">
        <v>99</v>
      </c>
      <c r="AK44" s="56" t="s">
        <v>23</v>
      </c>
      <c r="AL44" s="56" t="s">
        <v>99</v>
      </c>
      <c r="AM44" s="56" t="s">
        <v>99</v>
      </c>
      <c r="AN44" s="56" t="s">
        <v>99</v>
      </c>
      <c r="AO44" s="56" t="s">
        <v>99</v>
      </c>
      <c r="AP44" s="56" t="s">
        <v>99</v>
      </c>
      <c r="AQ44" s="56" t="s">
        <v>99</v>
      </c>
      <c r="AR44" s="56" t="s">
        <v>99</v>
      </c>
      <c r="AS44" s="56" t="s">
        <v>99</v>
      </c>
      <c r="AT44" s="56" t="s">
        <v>99</v>
      </c>
      <c r="AU44" s="56" t="s">
        <v>99</v>
      </c>
      <c r="AV44" s="56" t="s">
        <v>99</v>
      </c>
      <c r="AW44" s="56" t="s">
        <v>99</v>
      </c>
      <c r="AX44" s="56" t="s">
        <v>99</v>
      </c>
      <c r="AY44" s="56" t="s">
        <v>99</v>
      </c>
      <c r="AZ44" s="56" t="s">
        <v>99</v>
      </c>
      <c r="BA44" s="56" t="s">
        <v>99</v>
      </c>
      <c r="BB44" s="56" t="s">
        <v>99</v>
      </c>
      <c r="BC44" s="56" t="s">
        <v>99</v>
      </c>
      <c r="BD44" s="56" t="s">
        <v>99</v>
      </c>
      <c r="BE44" s="56" t="s">
        <v>99</v>
      </c>
      <c r="BF44" s="56" t="s">
        <v>99</v>
      </c>
      <c r="BG44" s="56" t="s">
        <v>99</v>
      </c>
      <c r="BH44" s="56" t="s">
        <v>99</v>
      </c>
      <c r="BI44" s="56" t="s">
        <v>99</v>
      </c>
      <c r="BJ44" s="56" t="s">
        <v>99</v>
      </c>
      <c r="BK44" s="56" t="s">
        <v>99</v>
      </c>
      <c r="BL44" s="56" t="s">
        <v>99</v>
      </c>
      <c r="BM44" s="56" t="s">
        <v>99</v>
      </c>
      <c r="BN44" s="56" t="s">
        <v>99</v>
      </c>
      <c r="BO44" s="56" t="s">
        <v>99</v>
      </c>
      <c r="BP44" s="62" t="s">
        <v>99</v>
      </c>
    </row>
    <row r="45" spans="2:68">
      <c r="B45" s="58">
        <v>2</v>
      </c>
      <c r="C45" s="59">
        <v>6</v>
      </c>
      <c r="D45" s="59" t="s">
        <v>103</v>
      </c>
      <c r="E45" s="60">
        <f>'[1]Master File'!B44</f>
        <v>46058</v>
      </c>
      <c r="F45" s="61" t="str">
        <f>'[1]Master File'!C44</f>
        <v>Closed</v>
      </c>
      <c r="G45" s="39"/>
      <c r="I45" s="56" t="s">
        <v>99</v>
      </c>
      <c r="J45" s="56" t="s">
        <v>99</v>
      </c>
      <c r="K45" s="56" t="s">
        <v>99</v>
      </c>
      <c r="L45" s="56" t="s">
        <v>23</v>
      </c>
      <c r="M45" s="56" t="s">
        <v>99</v>
      </c>
      <c r="N45" s="56" t="s">
        <v>99</v>
      </c>
      <c r="O45" s="56" t="s">
        <v>99</v>
      </c>
      <c r="P45" s="56" t="s">
        <v>99</v>
      </c>
      <c r="Q45" s="56" t="s">
        <v>99</v>
      </c>
      <c r="R45" s="56" t="s">
        <v>99</v>
      </c>
      <c r="S45" s="56" t="s">
        <v>99</v>
      </c>
      <c r="T45" s="56" t="s">
        <v>99</v>
      </c>
      <c r="U45" s="56" t="s">
        <v>99</v>
      </c>
      <c r="V45" s="56" t="s">
        <v>99</v>
      </c>
      <c r="W45" s="56" t="s">
        <v>99</v>
      </c>
      <c r="X45" s="56" t="s">
        <v>99</v>
      </c>
      <c r="Y45" s="56" t="s">
        <v>23</v>
      </c>
      <c r="Z45" s="56" t="s">
        <v>99</v>
      </c>
      <c r="AA45" s="56" t="s">
        <v>99</v>
      </c>
      <c r="AB45" s="56" t="s">
        <v>23</v>
      </c>
      <c r="AC45" s="56" t="s">
        <v>23</v>
      </c>
      <c r="AD45" s="56" t="s">
        <v>99</v>
      </c>
      <c r="AE45" s="56" t="s">
        <v>99</v>
      </c>
      <c r="AF45" s="56" t="s">
        <v>99</v>
      </c>
      <c r="AG45" s="56" t="s">
        <v>23</v>
      </c>
      <c r="AH45" s="56" t="s">
        <v>99</v>
      </c>
      <c r="AI45" s="56" t="s">
        <v>99</v>
      </c>
      <c r="AJ45" s="56" t="s">
        <v>99</v>
      </c>
      <c r="AK45" s="56" t="s">
        <v>23</v>
      </c>
      <c r="AL45" s="56" t="s">
        <v>99</v>
      </c>
      <c r="AM45" s="56" t="s">
        <v>99</v>
      </c>
      <c r="AN45" s="56" t="s">
        <v>99</v>
      </c>
      <c r="AO45" s="56" t="s">
        <v>99</v>
      </c>
      <c r="AP45" s="56" t="s">
        <v>99</v>
      </c>
      <c r="AQ45" s="56" t="s">
        <v>99</v>
      </c>
      <c r="AR45" s="56" t="s">
        <v>99</v>
      </c>
      <c r="AS45" s="56" t="s">
        <v>99</v>
      </c>
      <c r="AT45" s="56" t="s">
        <v>99</v>
      </c>
      <c r="AU45" s="56" t="s">
        <v>99</v>
      </c>
      <c r="AV45" s="56" t="s">
        <v>99</v>
      </c>
      <c r="AW45" s="56" t="s">
        <v>99</v>
      </c>
      <c r="AX45" s="56" t="s">
        <v>99</v>
      </c>
      <c r="AY45" s="56" t="s">
        <v>99</v>
      </c>
      <c r="AZ45" s="56" t="s">
        <v>99</v>
      </c>
      <c r="BA45" s="56" t="s">
        <v>99</v>
      </c>
      <c r="BB45" s="56" t="s">
        <v>99</v>
      </c>
      <c r="BC45" s="56" t="s">
        <v>99</v>
      </c>
      <c r="BD45" s="56" t="s">
        <v>99</v>
      </c>
      <c r="BE45" s="56" t="s">
        <v>99</v>
      </c>
      <c r="BF45" s="56" t="s">
        <v>99</v>
      </c>
      <c r="BG45" s="56" t="s">
        <v>99</v>
      </c>
      <c r="BH45" s="56" t="s">
        <v>99</v>
      </c>
      <c r="BI45" s="56" t="s">
        <v>99</v>
      </c>
      <c r="BJ45" s="56" t="s">
        <v>99</v>
      </c>
      <c r="BK45" s="56" t="s">
        <v>99</v>
      </c>
      <c r="BL45" s="56" t="s">
        <v>99</v>
      </c>
      <c r="BM45" s="56" t="s">
        <v>99</v>
      </c>
      <c r="BN45" s="56" t="s">
        <v>99</v>
      </c>
      <c r="BO45" s="56" t="s">
        <v>99</v>
      </c>
      <c r="BP45" s="62" t="s">
        <v>99</v>
      </c>
    </row>
    <row r="46" spans="2:68">
      <c r="B46" s="58">
        <v>2</v>
      </c>
      <c r="C46" s="59">
        <v>6</v>
      </c>
      <c r="D46" s="59" t="s">
        <v>104</v>
      </c>
      <c r="E46" s="60">
        <f>'[1]Master File'!B45</f>
        <v>46059</v>
      </c>
      <c r="F46" s="61" t="str">
        <f>'[1]Master File'!C45</f>
        <v>Closed</v>
      </c>
      <c r="G46" s="39"/>
      <c r="I46" s="56" t="s">
        <v>99</v>
      </c>
      <c r="J46" s="56" t="s">
        <v>99</v>
      </c>
      <c r="K46" s="56" t="s">
        <v>99</v>
      </c>
      <c r="L46" s="56" t="s">
        <v>23</v>
      </c>
      <c r="M46" s="56" t="s">
        <v>99</v>
      </c>
      <c r="N46" s="56" t="s">
        <v>99</v>
      </c>
      <c r="O46" s="56" t="s">
        <v>99</v>
      </c>
      <c r="P46" s="56" t="s">
        <v>99</v>
      </c>
      <c r="Q46" s="56" t="s">
        <v>99</v>
      </c>
      <c r="R46" s="56" t="s">
        <v>99</v>
      </c>
      <c r="S46" s="56" t="s">
        <v>99</v>
      </c>
      <c r="T46" s="56" t="s">
        <v>99</v>
      </c>
      <c r="U46" s="56" t="s">
        <v>99</v>
      </c>
      <c r="V46" s="56" t="s">
        <v>99</v>
      </c>
      <c r="W46" s="56" t="s">
        <v>99</v>
      </c>
      <c r="X46" s="56" t="s">
        <v>99</v>
      </c>
      <c r="Y46" s="56" t="s">
        <v>23</v>
      </c>
      <c r="Z46" s="56" t="s">
        <v>99</v>
      </c>
      <c r="AA46" s="56" t="s">
        <v>99</v>
      </c>
      <c r="AB46" s="56" t="s">
        <v>23</v>
      </c>
      <c r="AC46" s="56" t="s">
        <v>23</v>
      </c>
      <c r="AD46" s="56" t="s">
        <v>99</v>
      </c>
      <c r="AE46" s="56" t="s">
        <v>99</v>
      </c>
      <c r="AF46" s="56" t="s">
        <v>99</v>
      </c>
      <c r="AG46" s="56" t="s">
        <v>23</v>
      </c>
      <c r="AH46" s="56" t="s">
        <v>99</v>
      </c>
      <c r="AI46" s="56" t="s">
        <v>99</v>
      </c>
      <c r="AJ46" s="56" t="s">
        <v>99</v>
      </c>
      <c r="AK46" s="56" t="s">
        <v>23</v>
      </c>
      <c r="AL46" s="56" t="s">
        <v>99</v>
      </c>
      <c r="AM46" s="56" t="s">
        <v>99</v>
      </c>
      <c r="AN46" s="56" t="s">
        <v>99</v>
      </c>
      <c r="AO46" s="56" t="s">
        <v>99</v>
      </c>
      <c r="AP46" s="56" t="s">
        <v>99</v>
      </c>
      <c r="AQ46" s="56" t="s">
        <v>99</v>
      </c>
      <c r="AR46" s="56" t="s">
        <v>99</v>
      </c>
      <c r="AS46" s="56" t="s">
        <v>99</v>
      </c>
      <c r="AT46" s="56" t="s">
        <v>99</v>
      </c>
      <c r="AU46" s="56" t="s">
        <v>99</v>
      </c>
      <c r="AV46" s="56" t="s">
        <v>99</v>
      </c>
      <c r="AW46" s="56" t="s">
        <v>99</v>
      </c>
      <c r="AX46" s="56" t="s">
        <v>99</v>
      </c>
      <c r="AY46" s="56" t="s">
        <v>99</v>
      </c>
      <c r="AZ46" s="56" t="s">
        <v>99</v>
      </c>
      <c r="BA46" s="56" t="s">
        <v>99</v>
      </c>
      <c r="BB46" s="56" t="s">
        <v>99</v>
      </c>
      <c r="BC46" s="56" t="s">
        <v>99</v>
      </c>
      <c r="BD46" s="56" t="s">
        <v>99</v>
      </c>
      <c r="BE46" s="56" t="s">
        <v>99</v>
      </c>
      <c r="BF46" s="56" t="s">
        <v>99</v>
      </c>
      <c r="BG46" s="56" t="s">
        <v>99</v>
      </c>
      <c r="BH46" s="56" t="s">
        <v>99</v>
      </c>
      <c r="BI46" s="56" t="s">
        <v>99</v>
      </c>
      <c r="BJ46" s="56" t="s">
        <v>99</v>
      </c>
      <c r="BK46" s="56" t="s">
        <v>99</v>
      </c>
      <c r="BL46" s="56" t="s">
        <v>99</v>
      </c>
      <c r="BM46" s="56" t="s">
        <v>99</v>
      </c>
      <c r="BN46" s="56" t="s">
        <v>99</v>
      </c>
      <c r="BO46" s="56" t="s">
        <v>99</v>
      </c>
      <c r="BP46" s="62" t="s">
        <v>99</v>
      </c>
    </row>
    <row r="47" spans="2:68">
      <c r="B47" s="58">
        <v>2</v>
      </c>
      <c r="C47" s="59">
        <v>6</v>
      </c>
      <c r="D47" s="59" t="s">
        <v>105</v>
      </c>
      <c r="E47" s="60">
        <f>'[1]Master File'!B46</f>
        <v>46060</v>
      </c>
      <c r="F47" s="61" t="str">
        <f>'[1]Master File'!C46</f>
        <v>Zoo</v>
      </c>
      <c r="G47" s="39"/>
      <c r="I47" s="56" t="s">
        <v>23</v>
      </c>
      <c r="J47" s="56" t="s">
        <v>23</v>
      </c>
      <c r="K47" s="56" t="s">
        <v>23</v>
      </c>
      <c r="L47" s="56" t="s">
        <v>23</v>
      </c>
      <c r="M47" s="56" t="s">
        <v>23</v>
      </c>
      <c r="N47" s="56" t="s">
        <v>23</v>
      </c>
      <c r="O47" s="56" t="s">
        <v>23</v>
      </c>
      <c r="P47" s="56" t="s">
        <v>23</v>
      </c>
      <c r="Q47" s="56" t="s">
        <v>23</v>
      </c>
      <c r="R47" s="63" t="s">
        <v>23</v>
      </c>
      <c r="S47" s="63" t="s">
        <v>99</v>
      </c>
      <c r="T47" s="63" t="s">
        <v>23</v>
      </c>
      <c r="U47" s="63" t="s">
        <v>99</v>
      </c>
      <c r="V47" s="63" t="s">
        <v>99</v>
      </c>
      <c r="W47" s="63" t="s">
        <v>99</v>
      </c>
      <c r="X47" s="63" t="s">
        <v>99</v>
      </c>
      <c r="Y47" s="56" t="s">
        <v>23</v>
      </c>
      <c r="Z47" s="63" t="s">
        <v>23</v>
      </c>
      <c r="AA47" s="63" t="s">
        <v>23</v>
      </c>
      <c r="AB47" s="63" t="s">
        <v>23</v>
      </c>
      <c r="AC47" s="63" t="s">
        <v>23</v>
      </c>
      <c r="AD47" s="63" t="s">
        <v>23</v>
      </c>
      <c r="AE47" s="63" t="s">
        <v>99</v>
      </c>
      <c r="AF47" s="63" t="s">
        <v>99</v>
      </c>
      <c r="AG47" s="63" t="s">
        <v>23</v>
      </c>
      <c r="AH47" s="63" t="s">
        <v>23</v>
      </c>
      <c r="AI47" s="63" t="s">
        <v>99</v>
      </c>
      <c r="AJ47" s="63" t="s">
        <v>99</v>
      </c>
      <c r="AK47" s="63" t="s">
        <v>23</v>
      </c>
      <c r="AL47" s="63" t="s">
        <v>99</v>
      </c>
      <c r="AM47" s="63" t="s">
        <v>23</v>
      </c>
      <c r="AN47" s="63" t="s">
        <v>99</v>
      </c>
      <c r="AO47" s="63" t="s">
        <v>99</v>
      </c>
      <c r="AP47" s="63" t="s">
        <v>23</v>
      </c>
      <c r="AQ47" s="63" t="s">
        <v>23</v>
      </c>
      <c r="AR47" s="63" t="s">
        <v>99</v>
      </c>
      <c r="AS47" s="63" t="s">
        <v>99</v>
      </c>
      <c r="AT47" s="63" t="s">
        <v>99</v>
      </c>
      <c r="AU47" s="63" t="s">
        <v>99</v>
      </c>
      <c r="AV47" s="63" t="s">
        <v>99</v>
      </c>
      <c r="AW47" s="63" t="s">
        <v>99</v>
      </c>
      <c r="AX47" s="63" t="s">
        <v>99</v>
      </c>
      <c r="AY47" s="63" t="s">
        <v>99</v>
      </c>
      <c r="AZ47" s="63" t="s">
        <v>99</v>
      </c>
      <c r="BA47" s="63" t="s">
        <v>99</v>
      </c>
      <c r="BB47" s="63" t="s">
        <v>99</v>
      </c>
      <c r="BC47" s="63" t="s">
        <v>99</v>
      </c>
      <c r="BD47" s="63" t="s">
        <v>99</v>
      </c>
      <c r="BE47" s="63" t="s">
        <v>99</v>
      </c>
      <c r="BF47" s="63" t="s">
        <v>99</v>
      </c>
      <c r="BG47" s="63" t="s">
        <v>99</v>
      </c>
      <c r="BH47" s="63" t="s">
        <v>99</v>
      </c>
      <c r="BI47" s="63" t="s">
        <v>99</v>
      </c>
      <c r="BJ47" s="63" t="s">
        <v>99</v>
      </c>
      <c r="BK47" s="63" t="s">
        <v>99</v>
      </c>
      <c r="BL47" s="63" t="s">
        <v>99</v>
      </c>
      <c r="BM47" s="63" t="s">
        <v>99</v>
      </c>
      <c r="BN47" s="63" t="s">
        <v>99</v>
      </c>
      <c r="BO47" s="63" t="s">
        <v>99</v>
      </c>
      <c r="BP47" s="64" t="s">
        <v>99</v>
      </c>
    </row>
    <row r="48" spans="2:68">
      <c r="B48" s="58">
        <v>2</v>
      </c>
      <c r="C48" s="59">
        <v>7</v>
      </c>
      <c r="D48" s="59" t="s">
        <v>98</v>
      </c>
      <c r="E48" s="60">
        <f>'[1]Master File'!B47</f>
        <v>46061</v>
      </c>
      <c r="F48" s="61" t="str">
        <f>'[1]Master File'!C47</f>
        <v>Zoo</v>
      </c>
      <c r="G48" s="39"/>
      <c r="I48" s="56" t="s">
        <v>23</v>
      </c>
      <c r="J48" s="56" t="s">
        <v>23</v>
      </c>
      <c r="K48" s="56" t="s">
        <v>23</v>
      </c>
      <c r="L48" s="56" t="s">
        <v>23</v>
      </c>
      <c r="M48" s="56" t="s">
        <v>23</v>
      </c>
      <c r="N48" s="56" t="s">
        <v>23</v>
      </c>
      <c r="O48" s="56" t="s">
        <v>23</v>
      </c>
      <c r="P48" s="56" t="s">
        <v>23</v>
      </c>
      <c r="Q48" s="56" t="s">
        <v>23</v>
      </c>
      <c r="R48" s="63" t="s">
        <v>23</v>
      </c>
      <c r="S48" s="63" t="s">
        <v>99</v>
      </c>
      <c r="T48" s="63" t="s">
        <v>23</v>
      </c>
      <c r="U48" s="63" t="s">
        <v>99</v>
      </c>
      <c r="V48" s="63" t="s">
        <v>99</v>
      </c>
      <c r="W48" s="63" t="s">
        <v>99</v>
      </c>
      <c r="X48" s="63" t="s">
        <v>99</v>
      </c>
      <c r="Y48" s="56" t="s">
        <v>23</v>
      </c>
      <c r="Z48" s="63" t="s">
        <v>23</v>
      </c>
      <c r="AA48" s="63" t="s">
        <v>23</v>
      </c>
      <c r="AB48" s="63" t="s">
        <v>23</v>
      </c>
      <c r="AC48" s="63" t="s">
        <v>23</v>
      </c>
      <c r="AD48" s="63" t="s">
        <v>23</v>
      </c>
      <c r="AE48" s="63" t="s">
        <v>99</v>
      </c>
      <c r="AF48" s="63" t="s">
        <v>99</v>
      </c>
      <c r="AG48" s="63" t="s">
        <v>23</v>
      </c>
      <c r="AH48" s="63" t="s">
        <v>23</v>
      </c>
      <c r="AI48" s="63" t="s">
        <v>99</v>
      </c>
      <c r="AJ48" s="63" t="s">
        <v>99</v>
      </c>
      <c r="AK48" s="63" t="s">
        <v>23</v>
      </c>
      <c r="AL48" s="63" t="s">
        <v>99</v>
      </c>
      <c r="AM48" s="63" t="s">
        <v>23</v>
      </c>
      <c r="AN48" s="63" t="s">
        <v>99</v>
      </c>
      <c r="AO48" s="63" t="s">
        <v>99</v>
      </c>
      <c r="AP48" s="63" t="s">
        <v>23</v>
      </c>
      <c r="AQ48" s="63" t="s">
        <v>23</v>
      </c>
      <c r="AR48" s="63" t="s">
        <v>99</v>
      </c>
      <c r="AS48" s="63" t="s">
        <v>99</v>
      </c>
      <c r="AT48" s="63" t="s">
        <v>99</v>
      </c>
      <c r="AU48" s="63" t="s">
        <v>99</v>
      </c>
      <c r="AV48" s="63" t="s">
        <v>99</v>
      </c>
      <c r="AW48" s="63" t="s">
        <v>99</v>
      </c>
      <c r="AX48" s="63" t="s">
        <v>99</v>
      </c>
      <c r="AY48" s="63" t="s">
        <v>99</v>
      </c>
      <c r="AZ48" s="63" t="s">
        <v>99</v>
      </c>
      <c r="BA48" s="63" t="s">
        <v>99</v>
      </c>
      <c r="BB48" s="63" t="s">
        <v>99</v>
      </c>
      <c r="BC48" s="63" t="s">
        <v>99</v>
      </c>
      <c r="BD48" s="63" t="s">
        <v>99</v>
      </c>
      <c r="BE48" s="63" t="s">
        <v>99</v>
      </c>
      <c r="BF48" s="63" t="s">
        <v>99</v>
      </c>
      <c r="BG48" s="63" t="s">
        <v>99</v>
      </c>
      <c r="BH48" s="63" t="s">
        <v>99</v>
      </c>
      <c r="BI48" s="63" t="s">
        <v>99</v>
      </c>
      <c r="BJ48" s="63" t="s">
        <v>99</v>
      </c>
      <c r="BK48" s="63" t="s">
        <v>99</v>
      </c>
      <c r="BL48" s="63" t="s">
        <v>99</v>
      </c>
      <c r="BM48" s="63" t="s">
        <v>99</v>
      </c>
      <c r="BN48" s="63" t="s">
        <v>99</v>
      </c>
      <c r="BO48" s="63" t="s">
        <v>99</v>
      </c>
      <c r="BP48" s="64" t="s">
        <v>99</v>
      </c>
    </row>
    <row r="49" spans="2:68">
      <c r="B49" s="58">
        <v>2</v>
      </c>
      <c r="C49" s="59">
        <v>7</v>
      </c>
      <c r="D49" s="59" t="s">
        <v>100</v>
      </c>
      <c r="E49" s="60">
        <f>'[1]Master File'!B48</f>
        <v>46062</v>
      </c>
      <c r="F49" s="61" t="str">
        <f>'[1]Master File'!C48</f>
        <v>Closed</v>
      </c>
      <c r="G49" s="39"/>
      <c r="I49" s="56" t="s">
        <v>99</v>
      </c>
      <c r="J49" s="56" t="s">
        <v>99</v>
      </c>
      <c r="K49" s="56" t="s">
        <v>99</v>
      </c>
      <c r="L49" s="56" t="s">
        <v>23</v>
      </c>
      <c r="M49" s="56" t="s">
        <v>99</v>
      </c>
      <c r="N49" s="56" t="s">
        <v>99</v>
      </c>
      <c r="O49" s="56" t="s">
        <v>99</v>
      </c>
      <c r="P49" s="56" t="s">
        <v>99</v>
      </c>
      <c r="Q49" s="56" t="s">
        <v>99</v>
      </c>
      <c r="R49" s="56" t="s">
        <v>99</v>
      </c>
      <c r="S49" s="56" t="s">
        <v>99</v>
      </c>
      <c r="T49" s="56" t="s">
        <v>99</v>
      </c>
      <c r="U49" s="56" t="s">
        <v>99</v>
      </c>
      <c r="V49" s="56" t="s">
        <v>99</v>
      </c>
      <c r="W49" s="56" t="s">
        <v>99</v>
      </c>
      <c r="X49" s="56" t="s">
        <v>99</v>
      </c>
      <c r="Y49" s="56" t="s">
        <v>23</v>
      </c>
      <c r="Z49" s="56" t="s">
        <v>99</v>
      </c>
      <c r="AA49" s="56" t="s">
        <v>99</v>
      </c>
      <c r="AB49" s="56" t="s">
        <v>23</v>
      </c>
      <c r="AC49" s="56" t="s">
        <v>23</v>
      </c>
      <c r="AD49" s="56" t="s">
        <v>99</v>
      </c>
      <c r="AE49" s="56" t="s">
        <v>99</v>
      </c>
      <c r="AF49" s="56" t="s">
        <v>99</v>
      </c>
      <c r="AG49" s="56" t="s">
        <v>23</v>
      </c>
      <c r="AH49" s="56" t="s">
        <v>99</v>
      </c>
      <c r="AI49" s="56" t="s">
        <v>99</v>
      </c>
      <c r="AJ49" s="56" t="s">
        <v>99</v>
      </c>
      <c r="AK49" s="56" t="s">
        <v>23</v>
      </c>
      <c r="AL49" s="56" t="s">
        <v>99</v>
      </c>
      <c r="AM49" s="56" t="s">
        <v>99</v>
      </c>
      <c r="AN49" s="56" t="s">
        <v>99</v>
      </c>
      <c r="AO49" s="56" t="s">
        <v>99</v>
      </c>
      <c r="AP49" s="56" t="s">
        <v>99</v>
      </c>
      <c r="AQ49" s="56" t="s">
        <v>99</v>
      </c>
      <c r="AR49" s="56" t="s">
        <v>99</v>
      </c>
      <c r="AS49" s="56" t="s">
        <v>99</v>
      </c>
      <c r="AT49" s="56" t="s">
        <v>99</v>
      </c>
      <c r="AU49" s="56" t="s">
        <v>99</v>
      </c>
      <c r="AV49" s="56" t="s">
        <v>99</v>
      </c>
      <c r="AW49" s="56" t="s">
        <v>99</v>
      </c>
      <c r="AX49" s="56" t="s">
        <v>99</v>
      </c>
      <c r="AY49" s="56" t="s">
        <v>99</v>
      </c>
      <c r="AZ49" s="56" t="s">
        <v>99</v>
      </c>
      <c r="BA49" s="56" t="s">
        <v>99</v>
      </c>
      <c r="BB49" s="56" t="s">
        <v>99</v>
      </c>
      <c r="BC49" s="56" t="s">
        <v>99</v>
      </c>
      <c r="BD49" s="56" t="s">
        <v>99</v>
      </c>
      <c r="BE49" s="56" t="s">
        <v>99</v>
      </c>
      <c r="BF49" s="56" t="s">
        <v>99</v>
      </c>
      <c r="BG49" s="56" t="s">
        <v>99</v>
      </c>
      <c r="BH49" s="56" t="s">
        <v>99</v>
      </c>
      <c r="BI49" s="56" t="s">
        <v>99</v>
      </c>
      <c r="BJ49" s="56" t="s">
        <v>99</v>
      </c>
      <c r="BK49" s="56" t="s">
        <v>99</v>
      </c>
      <c r="BL49" s="56" t="s">
        <v>99</v>
      </c>
      <c r="BM49" s="56" t="s">
        <v>99</v>
      </c>
      <c r="BN49" s="56" t="s">
        <v>99</v>
      </c>
      <c r="BO49" s="56" t="s">
        <v>99</v>
      </c>
      <c r="BP49" s="62" t="s">
        <v>99</v>
      </c>
    </row>
    <row r="50" spans="2:68">
      <c r="B50" s="58">
        <v>2</v>
      </c>
      <c r="C50" s="59">
        <v>7</v>
      </c>
      <c r="D50" s="59" t="s">
        <v>101</v>
      </c>
      <c r="E50" s="60">
        <f>'[1]Master File'!B49</f>
        <v>46063</v>
      </c>
      <c r="F50" s="61" t="str">
        <f>'[1]Master File'!C49</f>
        <v>Closed</v>
      </c>
      <c r="G50" s="39"/>
      <c r="I50" s="56" t="s">
        <v>99</v>
      </c>
      <c r="J50" s="56" t="s">
        <v>99</v>
      </c>
      <c r="K50" s="56" t="s">
        <v>99</v>
      </c>
      <c r="L50" s="56" t="s">
        <v>23</v>
      </c>
      <c r="M50" s="56" t="s">
        <v>99</v>
      </c>
      <c r="N50" s="56" t="s">
        <v>99</v>
      </c>
      <c r="O50" s="56" t="s">
        <v>99</v>
      </c>
      <c r="P50" s="56" t="s">
        <v>99</v>
      </c>
      <c r="Q50" s="56" t="s">
        <v>99</v>
      </c>
      <c r="R50" s="56" t="s">
        <v>99</v>
      </c>
      <c r="S50" s="56" t="s">
        <v>99</v>
      </c>
      <c r="T50" s="56" t="s">
        <v>99</v>
      </c>
      <c r="U50" s="56" t="s">
        <v>99</v>
      </c>
      <c r="V50" s="56" t="s">
        <v>99</v>
      </c>
      <c r="W50" s="56" t="s">
        <v>99</v>
      </c>
      <c r="X50" s="56" t="s">
        <v>99</v>
      </c>
      <c r="Y50" s="56" t="s">
        <v>23</v>
      </c>
      <c r="Z50" s="56" t="s">
        <v>99</v>
      </c>
      <c r="AA50" s="56" t="s">
        <v>99</v>
      </c>
      <c r="AB50" s="56" t="s">
        <v>23</v>
      </c>
      <c r="AC50" s="56" t="s">
        <v>23</v>
      </c>
      <c r="AD50" s="56" t="s">
        <v>99</v>
      </c>
      <c r="AE50" s="56" t="s">
        <v>99</v>
      </c>
      <c r="AF50" s="56" t="s">
        <v>99</v>
      </c>
      <c r="AG50" s="56" t="s">
        <v>23</v>
      </c>
      <c r="AH50" s="56" t="s">
        <v>99</v>
      </c>
      <c r="AI50" s="56" t="s">
        <v>99</v>
      </c>
      <c r="AJ50" s="56" t="s">
        <v>99</v>
      </c>
      <c r="AK50" s="56" t="s">
        <v>23</v>
      </c>
      <c r="AL50" s="56" t="s">
        <v>99</v>
      </c>
      <c r="AM50" s="56" t="s">
        <v>99</v>
      </c>
      <c r="AN50" s="56" t="s">
        <v>99</v>
      </c>
      <c r="AO50" s="56" t="s">
        <v>99</v>
      </c>
      <c r="AP50" s="56" t="s">
        <v>99</v>
      </c>
      <c r="AQ50" s="56" t="s">
        <v>99</v>
      </c>
      <c r="AR50" s="56" t="s">
        <v>99</v>
      </c>
      <c r="AS50" s="56" t="s">
        <v>99</v>
      </c>
      <c r="AT50" s="56" t="s">
        <v>99</v>
      </c>
      <c r="AU50" s="56" t="s">
        <v>99</v>
      </c>
      <c r="AV50" s="56" t="s">
        <v>99</v>
      </c>
      <c r="AW50" s="56" t="s">
        <v>99</v>
      </c>
      <c r="AX50" s="56" t="s">
        <v>99</v>
      </c>
      <c r="AY50" s="56" t="s">
        <v>99</v>
      </c>
      <c r="AZ50" s="56" t="s">
        <v>99</v>
      </c>
      <c r="BA50" s="56" t="s">
        <v>99</v>
      </c>
      <c r="BB50" s="56" t="s">
        <v>99</v>
      </c>
      <c r="BC50" s="56" t="s">
        <v>99</v>
      </c>
      <c r="BD50" s="56" t="s">
        <v>99</v>
      </c>
      <c r="BE50" s="56" t="s">
        <v>99</v>
      </c>
      <c r="BF50" s="56" t="s">
        <v>99</v>
      </c>
      <c r="BG50" s="56" t="s">
        <v>99</v>
      </c>
      <c r="BH50" s="56" t="s">
        <v>99</v>
      </c>
      <c r="BI50" s="56" t="s">
        <v>99</v>
      </c>
      <c r="BJ50" s="56" t="s">
        <v>99</v>
      </c>
      <c r="BK50" s="56" t="s">
        <v>99</v>
      </c>
      <c r="BL50" s="56" t="s">
        <v>99</v>
      </c>
      <c r="BM50" s="56" t="s">
        <v>99</v>
      </c>
      <c r="BN50" s="56" t="s">
        <v>99</v>
      </c>
      <c r="BO50" s="56" t="s">
        <v>99</v>
      </c>
      <c r="BP50" s="62" t="s">
        <v>99</v>
      </c>
    </row>
    <row r="51" spans="2:68">
      <c r="B51" s="58">
        <v>2</v>
      </c>
      <c r="C51" s="59">
        <v>7</v>
      </c>
      <c r="D51" s="59" t="s">
        <v>102</v>
      </c>
      <c r="E51" s="60">
        <f>'[1]Master File'!B50</f>
        <v>46064</v>
      </c>
      <c r="F51" s="61" t="str">
        <f>'[1]Master File'!C50</f>
        <v>Closed</v>
      </c>
      <c r="G51" s="39"/>
      <c r="I51" s="56" t="s">
        <v>99</v>
      </c>
      <c r="J51" s="56" t="s">
        <v>99</v>
      </c>
      <c r="K51" s="56" t="s">
        <v>99</v>
      </c>
      <c r="L51" s="56" t="s">
        <v>23</v>
      </c>
      <c r="M51" s="56" t="s">
        <v>99</v>
      </c>
      <c r="N51" s="56" t="s">
        <v>99</v>
      </c>
      <c r="O51" s="56" t="s">
        <v>99</v>
      </c>
      <c r="P51" s="56" t="s">
        <v>99</v>
      </c>
      <c r="Q51" s="56" t="s">
        <v>99</v>
      </c>
      <c r="R51" s="56" t="s">
        <v>99</v>
      </c>
      <c r="S51" s="56" t="s">
        <v>99</v>
      </c>
      <c r="T51" s="56" t="s">
        <v>99</v>
      </c>
      <c r="U51" s="56" t="s">
        <v>99</v>
      </c>
      <c r="V51" s="56" t="s">
        <v>99</v>
      </c>
      <c r="W51" s="56" t="s">
        <v>99</v>
      </c>
      <c r="X51" s="56" t="s">
        <v>99</v>
      </c>
      <c r="Y51" s="56" t="s">
        <v>23</v>
      </c>
      <c r="Z51" s="56" t="s">
        <v>99</v>
      </c>
      <c r="AA51" s="56" t="s">
        <v>99</v>
      </c>
      <c r="AB51" s="56" t="s">
        <v>23</v>
      </c>
      <c r="AC51" s="56" t="s">
        <v>23</v>
      </c>
      <c r="AD51" s="56" t="s">
        <v>99</v>
      </c>
      <c r="AE51" s="56" t="s">
        <v>99</v>
      </c>
      <c r="AF51" s="56" t="s">
        <v>99</v>
      </c>
      <c r="AG51" s="56" t="s">
        <v>23</v>
      </c>
      <c r="AH51" s="56" t="s">
        <v>99</v>
      </c>
      <c r="AI51" s="56" t="s">
        <v>99</v>
      </c>
      <c r="AJ51" s="56" t="s">
        <v>99</v>
      </c>
      <c r="AK51" s="56" t="s">
        <v>23</v>
      </c>
      <c r="AL51" s="56" t="s">
        <v>99</v>
      </c>
      <c r="AM51" s="56" t="s">
        <v>99</v>
      </c>
      <c r="AN51" s="56" t="s">
        <v>99</v>
      </c>
      <c r="AO51" s="56" t="s">
        <v>99</v>
      </c>
      <c r="AP51" s="56" t="s">
        <v>99</v>
      </c>
      <c r="AQ51" s="56" t="s">
        <v>99</v>
      </c>
      <c r="AR51" s="56" t="s">
        <v>99</v>
      </c>
      <c r="AS51" s="56" t="s">
        <v>99</v>
      </c>
      <c r="AT51" s="56" t="s">
        <v>99</v>
      </c>
      <c r="AU51" s="56" t="s">
        <v>99</v>
      </c>
      <c r="AV51" s="56" t="s">
        <v>99</v>
      </c>
      <c r="AW51" s="56" t="s">
        <v>99</v>
      </c>
      <c r="AX51" s="56" t="s">
        <v>99</v>
      </c>
      <c r="AY51" s="56" t="s">
        <v>99</v>
      </c>
      <c r="AZ51" s="56" t="s">
        <v>99</v>
      </c>
      <c r="BA51" s="56" t="s">
        <v>99</v>
      </c>
      <c r="BB51" s="56" t="s">
        <v>99</v>
      </c>
      <c r="BC51" s="56" t="s">
        <v>99</v>
      </c>
      <c r="BD51" s="56" t="s">
        <v>99</v>
      </c>
      <c r="BE51" s="56" t="s">
        <v>99</v>
      </c>
      <c r="BF51" s="56" t="s">
        <v>99</v>
      </c>
      <c r="BG51" s="56" t="s">
        <v>99</v>
      </c>
      <c r="BH51" s="56" t="s">
        <v>99</v>
      </c>
      <c r="BI51" s="56" t="s">
        <v>99</v>
      </c>
      <c r="BJ51" s="56" t="s">
        <v>99</v>
      </c>
      <c r="BK51" s="56" t="s">
        <v>99</v>
      </c>
      <c r="BL51" s="56" t="s">
        <v>99</v>
      </c>
      <c r="BM51" s="56" t="s">
        <v>99</v>
      </c>
      <c r="BN51" s="56" t="s">
        <v>99</v>
      </c>
      <c r="BO51" s="56" t="s">
        <v>99</v>
      </c>
      <c r="BP51" s="62" t="s">
        <v>99</v>
      </c>
    </row>
    <row r="52" spans="2:68">
      <c r="B52" s="58">
        <v>2</v>
      </c>
      <c r="C52" s="59">
        <v>7</v>
      </c>
      <c r="D52" s="59" t="s">
        <v>103</v>
      </c>
      <c r="E52" s="60">
        <f>'[1]Master File'!B51</f>
        <v>46065</v>
      </c>
      <c r="F52" s="61" t="str">
        <f>'[1]Master File'!C51</f>
        <v>Closed</v>
      </c>
      <c r="G52" s="39"/>
      <c r="I52" s="56" t="s">
        <v>99</v>
      </c>
      <c r="J52" s="56" t="s">
        <v>99</v>
      </c>
      <c r="K52" s="56" t="s">
        <v>99</v>
      </c>
      <c r="L52" s="56" t="s">
        <v>23</v>
      </c>
      <c r="M52" s="56" t="s">
        <v>99</v>
      </c>
      <c r="N52" s="56" t="s">
        <v>99</v>
      </c>
      <c r="O52" s="56" t="s">
        <v>99</v>
      </c>
      <c r="P52" s="56" t="s">
        <v>99</v>
      </c>
      <c r="Q52" s="56" t="s">
        <v>99</v>
      </c>
      <c r="R52" s="56" t="s">
        <v>99</v>
      </c>
      <c r="S52" s="56" t="s">
        <v>99</v>
      </c>
      <c r="T52" s="56" t="s">
        <v>99</v>
      </c>
      <c r="U52" s="56" t="s">
        <v>99</v>
      </c>
      <c r="V52" s="56" t="s">
        <v>99</v>
      </c>
      <c r="W52" s="56" t="s">
        <v>99</v>
      </c>
      <c r="X52" s="56" t="s">
        <v>99</v>
      </c>
      <c r="Y52" s="56" t="s">
        <v>23</v>
      </c>
      <c r="Z52" s="56" t="s">
        <v>99</v>
      </c>
      <c r="AA52" s="56" t="s">
        <v>99</v>
      </c>
      <c r="AB52" s="56" t="s">
        <v>23</v>
      </c>
      <c r="AC52" s="56" t="s">
        <v>23</v>
      </c>
      <c r="AD52" s="56" t="s">
        <v>99</v>
      </c>
      <c r="AE52" s="56" t="s">
        <v>99</v>
      </c>
      <c r="AF52" s="56" t="s">
        <v>99</v>
      </c>
      <c r="AG52" s="56" t="s">
        <v>23</v>
      </c>
      <c r="AH52" s="56" t="s">
        <v>99</v>
      </c>
      <c r="AI52" s="56" t="s">
        <v>99</v>
      </c>
      <c r="AJ52" s="56" t="s">
        <v>99</v>
      </c>
      <c r="AK52" s="56" t="s">
        <v>23</v>
      </c>
      <c r="AL52" s="56" t="s">
        <v>99</v>
      </c>
      <c r="AM52" s="56" t="s">
        <v>99</v>
      </c>
      <c r="AN52" s="56" t="s">
        <v>99</v>
      </c>
      <c r="AO52" s="56" t="s">
        <v>99</v>
      </c>
      <c r="AP52" s="56" t="s">
        <v>99</v>
      </c>
      <c r="AQ52" s="56" t="s">
        <v>99</v>
      </c>
      <c r="AR52" s="56" t="s">
        <v>99</v>
      </c>
      <c r="AS52" s="56" t="s">
        <v>99</v>
      </c>
      <c r="AT52" s="56" t="s">
        <v>99</v>
      </c>
      <c r="AU52" s="56" t="s">
        <v>99</v>
      </c>
      <c r="AV52" s="56" t="s">
        <v>99</v>
      </c>
      <c r="AW52" s="56" t="s">
        <v>99</v>
      </c>
      <c r="AX52" s="56" t="s">
        <v>99</v>
      </c>
      <c r="AY52" s="56" t="s">
        <v>99</v>
      </c>
      <c r="AZ52" s="56" t="s">
        <v>99</v>
      </c>
      <c r="BA52" s="56" t="s">
        <v>99</v>
      </c>
      <c r="BB52" s="56" t="s">
        <v>99</v>
      </c>
      <c r="BC52" s="56" t="s">
        <v>99</v>
      </c>
      <c r="BD52" s="56" t="s">
        <v>99</v>
      </c>
      <c r="BE52" s="56" t="s">
        <v>99</v>
      </c>
      <c r="BF52" s="56" t="s">
        <v>99</v>
      </c>
      <c r="BG52" s="56" t="s">
        <v>99</v>
      </c>
      <c r="BH52" s="56" t="s">
        <v>99</v>
      </c>
      <c r="BI52" s="56" t="s">
        <v>99</v>
      </c>
      <c r="BJ52" s="56" t="s">
        <v>99</v>
      </c>
      <c r="BK52" s="56" t="s">
        <v>99</v>
      </c>
      <c r="BL52" s="56" t="s">
        <v>99</v>
      </c>
      <c r="BM52" s="56" t="s">
        <v>99</v>
      </c>
      <c r="BN52" s="56" t="s">
        <v>99</v>
      </c>
      <c r="BO52" s="56" t="s">
        <v>99</v>
      </c>
      <c r="BP52" s="62" t="s">
        <v>99</v>
      </c>
    </row>
    <row r="53" spans="2:68">
      <c r="B53" s="58">
        <v>2</v>
      </c>
      <c r="C53" s="59">
        <v>7</v>
      </c>
      <c r="D53" s="59" t="s">
        <v>104</v>
      </c>
      <c r="E53" s="60">
        <f>'[1]Master File'!B52</f>
        <v>46066</v>
      </c>
      <c r="F53" s="61" t="str">
        <f>'[1]Master File'!C52</f>
        <v>Zoo</v>
      </c>
      <c r="G53" s="39"/>
      <c r="I53" s="56" t="s">
        <v>99</v>
      </c>
      <c r="J53" s="56" t="s">
        <v>99</v>
      </c>
      <c r="K53" s="56" t="s">
        <v>99</v>
      </c>
      <c r="L53" s="56" t="s">
        <v>23</v>
      </c>
      <c r="M53" s="56" t="s">
        <v>99</v>
      </c>
      <c r="N53" s="56" t="s">
        <v>99</v>
      </c>
      <c r="O53" s="56" t="s">
        <v>99</v>
      </c>
      <c r="P53" s="56" t="s">
        <v>99</v>
      </c>
      <c r="Q53" s="56" t="s">
        <v>99</v>
      </c>
      <c r="R53" s="56" t="s">
        <v>99</v>
      </c>
      <c r="S53" s="56" t="s">
        <v>99</v>
      </c>
      <c r="T53" s="56" t="s">
        <v>99</v>
      </c>
      <c r="U53" s="56" t="s">
        <v>99</v>
      </c>
      <c r="V53" s="56" t="s">
        <v>99</v>
      </c>
      <c r="W53" s="56" t="s">
        <v>99</v>
      </c>
      <c r="X53" s="56" t="s">
        <v>99</v>
      </c>
      <c r="Y53" s="56" t="s">
        <v>23</v>
      </c>
      <c r="Z53" s="56" t="s">
        <v>99</v>
      </c>
      <c r="AA53" s="56" t="s">
        <v>99</v>
      </c>
      <c r="AB53" s="56" t="s">
        <v>23</v>
      </c>
      <c r="AC53" s="56" t="s">
        <v>23</v>
      </c>
      <c r="AD53" s="56" t="s">
        <v>99</v>
      </c>
      <c r="AE53" s="56" t="s">
        <v>99</v>
      </c>
      <c r="AF53" s="56" t="s">
        <v>23</v>
      </c>
      <c r="AG53" s="56" t="s">
        <v>23</v>
      </c>
      <c r="AH53" s="56" t="s">
        <v>99</v>
      </c>
      <c r="AI53" s="56" t="s">
        <v>99</v>
      </c>
      <c r="AJ53" s="56" t="s">
        <v>99</v>
      </c>
      <c r="AK53" s="56" t="s">
        <v>23</v>
      </c>
      <c r="AL53" s="56" t="s">
        <v>99</v>
      </c>
      <c r="AM53" s="56" t="s">
        <v>99</v>
      </c>
      <c r="AN53" s="56" t="s">
        <v>99</v>
      </c>
      <c r="AO53" s="56" t="s">
        <v>99</v>
      </c>
      <c r="AP53" s="56" t="s">
        <v>99</v>
      </c>
      <c r="AQ53" s="56" t="s">
        <v>99</v>
      </c>
      <c r="AR53" s="56" t="s">
        <v>99</v>
      </c>
      <c r="AS53" s="56" t="s">
        <v>99</v>
      </c>
      <c r="AT53" s="56" t="s">
        <v>99</v>
      </c>
      <c r="AU53" s="56" t="s">
        <v>99</v>
      </c>
      <c r="AV53" s="56" t="s">
        <v>99</v>
      </c>
      <c r="AW53" s="56" t="s">
        <v>99</v>
      </c>
      <c r="AX53" s="56" t="s">
        <v>99</v>
      </c>
      <c r="AY53" s="56" t="s">
        <v>99</v>
      </c>
      <c r="AZ53" s="56" t="s">
        <v>99</v>
      </c>
      <c r="BA53" s="56" t="s">
        <v>99</v>
      </c>
      <c r="BB53" s="56" t="s">
        <v>99</v>
      </c>
      <c r="BC53" s="56" t="s">
        <v>99</v>
      </c>
      <c r="BD53" s="56" t="s">
        <v>99</v>
      </c>
      <c r="BE53" s="56" t="s">
        <v>99</v>
      </c>
      <c r="BF53" s="56" t="s">
        <v>99</v>
      </c>
      <c r="BG53" s="56" t="s">
        <v>99</v>
      </c>
      <c r="BH53" s="56" t="s">
        <v>99</v>
      </c>
      <c r="BI53" s="56" t="s">
        <v>99</v>
      </c>
      <c r="BJ53" s="56" t="s">
        <v>99</v>
      </c>
      <c r="BK53" s="56" t="s">
        <v>99</v>
      </c>
      <c r="BL53" s="56" t="s">
        <v>99</v>
      </c>
      <c r="BM53" s="56" t="s">
        <v>99</v>
      </c>
      <c r="BN53" s="56" t="s">
        <v>99</v>
      </c>
      <c r="BO53" s="56" t="s">
        <v>99</v>
      </c>
      <c r="BP53" s="62" t="s">
        <v>99</v>
      </c>
    </row>
    <row r="54" spans="2:68">
      <c r="B54" s="58">
        <v>2</v>
      </c>
      <c r="C54" s="59">
        <v>7</v>
      </c>
      <c r="D54" s="59" t="s">
        <v>105</v>
      </c>
      <c r="E54" s="60">
        <f>'[1]Master File'!B53</f>
        <v>46067</v>
      </c>
      <c r="F54" s="61" t="str">
        <f>'[1]Master File'!C53</f>
        <v>Zoo</v>
      </c>
      <c r="G54" s="39"/>
      <c r="I54" s="63" t="s">
        <v>99</v>
      </c>
      <c r="J54" s="63" t="s">
        <v>99</v>
      </c>
      <c r="K54" s="63" t="s">
        <v>99</v>
      </c>
      <c r="L54" s="63" t="s">
        <v>23</v>
      </c>
      <c r="M54" s="63" t="s">
        <v>99</v>
      </c>
      <c r="N54" s="63" t="s">
        <v>99</v>
      </c>
      <c r="O54" s="63" t="s">
        <v>99</v>
      </c>
      <c r="P54" s="63" t="s">
        <v>99</v>
      </c>
      <c r="Q54" s="63" t="s">
        <v>99</v>
      </c>
      <c r="R54" s="63" t="s">
        <v>99</v>
      </c>
      <c r="S54" s="63" t="s">
        <v>99</v>
      </c>
      <c r="T54" s="63" t="s">
        <v>99</v>
      </c>
      <c r="U54" s="63" t="s">
        <v>99</v>
      </c>
      <c r="V54" s="63" t="s">
        <v>99</v>
      </c>
      <c r="W54" s="63" t="s">
        <v>99</v>
      </c>
      <c r="X54" s="63" t="s">
        <v>99</v>
      </c>
      <c r="Y54" s="56" t="s">
        <v>23</v>
      </c>
      <c r="Z54" s="63" t="s">
        <v>99</v>
      </c>
      <c r="AA54" s="63" t="s">
        <v>99</v>
      </c>
      <c r="AB54" s="63" t="s">
        <v>23</v>
      </c>
      <c r="AC54" s="63" t="s">
        <v>23</v>
      </c>
      <c r="AD54" s="63" t="s">
        <v>99</v>
      </c>
      <c r="AE54" s="63" t="s">
        <v>99</v>
      </c>
      <c r="AF54" s="63" t="s">
        <v>23</v>
      </c>
      <c r="AG54" s="63" t="s">
        <v>23</v>
      </c>
      <c r="AH54" s="63" t="s">
        <v>99</v>
      </c>
      <c r="AI54" s="63" t="s">
        <v>99</v>
      </c>
      <c r="AJ54" s="63" t="s">
        <v>99</v>
      </c>
      <c r="AK54" s="63" t="s">
        <v>23</v>
      </c>
      <c r="AL54" s="63" t="s">
        <v>99</v>
      </c>
      <c r="AM54" s="63" t="s">
        <v>99</v>
      </c>
      <c r="AN54" s="63" t="s">
        <v>99</v>
      </c>
      <c r="AO54" s="63" t="s">
        <v>99</v>
      </c>
      <c r="AP54" s="63" t="s">
        <v>99</v>
      </c>
      <c r="AQ54" s="63" t="s">
        <v>23</v>
      </c>
      <c r="AR54" s="63" t="s">
        <v>99</v>
      </c>
      <c r="AS54" s="63" t="s">
        <v>99</v>
      </c>
      <c r="AT54" s="63" t="s">
        <v>99</v>
      </c>
      <c r="AU54" s="63" t="s">
        <v>99</v>
      </c>
      <c r="AV54" s="63" t="s">
        <v>99</v>
      </c>
      <c r="AW54" s="63" t="s">
        <v>99</v>
      </c>
      <c r="AX54" s="63" t="s">
        <v>99</v>
      </c>
      <c r="AY54" s="63" t="s">
        <v>99</v>
      </c>
      <c r="AZ54" s="63" t="s">
        <v>99</v>
      </c>
      <c r="BA54" s="63" t="s">
        <v>99</v>
      </c>
      <c r="BB54" s="63" t="s">
        <v>99</v>
      </c>
      <c r="BC54" s="63" t="s">
        <v>99</v>
      </c>
      <c r="BD54" s="63" t="s">
        <v>99</v>
      </c>
      <c r="BE54" s="63" t="s">
        <v>99</v>
      </c>
      <c r="BF54" s="63" t="s">
        <v>99</v>
      </c>
      <c r="BG54" s="63" t="s">
        <v>99</v>
      </c>
      <c r="BH54" s="63" t="s">
        <v>99</v>
      </c>
      <c r="BI54" s="63" t="s">
        <v>99</v>
      </c>
      <c r="BJ54" s="63" t="s">
        <v>99</v>
      </c>
      <c r="BK54" s="63" t="s">
        <v>99</v>
      </c>
      <c r="BL54" s="63" t="s">
        <v>99</v>
      </c>
      <c r="BM54" s="63" t="s">
        <v>99</v>
      </c>
      <c r="BN54" s="63" t="s">
        <v>99</v>
      </c>
      <c r="BO54" s="63" t="s">
        <v>99</v>
      </c>
      <c r="BP54" s="64" t="s">
        <v>99</v>
      </c>
    </row>
    <row r="55" spans="2:68">
      <c r="B55" s="58">
        <v>2</v>
      </c>
      <c r="C55" s="59">
        <v>8</v>
      </c>
      <c r="D55" s="59" t="s">
        <v>98</v>
      </c>
      <c r="E55" s="60">
        <f>'[1]Master File'!B54</f>
        <v>46068</v>
      </c>
      <c r="F55" s="61" t="str">
        <f>'[1]Master File'!C54</f>
        <v>Zoo</v>
      </c>
      <c r="G55" s="39"/>
      <c r="I55" s="63" t="s">
        <v>99</v>
      </c>
      <c r="J55" s="63" t="s">
        <v>99</v>
      </c>
      <c r="K55" s="63" t="s">
        <v>99</v>
      </c>
      <c r="L55" s="63" t="s">
        <v>23</v>
      </c>
      <c r="M55" s="63" t="s">
        <v>99</v>
      </c>
      <c r="N55" s="63" t="s">
        <v>99</v>
      </c>
      <c r="O55" s="63" t="s">
        <v>99</v>
      </c>
      <c r="P55" s="63" t="s">
        <v>99</v>
      </c>
      <c r="Q55" s="63" t="s">
        <v>99</v>
      </c>
      <c r="R55" s="63" t="s">
        <v>99</v>
      </c>
      <c r="S55" s="63" t="s">
        <v>99</v>
      </c>
      <c r="T55" s="63" t="s">
        <v>99</v>
      </c>
      <c r="U55" s="63" t="s">
        <v>99</v>
      </c>
      <c r="V55" s="63" t="s">
        <v>99</v>
      </c>
      <c r="W55" s="63" t="s">
        <v>99</v>
      </c>
      <c r="X55" s="63" t="s">
        <v>99</v>
      </c>
      <c r="Y55" s="56" t="s">
        <v>23</v>
      </c>
      <c r="Z55" s="63" t="s">
        <v>99</v>
      </c>
      <c r="AA55" s="63" t="s">
        <v>99</v>
      </c>
      <c r="AB55" s="63" t="s">
        <v>23</v>
      </c>
      <c r="AC55" s="63" t="s">
        <v>23</v>
      </c>
      <c r="AD55" s="63" t="s">
        <v>99</v>
      </c>
      <c r="AE55" s="63" t="s">
        <v>99</v>
      </c>
      <c r="AF55" s="63" t="s">
        <v>23</v>
      </c>
      <c r="AG55" s="63" t="s">
        <v>23</v>
      </c>
      <c r="AH55" s="63" t="s">
        <v>99</v>
      </c>
      <c r="AI55" s="63" t="s">
        <v>99</v>
      </c>
      <c r="AJ55" s="63" t="s">
        <v>99</v>
      </c>
      <c r="AK55" s="63" t="s">
        <v>23</v>
      </c>
      <c r="AL55" s="63" t="s">
        <v>99</v>
      </c>
      <c r="AM55" s="63" t="s">
        <v>99</v>
      </c>
      <c r="AN55" s="63" t="s">
        <v>99</v>
      </c>
      <c r="AO55" s="63" t="s">
        <v>99</v>
      </c>
      <c r="AP55" s="63" t="s">
        <v>99</v>
      </c>
      <c r="AQ55" s="63" t="s">
        <v>23</v>
      </c>
      <c r="AR55" s="63" t="s">
        <v>99</v>
      </c>
      <c r="AS55" s="63" t="s">
        <v>99</v>
      </c>
      <c r="AT55" s="63" t="s">
        <v>99</v>
      </c>
      <c r="AU55" s="63" t="s">
        <v>99</v>
      </c>
      <c r="AV55" s="63" t="s">
        <v>99</v>
      </c>
      <c r="AW55" s="63" t="s">
        <v>99</v>
      </c>
      <c r="AX55" s="63" t="s">
        <v>99</v>
      </c>
      <c r="AY55" s="63" t="s">
        <v>99</v>
      </c>
      <c r="AZ55" s="63" t="s">
        <v>99</v>
      </c>
      <c r="BA55" s="63" t="s">
        <v>99</v>
      </c>
      <c r="BB55" s="63" t="s">
        <v>99</v>
      </c>
      <c r="BC55" s="63" t="s">
        <v>99</v>
      </c>
      <c r="BD55" s="63" t="s">
        <v>99</v>
      </c>
      <c r="BE55" s="63" t="s">
        <v>99</v>
      </c>
      <c r="BF55" s="63" t="s">
        <v>99</v>
      </c>
      <c r="BG55" s="63" t="s">
        <v>99</v>
      </c>
      <c r="BH55" s="63" t="s">
        <v>99</v>
      </c>
      <c r="BI55" s="63" t="s">
        <v>99</v>
      </c>
      <c r="BJ55" s="63" t="s">
        <v>99</v>
      </c>
      <c r="BK55" s="63" t="s">
        <v>99</v>
      </c>
      <c r="BL55" s="63" t="s">
        <v>99</v>
      </c>
      <c r="BM55" s="63" t="s">
        <v>99</v>
      </c>
      <c r="BN55" s="63" t="s">
        <v>99</v>
      </c>
      <c r="BO55" s="63" t="s">
        <v>99</v>
      </c>
      <c r="BP55" s="64" t="s">
        <v>99</v>
      </c>
    </row>
    <row r="56" spans="2:68">
      <c r="B56" s="58">
        <v>2</v>
      </c>
      <c r="C56" s="59">
        <v>8</v>
      </c>
      <c r="D56" s="59" t="s">
        <v>100</v>
      </c>
      <c r="E56" s="60">
        <f>'[1]Master File'!B55</f>
        <v>46069</v>
      </c>
      <c r="F56" s="61" t="str">
        <f>'[1]Master File'!C55</f>
        <v>Zoo</v>
      </c>
      <c r="G56" s="39"/>
      <c r="I56" s="56" t="s">
        <v>99</v>
      </c>
      <c r="J56" s="56" t="s">
        <v>99</v>
      </c>
      <c r="K56" s="56" t="s">
        <v>99</v>
      </c>
      <c r="L56" s="56" t="s">
        <v>23</v>
      </c>
      <c r="M56" s="56" t="s">
        <v>99</v>
      </c>
      <c r="N56" s="56" t="s">
        <v>99</v>
      </c>
      <c r="O56" s="56" t="s">
        <v>99</v>
      </c>
      <c r="P56" s="56" t="s">
        <v>99</v>
      </c>
      <c r="Q56" s="56" t="s">
        <v>99</v>
      </c>
      <c r="R56" s="56" t="s">
        <v>99</v>
      </c>
      <c r="S56" s="56" t="s">
        <v>99</v>
      </c>
      <c r="T56" s="56" t="s">
        <v>99</v>
      </c>
      <c r="U56" s="56" t="s">
        <v>99</v>
      </c>
      <c r="V56" s="56" t="s">
        <v>99</v>
      </c>
      <c r="W56" s="56" t="s">
        <v>99</v>
      </c>
      <c r="X56" s="56" t="s">
        <v>99</v>
      </c>
      <c r="Y56" s="56" t="s">
        <v>23</v>
      </c>
      <c r="Z56" s="56" t="s">
        <v>99</v>
      </c>
      <c r="AA56" s="56" t="s">
        <v>99</v>
      </c>
      <c r="AB56" s="56" t="s">
        <v>23</v>
      </c>
      <c r="AC56" s="56" t="s">
        <v>23</v>
      </c>
      <c r="AD56" s="56" t="s">
        <v>99</v>
      </c>
      <c r="AE56" s="56" t="s">
        <v>99</v>
      </c>
      <c r="AF56" s="56" t="s">
        <v>23</v>
      </c>
      <c r="AG56" s="56" t="s">
        <v>23</v>
      </c>
      <c r="AH56" s="56" t="s">
        <v>99</v>
      </c>
      <c r="AI56" s="56" t="s">
        <v>99</v>
      </c>
      <c r="AJ56" s="56" t="s">
        <v>99</v>
      </c>
      <c r="AK56" s="56" t="s">
        <v>23</v>
      </c>
      <c r="AL56" s="56" t="s">
        <v>99</v>
      </c>
      <c r="AM56" s="56" t="s">
        <v>99</v>
      </c>
      <c r="AN56" s="56" t="s">
        <v>99</v>
      </c>
      <c r="AO56" s="56" t="s">
        <v>99</v>
      </c>
      <c r="AP56" s="56" t="s">
        <v>99</v>
      </c>
      <c r="AQ56" s="56" t="s">
        <v>99</v>
      </c>
      <c r="AR56" s="56" t="s">
        <v>99</v>
      </c>
      <c r="AS56" s="56" t="s">
        <v>99</v>
      </c>
      <c r="AT56" s="56" t="s">
        <v>99</v>
      </c>
      <c r="AU56" s="56" t="s">
        <v>99</v>
      </c>
      <c r="AV56" s="56" t="s">
        <v>99</v>
      </c>
      <c r="AW56" s="56" t="s">
        <v>99</v>
      </c>
      <c r="AX56" s="56" t="s">
        <v>99</v>
      </c>
      <c r="AY56" s="56" t="s">
        <v>99</v>
      </c>
      <c r="AZ56" s="56" t="s">
        <v>99</v>
      </c>
      <c r="BA56" s="56" t="s">
        <v>99</v>
      </c>
      <c r="BB56" s="56" t="s">
        <v>99</v>
      </c>
      <c r="BC56" s="56" t="s">
        <v>99</v>
      </c>
      <c r="BD56" s="56" t="s">
        <v>99</v>
      </c>
      <c r="BE56" s="56" t="s">
        <v>99</v>
      </c>
      <c r="BF56" s="56" t="s">
        <v>99</v>
      </c>
      <c r="BG56" s="56" t="s">
        <v>99</v>
      </c>
      <c r="BH56" s="56" t="s">
        <v>99</v>
      </c>
      <c r="BI56" s="56" t="s">
        <v>99</v>
      </c>
      <c r="BJ56" s="56" t="s">
        <v>99</v>
      </c>
      <c r="BK56" s="56" t="s">
        <v>99</v>
      </c>
      <c r="BL56" s="56" t="s">
        <v>99</v>
      </c>
      <c r="BM56" s="56" t="s">
        <v>99</v>
      </c>
      <c r="BN56" s="56" t="s">
        <v>99</v>
      </c>
      <c r="BO56" s="56" t="s">
        <v>99</v>
      </c>
      <c r="BP56" s="62" t="s">
        <v>99</v>
      </c>
    </row>
    <row r="57" spans="2:68">
      <c r="B57" s="58">
        <v>2</v>
      </c>
      <c r="C57" s="59">
        <v>8</v>
      </c>
      <c r="D57" s="59" t="s">
        <v>101</v>
      </c>
      <c r="E57" s="60">
        <f>'[1]Master File'!B56</f>
        <v>46070</v>
      </c>
      <c r="F57" s="61" t="str">
        <f>'[1]Master File'!C56</f>
        <v>Zoo</v>
      </c>
      <c r="G57" s="39"/>
      <c r="I57" s="56" t="s">
        <v>99</v>
      </c>
      <c r="J57" s="56" t="s">
        <v>99</v>
      </c>
      <c r="K57" s="56" t="s">
        <v>99</v>
      </c>
      <c r="L57" s="56" t="s">
        <v>23</v>
      </c>
      <c r="M57" s="56" t="s">
        <v>99</v>
      </c>
      <c r="N57" s="56" t="s">
        <v>99</v>
      </c>
      <c r="O57" s="56" t="s">
        <v>99</v>
      </c>
      <c r="P57" s="56" t="s">
        <v>99</v>
      </c>
      <c r="Q57" s="56" t="s">
        <v>99</v>
      </c>
      <c r="R57" s="56" t="s">
        <v>99</v>
      </c>
      <c r="S57" s="56" t="s">
        <v>99</v>
      </c>
      <c r="T57" s="56" t="s">
        <v>99</v>
      </c>
      <c r="U57" s="56" t="s">
        <v>99</v>
      </c>
      <c r="V57" s="56" t="s">
        <v>99</v>
      </c>
      <c r="W57" s="56" t="s">
        <v>99</v>
      </c>
      <c r="X57" s="56" t="s">
        <v>99</v>
      </c>
      <c r="Y57" s="56" t="s">
        <v>23</v>
      </c>
      <c r="Z57" s="56" t="s">
        <v>99</v>
      </c>
      <c r="AA57" s="56" t="s">
        <v>99</v>
      </c>
      <c r="AB57" s="56" t="s">
        <v>23</v>
      </c>
      <c r="AC57" s="56" t="s">
        <v>23</v>
      </c>
      <c r="AD57" s="56" t="s">
        <v>99</v>
      </c>
      <c r="AE57" s="56" t="s">
        <v>99</v>
      </c>
      <c r="AF57" s="56" t="s">
        <v>23</v>
      </c>
      <c r="AG57" s="56" t="s">
        <v>23</v>
      </c>
      <c r="AH57" s="56" t="s">
        <v>99</v>
      </c>
      <c r="AI57" s="56" t="s">
        <v>99</v>
      </c>
      <c r="AJ57" s="56" t="s">
        <v>99</v>
      </c>
      <c r="AK57" s="56" t="s">
        <v>23</v>
      </c>
      <c r="AL57" s="56" t="s">
        <v>99</v>
      </c>
      <c r="AM57" s="56" t="s">
        <v>99</v>
      </c>
      <c r="AN57" s="56" t="s">
        <v>99</v>
      </c>
      <c r="AO57" s="56" t="s">
        <v>99</v>
      </c>
      <c r="AP57" s="56" t="s">
        <v>99</v>
      </c>
      <c r="AQ57" s="56" t="s">
        <v>99</v>
      </c>
      <c r="AR57" s="56" t="s">
        <v>99</v>
      </c>
      <c r="AS57" s="56" t="s">
        <v>99</v>
      </c>
      <c r="AT57" s="56" t="s">
        <v>99</v>
      </c>
      <c r="AU57" s="56" t="s">
        <v>99</v>
      </c>
      <c r="AV57" s="56" t="s">
        <v>99</v>
      </c>
      <c r="AW57" s="56" t="s">
        <v>99</v>
      </c>
      <c r="AX57" s="56" t="s">
        <v>99</v>
      </c>
      <c r="AY57" s="56" t="s">
        <v>99</v>
      </c>
      <c r="AZ57" s="56" t="s">
        <v>99</v>
      </c>
      <c r="BA57" s="56" t="s">
        <v>99</v>
      </c>
      <c r="BB57" s="56" t="s">
        <v>99</v>
      </c>
      <c r="BC57" s="56" t="s">
        <v>99</v>
      </c>
      <c r="BD57" s="56" t="s">
        <v>99</v>
      </c>
      <c r="BE57" s="56" t="s">
        <v>99</v>
      </c>
      <c r="BF57" s="56" t="s">
        <v>99</v>
      </c>
      <c r="BG57" s="56" t="s">
        <v>99</v>
      </c>
      <c r="BH57" s="56" t="s">
        <v>99</v>
      </c>
      <c r="BI57" s="56" t="s">
        <v>99</v>
      </c>
      <c r="BJ57" s="56" t="s">
        <v>99</v>
      </c>
      <c r="BK57" s="56" t="s">
        <v>99</v>
      </c>
      <c r="BL57" s="56" t="s">
        <v>99</v>
      </c>
      <c r="BM57" s="56" t="s">
        <v>99</v>
      </c>
      <c r="BN57" s="56" t="s">
        <v>99</v>
      </c>
      <c r="BO57" s="56" t="s">
        <v>99</v>
      </c>
      <c r="BP57" s="62" t="s">
        <v>99</v>
      </c>
    </row>
    <row r="58" spans="2:68">
      <c r="B58" s="58">
        <v>2</v>
      </c>
      <c r="C58" s="59">
        <v>8</v>
      </c>
      <c r="D58" s="59" t="s">
        <v>102</v>
      </c>
      <c r="E58" s="60">
        <f>'[1]Master File'!B57</f>
        <v>46071</v>
      </c>
      <c r="F58" s="61" t="str">
        <f>'[1]Master File'!C57</f>
        <v>Zoo</v>
      </c>
      <c r="G58" s="39"/>
      <c r="I58" s="56" t="s">
        <v>99</v>
      </c>
      <c r="J58" s="56" t="s">
        <v>99</v>
      </c>
      <c r="K58" s="56" t="s">
        <v>99</v>
      </c>
      <c r="L58" s="56" t="s">
        <v>23</v>
      </c>
      <c r="M58" s="56" t="s">
        <v>99</v>
      </c>
      <c r="N58" s="56" t="s">
        <v>99</v>
      </c>
      <c r="O58" s="56" t="s">
        <v>99</v>
      </c>
      <c r="P58" s="56" t="s">
        <v>99</v>
      </c>
      <c r="Q58" s="56" t="s">
        <v>99</v>
      </c>
      <c r="R58" s="56" t="s">
        <v>99</v>
      </c>
      <c r="S58" s="56" t="s">
        <v>99</v>
      </c>
      <c r="T58" s="56" t="s">
        <v>99</v>
      </c>
      <c r="U58" s="56" t="s">
        <v>99</v>
      </c>
      <c r="V58" s="56" t="s">
        <v>99</v>
      </c>
      <c r="W58" s="56" t="s">
        <v>99</v>
      </c>
      <c r="X58" s="56" t="s">
        <v>99</v>
      </c>
      <c r="Y58" s="56" t="s">
        <v>23</v>
      </c>
      <c r="Z58" s="56" t="s">
        <v>99</v>
      </c>
      <c r="AA58" s="56" t="s">
        <v>99</v>
      </c>
      <c r="AB58" s="56" t="s">
        <v>23</v>
      </c>
      <c r="AC58" s="56" t="s">
        <v>23</v>
      </c>
      <c r="AD58" s="56" t="s">
        <v>99</v>
      </c>
      <c r="AE58" s="56" t="s">
        <v>99</v>
      </c>
      <c r="AF58" s="56" t="s">
        <v>23</v>
      </c>
      <c r="AG58" s="56" t="s">
        <v>23</v>
      </c>
      <c r="AH58" s="56" t="s">
        <v>99</v>
      </c>
      <c r="AI58" s="56" t="s">
        <v>99</v>
      </c>
      <c r="AJ58" s="56" t="s">
        <v>99</v>
      </c>
      <c r="AK58" s="56" t="s">
        <v>23</v>
      </c>
      <c r="AL58" s="56" t="s">
        <v>99</v>
      </c>
      <c r="AM58" s="56" t="s">
        <v>99</v>
      </c>
      <c r="AN58" s="56" t="s">
        <v>99</v>
      </c>
      <c r="AO58" s="56" t="s">
        <v>99</v>
      </c>
      <c r="AP58" s="56" t="s">
        <v>99</v>
      </c>
      <c r="AQ58" s="56" t="s">
        <v>99</v>
      </c>
      <c r="AR58" s="56" t="s">
        <v>99</v>
      </c>
      <c r="AS58" s="56" t="s">
        <v>99</v>
      </c>
      <c r="AT58" s="56" t="s">
        <v>99</v>
      </c>
      <c r="AU58" s="56" t="s">
        <v>99</v>
      </c>
      <c r="AV58" s="56" t="s">
        <v>99</v>
      </c>
      <c r="AW58" s="56" t="s">
        <v>99</v>
      </c>
      <c r="AX58" s="56" t="s">
        <v>99</v>
      </c>
      <c r="AY58" s="56" t="s">
        <v>99</v>
      </c>
      <c r="AZ58" s="56" t="s">
        <v>99</v>
      </c>
      <c r="BA58" s="56" t="s">
        <v>99</v>
      </c>
      <c r="BB58" s="56" t="s">
        <v>99</v>
      </c>
      <c r="BC58" s="56" t="s">
        <v>99</v>
      </c>
      <c r="BD58" s="56" t="s">
        <v>99</v>
      </c>
      <c r="BE58" s="56" t="s">
        <v>99</v>
      </c>
      <c r="BF58" s="56" t="s">
        <v>99</v>
      </c>
      <c r="BG58" s="56" t="s">
        <v>99</v>
      </c>
      <c r="BH58" s="56" t="s">
        <v>99</v>
      </c>
      <c r="BI58" s="56" t="s">
        <v>99</v>
      </c>
      <c r="BJ58" s="56" t="s">
        <v>99</v>
      </c>
      <c r="BK58" s="56" t="s">
        <v>99</v>
      </c>
      <c r="BL58" s="56" t="s">
        <v>99</v>
      </c>
      <c r="BM58" s="56" t="s">
        <v>99</v>
      </c>
      <c r="BN58" s="56" t="s">
        <v>99</v>
      </c>
      <c r="BO58" s="56" t="s">
        <v>99</v>
      </c>
      <c r="BP58" s="62" t="s">
        <v>99</v>
      </c>
    </row>
    <row r="59" spans="2:68">
      <c r="B59" s="58">
        <v>2</v>
      </c>
      <c r="C59" s="59">
        <v>8</v>
      </c>
      <c r="D59" s="59" t="s">
        <v>103</v>
      </c>
      <c r="E59" s="60">
        <f>'[1]Master File'!B58</f>
        <v>46072</v>
      </c>
      <c r="F59" s="61" t="str">
        <f>'[1]Master File'!C58</f>
        <v>Zoo</v>
      </c>
      <c r="G59" s="39"/>
      <c r="I59" s="56" t="s">
        <v>99</v>
      </c>
      <c r="J59" s="56" t="s">
        <v>99</v>
      </c>
      <c r="K59" s="56" t="s">
        <v>99</v>
      </c>
      <c r="L59" s="56" t="s">
        <v>23</v>
      </c>
      <c r="M59" s="56" t="s">
        <v>99</v>
      </c>
      <c r="N59" s="56" t="s">
        <v>99</v>
      </c>
      <c r="O59" s="56" t="s">
        <v>99</v>
      </c>
      <c r="P59" s="56" t="s">
        <v>99</v>
      </c>
      <c r="Q59" s="56" t="s">
        <v>99</v>
      </c>
      <c r="R59" s="56" t="s">
        <v>99</v>
      </c>
      <c r="S59" s="56" t="s">
        <v>99</v>
      </c>
      <c r="T59" s="56" t="s">
        <v>99</v>
      </c>
      <c r="U59" s="56" t="s">
        <v>99</v>
      </c>
      <c r="V59" s="56" t="s">
        <v>99</v>
      </c>
      <c r="W59" s="56" t="s">
        <v>99</v>
      </c>
      <c r="X59" s="56" t="s">
        <v>99</v>
      </c>
      <c r="Y59" s="56" t="s">
        <v>23</v>
      </c>
      <c r="Z59" s="56" t="s">
        <v>99</v>
      </c>
      <c r="AA59" s="56" t="s">
        <v>99</v>
      </c>
      <c r="AB59" s="56" t="s">
        <v>23</v>
      </c>
      <c r="AC59" s="56" t="s">
        <v>23</v>
      </c>
      <c r="AD59" s="56" t="s">
        <v>99</v>
      </c>
      <c r="AE59" s="56" t="s">
        <v>99</v>
      </c>
      <c r="AF59" s="56" t="s">
        <v>23</v>
      </c>
      <c r="AG59" s="56" t="s">
        <v>23</v>
      </c>
      <c r="AH59" s="56" t="s">
        <v>99</v>
      </c>
      <c r="AI59" s="56" t="s">
        <v>99</v>
      </c>
      <c r="AJ59" s="56" t="s">
        <v>99</v>
      </c>
      <c r="AK59" s="56" t="s">
        <v>23</v>
      </c>
      <c r="AL59" s="56" t="s">
        <v>99</v>
      </c>
      <c r="AM59" s="56" t="s">
        <v>99</v>
      </c>
      <c r="AN59" s="56" t="s">
        <v>99</v>
      </c>
      <c r="AO59" s="56" t="s">
        <v>99</v>
      </c>
      <c r="AP59" s="56" t="s">
        <v>99</v>
      </c>
      <c r="AQ59" s="56" t="s">
        <v>99</v>
      </c>
      <c r="AR59" s="56" t="s">
        <v>99</v>
      </c>
      <c r="AS59" s="56" t="s">
        <v>99</v>
      </c>
      <c r="AT59" s="56" t="s">
        <v>99</v>
      </c>
      <c r="AU59" s="56" t="s">
        <v>99</v>
      </c>
      <c r="AV59" s="56" t="s">
        <v>99</v>
      </c>
      <c r="AW59" s="56" t="s">
        <v>99</v>
      </c>
      <c r="AX59" s="56" t="s">
        <v>99</v>
      </c>
      <c r="AY59" s="56" t="s">
        <v>99</v>
      </c>
      <c r="AZ59" s="56" t="s">
        <v>99</v>
      </c>
      <c r="BA59" s="56" t="s">
        <v>99</v>
      </c>
      <c r="BB59" s="56" t="s">
        <v>99</v>
      </c>
      <c r="BC59" s="56" t="s">
        <v>99</v>
      </c>
      <c r="BD59" s="56" t="s">
        <v>99</v>
      </c>
      <c r="BE59" s="56" t="s">
        <v>99</v>
      </c>
      <c r="BF59" s="56" t="s">
        <v>99</v>
      </c>
      <c r="BG59" s="56" t="s">
        <v>99</v>
      </c>
      <c r="BH59" s="56" t="s">
        <v>99</v>
      </c>
      <c r="BI59" s="56" t="s">
        <v>99</v>
      </c>
      <c r="BJ59" s="56" t="s">
        <v>99</v>
      </c>
      <c r="BK59" s="56" t="s">
        <v>99</v>
      </c>
      <c r="BL59" s="56" t="s">
        <v>99</v>
      </c>
      <c r="BM59" s="56" t="s">
        <v>99</v>
      </c>
      <c r="BN59" s="56" t="s">
        <v>99</v>
      </c>
      <c r="BO59" s="56" t="s">
        <v>99</v>
      </c>
      <c r="BP59" s="62" t="s">
        <v>99</v>
      </c>
    </row>
    <row r="60" spans="2:68">
      <c r="B60" s="58">
        <v>2</v>
      </c>
      <c r="C60" s="59">
        <v>8</v>
      </c>
      <c r="D60" s="59" t="s">
        <v>104</v>
      </c>
      <c r="E60" s="60">
        <f>'[1]Master File'!B59</f>
        <v>46073</v>
      </c>
      <c r="F60" s="61" t="str">
        <f>'[1]Master File'!C59</f>
        <v>Zoo</v>
      </c>
      <c r="G60" s="39"/>
      <c r="I60" s="56" t="s">
        <v>99</v>
      </c>
      <c r="J60" s="56" t="s">
        <v>99</v>
      </c>
      <c r="K60" s="56" t="s">
        <v>99</v>
      </c>
      <c r="L60" s="56" t="s">
        <v>23</v>
      </c>
      <c r="M60" s="56" t="s">
        <v>99</v>
      </c>
      <c r="N60" s="56" t="s">
        <v>99</v>
      </c>
      <c r="O60" s="56" t="s">
        <v>99</v>
      </c>
      <c r="P60" s="56" t="s">
        <v>99</v>
      </c>
      <c r="Q60" s="56" t="s">
        <v>99</v>
      </c>
      <c r="R60" s="56" t="s">
        <v>99</v>
      </c>
      <c r="S60" s="56" t="s">
        <v>99</v>
      </c>
      <c r="T60" s="56" t="s">
        <v>99</v>
      </c>
      <c r="U60" s="56" t="s">
        <v>99</v>
      </c>
      <c r="V60" s="56" t="s">
        <v>99</v>
      </c>
      <c r="W60" s="56" t="s">
        <v>99</v>
      </c>
      <c r="X60" s="56" t="s">
        <v>99</v>
      </c>
      <c r="Y60" s="56" t="s">
        <v>23</v>
      </c>
      <c r="Z60" s="56" t="s">
        <v>99</v>
      </c>
      <c r="AA60" s="56" t="s">
        <v>99</v>
      </c>
      <c r="AB60" s="56" t="s">
        <v>23</v>
      </c>
      <c r="AC60" s="56" t="s">
        <v>23</v>
      </c>
      <c r="AD60" s="56" t="s">
        <v>99</v>
      </c>
      <c r="AE60" s="56" t="s">
        <v>99</v>
      </c>
      <c r="AF60" s="56" t="s">
        <v>23</v>
      </c>
      <c r="AG60" s="56" t="s">
        <v>23</v>
      </c>
      <c r="AH60" s="56" t="s">
        <v>99</v>
      </c>
      <c r="AI60" s="56" t="s">
        <v>99</v>
      </c>
      <c r="AJ60" s="56" t="s">
        <v>99</v>
      </c>
      <c r="AK60" s="56" t="s">
        <v>23</v>
      </c>
      <c r="AL60" s="56" t="s">
        <v>99</v>
      </c>
      <c r="AM60" s="56" t="s">
        <v>99</v>
      </c>
      <c r="AN60" s="56" t="s">
        <v>99</v>
      </c>
      <c r="AO60" s="56" t="s">
        <v>99</v>
      </c>
      <c r="AP60" s="56" t="s">
        <v>99</v>
      </c>
      <c r="AQ60" s="56" t="s">
        <v>99</v>
      </c>
      <c r="AR60" s="56" t="s">
        <v>99</v>
      </c>
      <c r="AS60" s="56" t="s">
        <v>99</v>
      </c>
      <c r="AT60" s="56" t="s">
        <v>99</v>
      </c>
      <c r="AU60" s="56" t="s">
        <v>99</v>
      </c>
      <c r="AV60" s="56" t="s">
        <v>99</v>
      </c>
      <c r="AW60" s="56" t="s">
        <v>99</v>
      </c>
      <c r="AX60" s="56" t="s">
        <v>99</v>
      </c>
      <c r="AY60" s="56" t="s">
        <v>99</v>
      </c>
      <c r="AZ60" s="56" t="s">
        <v>99</v>
      </c>
      <c r="BA60" s="56" t="s">
        <v>99</v>
      </c>
      <c r="BB60" s="56" t="s">
        <v>99</v>
      </c>
      <c r="BC60" s="56" t="s">
        <v>99</v>
      </c>
      <c r="BD60" s="56" t="s">
        <v>99</v>
      </c>
      <c r="BE60" s="56" t="s">
        <v>99</v>
      </c>
      <c r="BF60" s="56" t="s">
        <v>99</v>
      </c>
      <c r="BG60" s="56" t="s">
        <v>99</v>
      </c>
      <c r="BH60" s="56" t="s">
        <v>99</v>
      </c>
      <c r="BI60" s="56" t="s">
        <v>99</v>
      </c>
      <c r="BJ60" s="56" t="s">
        <v>99</v>
      </c>
      <c r="BK60" s="56" t="s">
        <v>99</v>
      </c>
      <c r="BL60" s="56" t="s">
        <v>99</v>
      </c>
      <c r="BM60" s="56" t="s">
        <v>99</v>
      </c>
      <c r="BN60" s="56" t="s">
        <v>99</v>
      </c>
      <c r="BO60" s="56" t="s">
        <v>99</v>
      </c>
      <c r="BP60" s="62" t="s">
        <v>99</v>
      </c>
    </row>
    <row r="61" spans="2:68">
      <c r="B61" s="58">
        <v>2</v>
      </c>
      <c r="C61" s="59">
        <v>8</v>
      </c>
      <c r="D61" s="59" t="s">
        <v>105</v>
      </c>
      <c r="E61" s="60">
        <f>'[1]Master File'!B60</f>
        <v>46074</v>
      </c>
      <c r="F61" s="61" t="str">
        <f>'[1]Master File'!C60</f>
        <v>Zoo</v>
      </c>
      <c r="G61" s="39"/>
      <c r="I61" s="63" t="s">
        <v>99</v>
      </c>
      <c r="J61" s="63" t="s">
        <v>99</v>
      </c>
      <c r="K61" s="63" t="s">
        <v>99</v>
      </c>
      <c r="L61" s="63" t="s">
        <v>23</v>
      </c>
      <c r="M61" s="63" t="s">
        <v>99</v>
      </c>
      <c r="N61" s="63" t="s">
        <v>99</v>
      </c>
      <c r="O61" s="63" t="s">
        <v>99</v>
      </c>
      <c r="P61" s="63" t="s">
        <v>99</v>
      </c>
      <c r="Q61" s="63" t="s">
        <v>99</v>
      </c>
      <c r="R61" s="63" t="s">
        <v>99</v>
      </c>
      <c r="S61" s="63" t="s">
        <v>99</v>
      </c>
      <c r="T61" s="63" t="s">
        <v>99</v>
      </c>
      <c r="U61" s="63" t="s">
        <v>99</v>
      </c>
      <c r="V61" s="63" t="s">
        <v>99</v>
      </c>
      <c r="W61" s="63" t="s">
        <v>99</v>
      </c>
      <c r="X61" s="63" t="s">
        <v>99</v>
      </c>
      <c r="Y61" s="56" t="s">
        <v>23</v>
      </c>
      <c r="Z61" s="63" t="s">
        <v>99</v>
      </c>
      <c r="AA61" s="63" t="s">
        <v>99</v>
      </c>
      <c r="AB61" s="63" t="s">
        <v>23</v>
      </c>
      <c r="AC61" s="63" t="s">
        <v>23</v>
      </c>
      <c r="AD61" s="63" t="s">
        <v>99</v>
      </c>
      <c r="AE61" s="63" t="s">
        <v>99</v>
      </c>
      <c r="AF61" s="63" t="s">
        <v>23</v>
      </c>
      <c r="AG61" s="63" t="s">
        <v>23</v>
      </c>
      <c r="AH61" s="63" t="s">
        <v>99</v>
      </c>
      <c r="AI61" s="63" t="s">
        <v>99</v>
      </c>
      <c r="AJ61" s="63" t="s">
        <v>99</v>
      </c>
      <c r="AK61" s="63" t="s">
        <v>23</v>
      </c>
      <c r="AL61" s="63" t="s">
        <v>99</v>
      </c>
      <c r="AM61" s="63" t="s">
        <v>99</v>
      </c>
      <c r="AN61" s="63" t="s">
        <v>99</v>
      </c>
      <c r="AO61" s="63" t="s">
        <v>99</v>
      </c>
      <c r="AP61" s="63" t="s">
        <v>99</v>
      </c>
      <c r="AQ61" s="63" t="s">
        <v>23</v>
      </c>
      <c r="AR61" s="63" t="s">
        <v>99</v>
      </c>
      <c r="AS61" s="63" t="s">
        <v>99</v>
      </c>
      <c r="AT61" s="63" t="s">
        <v>99</v>
      </c>
      <c r="AU61" s="63" t="s">
        <v>99</v>
      </c>
      <c r="AV61" s="63" t="s">
        <v>99</v>
      </c>
      <c r="AW61" s="63" t="s">
        <v>99</v>
      </c>
      <c r="AX61" s="63" t="s">
        <v>99</v>
      </c>
      <c r="AY61" s="63" t="s">
        <v>99</v>
      </c>
      <c r="AZ61" s="63" t="s">
        <v>99</v>
      </c>
      <c r="BA61" s="63" t="s">
        <v>99</v>
      </c>
      <c r="BB61" s="63" t="s">
        <v>99</v>
      </c>
      <c r="BC61" s="63" t="s">
        <v>99</v>
      </c>
      <c r="BD61" s="63" t="s">
        <v>99</v>
      </c>
      <c r="BE61" s="63" t="s">
        <v>99</v>
      </c>
      <c r="BF61" s="63" t="s">
        <v>99</v>
      </c>
      <c r="BG61" s="63" t="s">
        <v>99</v>
      </c>
      <c r="BH61" s="63" t="s">
        <v>99</v>
      </c>
      <c r="BI61" s="63" t="s">
        <v>99</v>
      </c>
      <c r="BJ61" s="63" t="s">
        <v>99</v>
      </c>
      <c r="BK61" s="63" t="s">
        <v>99</v>
      </c>
      <c r="BL61" s="63" t="s">
        <v>99</v>
      </c>
      <c r="BM61" s="63" t="s">
        <v>99</v>
      </c>
      <c r="BN61" s="63" t="s">
        <v>99</v>
      </c>
      <c r="BO61" s="63" t="s">
        <v>99</v>
      </c>
      <c r="BP61" s="64" t="s">
        <v>99</v>
      </c>
    </row>
    <row r="62" spans="2:68">
      <c r="B62" s="58">
        <v>2</v>
      </c>
      <c r="C62" s="59">
        <v>9</v>
      </c>
      <c r="D62" s="59" t="s">
        <v>98</v>
      </c>
      <c r="E62" s="60">
        <f>'[1]Master File'!B61</f>
        <v>46075</v>
      </c>
      <c r="F62" s="61" t="str">
        <f>'[1]Master File'!C61</f>
        <v>Zoo</v>
      </c>
      <c r="G62" s="39"/>
      <c r="I62" s="63" t="s">
        <v>99</v>
      </c>
      <c r="J62" s="63" t="s">
        <v>99</v>
      </c>
      <c r="K62" s="63" t="s">
        <v>99</v>
      </c>
      <c r="L62" s="63" t="s">
        <v>23</v>
      </c>
      <c r="M62" s="63" t="s">
        <v>99</v>
      </c>
      <c r="N62" s="63" t="s">
        <v>99</v>
      </c>
      <c r="O62" s="63" t="s">
        <v>99</v>
      </c>
      <c r="P62" s="63" t="s">
        <v>99</v>
      </c>
      <c r="Q62" s="63" t="s">
        <v>99</v>
      </c>
      <c r="R62" s="63" t="s">
        <v>99</v>
      </c>
      <c r="S62" s="63" t="s">
        <v>99</v>
      </c>
      <c r="T62" s="63" t="s">
        <v>99</v>
      </c>
      <c r="U62" s="63" t="s">
        <v>99</v>
      </c>
      <c r="V62" s="63" t="s">
        <v>99</v>
      </c>
      <c r="W62" s="63" t="s">
        <v>99</v>
      </c>
      <c r="X62" s="63" t="s">
        <v>99</v>
      </c>
      <c r="Y62" s="56" t="s">
        <v>23</v>
      </c>
      <c r="Z62" s="63" t="s">
        <v>99</v>
      </c>
      <c r="AA62" s="63" t="s">
        <v>99</v>
      </c>
      <c r="AB62" s="63" t="s">
        <v>23</v>
      </c>
      <c r="AC62" s="63" t="s">
        <v>23</v>
      </c>
      <c r="AD62" s="63" t="s">
        <v>99</v>
      </c>
      <c r="AE62" s="63" t="s">
        <v>99</v>
      </c>
      <c r="AF62" s="63" t="s">
        <v>23</v>
      </c>
      <c r="AG62" s="63" t="s">
        <v>23</v>
      </c>
      <c r="AH62" s="63" t="s">
        <v>99</v>
      </c>
      <c r="AI62" s="63" t="s">
        <v>99</v>
      </c>
      <c r="AJ62" s="63" t="s">
        <v>99</v>
      </c>
      <c r="AK62" s="63" t="s">
        <v>23</v>
      </c>
      <c r="AL62" s="63" t="s">
        <v>99</v>
      </c>
      <c r="AM62" s="63" t="s">
        <v>99</v>
      </c>
      <c r="AN62" s="63" t="s">
        <v>99</v>
      </c>
      <c r="AO62" s="63" t="s">
        <v>99</v>
      </c>
      <c r="AP62" s="63" t="s">
        <v>99</v>
      </c>
      <c r="AQ62" s="63" t="s">
        <v>23</v>
      </c>
      <c r="AR62" s="63" t="s">
        <v>99</v>
      </c>
      <c r="AS62" s="63" t="s">
        <v>99</v>
      </c>
      <c r="AT62" s="63" t="s">
        <v>99</v>
      </c>
      <c r="AU62" s="63" t="s">
        <v>99</v>
      </c>
      <c r="AV62" s="63" t="s">
        <v>99</v>
      </c>
      <c r="AW62" s="63" t="s">
        <v>99</v>
      </c>
      <c r="AX62" s="63" t="s">
        <v>99</v>
      </c>
      <c r="AY62" s="63" t="s">
        <v>99</v>
      </c>
      <c r="AZ62" s="63" t="s">
        <v>99</v>
      </c>
      <c r="BA62" s="63" t="s">
        <v>99</v>
      </c>
      <c r="BB62" s="63" t="s">
        <v>99</v>
      </c>
      <c r="BC62" s="63" t="s">
        <v>99</v>
      </c>
      <c r="BD62" s="63" t="s">
        <v>99</v>
      </c>
      <c r="BE62" s="63" t="s">
        <v>99</v>
      </c>
      <c r="BF62" s="63" t="s">
        <v>99</v>
      </c>
      <c r="BG62" s="63" t="s">
        <v>99</v>
      </c>
      <c r="BH62" s="63" t="s">
        <v>99</v>
      </c>
      <c r="BI62" s="63" t="s">
        <v>99</v>
      </c>
      <c r="BJ62" s="63" t="s">
        <v>99</v>
      </c>
      <c r="BK62" s="63" t="s">
        <v>99</v>
      </c>
      <c r="BL62" s="63" t="s">
        <v>99</v>
      </c>
      <c r="BM62" s="63" t="s">
        <v>99</v>
      </c>
      <c r="BN62" s="63" t="s">
        <v>99</v>
      </c>
      <c r="BO62" s="63" t="s">
        <v>99</v>
      </c>
      <c r="BP62" s="64" t="s">
        <v>99</v>
      </c>
    </row>
    <row r="63" spans="2:68">
      <c r="B63" s="58">
        <v>2</v>
      </c>
      <c r="C63" s="59">
        <v>9</v>
      </c>
      <c r="D63" s="59" t="s">
        <v>100</v>
      </c>
      <c r="E63" s="60">
        <f>'[1]Master File'!B62</f>
        <v>46076</v>
      </c>
      <c r="F63" s="61" t="str">
        <f>'[1]Master File'!C62</f>
        <v>Closed</v>
      </c>
      <c r="G63" s="39"/>
      <c r="I63" s="56" t="s">
        <v>99</v>
      </c>
      <c r="J63" s="56" t="s">
        <v>99</v>
      </c>
      <c r="K63" s="56" t="s">
        <v>99</v>
      </c>
      <c r="L63" s="56" t="s">
        <v>23</v>
      </c>
      <c r="M63" s="56" t="s">
        <v>99</v>
      </c>
      <c r="N63" s="56" t="s">
        <v>99</v>
      </c>
      <c r="O63" s="56" t="s">
        <v>99</v>
      </c>
      <c r="P63" s="56" t="s">
        <v>99</v>
      </c>
      <c r="Q63" s="56" t="s">
        <v>99</v>
      </c>
      <c r="R63" s="56" t="s">
        <v>99</v>
      </c>
      <c r="S63" s="56" t="s">
        <v>99</v>
      </c>
      <c r="T63" s="56" t="s">
        <v>99</v>
      </c>
      <c r="U63" s="56" t="s">
        <v>99</v>
      </c>
      <c r="V63" s="56" t="s">
        <v>99</v>
      </c>
      <c r="W63" s="56" t="s">
        <v>99</v>
      </c>
      <c r="X63" s="56" t="s">
        <v>99</v>
      </c>
      <c r="Y63" s="56" t="s">
        <v>23</v>
      </c>
      <c r="Z63" s="56" t="s">
        <v>99</v>
      </c>
      <c r="AA63" s="56" t="s">
        <v>99</v>
      </c>
      <c r="AB63" s="56" t="s">
        <v>23</v>
      </c>
      <c r="AC63" s="56" t="s">
        <v>23</v>
      </c>
      <c r="AD63" s="56" t="s">
        <v>99</v>
      </c>
      <c r="AE63" s="56" t="s">
        <v>99</v>
      </c>
      <c r="AF63" s="56" t="s">
        <v>99</v>
      </c>
      <c r="AG63" s="56" t="s">
        <v>23</v>
      </c>
      <c r="AH63" s="56" t="s">
        <v>99</v>
      </c>
      <c r="AI63" s="56" t="s">
        <v>99</v>
      </c>
      <c r="AJ63" s="56" t="s">
        <v>99</v>
      </c>
      <c r="AK63" s="56" t="s">
        <v>23</v>
      </c>
      <c r="AL63" s="56" t="s">
        <v>99</v>
      </c>
      <c r="AM63" s="56" t="s">
        <v>99</v>
      </c>
      <c r="AN63" s="56" t="s">
        <v>99</v>
      </c>
      <c r="AO63" s="56" t="s">
        <v>99</v>
      </c>
      <c r="AP63" s="56" t="s">
        <v>99</v>
      </c>
      <c r="AQ63" s="56" t="s">
        <v>99</v>
      </c>
      <c r="AR63" s="56" t="s">
        <v>99</v>
      </c>
      <c r="AS63" s="56" t="s">
        <v>99</v>
      </c>
      <c r="AT63" s="56" t="s">
        <v>99</v>
      </c>
      <c r="AU63" s="56" t="s">
        <v>99</v>
      </c>
      <c r="AV63" s="56" t="s">
        <v>99</v>
      </c>
      <c r="AW63" s="56" t="s">
        <v>99</v>
      </c>
      <c r="AX63" s="56" t="s">
        <v>99</v>
      </c>
      <c r="AY63" s="56" t="s">
        <v>99</v>
      </c>
      <c r="AZ63" s="56" t="s">
        <v>99</v>
      </c>
      <c r="BA63" s="56" t="s">
        <v>99</v>
      </c>
      <c r="BB63" s="56" t="s">
        <v>99</v>
      </c>
      <c r="BC63" s="56" t="s">
        <v>99</v>
      </c>
      <c r="BD63" s="56" t="s">
        <v>99</v>
      </c>
      <c r="BE63" s="56" t="s">
        <v>99</v>
      </c>
      <c r="BF63" s="56" t="s">
        <v>99</v>
      </c>
      <c r="BG63" s="56" t="s">
        <v>99</v>
      </c>
      <c r="BH63" s="56" t="s">
        <v>99</v>
      </c>
      <c r="BI63" s="56" t="s">
        <v>99</v>
      </c>
      <c r="BJ63" s="56" t="s">
        <v>99</v>
      </c>
      <c r="BK63" s="56" t="s">
        <v>99</v>
      </c>
      <c r="BL63" s="56" t="s">
        <v>99</v>
      </c>
      <c r="BM63" s="56" t="s">
        <v>99</v>
      </c>
      <c r="BN63" s="56" t="s">
        <v>99</v>
      </c>
      <c r="BO63" s="56" t="s">
        <v>99</v>
      </c>
      <c r="BP63" s="62" t="s">
        <v>99</v>
      </c>
    </row>
    <row r="64" spans="2:68">
      <c r="B64" s="58">
        <v>2</v>
      </c>
      <c r="C64" s="59">
        <v>9</v>
      </c>
      <c r="D64" s="59" t="s">
        <v>101</v>
      </c>
      <c r="E64" s="60">
        <f>'[1]Master File'!B63</f>
        <v>46077</v>
      </c>
      <c r="F64" s="61" t="str">
        <f>'[1]Master File'!C63</f>
        <v>Closed</v>
      </c>
      <c r="G64" s="39"/>
      <c r="I64" s="56" t="s">
        <v>99</v>
      </c>
      <c r="J64" s="56" t="s">
        <v>99</v>
      </c>
      <c r="K64" s="56" t="s">
        <v>99</v>
      </c>
      <c r="L64" s="56" t="s">
        <v>23</v>
      </c>
      <c r="M64" s="56" t="s">
        <v>99</v>
      </c>
      <c r="N64" s="56" t="s">
        <v>99</v>
      </c>
      <c r="O64" s="56" t="s">
        <v>99</v>
      </c>
      <c r="P64" s="56" t="s">
        <v>99</v>
      </c>
      <c r="Q64" s="56" t="s">
        <v>99</v>
      </c>
      <c r="R64" s="56" t="s">
        <v>99</v>
      </c>
      <c r="S64" s="56" t="s">
        <v>99</v>
      </c>
      <c r="T64" s="56" t="s">
        <v>99</v>
      </c>
      <c r="U64" s="56" t="s">
        <v>99</v>
      </c>
      <c r="V64" s="56" t="s">
        <v>99</v>
      </c>
      <c r="W64" s="56" t="s">
        <v>99</v>
      </c>
      <c r="X64" s="56" t="s">
        <v>99</v>
      </c>
      <c r="Y64" s="56" t="s">
        <v>23</v>
      </c>
      <c r="Z64" s="56" t="s">
        <v>99</v>
      </c>
      <c r="AA64" s="56" t="s">
        <v>99</v>
      </c>
      <c r="AB64" s="56" t="s">
        <v>23</v>
      </c>
      <c r="AC64" s="56" t="s">
        <v>23</v>
      </c>
      <c r="AD64" s="56" t="s">
        <v>99</v>
      </c>
      <c r="AE64" s="56" t="s">
        <v>99</v>
      </c>
      <c r="AF64" s="56" t="s">
        <v>99</v>
      </c>
      <c r="AG64" s="56" t="s">
        <v>23</v>
      </c>
      <c r="AH64" s="56" t="s">
        <v>99</v>
      </c>
      <c r="AI64" s="56" t="s">
        <v>99</v>
      </c>
      <c r="AJ64" s="56" t="s">
        <v>99</v>
      </c>
      <c r="AK64" s="56" t="s">
        <v>23</v>
      </c>
      <c r="AL64" s="56" t="s">
        <v>99</v>
      </c>
      <c r="AM64" s="56" t="s">
        <v>99</v>
      </c>
      <c r="AN64" s="56" t="s">
        <v>99</v>
      </c>
      <c r="AO64" s="56" t="s">
        <v>99</v>
      </c>
      <c r="AP64" s="56" t="s">
        <v>99</v>
      </c>
      <c r="AQ64" s="56" t="s">
        <v>99</v>
      </c>
      <c r="AR64" s="56" t="s">
        <v>99</v>
      </c>
      <c r="AS64" s="56" t="s">
        <v>99</v>
      </c>
      <c r="AT64" s="56" t="s">
        <v>99</v>
      </c>
      <c r="AU64" s="56" t="s">
        <v>99</v>
      </c>
      <c r="AV64" s="56" t="s">
        <v>99</v>
      </c>
      <c r="AW64" s="56" t="s">
        <v>99</v>
      </c>
      <c r="AX64" s="56" t="s">
        <v>99</v>
      </c>
      <c r="AY64" s="56" t="s">
        <v>99</v>
      </c>
      <c r="AZ64" s="56" t="s">
        <v>99</v>
      </c>
      <c r="BA64" s="56" t="s">
        <v>99</v>
      </c>
      <c r="BB64" s="56" t="s">
        <v>99</v>
      </c>
      <c r="BC64" s="56" t="s">
        <v>99</v>
      </c>
      <c r="BD64" s="56" t="s">
        <v>99</v>
      </c>
      <c r="BE64" s="56" t="s">
        <v>99</v>
      </c>
      <c r="BF64" s="56" t="s">
        <v>99</v>
      </c>
      <c r="BG64" s="56" t="s">
        <v>99</v>
      </c>
      <c r="BH64" s="56" t="s">
        <v>99</v>
      </c>
      <c r="BI64" s="56" t="s">
        <v>99</v>
      </c>
      <c r="BJ64" s="56" t="s">
        <v>99</v>
      </c>
      <c r="BK64" s="56" t="s">
        <v>99</v>
      </c>
      <c r="BL64" s="56" t="s">
        <v>99</v>
      </c>
      <c r="BM64" s="56" t="s">
        <v>99</v>
      </c>
      <c r="BN64" s="56" t="s">
        <v>99</v>
      </c>
      <c r="BO64" s="56" t="s">
        <v>99</v>
      </c>
      <c r="BP64" s="62" t="s">
        <v>99</v>
      </c>
    </row>
    <row r="65" spans="2:68">
      <c r="B65" s="58">
        <v>2</v>
      </c>
      <c r="C65" s="59">
        <v>9</v>
      </c>
      <c r="D65" s="59" t="s">
        <v>102</v>
      </c>
      <c r="E65" s="60">
        <f>'[1]Master File'!B64</f>
        <v>46078</v>
      </c>
      <c r="F65" s="61" t="str">
        <f>'[1]Master File'!C64</f>
        <v>Closed</v>
      </c>
      <c r="G65" s="39"/>
      <c r="I65" s="56" t="s">
        <v>99</v>
      </c>
      <c r="J65" s="56" t="s">
        <v>99</v>
      </c>
      <c r="K65" s="56" t="s">
        <v>99</v>
      </c>
      <c r="L65" s="56" t="s">
        <v>23</v>
      </c>
      <c r="M65" s="56" t="s">
        <v>99</v>
      </c>
      <c r="N65" s="56" t="s">
        <v>99</v>
      </c>
      <c r="O65" s="56" t="s">
        <v>99</v>
      </c>
      <c r="P65" s="56" t="s">
        <v>99</v>
      </c>
      <c r="Q65" s="56" t="s">
        <v>99</v>
      </c>
      <c r="R65" s="56" t="s">
        <v>99</v>
      </c>
      <c r="S65" s="56" t="s">
        <v>99</v>
      </c>
      <c r="T65" s="56" t="s">
        <v>99</v>
      </c>
      <c r="U65" s="56" t="s">
        <v>99</v>
      </c>
      <c r="V65" s="56" t="s">
        <v>99</v>
      </c>
      <c r="W65" s="56" t="s">
        <v>99</v>
      </c>
      <c r="X65" s="56" t="s">
        <v>99</v>
      </c>
      <c r="Y65" s="56" t="s">
        <v>23</v>
      </c>
      <c r="Z65" s="56" t="s">
        <v>99</v>
      </c>
      <c r="AA65" s="56" t="s">
        <v>99</v>
      </c>
      <c r="AB65" s="56" t="s">
        <v>23</v>
      </c>
      <c r="AC65" s="56" t="s">
        <v>23</v>
      </c>
      <c r="AD65" s="56" t="s">
        <v>99</v>
      </c>
      <c r="AE65" s="56" t="s">
        <v>99</v>
      </c>
      <c r="AF65" s="56" t="s">
        <v>99</v>
      </c>
      <c r="AG65" s="56" t="s">
        <v>23</v>
      </c>
      <c r="AH65" s="56" t="s">
        <v>99</v>
      </c>
      <c r="AI65" s="56" t="s">
        <v>99</v>
      </c>
      <c r="AJ65" s="56" t="s">
        <v>99</v>
      </c>
      <c r="AK65" s="56" t="s">
        <v>23</v>
      </c>
      <c r="AL65" s="56" t="s">
        <v>99</v>
      </c>
      <c r="AM65" s="56" t="s">
        <v>99</v>
      </c>
      <c r="AN65" s="56" t="s">
        <v>99</v>
      </c>
      <c r="AO65" s="56" t="s">
        <v>99</v>
      </c>
      <c r="AP65" s="56" t="s">
        <v>99</v>
      </c>
      <c r="AQ65" s="56" t="s">
        <v>99</v>
      </c>
      <c r="AR65" s="56" t="s">
        <v>99</v>
      </c>
      <c r="AS65" s="56" t="s">
        <v>99</v>
      </c>
      <c r="AT65" s="56" t="s">
        <v>99</v>
      </c>
      <c r="AU65" s="56" t="s">
        <v>99</v>
      </c>
      <c r="AV65" s="56" t="s">
        <v>99</v>
      </c>
      <c r="AW65" s="56" t="s">
        <v>99</v>
      </c>
      <c r="AX65" s="56" t="s">
        <v>99</v>
      </c>
      <c r="AY65" s="56" t="s">
        <v>99</v>
      </c>
      <c r="AZ65" s="56" t="s">
        <v>99</v>
      </c>
      <c r="BA65" s="56" t="s">
        <v>99</v>
      </c>
      <c r="BB65" s="56" t="s">
        <v>99</v>
      </c>
      <c r="BC65" s="56" t="s">
        <v>99</v>
      </c>
      <c r="BD65" s="56" t="s">
        <v>99</v>
      </c>
      <c r="BE65" s="56" t="s">
        <v>99</v>
      </c>
      <c r="BF65" s="56" t="s">
        <v>99</v>
      </c>
      <c r="BG65" s="56" t="s">
        <v>99</v>
      </c>
      <c r="BH65" s="56" t="s">
        <v>99</v>
      </c>
      <c r="BI65" s="56" t="s">
        <v>99</v>
      </c>
      <c r="BJ65" s="56" t="s">
        <v>99</v>
      </c>
      <c r="BK65" s="56" t="s">
        <v>99</v>
      </c>
      <c r="BL65" s="56" t="s">
        <v>99</v>
      </c>
      <c r="BM65" s="56" t="s">
        <v>99</v>
      </c>
      <c r="BN65" s="56" t="s">
        <v>99</v>
      </c>
      <c r="BO65" s="56" t="s">
        <v>99</v>
      </c>
      <c r="BP65" s="62" t="s">
        <v>99</v>
      </c>
    </row>
    <row r="66" spans="2:68">
      <c r="B66" s="58">
        <v>2</v>
      </c>
      <c r="C66" s="59">
        <v>9</v>
      </c>
      <c r="D66" s="59" t="s">
        <v>103</v>
      </c>
      <c r="E66" s="60">
        <f>'[1]Master File'!B65</f>
        <v>46079</v>
      </c>
      <c r="F66" s="61" t="str">
        <f>'[1]Master File'!C65</f>
        <v>Closed</v>
      </c>
      <c r="G66" s="39"/>
      <c r="I66" s="56" t="s">
        <v>99</v>
      </c>
      <c r="J66" s="56" t="s">
        <v>99</v>
      </c>
      <c r="K66" s="56" t="s">
        <v>99</v>
      </c>
      <c r="L66" s="56" t="s">
        <v>23</v>
      </c>
      <c r="M66" s="56" t="s">
        <v>99</v>
      </c>
      <c r="N66" s="56" t="s">
        <v>99</v>
      </c>
      <c r="O66" s="56" t="s">
        <v>99</v>
      </c>
      <c r="P66" s="56" t="s">
        <v>99</v>
      </c>
      <c r="Q66" s="56" t="s">
        <v>99</v>
      </c>
      <c r="R66" s="56" t="s">
        <v>99</v>
      </c>
      <c r="S66" s="56" t="s">
        <v>99</v>
      </c>
      <c r="T66" s="56" t="s">
        <v>99</v>
      </c>
      <c r="U66" s="56" t="s">
        <v>99</v>
      </c>
      <c r="V66" s="56" t="s">
        <v>99</v>
      </c>
      <c r="W66" s="56" t="s">
        <v>99</v>
      </c>
      <c r="X66" s="56" t="s">
        <v>99</v>
      </c>
      <c r="Y66" s="56" t="s">
        <v>23</v>
      </c>
      <c r="Z66" s="56" t="s">
        <v>99</v>
      </c>
      <c r="AA66" s="56" t="s">
        <v>99</v>
      </c>
      <c r="AB66" s="56" t="s">
        <v>23</v>
      </c>
      <c r="AC66" s="56" t="s">
        <v>23</v>
      </c>
      <c r="AD66" s="56" t="s">
        <v>99</v>
      </c>
      <c r="AE66" s="56" t="s">
        <v>99</v>
      </c>
      <c r="AF66" s="56" t="s">
        <v>99</v>
      </c>
      <c r="AG66" s="56" t="s">
        <v>23</v>
      </c>
      <c r="AH66" s="56" t="s">
        <v>99</v>
      </c>
      <c r="AI66" s="56" t="s">
        <v>99</v>
      </c>
      <c r="AJ66" s="56" t="s">
        <v>99</v>
      </c>
      <c r="AK66" s="56" t="s">
        <v>23</v>
      </c>
      <c r="AL66" s="56" t="s">
        <v>99</v>
      </c>
      <c r="AM66" s="56" t="s">
        <v>99</v>
      </c>
      <c r="AN66" s="56" t="s">
        <v>99</v>
      </c>
      <c r="AO66" s="56" t="s">
        <v>99</v>
      </c>
      <c r="AP66" s="56" t="s">
        <v>99</v>
      </c>
      <c r="AQ66" s="56" t="s">
        <v>99</v>
      </c>
      <c r="AR66" s="56" t="s">
        <v>99</v>
      </c>
      <c r="AS66" s="56" t="s">
        <v>99</v>
      </c>
      <c r="AT66" s="56" t="s">
        <v>99</v>
      </c>
      <c r="AU66" s="56" t="s">
        <v>99</v>
      </c>
      <c r="AV66" s="56" t="s">
        <v>99</v>
      </c>
      <c r="AW66" s="56" t="s">
        <v>99</v>
      </c>
      <c r="AX66" s="56" t="s">
        <v>99</v>
      </c>
      <c r="AY66" s="56" t="s">
        <v>99</v>
      </c>
      <c r="AZ66" s="56" t="s">
        <v>99</v>
      </c>
      <c r="BA66" s="56" t="s">
        <v>99</v>
      </c>
      <c r="BB66" s="56" t="s">
        <v>99</v>
      </c>
      <c r="BC66" s="56" t="s">
        <v>99</v>
      </c>
      <c r="BD66" s="56" t="s">
        <v>99</v>
      </c>
      <c r="BE66" s="56" t="s">
        <v>99</v>
      </c>
      <c r="BF66" s="56" t="s">
        <v>99</v>
      </c>
      <c r="BG66" s="56" t="s">
        <v>99</v>
      </c>
      <c r="BH66" s="56" t="s">
        <v>99</v>
      </c>
      <c r="BI66" s="56" t="s">
        <v>99</v>
      </c>
      <c r="BJ66" s="56" t="s">
        <v>99</v>
      </c>
      <c r="BK66" s="56" t="s">
        <v>99</v>
      </c>
      <c r="BL66" s="56" t="s">
        <v>99</v>
      </c>
      <c r="BM66" s="56" t="s">
        <v>99</v>
      </c>
      <c r="BN66" s="56" t="s">
        <v>99</v>
      </c>
      <c r="BO66" s="56" t="s">
        <v>99</v>
      </c>
      <c r="BP66" s="62" t="s">
        <v>99</v>
      </c>
    </row>
    <row r="67" spans="2:68">
      <c r="B67" s="58">
        <v>2</v>
      </c>
      <c r="C67" s="59">
        <v>9</v>
      </c>
      <c r="D67" s="59" t="s">
        <v>104</v>
      </c>
      <c r="E67" s="60">
        <f>'[1]Master File'!B66</f>
        <v>46080</v>
      </c>
      <c r="F67" s="61" t="str">
        <f>'[1]Master File'!C66</f>
        <v>Closed</v>
      </c>
      <c r="G67" s="39"/>
      <c r="I67" s="56" t="s">
        <v>99</v>
      </c>
      <c r="J67" s="56" t="s">
        <v>99</v>
      </c>
      <c r="K67" s="56" t="s">
        <v>99</v>
      </c>
      <c r="L67" s="56" t="s">
        <v>23</v>
      </c>
      <c r="M67" s="56" t="s">
        <v>99</v>
      </c>
      <c r="N67" s="56" t="s">
        <v>99</v>
      </c>
      <c r="O67" s="56" t="s">
        <v>99</v>
      </c>
      <c r="P67" s="56" t="s">
        <v>99</v>
      </c>
      <c r="Q67" s="56" t="s">
        <v>99</v>
      </c>
      <c r="R67" s="56" t="s">
        <v>99</v>
      </c>
      <c r="S67" s="56" t="s">
        <v>99</v>
      </c>
      <c r="T67" s="56" t="s">
        <v>99</v>
      </c>
      <c r="U67" s="56" t="s">
        <v>99</v>
      </c>
      <c r="V67" s="56" t="s">
        <v>99</v>
      </c>
      <c r="W67" s="56" t="s">
        <v>99</v>
      </c>
      <c r="X67" s="56" t="s">
        <v>99</v>
      </c>
      <c r="Y67" s="56" t="s">
        <v>23</v>
      </c>
      <c r="Z67" s="56" t="s">
        <v>99</v>
      </c>
      <c r="AA67" s="56" t="s">
        <v>99</v>
      </c>
      <c r="AB67" s="56" t="s">
        <v>23</v>
      </c>
      <c r="AC67" s="56" t="s">
        <v>23</v>
      </c>
      <c r="AD67" s="56" t="s">
        <v>99</v>
      </c>
      <c r="AE67" s="56" t="s">
        <v>99</v>
      </c>
      <c r="AF67" s="56" t="s">
        <v>99</v>
      </c>
      <c r="AG67" s="56" t="s">
        <v>23</v>
      </c>
      <c r="AH67" s="56" t="s">
        <v>99</v>
      </c>
      <c r="AI67" s="56" t="s">
        <v>99</v>
      </c>
      <c r="AJ67" s="56" t="s">
        <v>99</v>
      </c>
      <c r="AK67" s="56" t="s">
        <v>23</v>
      </c>
      <c r="AL67" s="56" t="s">
        <v>99</v>
      </c>
      <c r="AM67" s="56" t="s">
        <v>99</v>
      </c>
      <c r="AN67" s="56" t="s">
        <v>99</v>
      </c>
      <c r="AO67" s="56" t="s">
        <v>99</v>
      </c>
      <c r="AP67" s="56" t="s">
        <v>99</v>
      </c>
      <c r="AQ67" s="56" t="s">
        <v>99</v>
      </c>
      <c r="AR67" s="56" t="s">
        <v>99</v>
      </c>
      <c r="AS67" s="56" t="s">
        <v>99</v>
      </c>
      <c r="AT67" s="56" t="s">
        <v>99</v>
      </c>
      <c r="AU67" s="56" t="s">
        <v>99</v>
      </c>
      <c r="AV67" s="56" t="s">
        <v>99</v>
      </c>
      <c r="AW67" s="56" t="s">
        <v>99</v>
      </c>
      <c r="AX67" s="56" t="s">
        <v>99</v>
      </c>
      <c r="AY67" s="56" t="s">
        <v>99</v>
      </c>
      <c r="AZ67" s="56" t="s">
        <v>99</v>
      </c>
      <c r="BA67" s="56" t="s">
        <v>99</v>
      </c>
      <c r="BB67" s="56" t="s">
        <v>99</v>
      </c>
      <c r="BC67" s="56" t="s">
        <v>99</v>
      </c>
      <c r="BD67" s="56" t="s">
        <v>99</v>
      </c>
      <c r="BE67" s="56" t="s">
        <v>99</v>
      </c>
      <c r="BF67" s="56" t="s">
        <v>99</v>
      </c>
      <c r="BG67" s="56" t="s">
        <v>99</v>
      </c>
      <c r="BH67" s="56" t="s">
        <v>99</v>
      </c>
      <c r="BI67" s="56" t="s">
        <v>99</v>
      </c>
      <c r="BJ67" s="56" t="s">
        <v>99</v>
      </c>
      <c r="BK67" s="56" t="s">
        <v>99</v>
      </c>
      <c r="BL67" s="56" t="s">
        <v>99</v>
      </c>
      <c r="BM67" s="56" t="s">
        <v>99</v>
      </c>
      <c r="BN67" s="56" t="s">
        <v>99</v>
      </c>
      <c r="BO67" s="56" t="s">
        <v>99</v>
      </c>
      <c r="BP67" s="62" t="s">
        <v>99</v>
      </c>
    </row>
    <row r="68" spans="2:68">
      <c r="B68" s="58">
        <v>2</v>
      </c>
      <c r="C68" s="59">
        <v>9</v>
      </c>
      <c r="D68" s="59" t="s">
        <v>105</v>
      </c>
      <c r="E68" s="60">
        <f>'[1]Master File'!B67</f>
        <v>46081</v>
      </c>
      <c r="F68" s="61" t="str">
        <f>'[1]Master File'!C67</f>
        <v>Zoo</v>
      </c>
      <c r="G68" s="39"/>
      <c r="I68" s="56" t="s">
        <v>23</v>
      </c>
      <c r="J68" s="56" t="s">
        <v>23</v>
      </c>
      <c r="K68" s="56" t="s">
        <v>23</v>
      </c>
      <c r="L68" s="56" t="s">
        <v>23</v>
      </c>
      <c r="M68" s="56" t="s">
        <v>23</v>
      </c>
      <c r="N68" s="56" t="s">
        <v>23</v>
      </c>
      <c r="O68" s="56" t="s">
        <v>23</v>
      </c>
      <c r="P68" s="56" t="s">
        <v>23</v>
      </c>
      <c r="Q68" s="56" t="s">
        <v>23</v>
      </c>
      <c r="R68" s="63" t="s">
        <v>23</v>
      </c>
      <c r="S68" s="63" t="s">
        <v>99</v>
      </c>
      <c r="T68" s="63" t="s">
        <v>23</v>
      </c>
      <c r="U68" s="63" t="s">
        <v>99</v>
      </c>
      <c r="V68" s="63" t="s">
        <v>99</v>
      </c>
      <c r="W68" s="63" t="s">
        <v>99</v>
      </c>
      <c r="X68" s="63" t="s">
        <v>99</v>
      </c>
      <c r="Y68" s="56" t="s">
        <v>23</v>
      </c>
      <c r="Z68" s="63" t="s">
        <v>23</v>
      </c>
      <c r="AA68" s="63" t="s">
        <v>23</v>
      </c>
      <c r="AB68" s="63" t="s">
        <v>23</v>
      </c>
      <c r="AC68" s="63" t="s">
        <v>23</v>
      </c>
      <c r="AD68" s="63" t="s">
        <v>23</v>
      </c>
      <c r="AE68" s="63" t="s">
        <v>99</v>
      </c>
      <c r="AF68" s="63" t="s">
        <v>99</v>
      </c>
      <c r="AG68" s="63" t="s">
        <v>23</v>
      </c>
      <c r="AH68" s="63" t="s">
        <v>23</v>
      </c>
      <c r="AI68" s="63" t="s">
        <v>99</v>
      </c>
      <c r="AJ68" s="63" t="s">
        <v>99</v>
      </c>
      <c r="AK68" s="63" t="s">
        <v>23</v>
      </c>
      <c r="AL68" s="63" t="s">
        <v>99</v>
      </c>
      <c r="AM68" s="63" t="s">
        <v>23</v>
      </c>
      <c r="AN68" s="63" t="s">
        <v>99</v>
      </c>
      <c r="AO68" s="63" t="s">
        <v>99</v>
      </c>
      <c r="AP68" s="63" t="s">
        <v>23</v>
      </c>
      <c r="AQ68" s="63" t="s">
        <v>23</v>
      </c>
      <c r="AR68" s="63" t="s">
        <v>99</v>
      </c>
      <c r="AS68" s="63" t="s">
        <v>99</v>
      </c>
      <c r="AT68" s="63" t="s">
        <v>99</v>
      </c>
      <c r="AU68" s="63" t="s">
        <v>99</v>
      </c>
      <c r="AV68" s="63" t="s">
        <v>99</v>
      </c>
      <c r="AW68" s="63" t="s">
        <v>99</v>
      </c>
      <c r="AX68" s="63" t="s">
        <v>99</v>
      </c>
      <c r="AY68" s="63" t="s">
        <v>99</v>
      </c>
      <c r="AZ68" s="63" t="s">
        <v>99</v>
      </c>
      <c r="BA68" s="63" t="s">
        <v>99</v>
      </c>
      <c r="BB68" s="63" t="s">
        <v>99</v>
      </c>
      <c r="BC68" s="63" t="s">
        <v>99</v>
      </c>
      <c r="BD68" s="63" t="s">
        <v>99</v>
      </c>
      <c r="BE68" s="63" t="s">
        <v>99</v>
      </c>
      <c r="BF68" s="63" t="s">
        <v>99</v>
      </c>
      <c r="BG68" s="63" t="s">
        <v>99</v>
      </c>
      <c r="BH68" s="63" t="s">
        <v>99</v>
      </c>
      <c r="BI68" s="63" t="s">
        <v>99</v>
      </c>
      <c r="BJ68" s="63" t="s">
        <v>99</v>
      </c>
      <c r="BK68" s="63" t="s">
        <v>99</v>
      </c>
      <c r="BL68" s="63" t="s">
        <v>99</v>
      </c>
      <c r="BM68" s="63" t="s">
        <v>99</v>
      </c>
      <c r="BN68" s="63" t="s">
        <v>99</v>
      </c>
      <c r="BO68" s="63" t="s">
        <v>99</v>
      </c>
      <c r="BP68" s="64" t="s">
        <v>99</v>
      </c>
    </row>
    <row r="69" spans="2:68">
      <c r="B69" s="58">
        <v>3</v>
      </c>
      <c r="C69" s="59">
        <v>10</v>
      </c>
      <c r="D69" s="59" t="s">
        <v>98</v>
      </c>
      <c r="E69" s="60">
        <f>'[1]Master File'!B68</f>
        <v>46082</v>
      </c>
      <c r="F69" s="61" t="str">
        <f>'[1]Master File'!C68</f>
        <v>Zoo</v>
      </c>
      <c r="G69" s="39"/>
      <c r="I69" s="56" t="s">
        <v>23</v>
      </c>
      <c r="J69" s="56" t="s">
        <v>23</v>
      </c>
      <c r="K69" s="56" t="s">
        <v>23</v>
      </c>
      <c r="L69" s="56" t="s">
        <v>23</v>
      </c>
      <c r="M69" s="56" t="s">
        <v>23</v>
      </c>
      <c r="N69" s="56" t="s">
        <v>23</v>
      </c>
      <c r="O69" s="56" t="s">
        <v>23</v>
      </c>
      <c r="P69" s="56" t="s">
        <v>23</v>
      </c>
      <c r="Q69" s="56" t="s">
        <v>23</v>
      </c>
      <c r="R69" s="63" t="s">
        <v>23</v>
      </c>
      <c r="S69" s="63" t="s">
        <v>99</v>
      </c>
      <c r="T69" s="63" t="s">
        <v>23</v>
      </c>
      <c r="U69" s="63" t="s">
        <v>99</v>
      </c>
      <c r="V69" s="63" t="s">
        <v>99</v>
      </c>
      <c r="W69" s="63" t="s">
        <v>99</v>
      </c>
      <c r="X69" s="63" t="s">
        <v>99</v>
      </c>
      <c r="Y69" s="56" t="s">
        <v>23</v>
      </c>
      <c r="Z69" s="63" t="s">
        <v>23</v>
      </c>
      <c r="AA69" s="63" t="s">
        <v>23</v>
      </c>
      <c r="AB69" s="63" t="s">
        <v>23</v>
      </c>
      <c r="AC69" s="63" t="s">
        <v>23</v>
      </c>
      <c r="AD69" s="63" t="s">
        <v>23</v>
      </c>
      <c r="AE69" s="63" t="s">
        <v>99</v>
      </c>
      <c r="AF69" s="63" t="s">
        <v>99</v>
      </c>
      <c r="AG69" s="63" t="s">
        <v>23</v>
      </c>
      <c r="AH69" s="63" t="s">
        <v>23</v>
      </c>
      <c r="AI69" s="63" t="s">
        <v>99</v>
      </c>
      <c r="AJ69" s="63" t="s">
        <v>99</v>
      </c>
      <c r="AK69" s="63" t="s">
        <v>23</v>
      </c>
      <c r="AL69" s="63" t="s">
        <v>99</v>
      </c>
      <c r="AM69" s="63" t="s">
        <v>23</v>
      </c>
      <c r="AN69" s="63" t="s">
        <v>99</v>
      </c>
      <c r="AO69" s="63" t="s">
        <v>99</v>
      </c>
      <c r="AP69" s="63" t="s">
        <v>23</v>
      </c>
      <c r="AQ69" s="63" t="s">
        <v>23</v>
      </c>
      <c r="AR69" s="63" t="s">
        <v>99</v>
      </c>
      <c r="AS69" s="63" t="s">
        <v>99</v>
      </c>
      <c r="AT69" s="63" t="s">
        <v>99</v>
      </c>
      <c r="AU69" s="63" t="s">
        <v>99</v>
      </c>
      <c r="AV69" s="63" t="s">
        <v>99</v>
      </c>
      <c r="AW69" s="63" t="s">
        <v>99</v>
      </c>
      <c r="AX69" s="63" t="s">
        <v>99</v>
      </c>
      <c r="AY69" s="63" t="s">
        <v>99</v>
      </c>
      <c r="AZ69" s="63" t="s">
        <v>99</v>
      </c>
      <c r="BA69" s="63" t="s">
        <v>99</v>
      </c>
      <c r="BB69" s="63" t="s">
        <v>99</v>
      </c>
      <c r="BC69" s="63" t="s">
        <v>99</v>
      </c>
      <c r="BD69" s="63" t="s">
        <v>99</v>
      </c>
      <c r="BE69" s="63" t="s">
        <v>99</v>
      </c>
      <c r="BF69" s="63" t="s">
        <v>99</v>
      </c>
      <c r="BG69" s="63" t="s">
        <v>99</v>
      </c>
      <c r="BH69" s="63" t="s">
        <v>99</v>
      </c>
      <c r="BI69" s="63" t="s">
        <v>99</v>
      </c>
      <c r="BJ69" s="63" t="s">
        <v>99</v>
      </c>
      <c r="BK69" s="63" t="s">
        <v>99</v>
      </c>
      <c r="BL69" s="63" t="s">
        <v>99</v>
      </c>
      <c r="BM69" s="63" t="s">
        <v>99</v>
      </c>
      <c r="BN69" s="63" t="s">
        <v>99</v>
      </c>
      <c r="BO69" s="63" t="s">
        <v>99</v>
      </c>
      <c r="BP69" s="64" t="s">
        <v>99</v>
      </c>
    </row>
    <row r="70" spans="2:68">
      <c r="B70" s="58">
        <v>3</v>
      </c>
      <c r="C70" s="59">
        <v>10</v>
      </c>
      <c r="D70" s="59" t="s">
        <v>100</v>
      </c>
      <c r="E70" s="60">
        <f>'[1]Master File'!B69</f>
        <v>46083</v>
      </c>
      <c r="F70" s="61" t="str">
        <f>'[1]Master File'!C69</f>
        <v>Closed</v>
      </c>
      <c r="G70" s="39"/>
      <c r="I70" s="56" t="s">
        <v>99</v>
      </c>
      <c r="J70" s="56" t="s">
        <v>99</v>
      </c>
      <c r="K70" s="56" t="s">
        <v>99</v>
      </c>
      <c r="L70" s="56" t="s">
        <v>23</v>
      </c>
      <c r="M70" s="56" t="s">
        <v>99</v>
      </c>
      <c r="N70" s="56" t="s">
        <v>99</v>
      </c>
      <c r="O70" s="56" t="s">
        <v>99</v>
      </c>
      <c r="P70" s="56" t="s">
        <v>99</v>
      </c>
      <c r="Q70" s="56" t="s">
        <v>99</v>
      </c>
      <c r="R70" s="56" t="s">
        <v>99</v>
      </c>
      <c r="S70" s="56" t="s">
        <v>99</v>
      </c>
      <c r="T70" s="56" t="s">
        <v>99</v>
      </c>
      <c r="U70" s="56" t="s">
        <v>99</v>
      </c>
      <c r="V70" s="56" t="s">
        <v>99</v>
      </c>
      <c r="W70" s="56" t="s">
        <v>99</v>
      </c>
      <c r="X70" s="56" t="s">
        <v>99</v>
      </c>
      <c r="Y70" s="56" t="s">
        <v>23</v>
      </c>
      <c r="Z70" s="56" t="s">
        <v>99</v>
      </c>
      <c r="AA70" s="56" t="s">
        <v>99</v>
      </c>
      <c r="AB70" s="56" t="s">
        <v>23</v>
      </c>
      <c r="AC70" s="56" t="s">
        <v>23</v>
      </c>
      <c r="AD70" s="56" t="s">
        <v>99</v>
      </c>
      <c r="AE70" s="56" t="s">
        <v>99</v>
      </c>
      <c r="AF70" s="56" t="s">
        <v>99</v>
      </c>
      <c r="AG70" s="56" t="s">
        <v>23</v>
      </c>
      <c r="AH70" s="56" t="s">
        <v>99</v>
      </c>
      <c r="AI70" s="56" t="s">
        <v>99</v>
      </c>
      <c r="AJ70" s="56" t="s">
        <v>99</v>
      </c>
      <c r="AK70" s="56" t="s">
        <v>23</v>
      </c>
      <c r="AL70" s="56" t="s">
        <v>99</v>
      </c>
      <c r="AM70" s="56" t="s">
        <v>99</v>
      </c>
      <c r="AN70" s="56" t="s">
        <v>99</v>
      </c>
      <c r="AO70" s="56" t="s">
        <v>99</v>
      </c>
      <c r="AP70" s="56" t="s">
        <v>99</v>
      </c>
      <c r="AQ70" s="56" t="s">
        <v>99</v>
      </c>
      <c r="AR70" s="56" t="s">
        <v>99</v>
      </c>
      <c r="AS70" s="56" t="s">
        <v>99</v>
      </c>
      <c r="AT70" s="56" t="s">
        <v>99</v>
      </c>
      <c r="AU70" s="56" t="s">
        <v>99</v>
      </c>
      <c r="AV70" s="56" t="s">
        <v>99</v>
      </c>
      <c r="AW70" s="56" t="s">
        <v>99</v>
      </c>
      <c r="AX70" s="56" t="s">
        <v>99</v>
      </c>
      <c r="AY70" s="56" t="s">
        <v>99</v>
      </c>
      <c r="AZ70" s="56" t="s">
        <v>99</v>
      </c>
      <c r="BA70" s="56" t="s">
        <v>99</v>
      </c>
      <c r="BB70" s="56" t="s">
        <v>99</v>
      </c>
      <c r="BC70" s="56" t="s">
        <v>99</v>
      </c>
      <c r="BD70" s="56" t="s">
        <v>99</v>
      </c>
      <c r="BE70" s="56" t="s">
        <v>99</v>
      </c>
      <c r="BF70" s="56" t="s">
        <v>99</v>
      </c>
      <c r="BG70" s="56" t="s">
        <v>99</v>
      </c>
      <c r="BH70" s="56" t="s">
        <v>99</v>
      </c>
      <c r="BI70" s="56" t="s">
        <v>99</v>
      </c>
      <c r="BJ70" s="56" t="s">
        <v>99</v>
      </c>
      <c r="BK70" s="56" t="s">
        <v>99</v>
      </c>
      <c r="BL70" s="56" t="s">
        <v>99</v>
      </c>
      <c r="BM70" s="56" t="s">
        <v>99</v>
      </c>
      <c r="BN70" s="56" t="s">
        <v>99</v>
      </c>
      <c r="BO70" s="56" t="s">
        <v>99</v>
      </c>
      <c r="BP70" s="62" t="s">
        <v>99</v>
      </c>
    </row>
    <row r="71" spans="2:68">
      <c r="B71" s="58">
        <v>3</v>
      </c>
      <c r="C71" s="59">
        <v>10</v>
      </c>
      <c r="D71" s="59" t="s">
        <v>101</v>
      </c>
      <c r="E71" s="60">
        <f>'[1]Master File'!B70</f>
        <v>46084</v>
      </c>
      <c r="F71" s="61" t="str">
        <f>'[1]Master File'!C70</f>
        <v>Closed</v>
      </c>
      <c r="G71" s="39"/>
      <c r="I71" s="56" t="s">
        <v>99</v>
      </c>
      <c r="J71" s="56" t="s">
        <v>99</v>
      </c>
      <c r="K71" s="56" t="s">
        <v>99</v>
      </c>
      <c r="L71" s="56" t="s">
        <v>23</v>
      </c>
      <c r="M71" s="56" t="s">
        <v>99</v>
      </c>
      <c r="N71" s="56" t="s">
        <v>99</v>
      </c>
      <c r="O71" s="56" t="s">
        <v>99</v>
      </c>
      <c r="P71" s="56" t="s">
        <v>99</v>
      </c>
      <c r="Q71" s="56" t="s">
        <v>99</v>
      </c>
      <c r="R71" s="56" t="s">
        <v>99</v>
      </c>
      <c r="S71" s="56" t="s">
        <v>99</v>
      </c>
      <c r="T71" s="56" t="s">
        <v>99</v>
      </c>
      <c r="U71" s="56" t="s">
        <v>99</v>
      </c>
      <c r="V71" s="56" t="s">
        <v>99</v>
      </c>
      <c r="W71" s="56" t="s">
        <v>99</v>
      </c>
      <c r="X71" s="56" t="s">
        <v>99</v>
      </c>
      <c r="Y71" s="56" t="s">
        <v>23</v>
      </c>
      <c r="Z71" s="56" t="s">
        <v>99</v>
      </c>
      <c r="AA71" s="56" t="s">
        <v>99</v>
      </c>
      <c r="AB71" s="56" t="s">
        <v>23</v>
      </c>
      <c r="AC71" s="56" t="s">
        <v>23</v>
      </c>
      <c r="AD71" s="56" t="s">
        <v>99</v>
      </c>
      <c r="AE71" s="56" t="s">
        <v>99</v>
      </c>
      <c r="AF71" s="56" t="s">
        <v>99</v>
      </c>
      <c r="AG71" s="56" t="s">
        <v>23</v>
      </c>
      <c r="AH71" s="56" t="s">
        <v>99</v>
      </c>
      <c r="AI71" s="56" t="s">
        <v>99</v>
      </c>
      <c r="AJ71" s="56" t="s">
        <v>99</v>
      </c>
      <c r="AK71" s="56" t="s">
        <v>23</v>
      </c>
      <c r="AL71" s="56" t="s">
        <v>99</v>
      </c>
      <c r="AM71" s="56" t="s">
        <v>99</v>
      </c>
      <c r="AN71" s="56" t="s">
        <v>99</v>
      </c>
      <c r="AO71" s="56" t="s">
        <v>99</v>
      </c>
      <c r="AP71" s="56" t="s">
        <v>99</v>
      </c>
      <c r="AQ71" s="56" t="s">
        <v>99</v>
      </c>
      <c r="AR71" s="56" t="s">
        <v>99</v>
      </c>
      <c r="AS71" s="56" t="s">
        <v>99</v>
      </c>
      <c r="AT71" s="56" t="s">
        <v>99</v>
      </c>
      <c r="AU71" s="56" t="s">
        <v>99</v>
      </c>
      <c r="AV71" s="56" t="s">
        <v>99</v>
      </c>
      <c r="AW71" s="56" t="s">
        <v>99</v>
      </c>
      <c r="AX71" s="56" t="s">
        <v>99</v>
      </c>
      <c r="AY71" s="56" t="s">
        <v>99</v>
      </c>
      <c r="AZ71" s="56" t="s">
        <v>99</v>
      </c>
      <c r="BA71" s="56" t="s">
        <v>99</v>
      </c>
      <c r="BB71" s="56" t="s">
        <v>99</v>
      </c>
      <c r="BC71" s="56" t="s">
        <v>99</v>
      </c>
      <c r="BD71" s="56" t="s">
        <v>99</v>
      </c>
      <c r="BE71" s="56" t="s">
        <v>99</v>
      </c>
      <c r="BF71" s="56" t="s">
        <v>99</v>
      </c>
      <c r="BG71" s="56" t="s">
        <v>99</v>
      </c>
      <c r="BH71" s="56" t="s">
        <v>99</v>
      </c>
      <c r="BI71" s="56" t="s">
        <v>99</v>
      </c>
      <c r="BJ71" s="56" t="s">
        <v>99</v>
      </c>
      <c r="BK71" s="56" t="s">
        <v>99</v>
      </c>
      <c r="BL71" s="56" t="s">
        <v>99</v>
      </c>
      <c r="BM71" s="56" t="s">
        <v>99</v>
      </c>
      <c r="BN71" s="56" t="s">
        <v>99</v>
      </c>
      <c r="BO71" s="56" t="s">
        <v>99</v>
      </c>
      <c r="BP71" s="62" t="s">
        <v>99</v>
      </c>
    </row>
    <row r="72" spans="2:68">
      <c r="B72" s="58">
        <v>3</v>
      </c>
      <c r="C72" s="59">
        <v>10</v>
      </c>
      <c r="D72" s="59" t="s">
        <v>102</v>
      </c>
      <c r="E72" s="60">
        <f>'[1]Master File'!B71</f>
        <v>46085</v>
      </c>
      <c r="F72" s="61" t="str">
        <f>'[1]Master File'!C71</f>
        <v>Closed</v>
      </c>
      <c r="G72" s="39"/>
      <c r="I72" s="56" t="s">
        <v>99</v>
      </c>
      <c r="J72" s="56" t="s">
        <v>99</v>
      </c>
      <c r="K72" s="56" t="s">
        <v>99</v>
      </c>
      <c r="L72" s="56" t="s">
        <v>23</v>
      </c>
      <c r="M72" s="56" t="s">
        <v>99</v>
      </c>
      <c r="N72" s="56" t="s">
        <v>99</v>
      </c>
      <c r="O72" s="56" t="s">
        <v>99</v>
      </c>
      <c r="P72" s="56" t="s">
        <v>99</v>
      </c>
      <c r="Q72" s="56" t="s">
        <v>99</v>
      </c>
      <c r="R72" s="56" t="s">
        <v>99</v>
      </c>
      <c r="S72" s="56" t="s">
        <v>99</v>
      </c>
      <c r="T72" s="56" t="s">
        <v>99</v>
      </c>
      <c r="U72" s="56" t="s">
        <v>99</v>
      </c>
      <c r="V72" s="56" t="s">
        <v>99</v>
      </c>
      <c r="W72" s="56" t="s">
        <v>99</v>
      </c>
      <c r="X72" s="56" t="s">
        <v>99</v>
      </c>
      <c r="Y72" s="56" t="s">
        <v>23</v>
      </c>
      <c r="Z72" s="56" t="s">
        <v>99</v>
      </c>
      <c r="AA72" s="56" t="s">
        <v>99</v>
      </c>
      <c r="AB72" s="56" t="s">
        <v>23</v>
      </c>
      <c r="AC72" s="56" t="s">
        <v>23</v>
      </c>
      <c r="AD72" s="56" t="s">
        <v>99</v>
      </c>
      <c r="AE72" s="56" t="s">
        <v>99</v>
      </c>
      <c r="AF72" s="56" t="s">
        <v>99</v>
      </c>
      <c r="AG72" s="56" t="s">
        <v>23</v>
      </c>
      <c r="AH72" s="56" t="s">
        <v>99</v>
      </c>
      <c r="AI72" s="56" t="s">
        <v>99</v>
      </c>
      <c r="AJ72" s="56" t="s">
        <v>99</v>
      </c>
      <c r="AK72" s="56" t="s">
        <v>23</v>
      </c>
      <c r="AL72" s="56" t="s">
        <v>99</v>
      </c>
      <c r="AM72" s="56" t="s">
        <v>99</v>
      </c>
      <c r="AN72" s="56" t="s">
        <v>99</v>
      </c>
      <c r="AO72" s="56" t="s">
        <v>99</v>
      </c>
      <c r="AP72" s="56" t="s">
        <v>99</v>
      </c>
      <c r="AQ72" s="56" t="s">
        <v>99</v>
      </c>
      <c r="AR72" s="56" t="s">
        <v>99</v>
      </c>
      <c r="AS72" s="56" t="s">
        <v>99</v>
      </c>
      <c r="AT72" s="56" t="s">
        <v>99</v>
      </c>
      <c r="AU72" s="56" t="s">
        <v>99</v>
      </c>
      <c r="AV72" s="56" t="s">
        <v>99</v>
      </c>
      <c r="AW72" s="56" t="s">
        <v>99</v>
      </c>
      <c r="AX72" s="56" t="s">
        <v>99</v>
      </c>
      <c r="AY72" s="56" t="s">
        <v>99</v>
      </c>
      <c r="AZ72" s="56" t="s">
        <v>99</v>
      </c>
      <c r="BA72" s="56" t="s">
        <v>99</v>
      </c>
      <c r="BB72" s="56" t="s">
        <v>99</v>
      </c>
      <c r="BC72" s="56" t="s">
        <v>99</v>
      </c>
      <c r="BD72" s="56" t="s">
        <v>99</v>
      </c>
      <c r="BE72" s="56" t="s">
        <v>99</v>
      </c>
      <c r="BF72" s="56" t="s">
        <v>99</v>
      </c>
      <c r="BG72" s="56" t="s">
        <v>99</v>
      </c>
      <c r="BH72" s="56" t="s">
        <v>99</v>
      </c>
      <c r="BI72" s="56" t="s">
        <v>99</v>
      </c>
      <c r="BJ72" s="56" t="s">
        <v>99</v>
      </c>
      <c r="BK72" s="56" t="s">
        <v>99</v>
      </c>
      <c r="BL72" s="56" t="s">
        <v>99</v>
      </c>
      <c r="BM72" s="56" t="s">
        <v>99</v>
      </c>
      <c r="BN72" s="56" t="s">
        <v>99</v>
      </c>
      <c r="BO72" s="56" t="s">
        <v>99</v>
      </c>
      <c r="BP72" s="62" t="s">
        <v>99</v>
      </c>
    </row>
    <row r="73" spans="2:68">
      <c r="B73" s="58">
        <v>3</v>
      </c>
      <c r="C73" s="59">
        <v>10</v>
      </c>
      <c r="D73" s="59" t="s">
        <v>103</v>
      </c>
      <c r="E73" s="60">
        <f>'[1]Master File'!B72</f>
        <v>46086</v>
      </c>
      <c r="F73" s="61" t="str">
        <f>'[1]Master File'!C72</f>
        <v>Closed</v>
      </c>
      <c r="G73" s="39"/>
      <c r="I73" s="56" t="s">
        <v>99</v>
      </c>
      <c r="J73" s="56" t="s">
        <v>99</v>
      </c>
      <c r="K73" s="56" t="s">
        <v>99</v>
      </c>
      <c r="L73" s="56" t="s">
        <v>23</v>
      </c>
      <c r="M73" s="56" t="s">
        <v>99</v>
      </c>
      <c r="N73" s="56" t="s">
        <v>99</v>
      </c>
      <c r="O73" s="56" t="s">
        <v>99</v>
      </c>
      <c r="P73" s="56" t="s">
        <v>99</v>
      </c>
      <c r="Q73" s="56" t="s">
        <v>99</v>
      </c>
      <c r="R73" s="56" t="s">
        <v>99</v>
      </c>
      <c r="S73" s="56" t="s">
        <v>99</v>
      </c>
      <c r="T73" s="56" t="s">
        <v>99</v>
      </c>
      <c r="U73" s="56" t="s">
        <v>99</v>
      </c>
      <c r="V73" s="56" t="s">
        <v>99</v>
      </c>
      <c r="W73" s="56" t="s">
        <v>99</v>
      </c>
      <c r="X73" s="56" t="s">
        <v>99</v>
      </c>
      <c r="Y73" s="56" t="s">
        <v>23</v>
      </c>
      <c r="Z73" s="56" t="s">
        <v>99</v>
      </c>
      <c r="AA73" s="56" t="s">
        <v>99</v>
      </c>
      <c r="AB73" s="56" t="s">
        <v>23</v>
      </c>
      <c r="AC73" s="56" t="s">
        <v>23</v>
      </c>
      <c r="AD73" s="56" t="s">
        <v>99</v>
      </c>
      <c r="AE73" s="56" t="s">
        <v>99</v>
      </c>
      <c r="AF73" s="56" t="s">
        <v>99</v>
      </c>
      <c r="AG73" s="56" t="s">
        <v>23</v>
      </c>
      <c r="AH73" s="56" t="s">
        <v>99</v>
      </c>
      <c r="AI73" s="56" t="s">
        <v>99</v>
      </c>
      <c r="AJ73" s="56" t="s">
        <v>99</v>
      </c>
      <c r="AK73" s="56" t="s">
        <v>23</v>
      </c>
      <c r="AL73" s="56" t="s">
        <v>99</v>
      </c>
      <c r="AM73" s="56" t="s">
        <v>99</v>
      </c>
      <c r="AN73" s="56" t="s">
        <v>99</v>
      </c>
      <c r="AO73" s="56" t="s">
        <v>99</v>
      </c>
      <c r="AP73" s="56" t="s">
        <v>99</v>
      </c>
      <c r="AQ73" s="56" t="s">
        <v>99</v>
      </c>
      <c r="AR73" s="56" t="s">
        <v>99</v>
      </c>
      <c r="AS73" s="56" t="s">
        <v>99</v>
      </c>
      <c r="AT73" s="56" t="s">
        <v>99</v>
      </c>
      <c r="AU73" s="56" t="s">
        <v>99</v>
      </c>
      <c r="AV73" s="56" t="s">
        <v>99</v>
      </c>
      <c r="AW73" s="56" t="s">
        <v>99</v>
      </c>
      <c r="AX73" s="56" t="s">
        <v>99</v>
      </c>
      <c r="AY73" s="56" t="s">
        <v>99</v>
      </c>
      <c r="AZ73" s="56" t="s">
        <v>99</v>
      </c>
      <c r="BA73" s="56" t="s">
        <v>99</v>
      </c>
      <c r="BB73" s="56" t="s">
        <v>99</v>
      </c>
      <c r="BC73" s="56" t="s">
        <v>99</v>
      </c>
      <c r="BD73" s="56" t="s">
        <v>99</v>
      </c>
      <c r="BE73" s="56" t="s">
        <v>99</v>
      </c>
      <c r="BF73" s="56" t="s">
        <v>99</v>
      </c>
      <c r="BG73" s="56" t="s">
        <v>99</v>
      </c>
      <c r="BH73" s="56" t="s">
        <v>99</v>
      </c>
      <c r="BI73" s="56" t="s">
        <v>99</v>
      </c>
      <c r="BJ73" s="56" t="s">
        <v>99</v>
      </c>
      <c r="BK73" s="56" t="s">
        <v>99</v>
      </c>
      <c r="BL73" s="56" t="s">
        <v>99</v>
      </c>
      <c r="BM73" s="56" t="s">
        <v>99</v>
      </c>
      <c r="BN73" s="56" t="s">
        <v>99</v>
      </c>
      <c r="BO73" s="56" t="s">
        <v>99</v>
      </c>
      <c r="BP73" s="62" t="s">
        <v>99</v>
      </c>
    </row>
    <row r="74" spans="2:68">
      <c r="B74" s="58">
        <v>3</v>
      </c>
      <c r="C74" s="59">
        <v>10</v>
      </c>
      <c r="D74" s="59" t="s">
        <v>104</v>
      </c>
      <c r="E74" s="60">
        <f>'[1]Master File'!B73</f>
        <v>46087</v>
      </c>
      <c r="F74" s="61" t="str">
        <f>'[1]Master File'!C73</f>
        <v>Closed</v>
      </c>
      <c r="G74" s="39"/>
      <c r="I74" s="56" t="s">
        <v>99</v>
      </c>
      <c r="J74" s="56" t="s">
        <v>99</v>
      </c>
      <c r="K74" s="56" t="s">
        <v>99</v>
      </c>
      <c r="L74" s="56" t="s">
        <v>23</v>
      </c>
      <c r="M74" s="56" t="s">
        <v>99</v>
      </c>
      <c r="N74" s="56" t="s">
        <v>99</v>
      </c>
      <c r="O74" s="56" t="s">
        <v>99</v>
      </c>
      <c r="P74" s="56" t="s">
        <v>99</v>
      </c>
      <c r="Q74" s="56" t="s">
        <v>99</v>
      </c>
      <c r="R74" s="56" t="s">
        <v>99</v>
      </c>
      <c r="S74" s="56" t="s">
        <v>99</v>
      </c>
      <c r="T74" s="56" t="s">
        <v>99</v>
      </c>
      <c r="U74" s="56" t="s">
        <v>99</v>
      </c>
      <c r="V74" s="56" t="s">
        <v>99</v>
      </c>
      <c r="W74" s="56" t="s">
        <v>99</v>
      </c>
      <c r="X74" s="56" t="s">
        <v>99</v>
      </c>
      <c r="Y74" s="56" t="s">
        <v>23</v>
      </c>
      <c r="Z74" s="56" t="s">
        <v>99</v>
      </c>
      <c r="AA74" s="56" t="s">
        <v>99</v>
      </c>
      <c r="AB74" s="56" t="s">
        <v>23</v>
      </c>
      <c r="AC74" s="56" t="s">
        <v>23</v>
      </c>
      <c r="AD74" s="56" t="s">
        <v>99</v>
      </c>
      <c r="AE74" s="56" t="s">
        <v>99</v>
      </c>
      <c r="AF74" s="56" t="s">
        <v>99</v>
      </c>
      <c r="AG74" s="56" t="s">
        <v>23</v>
      </c>
      <c r="AH74" s="56" t="s">
        <v>99</v>
      </c>
      <c r="AI74" s="56" t="s">
        <v>99</v>
      </c>
      <c r="AJ74" s="56" t="s">
        <v>99</v>
      </c>
      <c r="AK74" s="56" t="s">
        <v>23</v>
      </c>
      <c r="AL74" s="56" t="s">
        <v>99</v>
      </c>
      <c r="AM74" s="56" t="s">
        <v>99</v>
      </c>
      <c r="AN74" s="56" t="s">
        <v>99</v>
      </c>
      <c r="AO74" s="56" t="s">
        <v>99</v>
      </c>
      <c r="AP74" s="56" t="s">
        <v>99</v>
      </c>
      <c r="AQ74" s="56" t="s">
        <v>99</v>
      </c>
      <c r="AR74" s="56" t="s">
        <v>99</v>
      </c>
      <c r="AS74" s="56" t="s">
        <v>99</v>
      </c>
      <c r="AT74" s="56" t="s">
        <v>99</v>
      </c>
      <c r="AU74" s="56" t="s">
        <v>99</v>
      </c>
      <c r="AV74" s="56" t="s">
        <v>99</v>
      </c>
      <c r="AW74" s="56" t="s">
        <v>99</v>
      </c>
      <c r="AX74" s="56" t="s">
        <v>99</v>
      </c>
      <c r="AY74" s="56" t="s">
        <v>99</v>
      </c>
      <c r="AZ74" s="56" t="s">
        <v>99</v>
      </c>
      <c r="BA74" s="56" t="s">
        <v>99</v>
      </c>
      <c r="BB74" s="56" t="s">
        <v>99</v>
      </c>
      <c r="BC74" s="56" t="s">
        <v>99</v>
      </c>
      <c r="BD74" s="56" t="s">
        <v>99</v>
      </c>
      <c r="BE74" s="56" t="s">
        <v>99</v>
      </c>
      <c r="BF74" s="56" t="s">
        <v>99</v>
      </c>
      <c r="BG74" s="56" t="s">
        <v>99</v>
      </c>
      <c r="BH74" s="56" t="s">
        <v>99</v>
      </c>
      <c r="BI74" s="56" t="s">
        <v>99</v>
      </c>
      <c r="BJ74" s="56" t="s">
        <v>99</v>
      </c>
      <c r="BK74" s="56" t="s">
        <v>99</v>
      </c>
      <c r="BL74" s="56" t="s">
        <v>99</v>
      </c>
      <c r="BM74" s="56" t="s">
        <v>99</v>
      </c>
      <c r="BN74" s="56" t="s">
        <v>99</v>
      </c>
      <c r="BO74" s="56" t="s">
        <v>99</v>
      </c>
      <c r="BP74" s="62" t="s">
        <v>99</v>
      </c>
    </row>
    <row r="75" spans="2:68">
      <c r="B75" s="58">
        <v>3</v>
      </c>
      <c r="C75" s="59">
        <v>10</v>
      </c>
      <c r="D75" s="59" t="s">
        <v>105</v>
      </c>
      <c r="E75" s="60">
        <f>'[1]Master File'!B74</f>
        <v>46088</v>
      </c>
      <c r="F75" s="61" t="str">
        <f>'[1]Master File'!C74</f>
        <v>Zoo</v>
      </c>
      <c r="G75" s="39"/>
      <c r="I75" s="56" t="s">
        <v>23</v>
      </c>
      <c r="J75" s="56" t="s">
        <v>23</v>
      </c>
      <c r="K75" s="56" t="s">
        <v>23</v>
      </c>
      <c r="L75" s="56" t="s">
        <v>23</v>
      </c>
      <c r="M75" s="56" t="s">
        <v>23</v>
      </c>
      <c r="N75" s="56" t="s">
        <v>23</v>
      </c>
      <c r="O75" s="56" t="s">
        <v>23</v>
      </c>
      <c r="P75" s="56" t="s">
        <v>23</v>
      </c>
      <c r="Q75" s="56" t="s">
        <v>23</v>
      </c>
      <c r="R75" s="63" t="s">
        <v>23</v>
      </c>
      <c r="S75" s="63" t="s">
        <v>99</v>
      </c>
      <c r="T75" s="63" t="s">
        <v>23</v>
      </c>
      <c r="U75" s="63" t="s">
        <v>99</v>
      </c>
      <c r="V75" s="63" t="s">
        <v>99</v>
      </c>
      <c r="W75" s="63" t="s">
        <v>99</v>
      </c>
      <c r="X75" s="63" t="s">
        <v>99</v>
      </c>
      <c r="Y75" s="56" t="s">
        <v>23</v>
      </c>
      <c r="Z75" s="63" t="s">
        <v>23</v>
      </c>
      <c r="AA75" s="63" t="s">
        <v>23</v>
      </c>
      <c r="AB75" s="63" t="s">
        <v>23</v>
      </c>
      <c r="AC75" s="63" t="s">
        <v>23</v>
      </c>
      <c r="AD75" s="63" t="s">
        <v>23</v>
      </c>
      <c r="AE75" s="63" t="s">
        <v>99</v>
      </c>
      <c r="AF75" s="63" t="s">
        <v>99</v>
      </c>
      <c r="AG75" s="63" t="s">
        <v>23</v>
      </c>
      <c r="AH75" s="63" t="s">
        <v>23</v>
      </c>
      <c r="AI75" s="63" t="s">
        <v>99</v>
      </c>
      <c r="AJ75" s="63" t="s">
        <v>99</v>
      </c>
      <c r="AK75" s="63" t="s">
        <v>23</v>
      </c>
      <c r="AL75" s="63" t="s">
        <v>99</v>
      </c>
      <c r="AM75" s="63" t="s">
        <v>23</v>
      </c>
      <c r="AN75" s="63" t="s">
        <v>99</v>
      </c>
      <c r="AO75" s="63" t="s">
        <v>99</v>
      </c>
      <c r="AP75" s="63" t="s">
        <v>23</v>
      </c>
      <c r="AQ75" s="63" t="s">
        <v>23</v>
      </c>
      <c r="AR75" s="63" t="s">
        <v>99</v>
      </c>
      <c r="AS75" s="63" t="s">
        <v>99</v>
      </c>
      <c r="AT75" s="63" t="s">
        <v>99</v>
      </c>
      <c r="AU75" s="63" t="s">
        <v>99</v>
      </c>
      <c r="AV75" s="63" t="s">
        <v>99</v>
      </c>
      <c r="AW75" s="63" t="s">
        <v>99</v>
      </c>
      <c r="AX75" s="63" t="s">
        <v>99</v>
      </c>
      <c r="AY75" s="63" t="s">
        <v>99</v>
      </c>
      <c r="AZ75" s="63" t="s">
        <v>99</v>
      </c>
      <c r="BA75" s="63" t="s">
        <v>99</v>
      </c>
      <c r="BB75" s="63" t="s">
        <v>99</v>
      </c>
      <c r="BC75" s="63" t="s">
        <v>99</v>
      </c>
      <c r="BD75" s="63" t="s">
        <v>99</v>
      </c>
      <c r="BE75" s="63" t="s">
        <v>99</v>
      </c>
      <c r="BF75" s="63" t="s">
        <v>99</v>
      </c>
      <c r="BG75" s="63" t="s">
        <v>99</v>
      </c>
      <c r="BH75" s="63" t="s">
        <v>99</v>
      </c>
      <c r="BI75" s="63" t="s">
        <v>99</v>
      </c>
      <c r="BJ75" s="63" t="s">
        <v>99</v>
      </c>
      <c r="BK75" s="63" t="s">
        <v>99</v>
      </c>
      <c r="BL75" s="63" t="s">
        <v>99</v>
      </c>
      <c r="BM75" s="63" t="s">
        <v>99</v>
      </c>
      <c r="BN75" s="63" t="s">
        <v>99</v>
      </c>
      <c r="BO75" s="63" t="s">
        <v>99</v>
      </c>
      <c r="BP75" s="64" t="s">
        <v>99</v>
      </c>
    </row>
    <row r="76" spans="2:68">
      <c r="B76" s="58">
        <v>3</v>
      </c>
      <c r="C76" s="59">
        <v>11</v>
      </c>
      <c r="D76" s="59" t="s">
        <v>98</v>
      </c>
      <c r="E76" s="60">
        <f>'[1]Master File'!B75</f>
        <v>46089</v>
      </c>
      <c r="F76" s="61" t="str">
        <f>'[1]Master File'!C75</f>
        <v>Zoo</v>
      </c>
      <c r="G76" s="39"/>
      <c r="I76" s="56" t="s">
        <v>23</v>
      </c>
      <c r="J76" s="56" t="s">
        <v>23</v>
      </c>
      <c r="K76" s="56" t="s">
        <v>23</v>
      </c>
      <c r="L76" s="56" t="s">
        <v>23</v>
      </c>
      <c r="M76" s="56" t="s">
        <v>23</v>
      </c>
      <c r="N76" s="56" t="s">
        <v>23</v>
      </c>
      <c r="O76" s="56" t="s">
        <v>23</v>
      </c>
      <c r="P76" s="56" t="s">
        <v>23</v>
      </c>
      <c r="Q76" s="56" t="s">
        <v>23</v>
      </c>
      <c r="R76" s="63" t="s">
        <v>23</v>
      </c>
      <c r="S76" s="63" t="s">
        <v>99</v>
      </c>
      <c r="T76" s="63" t="s">
        <v>23</v>
      </c>
      <c r="U76" s="63" t="s">
        <v>99</v>
      </c>
      <c r="V76" s="63" t="s">
        <v>99</v>
      </c>
      <c r="W76" s="63" t="s">
        <v>99</v>
      </c>
      <c r="X76" s="63" t="s">
        <v>99</v>
      </c>
      <c r="Y76" s="56" t="s">
        <v>23</v>
      </c>
      <c r="Z76" s="63" t="s">
        <v>23</v>
      </c>
      <c r="AA76" s="63" t="s">
        <v>23</v>
      </c>
      <c r="AB76" s="63" t="s">
        <v>23</v>
      </c>
      <c r="AC76" s="63" t="s">
        <v>23</v>
      </c>
      <c r="AD76" s="63" t="s">
        <v>23</v>
      </c>
      <c r="AE76" s="63" t="s">
        <v>99</v>
      </c>
      <c r="AF76" s="63" t="s">
        <v>99</v>
      </c>
      <c r="AG76" s="63" t="s">
        <v>23</v>
      </c>
      <c r="AH76" s="63" t="s">
        <v>23</v>
      </c>
      <c r="AI76" s="63" t="s">
        <v>99</v>
      </c>
      <c r="AJ76" s="63" t="s">
        <v>99</v>
      </c>
      <c r="AK76" s="63" t="s">
        <v>23</v>
      </c>
      <c r="AL76" s="63" t="s">
        <v>99</v>
      </c>
      <c r="AM76" s="63" t="s">
        <v>23</v>
      </c>
      <c r="AN76" s="63" t="s">
        <v>99</v>
      </c>
      <c r="AO76" s="63" t="s">
        <v>99</v>
      </c>
      <c r="AP76" s="63" t="s">
        <v>23</v>
      </c>
      <c r="AQ76" s="63" t="s">
        <v>23</v>
      </c>
      <c r="AR76" s="63" t="s">
        <v>99</v>
      </c>
      <c r="AS76" s="63" t="s">
        <v>99</v>
      </c>
      <c r="AT76" s="63" t="s">
        <v>99</v>
      </c>
      <c r="AU76" s="63" t="s">
        <v>99</v>
      </c>
      <c r="AV76" s="63" t="s">
        <v>99</v>
      </c>
      <c r="AW76" s="63" t="s">
        <v>99</v>
      </c>
      <c r="AX76" s="63" t="s">
        <v>99</v>
      </c>
      <c r="AY76" s="63" t="s">
        <v>99</v>
      </c>
      <c r="AZ76" s="63" t="s">
        <v>99</v>
      </c>
      <c r="BA76" s="63" t="s">
        <v>99</v>
      </c>
      <c r="BB76" s="63" t="s">
        <v>99</v>
      </c>
      <c r="BC76" s="63" t="s">
        <v>99</v>
      </c>
      <c r="BD76" s="63" t="s">
        <v>99</v>
      </c>
      <c r="BE76" s="63" t="s">
        <v>99</v>
      </c>
      <c r="BF76" s="63" t="s">
        <v>99</v>
      </c>
      <c r="BG76" s="63" t="s">
        <v>99</v>
      </c>
      <c r="BH76" s="63" t="s">
        <v>99</v>
      </c>
      <c r="BI76" s="63" t="s">
        <v>99</v>
      </c>
      <c r="BJ76" s="63" t="s">
        <v>99</v>
      </c>
      <c r="BK76" s="63" t="s">
        <v>99</v>
      </c>
      <c r="BL76" s="63" t="s">
        <v>99</v>
      </c>
      <c r="BM76" s="63" t="s">
        <v>99</v>
      </c>
      <c r="BN76" s="63" t="s">
        <v>99</v>
      </c>
      <c r="BO76" s="63" t="s">
        <v>99</v>
      </c>
      <c r="BP76" s="64" t="s">
        <v>99</v>
      </c>
    </row>
    <row r="77" spans="2:68">
      <c r="B77" s="58">
        <v>3</v>
      </c>
      <c r="C77" s="59">
        <v>11</v>
      </c>
      <c r="D77" s="59" t="s">
        <v>100</v>
      </c>
      <c r="E77" s="60">
        <f>'[1]Master File'!B76</f>
        <v>46090</v>
      </c>
      <c r="F77" s="61" t="str">
        <f>'[1]Master File'!C76</f>
        <v>Closed</v>
      </c>
      <c r="G77" s="39"/>
      <c r="I77" s="56" t="s">
        <v>99</v>
      </c>
      <c r="J77" s="56" t="s">
        <v>99</v>
      </c>
      <c r="K77" s="56" t="s">
        <v>99</v>
      </c>
      <c r="L77" s="56" t="s">
        <v>23</v>
      </c>
      <c r="M77" s="56" t="s">
        <v>99</v>
      </c>
      <c r="N77" s="56" t="s">
        <v>99</v>
      </c>
      <c r="O77" s="56" t="s">
        <v>99</v>
      </c>
      <c r="P77" s="56" t="s">
        <v>99</v>
      </c>
      <c r="Q77" s="56" t="s">
        <v>99</v>
      </c>
      <c r="R77" s="56" t="s">
        <v>99</v>
      </c>
      <c r="S77" s="56" t="s">
        <v>99</v>
      </c>
      <c r="T77" s="56" t="s">
        <v>99</v>
      </c>
      <c r="U77" s="56" t="s">
        <v>99</v>
      </c>
      <c r="V77" s="56" t="s">
        <v>99</v>
      </c>
      <c r="W77" s="56" t="s">
        <v>99</v>
      </c>
      <c r="X77" s="56" t="s">
        <v>99</v>
      </c>
      <c r="Y77" s="56" t="s">
        <v>23</v>
      </c>
      <c r="Z77" s="56" t="s">
        <v>99</v>
      </c>
      <c r="AA77" s="56" t="s">
        <v>99</v>
      </c>
      <c r="AB77" s="56" t="s">
        <v>23</v>
      </c>
      <c r="AC77" s="56" t="s">
        <v>23</v>
      </c>
      <c r="AD77" s="56" t="s">
        <v>99</v>
      </c>
      <c r="AE77" s="56" t="s">
        <v>99</v>
      </c>
      <c r="AF77" s="56" t="s">
        <v>99</v>
      </c>
      <c r="AG77" s="56" t="s">
        <v>23</v>
      </c>
      <c r="AH77" s="56" t="s">
        <v>99</v>
      </c>
      <c r="AI77" s="56" t="s">
        <v>99</v>
      </c>
      <c r="AJ77" s="56" t="s">
        <v>99</v>
      </c>
      <c r="AK77" s="56" t="s">
        <v>23</v>
      </c>
      <c r="AL77" s="56" t="s">
        <v>99</v>
      </c>
      <c r="AM77" s="56" t="s">
        <v>99</v>
      </c>
      <c r="AN77" s="56" t="s">
        <v>99</v>
      </c>
      <c r="AO77" s="56" t="s">
        <v>99</v>
      </c>
      <c r="AP77" s="56" t="s">
        <v>99</v>
      </c>
      <c r="AQ77" s="56" t="s">
        <v>99</v>
      </c>
      <c r="AR77" s="56" t="s">
        <v>99</v>
      </c>
      <c r="AS77" s="56" t="s">
        <v>99</v>
      </c>
      <c r="AT77" s="56" t="s">
        <v>99</v>
      </c>
      <c r="AU77" s="56" t="s">
        <v>99</v>
      </c>
      <c r="AV77" s="56" t="s">
        <v>99</v>
      </c>
      <c r="AW77" s="56" t="s">
        <v>99</v>
      </c>
      <c r="AX77" s="56" t="s">
        <v>99</v>
      </c>
      <c r="AY77" s="56" t="s">
        <v>99</v>
      </c>
      <c r="AZ77" s="56" t="s">
        <v>99</v>
      </c>
      <c r="BA77" s="56" t="s">
        <v>99</v>
      </c>
      <c r="BB77" s="56" t="s">
        <v>99</v>
      </c>
      <c r="BC77" s="56" t="s">
        <v>99</v>
      </c>
      <c r="BD77" s="56" t="s">
        <v>99</v>
      </c>
      <c r="BE77" s="56" t="s">
        <v>99</v>
      </c>
      <c r="BF77" s="56" t="s">
        <v>99</v>
      </c>
      <c r="BG77" s="56" t="s">
        <v>99</v>
      </c>
      <c r="BH77" s="56" t="s">
        <v>99</v>
      </c>
      <c r="BI77" s="56" t="s">
        <v>99</v>
      </c>
      <c r="BJ77" s="56" t="s">
        <v>99</v>
      </c>
      <c r="BK77" s="56" t="s">
        <v>99</v>
      </c>
      <c r="BL77" s="56" t="s">
        <v>99</v>
      </c>
      <c r="BM77" s="56" t="s">
        <v>99</v>
      </c>
      <c r="BN77" s="56" t="s">
        <v>99</v>
      </c>
      <c r="BO77" s="56" t="s">
        <v>99</v>
      </c>
      <c r="BP77" s="62" t="s">
        <v>99</v>
      </c>
    </row>
    <row r="78" spans="2:68">
      <c r="B78" s="58">
        <v>3</v>
      </c>
      <c r="C78" s="59">
        <v>11</v>
      </c>
      <c r="D78" s="59" t="s">
        <v>101</v>
      </c>
      <c r="E78" s="60">
        <f>'[1]Master File'!B77</f>
        <v>46091</v>
      </c>
      <c r="F78" s="61" t="str">
        <f>'[1]Master File'!C77</f>
        <v>Closed</v>
      </c>
      <c r="G78" s="39"/>
      <c r="I78" s="56" t="s">
        <v>99</v>
      </c>
      <c r="J78" s="56" t="s">
        <v>99</v>
      </c>
      <c r="K78" s="56" t="s">
        <v>99</v>
      </c>
      <c r="L78" s="56" t="s">
        <v>23</v>
      </c>
      <c r="M78" s="56" t="s">
        <v>99</v>
      </c>
      <c r="N78" s="56" t="s">
        <v>99</v>
      </c>
      <c r="O78" s="56" t="s">
        <v>99</v>
      </c>
      <c r="P78" s="56" t="s">
        <v>99</v>
      </c>
      <c r="Q78" s="56" t="s">
        <v>99</v>
      </c>
      <c r="R78" s="56" t="s">
        <v>99</v>
      </c>
      <c r="S78" s="56" t="s">
        <v>99</v>
      </c>
      <c r="T78" s="56" t="s">
        <v>99</v>
      </c>
      <c r="U78" s="56" t="s">
        <v>99</v>
      </c>
      <c r="V78" s="56" t="s">
        <v>99</v>
      </c>
      <c r="W78" s="56" t="s">
        <v>99</v>
      </c>
      <c r="X78" s="56" t="s">
        <v>99</v>
      </c>
      <c r="Y78" s="56" t="s">
        <v>23</v>
      </c>
      <c r="Z78" s="56" t="s">
        <v>99</v>
      </c>
      <c r="AA78" s="56" t="s">
        <v>99</v>
      </c>
      <c r="AB78" s="56" t="s">
        <v>23</v>
      </c>
      <c r="AC78" s="56" t="s">
        <v>23</v>
      </c>
      <c r="AD78" s="56" t="s">
        <v>99</v>
      </c>
      <c r="AE78" s="56" t="s">
        <v>99</v>
      </c>
      <c r="AF78" s="56" t="s">
        <v>99</v>
      </c>
      <c r="AG78" s="56" t="s">
        <v>23</v>
      </c>
      <c r="AH78" s="56" t="s">
        <v>99</v>
      </c>
      <c r="AI78" s="56" t="s">
        <v>99</v>
      </c>
      <c r="AJ78" s="56" t="s">
        <v>99</v>
      </c>
      <c r="AK78" s="56" t="s">
        <v>23</v>
      </c>
      <c r="AL78" s="56" t="s">
        <v>99</v>
      </c>
      <c r="AM78" s="56" t="s">
        <v>99</v>
      </c>
      <c r="AN78" s="56" t="s">
        <v>99</v>
      </c>
      <c r="AO78" s="56" t="s">
        <v>99</v>
      </c>
      <c r="AP78" s="56" t="s">
        <v>99</v>
      </c>
      <c r="AQ78" s="56" t="s">
        <v>99</v>
      </c>
      <c r="AR78" s="56" t="s">
        <v>99</v>
      </c>
      <c r="AS78" s="56" t="s">
        <v>99</v>
      </c>
      <c r="AT78" s="56" t="s">
        <v>99</v>
      </c>
      <c r="AU78" s="56" t="s">
        <v>99</v>
      </c>
      <c r="AV78" s="56" t="s">
        <v>99</v>
      </c>
      <c r="AW78" s="56" t="s">
        <v>99</v>
      </c>
      <c r="AX78" s="56" t="s">
        <v>99</v>
      </c>
      <c r="AY78" s="56" t="s">
        <v>99</v>
      </c>
      <c r="AZ78" s="56" t="s">
        <v>99</v>
      </c>
      <c r="BA78" s="56" t="s">
        <v>99</v>
      </c>
      <c r="BB78" s="56" t="s">
        <v>99</v>
      </c>
      <c r="BC78" s="56" t="s">
        <v>99</v>
      </c>
      <c r="BD78" s="56" t="s">
        <v>99</v>
      </c>
      <c r="BE78" s="56" t="s">
        <v>99</v>
      </c>
      <c r="BF78" s="56" t="s">
        <v>99</v>
      </c>
      <c r="BG78" s="56" t="s">
        <v>99</v>
      </c>
      <c r="BH78" s="56" t="s">
        <v>99</v>
      </c>
      <c r="BI78" s="56" t="s">
        <v>99</v>
      </c>
      <c r="BJ78" s="56" t="s">
        <v>99</v>
      </c>
      <c r="BK78" s="56" t="s">
        <v>99</v>
      </c>
      <c r="BL78" s="56" t="s">
        <v>99</v>
      </c>
      <c r="BM78" s="56" t="s">
        <v>99</v>
      </c>
      <c r="BN78" s="56" t="s">
        <v>99</v>
      </c>
      <c r="BO78" s="56" t="s">
        <v>99</v>
      </c>
      <c r="BP78" s="62" t="s">
        <v>99</v>
      </c>
    </row>
    <row r="79" spans="2:68">
      <c r="B79" s="58">
        <v>3</v>
      </c>
      <c r="C79" s="59">
        <v>11</v>
      </c>
      <c r="D79" s="59" t="s">
        <v>102</v>
      </c>
      <c r="E79" s="60">
        <f>'[1]Master File'!B78</f>
        <v>46092</v>
      </c>
      <c r="F79" s="61" t="str">
        <f>'[1]Master File'!C78</f>
        <v>Closed</v>
      </c>
      <c r="G79" s="39"/>
      <c r="I79" s="56" t="s">
        <v>99</v>
      </c>
      <c r="J79" s="56" t="s">
        <v>99</v>
      </c>
      <c r="K79" s="56" t="s">
        <v>99</v>
      </c>
      <c r="L79" s="56" t="s">
        <v>23</v>
      </c>
      <c r="M79" s="56" t="s">
        <v>99</v>
      </c>
      <c r="N79" s="56" t="s">
        <v>99</v>
      </c>
      <c r="O79" s="56" t="s">
        <v>99</v>
      </c>
      <c r="P79" s="56" t="s">
        <v>99</v>
      </c>
      <c r="Q79" s="56" t="s">
        <v>99</v>
      </c>
      <c r="R79" s="56" t="s">
        <v>99</v>
      </c>
      <c r="S79" s="56" t="s">
        <v>99</v>
      </c>
      <c r="T79" s="56" t="s">
        <v>99</v>
      </c>
      <c r="U79" s="56" t="s">
        <v>99</v>
      </c>
      <c r="V79" s="56" t="s">
        <v>99</v>
      </c>
      <c r="W79" s="56" t="s">
        <v>99</v>
      </c>
      <c r="X79" s="56" t="s">
        <v>99</v>
      </c>
      <c r="Y79" s="56" t="s">
        <v>23</v>
      </c>
      <c r="Z79" s="56" t="s">
        <v>99</v>
      </c>
      <c r="AA79" s="56" t="s">
        <v>99</v>
      </c>
      <c r="AB79" s="56" t="s">
        <v>23</v>
      </c>
      <c r="AC79" s="56" t="s">
        <v>23</v>
      </c>
      <c r="AD79" s="56" t="s">
        <v>99</v>
      </c>
      <c r="AE79" s="56" t="s">
        <v>99</v>
      </c>
      <c r="AF79" s="56" t="s">
        <v>99</v>
      </c>
      <c r="AG79" s="56" t="s">
        <v>23</v>
      </c>
      <c r="AH79" s="56" t="s">
        <v>99</v>
      </c>
      <c r="AI79" s="56" t="s">
        <v>99</v>
      </c>
      <c r="AJ79" s="56" t="s">
        <v>99</v>
      </c>
      <c r="AK79" s="56" t="s">
        <v>23</v>
      </c>
      <c r="AL79" s="56" t="s">
        <v>99</v>
      </c>
      <c r="AM79" s="56" t="s">
        <v>99</v>
      </c>
      <c r="AN79" s="56" t="s">
        <v>99</v>
      </c>
      <c r="AO79" s="56" t="s">
        <v>99</v>
      </c>
      <c r="AP79" s="56" t="s">
        <v>99</v>
      </c>
      <c r="AQ79" s="56" t="s">
        <v>99</v>
      </c>
      <c r="AR79" s="56" t="s">
        <v>99</v>
      </c>
      <c r="AS79" s="56" t="s">
        <v>99</v>
      </c>
      <c r="AT79" s="56" t="s">
        <v>99</v>
      </c>
      <c r="AU79" s="56" t="s">
        <v>99</v>
      </c>
      <c r="AV79" s="56" t="s">
        <v>99</v>
      </c>
      <c r="AW79" s="56" t="s">
        <v>99</v>
      </c>
      <c r="AX79" s="56" t="s">
        <v>99</v>
      </c>
      <c r="AY79" s="56" t="s">
        <v>99</v>
      </c>
      <c r="AZ79" s="56" t="s">
        <v>99</v>
      </c>
      <c r="BA79" s="56" t="s">
        <v>99</v>
      </c>
      <c r="BB79" s="56" t="s">
        <v>99</v>
      </c>
      <c r="BC79" s="56" t="s">
        <v>99</v>
      </c>
      <c r="BD79" s="56" t="s">
        <v>99</v>
      </c>
      <c r="BE79" s="56" t="s">
        <v>99</v>
      </c>
      <c r="BF79" s="56" t="s">
        <v>99</v>
      </c>
      <c r="BG79" s="56" t="s">
        <v>99</v>
      </c>
      <c r="BH79" s="56" t="s">
        <v>99</v>
      </c>
      <c r="BI79" s="56" t="s">
        <v>99</v>
      </c>
      <c r="BJ79" s="56" t="s">
        <v>99</v>
      </c>
      <c r="BK79" s="56" t="s">
        <v>99</v>
      </c>
      <c r="BL79" s="56" t="s">
        <v>99</v>
      </c>
      <c r="BM79" s="56" t="s">
        <v>99</v>
      </c>
      <c r="BN79" s="56" t="s">
        <v>99</v>
      </c>
      <c r="BO79" s="56" t="s">
        <v>99</v>
      </c>
      <c r="BP79" s="62" t="s">
        <v>99</v>
      </c>
    </row>
    <row r="80" spans="2:68">
      <c r="B80" s="58">
        <v>3</v>
      </c>
      <c r="C80" s="59">
        <v>11</v>
      </c>
      <c r="D80" s="59" t="s">
        <v>103</v>
      </c>
      <c r="E80" s="60">
        <f>'[1]Master File'!B79</f>
        <v>46093</v>
      </c>
      <c r="F80" s="61" t="str">
        <f>'[1]Master File'!C79</f>
        <v>Closed</v>
      </c>
      <c r="G80" s="39"/>
      <c r="I80" s="56" t="s">
        <v>99</v>
      </c>
      <c r="J80" s="56" t="s">
        <v>99</v>
      </c>
      <c r="K80" s="56" t="s">
        <v>99</v>
      </c>
      <c r="L80" s="56" t="s">
        <v>23</v>
      </c>
      <c r="M80" s="56" t="s">
        <v>99</v>
      </c>
      <c r="N80" s="56" t="s">
        <v>99</v>
      </c>
      <c r="O80" s="56" t="s">
        <v>99</v>
      </c>
      <c r="P80" s="56" t="s">
        <v>99</v>
      </c>
      <c r="Q80" s="56" t="s">
        <v>99</v>
      </c>
      <c r="R80" s="56" t="s">
        <v>99</v>
      </c>
      <c r="S80" s="56" t="s">
        <v>99</v>
      </c>
      <c r="T80" s="56" t="s">
        <v>99</v>
      </c>
      <c r="U80" s="56" t="s">
        <v>99</v>
      </c>
      <c r="V80" s="56" t="s">
        <v>99</v>
      </c>
      <c r="W80" s="56" t="s">
        <v>99</v>
      </c>
      <c r="X80" s="56" t="s">
        <v>99</v>
      </c>
      <c r="Y80" s="56" t="s">
        <v>23</v>
      </c>
      <c r="Z80" s="56" t="s">
        <v>99</v>
      </c>
      <c r="AA80" s="56" t="s">
        <v>99</v>
      </c>
      <c r="AB80" s="56" t="s">
        <v>23</v>
      </c>
      <c r="AC80" s="56" t="s">
        <v>23</v>
      </c>
      <c r="AD80" s="56" t="s">
        <v>99</v>
      </c>
      <c r="AE80" s="56" t="s">
        <v>99</v>
      </c>
      <c r="AF80" s="56" t="s">
        <v>99</v>
      </c>
      <c r="AG80" s="56" t="s">
        <v>23</v>
      </c>
      <c r="AH80" s="56" t="s">
        <v>99</v>
      </c>
      <c r="AI80" s="56" t="s">
        <v>99</v>
      </c>
      <c r="AJ80" s="56" t="s">
        <v>99</v>
      </c>
      <c r="AK80" s="56" t="s">
        <v>23</v>
      </c>
      <c r="AL80" s="56" t="s">
        <v>99</v>
      </c>
      <c r="AM80" s="56" t="s">
        <v>99</v>
      </c>
      <c r="AN80" s="56" t="s">
        <v>99</v>
      </c>
      <c r="AO80" s="56" t="s">
        <v>99</v>
      </c>
      <c r="AP80" s="56" t="s">
        <v>99</v>
      </c>
      <c r="AQ80" s="56" t="s">
        <v>99</v>
      </c>
      <c r="AR80" s="56" t="s">
        <v>99</v>
      </c>
      <c r="AS80" s="56" t="s">
        <v>99</v>
      </c>
      <c r="AT80" s="56" t="s">
        <v>99</v>
      </c>
      <c r="AU80" s="56" t="s">
        <v>99</v>
      </c>
      <c r="AV80" s="56" t="s">
        <v>99</v>
      </c>
      <c r="AW80" s="56" t="s">
        <v>99</v>
      </c>
      <c r="AX80" s="56" t="s">
        <v>99</v>
      </c>
      <c r="AY80" s="56" t="s">
        <v>99</v>
      </c>
      <c r="AZ80" s="56" t="s">
        <v>99</v>
      </c>
      <c r="BA80" s="56" t="s">
        <v>99</v>
      </c>
      <c r="BB80" s="56" t="s">
        <v>99</v>
      </c>
      <c r="BC80" s="56" t="s">
        <v>99</v>
      </c>
      <c r="BD80" s="56" t="s">
        <v>99</v>
      </c>
      <c r="BE80" s="56" t="s">
        <v>99</v>
      </c>
      <c r="BF80" s="56" t="s">
        <v>99</v>
      </c>
      <c r="BG80" s="56" t="s">
        <v>99</v>
      </c>
      <c r="BH80" s="56" t="s">
        <v>99</v>
      </c>
      <c r="BI80" s="56" t="s">
        <v>99</v>
      </c>
      <c r="BJ80" s="56" t="s">
        <v>99</v>
      </c>
      <c r="BK80" s="56" t="s">
        <v>99</v>
      </c>
      <c r="BL80" s="56" t="s">
        <v>99</v>
      </c>
      <c r="BM80" s="56" t="s">
        <v>99</v>
      </c>
      <c r="BN80" s="56" t="s">
        <v>99</v>
      </c>
      <c r="BO80" s="56" t="s">
        <v>99</v>
      </c>
      <c r="BP80" s="62" t="s">
        <v>99</v>
      </c>
    </row>
    <row r="81" spans="2:68">
      <c r="B81" s="58">
        <v>3</v>
      </c>
      <c r="C81" s="59">
        <v>11</v>
      </c>
      <c r="D81" s="59" t="s">
        <v>104</v>
      </c>
      <c r="E81" s="60">
        <f>'[1]Master File'!B80</f>
        <v>46094</v>
      </c>
      <c r="F81" s="61" t="str">
        <f>'[1]Master File'!C80</f>
        <v>Closed</v>
      </c>
      <c r="G81" s="39"/>
      <c r="I81" s="56" t="s">
        <v>99</v>
      </c>
      <c r="J81" s="56" t="s">
        <v>99</v>
      </c>
      <c r="K81" s="56" t="s">
        <v>99</v>
      </c>
      <c r="L81" s="56" t="s">
        <v>23</v>
      </c>
      <c r="M81" s="56" t="s">
        <v>99</v>
      </c>
      <c r="N81" s="56" t="s">
        <v>99</v>
      </c>
      <c r="O81" s="56" t="s">
        <v>99</v>
      </c>
      <c r="P81" s="56" t="s">
        <v>99</v>
      </c>
      <c r="Q81" s="56" t="s">
        <v>99</v>
      </c>
      <c r="R81" s="56" t="s">
        <v>99</v>
      </c>
      <c r="S81" s="56" t="s">
        <v>99</v>
      </c>
      <c r="T81" s="56" t="s">
        <v>99</v>
      </c>
      <c r="U81" s="56" t="s">
        <v>99</v>
      </c>
      <c r="V81" s="56" t="s">
        <v>99</v>
      </c>
      <c r="W81" s="56" t="s">
        <v>99</v>
      </c>
      <c r="X81" s="56" t="s">
        <v>99</v>
      </c>
      <c r="Y81" s="56" t="s">
        <v>23</v>
      </c>
      <c r="Z81" s="56" t="s">
        <v>99</v>
      </c>
      <c r="AA81" s="56" t="s">
        <v>99</v>
      </c>
      <c r="AB81" s="56" t="s">
        <v>23</v>
      </c>
      <c r="AC81" s="56" t="s">
        <v>23</v>
      </c>
      <c r="AD81" s="56" t="s">
        <v>99</v>
      </c>
      <c r="AE81" s="56" t="s">
        <v>99</v>
      </c>
      <c r="AF81" s="56" t="s">
        <v>99</v>
      </c>
      <c r="AG81" s="56" t="s">
        <v>23</v>
      </c>
      <c r="AH81" s="56" t="s">
        <v>99</v>
      </c>
      <c r="AI81" s="56" t="s">
        <v>99</v>
      </c>
      <c r="AJ81" s="56" t="s">
        <v>99</v>
      </c>
      <c r="AK81" s="56" t="s">
        <v>23</v>
      </c>
      <c r="AL81" s="56" t="s">
        <v>99</v>
      </c>
      <c r="AM81" s="56" t="s">
        <v>99</v>
      </c>
      <c r="AN81" s="56" t="s">
        <v>99</v>
      </c>
      <c r="AO81" s="56" t="s">
        <v>99</v>
      </c>
      <c r="AP81" s="56" t="s">
        <v>99</v>
      </c>
      <c r="AQ81" s="56" t="s">
        <v>99</v>
      </c>
      <c r="AR81" s="56" t="s">
        <v>99</v>
      </c>
      <c r="AS81" s="56" t="s">
        <v>99</v>
      </c>
      <c r="AT81" s="56" t="s">
        <v>99</v>
      </c>
      <c r="AU81" s="56" t="s">
        <v>99</v>
      </c>
      <c r="AV81" s="56" t="s">
        <v>99</v>
      </c>
      <c r="AW81" s="56" t="s">
        <v>99</v>
      </c>
      <c r="AX81" s="56" t="s">
        <v>99</v>
      </c>
      <c r="AY81" s="56" t="s">
        <v>99</v>
      </c>
      <c r="AZ81" s="56" t="s">
        <v>99</v>
      </c>
      <c r="BA81" s="56" t="s">
        <v>99</v>
      </c>
      <c r="BB81" s="56" t="s">
        <v>99</v>
      </c>
      <c r="BC81" s="56" t="s">
        <v>99</v>
      </c>
      <c r="BD81" s="56" t="s">
        <v>99</v>
      </c>
      <c r="BE81" s="56" t="s">
        <v>99</v>
      </c>
      <c r="BF81" s="56" t="s">
        <v>99</v>
      </c>
      <c r="BG81" s="56" t="s">
        <v>99</v>
      </c>
      <c r="BH81" s="56" t="s">
        <v>99</v>
      </c>
      <c r="BI81" s="56" t="s">
        <v>99</v>
      </c>
      <c r="BJ81" s="56" t="s">
        <v>99</v>
      </c>
      <c r="BK81" s="56" t="s">
        <v>99</v>
      </c>
      <c r="BL81" s="56" t="s">
        <v>99</v>
      </c>
      <c r="BM81" s="56" t="s">
        <v>99</v>
      </c>
      <c r="BN81" s="56" t="s">
        <v>99</v>
      </c>
      <c r="BO81" s="56" t="s">
        <v>99</v>
      </c>
      <c r="BP81" s="62" t="s">
        <v>99</v>
      </c>
    </row>
    <row r="82" spans="2:68">
      <c r="B82" s="58">
        <v>3</v>
      </c>
      <c r="C82" s="59">
        <v>11</v>
      </c>
      <c r="D82" s="59" t="s">
        <v>105</v>
      </c>
      <c r="E82" s="60">
        <f>'[1]Master File'!B81</f>
        <v>46095</v>
      </c>
      <c r="F82" s="61" t="str">
        <f>'[1]Master File'!C81</f>
        <v>Lodge 4PM</v>
      </c>
      <c r="G82" s="39"/>
      <c r="I82" s="63" t="s">
        <v>99</v>
      </c>
      <c r="J82" s="63" t="s">
        <v>99</v>
      </c>
      <c r="K82" s="63" t="s">
        <v>99</v>
      </c>
      <c r="L82" s="63" t="s">
        <v>23</v>
      </c>
      <c r="M82" s="63" t="s">
        <v>99</v>
      </c>
      <c r="N82" s="63" t="s">
        <v>99</v>
      </c>
      <c r="O82" s="63" t="s">
        <v>99</v>
      </c>
      <c r="P82" s="63" t="s">
        <v>99</v>
      </c>
      <c r="Q82" s="63" t="s">
        <v>99</v>
      </c>
      <c r="R82" s="63" t="s">
        <v>99</v>
      </c>
      <c r="S82" s="63" t="s">
        <v>99</v>
      </c>
      <c r="T82" s="63" t="s">
        <v>99</v>
      </c>
      <c r="U82" s="63" t="s">
        <v>99</v>
      </c>
      <c r="V82" s="63" t="s">
        <v>99</v>
      </c>
      <c r="W82" s="63" t="s">
        <v>99</v>
      </c>
      <c r="X82" s="63" t="s">
        <v>99</v>
      </c>
      <c r="Y82" s="56" t="s">
        <v>23</v>
      </c>
      <c r="Z82" s="63" t="s">
        <v>99</v>
      </c>
      <c r="AA82" s="63" t="s">
        <v>99</v>
      </c>
      <c r="AB82" s="63" t="s">
        <v>99</v>
      </c>
      <c r="AC82" s="63" t="s">
        <v>23</v>
      </c>
      <c r="AD82" s="63" t="s">
        <v>99</v>
      </c>
      <c r="AE82" s="63" t="s">
        <v>99</v>
      </c>
      <c r="AF82" s="63" t="s">
        <v>99</v>
      </c>
      <c r="AG82" s="63" t="s">
        <v>23</v>
      </c>
      <c r="AH82" s="63" t="s">
        <v>99</v>
      </c>
      <c r="AI82" s="63" t="s">
        <v>99</v>
      </c>
      <c r="AJ82" s="63" t="s">
        <v>99</v>
      </c>
      <c r="AK82" s="63" t="s">
        <v>23</v>
      </c>
      <c r="AL82" s="63" t="s">
        <v>99</v>
      </c>
      <c r="AM82" s="63" t="s">
        <v>99</v>
      </c>
      <c r="AN82" s="63" t="s">
        <v>99</v>
      </c>
      <c r="AO82" s="63" t="s">
        <v>99</v>
      </c>
      <c r="AP82" s="63" t="s">
        <v>99</v>
      </c>
      <c r="AQ82" s="63" t="s">
        <v>23</v>
      </c>
      <c r="AR82" s="63" t="s">
        <v>99</v>
      </c>
      <c r="AS82" s="63" t="s">
        <v>99</v>
      </c>
      <c r="AT82" s="63" t="s">
        <v>99</v>
      </c>
      <c r="AU82" s="63" t="s">
        <v>99</v>
      </c>
      <c r="AV82" s="63" t="s">
        <v>99</v>
      </c>
      <c r="AW82" s="63" t="s">
        <v>99</v>
      </c>
      <c r="AX82" s="63" t="s">
        <v>99</v>
      </c>
      <c r="AY82" s="63" t="s">
        <v>99</v>
      </c>
      <c r="AZ82" s="63" t="s">
        <v>99</v>
      </c>
      <c r="BA82" s="63" t="s">
        <v>99</v>
      </c>
      <c r="BB82" s="63" t="s">
        <v>99</v>
      </c>
      <c r="BC82" s="63" t="s">
        <v>99</v>
      </c>
      <c r="BD82" s="63" t="s">
        <v>99</v>
      </c>
      <c r="BE82" s="63" t="s">
        <v>99</v>
      </c>
      <c r="BF82" s="63" t="s">
        <v>99</v>
      </c>
      <c r="BG82" s="63" t="s">
        <v>99</v>
      </c>
      <c r="BH82" s="63" t="s">
        <v>99</v>
      </c>
      <c r="BI82" s="63" t="s">
        <v>99</v>
      </c>
      <c r="BJ82" s="63" t="s">
        <v>99</v>
      </c>
      <c r="BK82" s="63" t="s">
        <v>99</v>
      </c>
      <c r="BL82" s="63" t="s">
        <v>99</v>
      </c>
      <c r="BM82" s="63" t="s">
        <v>99</v>
      </c>
      <c r="BN82" s="63" t="s">
        <v>99</v>
      </c>
      <c r="BO82" s="63" t="s">
        <v>99</v>
      </c>
      <c r="BP82" s="64" t="s">
        <v>99</v>
      </c>
    </row>
    <row r="83" spans="2:68">
      <c r="B83" s="58">
        <v>3</v>
      </c>
      <c r="C83" s="59">
        <v>12</v>
      </c>
      <c r="D83" s="59" t="s">
        <v>98</v>
      </c>
      <c r="E83" s="60">
        <f>'[1]Master File'!B82</f>
        <v>46096</v>
      </c>
      <c r="F83" s="61" t="str">
        <f>'[1]Master File'!C82</f>
        <v>Explorer 5PM</v>
      </c>
      <c r="G83" s="39"/>
      <c r="I83" s="63" t="s">
        <v>99</v>
      </c>
      <c r="J83" s="63" t="s">
        <v>99</v>
      </c>
      <c r="K83" s="63" t="s">
        <v>99</v>
      </c>
      <c r="L83" s="63" t="s">
        <v>23</v>
      </c>
      <c r="M83" s="63" t="s">
        <v>99</v>
      </c>
      <c r="N83" s="63" t="s">
        <v>99</v>
      </c>
      <c r="O83" s="63" t="s">
        <v>99</v>
      </c>
      <c r="P83" s="63" t="s">
        <v>99</v>
      </c>
      <c r="Q83" s="63" t="s">
        <v>99</v>
      </c>
      <c r="R83" s="63" t="s">
        <v>99</v>
      </c>
      <c r="S83" s="63" t="s">
        <v>99</v>
      </c>
      <c r="T83" s="63" t="s">
        <v>99</v>
      </c>
      <c r="U83" s="63" t="s">
        <v>99</v>
      </c>
      <c r="V83" s="63" t="s">
        <v>99</v>
      </c>
      <c r="W83" s="63" t="s">
        <v>99</v>
      </c>
      <c r="X83" s="63" t="s">
        <v>99</v>
      </c>
      <c r="Y83" s="56" t="s">
        <v>23</v>
      </c>
      <c r="Z83" s="63" t="s">
        <v>99</v>
      </c>
      <c r="AA83" s="63" t="s">
        <v>99</v>
      </c>
      <c r="AB83" s="63" t="s">
        <v>99</v>
      </c>
      <c r="AC83" s="63" t="s">
        <v>23</v>
      </c>
      <c r="AD83" s="63" t="s">
        <v>99</v>
      </c>
      <c r="AE83" s="63" t="s">
        <v>99</v>
      </c>
      <c r="AF83" s="63" t="s">
        <v>99</v>
      </c>
      <c r="AG83" s="63" t="s">
        <v>23</v>
      </c>
      <c r="AH83" s="63" t="s">
        <v>99</v>
      </c>
      <c r="AI83" s="63" t="s">
        <v>99</v>
      </c>
      <c r="AJ83" s="63" t="s">
        <v>99</v>
      </c>
      <c r="AK83" s="63" t="s">
        <v>23</v>
      </c>
      <c r="AL83" s="63" t="s">
        <v>99</v>
      </c>
      <c r="AM83" s="63" t="s">
        <v>99</v>
      </c>
      <c r="AN83" s="63" t="s">
        <v>99</v>
      </c>
      <c r="AO83" s="63" t="s">
        <v>99</v>
      </c>
      <c r="AP83" s="63" t="s">
        <v>99</v>
      </c>
      <c r="AQ83" s="63" t="s">
        <v>23</v>
      </c>
      <c r="AR83" s="63" t="s">
        <v>99</v>
      </c>
      <c r="AS83" s="63" t="s">
        <v>99</v>
      </c>
      <c r="AT83" s="63" t="s">
        <v>99</v>
      </c>
      <c r="AU83" s="63" t="s">
        <v>99</v>
      </c>
      <c r="AV83" s="63" t="s">
        <v>99</v>
      </c>
      <c r="AW83" s="63" t="s">
        <v>99</v>
      </c>
      <c r="AX83" s="63" t="s">
        <v>99</v>
      </c>
      <c r="AY83" s="63" t="s">
        <v>99</v>
      </c>
      <c r="AZ83" s="63" t="s">
        <v>99</v>
      </c>
      <c r="BA83" s="63" t="s">
        <v>99</v>
      </c>
      <c r="BB83" s="63" t="s">
        <v>99</v>
      </c>
      <c r="BC83" s="63" t="s">
        <v>99</v>
      </c>
      <c r="BD83" s="63" t="s">
        <v>99</v>
      </c>
      <c r="BE83" s="63" t="s">
        <v>99</v>
      </c>
      <c r="BF83" s="63" t="s">
        <v>99</v>
      </c>
      <c r="BG83" s="63" t="s">
        <v>99</v>
      </c>
      <c r="BH83" s="63" t="s">
        <v>99</v>
      </c>
      <c r="BI83" s="63" t="s">
        <v>99</v>
      </c>
      <c r="BJ83" s="63" t="s">
        <v>99</v>
      </c>
      <c r="BK83" s="63" t="s">
        <v>99</v>
      </c>
      <c r="BL83" s="63" t="s">
        <v>99</v>
      </c>
      <c r="BM83" s="63" t="s">
        <v>99</v>
      </c>
      <c r="BN83" s="63" t="s">
        <v>99</v>
      </c>
      <c r="BO83" s="63" t="s">
        <v>99</v>
      </c>
      <c r="BP83" s="64" t="s">
        <v>99</v>
      </c>
    </row>
    <row r="84" spans="2:68">
      <c r="B84" s="58">
        <v>3</v>
      </c>
      <c r="C84" s="59">
        <v>12</v>
      </c>
      <c r="D84" s="59" t="s">
        <v>100</v>
      </c>
      <c r="E84" s="60">
        <f>'[1]Master File'!B83</f>
        <v>46097</v>
      </c>
      <c r="F84" s="61" t="str">
        <f>'[1]Master File'!C83</f>
        <v>Closed</v>
      </c>
      <c r="G84" s="39"/>
      <c r="I84" s="56" t="s">
        <v>99</v>
      </c>
      <c r="J84" s="56" t="s">
        <v>99</v>
      </c>
      <c r="K84" s="56" t="s">
        <v>99</v>
      </c>
      <c r="L84" s="56" t="s">
        <v>23</v>
      </c>
      <c r="M84" s="56" t="s">
        <v>99</v>
      </c>
      <c r="N84" s="56" t="s">
        <v>99</v>
      </c>
      <c r="O84" s="56" t="s">
        <v>99</v>
      </c>
      <c r="P84" s="56" t="s">
        <v>99</v>
      </c>
      <c r="Q84" s="56" t="s">
        <v>99</v>
      </c>
      <c r="R84" s="56" t="s">
        <v>99</v>
      </c>
      <c r="S84" s="56" t="s">
        <v>99</v>
      </c>
      <c r="T84" s="56" t="s">
        <v>99</v>
      </c>
      <c r="U84" s="56" t="s">
        <v>99</v>
      </c>
      <c r="V84" s="56" t="s">
        <v>99</v>
      </c>
      <c r="W84" s="56" t="s">
        <v>99</v>
      </c>
      <c r="X84" s="56" t="s">
        <v>99</v>
      </c>
      <c r="Y84" s="56" t="s">
        <v>23</v>
      </c>
      <c r="Z84" s="56" t="s">
        <v>99</v>
      </c>
      <c r="AA84" s="56" t="s">
        <v>99</v>
      </c>
      <c r="AB84" s="56" t="s">
        <v>23</v>
      </c>
      <c r="AC84" s="56" t="s">
        <v>23</v>
      </c>
      <c r="AD84" s="56" t="s">
        <v>99</v>
      </c>
      <c r="AE84" s="56" t="s">
        <v>99</v>
      </c>
      <c r="AF84" s="56" t="s">
        <v>99</v>
      </c>
      <c r="AG84" s="56" t="s">
        <v>23</v>
      </c>
      <c r="AH84" s="56" t="s">
        <v>99</v>
      </c>
      <c r="AI84" s="56" t="s">
        <v>99</v>
      </c>
      <c r="AJ84" s="56" t="s">
        <v>99</v>
      </c>
      <c r="AK84" s="56" t="s">
        <v>23</v>
      </c>
      <c r="AL84" s="56" t="s">
        <v>99</v>
      </c>
      <c r="AM84" s="56" t="s">
        <v>99</v>
      </c>
      <c r="AN84" s="56" t="s">
        <v>99</v>
      </c>
      <c r="AO84" s="56" t="s">
        <v>99</v>
      </c>
      <c r="AP84" s="56" t="s">
        <v>99</v>
      </c>
      <c r="AQ84" s="56" t="s">
        <v>99</v>
      </c>
      <c r="AR84" s="56" t="s">
        <v>99</v>
      </c>
      <c r="AS84" s="56" t="s">
        <v>99</v>
      </c>
      <c r="AT84" s="56" t="s">
        <v>99</v>
      </c>
      <c r="AU84" s="56" t="s">
        <v>99</v>
      </c>
      <c r="AV84" s="56" t="s">
        <v>99</v>
      </c>
      <c r="AW84" s="56" t="s">
        <v>99</v>
      </c>
      <c r="AX84" s="56" t="s">
        <v>99</v>
      </c>
      <c r="AY84" s="56" t="s">
        <v>99</v>
      </c>
      <c r="AZ84" s="56" t="s">
        <v>99</v>
      </c>
      <c r="BA84" s="56" t="s">
        <v>99</v>
      </c>
      <c r="BB84" s="56" t="s">
        <v>99</v>
      </c>
      <c r="BC84" s="56" t="s">
        <v>99</v>
      </c>
      <c r="BD84" s="56" t="s">
        <v>99</v>
      </c>
      <c r="BE84" s="56" t="s">
        <v>99</v>
      </c>
      <c r="BF84" s="56" t="s">
        <v>99</v>
      </c>
      <c r="BG84" s="56" t="s">
        <v>99</v>
      </c>
      <c r="BH84" s="56" t="s">
        <v>99</v>
      </c>
      <c r="BI84" s="56" t="s">
        <v>99</v>
      </c>
      <c r="BJ84" s="56" t="s">
        <v>99</v>
      </c>
      <c r="BK84" s="56" t="s">
        <v>99</v>
      </c>
      <c r="BL84" s="56" t="s">
        <v>99</v>
      </c>
      <c r="BM84" s="56" t="s">
        <v>99</v>
      </c>
      <c r="BN84" s="56" t="s">
        <v>99</v>
      </c>
      <c r="BO84" s="56" t="s">
        <v>99</v>
      </c>
      <c r="BP84" s="62" t="s">
        <v>99</v>
      </c>
    </row>
    <row r="85" spans="2:68">
      <c r="B85" s="58">
        <v>3</v>
      </c>
      <c r="C85" s="59">
        <v>12</v>
      </c>
      <c r="D85" s="59" t="s">
        <v>101</v>
      </c>
      <c r="E85" s="60">
        <f>'[1]Master File'!B84</f>
        <v>46098</v>
      </c>
      <c r="F85" s="61" t="str">
        <f>'[1]Master File'!C84</f>
        <v>Closed</v>
      </c>
      <c r="G85" s="39"/>
      <c r="I85" s="56" t="s">
        <v>99</v>
      </c>
      <c r="J85" s="56" t="s">
        <v>99</v>
      </c>
      <c r="K85" s="56" t="s">
        <v>99</v>
      </c>
      <c r="L85" s="56" t="s">
        <v>23</v>
      </c>
      <c r="M85" s="56" t="s">
        <v>99</v>
      </c>
      <c r="N85" s="56" t="s">
        <v>99</v>
      </c>
      <c r="O85" s="56" t="s">
        <v>99</v>
      </c>
      <c r="P85" s="56" t="s">
        <v>99</v>
      </c>
      <c r="Q85" s="56" t="s">
        <v>99</v>
      </c>
      <c r="R85" s="56" t="s">
        <v>99</v>
      </c>
      <c r="S85" s="56" t="s">
        <v>99</v>
      </c>
      <c r="T85" s="56" t="s">
        <v>99</v>
      </c>
      <c r="U85" s="56" t="s">
        <v>99</v>
      </c>
      <c r="V85" s="56" t="s">
        <v>99</v>
      </c>
      <c r="W85" s="56" t="s">
        <v>99</v>
      </c>
      <c r="X85" s="56" t="s">
        <v>99</v>
      </c>
      <c r="Y85" s="56" t="s">
        <v>23</v>
      </c>
      <c r="Z85" s="56" t="s">
        <v>99</v>
      </c>
      <c r="AA85" s="56" t="s">
        <v>99</v>
      </c>
      <c r="AB85" s="56" t="s">
        <v>23</v>
      </c>
      <c r="AC85" s="56" t="s">
        <v>23</v>
      </c>
      <c r="AD85" s="56" t="s">
        <v>99</v>
      </c>
      <c r="AE85" s="56" t="s">
        <v>99</v>
      </c>
      <c r="AF85" s="56" t="s">
        <v>99</v>
      </c>
      <c r="AG85" s="56" t="s">
        <v>23</v>
      </c>
      <c r="AH85" s="56" t="s">
        <v>99</v>
      </c>
      <c r="AI85" s="56" t="s">
        <v>99</v>
      </c>
      <c r="AJ85" s="56" t="s">
        <v>99</v>
      </c>
      <c r="AK85" s="56" t="s">
        <v>23</v>
      </c>
      <c r="AL85" s="56" t="s">
        <v>99</v>
      </c>
      <c r="AM85" s="56" t="s">
        <v>99</v>
      </c>
      <c r="AN85" s="56" t="s">
        <v>99</v>
      </c>
      <c r="AO85" s="56" t="s">
        <v>99</v>
      </c>
      <c r="AP85" s="56" t="s">
        <v>99</v>
      </c>
      <c r="AQ85" s="56" t="s">
        <v>99</v>
      </c>
      <c r="AR85" s="56" t="s">
        <v>99</v>
      </c>
      <c r="AS85" s="56" t="s">
        <v>99</v>
      </c>
      <c r="AT85" s="56" t="s">
        <v>99</v>
      </c>
      <c r="AU85" s="56" t="s">
        <v>99</v>
      </c>
      <c r="AV85" s="56" t="s">
        <v>99</v>
      </c>
      <c r="AW85" s="56" t="s">
        <v>99</v>
      </c>
      <c r="AX85" s="56" t="s">
        <v>99</v>
      </c>
      <c r="AY85" s="56" t="s">
        <v>99</v>
      </c>
      <c r="AZ85" s="56" t="s">
        <v>99</v>
      </c>
      <c r="BA85" s="56" t="s">
        <v>99</v>
      </c>
      <c r="BB85" s="56" t="s">
        <v>99</v>
      </c>
      <c r="BC85" s="56" t="s">
        <v>99</v>
      </c>
      <c r="BD85" s="56" t="s">
        <v>99</v>
      </c>
      <c r="BE85" s="56" t="s">
        <v>99</v>
      </c>
      <c r="BF85" s="56" t="s">
        <v>99</v>
      </c>
      <c r="BG85" s="56" t="s">
        <v>99</v>
      </c>
      <c r="BH85" s="56" t="s">
        <v>99</v>
      </c>
      <c r="BI85" s="56" t="s">
        <v>99</v>
      </c>
      <c r="BJ85" s="56" t="s">
        <v>99</v>
      </c>
      <c r="BK85" s="56" t="s">
        <v>99</v>
      </c>
      <c r="BL85" s="56" t="s">
        <v>99</v>
      </c>
      <c r="BM85" s="56" t="s">
        <v>99</v>
      </c>
      <c r="BN85" s="56" t="s">
        <v>99</v>
      </c>
      <c r="BO85" s="56" t="s">
        <v>99</v>
      </c>
      <c r="BP85" s="62" t="s">
        <v>99</v>
      </c>
    </row>
    <row r="86" spans="2:68">
      <c r="B86" s="58">
        <v>3</v>
      </c>
      <c r="C86" s="59">
        <v>12</v>
      </c>
      <c r="D86" s="59" t="s">
        <v>102</v>
      </c>
      <c r="E86" s="60">
        <f>'[1]Master File'!B85</f>
        <v>46099</v>
      </c>
      <c r="F86" s="61" t="str">
        <f>'[1]Master File'!C85</f>
        <v>Closed</v>
      </c>
      <c r="G86" s="39"/>
      <c r="I86" s="56" t="s">
        <v>99</v>
      </c>
      <c r="J86" s="56" t="s">
        <v>99</v>
      </c>
      <c r="K86" s="56" t="s">
        <v>99</v>
      </c>
      <c r="L86" s="56" t="s">
        <v>23</v>
      </c>
      <c r="M86" s="56" t="s">
        <v>99</v>
      </c>
      <c r="N86" s="56" t="s">
        <v>99</v>
      </c>
      <c r="O86" s="56" t="s">
        <v>99</v>
      </c>
      <c r="P86" s="56" t="s">
        <v>99</v>
      </c>
      <c r="Q86" s="56" t="s">
        <v>99</v>
      </c>
      <c r="R86" s="56" t="s">
        <v>99</v>
      </c>
      <c r="S86" s="56" t="s">
        <v>99</v>
      </c>
      <c r="T86" s="56" t="s">
        <v>99</v>
      </c>
      <c r="U86" s="56" t="s">
        <v>99</v>
      </c>
      <c r="V86" s="56" t="s">
        <v>99</v>
      </c>
      <c r="W86" s="56" t="s">
        <v>99</v>
      </c>
      <c r="X86" s="56" t="s">
        <v>99</v>
      </c>
      <c r="Y86" s="56" t="s">
        <v>23</v>
      </c>
      <c r="Z86" s="56" t="s">
        <v>99</v>
      </c>
      <c r="AA86" s="56" t="s">
        <v>99</v>
      </c>
      <c r="AB86" s="56" t="s">
        <v>23</v>
      </c>
      <c r="AC86" s="56" t="s">
        <v>23</v>
      </c>
      <c r="AD86" s="56" t="s">
        <v>99</v>
      </c>
      <c r="AE86" s="56" t="s">
        <v>99</v>
      </c>
      <c r="AF86" s="56" t="s">
        <v>99</v>
      </c>
      <c r="AG86" s="56" t="s">
        <v>23</v>
      </c>
      <c r="AH86" s="56" t="s">
        <v>99</v>
      </c>
      <c r="AI86" s="56" t="s">
        <v>99</v>
      </c>
      <c r="AJ86" s="56" t="s">
        <v>99</v>
      </c>
      <c r="AK86" s="56" t="s">
        <v>23</v>
      </c>
      <c r="AL86" s="56" t="s">
        <v>99</v>
      </c>
      <c r="AM86" s="56" t="s">
        <v>99</v>
      </c>
      <c r="AN86" s="56" t="s">
        <v>99</v>
      </c>
      <c r="AO86" s="56" t="s">
        <v>99</v>
      </c>
      <c r="AP86" s="56" t="s">
        <v>99</v>
      </c>
      <c r="AQ86" s="56" t="s">
        <v>99</v>
      </c>
      <c r="AR86" s="56" t="s">
        <v>99</v>
      </c>
      <c r="AS86" s="56" t="s">
        <v>99</v>
      </c>
      <c r="AT86" s="56" t="s">
        <v>99</v>
      </c>
      <c r="AU86" s="56" t="s">
        <v>99</v>
      </c>
      <c r="AV86" s="56" t="s">
        <v>99</v>
      </c>
      <c r="AW86" s="56" t="s">
        <v>99</v>
      </c>
      <c r="AX86" s="56" t="s">
        <v>99</v>
      </c>
      <c r="AY86" s="56" t="s">
        <v>99</v>
      </c>
      <c r="AZ86" s="56" t="s">
        <v>99</v>
      </c>
      <c r="BA86" s="56" t="s">
        <v>99</v>
      </c>
      <c r="BB86" s="56" t="s">
        <v>99</v>
      </c>
      <c r="BC86" s="56" t="s">
        <v>99</v>
      </c>
      <c r="BD86" s="56" t="s">
        <v>99</v>
      </c>
      <c r="BE86" s="56" t="s">
        <v>99</v>
      </c>
      <c r="BF86" s="56" t="s">
        <v>99</v>
      </c>
      <c r="BG86" s="56" t="s">
        <v>99</v>
      </c>
      <c r="BH86" s="56" t="s">
        <v>99</v>
      </c>
      <c r="BI86" s="56" t="s">
        <v>99</v>
      </c>
      <c r="BJ86" s="56" t="s">
        <v>99</v>
      </c>
      <c r="BK86" s="56" t="s">
        <v>99</v>
      </c>
      <c r="BL86" s="56" t="s">
        <v>99</v>
      </c>
      <c r="BM86" s="56" t="s">
        <v>99</v>
      </c>
      <c r="BN86" s="56" t="s">
        <v>99</v>
      </c>
      <c r="BO86" s="56" t="s">
        <v>99</v>
      </c>
      <c r="BP86" s="62" t="s">
        <v>99</v>
      </c>
    </row>
    <row r="87" spans="2:68">
      <c r="B87" s="58">
        <v>3</v>
      </c>
      <c r="C87" s="59">
        <v>12</v>
      </c>
      <c r="D87" s="59" t="s">
        <v>103</v>
      </c>
      <c r="E87" s="60">
        <f>'[1]Master File'!B86</f>
        <v>46100</v>
      </c>
      <c r="F87" s="61" t="str">
        <f>'[1]Master File'!C86</f>
        <v>Closed</v>
      </c>
      <c r="G87" s="39"/>
      <c r="I87" s="56" t="s">
        <v>99</v>
      </c>
      <c r="J87" s="56" t="s">
        <v>99</v>
      </c>
      <c r="K87" s="56" t="s">
        <v>99</v>
      </c>
      <c r="L87" s="56" t="s">
        <v>23</v>
      </c>
      <c r="M87" s="56" t="s">
        <v>99</v>
      </c>
      <c r="N87" s="56" t="s">
        <v>99</v>
      </c>
      <c r="O87" s="56" t="s">
        <v>99</v>
      </c>
      <c r="P87" s="56" t="s">
        <v>99</v>
      </c>
      <c r="Q87" s="56" t="s">
        <v>99</v>
      </c>
      <c r="R87" s="56" t="s">
        <v>99</v>
      </c>
      <c r="S87" s="56" t="s">
        <v>99</v>
      </c>
      <c r="T87" s="56" t="s">
        <v>99</v>
      </c>
      <c r="U87" s="56" t="s">
        <v>99</v>
      </c>
      <c r="V87" s="56" t="s">
        <v>99</v>
      </c>
      <c r="W87" s="56" t="s">
        <v>99</v>
      </c>
      <c r="X87" s="56" t="s">
        <v>99</v>
      </c>
      <c r="Y87" s="56" t="s">
        <v>23</v>
      </c>
      <c r="Z87" s="56" t="s">
        <v>99</v>
      </c>
      <c r="AA87" s="56" t="s">
        <v>99</v>
      </c>
      <c r="AB87" s="56" t="s">
        <v>23</v>
      </c>
      <c r="AC87" s="56" t="s">
        <v>23</v>
      </c>
      <c r="AD87" s="56" t="s">
        <v>99</v>
      </c>
      <c r="AE87" s="56" t="s">
        <v>99</v>
      </c>
      <c r="AF87" s="56" t="s">
        <v>99</v>
      </c>
      <c r="AG87" s="56" t="s">
        <v>23</v>
      </c>
      <c r="AH87" s="56" t="s">
        <v>99</v>
      </c>
      <c r="AI87" s="56" t="s">
        <v>99</v>
      </c>
      <c r="AJ87" s="56" t="s">
        <v>99</v>
      </c>
      <c r="AK87" s="56" t="s">
        <v>23</v>
      </c>
      <c r="AL87" s="56" t="s">
        <v>99</v>
      </c>
      <c r="AM87" s="56" t="s">
        <v>99</v>
      </c>
      <c r="AN87" s="56" t="s">
        <v>99</v>
      </c>
      <c r="AO87" s="56" t="s">
        <v>99</v>
      </c>
      <c r="AP87" s="56" t="s">
        <v>99</v>
      </c>
      <c r="AQ87" s="56" t="s">
        <v>99</v>
      </c>
      <c r="AR87" s="56" t="s">
        <v>99</v>
      </c>
      <c r="AS87" s="56" t="s">
        <v>99</v>
      </c>
      <c r="AT87" s="56" t="s">
        <v>99</v>
      </c>
      <c r="AU87" s="56" t="s">
        <v>99</v>
      </c>
      <c r="AV87" s="56" t="s">
        <v>99</v>
      </c>
      <c r="AW87" s="56" t="s">
        <v>99</v>
      </c>
      <c r="AX87" s="56" t="s">
        <v>99</v>
      </c>
      <c r="AY87" s="56" t="s">
        <v>99</v>
      </c>
      <c r="AZ87" s="56" t="s">
        <v>99</v>
      </c>
      <c r="BA87" s="56" t="s">
        <v>99</v>
      </c>
      <c r="BB87" s="56" t="s">
        <v>99</v>
      </c>
      <c r="BC87" s="56" t="s">
        <v>99</v>
      </c>
      <c r="BD87" s="56" t="s">
        <v>99</v>
      </c>
      <c r="BE87" s="56" t="s">
        <v>99</v>
      </c>
      <c r="BF87" s="56" t="s">
        <v>99</v>
      </c>
      <c r="BG87" s="56" t="s">
        <v>99</v>
      </c>
      <c r="BH87" s="56" t="s">
        <v>99</v>
      </c>
      <c r="BI87" s="56" t="s">
        <v>99</v>
      </c>
      <c r="BJ87" s="56" t="s">
        <v>99</v>
      </c>
      <c r="BK87" s="56" t="s">
        <v>99</v>
      </c>
      <c r="BL87" s="56" t="s">
        <v>99</v>
      </c>
      <c r="BM87" s="56" t="s">
        <v>99</v>
      </c>
      <c r="BN87" s="56" t="s">
        <v>99</v>
      </c>
      <c r="BO87" s="56" t="s">
        <v>99</v>
      </c>
      <c r="BP87" s="62" t="s">
        <v>99</v>
      </c>
    </row>
    <row r="88" spans="2:68">
      <c r="B88" s="58">
        <v>3</v>
      </c>
      <c r="C88" s="59">
        <v>12</v>
      </c>
      <c r="D88" s="59" t="s">
        <v>104</v>
      </c>
      <c r="E88" s="60">
        <f>'[1]Master File'!B87</f>
        <v>46101</v>
      </c>
      <c r="F88" s="61" t="str">
        <f>'[1]Master File'!C87</f>
        <v>Explorer 5PM</v>
      </c>
      <c r="G88" s="39"/>
      <c r="I88" s="56" t="s">
        <v>99</v>
      </c>
      <c r="J88" s="56" t="s">
        <v>99</v>
      </c>
      <c r="K88" s="56" t="s">
        <v>99</v>
      </c>
      <c r="L88" s="56" t="s">
        <v>23</v>
      </c>
      <c r="M88" s="56" t="s">
        <v>99</v>
      </c>
      <c r="N88" s="56" t="s">
        <v>99</v>
      </c>
      <c r="O88" s="56" t="s">
        <v>99</v>
      </c>
      <c r="P88" s="56" t="s">
        <v>99</v>
      </c>
      <c r="Q88" s="56" t="s">
        <v>99</v>
      </c>
      <c r="R88" s="56" t="s">
        <v>99</v>
      </c>
      <c r="S88" s="56" t="s">
        <v>99</v>
      </c>
      <c r="T88" s="56" t="s">
        <v>99</v>
      </c>
      <c r="U88" s="56" t="s">
        <v>99</v>
      </c>
      <c r="V88" s="56" t="s">
        <v>99</v>
      </c>
      <c r="W88" s="56" t="s">
        <v>99</v>
      </c>
      <c r="X88" s="56" t="s">
        <v>99</v>
      </c>
      <c r="Y88" s="56" t="s">
        <v>23</v>
      </c>
      <c r="Z88" s="56" t="s">
        <v>99</v>
      </c>
      <c r="AA88" s="56" t="s">
        <v>99</v>
      </c>
      <c r="AB88" s="56" t="s">
        <v>23</v>
      </c>
      <c r="AC88" s="56" t="s">
        <v>23</v>
      </c>
      <c r="AD88" s="56" t="s">
        <v>99</v>
      </c>
      <c r="AE88" s="56" t="s">
        <v>99</v>
      </c>
      <c r="AF88" s="56" t="s">
        <v>99</v>
      </c>
      <c r="AG88" s="56" t="s">
        <v>23</v>
      </c>
      <c r="AH88" s="56" t="s">
        <v>99</v>
      </c>
      <c r="AI88" s="56" t="s">
        <v>99</v>
      </c>
      <c r="AJ88" s="56" t="s">
        <v>99</v>
      </c>
      <c r="AK88" s="56" t="s">
        <v>23</v>
      </c>
      <c r="AL88" s="56" t="s">
        <v>99</v>
      </c>
      <c r="AM88" s="56" t="s">
        <v>99</v>
      </c>
      <c r="AN88" s="56" t="s">
        <v>99</v>
      </c>
      <c r="AO88" s="56" t="s">
        <v>99</v>
      </c>
      <c r="AP88" s="56" t="s">
        <v>99</v>
      </c>
      <c r="AQ88" s="56" t="s">
        <v>99</v>
      </c>
      <c r="AR88" s="56" t="s">
        <v>99</v>
      </c>
      <c r="AS88" s="56" t="s">
        <v>99</v>
      </c>
      <c r="AT88" s="56" t="s">
        <v>99</v>
      </c>
      <c r="AU88" s="56" t="s">
        <v>99</v>
      </c>
      <c r="AV88" s="56" t="s">
        <v>99</v>
      </c>
      <c r="AW88" s="56" t="s">
        <v>99</v>
      </c>
      <c r="AX88" s="56" t="s">
        <v>99</v>
      </c>
      <c r="AY88" s="56" t="s">
        <v>99</v>
      </c>
      <c r="AZ88" s="56" t="s">
        <v>99</v>
      </c>
      <c r="BA88" s="56" t="s">
        <v>99</v>
      </c>
      <c r="BB88" s="56" t="s">
        <v>99</v>
      </c>
      <c r="BC88" s="56" t="s">
        <v>99</v>
      </c>
      <c r="BD88" s="56" t="s">
        <v>99</v>
      </c>
      <c r="BE88" s="56" t="s">
        <v>99</v>
      </c>
      <c r="BF88" s="56" t="s">
        <v>99</v>
      </c>
      <c r="BG88" s="56" t="s">
        <v>99</v>
      </c>
      <c r="BH88" s="56" t="s">
        <v>99</v>
      </c>
      <c r="BI88" s="56" t="s">
        <v>99</v>
      </c>
      <c r="BJ88" s="56" t="s">
        <v>99</v>
      </c>
      <c r="BK88" s="56" t="s">
        <v>99</v>
      </c>
      <c r="BL88" s="56" t="s">
        <v>99</v>
      </c>
      <c r="BM88" s="56" t="s">
        <v>99</v>
      </c>
      <c r="BN88" s="56" t="s">
        <v>99</v>
      </c>
      <c r="BO88" s="56" t="s">
        <v>99</v>
      </c>
      <c r="BP88" s="62" t="s">
        <v>99</v>
      </c>
    </row>
    <row r="89" spans="2:68">
      <c r="B89" s="58">
        <v>3</v>
      </c>
      <c r="C89" s="59">
        <v>12</v>
      </c>
      <c r="D89" s="59" t="s">
        <v>105</v>
      </c>
      <c r="E89" s="60">
        <f>'[1]Master File'!B88</f>
        <v>46102</v>
      </c>
      <c r="F89" s="61" t="str">
        <f>'[1]Master File'!C88</f>
        <v>Explorer 5PM</v>
      </c>
      <c r="G89" s="39"/>
      <c r="I89" s="63" t="s">
        <v>99</v>
      </c>
      <c r="J89" s="63" t="s">
        <v>99</v>
      </c>
      <c r="K89" s="63" t="s">
        <v>99</v>
      </c>
      <c r="L89" s="63" t="s">
        <v>23</v>
      </c>
      <c r="M89" s="63" t="s">
        <v>99</v>
      </c>
      <c r="N89" s="63" t="s">
        <v>99</v>
      </c>
      <c r="O89" s="63" t="s">
        <v>99</v>
      </c>
      <c r="P89" s="63" t="s">
        <v>99</v>
      </c>
      <c r="Q89" s="63" t="s">
        <v>99</v>
      </c>
      <c r="R89" s="63" t="s">
        <v>99</v>
      </c>
      <c r="S89" s="63" t="s">
        <v>99</v>
      </c>
      <c r="T89" s="63" t="s">
        <v>99</v>
      </c>
      <c r="U89" s="63" t="s">
        <v>99</v>
      </c>
      <c r="V89" s="63" t="s">
        <v>99</v>
      </c>
      <c r="W89" s="63" t="s">
        <v>99</v>
      </c>
      <c r="X89" s="63" t="s">
        <v>99</v>
      </c>
      <c r="Y89" s="56" t="s">
        <v>23</v>
      </c>
      <c r="Z89" s="63" t="s">
        <v>99</v>
      </c>
      <c r="AA89" s="63" t="s">
        <v>99</v>
      </c>
      <c r="AB89" s="63" t="s">
        <v>99</v>
      </c>
      <c r="AC89" s="63" t="s">
        <v>23</v>
      </c>
      <c r="AD89" s="63" t="s">
        <v>99</v>
      </c>
      <c r="AE89" s="63" t="s">
        <v>99</v>
      </c>
      <c r="AF89" s="63" t="s">
        <v>99</v>
      </c>
      <c r="AG89" s="63" t="s">
        <v>23</v>
      </c>
      <c r="AH89" s="63" t="s">
        <v>99</v>
      </c>
      <c r="AI89" s="63" t="s">
        <v>99</v>
      </c>
      <c r="AJ89" s="63" t="s">
        <v>99</v>
      </c>
      <c r="AK89" s="63" t="s">
        <v>23</v>
      </c>
      <c r="AL89" s="63" t="s">
        <v>99</v>
      </c>
      <c r="AM89" s="63" t="s">
        <v>99</v>
      </c>
      <c r="AN89" s="63" t="s">
        <v>99</v>
      </c>
      <c r="AO89" s="63" t="s">
        <v>99</v>
      </c>
      <c r="AP89" s="63" t="s">
        <v>99</v>
      </c>
      <c r="AQ89" s="63" t="s">
        <v>23</v>
      </c>
      <c r="AR89" s="63" t="s">
        <v>99</v>
      </c>
      <c r="AS89" s="63" t="s">
        <v>99</v>
      </c>
      <c r="AT89" s="63" t="s">
        <v>99</v>
      </c>
      <c r="AU89" s="63" t="s">
        <v>99</v>
      </c>
      <c r="AV89" s="63" t="s">
        <v>99</v>
      </c>
      <c r="AW89" s="63" t="s">
        <v>99</v>
      </c>
      <c r="AX89" s="63" t="s">
        <v>99</v>
      </c>
      <c r="AY89" s="63" t="s">
        <v>99</v>
      </c>
      <c r="AZ89" s="63" t="s">
        <v>99</v>
      </c>
      <c r="BA89" s="63" t="s">
        <v>99</v>
      </c>
      <c r="BB89" s="63" t="s">
        <v>99</v>
      </c>
      <c r="BC89" s="63" t="s">
        <v>99</v>
      </c>
      <c r="BD89" s="63" t="s">
        <v>99</v>
      </c>
      <c r="BE89" s="63" t="s">
        <v>99</v>
      </c>
      <c r="BF89" s="63" t="s">
        <v>99</v>
      </c>
      <c r="BG89" s="63" t="s">
        <v>99</v>
      </c>
      <c r="BH89" s="63" t="s">
        <v>99</v>
      </c>
      <c r="BI89" s="63" t="s">
        <v>99</v>
      </c>
      <c r="BJ89" s="63" t="s">
        <v>99</v>
      </c>
      <c r="BK89" s="63" t="s">
        <v>99</v>
      </c>
      <c r="BL89" s="63" t="s">
        <v>99</v>
      </c>
      <c r="BM89" s="63" t="s">
        <v>99</v>
      </c>
      <c r="BN89" s="63" t="s">
        <v>99</v>
      </c>
      <c r="BO89" s="63" t="s">
        <v>99</v>
      </c>
      <c r="BP89" s="64" t="s">
        <v>99</v>
      </c>
    </row>
    <row r="90" spans="2:68">
      <c r="B90" s="58">
        <v>3</v>
      </c>
      <c r="C90" s="59">
        <v>13</v>
      </c>
      <c r="D90" s="59" t="s">
        <v>98</v>
      </c>
      <c r="E90" s="60">
        <f>'[1]Master File'!B89</f>
        <v>46103</v>
      </c>
      <c r="F90" s="61" t="str">
        <f>'[1]Master File'!C89</f>
        <v>Explorer 5PM</v>
      </c>
      <c r="G90" s="39"/>
      <c r="I90" s="63" t="s">
        <v>99</v>
      </c>
      <c r="J90" s="63" t="s">
        <v>99</v>
      </c>
      <c r="K90" s="63" t="s">
        <v>99</v>
      </c>
      <c r="L90" s="63" t="s">
        <v>23</v>
      </c>
      <c r="M90" s="63" t="s">
        <v>99</v>
      </c>
      <c r="N90" s="63" t="s">
        <v>99</v>
      </c>
      <c r="O90" s="63" t="s">
        <v>99</v>
      </c>
      <c r="P90" s="63" t="s">
        <v>99</v>
      </c>
      <c r="Q90" s="63" t="s">
        <v>99</v>
      </c>
      <c r="R90" s="63" t="s">
        <v>99</v>
      </c>
      <c r="S90" s="63" t="s">
        <v>99</v>
      </c>
      <c r="T90" s="63" t="s">
        <v>99</v>
      </c>
      <c r="U90" s="63" t="s">
        <v>99</v>
      </c>
      <c r="V90" s="63" t="s">
        <v>99</v>
      </c>
      <c r="W90" s="63" t="s">
        <v>99</v>
      </c>
      <c r="X90" s="63" t="s">
        <v>99</v>
      </c>
      <c r="Y90" s="56" t="s">
        <v>23</v>
      </c>
      <c r="Z90" s="63" t="s">
        <v>99</v>
      </c>
      <c r="AA90" s="63" t="s">
        <v>99</v>
      </c>
      <c r="AB90" s="63" t="s">
        <v>99</v>
      </c>
      <c r="AC90" s="63" t="s">
        <v>23</v>
      </c>
      <c r="AD90" s="63" t="s">
        <v>99</v>
      </c>
      <c r="AE90" s="63" t="s">
        <v>99</v>
      </c>
      <c r="AF90" s="63" t="s">
        <v>99</v>
      </c>
      <c r="AG90" s="63" t="s">
        <v>23</v>
      </c>
      <c r="AH90" s="63" t="s">
        <v>99</v>
      </c>
      <c r="AI90" s="63" t="s">
        <v>99</v>
      </c>
      <c r="AJ90" s="63" t="s">
        <v>99</v>
      </c>
      <c r="AK90" s="63" t="s">
        <v>23</v>
      </c>
      <c r="AL90" s="63" t="s">
        <v>99</v>
      </c>
      <c r="AM90" s="63" t="s">
        <v>99</v>
      </c>
      <c r="AN90" s="63" t="s">
        <v>99</v>
      </c>
      <c r="AO90" s="63" t="s">
        <v>99</v>
      </c>
      <c r="AP90" s="63" t="s">
        <v>99</v>
      </c>
      <c r="AQ90" s="63" t="s">
        <v>23</v>
      </c>
      <c r="AR90" s="63" t="s">
        <v>99</v>
      </c>
      <c r="AS90" s="63" t="s">
        <v>99</v>
      </c>
      <c r="AT90" s="63" t="s">
        <v>99</v>
      </c>
      <c r="AU90" s="63" t="s">
        <v>99</v>
      </c>
      <c r="AV90" s="63" t="s">
        <v>99</v>
      </c>
      <c r="AW90" s="63" t="s">
        <v>99</v>
      </c>
      <c r="AX90" s="63" t="s">
        <v>99</v>
      </c>
      <c r="AY90" s="63" t="s">
        <v>99</v>
      </c>
      <c r="AZ90" s="63" t="s">
        <v>99</v>
      </c>
      <c r="BA90" s="63" t="s">
        <v>99</v>
      </c>
      <c r="BB90" s="63" t="s">
        <v>99</v>
      </c>
      <c r="BC90" s="63" t="s">
        <v>99</v>
      </c>
      <c r="BD90" s="63" t="s">
        <v>99</v>
      </c>
      <c r="BE90" s="63" t="s">
        <v>99</v>
      </c>
      <c r="BF90" s="63" t="s">
        <v>99</v>
      </c>
      <c r="BG90" s="63" t="s">
        <v>99</v>
      </c>
      <c r="BH90" s="63" t="s">
        <v>99</v>
      </c>
      <c r="BI90" s="63" t="s">
        <v>99</v>
      </c>
      <c r="BJ90" s="63" t="s">
        <v>99</v>
      </c>
      <c r="BK90" s="63" t="s">
        <v>99</v>
      </c>
      <c r="BL90" s="63" t="s">
        <v>99</v>
      </c>
      <c r="BM90" s="63" t="s">
        <v>99</v>
      </c>
      <c r="BN90" s="63" t="s">
        <v>99</v>
      </c>
      <c r="BO90" s="63" t="s">
        <v>99</v>
      </c>
      <c r="BP90" s="64" t="s">
        <v>99</v>
      </c>
    </row>
    <row r="91" spans="2:68">
      <c r="B91" s="58">
        <v>3</v>
      </c>
      <c r="C91" s="59">
        <v>13</v>
      </c>
      <c r="D91" s="59" t="s">
        <v>100</v>
      </c>
      <c r="E91" s="60">
        <f>'[1]Master File'!B90</f>
        <v>46104</v>
      </c>
      <c r="F91" s="61" t="str">
        <f>'[1]Master File'!C90</f>
        <v>Lodge 5PM</v>
      </c>
      <c r="G91" s="39"/>
      <c r="I91" s="56" t="s">
        <v>99</v>
      </c>
      <c r="J91" s="56" t="s">
        <v>99</v>
      </c>
      <c r="K91" s="56" t="s">
        <v>99</v>
      </c>
      <c r="L91" s="56" t="s">
        <v>23</v>
      </c>
      <c r="M91" s="56" t="s">
        <v>99</v>
      </c>
      <c r="N91" s="56" t="s">
        <v>99</v>
      </c>
      <c r="O91" s="56" t="s">
        <v>99</v>
      </c>
      <c r="P91" s="56" t="s">
        <v>99</v>
      </c>
      <c r="Q91" s="56" t="s">
        <v>99</v>
      </c>
      <c r="R91" s="56" t="s">
        <v>99</v>
      </c>
      <c r="S91" s="56" t="s">
        <v>99</v>
      </c>
      <c r="T91" s="56" t="s">
        <v>99</v>
      </c>
      <c r="U91" s="56" t="s">
        <v>99</v>
      </c>
      <c r="V91" s="56" t="s">
        <v>99</v>
      </c>
      <c r="W91" s="56" t="s">
        <v>99</v>
      </c>
      <c r="X91" s="56" t="s">
        <v>99</v>
      </c>
      <c r="Y91" s="56" t="s">
        <v>23</v>
      </c>
      <c r="Z91" s="56" t="s">
        <v>99</v>
      </c>
      <c r="AA91" s="56" t="s">
        <v>99</v>
      </c>
      <c r="AB91" s="56" t="s">
        <v>23</v>
      </c>
      <c r="AC91" s="56" t="s">
        <v>99</v>
      </c>
      <c r="AD91" s="56" t="s">
        <v>99</v>
      </c>
      <c r="AE91" s="56" t="s">
        <v>99</v>
      </c>
      <c r="AF91" s="56" t="s">
        <v>99</v>
      </c>
      <c r="AG91" s="56" t="s">
        <v>23</v>
      </c>
      <c r="AH91" s="56" t="s">
        <v>99</v>
      </c>
      <c r="AI91" s="56" t="s">
        <v>99</v>
      </c>
      <c r="AJ91" s="56" t="s">
        <v>99</v>
      </c>
      <c r="AK91" s="56" t="s">
        <v>23</v>
      </c>
      <c r="AL91" s="56" t="s">
        <v>99</v>
      </c>
      <c r="AM91" s="56" t="s">
        <v>99</v>
      </c>
      <c r="AN91" s="56" t="s">
        <v>99</v>
      </c>
      <c r="AO91" s="56" t="s">
        <v>99</v>
      </c>
      <c r="AP91" s="56" t="s">
        <v>99</v>
      </c>
      <c r="AQ91" s="56" t="s">
        <v>99</v>
      </c>
      <c r="AR91" s="56" t="s">
        <v>99</v>
      </c>
      <c r="AS91" s="56" t="s">
        <v>99</v>
      </c>
      <c r="AT91" s="56" t="s">
        <v>99</v>
      </c>
      <c r="AU91" s="56" t="s">
        <v>99</v>
      </c>
      <c r="AV91" s="56" t="s">
        <v>99</v>
      </c>
      <c r="AW91" s="56" t="s">
        <v>99</v>
      </c>
      <c r="AX91" s="56" t="s">
        <v>99</v>
      </c>
      <c r="AY91" s="56" t="s">
        <v>99</v>
      </c>
      <c r="AZ91" s="56" t="s">
        <v>99</v>
      </c>
      <c r="BA91" s="56" t="s">
        <v>99</v>
      </c>
      <c r="BB91" s="56" t="s">
        <v>99</v>
      </c>
      <c r="BC91" s="56" t="s">
        <v>99</v>
      </c>
      <c r="BD91" s="56" t="s">
        <v>99</v>
      </c>
      <c r="BE91" s="56" t="s">
        <v>99</v>
      </c>
      <c r="BF91" s="56" t="s">
        <v>99</v>
      </c>
      <c r="BG91" s="56" t="s">
        <v>99</v>
      </c>
      <c r="BH91" s="56" t="s">
        <v>99</v>
      </c>
      <c r="BI91" s="56" t="s">
        <v>99</v>
      </c>
      <c r="BJ91" s="56" t="s">
        <v>99</v>
      </c>
      <c r="BK91" s="56" t="s">
        <v>99</v>
      </c>
      <c r="BL91" s="56" t="s">
        <v>99</v>
      </c>
      <c r="BM91" s="56" t="s">
        <v>99</v>
      </c>
      <c r="BN91" s="56" t="s">
        <v>99</v>
      </c>
      <c r="BO91" s="56" t="s">
        <v>99</v>
      </c>
      <c r="BP91" s="62" t="s">
        <v>99</v>
      </c>
    </row>
    <row r="92" spans="2:68">
      <c r="B92" s="58">
        <v>3</v>
      </c>
      <c r="C92" s="59">
        <v>13</v>
      </c>
      <c r="D92" s="59" t="s">
        <v>101</v>
      </c>
      <c r="E92" s="60">
        <f>'[1]Master File'!B91</f>
        <v>46105</v>
      </c>
      <c r="F92" s="61" t="str">
        <f>'[1]Master File'!C91</f>
        <v>Closed</v>
      </c>
      <c r="G92" s="39"/>
      <c r="I92" s="56" t="s">
        <v>99</v>
      </c>
      <c r="J92" s="56" t="s">
        <v>99</v>
      </c>
      <c r="K92" s="56" t="s">
        <v>99</v>
      </c>
      <c r="L92" s="56" t="s">
        <v>23</v>
      </c>
      <c r="M92" s="56" t="s">
        <v>99</v>
      </c>
      <c r="N92" s="56" t="s">
        <v>99</v>
      </c>
      <c r="O92" s="56" t="s">
        <v>99</v>
      </c>
      <c r="P92" s="56" t="s">
        <v>99</v>
      </c>
      <c r="Q92" s="56" t="s">
        <v>99</v>
      </c>
      <c r="R92" s="56" t="s">
        <v>99</v>
      </c>
      <c r="S92" s="56" t="s">
        <v>99</v>
      </c>
      <c r="T92" s="56" t="s">
        <v>99</v>
      </c>
      <c r="U92" s="56" t="s">
        <v>99</v>
      </c>
      <c r="V92" s="56" t="s">
        <v>99</v>
      </c>
      <c r="W92" s="56" t="s">
        <v>99</v>
      </c>
      <c r="X92" s="56" t="s">
        <v>99</v>
      </c>
      <c r="Y92" s="56" t="s">
        <v>23</v>
      </c>
      <c r="Z92" s="56" t="s">
        <v>99</v>
      </c>
      <c r="AA92" s="56" t="s">
        <v>99</v>
      </c>
      <c r="AB92" s="56" t="s">
        <v>23</v>
      </c>
      <c r="AC92" s="56" t="s">
        <v>23</v>
      </c>
      <c r="AD92" s="56" t="s">
        <v>99</v>
      </c>
      <c r="AE92" s="56" t="s">
        <v>99</v>
      </c>
      <c r="AF92" s="56" t="s">
        <v>99</v>
      </c>
      <c r="AG92" s="56" t="s">
        <v>23</v>
      </c>
      <c r="AH92" s="56" t="s">
        <v>99</v>
      </c>
      <c r="AI92" s="56" t="s">
        <v>99</v>
      </c>
      <c r="AJ92" s="56" t="s">
        <v>99</v>
      </c>
      <c r="AK92" s="56" t="s">
        <v>23</v>
      </c>
      <c r="AL92" s="56" t="s">
        <v>99</v>
      </c>
      <c r="AM92" s="56" t="s">
        <v>99</v>
      </c>
      <c r="AN92" s="56" t="s">
        <v>99</v>
      </c>
      <c r="AO92" s="56" t="s">
        <v>99</v>
      </c>
      <c r="AP92" s="56" t="s">
        <v>99</v>
      </c>
      <c r="AQ92" s="56" t="s">
        <v>99</v>
      </c>
      <c r="AR92" s="56" t="s">
        <v>99</v>
      </c>
      <c r="AS92" s="56" t="s">
        <v>99</v>
      </c>
      <c r="AT92" s="56" t="s">
        <v>99</v>
      </c>
      <c r="AU92" s="56" t="s">
        <v>99</v>
      </c>
      <c r="AV92" s="56" t="s">
        <v>99</v>
      </c>
      <c r="AW92" s="56" t="s">
        <v>99</v>
      </c>
      <c r="AX92" s="56" t="s">
        <v>99</v>
      </c>
      <c r="AY92" s="56" t="s">
        <v>99</v>
      </c>
      <c r="AZ92" s="56" t="s">
        <v>99</v>
      </c>
      <c r="BA92" s="56" t="s">
        <v>99</v>
      </c>
      <c r="BB92" s="56" t="s">
        <v>99</v>
      </c>
      <c r="BC92" s="56" t="s">
        <v>99</v>
      </c>
      <c r="BD92" s="56" t="s">
        <v>99</v>
      </c>
      <c r="BE92" s="56" t="s">
        <v>99</v>
      </c>
      <c r="BF92" s="56" t="s">
        <v>99</v>
      </c>
      <c r="BG92" s="56" t="s">
        <v>99</v>
      </c>
      <c r="BH92" s="56" t="s">
        <v>99</v>
      </c>
      <c r="BI92" s="56" t="s">
        <v>99</v>
      </c>
      <c r="BJ92" s="56" t="s">
        <v>99</v>
      </c>
      <c r="BK92" s="56" t="s">
        <v>99</v>
      </c>
      <c r="BL92" s="56" t="s">
        <v>99</v>
      </c>
      <c r="BM92" s="56" t="s">
        <v>99</v>
      </c>
      <c r="BN92" s="56" t="s">
        <v>99</v>
      </c>
      <c r="BO92" s="56" t="s">
        <v>99</v>
      </c>
      <c r="BP92" s="62" t="s">
        <v>99</v>
      </c>
    </row>
    <row r="93" spans="2:68">
      <c r="B93" s="58">
        <v>3</v>
      </c>
      <c r="C93" s="59">
        <v>13</v>
      </c>
      <c r="D93" s="59" t="s">
        <v>102</v>
      </c>
      <c r="E93" s="60">
        <f>'[1]Master File'!B92</f>
        <v>46106</v>
      </c>
      <c r="F93" s="61" t="str">
        <f>'[1]Master File'!C92</f>
        <v>Closed</v>
      </c>
      <c r="G93" s="39"/>
      <c r="I93" s="56" t="s">
        <v>99</v>
      </c>
      <c r="J93" s="56" t="s">
        <v>99</v>
      </c>
      <c r="K93" s="56" t="s">
        <v>99</v>
      </c>
      <c r="L93" s="56" t="s">
        <v>23</v>
      </c>
      <c r="M93" s="56" t="s">
        <v>99</v>
      </c>
      <c r="N93" s="56" t="s">
        <v>99</v>
      </c>
      <c r="O93" s="56" t="s">
        <v>99</v>
      </c>
      <c r="P93" s="56" t="s">
        <v>99</v>
      </c>
      <c r="Q93" s="56" t="s">
        <v>99</v>
      </c>
      <c r="R93" s="56" t="s">
        <v>99</v>
      </c>
      <c r="S93" s="56" t="s">
        <v>99</v>
      </c>
      <c r="T93" s="56" t="s">
        <v>99</v>
      </c>
      <c r="U93" s="56" t="s">
        <v>99</v>
      </c>
      <c r="V93" s="56" t="s">
        <v>99</v>
      </c>
      <c r="W93" s="56" t="s">
        <v>99</v>
      </c>
      <c r="X93" s="56" t="s">
        <v>99</v>
      </c>
      <c r="Y93" s="56" t="s">
        <v>23</v>
      </c>
      <c r="Z93" s="56" t="s">
        <v>99</v>
      </c>
      <c r="AA93" s="56" t="s">
        <v>99</v>
      </c>
      <c r="AB93" s="56" t="s">
        <v>23</v>
      </c>
      <c r="AC93" s="56" t="s">
        <v>23</v>
      </c>
      <c r="AD93" s="56" t="s">
        <v>99</v>
      </c>
      <c r="AE93" s="56" t="s">
        <v>99</v>
      </c>
      <c r="AF93" s="56" t="s">
        <v>99</v>
      </c>
      <c r="AG93" s="56" t="s">
        <v>23</v>
      </c>
      <c r="AH93" s="56" t="s">
        <v>99</v>
      </c>
      <c r="AI93" s="56" t="s">
        <v>99</v>
      </c>
      <c r="AJ93" s="56" t="s">
        <v>99</v>
      </c>
      <c r="AK93" s="56" t="s">
        <v>23</v>
      </c>
      <c r="AL93" s="56" t="s">
        <v>99</v>
      </c>
      <c r="AM93" s="56" t="s">
        <v>99</v>
      </c>
      <c r="AN93" s="56" t="s">
        <v>99</v>
      </c>
      <c r="AO93" s="56" t="s">
        <v>99</v>
      </c>
      <c r="AP93" s="56" t="s">
        <v>99</v>
      </c>
      <c r="AQ93" s="56" t="s">
        <v>99</v>
      </c>
      <c r="AR93" s="56" t="s">
        <v>99</v>
      </c>
      <c r="AS93" s="56" t="s">
        <v>99</v>
      </c>
      <c r="AT93" s="56" t="s">
        <v>99</v>
      </c>
      <c r="AU93" s="56" t="s">
        <v>99</v>
      </c>
      <c r="AV93" s="56" t="s">
        <v>99</v>
      </c>
      <c r="AW93" s="56" t="s">
        <v>99</v>
      </c>
      <c r="AX93" s="56" t="s">
        <v>99</v>
      </c>
      <c r="AY93" s="56" t="s">
        <v>99</v>
      </c>
      <c r="AZ93" s="56" t="s">
        <v>99</v>
      </c>
      <c r="BA93" s="56" t="s">
        <v>99</v>
      </c>
      <c r="BB93" s="56" t="s">
        <v>99</v>
      </c>
      <c r="BC93" s="56" t="s">
        <v>99</v>
      </c>
      <c r="BD93" s="56" t="s">
        <v>99</v>
      </c>
      <c r="BE93" s="56" t="s">
        <v>99</v>
      </c>
      <c r="BF93" s="56" t="s">
        <v>99</v>
      </c>
      <c r="BG93" s="56" t="s">
        <v>99</v>
      </c>
      <c r="BH93" s="56" t="s">
        <v>99</v>
      </c>
      <c r="BI93" s="56" t="s">
        <v>99</v>
      </c>
      <c r="BJ93" s="56" t="s">
        <v>99</v>
      </c>
      <c r="BK93" s="56" t="s">
        <v>99</v>
      </c>
      <c r="BL93" s="56" t="s">
        <v>99</v>
      </c>
      <c r="BM93" s="56" t="s">
        <v>99</v>
      </c>
      <c r="BN93" s="56" t="s">
        <v>99</v>
      </c>
      <c r="BO93" s="56" t="s">
        <v>99</v>
      </c>
      <c r="BP93" s="62" t="s">
        <v>99</v>
      </c>
    </row>
    <row r="94" spans="2:68">
      <c r="B94" s="58">
        <v>3</v>
      </c>
      <c r="C94" s="59">
        <v>13</v>
      </c>
      <c r="D94" s="59" t="s">
        <v>103</v>
      </c>
      <c r="E94" s="60">
        <f>'[1]Master File'!B93</f>
        <v>46107</v>
      </c>
      <c r="F94" s="61" t="str">
        <f>'[1]Master File'!C93</f>
        <v>Explorer + 5PM</v>
      </c>
      <c r="G94" s="39"/>
      <c r="I94" s="56" t="s">
        <v>99</v>
      </c>
      <c r="J94" s="56" t="s">
        <v>99</v>
      </c>
      <c r="K94" s="56" t="s">
        <v>99</v>
      </c>
      <c r="L94" s="56" t="s">
        <v>23</v>
      </c>
      <c r="M94" s="56" t="s">
        <v>99</v>
      </c>
      <c r="N94" s="56" t="s">
        <v>99</v>
      </c>
      <c r="O94" s="56" t="s">
        <v>99</v>
      </c>
      <c r="P94" s="56" t="s">
        <v>99</v>
      </c>
      <c r="Q94" s="56" t="s">
        <v>99</v>
      </c>
      <c r="R94" s="56" t="s">
        <v>99</v>
      </c>
      <c r="S94" s="56" t="s">
        <v>99</v>
      </c>
      <c r="T94" s="56" t="s">
        <v>99</v>
      </c>
      <c r="U94" s="56" t="s">
        <v>99</v>
      </c>
      <c r="V94" s="56" t="s">
        <v>99</v>
      </c>
      <c r="W94" s="56" t="s">
        <v>99</v>
      </c>
      <c r="X94" s="56" t="s">
        <v>99</v>
      </c>
      <c r="Y94" s="56" t="s">
        <v>23</v>
      </c>
      <c r="Z94" s="56" t="s">
        <v>99</v>
      </c>
      <c r="AA94" s="56" t="s">
        <v>99</v>
      </c>
      <c r="AB94" s="56" t="s">
        <v>23</v>
      </c>
      <c r="AC94" s="56" t="s">
        <v>23</v>
      </c>
      <c r="AD94" s="56" t="s">
        <v>99</v>
      </c>
      <c r="AE94" s="56" t="s">
        <v>99</v>
      </c>
      <c r="AF94" s="56" t="s">
        <v>99</v>
      </c>
      <c r="AG94" s="56" t="s">
        <v>23</v>
      </c>
      <c r="AH94" s="56" t="s">
        <v>99</v>
      </c>
      <c r="AI94" s="56" t="s">
        <v>99</v>
      </c>
      <c r="AJ94" s="56" t="s">
        <v>99</v>
      </c>
      <c r="AK94" s="56" t="s">
        <v>23</v>
      </c>
      <c r="AL94" s="56" t="s">
        <v>99</v>
      </c>
      <c r="AM94" s="56" t="s">
        <v>99</v>
      </c>
      <c r="AN94" s="56" t="s">
        <v>99</v>
      </c>
      <c r="AO94" s="56" t="s">
        <v>99</v>
      </c>
      <c r="AP94" s="56" t="s">
        <v>99</v>
      </c>
      <c r="AQ94" s="56" t="s">
        <v>99</v>
      </c>
      <c r="AR94" s="56" t="s">
        <v>99</v>
      </c>
      <c r="AS94" s="56" t="s">
        <v>99</v>
      </c>
      <c r="AT94" s="56" t="s">
        <v>99</v>
      </c>
      <c r="AU94" s="56" t="s">
        <v>99</v>
      </c>
      <c r="AV94" s="56" t="s">
        <v>99</v>
      </c>
      <c r="AW94" s="56" t="s">
        <v>99</v>
      </c>
      <c r="AX94" s="56" t="s">
        <v>99</v>
      </c>
      <c r="AY94" s="56" t="s">
        <v>99</v>
      </c>
      <c r="AZ94" s="56" t="s">
        <v>99</v>
      </c>
      <c r="BA94" s="56" t="s">
        <v>99</v>
      </c>
      <c r="BB94" s="56" t="s">
        <v>99</v>
      </c>
      <c r="BC94" s="56" t="s">
        <v>99</v>
      </c>
      <c r="BD94" s="56" t="s">
        <v>99</v>
      </c>
      <c r="BE94" s="56" t="s">
        <v>99</v>
      </c>
      <c r="BF94" s="56" t="s">
        <v>99</v>
      </c>
      <c r="BG94" s="56" t="s">
        <v>99</v>
      </c>
      <c r="BH94" s="56" t="s">
        <v>99</v>
      </c>
      <c r="BI94" s="56" t="s">
        <v>99</v>
      </c>
      <c r="BJ94" s="56" t="s">
        <v>99</v>
      </c>
      <c r="BK94" s="56" t="s">
        <v>99</v>
      </c>
      <c r="BL94" s="56" t="s">
        <v>99</v>
      </c>
      <c r="BM94" s="56" t="s">
        <v>99</v>
      </c>
      <c r="BN94" s="56" t="s">
        <v>99</v>
      </c>
      <c r="BO94" s="56" t="s">
        <v>99</v>
      </c>
      <c r="BP94" s="62" t="s">
        <v>99</v>
      </c>
    </row>
    <row r="95" spans="2:68">
      <c r="B95" s="58">
        <v>3</v>
      </c>
      <c r="C95" s="59">
        <v>13</v>
      </c>
      <c r="D95" s="59" t="s">
        <v>104</v>
      </c>
      <c r="E95" s="60">
        <f>'[1]Master File'!B94</f>
        <v>46108</v>
      </c>
      <c r="F95" s="61" t="str">
        <f>'[1]Master File'!C94</f>
        <v>Explorer 5PM</v>
      </c>
      <c r="G95" s="39"/>
      <c r="I95" s="56" t="s">
        <v>99</v>
      </c>
      <c r="J95" s="56" t="s">
        <v>99</v>
      </c>
      <c r="K95" s="56" t="s">
        <v>99</v>
      </c>
      <c r="L95" s="56" t="s">
        <v>23</v>
      </c>
      <c r="M95" s="56" t="s">
        <v>99</v>
      </c>
      <c r="N95" s="56" t="s">
        <v>99</v>
      </c>
      <c r="O95" s="56" t="s">
        <v>99</v>
      </c>
      <c r="P95" s="56" t="s">
        <v>99</v>
      </c>
      <c r="Q95" s="56" t="s">
        <v>99</v>
      </c>
      <c r="R95" s="56" t="s">
        <v>99</v>
      </c>
      <c r="S95" s="56" t="s">
        <v>99</v>
      </c>
      <c r="T95" s="56" t="s">
        <v>99</v>
      </c>
      <c r="U95" s="56" t="s">
        <v>99</v>
      </c>
      <c r="V95" s="56" t="s">
        <v>99</v>
      </c>
      <c r="W95" s="56" t="s">
        <v>99</v>
      </c>
      <c r="X95" s="56" t="s">
        <v>99</v>
      </c>
      <c r="Y95" s="56" t="s">
        <v>23</v>
      </c>
      <c r="Z95" s="56" t="s">
        <v>99</v>
      </c>
      <c r="AA95" s="56" t="s">
        <v>99</v>
      </c>
      <c r="AB95" s="56" t="s">
        <v>23</v>
      </c>
      <c r="AC95" s="56" t="s">
        <v>23</v>
      </c>
      <c r="AD95" s="56" t="s">
        <v>99</v>
      </c>
      <c r="AE95" s="56" t="s">
        <v>99</v>
      </c>
      <c r="AF95" s="56" t="s">
        <v>99</v>
      </c>
      <c r="AG95" s="56" t="s">
        <v>23</v>
      </c>
      <c r="AH95" s="56" t="s">
        <v>99</v>
      </c>
      <c r="AI95" s="56" t="s">
        <v>99</v>
      </c>
      <c r="AJ95" s="56" t="s">
        <v>99</v>
      </c>
      <c r="AK95" s="56" t="s">
        <v>23</v>
      </c>
      <c r="AL95" s="56" t="s">
        <v>99</v>
      </c>
      <c r="AM95" s="56" t="s">
        <v>99</v>
      </c>
      <c r="AN95" s="56" t="s">
        <v>99</v>
      </c>
      <c r="AO95" s="56" t="s">
        <v>99</v>
      </c>
      <c r="AP95" s="56" t="s">
        <v>99</v>
      </c>
      <c r="AQ95" s="56" t="s">
        <v>99</v>
      </c>
      <c r="AR95" s="56" t="s">
        <v>99</v>
      </c>
      <c r="AS95" s="56" t="s">
        <v>99</v>
      </c>
      <c r="AT95" s="56" t="s">
        <v>99</v>
      </c>
      <c r="AU95" s="56" t="s">
        <v>99</v>
      </c>
      <c r="AV95" s="56" t="s">
        <v>99</v>
      </c>
      <c r="AW95" s="56" t="s">
        <v>99</v>
      </c>
      <c r="AX95" s="56" t="s">
        <v>99</v>
      </c>
      <c r="AY95" s="56" t="s">
        <v>99</v>
      </c>
      <c r="AZ95" s="56" t="s">
        <v>99</v>
      </c>
      <c r="BA95" s="56" t="s">
        <v>99</v>
      </c>
      <c r="BB95" s="56" t="s">
        <v>99</v>
      </c>
      <c r="BC95" s="56" t="s">
        <v>99</v>
      </c>
      <c r="BD95" s="56" t="s">
        <v>99</v>
      </c>
      <c r="BE95" s="56" t="s">
        <v>99</v>
      </c>
      <c r="BF95" s="56" t="s">
        <v>99</v>
      </c>
      <c r="BG95" s="56" t="s">
        <v>99</v>
      </c>
      <c r="BH95" s="56" t="s">
        <v>99</v>
      </c>
      <c r="BI95" s="56" t="s">
        <v>99</v>
      </c>
      <c r="BJ95" s="56" t="s">
        <v>99</v>
      </c>
      <c r="BK95" s="56" t="s">
        <v>99</v>
      </c>
      <c r="BL95" s="56" t="s">
        <v>99</v>
      </c>
      <c r="BM95" s="56" t="s">
        <v>99</v>
      </c>
      <c r="BN95" s="56" t="s">
        <v>99</v>
      </c>
      <c r="BO95" s="56" t="s">
        <v>99</v>
      </c>
      <c r="BP95" s="62" t="s">
        <v>99</v>
      </c>
    </row>
    <row r="96" spans="2:68">
      <c r="B96" s="58">
        <v>3</v>
      </c>
      <c r="C96" s="59">
        <v>13</v>
      </c>
      <c r="D96" s="59" t="s">
        <v>105</v>
      </c>
      <c r="E96" s="60">
        <f>'[1]Master File'!B95</f>
        <v>46109</v>
      </c>
      <c r="F96" s="61" t="str">
        <f>'[1]Master File'!C95</f>
        <v>Explorer 5PM</v>
      </c>
      <c r="G96" s="39"/>
      <c r="I96" s="63" t="s">
        <v>99</v>
      </c>
      <c r="J96" s="63" t="s">
        <v>99</v>
      </c>
      <c r="K96" s="63" t="s">
        <v>99</v>
      </c>
      <c r="L96" s="63" t="s">
        <v>23</v>
      </c>
      <c r="M96" s="63" t="s">
        <v>99</v>
      </c>
      <c r="N96" s="63" t="s">
        <v>99</v>
      </c>
      <c r="O96" s="63" t="s">
        <v>99</v>
      </c>
      <c r="P96" s="63" t="s">
        <v>99</v>
      </c>
      <c r="Q96" s="63" t="s">
        <v>99</v>
      </c>
      <c r="R96" s="63" t="s">
        <v>99</v>
      </c>
      <c r="S96" s="63" t="s">
        <v>99</v>
      </c>
      <c r="T96" s="63" t="s">
        <v>99</v>
      </c>
      <c r="U96" s="63" t="s">
        <v>99</v>
      </c>
      <c r="V96" s="63" t="s">
        <v>99</v>
      </c>
      <c r="W96" s="63" t="s">
        <v>99</v>
      </c>
      <c r="X96" s="63" t="s">
        <v>99</v>
      </c>
      <c r="Y96" s="56" t="s">
        <v>23</v>
      </c>
      <c r="Z96" s="63" t="s">
        <v>99</v>
      </c>
      <c r="AA96" s="63" t="s">
        <v>99</v>
      </c>
      <c r="AB96" s="63" t="s">
        <v>99</v>
      </c>
      <c r="AC96" s="63" t="s">
        <v>23</v>
      </c>
      <c r="AD96" s="63" t="s">
        <v>99</v>
      </c>
      <c r="AE96" s="63" t="s">
        <v>99</v>
      </c>
      <c r="AF96" s="63" t="s">
        <v>99</v>
      </c>
      <c r="AG96" s="63" t="s">
        <v>23</v>
      </c>
      <c r="AH96" s="63" t="s">
        <v>99</v>
      </c>
      <c r="AI96" s="63" t="s">
        <v>99</v>
      </c>
      <c r="AJ96" s="63" t="s">
        <v>99</v>
      </c>
      <c r="AK96" s="63" t="s">
        <v>23</v>
      </c>
      <c r="AL96" s="63" t="s">
        <v>99</v>
      </c>
      <c r="AM96" s="63" t="s">
        <v>99</v>
      </c>
      <c r="AN96" s="63" t="s">
        <v>99</v>
      </c>
      <c r="AO96" s="63" t="s">
        <v>99</v>
      </c>
      <c r="AP96" s="63" t="s">
        <v>99</v>
      </c>
      <c r="AQ96" s="63" t="s">
        <v>23</v>
      </c>
      <c r="AR96" s="63" t="s">
        <v>99</v>
      </c>
      <c r="AS96" s="63" t="s">
        <v>99</v>
      </c>
      <c r="AT96" s="63" t="s">
        <v>99</v>
      </c>
      <c r="AU96" s="63" t="s">
        <v>99</v>
      </c>
      <c r="AV96" s="63" t="s">
        <v>99</v>
      </c>
      <c r="AW96" s="63" t="s">
        <v>99</v>
      </c>
      <c r="AX96" s="63" t="s">
        <v>99</v>
      </c>
      <c r="AY96" s="63" t="s">
        <v>99</v>
      </c>
      <c r="AZ96" s="63" t="s">
        <v>99</v>
      </c>
      <c r="BA96" s="63" t="s">
        <v>99</v>
      </c>
      <c r="BB96" s="63" t="s">
        <v>99</v>
      </c>
      <c r="BC96" s="63" t="s">
        <v>99</v>
      </c>
      <c r="BD96" s="63" t="s">
        <v>99</v>
      </c>
      <c r="BE96" s="63" t="s">
        <v>99</v>
      </c>
      <c r="BF96" s="63" t="s">
        <v>99</v>
      </c>
      <c r="BG96" s="63" t="s">
        <v>99</v>
      </c>
      <c r="BH96" s="63" t="s">
        <v>99</v>
      </c>
      <c r="BI96" s="63" t="s">
        <v>99</v>
      </c>
      <c r="BJ96" s="63" t="s">
        <v>99</v>
      </c>
      <c r="BK96" s="63" t="s">
        <v>99</v>
      </c>
      <c r="BL96" s="63" t="s">
        <v>99</v>
      </c>
      <c r="BM96" s="63" t="s">
        <v>99</v>
      </c>
      <c r="BN96" s="63" t="s">
        <v>99</v>
      </c>
      <c r="BO96" s="63" t="s">
        <v>99</v>
      </c>
      <c r="BP96" s="64" t="s">
        <v>99</v>
      </c>
    </row>
    <row r="97" spans="2:68">
      <c r="B97" s="58">
        <v>4</v>
      </c>
      <c r="C97" s="59">
        <v>14</v>
      </c>
      <c r="D97" s="59" t="s">
        <v>98</v>
      </c>
      <c r="E97" s="60">
        <f>'[1]Master File'!B96</f>
        <v>46110</v>
      </c>
      <c r="F97" s="61" t="str">
        <f>'[1]Master File'!C96</f>
        <v>Explorer 5PM</v>
      </c>
      <c r="G97" s="39"/>
      <c r="I97" s="63" t="s">
        <v>99</v>
      </c>
      <c r="J97" s="63" t="s">
        <v>99</v>
      </c>
      <c r="K97" s="63" t="s">
        <v>99</v>
      </c>
      <c r="L97" s="63" t="s">
        <v>23</v>
      </c>
      <c r="M97" s="63" t="s">
        <v>99</v>
      </c>
      <c r="N97" s="63" t="s">
        <v>99</v>
      </c>
      <c r="O97" s="63" t="s">
        <v>99</v>
      </c>
      <c r="P97" s="63" t="s">
        <v>99</v>
      </c>
      <c r="Q97" s="63" t="s">
        <v>99</v>
      </c>
      <c r="R97" s="63" t="s">
        <v>99</v>
      </c>
      <c r="S97" s="63" t="s">
        <v>99</v>
      </c>
      <c r="T97" s="63" t="s">
        <v>99</v>
      </c>
      <c r="U97" s="63" t="s">
        <v>99</v>
      </c>
      <c r="V97" s="63" t="s">
        <v>99</v>
      </c>
      <c r="W97" s="63" t="s">
        <v>99</v>
      </c>
      <c r="X97" s="63" t="s">
        <v>99</v>
      </c>
      <c r="Y97" s="56" t="s">
        <v>23</v>
      </c>
      <c r="Z97" s="63" t="s">
        <v>99</v>
      </c>
      <c r="AA97" s="63" t="s">
        <v>99</v>
      </c>
      <c r="AB97" s="63" t="s">
        <v>99</v>
      </c>
      <c r="AC97" s="63" t="s">
        <v>23</v>
      </c>
      <c r="AD97" s="63" t="s">
        <v>99</v>
      </c>
      <c r="AE97" s="63" t="s">
        <v>99</v>
      </c>
      <c r="AF97" s="63" t="s">
        <v>99</v>
      </c>
      <c r="AG97" s="63" t="s">
        <v>23</v>
      </c>
      <c r="AH97" s="63" t="s">
        <v>99</v>
      </c>
      <c r="AI97" s="63" t="s">
        <v>99</v>
      </c>
      <c r="AJ97" s="63" t="s">
        <v>99</v>
      </c>
      <c r="AK97" s="63" t="s">
        <v>23</v>
      </c>
      <c r="AL97" s="63" t="s">
        <v>99</v>
      </c>
      <c r="AM97" s="63" t="s">
        <v>99</v>
      </c>
      <c r="AN97" s="63" t="s">
        <v>99</v>
      </c>
      <c r="AO97" s="63" t="s">
        <v>99</v>
      </c>
      <c r="AP97" s="63" t="s">
        <v>99</v>
      </c>
      <c r="AQ97" s="63" t="s">
        <v>23</v>
      </c>
      <c r="AR97" s="63" t="s">
        <v>99</v>
      </c>
      <c r="AS97" s="63" t="s">
        <v>99</v>
      </c>
      <c r="AT97" s="63" t="s">
        <v>99</v>
      </c>
      <c r="AU97" s="63" t="s">
        <v>99</v>
      </c>
      <c r="AV97" s="63" t="s">
        <v>99</v>
      </c>
      <c r="AW97" s="63" t="s">
        <v>99</v>
      </c>
      <c r="AX97" s="63" t="s">
        <v>99</v>
      </c>
      <c r="AY97" s="63" t="s">
        <v>99</v>
      </c>
      <c r="AZ97" s="63" t="s">
        <v>99</v>
      </c>
      <c r="BA97" s="63" t="s">
        <v>99</v>
      </c>
      <c r="BB97" s="63" t="s">
        <v>99</v>
      </c>
      <c r="BC97" s="63" t="s">
        <v>99</v>
      </c>
      <c r="BD97" s="63" t="s">
        <v>99</v>
      </c>
      <c r="BE97" s="63" t="s">
        <v>99</v>
      </c>
      <c r="BF97" s="63" t="s">
        <v>99</v>
      </c>
      <c r="BG97" s="63" t="s">
        <v>99</v>
      </c>
      <c r="BH97" s="63" t="s">
        <v>99</v>
      </c>
      <c r="BI97" s="63" t="s">
        <v>99</v>
      </c>
      <c r="BJ97" s="63" t="s">
        <v>99</v>
      </c>
      <c r="BK97" s="63" t="s">
        <v>99</v>
      </c>
      <c r="BL97" s="63" t="s">
        <v>99</v>
      </c>
      <c r="BM97" s="63" t="s">
        <v>99</v>
      </c>
      <c r="BN97" s="63" t="s">
        <v>99</v>
      </c>
      <c r="BO97" s="63" t="s">
        <v>99</v>
      </c>
      <c r="BP97" s="64" t="s">
        <v>99</v>
      </c>
    </row>
    <row r="98" spans="2:68">
      <c r="B98" s="58">
        <v>4</v>
      </c>
      <c r="C98" s="59">
        <v>14</v>
      </c>
      <c r="D98" s="59" t="s">
        <v>100</v>
      </c>
      <c r="E98" s="60">
        <f>'[1]Master File'!B97</f>
        <v>46111</v>
      </c>
      <c r="F98" s="61" t="str">
        <f>'[1]Master File'!C97</f>
        <v>Explorer 5PM</v>
      </c>
      <c r="G98" s="39"/>
      <c r="I98" s="56" t="s">
        <v>99</v>
      </c>
      <c r="J98" s="56" t="s">
        <v>99</v>
      </c>
      <c r="K98" s="56" t="s">
        <v>99</v>
      </c>
      <c r="L98" s="56" t="s">
        <v>23</v>
      </c>
      <c r="M98" s="56" t="s">
        <v>99</v>
      </c>
      <c r="N98" s="56" t="s">
        <v>99</v>
      </c>
      <c r="O98" s="56" t="s">
        <v>99</v>
      </c>
      <c r="P98" s="56" t="s">
        <v>99</v>
      </c>
      <c r="Q98" s="56" t="s">
        <v>99</v>
      </c>
      <c r="R98" s="56" t="s">
        <v>99</v>
      </c>
      <c r="S98" s="56" t="s">
        <v>99</v>
      </c>
      <c r="T98" s="56" t="s">
        <v>99</v>
      </c>
      <c r="U98" s="56" t="s">
        <v>99</v>
      </c>
      <c r="V98" s="56" t="s">
        <v>99</v>
      </c>
      <c r="W98" s="56" t="s">
        <v>99</v>
      </c>
      <c r="X98" s="56" t="s">
        <v>99</v>
      </c>
      <c r="Y98" s="56" t="s">
        <v>23</v>
      </c>
      <c r="Z98" s="56" t="s">
        <v>99</v>
      </c>
      <c r="AA98" s="56" t="s">
        <v>99</v>
      </c>
      <c r="AB98" s="56" t="s">
        <v>99</v>
      </c>
      <c r="AC98" s="56" t="s">
        <v>99</v>
      </c>
      <c r="AD98" s="56" t="s">
        <v>99</v>
      </c>
      <c r="AE98" s="56" t="s">
        <v>99</v>
      </c>
      <c r="AF98" s="56" t="s">
        <v>99</v>
      </c>
      <c r="AG98" s="56" t="s">
        <v>23</v>
      </c>
      <c r="AH98" s="56" t="s">
        <v>99</v>
      </c>
      <c r="AI98" s="56" t="s">
        <v>99</v>
      </c>
      <c r="AJ98" s="56" t="s">
        <v>99</v>
      </c>
      <c r="AK98" s="56" t="s">
        <v>23</v>
      </c>
      <c r="AL98" s="56" t="s">
        <v>99</v>
      </c>
      <c r="AM98" s="56" t="s">
        <v>99</v>
      </c>
      <c r="AN98" s="56" t="s">
        <v>99</v>
      </c>
      <c r="AO98" s="56" t="s">
        <v>99</v>
      </c>
      <c r="AP98" s="56" t="s">
        <v>99</v>
      </c>
      <c r="AQ98" s="56" t="s">
        <v>99</v>
      </c>
      <c r="AR98" s="56" t="s">
        <v>99</v>
      </c>
      <c r="AS98" s="56" t="s">
        <v>99</v>
      </c>
      <c r="AT98" s="56" t="s">
        <v>99</v>
      </c>
      <c r="AU98" s="56" t="s">
        <v>99</v>
      </c>
      <c r="AV98" s="56" t="s">
        <v>99</v>
      </c>
      <c r="AW98" s="56" t="s">
        <v>99</v>
      </c>
      <c r="AX98" s="56" t="s">
        <v>99</v>
      </c>
      <c r="AY98" s="56" t="s">
        <v>99</v>
      </c>
      <c r="AZ98" s="56" t="s">
        <v>99</v>
      </c>
      <c r="BA98" s="56" t="s">
        <v>99</v>
      </c>
      <c r="BB98" s="56" t="s">
        <v>99</v>
      </c>
      <c r="BC98" s="56" t="s">
        <v>99</v>
      </c>
      <c r="BD98" s="56" t="s">
        <v>99</v>
      </c>
      <c r="BE98" s="56" t="s">
        <v>99</v>
      </c>
      <c r="BF98" s="56" t="s">
        <v>99</v>
      </c>
      <c r="BG98" s="56" t="s">
        <v>99</v>
      </c>
      <c r="BH98" s="56" t="s">
        <v>99</v>
      </c>
      <c r="BI98" s="56" t="s">
        <v>99</v>
      </c>
      <c r="BJ98" s="56" t="s">
        <v>99</v>
      </c>
      <c r="BK98" s="56" t="s">
        <v>99</v>
      </c>
      <c r="BL98" s="56" t="s">
        <v>99</v>
      </c>
      <c r="BM98" s="56" t="s">
        <v>99</v>
      </c>
      <c r="BN98" s="56" t="s">
        <v>99</v>
      </c>
      <c r="BO98" s="56" t="s">
        <v>99</v>
      </c>
      <c r="BP98" s="62" t="s">
        <v>99</v>
      </c>
    </row>
    <row r="99" spans="2:68">
      <c r="B99" s="58">
        <v>4</v>
      </c>
      <c r="C99" s="59">
        <v>14</v>
      </c>
      <c r="D99" s="59" t="s">
        <v>101</v>
      </c>
      <c r="E99" s="60">
        <f>'[1]Master File'!B98</f>
        <v>46112</v>
      </c>
      <c r="F99" s="61" t="str">
        <f>'[1]Master File'!C98</f>
        <v>Explorer 5PM</v>
      </c>
      <c r="G99" s="39"/>
      <c r="I99" s="56" t="s">
        <v>99</v>
      </c>
      <c r="J99" s="56" t="s">
        <v>99</v>
      </c>
      <c r="K99" s="56" t="s">
        <v>99</v>
      </c>
      <c r="L99" s="56" t="s">
        <v>23</v>
      </c>
      <c r="M99" s="56" t="s">
        <v>99</v>
      </c>
      <c r="N99" s="56" t="s">
        <v>99</v>
      </c>
      <c r="O99" s="56" t="s">
        <v>99</v>
      </c>
      <c r="P99" s="56" t="s">
        <v>99</v>
      </c>
      <c r="Q99" s="56" t="s">
        <v>99</v>
      </c>
      <c r="R99" s="56" t="s">
        <v>99</v>
      </c>
      <c r="S99" s="56" t="s">
        <v>99</v>
      </c>
      <c r="T99" s="56" t="s">
        <v>99</v>
      </c>
      <c r="U99" s="56" t="s">
        <v>99</v>
      </c>
      <c r="V99" s="56" t="s">
        <v>99</v>
      </c>
      <c r="W99" s="56" t="s">
        <v>99</v>
      </c>
      <c r="X99" s="56" t="s">
        <v>99</v>
      </c>
      <c r="Y99" s="56" t="s">
        <v>23</v>
      </c>
      <c r="Z99" s="56" t="s">
        <v>99</v>
      </c>
      <c r="AA99" s="56" t="s">
        <v>99</v>
      </c>
      <c r="AB99" s="56" t="s">
        <v>99</v>
      </c>
      <c r="AC99" s="56" t="s">
        <v>23</v>
      </c>
      <c r="AD99" s="56" t="s">
        <v>99</v>
      </c>
      <c r="AE99" s="56" t="s">
        <v>99</v>
      </c>
      <c r="AF99" s="56" t="s">
        <v>99</v>
      </c>
      <c r="AG99" s="56" t="s">
        <v>23</v>
      </c>
      <c r="AH99" s="56" t="s">
        <v>99</v>
      </c>
      <c r="AI99" s="56" t="s">
        <v>99</v>
      </c>
      <c r="AJ99" s="56" t="s">
        <v>99</v>
      </c>
      <c r="AK99" s="56" t="s">
        <v>23</v>
      </c>
      <c r="AL99" s="56" t="s">
        <v>99</v>
      </c>
      <c r="AM99" s="56" t="s">
        <v>99</v>
      </c>
      <c r="AN99" s="56" t="s">
        <v>99</v>
      </c>
      <c r="AO99" s="56" t="s">
        <v>99</v>
      </c>
      <c r="AP99" s="56" t="s">
        <v>99</v>
      </c>
      <c r="AQ99" s="56" t="s">
        <v>99</v>
      </c>
      <c r="AR99" s="56" t="s">
        <v>99</v>
      </c>
      <c r="AS99" s="56" t="s">
        <v>99</v>
      </c>
      <c r="AT99" s="56" t="s">
        <v>99</v>
      </c>
      <c r="AU99" s="56" t="s">
        <v>99</v>
      </c>
      <c r="AV99" s="56" t="s">
        <v>99</v>
      </c>
      <c r="AW99" s="56" t="s">
        <v>99</v>
      </c>
      <c r="AX99" s="56" t="s">
        <v>99</v>
      </c>
      <c r="AY99" s="56" t="s">
        <v>99</v>
      </c>
      <c r="AZ99" s="56" t="s">
        <v>99</v>
      </c>
      <c r="BA99" s="56" t="s">
        <v>99</v>
      </c>
      <c r="BB99" s="56" t="s">
        <v>99</v>
      </c>
      <c r="BC99" s="56" t="s">
        <v>99</v>
      </c>
      <c r="BD99" s="56" t="s">
        <v>99</v>
      </c>
      <c r="BE99" s="56" t="s">
        <v>99</v>
      </c>
      <c r="BF99" s="56" t="s">
        <v>99</v>
      </c>
      <c r="BG99" s="56" t="s">
        <v>99</v>
      </c>
      <c r="BH99" s="56" t="s">
        <v>99</v>
      </c>
      <c r="BI99" s="56" t="s">
        <v>99</v>
      </c>
      <c r="BJ99" s="56" t="s">
        <v>99</v>
      </c>
      <c r="BK99" s="56" t="s">
        <v>99</v>
      </c>
      <c r="BL99" s="56" t="s">
        <v>99</v>
      </c>
      <c r="BM99" s="56" t="s">
        <v>99</v>
      </c>
      <c r="BN99" s="56" t="s">
        <v>99</v>
      </c>
      <c r="BO99" s="56" t="s">
        <v>99</v>
      </c>
      <c r="BP99" s="62" t="s">
        <v>99</v>
      </c>
    </row>
    <row r="100" spans="2:68">
      <c r="B100" s="58">
        <v>4</v>
      </c>
      <c r="C100" s="59">
        <v>14</v>
      </c>
      <c r="D100" s="59" t="s">
        <v>102</v>
      </c>
      <c r="E100" s="60">
        <f>'[1]Master File'!B99</f>
        <v>46113</v>
      </c>
      <c r="F100" s="61" t="str">
        <f>'[1]Master File'!C99</f>
        <v>Explorer 5PM</v>
      </c>
      <c r="G100" s="39"/>
      <c r="I100" s="56" t="s">
        <v>99</v>
      </c>
      <c r="J100" s="56" t="s">
        <v>99</v>
      </c>
      <c r="K100" s="56" t="s">
        <v>99</v>
      </c>
      <c r="L100" s="56" t="s">
        <v>23</v>
      </c>
      <c r="M100" s="56" t="s">
        <v>99</v>
      </c>
      <c r="N100" s="56" t="s">
        <v>99</v>
      </c>
      <c r="O100" s="56" t="s">
        <v>99</v>
      </c>
      <c r="P100" s="56" t="s">
        <v>99</v>
      </c>
      <c r="Q100" s="56" t="s">
        <v>99</v>
      </c>
      <c r="R100" s="56" t="s">
        <v>99</v>
      </c>
      <c r="S100" s="56" t="s">
        <v>99</v>
      </c>
      <c r="T100" s="56" t="s">
        <v>99</v>
      </c>
      <c r="U100" s="56" t="s">
        <v>99</v>
      </c>
      <c r="V100" s="56" t="s">
        <v>99</v>
      </c>
      <c r="W100" s="56" t="s">
        <v>99</v>
      </c>
      <c r="X100" s="56" t="s">
        <v>99</v>
      </c>
      <c r="Y100" s="56" t="s">
        <v>23</v>
      </c>
      <c r="Z100" s="56" t="s">
        <v>99</v>
      </c>
      <c r="AA100" s="56" t="s">
        <v>99</v>
      </c>
      <c r="AB100" s="56" t="s">
        <v>99</v>
      </c>
      <c r="AC100" s="56" t="s">
        <v>23</v>
      </c>
      <c r="AD100" s="56" t="s">
        <v>99</v>
      </c>
      <c r="AE100" s="56" t="s">
        <v>99</v>
      </c>
      <c r="AF100" s="56" t="s">
        <v>99</v>
      </c>
      <c r="AG100" s="56" t="s">
        <v>23</v>
      </c>
      <c r="AH100" s="56" t="s">
        <v>99</v>
      </c>
      <c r="AI100" s="56" t="s">
        <v>99</v>
      </c>
      <c r="AJ100" s="56" t="s">
        <v>99</v>
      </c>
      <c r="AK100" s="56" t="s">
        <v>23</v>
      </c>
      <c r="AL100" s="56" t="s">
        <v>99</v>
      </c>
      <c r="AM100" s="56" t="s">
        <v>99</v>
      </c>
      <c r="AN100" s="56" t="s">
        <v>99</v>
      </c>
      <c r="AO100" s="56" t="s">
        <v>99</v>
      </c>
      <c r="AP100" s="56" t="s">
        <v>99</v>
      </c>
      <c r="AQ100" s="56" t="s">
        <v>99</v>
      </c>
      <c r="AR100" s="56" t="s">
        <v>99</v>
      </c>
      <c r="AS100" s="56" t="s">
        <v>99</v>
      </c>
      <c r="AT100" s="56" t="s">
        <v>99</v>
      </c>
      <c r="AU100" s="56" t="s">
        <v>99</v>
      </c>
      <c r="AV100" s="56" t="s">
        <v>99</v>
      </c>
      <c r="AW100" s="56" t="s">
        <v>99</v>
      </c>
      <c r="AX100" s="56" t="s">
        <v>99</v>
      </c>
      <c r="AY100" s="56" t="s">
        <v>99</v>
      </c>
      <c r="AZ100" s="56" t="s">
        <v>99</v>
      </c>
      <c r="BA100" s="56" t="s">
        <v>99</v>
      </c>
      <c r="BB100" s="56" t="s">
        <v>99</v>
      </c>
      <c r="BC100" s="56" t="s">
        <v>99</v>
      </c>
      <c r="BD100" s="56" t="s">
        <v>99</v>
      </c>
      <c r="BE100" s="56" t="s">
        <v>99</v>
      </c>
      <c r="BF100" s="56" t="s">
        <v>99</v>
      </c>
      <c r="BG100" s="56" t="s">
        <v>99</v>
      </c>
      <c r="BH100" s="56" t="s">
        <v>99</v>
      </c>
      <c r="BI100" s="56" t="s">
        <v>99</v>
      </c>
      <c r="BJ100" s="56" t="s">
        <v>99</v>
      </c>
      <c r="BK100" s="56" t="s">
        <v>99</v>
      </c>
      <c r="BL100" s="56" t="s">
        <v>99</v>
      </c>
      <c r="BM100" s="56" t="s">
        <v>99</v>
      </c>
      <c r="BN100" s="56" t="s">
        <v>99</v>
      </c>
      <c r="BO100" s="56" t="s">
        <v>99</v>
      </c>
      <c r="BP100" s="62" t="s">
        <v>99</v>
      </c>
    </row>
    <row r="101" spans="2:68">
      <c r="B101" s="58">
        <v>4</v>
      </c>
      <c r="C101" s="59">
        <v>14</v>
      </c>
      <c r="D101" s="59" t="s">
        <v>103</v>
      </c>
      <c r="E101" s="60">
        <f>'[1]Master File'!B100</f>
        <v>46114</v>
      </c>
      <c r="F101" s="61" t="str">
        <f>'[1]Master File'!C100</f>
        <v>Explorer 5PM</v>
      </c>
      <c r="G101" s="39"/>
      <c r="I101" s="56" t="s">
        <v>99</v>
      </c>
      <c r="J101" s="56" t="s">
        <v>99</v>
      </c>
      <c r="K101" s="56" t="s">
        <v>99</v>
      </c>
      <c r="L101" s="56" t="s">
        <v>23</v>
      </c>
      <c r="M101" s="56" t="s">
        <v>99</v>
      </c>
      <c r="N101" s="56" t="s">
        <v>99</v>
      </c>
      <c r="O101" s="56" t="s">
        <v>99</v>
      </c>
      <c r="P101" s="56" t="s">
        <v>99</v>
      </c>
      <c r="Q101" s="56" t="s">
        <v>99</v>
      </c>
      <c r="R101" s="56" t="s">
        <v>99</v>
      </c>
      <c r="S101" s="56" t="s">
        <v>99</v>
      </c>
      <c r="T101" s="56" t="s">
        <v>99</v>
      </c>
      <c r="U101" s="56" t="s">
        <v>99</v>
      </c>
      <c r="V101" s="56" t="s">
        <v>99</v>
      </c>
      <c r="W101" s="56" t="s">
        <v>99</v>
      </c>
      <c r="X101" s="56" t="s">
        <v>99</v>
      </c>
      <c r="Y101" s="56" t="s">
        <v>23</v>
      </c>
      <c r="Z101" s="56" t="s">
        <v>99</v>
      </c>
      <c r="AA101" s="56" t="s">
        <v>99</v>
      </c>
      <c r="AB101" s="56" t="s">
        <v>99</v>
      </c>
      <c r="AC101" s="56" t="s">
        <v>23</v>
      </c>
      <c r="AD101" s="56" t="s">
        <v>99</v>
      </c>
      <c r="AE101" s="56" t="s">
        <v>99</v>
      </c>
      <c r="AF101" s="56" t="s">
        <v>99</v>
      </c>
      <c r="AG101" s="56" t="s">
        <v>23</v>
      </c>
      <c r="AH101" s="56" t="s">
        <v>99</v>
      </c>
      <c r="AI101" s="56" t="s">
        <v>99</v>
      </c>
      <c r="AJ101" s="56" t="s">
        <v>99</v>
      </c>
      <c r="AK101" s="56" t="s">
        <v>23</v>
      </c>
      <c r="AL101" s="56" t="s">
        <v>99</v>
      </c>
      <c r="AM101" s="56" t="s">
        <v>99</v>
      </c>
      <c r="AN101" s="56" t="s">
        <v>99</v>
      </c>
      <c r="AO101" s="56" t="s">
        <v>99</v>
      </c>
      <c r="AP101" s="56" t="s">
        <v>99</v>
      </c>
      <c r="AQ101" s="56" t="s">
        <v>99</v>
      </c>
      <c r="AR101" s="56" t="s">
        <v>99</v>
      </c>
      <c r="AS101" s="56" t="s">
        <v>99</v>
      </c>
      <c r="AT101" s="56" t="s">
        <v>99</v>
      </c>
      <c r="AU101" s="56" t="s">
        <v>99</v>
      </c>
      <c r="AV101" s="56" t="s">
        <v>99</v>
      </c>
      <c r="AW101" s="56" t="s">
        <v>99</v>
      </c>
      <c r="AX101" s="56" t="s">
        <v>99</v>
      </c>
      <c r="AY101" s="56" t="s">
        <v>99</v>
      </c>
      <c r="AZ101" s="56" t="s">
        <v>99</v>
      </c>
      <c r="BA101" s="56" t="s">
        <v>99</v>
      </c>
      <c r="BB101" s="56" t="s">
        <v>99</v>
      </c>
      <c r="BC101" s="56" t="s">
        <v>99</v>
      </c>
      <c r="BD101" s="56" t="s">
        <v>99</v>
      </c>
      <c r="BE101" s="56" t="s">
        <v>99</v>
      </c>
      <c r="BF101" s="56" t="s">
        <v>99</v>
      </c>
      <c r="BG101" s="56" t="s">
        <v>99</v>
      </c>
      <c r="BH101" s="56" t="s">
        <v>99</v>
      </c>
      <c r="BI101" s="56" t="s">
        <v>99</v>
      </c>
      <c r="BJ101" s="56" t="s">
        <v>99</v>
      </c>
      <c r="BK101" s="56" t="s">
        <v>99</v>
      </c>
      <c r="BL101" s="56" t="s">
        <v>99</v>
      </c>
      <c r="BM101" s="56" t="s">
        <v>99</v>
      </c>
      <c r="BN101" s="56" t="s">
        <v>99</v>
      </c>
      <c r="BO101" s="56" t="s">
        <v>99</v>
      </c>
      <c r="BP101" s="62" t="s">
        <v>99</v>
      </c>
    </row>
    <row r="102" spans="2:68">
      <c r="B102" s="58">
        <v>4</v>
      </c>
      <c r="C102" s="59">
        <v>14</v>
      </c>
      <c r="D102" s="59" t="s">
        <v>104</v>
      </c>
      <c r="E102" s="60">
        <f>'[1]Master File'!B101</f>
        <v>46115</v>
      </c>
      <c r="F102" s="61" t="str">
        <f>'[1]Master File'!C101</f>
        <v>Explorer + 6PM</v>
      </c>
      <c r="G102" s="39"/>
      <c r="I102" s="56" t="s">
        <v>99</v>
      </c>
      <c r="J102" s="56" t="s">
        <v>99</v>
      </c>
      <c r="K102" s="56" t="s">
        <v>99</v>
      </c>
      <c r="L102" s="56" t="s">
        <v>23</v>
      </c>
      <c r="M102" s="56" t="s">
        <v>99</v>
      </c>
      <c r="N102" s="56" t="s">
        <v>99</v>
      </c>
      <c r="O102" s="56" t="s">
        <v>99</v>
      </c>
      <c r="P102" s="56" t="s">
        <v>99</v>
      </c>
      <c r="Q102" s="56" t="s">
        <v>99</v>
      </c>
      <c r="R102" s="56" t="s">
        <v>99</v>
      </c>
      <c r="S102" s="56" t="s">
        <v>99</v>
      </c>
      <c r="T102" s="56" t="s">
        <v>99</v>
      </c>
      <c r="U102" s="56" t="s">
        <v>99</v>
      </c>
      <c r="V102" s="56" t="s">
        <v>99</v>
      </c>
      <c r="W102" s="56" t="s">
        <v>99</v>
      </c>
      <c r="X102" s="56" t="s">
        <v>99</v>
      </c>
      <c r="Y102" s="56" t="s">
        <v>23</v>
      </c>
      <c r="Z102" s="56" t="s">
        <v>99</v>
      </c>
      <c r="AA102" s="56" t="s">
        <v>99</v>
      </c>
      <c r="AB102" s="56" t="s">
        <v>99</v>
      </c>
      <c r="AC102" s="56" t="s">
        <v>23</v>
      </c>
      <c r="AD102" s="56" t="s">
        <v>99</v>
      </c>
      <c r="AE102" s="56" t="s">
        <v>99</v>
      </c>
      <c r="AF102" s="56" t="s">
        <v>99</v>
      </c>
      <c r="AG102" s="56" t="s">
        <v>23</v>
      </c>
      <c r="AH102" s="56" t="s">
        <v>99</v>
      </c>
      <c r="AI102" s="56" t="s">
        <v>99</v>
      </c>
      <c r="AJ102" s="56" t="s">
        <v>99</v>
      </c>
      <c r="AK102" s="56" t="s">
        <v>23</v>
      </c>
      <c r="AL102" s="56" t="s">
        <v>99</v>
      </c>
      <c r="AM102" s="56" t="s">
        <v>99</v>
      </c>
      <c r="AN102" s="56" t="s">
        <v>99</v>
      </c>
      <c r="AO102" s="56" t="s">
        <v>99</v>
      </c>
      <c r="AP102" s="56" t="s">
        <v>99</v>
      </c>
      <c r="AQ102" s="56" t="s">
        <v>99</v>
      </c>
      <c r="AR102" s="56" t="s">
        <v>99</v>
      </c>
      <c r="AS102" s="56" t="s">
        <v>99</v>
      </c>
      <c r="AT102" s="56" t="s">
        <v>99</v>
      </c>
      <c r="AU102" s="56" t="s">
        <v>99</v>
      </c>
      <c r="AV102" s="56" t="s">
        <v>99</v>
      </c>
      <c r="AW102" s="56" t="s">
        <v>99</v>
      </c>
      <c r="AX102" s="56" t="s">
        <v>99</v>
      </c>
      <c r="AY102" s="56" t="s">
        <v>99</v>
      </c>
      <c r="AZ102" s="56" t="s">
        <v>99</v>
      </c>
      <c r="BA102" s="56" t="s">
        <v>99</v>
      </c>
      <c r="BB102" s="56" t="s">
        <v>99</v>
      </c>
      <c r="BC102" s="56" t="s">
        <v>99</v>
      </c>
      <c r="BD102" s="56" t="s">
        <v>99</v>
      </c>
      <c r="BE102" s="56" t="s">
        <v>99</v>
      </c>
      <c r="BF102" s="56" t="s">
        <v>99</v>
      </c>
      <c r="BG102" s="56" t="s">
        <v>99</v>
      </c>
      <c r="BH102" s="56" t="s">
        <v>99</v>
      </c>
      <c r="BI102" s="56" t="s">
        <v>99</v>
      </c>
      <c r="BJ102" s="56" t="s">
        <v>99</v>
      </c>
      <c r="BK102" s="56" t="s">
        <v>99</v>
      </c>
      <c r="BL102" s="56" t="s">
        <v>99</v>
      </c>
      <c r="BM102" s="56" t="s">
        <v>99</v>
      </c>
      <c r="BN102" s="56" t="s">
        <v>99</v>
      </c>
      <c r="BO102" s="56" t="s">
        <v>99</v>
      </c>
      <c r="BP102" s="62" t="s">
        <v>99</v>
      </c>
    </row>
    <row r="103" spans="2:68">
      <c r="B103" s="58">
        <v>4</v>
      </c>
      <c r="C103" s="59">
        <v>14</v>
      </c>
      <c r="D103" s="59" t="s">
        <v>105</v>
      </c>
      <c r="E103" s="60">
        <f>'[1]Master File'!B102</f>
        <v>46116</v>
      </c>
      <c r="F103" s="61" t="str">
        <f>'[1]Master File'!C102</f>
        <v>Explorer + 6PM</v>
      </c>
      <c r="G103" s="39"/>
      <c r="I103" s="63" t="s">
        <v>99</v>
      </c>
      <c r="J103" s="63" t="s">
        <v>99</v>
      </c>
      <c r="K103" s="63" t="s">
        <v>99</v>
      </c>
      <c r="L103" s="63" t="s">
        <v>23</v>
      </c>
      <c r="M103" s="63" t="s">
        <v>99</v>
      </c>
      <c r="N103" s="63" t="s">
        <v>99</v>
      </c>
      <c r="O103" s="63" t="s">
        <v>99</v>
      </c>
      <c r="P103" s="63" t="s">
        <v>99</v>
      </c>
      <c r="Q103" s="63" t="s">
        <v>99</v>
      </c>
      <c r="R103" s="63" t="s">
        <v>99</v>
      </c>
      <c r="S103" s="63" t="s">
        <v>99</v>
      </c>
      <c r="T103" s="63" t="s">
        <v>99</v>
      </c>
      <c r="U103" s="63" t="s">
        <v>99</v>
      </c>
      <c r="V103" s="63" t="s">
        <v>99</v>
      </c>
      <c r="W103" s="63" t="s">
        <v>99</v>
      </c>
      <c r="X103" s="63" t="s">
        <v>99</v>
      </c>
      <c r="Y103" s="56" t="s">
        <v>23</v>
      </c>
      <c r="Z103" s="63" t="s">
        <v>99</v>
      </c>
      <c r="AA103" s="63" t="s">
        <v>99</v>
      </c>
      <c r="AB103" s="63" t="s">
        <v>99</v>
      </c>
      <c r="AC103" s="63" t="s">
        <v>23</v>
      </c>
      <c r="AD103" s="63" t="s">
        <v>99</v>
      </c>
      <c r="AE103" s="63" t="s">
        <v>99</v>
      </c>
      <c r="AF103" s="63" t="s">
        <v>99</v>
      </c>
      <c r="AG103" s="63" t="s">
        <v>23</v>
      </c>
      <c r="AH103" s="63" t="s">
        <v>99</v>
      </c>
      <c r="AI103" s="63" t="s">
        <v>99</v>
      </c>
      <c r="AJ103" s="63" t="s">
        <v>99</v>
      </c>
      <c r="AK103" s="63" t="s">
        <v>23</v>
      </c>
      <c r="AL103" s="63" t="s">
        <v>99</v>
      </c>
      <c r="AM103" s="63" t="s">
        <v>99</v>
      </c>
      <c r="AN103" s="63" t="s">
        <v>99</v>
      </c>
      <c r="AO103" s="63" t="s">
        <v>99</v>
      </c>
      <c r="AP103" s="63" t="s">
        <v>99</v>
      </c>
      <c r="AQ103" s="63" t="s">
        <v>23</v>
      </c>
      <c r="AR103" s="63" t="s">
        <v>99</v>
      </c>
      <c r="AS103" s="63" t="s">
        <v>99</v>
      </c>
      <c r="AT103" s="63" t="s">
        <v>99</v>
      </c>
      <c r="AU103" s="63" t="s">
        <v>99</v>
      </c>
      <c r="AV103" s="63" t="s">
        <v>99</v>
      </c>
      <c r="AW103" s="63" t="s">
        <v>99</v>
      </c>
      <c r="AX103" s="63" t="s">
        <v>99</v>
      </c>
      <c r="AY103" s="63" t="s">
        <v>99</v>
      </c>
      <c r="AZ103" s="63" t="s">
        <v>99</v>
      </c>
      <c r="BA103" s="63" t="s">
        <v>99</v>
      </c>
      <c r="BB103" s="63" t="s">
        <v>99</v>
      </c>
      <c r="BC103" s="63" t="s">
        <v>99</v>
      </c>
      <c r="BD103" s="63" t="s">
        <v>99</v>
      </c>
      <c r="BE103" s="63" t="s">
        <v>99</v>
      </c>
      <c r="BF103" s="63" t="s">
        <v>99</v>
      </c>
      <c r="BG103" s="63" t="s">
        <v>99</v>
      </c>
      <c r="BH103" s="63" t="s">
        <v>99</v>
      </c>
      <c r="BI103" s="63" t="s">
        <v>99</v>
      </c>
      <c r="BJ103" s="63" t="s">
        <v>99</v>
      </c>
      <c r="BK103" s="63" t="s">
        <v>99</v>
      </c>
      <c r="BL103" s="63" t="s">
        <v>99</v>
      </c>
      <c r="BM103" s="63" t="s">
        <v>99</v>
      </c>
      <c r="BN103" s="63" t="s">
        <v>99</v>
      </c>
      <c r="BO103" s="63" t="s">
        <v>99</v>
      </c>
      <c r="BP103" s="64" t="s">
        <v>99</v>
      </c>
    </row>
    <row r="104" spans="2:68">
      <c r="B104" s="58">
        <v>4</v>
      </c>
      <c r="C104" s="59">
        <v>15</v>
      </c>
      <c r="D104" s="59" t="s">
        <v>98</v>
      </c>
      <c r="E104" s="60">
        <f>'[1]Master File'!B103</f>
        <v>46117</v>
      </c>
      <c r="F104" s="61" t="str">
        <f>'[1]Master File'!C103</f>
        <v>Explorer 6PM</v>
      </c>
      <c r="G104" s="39"/>
      <c r="I104" s="63" t="s">
        <v>99</v>
      </c>
      <c r="J104" s="63" t="s">
        <v>99</v>
      </c>
      <c r="K104" s="63" t="s">
        <v>99</v>
      </c>
      <c r="L104" s="63" t="s">
        <v>23</v>
      </c>
      <c r="M104" s="63" t="s">
        <v>99</v>
      </c>
      <c r="N104" s="63" t="s">
        <v>99</v>
      </c>
      <c r="O104" s="63" t="s">
        <v>99</v>
      </c>
      <c r="P104" s="63" t="s">
        <v>99</v>
      </c>
      <c r="Q104" s="63" t="s">
        <v>99</v>
      </c>
      <c r="R104" s="63" t="s">
        <v>99</v>
      </c>
      <c r="S104" s="63" t="s">
        <v>99</v>
      </c>
      <c r="T104" s="63" t="s">
        <v>99</v>
      </c>
      <c r="U104" s="63" t="s">
        <v>99</v>
      </c>
      <c r="V104" s="63" t="s">
        <v>99</v>
      </c>
      <c r="W104" s="63" t="s">
        <v>99</v>
      </c>
      <c r="X104" s="63" t="s">
        <v>99</v>
      </c>
      <c r="Y104" s="56" t="s">
        <v>23</v>
      </c>
      <c r="Z104" s="63" t="s">
        <v>99</v>
      </c>
      <c r="AA104" s="63" t="s">
        <v>99</v>
      </c>
      <c r="AB104" s="63" t="s">
        <v>99</v>
      </c>
      <c r="AC104" s="63" t="s">
        <v>23</v>
      </c>
      <c r="AD104" s="63" t="s">
        <v>99</v>
      </c>
      <c r="AE104" s="63" t="s">
        <v>99</v>
      </c>
      <c r="AF104" s="63" t="s">
        <v>99</v>
      </c>
      <c r="AG104" s="63" t="s">
        <v>23</v>
      </c>
      <c r="AH104" s="63" t="s">
        <v>99</v>
      </c>
      <c r="AI104" s="63" t="s">
        <v>99</v>
      </c>
      <c r="AJ104" s="63" t="s">
        <v>99</v>
      </c>
      <c r="AK104" s="63" t="s">
        <v>23</v>
      </c>
      <c r="AL104" s="63" t="s">
        <v>99</v>
      </c>
      <c r="AM104" s="63" t="s">
        <v>99</v>
      </c>
      <c r="AN104" s="63" t="s">
        <v>99</v>
      </c>
      <c r="AO104" s="63" t="s">
        <v>99</v>
      </c>
      <c r="AP104" s="63" t="s">
        <v>99</v>
      </c>
      <c r="AQ104" s="63" t="s">
        <v>23</v>
      </c>
      <c r="AR104" s="63" t="s">
        <v>99</v>
      </c>
      <c r="AS104" s="63" t="s">
        <v>99</v>
      </c>
      <c r="AT104" s="63" t="s">
        <v>99</v>
      </c>
      <c r="AU104" s="63" t="s">
        <v>99</v>
      </c>
      <c r="AV104" s="63" t="s">
        <v>99</v>
      </c>
      <c r="AW104" s="63" t="s">
        <v>99</v>
      </c>
      <c r="AX104" s="63" t="s">
        <v>99</v>
      </c>
      <c r="AY104" s="63" t="s">
        <v>99</v>
      </c>
      <c r="AZ104" s="63" t="s">
        <v>99</v>
      </c>
      <c r="BA104" s="63" t="s">
        <v>99</v>
      </c>
      <c r="BB104" s="63" t="s">
        <v>99</v>
      </c>
      <c r="BC104" s="63" t="s">
        <v>99</v>
      </c>
      <c r="BD104" s="63" t="s">
        <v>99</v>
      </c>
      <c r="BE104" s="63" t="s">
        <v>99</v>
      </c>
      <c r="BF104" s="63" t="s">
        <v>99</v>
      </c>
      <c r="BG104" s="63" t="s">
        <v>99</v>
      </c>
      <c r="BH104" s="63" t="s">
        <v>99</v>
      </c>
      <c r="BI104" s="63" t="s">
        <v>99</v>
      </c>
      <c r="BJ104" s="63" t="s">
        <v>99</v>
      </c>
      <c r="BK104" s="63" t="s">
        <v>99</v>
      </c>
      <c r="BL104" s="63" t="s">
        <v>99</v>
      </c>
      <c r="BM104" s="63" t="s">
        <v>99</v>
      </c>
      <c r="BN104" s="63" t="s">
        <v>99</v>
      </c>
      <c r="BO104" s="63" t="s">
        <v>99</v>
      </c>
      <c r="BP104" s="64" t="s">
        <v>99</v>
      </c>
    </row>
    <row r="105" spans="2:68">
      <c r="B105" s="58">
        <v>4</v>
      </c>
      <c r="C105" s="59">
        <v>15</v>
      </c>
      <c r="D105" s="59" t="s">
        <v>100</v>
      </c>
      <c r="E105" s="60">
        <f>'[1]Master File'!B104</f>
        <v>46118</v>
      </c>
      <c r="F105" s="61" t="str">
        <f>'[1]Master File'!C104</f>
        <v>Explorer 6PM</v>
      </c>
      <c r="G105" s="39"/>
      <c r="I105" s="56" t="s">
        <v>99</v>
      </c>
      <c r="J105" s="56" t="s">
        <v>99</v>
      </c>
      <c r="K105" s="56" t="s">
        <v>99</v>
      </c>
      <c r="L105" s="56" t="s">
        <v>23</v>
      </c>
      <c r="M105" s="56" t="s">
        <v>99</v>
      </c>
      <c r="N105" s="56" t="s">
        <v>99</v>
      </c>
      <c r="O105" s="56" t="s">
        <v>99</v>
      </c>
      <c r="P105" s="56" t="s">
        <v>99</v>
      </c>
      <c r="Q105" s="56" t="s">
        <v>99</v>
      </c>
      <c r="R105" s="56" t="s">
        <v>99</v>
      </c>
      <c r="S105" s="56" t="s">
        <v>99</v>
      </c>
      <c r="T105" s="56" t="s">
        <v>99</v>
      </c>
      <c r="U105" s="56" t="s">
        <v>99</v>
      </c>
      <c r="V105" s="56" t="s">
        <v>99</v>
      </c>
      <c r="W105" s="56" t="s">
        <v>99</v>
      </c>
      <c r="X105" s="56" t="s">
        <v>99</v>
      </c>
      <c r="Y105" s="56" t="s">
        <v>23</v>
      </c>
      <c r="Z105" s="56" t="s">
        <v>99</v>
      </c>
      <c r="AA105" s="56" t="s">
        <v>99</v>
      </c>
      <c r="AB105" s="56" t="s">
        <v>99</v>
      </c>
      <c r="AC105" s="56" t="s">
        <v>99</v>
      </c>
      <c r="AD105" s="56" t="s">
        <v>99</v>
      </c>
      <c r="AE105" s="56" t="s">
        <v>99</v>
      </c>
      <c r="AF105" s="56" t="s">
        <v>99</v>
      </c>
      <c r="AG105" s="56" t="s">
        <v>23</v>
      </c>
      <c r="AH105" s="56" t="s">
        <v>99</v>
      </c>
      <c r="AI105" s="56" t="s">
        <v>99</v>
      </c>
      <c r="AJ105" s="56" t="s">
        <v>99</v>
      </c>
      <c r="AK105" s="56" t="s">
        <v>23</v>
      </c>
      <c r="AL105" s="56" t="s">
        <v>99</v>
      </c>
      <c r="AM105" s="56" t="s">
        <v>99</v>
      </c>
      <c r="AN105" s="56" t="s">
        <v>99</v>
      </c>
      <c r="AO105" s="56" t="s">
        <v>99</v>
      </c>
      <c r="AP105" s="56" t="s">
        <v>99</v>
      </c>
      <c r="AQ105" s="56" t="s">
        <v>99</v>
      </c>
      <c r="AR105" s="56" t="s">
        <v>99</v>
      </c>
      <c r="AS105" s="56" t="s">
        <v>99</v>
      </c>
      <c r="AT105" s="56" t="s">
        <v>99</v>
      </c>
      <c r="AU105" s="56" t="s">
        <v>99</v>
      </c>
      <c r="AV105" s="56" t="s">
        <v>99</v>
      </c>
      <c r="AW105" s="56" t="s">
        <v>99</v>
      </c>
      <c r="AX105" s="56" t="s">
        <v>99</v>
      </c>
      <c r="AY105" s="56" t="s">
        <v>99</v>
      </c>
      <c r="AZ105" s="56" t="s">
        <v>99</v>
      </c>
      <c r="BA105" s="56" t="s">
        <v>99</v>
      </c>
      <c r="BB105" s="56" t="s">
        <v>99</v>
      </c>
      <c r="BC105" s="56" t="s">
        <v>99</v>
      </c>
      <c r="BD105" s="56" t="s">
        <v>99</v>
      </c>
      <c r="BE105" s="56" t="s">
        <v>99</v>
      </c>
      <c r="BF105" s="56" t="s">
        <v>99</v>
      </c>
      <c r="BG105" s="56" t="s">
        <v>99</v>
      </c>
      <c r="BH105" s="56" t="s">
        <v>99</v>
      </c>
      <c r="BI105" s="56" t="s">
        <v>99</v>
      </c>
      <c r="BJ105" s="56" t="s">
        <v>99</v>
      </c>
      <c r="BK105" s="56" t="s">
        <v>99</v>
      </c>
      <c r="BL105" s="56" t="s">
        <v>99</v>
      </c>
      <c r="BM105" s="56" t="s">
        <v>99</v>
      </c>
      <c r="BN105" s="56" t="s">
        <v>99</v>
      </c>
      <c r="BO105" s="56" t="s">
        <v>99</v>
      </c>
      <c r="BP105" s="62" t="s">
        <v>99</v>
      </c>
    </row>
    <row r="106" spans="2:68">
      <c r="B106" s="58">
        <v>4</v>
      </c>
      <c r="C106" s="59">
        <v>15</v>
      </c>
      <c r="D106" s="59" t="s">
        <v>101</v>
      </c>
      <c r="E106" s="60">
        <f>'[1]Master File'!B105</f>
        <v>46119</v>
      </c>
      <c r="F106" s="61" t="str">
        <f>'[1]Master File'!C105</f>
        <v>Explorer 6PM</v>
      </c>
      <c r="G106" s="39"/>
      <c r="I106" s="56" t="s">
        <v>99</v>
      </c>
      <c r="J106" s="56" t="s">
        <v>99</v>
      </c>
      <c r="K106" s="56" t="s">
        <v>99</v>
      </c>
      <c r="L106" s="56" t="s">
        <v>23</v>
      </c>
      <c r="M106" s="56" t="s">
        <v>99</v>
      </c>
      <c r="N106" s="56" t="s">
        <v>99</v>
      </c>
      <c r="O106" s="56" t="s">
        <v>99</v>
      </c>
      <c r="P106" s="56" t="s">
        <v>99</v>
      </c>
      <c r="Q106" s="56" t="s">
        <v>99</v>
      </c>
      <c r="R106" s="56" t="s">
        <v>99</v>
      </c>
      <c r="S106" s="56" t="s">
        <v>99</v>
      </c>
      <c r="T106" s="56" t="s">
        <v>99</v>
      </c>
      <c r="U106" s="56" t="s">
        <v>99</v>
      </c>
      <c r="V106" s="56" t="s">
        <v>99</v>
      </c>
      <c r="W106" s="56" t="s">
        <v>99</v>
      </c>
      <c r="X106" s="56" t="s">
        <v>99</v>
      </c>
      <c r="Y106" s="56" t="s">
        <v>23</v>
      </c>
      <c r="Z106" s="56" t="s">
        <v>99</v>
      </c>
      <c r="AA106" s="56" t="s">
        <v>99</v>
      </c>
      <c r="AB106" s="56" t="s">
        <v>99</v>
      </c>
      <c r="AC106" s="56" t="s">
        <v>23</v>
      </c>
      <c r="AD106" s="56" t="s">
        <v>99</v>
      </c>
      <c r="AE106" s="56" t="s">
        <v>99</v>
      </c>
      <c r="AF106" s="56" t="s">
        <v>99</v>
      </c>
      <c r="AG106" s="56" t="s">
        <v>23</v>
      </c>
      <c r="AH106" s="56" t="s">
        <v>99</v>
      </c>
      <c r="AI106" s="56" t="s">
        <v>99</v>
      </c>
      <c r="AJ106" s="56" t="s">
        <v>99</v>
      </c>
      <c r="AK106" s="56" t="s">
        <v>23</v>
      </c>
      <c r="AL106" s="56" t="s">
        <v>99</v>
      </c>
      <c r="AM106" s="56" t="s">
        <v>99</v>
      </c>
      <c r="AN106" s="56" t="s">
        <v>99</v>
      </c>
      <c r="AO106" s="56" t="s">
        <v>99</v>
      </c>
      <c r="AP106" s="56" t="s">
        <v>99</v>
      </c>
      <c r="AQ106" s="56" t="s">
        <v>99</v>
      </c>
      <c r="AR106" s="56" t="s">
        <v>99</v>
      </c>
      <c r="AS106" s="56" t="s">
        <v>99</v>
      </c>
      <c r="AT106" s="56" t="s">
        <v>99</v>
      </c>
      <c r="AU106" s="56" t="s">
        <v>99</v>
      </c>
      <c r="AV106" s="56" t="s">
        <v>99</v>
      </c>
      <c r="AW106" s="56" t="s">
        <v>99</v>
      </c>
      <c r="AX106" s="56" t="s">
        <v>99</v>
      </c>
      <c r="AY106" s="56" t="s">
        <v>99</v>
      </c>
      <c r="AZ106" s="56" t="s">
        <v>99</v>
      </c>
      <c r="BA106" s="56" t="s">
        <v>99</v>
      </c>
      <c r="BB106" s="56" t="s">
        <v>99</v>
      </c>
      <c r="BC106" s="56" t="s">
        <v>99</v>
      </c>
      <c r="BD106" s="56" t="s">
        <v>99</v>
      </c>
      <c r="BE106" s="56" t="s">
        <v>99</v>
      </c>
      <c r="BF106" s="56" t="s">
        <v>99</v>
      </c>
      <c r="BG106" s="56" t="s">
        <v>99</v>
      </c>
      <c r="BH106" s="56" t="s">
        <v>99</v>
      </c>
      <c r="BI106" s="56" t="s">
        <v>99</v>
      </c>
      <c r="BJ106" s="56" t="s">
        <v>99</v>
      </c>
      <c r="BK106" s="56" t="s">
        <v>99</v>
      </c>
      <c r="BL106" s="56" t="s">
        <v>99</v>
      </c>
      <c r="BM106" s="56" t="s">
        <v>99</v>
      </c>
      <c r="BN106" s="56" t="s">
        <v>99</v>
      </c>
      <c r="BO106" s="56" t="s">
        <v>99</v>
      </c>
      <c r="BP106" s="62" t="s">
        <v>99</v>
      </c>
    </row>
    <row r="107" spans="2:68">
      <c r="B107" s="58">
        <v>4</v>
      </c>
      <c r="C107" s="59">
        <v>15</v>
      </c>
      <c r="D107" s="59" t="s">
        <v>102</v>
      </c>
      <c r="E107" s="60">
        <f>'[1]Master File'!B106</f>
        <v>46120</v>
      </c>
      <c r="F107" s="61" t="str">
        <f>'[1]Master File'!C106</f>
        <v>Explorer + 6PM</v>
      </c>
      <c r="G107" s="39"/>
      <c r="I107" s="56" t="s">
        <v>99</v>
      </c>
      <c r="J107" s="56" t="s">
        <v>99</v>
      </c>
      <c r="K107" s="56" t="s">
        <v>99</v>
      </c>
      <c r="L107" s="56" t="s">
        <v>23</v>
      </c>
      <c r="M107" s="56" t="s">
        <v>99</v>
      </c>
      <c r="N107" s="56" t="s">
        <v>99</v>
      </c>
      <c r="O107" s="56" t="s">
        <v>99</v>
      </c>
      <c r="P107" s="56" t="s">
        <v>99</v>
      </c>
      <c r="Q107" s="56" t="s">
        <v>99</v>
      </c>
      <c r="R107" s="56" t="s">
        <v>99</v>
      </c>
      <c r="S107" s="56" t="s">
        <v>99</v>
      </c>
      <c r="T107" s="56" t="s">
        <v>99</v>
      </c>
      <c r="U107" s="56" t="s">
        <v>99</v>
      </c>
      <c r="V107" s="56" t="s">
        <v>99</v>
      </c>
      <c r="W107" s="56" t="s">
        <v>99</v>
      </c>
      <c r="X107" s="56" t="s">
        <v>99</v>
      </c>
      <c r="Y107" s="56" t="s">
        <v>23</v>
      </c>
      <c r="Z107" s="56" t="s">
        <v>99</v>
      </c>
      <c r="AA107" s="56" t="s">
        <v>99</v>
      </c>
      <c r="AB107" s="56" t="s">
        <v>99</v>
      </c>
      <c r="AC107" s="56" t="s">
        <v>23</v>
      </c>
      <c r="AD107" s="56" t="s">
        <v>99</v>
      </c>
      <c r="AE107" s="56" t="s">
        <v>99</v>
      </c>
      <c r="AF107" s="56" t="s">
        <v>99</v>
      </c>
      <c r="AG107" s="56" t="s">
        <v>23</v>
      </c>
      <c r="AH107" s="56" t="s">
        <v>99</v>
      </c>
      <c r="AI107" s="56" t="s">
        <v>99</v>
      </c>
      <c r="AJ107" s="56" t="s">
        <v>99</v>
      </c>
      <c r="AK107" s="56" t="s">
        <v>23</v>
      </c>
      <c r="AL107" s="56" t="s">
        <v>99</v>
      </c>
      <c r="AM107" s="56" t="s">
        <v>99</v>
      </c>
      <c r="AN107" s="56" t="s">
        <v>99</v>
      </c>
      <c r="AO107" s="56" t="s">
        <v>99</v>
      </c>
      <c r="AP107" s="56" t="s">
        <v>99</v>
      </c>
      <c r="AQ107" s="56" t="s">
        <v>99</v>
      </c>
      <c r="AR107" s="56" t="s">
        <v>99</v>
      </c>
      <c r="AS107" s="56" t="s">
        <v>99</v>
      </c>
      <c r="AT107" s="56" t="s">
        <v>99</v>
      </c>
      <c r="AU107" s="56" t="s">
        <v>99</v>
      </c>
      <c r="AV107" s="56" t="s">
        <v>99</v>
      </c>
      <c r="AW107" s="56" t="s">
        <v>99</v>
      </c>
      <c r="AX107" s="56" t="s">
        <v>99</v>
      </c>
      <c r="AY107" s="56" t="s">
        <v>99</v>
      </c>
      <c r="AZ107" s="56" t="s">
        <v>99</v>
      </c>
      <c r="BA107" s="56" t="s">
        <v>99</v>
      </c>
      <c r="BB107" s="56" t="s">
        <v>99</v>
      </c>
      <c r="BC107" s="56" t="s">
        <v>99</v>
      </c>
      <c r="BD107" s="56" t="s">
        <v>99</v>
      </c>
      <c r="BE107" s="56" t="s">
        <v>99</v>
      </c>
      <c r="BF107" s="56" t="s">
        <v>99</v>
      </c>
      <c r="BG107" s="56" t="s">
        <v>99</v>
      </c>
      <c r="BH107" s="56" t="s">
        <v>99</v>
      </c>
      <c r="BI107" s="56" t="s">
        <v>99</v>
      </c>
      <c r="BJ107" s="56" t="s">
        <v>99</v>
      </c>
      <c r="BK107" s="56" t="s">
        <v>99</v>
      </c>
      <c r="BL107" s="56" t="s">
        <v>99</v>
      </c>
      <c r="BM107" s="56" t="s">
        <v>99</v>
      </c>
      <c r="BN107" s="56" t="s">
        <v>99</v>
      </c>
      <c r="BO107" s="56" t="s">
        <v>99</v>
      </c>
      <c r="BP107" s="62" t="s">
        <v>99</v>
      </c>
    </row>
    <row r="108" spans="2:68">
      <c r="B108" s="58">
        <v>4</v>
      </c>
      <c r="C108" s="59">
        <v>15</v>
      </c>
      <c r="D108" s="59" t="s">
        <v>103</v>
      </c>
      <c r="E108" s="60">
        <f>'[1]Master File'!B107</f>
        <v>46121</v>
      </c>
      <c r="F108" s="61" t="str">
        <f>'[1]Master File'!C107</f>
        <v>Explorer + 6PM</v>
      </c>
      <c r="G108" s="39"/>
      <c r="I108" s="56" t="s">
        <v>99</v>
      </c>
      <c r="J108" s="56" t="s">
        <v>99</v>
      </c>
      <c r="K108" s="56" t="s">
        <v>99</v>
      </c>
      <c r="L108" s="56" t="s">
        <v>23</v>
      </c>
      <c r="M108" s="56" t="s">
        <v>99</v>
      </c>
      <c r="N108" s="56" t="s">
        <v>99</v>
      </c>
      <c r="O108" s="56" t="s">
        <v>99</v>
      </c>
      <c r="P108" s="56" t="s">
        <v>99</v>
      </c>
      <c r="Q108" s="56" t="s">
        <v>99</v>
      </c>
      <c r="R108" s="56" t="s">
        <v>99</v>
      </c>
      <c r="S108" s="56" t="s">
        <v>99</v>
      </c>
      <c r="T108" s="56" t="s">
        <v>99</v>
      </c>
      <c r="U108" s="56" t="s">
        <v>99</v>
      </c>
      <c r="V108" s="56" t="s">
        <v>99</v>
      </c>
      <c r="W108" s="56" t="s">
        <v>99</v>
      </c>
      <c r="X108" s="56" t="s">
        <v>99</v>
      </c>
      <c r="Y108" s="56" t="s">
        <v>23</v>
      </c>
      <c r="Z108" s="56" t="s">
        <v>99</v>
      </c>
      <c r="AA108" s="56" t="s">
        <v>99</v>
      </c>
      <c r="AB108" s="56" t="s">
        <v>99</v>
      </c>
      <c r="AC108" s="56" t="s">
        <v>23</v>
      </c>
      <c r="AD108" s="56" t="s">
        <v>99</v>
      </c>
      <c r="AE108" s="56" t="s">
        <v>99</v>
      </c>
      <c r="AF108" s="56" t="s">
        <v>99</v>
      </c>
      <c r="AG108" s="56" t="s">
        <v>23</v>
      </c>
      <c r="AH108" s="56" t="s">
        <v>99</v>
      </c>
      <c r="AI108" s="56" t="s">
        <v>99</v>
      </c>
      <c r="AJ108" s="56" t="s">
        <v>99</v>
      </c>
      <c r="AK108" s="56" t="s">
        <v>23</v>
      </c>
      <c r="AL108" s="56" t="s">
        <v>99</v>
      </c>
      <c r="AM108" s="56" t="s">
        <v>99</v>
      </c>
      <c r="AN108" s="56" t="s">
        <v>99</v>
      </c>
      <c r="AO108" s="56" t="s">
        <v>99</v>
      </c>
      <c r="AP108" s="56" t="s">
        <v>99</v>
      </c>
      <c r="AQ108" s="56" t="s">
        <v>99</v>
      </c>
      <c r="AR108" s="56" t="s">
        <v>99</v>
      </c>
      <c r="AS108" s="56" t="s">
        <v>99</v>
      </c>
      <c r="AT108" s="56" t="s">
        <v>99</v>
      </c>
      <c r="AU108" s="56" t="s">
        <v>99</v>
      </c>
      <c r="AV108" s="56" t="s">
        <v>99</v>
      </c>
      <c r="AW108" s="56" t="s">
        <v>99</v>
      </c>
      <c r="AX108" s="56" t="s">
        <v>99</v>
      </c>
      <c r="AY108" s="56" t="s">
        <v>99</v>
      </c>
      <c r="AZ108" s="56" t="s">
        <v>99</v>
      </c>
      <c r="BA108" s="56" t="s">
        <v>99</v>
      </c>
      <c r="BB108" s="56" t="s">
        <v>99</v>
      </c>
      <c r="BC108" s="56" t="s">
        <v>99</v>
      </c>
      <c r="BD108" s="56" t="s">
        <v>99</v>
      </c>
      <c r="BE108" s="56" t="s">
        <v>99</v>
      </c>
      <c r="BF108" s="56" t="s">
        <v>99</v>
      </c>
      <c r="BG108" s="56" t="s">
        <v>99</v>
      </c>
      <c r="BH108" s="56" t="s">
        <v>99</v>
      </c>
      <c r="BI108" s="56" t="s">
        <v>99</v>
      </c>
      <c r="BJ108" s="56" t="s">
        <v>99</v>
      </c>
      <c r="BK108" s="56" t="s">
        <v>99</v>
      </c>
      <c r="BL108" s="56" t="s">
        <v>99</v>
      </c>
      <c r="BM108" s="56" t="s">
        <v>99</v>
      </c>
      <c r="BN108" s="56" t="s">
        <v>99</v>
      </c>
      <c r="BO108" s="56" t="s">
        <v>99</v>
      </c>
      <c r="BP108" s="62" t="s">
        <v>99</v>
      </c>
    </row>
    <row r="109" spans="2:68">
      <c r="B109" s="58">
        <v>4</v>
      </c>
      <c r="C109" s="59">
        <v>15</v>
      </c>
      <c r="D109" s="59" t="s">
        <v>104</v>
      </c>
      <c r="E109" s="60">
        <f>'[1]Master File'!B108</f>
        <v>46122</v>
      </c>
      <c r="F109" s="61" t="str">
        <f>'[1]Master File'!C108</f>
        <v>Explorer + 6PM</v>
      </c>
      <c r="G109" s="39"/>
      <c r="I109" s="56" t="s">
        <v>99</v>
      </c>
      <c r="J109" s="56" t="s">
        <v>99</v>
      </c>
      <c r="K109" s="56" t="s">
        <v>99</v>
      </c>
      <c r="L109" s="56" t="s">
        <v>23</v>
      </c>
      <c r="M109" s="56" t="s">
        <v>99</v>
      </c>
      <c r="N109" s="56" t="s">
        <v>99</v>
      </c>
      <c r="O109" s="56" t="s">
        <v>99</v>
      </c>
      <c r="P109" s="56" t="s">
        <v>99</v>
      </c>
      <c r="Q109" s="56" t="s">
        <v>99</v>
      </c>
      <c r="R109" s="56" t="s">
        <v>99</v>
      </c>
      <c r="S109" s="56" t="s">
        <v>99</v>
      </c>
      <c r="T109" s="56" t="s">
        <v>99</v>
      </c>
      <c r="U109" s="56" t="s">
        <v>99</v>
      </c>
      <c r="V109" s="56" t="s">
        <v>99</v>
      </c>
      <c r="W109" s="56" t="s">
        <v>99</v>
      </c>
      <c r="X109" s="56" t="s">
        <v>99</v>
      </c>
      <c r="Y109" s="56" t="s">
        <v>23</v>
      </c>
      <c r="Z109" s="56" t="s">
        <v>99</v>
      </c>
      <c r="AA109" s="56" t="s">
        <v>99</v>
      </c>
      <c r="AB109" s="56" t="s">
        <v>99</v>
      </c>
      <c r="AC109" s="56" t="s">
        <v>23</v>
      </c>
      <c r="AD109" s="56" t="s">
        <v>99</v>
      </c>
      <c r="AE109" s="56" t="s">
        <v>99</v>
      </c>
      <c r="AF109" s="56" t="s">
        <v>99</v>
      </c>
      <c r="AG109" s="56" t="s">
        <v>23</v>
      </c>
      <c r="AH109" s="56" t="s">
        <v>99</v>
      </c>
      <c r="AI109" s="56" t="s">
        <v>99</v>
      </c>
      <c r="AJ109" s="56" t="s">
        <v>99</v>
      </c>
      <c r="AK109" s="56" t="s">
        <v>23</v>
      </c>
      <c r="AL109" s="56" t="s">
        <v>99</v>
      </c>
      <c r="AM109" s="56" t="s">
        <v>99</v>
      </c>
      <c r="AN109" s="56" t="s">
        <v>99</v>
      </c>
      <c r="AO109" s="56" t="s">
        <v>99</v>
      </c>
      <c r="AP109" s="56" t="s">
        <v>99</v>
      </c>
      <c r="AQ109" s="56" t="s">
        <v>99</v>
      </c>
      <c r="AR109" s="56" t="s">
        <v>99</v>
      </c>
      <c r="AS109" s="56" t="s">
        <v>99</v>
      </c>
      <c r="AT109" s="56" t="s">
        <v>99</v>
      </c>
      <c r="AU109" s="56" t="s">
        <v>99</v>
      </c>
      <c r="AV109" s="56" t="s">
        <v>99</v>
      </c>
      <c r="AW109" s="56" t="s">
        <v>99</v>
      </c>
      <c r="AX109" s="56" t="s">
        <v>99</v>
      </c>
      <c r="AY109" s="56" t="s">
        <v>99</v>
      </c>
      <c r="AZ109" s="56" t="s">
        <v>99</v>
      </c>
      <c r="BA109" s="56" t="s">
        <v>99</v>
      </c>
      <c r="BB109" s="56" t="s">
        <v>99</v>
      </c>
      <c r="BC109" s="56" t="s">
        <v>99</v>
      </c>
      <c r="BD109" s="56" t="s">
        <v>99</v>
      </c>
      <c r="BE109" s="56" t="s">
        <v>99</v>
      </c>
      <c r="BF109" s="56" t="s">
        <v>99</v>
      </c>
      <c r="BG109" s="56" t="s">
        <v>99</v>
      </c>
      <c r="BH109" s="56" t="s">
        <v>99</v>
      </c>
      <c r="BI109" s="56" t="s">
        <v>99</v>
      </c>
      <c r="BJ109" s="56" t="s">
        <v>99</v>
      </c>
      <c r="BK109" s="56" t="s">
        <v>99</v>
      </c>
      <c r="BL109" s="56" t="s">
        <v>99</v>
      </c>
      <c r="BM109" s="56" t="s">
        <v>99</v>
      </c>
      <c r="BN109" s="56" t="s">
        <v>99</v>
      </c>
      <c r="BO109" s="56" t="s">
        <v>99</v>
      </c>
      <c r="BP109" s="62" t="s">
        <v>99</v>
      </c>
    </row>
    <row r="110" spans="2:68">
      <c r="B110" s="58">
        <v>4</v>
      </c>
      <c r="C110" s="59">
        <v>15</v>
      </c>
      <c r="D110" s="59" t="s">
        <v>105</v>
      </c>
      <c r="E110" s="60">
        <f>'[1]Master File'!B109</f>
        <v>46123</v>
      </c>
      <c r="F110" s="61" t="str">
        <f>'[1]Master File'!C109</f>
        <v>Explorer + 6PM</v>
      </c>
      <c r="G110" s="39"/>
      <c r="I110" s="63" t="s">
        <v>99</v>
      </c>
      <c r="J110" s="63" t="s">
        <v>99</v>
      </c>
      <c r="K110" s="63" t="s">
        <v>99</v>
      </c>
      <c r="L110" s="63" t="s">
        <v>23</v>
      </c>
      <c r="M110" s="63" t="s">
        <v>99</v>
      </c>
      <c r="N110" s="63" t="s">
        <v>99</v>
      </c>
      <c r="O110" s="63" t="s">
        <v>99</v>
      </c>
      <c r="P110" s="63" t="s">
        <v>99</v>
      </c>
      <c r="Q110" s="63" t="s">
        <v>99</v>
      </c>
      <c r="R110" s="63" t="s">
        <v>99</v>
      </c>
      <c r="S110" s="63" t="s">
        <v>99</v>
      </c>
      <c r="T110" s="63" t="s">
        <v>99</v>
      </c>
      <c r="U110" s="63" t="s">
        <v>99</v>
      </c>
      <c r="V110" s="63" t="s">
        <v>99</v>
      </c>
      <c r="W110" s="63" t="s">
        <v>99</v>
      </c>
      <c r="X110" s="63" t="s">
        <v>99</v>
      </c>
      <c r="Y110" s="56" t="s">
        <v>23</v>
      </c>
      <c r="Z110" s="63" t="s">
        <v>99</v>
      </c>
      <c r="AA110" s="63" t="s">
        <v>99</v>
      </c>
      <c r="AB110" s="63" t="s">
        <v>99</v>
      </c>
      <c r="AC110" s="63" t="s">
        <v>23</v>
      </c>
      <c r="AD110" s="63" t="s">
        <v>99</v>
      </c>
      <c r="AE110" s="63" t="s">
        <v>99</v>
      </c>
      <c r="AF110" s="63" t="s">
        <v>99</v>
      </c>
      <c r="AG110" s="63" t="s">
        <v>23</v>
      </c>
      <c r="AH110" s="63" t="s">
        <v>99</v>
      </c>
      <c r="AI110" s="63" t="s">
        <v>99</v>
      </c>
      <c r="AJ110" s="63" t="s">
        <v>99</v>
      </c>
      <c r="AK110" s="63" t="s">
        <v>23</v>
      </c>
      <c r="AL110" s="63" t="s">
        <v>99</v>
      </c>
      <c r="AM110" s="63" t="s">
        <v>99</v>
      </c>
      <c r="AN110" s="63" t="s">
        <v>99</v>
      </c>
      <c r="AO110" s="63" t="s">
        <v>99</v>
      </c>
      <c r="AP110" s="63" t="s">
        <v>99</v>
      </c>
      <c r="AQ110" s="63" t="s">
        <v>23</v>
      </c>
      <c r="AR110" s="63" t="s">
        <v>99</v>
      </c>
      <c r="AS110" s="63" t="s">
        <v>99</v>
      </c>
      <c r="AT110" s="63" t="s">
        <v>99</v>
      </c>
      <c r="AU110" s="63" t="s">
        <v>99</v>
      </c>
      <c r="AV110" s="63" t="s">
        <v>99</v>
      </c>
      <c r="AW110" s="63" t="s">
        <v>99</v>
      </c>
      <c r="AX110" s="63" t="s">
        <v>99</v>
      </c>
      <c r="AY110" s="63" t="s">
        <v>99</v>
      </c>
      <c r="AZ110" s="63" t="s">
        <v>99</v>
      </c>
      <c r="BA110" s="63" t="s">
        <v>99</v>
      </c>
      <c r="BB110" s="63" t="s">
        <v>99</v>
      </c>
      <c r="BC110" s="63" t="s">
        <v>99</v>
      </c>
      <c r="BD110" s="63" t="s">
        <v>99</v>
      </c>
      <c r="BE110" s="63" t="s">
        <v>99</v>
      </c>
      <c r="BF110" s="63" t="s">
        <v>99</v>
      </c>
      <c r="BG110" s="63" t="s">
        <v>99</v>
      </c>
      <c r="BH110" s="63" t="s">
        <v>99</v>
      </c>
      <c r="BI110" s="63" t="s">
        <v>99</v>
      </c>
      <c r="BJ110" s="63" t="s">
        <v>99</v>
      </c>
      <c r="BK110" s="63" t="s">
        <v>99</v>
      </c>
      <c r="BL110" s="63" t="s">
        <v>99</v>
      </c>
      <c r="BM110" s="63" t="s">
        <v>99</v>
      </c>
      <c r="BN110" s="63" t="s">
        <v>99</v>
      </c>
      <c r="BO110" s="63" t="s">
        <v>99</v>
      </c>
      <c r="BP110" s="64" t="s">
        <v>99</v>
      </c>
    </row>
    <row r="111" spans="2:68">
      <c r="B111" s="58">
        <v>4</v>
      </c>
      <c r="C111" s="59">
        <v>16</v>
      </c>
      <c r="D111" s="59" t="s">
        <v>98</v>
      </c>
      <c r="E111" s="60">
        <f>'[1]Master File'!B110</f>
        <v>46124</v>
      </c>
      <c r="F111" s="61" t="str">
        <f>'[1]Master File'!C110</f>
        <v>Explorer 6PM</v>
      </c>
      <c r="G111" s="39"/>
      <c r="I111" s="63" t="s">
        <v>99</v>
      </c>
      <c r="J111" s="63" t="s">
        <v>99</v>
      </c>
      <c r="K111" s="63" t="s">
        <v>99</v>
      </c>
      <c r="L111" s="63" t="s">
        <v>23</v>
      </c>
      <c r="M111" s="63" t="s">
        <v>99</v>
      </c>
      <c r="N111" s="63" t="s">
        <v>99</v>
      </c>
      <c r="O111" s="63" t="s">
        <v>99</v>
      </c>
      <c r="P111" s="63" t="s">
        <v>99</v>
      </c>
      <c r="Q111" s="63" t="s">
        <v>99</v>
      </c>
      <c r="R111" s="63" t="s">
        <v>99</v>
      </c>
      <c r="S111" s="63" t="s">
        <v>99</v>
      </c>
      <c r="T111" s="63" t="s">
        <v>99</v>
      </c>
      <c r="U111" s="63" t="s">
        <v>99</v>
      </c>
      <c r="V111" s="63" t="s">
        <v>99</v>
      </c>
      <c r="W111" s="63" t="s">
        <v>99</v>
      </c>
      <c r="X111" s="63" t="s">
        <v>99</v>
      </c>
      <c r="Y111" s="56" t="s">
        <v>23</v>
      </c>
      <c r="Z111" s="63" t="s">
        <v>99</v>
      </c>
      <c r="AA111" s="63" t="s">
        <v>99</v>
      </c>
      <c r="AB111" s="63" t="s">
        <v>99</v>
      </c>
      <c r="AC111" s="63" t="s">
        <v>23</v>
      </c>
      <c r="AD111" s="63" t="s">
        <v>99</v>
      </c>
      <c r="AE111" s="63" t="s">
        <v>99</v>
      </c>
      <c r="AF111" s="63" t="s">
        <v>99</v>
      </c>
      <c r="AG111" s="63" t="s">
        <v>23</v>
      </c>
      <c r="AH111" s="63" t="s">
        <v>99</v>
      </c>
      <c r="AI111" s="63" t="s">
        <v>99</v>
      </c>
      <c r="AJ111" s="63" t="s">
        <v>99</v>
      </c>
      <c r="AK111" s="63" t="s">
        <v>23</v>
      </c>
      <c r="AL111" s="63" t="s">
        <v>99</v>
      </c>
      <c r="AM111" s="63" t="s">
        <v>99</v>
      </c>
      <c r="AN111" s="63" t="s">
        <v>99</v>
      </c>
      <c r="AO111" s="63" t="s">
        <v>99</v>
      </c>
      <c r="AP111" s="63" t="s">
        <v>99</v>
      </c>
      <c r="AQ111" s="63" t="s">
        <v>23</v>
      </c>
      <c r="AR111" s="63" t="s">
        <v>99</v>
      </c>
      <c r="AS111" s="63" t="s">
        <v>99</v>
      </c>
      <c r="AT111" s="63" t="s">
        <v>99</v>
      </c>
      <c r="AU111" s="63" t="s">
        <v>99</v>
      </c>
      <c r="AV111" s="63" t="s">
        <v>99</v>
      </c>
      <c r="AW111" s="63" t="s">
        <v>99</v>
      </c>
      <c r="AX111" s="63" t="s">
        <v>99</v>
      </c>
      <c r="AY111" s="63" t="s">
        <v>99</v>
      </c>
      <c r="AZ111" s="63" t="s">
        <v>99</v>
      </c>
      <c r="BA111" s="63" t="s">
        <v>99</v>
      </c>
      <c r="BB111" s="63" t="s">
        <v>99</v>
      </c>
      <c r="BC111" s="63" t="s">
        <v>99</v>
      </c>
      <c r="BD111" s="63" t="s">
        <v>99</v>
      </c>
      <c r="BE111" s="63" t="s">
        <v>99</v>
      </c>
      <c r="BF111" s="63" t="s">
        <v>99</v>
      </c>
      <c r="BG111" s="63" t="s">
        <v>99</v>
      </c>
      <c r="BH111" s="63" t="s">
        <v>99</v>
      </c>
      <c r="BI111" s="63" t="s">
        <v>99</v>
      </c>
      <c r="BJ111" s="63" t="s">
        <v>99</v>
      </c>
      <c r="BK111" s="63" t="s">
        <v>99</v>
      </c>
      <c r="BL111" s="63" t="s">
        <v>99</v>
      </c>
      <c r="BM111" s="63" t="s">
        <v>99</v>
      </c>
      <c r="BN111" s="63" t="s">
        <v>99</v>
      </c>
      <c r="BO111" s="63" t="s">
        <v>99</v>
      </c>
      <c r="BP111" s="64" t="s">
        <v>99</v>
      </c>
    </row>
    <row r="112" spans="2:68">
      <c r="B112" s="58">
        <v>4</v>
      </c>
      <c r="C112" s="59">
        <v>16</v>
      </c>
      <c r="D112" s="59" t="s">
        <v>100</v>
      </c>
      <c r="E112" s="60">
        <f>'[1]Master File'!B111</f>
        <v>46125</v>
      </c>
      <c r="F112" s="61" t="str">
        <f>'[1]Master File'!C111</f>
        <v>Explorer 5PM</v>
      </c>
      <c r="G112" s="39"/>
      <c r="I112" s="56" t="s">
        <v>99</v>
      </c>
      <c r="J112" s="56" t="s">
        <v>99</v>
      </c>
      <c r="K112" s="56" t="s">
        <v>99</v>
      </c>
      <c r="L112" s="56" t="s">
        <v>23</v>
      </c>
      <c r="M112" s="56" t="s">
        <v>99</v>
      </c>
      <c r="N112" s="56" t="s">
        <v>99</v>
      </c>
      <c r="O112" s="56" t="s">
        <v>99</v>
      </c>
      <c r="P112" s="56" t="s">
        <v>99</v>
      </c>
      <c r="Q112" s="56" t="s">
        <v>99</v>
      </c>
      <c r="R112" s="56" t="s">
        <v>99</v>
      </c>
      <c r="S112" s="56" t="s">
        <v>99</v>
      </c>
      <c r="T112" s="56" t="s">
        <v>99</v>
      </c>
      <c r="U112" s="56" t="s">
        <v>99</v>
      </c>
      <c r="V112" s="56" t="s">
        <v>99</v>
      </c>
      <c r="W112" s="56" t="s">
        <v>99</v>
      </c>
      <c r="X112" s="56" t="s">
        <v>99</v>
      </c>
      <c r="Y112" s="56" t="s">
        <v>23</v>
      </c>
      <c r="Z112" s="56" t="s">
        <v>99</v>
      </c>
      <c r="AA112" s="56" t="s">
        <v>99</v>
      </c>
      <c r="AB112" s="56" t="s">
        <v>23</v>
      </c>
      <c r="AC112" s="56" t="s">
        <v>99</v>
      </c>
      <c r="AD112" s="56" t="s">
        <v>99</v>
      </c>
      <c r="AE112" s="56" t="s">
        <v>99</v>
      </c>
      <c r="AF112" s="56" t="s">
        <v>99</v>
      </c>
      <c r="AG112" s="56" t="s">
        <v>23</v>
      </c>
      <c r="AH112" s="56" t="s">
        <v>99</v>
      </c>
      <c r="AI112" s="56" t="s">
        <v>99</v>
      </c>
      <c r="AJ112" s="56" t="s">
        <v>99</v>
      </c>
      <c r="AK112" s="56" t="s">
        <v>23</v>
      </c>
      <c r="AL112" s="56" t="s">
        <v>99</v>
      </c>
      <c r="AM112" s="56" t="s">
        <v>99</v>
      </c>
      <c r="AN112" s="56" t="s">
        <v>99</v>
      </c>
      <c r="AO112" s="56" t="s">
        <v>99</v>
      </c>
      <c r="AP112" s="56" t="s">
        <v>99</v>
      </c>
      <c r="AQ112" s="56" t="s">
        <v>99</v>
      </c>
      <c r="AR112" s="56" t="s">
        <v>99</v>
      </c>
      <c r="AS112" s="56" t="s">
        <v>99</v>
      </c>
      <c r="AT112" s="56" t="s">
        <v>99</v>
      </c>
      <c r="AU112" s="56" t="s">
        <v>99</v>
      </c>
      <c r="AV112" s="56" t="s">
        <v>99</v>
      </c>
      <c r="AW112" s="56" t="s">
        <v>99</v>
      </c>
      <c r="AX112" s="56" t="s">
        <v>99</v>
      </c>
      <c r="AY112" s="56" t="s">
        <v>99</v>
      </c>
      <c r="AZ112" s="56" t="s">
        <v>99</v>
      </c>
      <c r="BA112" s="56" t="s">
        <v>99</v>
      </c>
      <c r="BB112" s="56" t="s">
        <v>99</v>
      </c>
      <c r="BC112" s="56" t="s">
        <v>99</v>
      </c>
      <c r="BD112" s="56" t="s">
        <v>99</v>
      </c>
      <c r="BE112" s="56" t="s">
        <v>99</v>
      </c>
      <c r="BF112" s="56" t="s">
        <v>99</v>
      </c>
      <c r="BG112" s="56" t="s">
        <v>99</v>
      </c>
      <c r="BH112" s="56" t="s">
        <v>99</v>
      </c>
      <c r="BI112" s="56" t="s">
        <v>99</v>
      </c>
      <c r="BJ112" s="56" t="s">
        <v>99</v>
      </c>
      <c r="BK112" s="56" t="s">
        <v>99</v>
      </c>
      <c r="BL112" s="56" t="s">
        <v>99</v>
      </c>
      <c r="BM112" s="56" t="s">
        <v>99</v>
      </c>
      <c r="BN112" s="56" t="s">
        <v>99</v>
      </c>
      <c r="BO112" s="56" t="s">
        <v>99</v>
      </c>
      <c r="BP112" s="62" t="s">
        <v>99</v>
      </c>
    </row>
    <row r="113" spans="2:68">
      <c r="B113" s="58">
        <v>4</v>
      </c>
      <c r="C113" s="59">
        <v>16</v>
      </c>
      <c r="D113" s="59" t="s">
        <v>101</v>
      </c>
      <c r="E113" s="60">
        <f>'[1]Master File'!B112</f>
        <v>46126</v>
      </c>
      <c r="F113" s="61" t="str">
        <f>'[1]Master File'!C112</f>
        <v>Closed</v>
      </c>
      <c r="G113" s="39"/>
      <c r="I113" s="56" t="s">
        <v>99</v>
      </c>
      <c r="J113" s="56" t="s">
        <v>99</v>
      </c>
      <c r="K113" s="56" t="s">
        <v>99</v>
      </c>
      <c r="L113" s="56" t="s">
        <v>23</v>
      </c>
      <c r="M113" s="56" t="s">
        <v>99</v>
      </c>
      <c r="N113" s="56" t="s">
        <v>99</v>
      </c>
      <c r="O113" s="56" t="s">
        <v>99</v>
      </c>
      <c r="P113" s="56" t="s">
        <v>99</v>
      </c>
      <c r="Q113" s="56" t="s">
        <v>99</v>
      </c>
      <c r="R113" s="56" t="s">
        <v>99</v>
      </c>
      <c r="S113" s="56" t="s">
        <v>99</v>
      </c>
      <c r="T113" s="56" t="s">
        <v>99</v>
      </c>
      <c r="U113" s="56" t="s">
        <v>99</v>
      </c>
      <c r="V113" s="56" t="s">
        <v>99</v>
      </c>
      <c r="W113" s="56" t="s">
        <v>99</v>
      </c>
      <c r="X113" s="56" t="s">
        <v>99</v>
      </c>
      <c r="Y113" s="56" t="s">
        <v>23</v>
      </c>
      <c r="Z113" s="56" t="s">
        <v>99</v>
      </c>
      <c r="AA113" s="56" t="s">
        <v>99</v>
      </c>
      <c r="AB113" s="56" t="s">
        <v>23</v>
      </c>
      <c r="AC113" s="56" t="s">
        <v>23</v>
      </c>
      <c r="AD113" s="56" t="s">
        <v>99</v>
      </c>
      <c r="AE113" s="56" t="s">
        <v>99</v>
      </c>
      <c r="AF113" s="56" t="s">
        <v>99</v>
      </c>
      <c r="AG113" s="56" t="s">
        <v>23</v>
      </c>
      <c r="AH113" s="56" t="s">
        <v>99</v>
      </c>
      <c r="AI113" s="56" t="s">
        <v>99</v>
      </c>
      <c r="AJ113" s="56" t="s">
        <v>99</v>
      </c>
      <c r="AK113" s="56" t="s">
        <v>23</v>
      </c>
      <c r="AL113" s="56" t="s">
        <v>99</v>
      </c>
      <c r="AM113" s="56" t="s">
        <v>99</v>
      </c>
      <c r="AN113" s="56" t="s">
        <v>99</v>
      </c>
      <c r="AO113" s="56" t="s">
        <v>99</v>
      </c>
      <c r="AP113" s="56" t="s">
        <v>99</v>
      </c>
      <c r="AQ113" s="56" t="s">
        <v>99</v>
      </c>
      <c r="AR113" s="56" t="s">
        <v>99</v>
      </c>
      <c r="AS113" s="56" t="s">
        <v>99</v>
      </c>
      <c r="AT113" s="56" t="s">
        <v>99</v>
      </c>
      <c r="AU113" s="56" t="s">
        <v>99</v>
      </c>
      <c r="AV113" s="56" t="s">
        <v>99</v>
      </c>
      <c r="AW113" s="56" t="s">
        <v>99</v>
      </c>
      <c r="AX113" s="56" t="s">
        <v>99</v>
      </c>
      <c r="AY113" s="56" t="s">
        <v>99</v>
      </c>
      <c r="AZ113" s="56" t="s">
        <v>99</v>
      </c>
      <c r="BA113" s="56" t="s">
        <v>99</v>
      </c>
      <c r="BB113" s="56" t="s">
        <v>99</v>
      </c>
      <c r="BC113" s="56" t="s">
        <v>99</v>
      </c>
      <c r="BD113" s="56" t="s">
        <v>99</v>
      </c>
      <c r="BE113" s="56" t="s">
        <v>99</v>
      </c>
      <c r="BF113" s="56" t="s">
        <v>99</v>
      </c>
      <c r="BG113" s="56" t="s">
        <v>99</v>
      </c>
      <c r="BH113" s="56" t="s">
        <v>99</v>
      </c>
      <c r="BI113" s="56" t="s">
        <v>99</v>
      </c>
      <c r="BJ113" s="56" t="s">
        <v>99</v>
      </c>
      <c r="BK113" s="56" t="s">
        <v>99</v>
      </c>
      <c r="BL113" s="56" t="s">
        <v>99</v>
      </c>
      <c r="BM113" s="56" t="s">
        <v>99</v>
      </c>
      <c r="BN113" s="56" t="s">
        <v>99</v>
      </c>
      <c r="BO113" s="56" t="s">
        <v>99</v>
      </c>
      <c r="BP113" s="62" t="s">
        <v>99</v>
      </c>
    </row>
    <row r="114" spans="2:68">
      <c r="B114" s="58">
        <v>4</v>
      </c>
      <c r="C114" s="59">
        <v>16</v>
      </c>
      <c r="D114" s="59" t="s">
        <v>102</v>
      </c>
      <c r="E114" s="60">
        <f>'[1]Master File'!B113</f>
        <v>46127</v>
      </c>
      <c r="F114" s="61" t="str">
        <f>'[1]Master File'!C113</f>
        <v>Closed</v>
      </c>
      <c r="G114" s="39"/>
      <c r="I114" s="56" t="s">
        <v>99</v>
      </c>
      <c r="J114" s="56" t="s">
        <v>99</v>
      </c>
      <c r="K114" s="56" t="s">
        <v>99</v>
      </c>
      <c r="L114" s="56" t="s">
        <v>23</v>
      </c>
      <c r="M114" s="56" t="s">
        <v>99</v>
      </c>
      <c r="N114" s="56" t="s">
        <v>99</v>
      </c>
      <c r="O114" s="56" t="s">
        <v>99</v>
      </c>
      <c r="P114" s="56" t="s">
        <v>99</v>
      </c>
      <c r="Q114" s="56" t="s">
        <v>99</v>
      </c>
      <c r="R114" s="56" t="s">
        <v>99</v>
      </c>
      <c r="S114" s="56" t="s">
        <v>99</v>
      </c>
      <c r="T114" s="56" t="s">
        <v>99</v>
      </c>
      <c r="U114" s="56" t="s">
        <v>99</v>
      </c>
      <c r="V114" s="56" t="s">
        <v>99</v>
      </c>
      <c r="W114" s="56" t="s">
        <v>99</v>
      </c>
      <c r="X114" s="56" t="s">
        <v>99</v>
      </c>
      <c r="Y114" s="56" t="s">
        <v>23</v>
      </c>
      <c r="Z114" s="56" t="s">
        <v>99</v>
      </c>
      <c r="AA114" s="56" t="s">
        <v>99</v>
      </c>
      <c r="AB114" s="56" t="s">
        <v>23</v>
      </c>
      <c r="AC114" s="56" t="s">
        <v>23</v>
      </c>
      <c r="AD114" s="56" t="s">
        <v>99</v>
      </c>
      <c r="AE114" s="56" t="s">
        <v>99</v>
      </c>
      <c r="AF114" s="56" t="s">
        <v>99</v>
      </c>
      <c r="AG114" s="56" t="s">
        <v>23</v>
      </c>
      <c r="AH114" s="56" t="s">
        <v>99</v>
      </c>
      <c r="AI114" s="56" t="s">
        <v>99</v>
      </c>
      <c r="AJ114" s="56" t="s">
        <v>99</v>
      </c>
      <c r="AK114" s="56" t="s">
        <v>23</v>
      </c>
      <c r="AL114" s="56" t="s">
        <v>99</v>
      </c>
      <c r="AM114" s="56" t="s">
        <v>99</v>
      </c>
      <c r="AN114" s="56" t="s">
        <v>99</v>
      </c>
      <c r="AO114" s="56" t="s">
        <v>99</v>
      </c>
      <c r="AP114" s="56" t="s">
        <v>99</v>
      </c>
      <c r="AQ114" s="56" t="s">
        <v>99</v>
      </c>
      <c r="AR114" s="56" t="s">
        <v>99</v>
      </c>
      <c r="AS114" s="56" t="s">
        <v>99</v>
      </c>
      <c r="AT114" s="56" t="s">
        <v>99</v>
      </c>
      <c r="AU114" s="56" t="s">
        <v>99</v>
      </c>
      <c r="AV114" s="56" t="s">
        <v>99</v>
      </c>
      <c r="AW114" s="56" t="s">
        <v>99</v>
      </c>
      <c r="AX114" s="56" t="s">
        <v>99</v>
      </c>
      <c r="AY114" s="56" t="s">
        <v>99</v>
      </c>
      <c r="AZ114" s="56" t="s">
        <v>99</v>
      </c>
      <c r="BA114" s="56" t="s">
        <v>99</v>
      </c>
      <c r="BB114" s="56" t="s">
        <v>99</v>
      </c>
      <c r="BC114" s="56" t="s">
        <v>99</v>
      </c>
      <c r="BD114" s="56" t="s">
        <v>99</v>
      </c>
      <c r="BE114" s="56" t="s">
        <v>99</v>
      </c>
      <c r="BF114" s="56" t="s">
        <v>99</v>
      </c>
      <c r="BG114" s="56" t="s">
        <v>99</v>
      </c>
      <c r="BH114" s="56" t="s">
        <v>99</v>
      </c>
      <c r="BI114" s="56" t="s">
        <v>99</v>
      </c>
      <c r="BJ114" s="56" t="s">
        <v>99</v>
      </c>
      <c r="BK114" s="56" t="s">
        <v>99</v>
      </c>
      <c r="BL114" s="56" t="s">
        <v>99</v>
      </c>
      <c r="BM114" s="56" t="s">
        <v>99</v>
      </c>
      <c r="BN114" s="56" t="s">
        <v>99</v>
      </c>
      <c r="BO114" s="56" t="s">
        <v>99</v>
      </c>
      <c r="BP114" s="62" t="s">
        <v>99</v>
      </c>
    </row>
    <row r="115" spans="2:68">
      <c r="B115" s="58">
        <v>4</v>
      </c>
      <c r="C115" s="59">
        <v>16</v>
      </c>
      <c r="D115" s="59" t="s">
        <v>103</v>
      </c>
      <c r="E115" s="60">
        <f>'[1]Master File'!B114</f>
        <v>46128</v>
      </c>
      <c r="F115" s="61" t="str">
        <f>'[1]Master File'!C114</f>
        <v>Lodge 5PM</v>
      </c>
      <c r="G115" s="39"/>
      <c r="I115" s="56" t="s">
        <v>99</v>
      </c>
      <c r="J115" s="56" t="s">
        <v>99</v>
      </c>
      <c r="K115" s="56" t="s">
        <v>99</v>
      </c>
      <c r="L115" s="56" t="s">
        <v>23</v>
      </c>
      <c r="M115" s="56" t="s">
        <v>99</v>
      </c>
      <c r="N115" s="56" t="s">
        <v>99</v>
      </c>
      <c r="O115" s="56" t="s">
        <v>99</v>
      </c>
      <c r="P115" s="56" t="s">
        <v>99</v>
      </c>
      <c r="Q115" s="56" t="s">
        <v>99</v>
      </c>
      <c r="R115" s="56" t="s">
        <v>99</v>
      </c>
      <c r="S115" s="56" t="s">
        <v>99</v>
      </c>
      <c r="T115" s="56" t="s">
        <v>99</v>
      </c>
      <c r="U115" s="56" t="s">
        <v>99</v>
      </c>
      <c r="V115" s="56" t="s">
        <v>99</v>
      </c>
      <c r="W115" s="56" t="s">
        <v>99</v>
      </c>
      <c r="X115" s="56" t="s">
        <v>99</v>
      </c>
      <c r="Y115" s="56" t="s">
        <v>23</v>
      </c>
      <c r="Z115" s="56" t="s">
        <v>99</v>
      </c>
      <c r="AA115" s="56" t="s">
        <v>99</v>
      </c>
      <c r="AB115" s="56" t="s">
        <v>23</v>
      </c>
      <c r="AC115" s="56" t="s">
        <v>23</v>
      </c>
      <c r="AD115" s="56" t="s">
        <v>99</v>
      </c>
      <c r="AE115" s="56" t="s">
        <v>99</v>
      </c>
      <c r="AF115" s="56" t="s">
        <v>99</v>
      </c>
      <c r="AG115" s="56" t="s">
        <v>23</v>
      </c>
      <c r="AH115" s="56" t="s">
        <v>99</v>
      </c>
      <c r="AI115" s="56" t="s">
        <v>99</v>
      </c>
      <c r="AJ115" s="56" t="s">
        <v>99</v>
      </c>
      <c r="AK115" s="56" t="s">
        <v>23</v>
      </c>
      <c r="AL115" s="56" t="s">
        <v>99</v>
      </c>
      <c r="AM115" s="56" t="s">
        <v>99</v>
      </c>
      <c r="AN115" s="56" t="s">
        <v>99</v>
      </c>
      <c r="AO115" s="56" t="s">
        <v>99</v>
      </c>
      <c r="AP115" s="56" t="s">
        <v>99</v>
      </c>
      <c r="AQ115" s="56" t="s">
        <v>99</v>
      </c>
      <c r="AR115" s="56" t="s">
        <v>99</v>
      </c>
      <c r="AS115" s="56" t="s">
        <v>99</v>
      </c>
      <c r="AT115" s="56" t="s">
        <v>99</v>
      </c>
      <c r="AU115" s="56" t="s">
        <v>99</v>
      </c>
      <c r="AV115" s="56" t="s">
        <v>99</v>
      </c>
      <c r="AW115" s="56" t="s">
        <v>99</v>
      </c>
      <c r="AX115" s="56" t="s">
        <v>99</v>
      </c>
      <c r="AY115" s="56" t="s">
        <v>99</v>
      </c>
      <c r="AZ115" s="56" t="s">
        <v>99</v>
      </c>
      <c r="BA115" s="56" t="s">
        <v>99</v>
      </c>
      <c r="BB115" s="56" t="s">
        <v>99</v>
      </c>
      <c r="BC115" s="56" t="s">
        <v>99</v>
      </c>
      <c r="BD115" s="56" t="s">
        <v>99</v>
      </c>
      <c r="BE115" s="56" t="s">
        <v>99</v>
      </c>
      <c r="BF115" s="56" t="s">
        <v>99</v>
      </c>
      <c r="BG115" s="56" t="s">
        <v>99</v>
      </c>
      <c r="BH115" s="56" t="s">
        <v>99</v>
      </c>
      <c r="BI115" s="56" t="s">
        <v>99</v>
      </c>
      <c r="BJ115" s="56" t="s">
        <v>99</v>
      </c>
      <c r="BK115" s="56" t="s">
        <v>99</v>
      </c>
      <c r="BL115" s="56" t="s">
        <v>99</v>
      </c>
      <c r="BM115" s="56" t="s">
        <v>99</v>
      </c>
      <c r="BN115" s="56" t="s">
        <v>99</v>
      </c>
      <c r="BO115" s="56" t="s">
        <v>99</v>
      </c>
      <c r="BP115" s="62" t="s">
        <v>99</v>
      </c>
    </row>
    <row r="116" spans="2:68">
      <c r="B116" s="58">
        <v>4</v>
      </c>
      <c r="C116" s="59">
        <v>16</v>
      </c>
      <c r="D116" s="59" t="s">
        <v>104</v>
      </c>
      <c r="E116" s="60">
        <f>'[1]Master File'!B115</f>
        <v>46129</v>
      </c>
      <c r="F116" s="61" t="str">
        <f>'[1]Master File'!C115</f>
        <v>Lodge 5PM</v>
      </c>
      <c r="G116" s="39"/>
      <c r="I116" s="56" t="s">
        <v>99</v>
      </c>
      <c r="J116" s="56" t="s">
        <v>99</v>
      </c>
      <c r="K116" s="56" t="s">
        <v>99</v>
      </c>
      <c r="L116" s="56" t="s">
        <v>23</v>
      </c>
      <c r="M116" s="56" t="s">
        <v>99</v>
      </c>
      <c r="N116" s="56" t="s">
        <v>99</v>
      </c>
      <c r="O116" s="56" t="s">
        <v>99</v>
      </c>
      <c r="P116" s="56" t="s">
        <v>99</v>
      </c>
      <c r="Q116" s="56" t="s">
        <v>99</v>
      </c>
      <c r="R116" s="56" t="s">
        <v>99</v>
      </c>
      <c r="S116" s="56" t="s">
        <v>99</v>
      </c>
      <c r="T116" s="56" t="s">
        <v>99</v>
      </c>
      <c r="U116" s="56" t="s">
        <v>99</v>
      </c>
      <c r="V116" s="56" t="s">
        <v>99</v>
      </c>
      <c r="W116" s="56" t="s">
        <v>99</v>
      </c>
      <c r="X116" s="56" t="s">
        <v>99</v>
      </c>
      <c r="Y116" s="56" t="s">
        <v>23</v>
      </c>
      <c r="Z116" s="56" t="s">
        <v>99</v>
      </c>
      <c r="AA116" s="56" t="s">
        <v>99</v>
      </c>
      <c r="AB116" s="56" t="s">
        <v>23</v>
      </c>
      <c r="AC116" s="56" t="s">
        <v>23</v>
      </c>
      <c r="AD116" s="56" t="s">
        <v>99</v>
      </c>
      <c r="AE116" s="56" t="s">
        <v>99</v>
      </c>
      <c r="AF116" s="56" t="s">
        <v>99</v>
      </c>
      <c r="AG116" s="56" t="s">
        <v>23</v>
      </c>
      <c r="AH116" s="56" t="s">
        <v>99</v>
      </c>
      <c r="AI116" s="56" t="s">
        <v>99</v>
      </c>
      <c r="AJ116" s="56" t="s">
        <v>99</v>
      </c>
      <c r="AK116" s="56" t="s">
        <v>23</v>
      </c>
      <c r="AL116" s="56" t="s">
        <v>99</v>
      </c>
      <c r="AM116" s="56" t="s">
        <v>99</v>
      </c>
      <c r="AN116" s="56" t="s">
        <v>99</v>
      </c>
      <c r="AO116" s="56" t="s">
        <v>99</v>
      </c>
      <c r="AP116" s="56" t="s">
        <v>99</v>
      </c>
      <c r="AQ116" s="56" t="s">
        <v>99</v>
      </c>
      <c r="AR116" s="56" t="s">
        <v>99</v>
      </c>
      <c r="AS116" s="56" t="s">
        <v>99</v>
      </c>
      <c r="AT116" s="56" t="s">
        <v>99</v>
      </c>
      <c r="AU116" s="56" t="s">
        <v>99</v>
      </c>
      <c r="AV116" s="56" t="s">
        <v>99</v>
      </c>
      <c r="AW116" s="56" t="s">
        <v>99</v>
      </c>
      <c r="AX116" s="56" t="s">
        <v>99</v>
      </c>
      <c r="AY116" s="56" t="s">
        <v>99</v>
      </c>
      <c r="AZ116" s="56" t="s">
        <v>99</v>
      </c>
      <c r="BA116" s="56" t="s">
        <v>99</v>
      </c>
      <c r="BB116" s="56" t="s">
        <v>99</v>
      </c>
      <c r="BC116" s="56" t="s">
        <v>99</v>
      </c>
      <c r="BD116" s="56" t="s">
        <v>99</v>
      </c>
      <c r="BE116" s="56" t="s">
        <v>99</v>
      </c>
      <c r="BF116" s="56" t="s">
        <v>99</v>
      </c>
      <c r="BG116" s="56" t="s">
        <v>99</v>
      </c>
      <c r="BH116" s="56" t="s">
        <v>99</v>
      </c>
      <c r="BI116" s="56" t="s">
        <v>99</v>
      </c>
      <c r="BJ116" s="56" t="s">
        <v>99</v>
      </c>
      <c r="BK116" s="56" t="s">
        <v>99</v>
      </c>
      <c r="BL116" s="56" t="s">
        <v>99</v>
      </c>
      <c r="BM116" s="56" t="s">
        <v>99</v>
      </c>
      <c r="BN116" s="56" t="s">
        <v>99</v>
      </c>
      <c r="BO116" s="56" t="s">
        <v>99</v>
      </c>
      <c r="BP116" s="62" t="s">
        <v>99</v>
      </c>
    </row>
    <row r="117" spans="2:68">
      <c r="B117" s="58">
        <v>4</v>
      </c>
      <c r="C117" s="59">
        <v>16</v>
      </c>
      <c r="D117" s="59" t="s">
        <v>105</v>
      </c>
      <c r="E117" s="60">
        <f>'[1]Master File'!B116</f>
        <v>46130</v>
      </c>
      <c r="F117" s="61" t="str">
        <f>'[1]Master File'!C116</f>
        <v>Explorer 5PM</v>
      </c>
      <c r="G117" s="39"/>
      <c r="I117" s="63" t="s">
        <v>99</v>
      </c>
      <c r="J117" s="63" t="s">
        <v>99</v>
      </c>
      <c r="K117" s="63" t="s">
        <v>99</v>
      </c>
      <c r="L117" s="63" t="s">
        <v>23</v>
      </c>
      <c r="M117" s="63" t="s">
        <v>99</v>
      </c>
      <c r="N117" s="63" t="s">
        <v>99</v>
      </c>
      <c r="O117" s="63" t="s">
        <v>99</v>
      </c>
      <c r="P117" s="63" t="s">
        <v>99</v>
      </c>
      <c r="Q117" s="63" t="s">
        <v>99</v>
      </c>
      <c r="R117" s="63" t="s">
        <v>99</v>
      </c>
      <c r="S117" s="63" t="s">
        <v>99</v>
      </c>
      <c r="T117" s="63" t="s">
        <v>99</v>
      </c>
      <c r="U117" s="63" t="s">
        <v>99</v>
      </c>
      <c r="V117" s="63" t="s">
        <v>99</v>
      </c>
      <c r="W117" s="63" t="s">
        <v>99</v>
      </c>
      <c r="X117" s="63" t="s">
        <v>99</v>
      </c>
      <c r="Y117" s="56" t="s">
        <v>23</v>
      </c>
      <c r="Z117" s="63" t="s">
        <v>99</v>
      </c>
      <c r="AA117" s="63" t="s">
        <v>99</v>
      </c>
      <c r="AB117" s="63" t="s">
        <v>99</v>
      </c>
      <c r="AC117" s="63" t="s">
        <v>23</v>
      </c>
      <c r="AD117" s="63" t="s">
        <v>99</v>
      </c>
      <c r="AE117" s="63" t="s">
        <v>99</v>
      </c>
      <c r="AF117" s="63" t="s">
        <v>99</v>
      </c>
      <c r="AG117" s="63" t="s">
        <v>23</v>
      </c>
      <c r="AH117" s="63" t="s">
        <v>99</v>
      </c>
      <c r="AI117" s="63" t="s">
        <v>99</v>
      </c>
      <c r="AJ117" s="63" t="s">
        <v>99</v>
      </c>
      <c r="AK117" s="63" t="s">
        <v>23</v>
      </c>
      <c r="AL117" s="63" t="s">
        <v>99</v>
      </c>
      <c r="AM117" s="63" t="s">
        <v>99</v>
      </c>
      <c r="AN117" s="63" t="s">
        <v>99</v>
      </c>
      <c r="AO117" s="63" t="s">
        <v>99</v>
      </c>
      <c r="AP117" s="63" t="s">
        <v>99</v>
      </c>
      <c r="AQ117" s="63" t="s">
        <v>23</v>
      </c>
      <c r="AR117" s="63" t="s">
        <v>99</v>
      </c>
      <c r="AS117" s="63" t="s">
        <v>99</v>
      </c>
      <c r="AT117" s="63" t="s">
        <v>99</v>
      </c>
      <c r="AU117" s="63" t="s">
        <v>99</v>
      </c>
      <c r="AV117" s="63" t="s">
        <v>99</v>
      </c>
      <c r="AW117" s="63" t="s">
        <v>99</v>
      </c>
      <c r="AX117" s="63" t="s">
        <v>99</v>
      </c>
      <c r="AY117" s="63" t="s">
        <v>99</v>
      </c>
      <c r="AZ117" s="63" t="s">
        <v>99</v>
      </c>
      <c r="BA117" s="63" t="s">
        <v>99</v>
      </c>
      <c r="BB117" s="63" t="s">
        <v>99</v>
      </c>
      <c r="BC117" s="63" t="s">
        <v>99</v>
      </c>
      <c r="BD117" s="63" t="s">
        <v>99</v>
      </c>
      <c r="BE117" s="63" t="s">
        <v>99</v>
      </c>
      <c r="BF117" s="63" t="s">
        <v>99</v>
      </c>
      <c r="BG117" s="63" t="s">
        <v>99</v>
      </c>
      <c r="BH117" s="63" t="s">
        <v>99</v>
      </c>
      <c r="BI117" s="63" t="s">
        <v>99</v>
      </c>
      <c r="BJ117" s="63" t="s">
        <v>99</v>
      </c>
      <c r="BK117" s="63" t="s">
        <v>99</v>
      </c>
      <c r="BL117" s="63" t="s">
        <v>99</v>
      </c>
      <c r="BM117" s="63" t="s">
        <v>99</v>
      </c>
      <c r="BN117" s="63" t="s">
        <v>99</v>
      </c>
      <c r="BO117" s="63" t="s">
        <v>99</v>
      </c>
      <c r="BP117" s="64" t="s">
        <v>99</v>
      </c>
    </row>
    <row r="118" spans="2:68">
      <c r="B118" s="58">
        <v>4</v>
      </c>
      <c r="C118" s="59">
        <v>17</v>
      </c>
      <c r="D118" s="59" t="s">
        <v>98</v>
      </c>
      <c r="E118" s="60">
        <f>'[1]Master File'!B117</f>
        <v>46131</v>
      </c>
      <c r="F118" s="61" t="str">
        <f>'[1]Master File'!C117</f>
        <v>Explorer 5PM</v>
      </c>
      <c r="G118" s="39"/>
      <c r="I118" s="63" t="s">
        <v>99</v>
      </c>
      <c r="J118" s="63" t="s">
        <v>99</v>
      </c>
      <c r="K118" s="63" t="s">
        <v>99</v>
      </c>
      <c r="L118" s="63" t="s">
        <v>23</v>
      </c>
      <c r="M118" s="63" t="s">
        <v>99</v>
      </c>
      <c r="N118" s="63" t="s">
        <v>99</v>
      </c>
      <c r="O118" s="63" t="s">
        <v>99</v>
      </c>
      <c r="P118" s="63" t="s">
        <v>99</v>
      </c>
      <c r="Q118" s="63" t="s">
        <v>99</v>
      </c>
      <c r="R118" s="63" t="s">
        <v>99</v>
      </c>
      <c r="S118" s="63" t="s">
        <v>99</v>
      </c>
      <c r="T118" s="63" t="s">
        <v>99</v>
      </c>
      <c r="U118" s="63" t="s">
        <v>99</v>
      </c>
      <c r="V118" s="63" t="s">
        <v>99</v>
      </c>
      <c r="W118" s="63" t="s">
        <v>99</v>
      </c>
      <c r="X118" s="63" t="s">
        <v>99</v>
      </c>
      <c r="Y118" s="56" t="s">
        <v>23</v>
      </c>
      <c r="Z118" s="63" t="s">
        <v>99</v>
      </c>
      <c r="AA118" s="63" t="s">
        <v>99</v>
      </c>
      <c r="AB118" s="63" t="s">
        <v>99</v>
      </c>
      <c r="AC118" s="63" t="s">
        <v>23</v>
      </c>
      <c r="AD118" s="63" t="s">
        <v>99</v>
      </c>
      <c r="AE118" s="63" t="s">
        <v>99</v>
      </c>
      <c r="AF118" s="63" t="s">
        <v>99</v>
      </c>
      <c r="AG118" s="63" t="s">
        <v>23</v>
      </c>
      <c r="AH118" s="63" t="s">
        <v>99</v>
      </c>
      <c r="AI118" s="63" t="s">
        <v>99</v>
      </c>
      <c r="AJ118" s="63" t="s">
        <v>99</v>
      </c>
      <c r="AK118" s="63" t="s">
        <v>23</v>
      </c>
      <c r="AL118" s="63" t="s">
        <v>99</v>
      </c>
      <c r="AM118" s="63" t="s">
        <v>99</v>
      </c>
      <c r="AN118" s="63" t="s">
        <v>99</v>
      </c>
      <c r="AO118" s="63" t="s">
        <v>99</v>
      </c>
      <c r="AP118" s="63" t="s">
        <v>99</v>
      </c>
      <c r="AQ118" s="63" t="s">
        <v>23</v>
      </c>
      <c r="AR118" s="63" t="s">
        <v>99</v>
      </c>
      <c r="AS118" s="63" t="s">
        <v>99</v>
      </c>
      <c r="AT118" s="63" t="s">
        <v>99</v>
      </c>
      <c r="AU118" s="63" t="s">
        <v>99</v>
      </c>
      <c r="AV118" s="63" t="s">
        <v>99</v>
      </c>
      <c r="AW118" s="63" t="s">
        <v>99</v>
      </c>
      <c r="AX118" s="63" t="s">
        <v>99</v>
      </c>
      <c r="AY118" s="63" t="s">
        <v>99</v>
      </c>
      <c r="AZ118" s="63" t="s">
        <v>99</v>
      </c>
      <c r="BA118" s="63" t="s">
        <v>99</v>
      </c>
      <c r="BB118" s="63" t="s">
        <v>99</v>
      </c>
      <c r="BC118" s="63" t="s">
        <v>99</v>
      </c>
      <c r="BD118" s="63" t="s">
        <v>99</v>
      </c>
      <c r="BE118" s="63" t="s">
        <v>99</v>
      </c>
      <c r="BF118" s="63" t="s">
        <v>99</v>
      </c>
      <c r="BG118" s="63" t="s">
        <v>99</v>
      </c>
      <c r="BH118" s="63" t="s">
        <v>99</v>
      </c>
      <c r="BI118" s="63" t="s">
        <v>99</v>
      </c>
      <c r="BJ118" s="63" t="s">
        <v>99</v>
      </c>
      <c r="BK118" s="63" t="s">
        <v>99</v>
      </c>
      <c r="BL118" s="63" t="s">
        <v>99</v>
      </c>
      <c r="BM118" s="63" t="s">
        <v>99</v>
      </c>
      <c r="BN118" s="63" t="s">
        <v>99</v>
      </c>
      <c r="BO118" s="63" t="s">
        <v>99</v>
      </c>
      <c r="BP118" s="64" t="s">
        <v>99</v>
      </c>
    </row>
    <row r="119" spans="2:68">
      <c r="B119" s="58">
        <v>4</v>
      </c>
      <c r="C119" s="59">
        <v>17</v>
      </c>
      <c r="D119" s="59" t="s">
        <v>100</v>
      </c>
      <c r="E119" s="60">
        <f>'[1]Master File'!B118</f>
        <v>46132</v>
      </c>
      <c r="F119" s="61" t="str">
        <f>'[1]Master File'!C118</f>
        <v>Explorer 5PM</v>
      </c>
      <c r="G119" s="39"/>
      <c r="I119" s="56" t="s">
        <v>99</v>
      </c>
      <c r="J119" s="56" t="s">
        <v>99</v>
      </c>
      <c r="K119" s="56" t="s">
        <v>99</v>
      </c>
      <c r="L119" s="56" t="s">
        <v>23</v>
      </c>
      <c r="M119" s="56" t="s">
        <v>99</v>
      </c>
      <c r="N119" s="56" t="s">
        <v>99</v>
      </c>
      <c r="O119" s="56" t="s">
        <v>99</v>
      </c>
      <c r="P119" s="56" t="s">
        <v>99</v>
      </c>
      <c r="Q119" s="56" t="s">
        <v>99</v>
      </c>
      <c r="R119" s="56" t="s">
        <v>99</v>
      </c>
      <c r="S119" s="56" t="s">
        <v>99</v>
      </c>
      <c r="T119" s="56" t="s">
        <v>99</v>
      </c>
      <c r="U119" s="56" t="s">
        <v>99</v>
      </c>
      <c r="V119" s="56" t="s">
        <v>99</v>
      </c>
      <c r="W119" s="56" t="s">
        <v>99</v>
      </c>
      <c r="X119" s="56" t="s">
        <v>99</v>
      </c>
      <c r="Y119" s="56" t="s">
        <v>23</v>
      </c>
      <c r="Z119" s="56" t="s">
        <v>99</v>
      </c>
      <c r="AA119" s="56" t="s">
        <v>99</v>
      </c>
      <c r="AB119" s="56" t="s">
        <v>23</v>
      </c>
      <c r="AC119" s="56" t="s">
        <v>99</v>
      </c>
      <c r="AD119" s="56" t="s">
        <v>99</v>
      </c>
      <c r="AE119" s="56" t="s">
        <v>99</v>
      </c>
      <c r="AF119" s="56" t="s">
        <v>99</v>
      </c>
      <c r="AG119" s="56" t="s">
        <v>23</v>
      </c>
      <c r="AH119" s="56" t="s">
        <v>99</v>
      </c>
      <c r="AI119" s="56" t="s">
        <v>99</v>
      </c>
      <c r="AJ119" s="56" t="s">
        <v>99</v>
      </c>
      <c r="AK119" s="56" t="s">
        <v>23</v>
      </c>
      <c r="AL119" s="56" t="s">
        <v>99</v>
      </c>
      <c r="AM119" s="56" t="s">
        <v>99</v>
      </c>
      <c r="AN119" s="56" t="s">
        <v>99</v>
      </c>
      <c r="AO119" s="56" t="s">
        <v>99</v>
      </c>
      <c r="AP119" s="56" t="s">
        <v>99</v>
      </c>
      <c r="AQ119" s="56" t="s">
        <v>99</v>
      </c>
      <c r="AR119" s="56" t="s">
        <v>99</v>
      </c>
      <c r="AS119" s="56" t="s">
        <v>99</v>
      </c>
      <c r="AT119" s="56" t="s">
        <v>99</v>
      </c>
      <c r="AU119" s="56" t="s">
        <v>99</v>
      </c>
      <c r="AV119" s="56" t="s">
        <v>99</v>
      </c>
      <c r="AW119" s="56" t="s">
        <v>99</v>
      </c>
      <c r="AX119" s="56" t="s">
        <v>99</v>
      </c>
      <c r="AY119" s="56" t="s">
        <v>99</v>
      </c>
      <c r="AZ119" s="56" t="s">
        <v>99</v>
      </c>
      <c r="BA119" s="56" t="s">
        <v>99</v>
      </c>
      <c r="BB119" s="56" t="s">
        <v>99</v>
      </c>
      <c r="BC119" s="56" t="s">
        <v>99</v>
      </c>
      <c r="BD119" s="56" t="s">
        <v>99</v>
      </c>
      <c r="BE119" s="56" t="s">
        <v>99</v>
      </c>
      <c r="BF119" s="56" t="s">
        <v>99</v>
      </c>
      <c r="BG119" s="56" t="s">
        <v>99</v>
      </c>
      <c r="BH119" s="56" t="s">
        <v>99</v>
      </c>
      <c r="BI119" s="56" t="s">
        <v>99</v>
      </c>
      <c r="BJ119" s="56" t="s">
        <v>99</v>
      </c>
      <c r="BK119" s="56" t="s">
        <v>99</v>
      </c>
      <c r="BL119" s="56" t="s">
        <v>99</v>
      </c>
      <c r="BM119" s="56" t="s">
        <v>99</v>
      </c>
      <c r="BN119" s="56" t="s">
        <v>99</v>
      </c>
      <c r="BO119" s="56" t="s">
        <v>99</v>
      </c>
      <c r="BP119" s="62" t="s">
        <v>99</v>
      </c>
    </row>
    <row r="120" spans="2:68">
      <c r="B120" s="58">
        <v>4</v>
      </c>
      <c r="C120" s="59">
        <v>17</v>
      </c>
      <c r="D120" s="59" t="s">
        <v>101</v>
      </c>
      <c r="E120" s="60">
        <f>'[1]Master File'!B119</f>
        <v>46133</v>
      </c>
      <c r="F120" s="61" t="str">
        <f>'[1]Master File'!C119</f>
        <v>Closed</v>
      </c>
      <c r="G120" s="39"/>
      <c r="I120" s="56" t="s">
        <v>99</v>
      </c>
      <c r="J120" s="56" t="s">
        <v>99</v>
      </c>
      <c r="K120" s="56" t="s">
        <v>99</v>
      </c>
      <c r="L120" s="56" t="s">
        <v>23</v>
      </c>
      <c r="M120" s="56" t="s">
        <v>99</v>
      </c>
      <c r="N120" s="56" t="s">
        <v>99</v>
      </c>
      <c r="O120" s="56" t="s">
        <v>99</v>
      </c>
      <c r="P120" s="56" t="s">
        <v>99</v>
      </c>
      <c r="Q120" s="56" t="s">
        <v>99</v>
      </c>
      <c r="R120" s="56" t="s">
        <v>99</v>
      </c>
      <c r="S120" s="56" t="s">
        <v>99</v>
      </c>
      <c r="T120" s="56" t="s">
        <v>99</v>
      </c>
      <c r="U120" s="56" t="s">
        <v>99</v>
      </c>
      <c r="V120" s="56" t="s">
        <v>99</v>
      </c>
      <c r="W120" s="56" t="s">
        <v>99</v>
      </c>
      <c r="X120" s="56" t="s">
        <v>99</v>
      </c>
      <c r="Y120" s="56" t="s">
        <v>23</v>
      </c>
      <c r="Z120" s="56" t="s">
        <v>99</v>
      </c>
      <c r="AA120" s="56" t="s">
        <v>99</v>
      </c>
      <c r="AB120" s="56" t="s">
        <v>23</v>
      </c>
      <c r="AC120" s="56" t="s">
        <v>23</v>
      </c>
      <c r="AD120" s="56" t="s">
        <v>99</v>
      </c>
      <c r="AE120" s="56" t="s">
        <v>99</v>
      </c>
      <c r="AF120" s="56" t="s">
        <v>99</v>
      </c>
      <c r="AG120" s="56" t="s">
        <v>23</v>
      </c>
      <c r="AH120" s="56" t="s">
        <v>99</v>
      </c>
      <c r="AI120" s="56" t="s">
        <v>99</v>
      </c>
      <c r="AJ120" s="56" t="s">
        <v>99</v>
      </c>
      <c r="AK120" s="56" t="s">
        <v>23</v>
      </c>
      <c r="AL120" s="56" t="s">
        <v>99</v>
      </c>
      <c r="AM120" s="56" t="s">
        <v>99</v>
      </c>
      <c r="AN120" s="56" t="s">
        <v>99</v>
      </c>
      <c r="AO120" s="56" t="s">
        <v>99</v>
      </c>
      <c r="AP120" s="56" t="s">
        <v>99</v>
      </c>
      <c r="AQ120" s="56" t="s">
        <v>99</v>
      </c>
      <c r="AR120" s="56" t="s">
        <v>99</v>
      </c>
      <c r="AS120" s="56" t="s">
        <v>99</v>
      </c>
      <c r="AT120" s="56" t="s">
        <v>99</v>
      </c>
      <c r="AU120" s="56" t="s">
        <v>99</v>
      </c>
      <c r="AV120" s="56" t="s">
        <v>99</v>
      </c>
      <c r="AW120" s="56" t="s">
        <v>99</v>
      </c>
      <c r="AX120" s="56" t="s">
        <v>99</v>
      </c>
      <c r="AY120" s="56" t="s">
        <v>99</v>
      </c>
      <c r="AZ120" s="56" t="s">
        <v>99</v>
      </c>
      <c r="BA120" s="56" t="s">
        <v>99</v>
      </c>
      <c r="BB120" s="56" t="s">
        <v>99</v>
      </c>
      <c r="BC120" s="56" t="s">
        <v>99</v>
      </c>
      <c r="BD120" s="56" t="s">
        <v>99</v>
      </c>
      <c r="BE120" s="56" t="s">
        <v>99</v>
      </c>
      <c r="BF120" s="56" t="s">
        <v>99</v>
      </c>
      <c r="BG120" s="56" t="s">
        <v>99</v>
      </c>
      <c r="BH120" s="56" t="s">
        <v>99</v>
      </c>
      <c r="BI120" s="56" t="s">
        <v>99</v>
      </c>
      <c r="BJ120" s="56" t="s">
        <v>99</v>
      </c>
      <c r="BK120" s="56" t="s">
        <v>99</v>
      </c>
      <c r="BL120" s="56" t="s">
        <v>99</v>
      </c>
      <c r="BM120" s="56" t="s">
        <v>99</v>
      </c>
      <c r="BN120" s="56" t="s">
        <v>99</v>
      </c>
      <c r="BO120" s="56" t="s">
        <v>99</v>
      </c>
      <c r="BP120" s="62" t="s">
        <v>99</v>
      </c>
    </row>
    <row r="121" spans="2:68">
      <c r="B121" s="58">
        <v>4</v>
      </c>
      <c r="C121" s="59">
        <v>17</v>
      </c>
      <c r="D121" s="59" t="s">
        <v>102</v>
      </c>
      <c r="E121" s="60">
        <f>'[1]Master File'!B120</f>
        <v>46134</v>
      </c>
      <c r="F121" s="61" t="str">
        <f>'[1]Master File'!C120</f>
        <v>Closed</v>
      </c>
      <c r="G121" s="39"/>
      <c r="I121" s="56" t="s">
        <v>99</v>
      </c>
      <c r="J121" s="56" t="s">
        <v>99</v>
      </c>
      <c r="K121" s="56" t="s">
        <v>99</v>
      </c>
      <c r="L121" s="56" t="s">
        <v>23</v>
      </c>
      <c r="M121" s="56" t="s">
        <v>99</v>
      </c>
      <c r="N121" s="56" t="s">
        <v>99</v>
      </c>
      <c r="O121" s="56" t="s">
        <v>99</v>
      </c>
      <c r="P121" s="56" t="s">
        <v>99</v>
      </c>
      <c r="Q121" s="56" t="s">
        <v>99</v>
      </c>
      <c r="R121" s="56" t="s">
        <v>99</v>
      </c>
      <c r="S121" s="56" t="s">
        <v>99</v>
      </c>
      <c r="T121" s="56" t="s">
        <v>99</v>
      </c>
      <c r="U121" s="56" t="s">
        <v>99</v>
      </c>
      <c r="V121" s="56" t="s">
        <v>99</v>
      </c>
      <c r="W121" s="56" t="s">
        <v>99</v>
      </c>
      <c r="X121" s="56" t="s">
        <v>99</v>
      </c>
      <c r="Y121" s="56" t="s">
        <v>23</v>
      </c>
      <c r="Z121" s="56" t="s">
        <v>99</v>
      </c>
      <c r="AA121" s="56" t="s">
        <v>99</v>
      </c>
      <c r="AB121" s="56" t="s">
        <v>23</v>
      </c>
      <c r="AC121" s="56" t="s">
        <v>23</v>
      </c>
      <c r="AD121" s="56" t="s">
        <v>99</v>
      </c>
      <c r="AE121" s="56" t="s">
        <v>99</v>
      </c>
      <c r="AF121" s="56" t="s">
        <v>99</v>
      </c>
      <c r="AG121" s="56" t="s">
        <v>23</v>
      </c>
      <c r="AH121" s="56" t="s">
        <v>99</v>
      </c>
      <c r="AI121" s="56" t="s">
        <v>99</v>
      </c>
      <c r="AJ121" s="56" t="s">
        <v>99</v>
      </c>
      <c r="AK121" s="56" t="s">
        <v>23</v>
      </c>
      <c r="AL121" s="56" t="s">
        <v>99</v>
      </c>
      <c r="AM121" s="56" t="s">
        <v>99</v>
      </c>
      <c r="AN121" s="56" t="s">
        <v>99</v>
      </c>
      <c r="AO121" s="56" t="s">
        <v>99</v>
      </c>
      <c r="AP121" s="56" t="s">
        <v>99</v>
      </c>
      <c r="AQ121" s="56" t="s">
        <v>99</v>
      </c>
      <c r="AR121" s="56" t="s">
        <v>99</v>
      </c>
      <c r="AS121" s="56" t="s">
        <v>99</v>
      </c>
      <c r="AT121" s="56" t="s">
        <v>99</v>
      </c>
      <c r="AU121" s="56" t="s">
        <v>99</v>
      </c>
      <c r="AV121" s="56" t="s">
        <v>99</v>
      </c>
      <c r="AW121" s="56" t="s">
        <v>99</v>
      </c>
      <c r="AX121" s="56" t="s">
        <v>99</v>
      </c>
      <c r="AY121" s="56" t="s">
        <v>99</v>
      </c>
      <c r="AZ121" s="56" t="s">
        <v>99</v>
      </c>
      <c r="BA121" s="56" t="s">
        <v>99</v>
      </c>
      <c r="BB121" s="56" t="s">
        <v>99</v>
      </c>
      <c r="BC121" s="56" t="s">
        <v>99</v>
      </c>
      <c r="BD121" s="56" t="s">
        <v>99</v>
      </c>
      <c r="BE121" s="56" t="s">
        <v>99</v>
      </c>
      <c r="BF121" s="56" t="s">
        <v>99</v>
      </c>
      <c r="BG121" s="56" t="s">
        <v>99</v>
      </c>
      <c r="BH121" s="56" t="s">
        <v>99</v>
      </c>
      <c r="BI121" s="56" t="s">
        <v>99</v>
      </c>
      <c r="BJ121" s="56" t="s">
        <v>99</v>
      </c>
      <c r="BK121" s="56" t="s">
        <v>99</v>
      </c>
      <c r="BL121" s="56" t="s">
        <v>99</v>
      </c>
      <c r="BM121" s="56" t="s">
        <v>99</v>
      </c>
      <c r="BN121" s="56" t="s">
        <v>99</v>
      </c>
      <c r="BO121" s="56" t="s">
        <v>99</v>
      </c>
      <c r="BP121" s="62" t="s">
        <v>99</v>
      </c>
    </row>
    <row r="122" spans="2:68">
      <c r="B122" s="58">
        <v>4</v>
      </c>
      <c r="C122" s="59">
        <v>17</v>
      </c>
      <c r="D122" s="59" t="s">
        <v>103</v>
      </c>
      <c r="E122" s="60">
        <f>'[1]Master File'!B121</f>
        <v>46135</v>
      </c>
      <c r="F122" s="61" t="str">
        <f>'[1]Master File'!C121</f>
        <v>Lodge 5PM</v>
      </c>
      <c r="G122" s="39"/>
      <c r="I122" s="56" t="s">
        <v>99</v>
      </c>
      <c r="J122" s="56" t="s">
        <v>99</v>
      </c>
      <c r="K122" s="56" t="s">
        <v>99</v>
      </c>
      <c r="L122" s="56" t="s">
        <v>23</v>
      </c>
      <c r="M122" s="56" t="s">
        <v>99</v>
      </c>
      <c r="N122" s="56" t="s">
        <v>99</v>
      </c>
      <c r="O122" s="56" t="s">
        <v>99</v>
      </c>
      <c r="P122" s="56" t="s">
        <v>99</v>
      </c>
      <c r="Q122" s="56" t="s">
        <v>99</v>
      </c>
      <c r="R122" s="56" t="s">
        <v>99</v>
      </c>
      <c r="S122" s="56" t="s">
        <v>99</v>
      </c>
      <c r="T122" s="56" t="s">
        <v>99</v>
      </c>
      <c r="U122" s="56" t="s">
        <v>99</v>
      </c>
      <c r="V122" s="56" t="s">
        <v>99</v>
      </c>
      <c r="W122" s="56" t="s">
        <v>99</v>
      </c>
      <c r="X122" s="56" t="s">
        <v>99</v>
      </c>
      <c r="Y122" s="56" t="s">
        <v>23</v>
      </c>
      <c r="Z122" s="56" t="s">
        <v>99</v>
      </c>
      <c r="AA122" s="56" t="s">
        <v>99</v>
      </c>
      <c r="AB122" s="56" t="s">
        <v>23</v>
      </c>
      <c r="AC122" s="56" t="s">
        <v>23</v>
      </c>
      <c r="AD122" s="56" t="s">
        <v>99</v>
      </c>
      <c r="AE122" s="56" t="s">
        <v>99</v>
      </c>
      <c r="AF122" s="56" t="s">
        <v>99</v>
      </c>
      <c r="AG122" s="56" t="s">
        <v>23</v>
      </c>
      <c r="AH122" s="56" t="s">
        <v>99</v>
      </c>
      <c r="AI122" s="56" t="s">
        <v>99</v>
      </c>
      <c r="AJ122" s="56" t="s">
        <v>99</v>
      </c>
      <c r="AK122" s="56" t="s">
        <v>23</v>
      </c>
      <c r="AL122" s="56" t="s">
        <v>99</v>
      </c>
      <c r="AM122" s="56" t="s">
        <v>99</v>
      </c>
      <c r="AN122" s="56" t="s">
        <v>99</v>
      </c>
      <c r="AO122" s="56" t="s">
        <v>99</v>
      </c>
      <c r="AP122" s="56" t="s">
        <v>99</v>
      </c>
      <c r="AQ122" s="56" t="s">
        <v>99</v>
      </c>
      <c r="AR122" s="56" t="s">
        <v>99</v>
      </c>
      <c r="AS122" s="56" t="s">
        <v>99</v>
      </c>
      <c r="AT122" s="56" t="s">
        <v>99</v>
      </c>
      <c r="AU122" s="56" t="s">
        <v>99</v>
      </c>
      <c r="AV122" s="56" t="s">
        <v>99</v>
      </c>
      <c r="AW122" s="56" t="s">
        <v>99</v>
      </c>
      <c r="AX122" s="56" t="s">
        <v>99</v>
      </c>
      <c r="AY122" s="56" t="s">
        <v>99</v>
      </c>
      <c r="AZ122" s="56" t="s">
        <v>99</v>
      </c>
      <c r="BA122" s="56" t="s">
        <v>99</v>
      </c>
      <c r="BB122" s="56" t="s">
        <v>99</v>
      </c>
      <c r="BC122" s="56" t="s">
        <v>99</v>
      </c>
      <c r="BD122" s="56" t="s">
        <v>99</v>
      </c>
      <c r="BE122" s="56" t="s">
        <v>99</v>
      </c>
      <c r="BF122" s="56" t="s">
        <v>99</v>
      </c>
      <c r="BG122" s="56" t="s">
        <v>99</v>
      </c>
      <c r="BH122" s="56" t="s">
        <v>99</v>
      </c>
      <c r="BI122" s="56" t="s">
        <v>99</v>
      </c>
      <c r="BJ122" s="56" t="s">
        <v>99</v>
      </c>
      <c r="BK122" s="56" t="s">
        <v>99</v>
      </c>
      <c r="BL122" s="56" t="s">
        <v>99</v>
      </c>
      <c r="BM122" s="56" t="s">
        <v>99</v>
      </c>
      <c r="BN122" s="56" t="s">
        <v>99</v>
      </c>
      <c r="BO122" s="56" t="s">
        <v>99</v>
      </c>
      <c r="BP122" s="62" t="s">
        <v>99</v>
      </c>
    </row>
    <row r="123" spans="2:68">
      <c r="B123" s="58">
        <v>4</v>
      </c>
      <c r="C123" s="59">
        <v>17</v>
      </c>
      <c r="D123" s="59" t="s">
        <v>104</v>
      </c>
      <c r="E123" s="60">
        <f>'[1]Master File'!B122</f>
        <v>46136</v>
      </c>
      <c r="F123" s="61" t="str">
        <f>'[1]Master File'!C122</f>
        <v>Lodge 5PM</v>
      </c>
      <c r="G123" s="39"/>
      <c r="I123" s="56" t="s">
        <v>99</v>
      </c>
      <c r="J123" s="56" t="s">
        <v>99</v>
      </c>
      <c r="K123" s="56" t="s">
        <v>99</v>
      </c>
      <c r="L123" s="56" t="s">
        <v>23</v>
      </c>
      <c r="M123" s="56" t="s">
        <v>99</v>
      </c>
      <c r="N123" s="56" t="s">
        <v>99</v>
      </c>
      <c r="O123" s="56" t="s">
        <v>99</v>
      </c>
      <c r="P123" s="56" t="s">
        <v>99</v>
      </c>
      <c r="Q123" s="56" t="s">
        <v>99</v>
      </c>
      <c r="R123" s="56" t="s">
        <v>99</v>
      </c>
      <c r="S123" s="56" t="s">
        <v>99</v>
      </c>
      <c r="T123" s="56" t="s">
        <v>99</v>
      </c>
      <c r="U123" s="56" t="s">
        <v>99</v>
      </c>
      <c r="V123" s="56" t="s">
        <v>99</v>
      </c>
      <c r="W123" s="56" t="s">
        <v>99</v>
      </c>
      <c r="X123" s="56" t="s">
        <v>99</v>
      </c>
      <c r="Y123" s="56" t="s">
        <v>23</v>
      </c>
      <c r="Z123" s="56" t="s">
        <v>99</v>
      </c>
      <c r="AA123" s="56" t="s">
        <v>99</v>
      </c>
      <c r="AB123" s="56" t="s">
        <v>23</v>
      </c>
      <c r="AC123" s="56" t="s">
        <v>23</v>
      </c>
      <c r="AD123" s="56" t="s">
        <v>99</v>
      </c>
      <c r="AE123" s="56" t="s">
        <v>99</v>
      </c>
      <c r="AF123" s="56" t="s">
        <v>99</v>
      </c>
      <c r="AG123" s="56" t="s">
        <v>23</v>
      </c>
      <c r="AH123" s="56" t="s">
        <v>99</v>
      </c>
      <c r="AI123" s="56" t="s">
        <v>99</v>
      </c>
      <c r="AJ123" s="56" t="s">
        <v>99</v>
      </c>
      <c r="AK123" s="56" t="s">
        <v>23</v>
      </c>
      <c r="AL123" s="56" t="s">
        <v>99</v>
      </c>
      <c r="AM123" s="56" t="s">
        <v>99</v>
      </c>
      <c r="AN123" s="56" t="s">
        <v>99</v>
      </c>
      <c r="AO123" s="56" t="s">
        <v>99</v>
      </c>
      <c r="AP123" s="56" t="s">
        <v>99</v>
      </c>
      <c r="AQ123" s="56" t="s">
        <v>99</v>
      </c>
      <c r="AR123" s="56" t="s">
        <v>99</v>
      </c>
      <c r="AS123" s="56" t="s">
        <v>99</v>
      </c>
      <c r="AT123" s="56" t="s">
        <v>99</v>
      </c>
      <c r="AU123" s="56" t="s">
        <v>99</v>
      </c>
      <c r="AV123" s="56" t="s">
        <v>99</v>
      </c>
      <c r="AW123" s="56" t="s">
        <v>99</v>
      </c>
      <c r="AX123" s="56" t="s">
        <v>99</v>
      </c>
      <c r="AY123" s="56" t="s">
        <v>99</v>
      </c>
      <c r="AZ123" s="56" t="s">
        <v>99</v>
      </c>
      <c r="BA123" s="56" t="s">
        <v>99</v>
      </c>
      <c r="BB123" s="56" t="s">
        <v>99</v>
      </c>
      <c r="BC123" s="56" t="s">
        <v>99</v>
      </c>
      <c r="BD123" s="56" t="s">
        <v>99</v>
      </c>
      <c r="BE123" s="56" t="s">
        <v>99</v>
      </c>
      <c r="BF123" s="56" t="s">
        <v>99</v>
      </c>
      <c r="BG123" s="56" t="s">
        <v>99</v>
      </c>
      <c r="BH123" s="56" t="s">
        <v>99</v>
      </c>
      <c r="BI123" s="56" t="s">
        <v>99</v>
      </c>
      <c r="BJ123" s="56" t="s">
        <v>99</v>
      </c>
      <c r="BK123" s="56" t="s">
        <v>99</v>
      </c>
      <c r="BL123" s="56" t="s">
        <v>99</v>
      </c>
      <c r="BM123" s="56" t="s">
        <v>99</v>
      </c>
      <c r="BN123" s="56" t="s">
        <v>99</v>
      </c>
      <c r="BO123" s="56" t="s">
        <v>99</v>
      </c>
      <c r="BP123" s="62" t="s">
        <v>99</v>
      </c>
    </row>
    <row r="124" spans="2:68">
      <c r="B124" s="58">
        <v>4</v>
      </c>
      <c r="C124" s="59">
        <v>17</v>
      </c>
      <c r="D124" s="59" t="s">
        <v>105</v>
      </c>
      <c r="E124" s="60">
        <f>'[1]Master File'!B123</f>
        <v>46137</v>
      </c>
      <c r="F124" s="61" t="str">
        <f>'[1]Master File'!C123</f>
        <v>Explorer 5PM</v>
      </c>
      <c r="G124" s="39"/>
      <c r="I124" s="63" t="s">
        <v>99</v>
      </c>
      <c r="J124" s="63" t="s">
        <v>99</v>
      </c>
      <c r="K124" s="63" t="s">
        <v>99</v>
      </c>
      <c r="L124" s="63" t="s">
        <v>23</v>
      </c>
      <c r="M124" s="63" t="s">
        <v>99</v>
      </c>
      <c r="N124" s="63" t="s">
        <v>99</v>
      </c>
      <c r="O124" s="63" t="s">
        <v>99</v>
      </c>
      <c r="P124" s="63" t="s">
        <v>99</v>
      </c>
      <c r="Q124" s="63" t="s">
        <v>99</v>
      </c>
      <c r="R124" s="63" t="s">
        <v>99</v>
      </c>
      <c r="S124" s="63" t="s">
        <v>99</v>
      </c>
      <c r="T124" s="63" t="s">
        <v>99</v>
      </c>
      <c r="U124" s="63" t="s">
        <v>99</v>
      </c>
      <c r="V124" s="63" t="s">
        <v>99</v>
      </c>
      <c r="W124" s="63" t="s">
        <v>99</v>
      </c>
      <c r="X124" s="63" t="s">
        <v>99</v>
      </c>
      <c r="Y124" s="56" t="s">
        <v>23</v>
      </c>
      <c r="Z124" s="63" t="s">
        <v>99</v>
      </c>
      <c r="AA124" s="63" t="s">
        <v>99</v>
      </c>
      <c r="AB124" s="63" t="s">
        <v>99</v>
      </c>
      <c r="AC124" s="63" t="s">
        <v>23</v>
      </c>
      <c r="AD124" s="63" t="s">
        <v>99</v>
      </c>
      <c r="AE124" s="63" t="s">
        <v>99</v>
      </c>
      <c r="AF124" s="63" t="s">
        <v>99</v>
      </c>
      <c r="AG124" s="63" t="s">
        <v>23</v>
      </c>
      <c r="AH124" s="63" t="s">
        <v>99</v>
      </c>
      <c r="AI124" s="63" t="s">
        <v>99</v>
      </c>
      <c r="AJ124" s="63" t="s">
        <v>99</v>
      </c>
      <c r="AK124" s="63" t="s">
        <v>23</v>
      </c>
      <c r="AL124" s="63" t="s">
        <v>99</v>
      </c>
      <c r="AM124" s="63" t="s">
        <v>99</v>
      </c>
      <c r="AN124" s="63" t="s">
        <v>99</v>
      </c>
      <c r="AO124" s="63" t="s">
        <v>99</v>
      </c>
      <c r="AP124" s="63" t="s">
        <v>99</v>
      </c>
      <c r="AQ124" s="63" t="s">
        <v>23</v>
      </c>
      <c r="AR124" s="63" t="s">
        <v>99</v>
      </c>
      <c r="AS124" s="63" t="s">
        <v>99</v>
      </c>
      <c r="AT124" s="63" t="s">
        <v>99</v>
      </c>
      <c r="AU124" s="63" t="s">
        <v>99</v>
      </c>
      <c r="AV124" s="63" t="s">
        <v>99</v>
      </c>
      <c r="AW124" s="63" t="s">
        <v>99</v>
      </c>
      <c r="AX124" s="63" t="s">
        <v>99</v>
      </c>
      <c r="AY124" s="63" t="s">
        <v>99</v>
      </c>
      <c r="AZ124" s="63" t="s">
        <v>99</v>
      </c>
      <c r="BA124" s="63" t="s">
        <v>99</v>
      </c>
      <c r="BB124" s="63" t="s">
        <v>99</v>
      </c>
      <c r="BC124" s="63" t="s">
        <v>99</v>
      </c>
      <c r="BD124" s="63" t="s">
        <v>99</v>
      </c>
      <c r="BE124" s="63" t="s">
        <v>99</v>
      </c>
      <c r="BF124" s="63" t="s">
        <v>99</v>
      </c>
      <c r="BG124" s="63" t="s">
        <v>99</v>
      </c>
      <c r="BH124" s="63" t="s">
        <v>99</v>
      </c>
      <c r="BI124" s="63" t="s">
        <v>99</v>
      </c>
      <c r="BJ124" s="63" t="s">
        <v>99</v>
      </c>
      <c r="BK124" s="63" t="s">
        <v>99</v>
      </c>
      <c r="BL124" s="63" t="s">
        <v>99</v>
      </c>
      <c r="BM124" s="63" t="s">
        <v>99</v>
      </c>
      <c r="BN124" s="63" t="s">
        <v>99</v>
      </c>
      <c r="BO124" s="63" t="s">
        <v>99</v>
      </c>
      <c r="BP124" s="64" t="s">
        <v>99</v>
      </c>
    </row>
    <row r="125" spans="2:68">
      <c r="B125" s="58">
        <v>4</v>
      </c>
      <c r="C125" s="59">
        <v>18</v>
      </c>
      <c r="D125" s="59" t="s">
        <v>98</v>
      </c>
      <c r="E125" s="60">
        <f>'[1]Master File'!B124</f>
        <v>46138</v>
      </c>
      <c r="F125" s="61" t="str">
        <f>'[1]Master File'!C124</f>
        <v>Explorer 5PM</v>
      </c>
      <c r="G125" s="39"/>
      <c r="I125" s="63" t="s">
        <v>99</v>
      </c>
      <c r="J125" s="63" t="s">
        <v>99</v>
      </c>
      <c r="K125" s="63" t="s">
        <v>99</v>
      </c>
      <c r="L125" s="63" t="s">
        <v>23</v>
      </c>
      <c r="M125" s="63" t="s">
        <v>99</v>
      </c>
      <c r="N125" s="63" t="s">
        <v>99</v>
      </c>
      <c r="O125" s="63" t="s">
        <v>99</v>
      </c>
      <c r="P125" s="63" t="s">
        <v>99</v>
      </c>
      <c r="Q125" s="63" t="s">
        <v>99</v>
      </c>
      <c r="R125" s="63" t="s">
        <v>99</v>
      </c>
      <c r="S125" s="63" t="s">
        <v>99</v>
      </c>
      <c r="T125" s="63" t="s">
        <v>99</v>
      </c>
      <c r="U125" s="63" t="s">
        <v>99</v>
      </c>
      <c r="V125" s="63" t="s">
        <v>99</v>
      </c>
      <c r="W125" s="63" t="s">
        <v>99</v>
      </c>
      <c r="X125" s="63" t="s">
        <v>99</v>
      </c>
      <c r="Y125" s="56" t="s">
        <v>23</v>
      </c>
      <c r="Z125" s="63" t="s">
        <v>99</v>
      </c>
      <c r="AA125" s="63" t="s">
        <v>99</v>
      </c>
      <c r="AB125" s="63" t="s">
        <v>99</v>
      </c>
      <c r="AC125" s="63" t="s">
        <v>23</v>
      </c>
      <c r="AD125" s="63" t="s">
        <v>99</v>
      </c>
      <c r="AE125" s="63" t="s">
        <v>99</v>
      </c>
      <c r="AF125" s="63" t="s">
        <v>99</v>
      </c>
      <c r="AG125" s="63" t="s">
        <v>23</v>
      </c>
      <c r="AH125" s="63" t="s">
        <v>99</v>
      </c>
      <c r="AI125" s="63" t="s">
        <v>99</v>
      </c>
      <c r="AJ125" s="63" t="s">
        <v>99</v>
      </c>
      <c r="AK125" s="63" t="s">
        <v>23</v>
      </c>
      <c r="AL125" s="63" t="s">
        <v>99</v>
      </c>
      <c r="AM125" s="63" t="s">
        <v>99</v>
      </c>
      <c r="AN125" s="63" t="s">
        <v>99</v>
      </c>
      <c r="AO125" s="63" t="s">
        <v>99</v>
      </c>
      <c r="AP125" s="63" t="s">
        <v>99</v>
      </c>
      <c r="AQ125" s="63" t="s">
        <v>23</v>
      </c>
      <c r="AR125" s="63" t="s">
        <v>99</v>
      </c>
      <c r="AS125" s="63" t="s">
        <v>99</v>
      </c>
      <c r="AT125" s="63" t="s">
        <v>99</v>
      </c>
      <c r="AU125" s="63" t="s">
        <v>99</v>
      </c>
      <c r="AV125" s="63" t="s">
        <v>99</v>
      </c>
      <c r="AW125" s="63" t="s">
        <v>99</v>
      </c>
      <c r="AX125" s="63" t="s">
        <v>99</v>
      </c>
      <c r="AY125" s="63" t="s">
        <v>99</v>
      </c>
      <c r="AZ125" s="63" t="s">
        <v>99</v>
      </c>
      <c r="BA125" s="63" t="s">
        <v>99</v>
      </c>
      <c r="BB125" s="63" t="s">
        <v>99</v>
      </c>
      <c r="BC125" s="63" t="s">
        <v>99</v>
      </c>
      <c r="BD125" s="63" t="s">
        <v>99</v>
      </c>
      <c r="BE125" s="63" t="s">
        <v>99</v>
      </c>
      <c r="BF125" s="63" t="s">
        <v>99</v>
      </c>
      <c r="BG125" s="63" t="s">
        <v>99</v>
      </c>
      <c r="BH125" s="63" t="s">
        <v>99</v>
      </c>
      <c r="BI125" s="63" t="s">
        <v>99</v>
      </c>
      <c r="BJ125" s="63" t="s">
        <v>99</v>
      </c>
      <c r="BK125" s="63" t="s">
        <v>99</v>
      </c>
      <c r="BL125" s="63" t="s">
        <v>99</v>
      </c>
      <c r="BM125" s="63" t="s">
        <v>99</v>
      </c>
      <c r="BN125" s="63" t="s">
        <v>99</v>
      </c>
      <c r="BO125" s="63" t="s">
        <v>99</v>
      </c>
      <c r="BP125" s="64" t="s">
        <v>99</v>
      </c>
    </row>
    <row r="126" spans="2:68">
      <c r="B126" s="58">
        <v>4</v>
      </c>
      <c r="C126" s="59">
        <v>18</v>
      </c>
      <c r="D126" s="59" t="s">
        <v>100</v>
      </c>
      <c r="E126" s="60">
        <f>'[1]Master File'!B125</f>
        <v>46139</v>
      </c>
      <c r="F126" s="61" t="str">
        <f>'[1]Master File'!C125</f>
        <v>Lodge 5PM</v>
      </c>
      <c r="G126" s="39"/>
      <c r="I126" s="56" t="s">
        <v>99</v>
      </c>
      <c r="J126" s="56" t="s">
        <v>99</v>
      </c>
      <c r="K126" s="56" t="s">
        <v>99</v>
      </c>
      <c r="L126" s="56" t="s">
        <v>23</v>
      </c>
      <c r="M126" s="56" t="s">
        <v>99</v>
      </c>
      <c r="N126" s="56" t="s">
        <v>99</v>
      </c>
      <c r="O126" s="56" t="s">
        <v>99</v>
      </c>
      <c r="P126" s="56" t="s">
        <v>99</v>
      </c>
      <c r="Q126" s="56" t="s">
        <v>99</v>
      </c>
      <c r="R126" s="56" t="s">
        <v>99</v>
      </c>
      <c r="S126" s="56" t="s">
        <v>99</v>
      </c>
      <c r="T126" s="56" t="s">
        <v>99</v>
      </c>
      <c r="U126" s="56" t="s">
        <v>99</v>
      </c>
      <c r="V126" s="56" t="s">
        <v>99</v>
      </c>
      <c r="W126" s="56" t="s">
        <v>99</v>
      </c>
      <c r="X126" s="56" t="s">
        <v>99</v>
      </c>
      <c r="Y126" s="56" t="s">
        <v>23</v>
      </c>
      <c r="Z126" s="56" t="s">
        <v>99</v>
      </c>
      <c r="AA126" s="56" t="s">
        <v>99</v>
      </c>
      <c r="AB126" s="56" t="s">
        <v>23</v>
      </c>
      <c r="AC126" s="56" t="s">
        <v>99</v>
      </c>
      <c r="AD126" s="56" t="s">
        <v>99</v>
      </c>
      <c r="AE126" s="56" t="s">
        <v>99</v>
      </c>
      <c r="AF126" s="56" t="s">
        <v>99</v>
      </c>
      <c r="AG126" s="56" t="s">
        <v>23</v>
      </c>
      <c r="AH126" s="56" t="s">
        <v>99</v>
      </c>
      <c r="AI126" s="56" t="s">
        <v>99</v>
      </c>
      <c r="AJ126" s="56" t="s">
        <v>99</v>
      </c>
      <c r="AK126" s="56" t="s">
        <v>23</v>
      </c>
      <c r="AL126" s="56" t="s">
        <v>99</v>
      </c>
      <c r="AM126" s="56" t="s">
        <v>99</v>
      </c>
      <c r="AN126" s="56" t="s">
        <v>99</v>
      </c>
      <c r="AO126" s="56" t="s">
        <v>99</v>
      </c>
      <c r="AP126" s="56" t="s">
        <v>99</v>
      </c>
      <c r="AQ126" s="56" t="s">
        <v>99</v>
      </c>
      <c r="AR126" s="56" t="s">
        <v>99</v>
      </c>
      <c r="AS126" s="56" t="s">
        <v>99</v>
      </c>
      <c r="AT126" s="56" t="s">
        <v>99</v>
      </c>
      <c r="AU126" s="56" t="s">
        <v>99</v>
      </c>
      <c r="AV126" s="56" t="s">
        <v>99</v>
      </c>
      <c r="AW126" s="56" t="s">
        <v>99</v>
      </c>
      <c r="AX126" s="56" t="s">
        <v>99</v>
      </c>
      <c r="AY126" s="56" t="s">
        <v>99</v>
      </c>
      <c r="AZ126" s="56" t="s">
        <v>99</v>
      </c>
      <c r="BA126" s="56" t="s">
        <v>99</v>
      </c>
      <c r="BB126" s="56" t="s">
        <v>99</v>
      </c>
      <c r="BC126" s="56" t="s">
        <v>99</v>
      </c>
      <c r="BD126" s="56" t="s">
        <v>99</v>
      </c>
      <c r="BE126" s="56" t="s">
        <v>99</v>
      </c>
      <c r="BF126" s="56" t="s">
        <v>99</v>
      </c>
      <c r="BG126" s="56" t="s">
        <v>99</v>
      </c>
      <c r="BH126" s="56" t="s">
        <v>99</v>
      </c>
      <c r="BI126" s="56" t="s">
        <v>99</v>
      </c>
      <c r="BJ126" s="56" t="s">
        <v>99</v>
      </c>
      <c r="BK126" s="56" t="s">
        <v>99</v>
      </c>
      <c r="BL126" s="56" t="s">
        <v>99</v>
      </c>
      <c r="BM126" s="56" t="s">
        <v>99</v>
      </c>
      <c r="BN126" s="56" t="s">
        <v>99</v>
      </c>
      <c r="BO126" s="56" t="s">
        <v>99</v>
      </c>
      <c r="BP126" s="62" t="s">
        <v>99</v>
      </c>
    </row>
    <row r="127" spans="2:68">
      <c r="B127" s="58">
        <v>4</v>
      </c>
      <c r="C127" s="59">
        <v>18</v>
      </c>
      <c r="D127" s="59" t="s">
        <v>101</v>
      </c>
      <c r="E127" s="60">
        <f>'[1]Master File'!B126</f>
        <v>46140</v>
      </c>
      <c r="F127" s="61" t="str">
        <f>'[1]Master File'!C126</f>
        <v>Closed</v>
      </c>
      <c r="G127" s="39"/>
      <c r="I127" s="56" t="s">
        <v>99</v>
      </c>
      <c r="J127" s="56" t="s">
        <v>99</v>
      </c>
      <c r="K127" s="56" t="s">
        <v>99</v>
      </c>
      <c r="L127" s="56" t="s">
        <v>23</v>
      </c>
      <c r="M127" s="56" t="s">
        <v>99</v>
      </c>
      <c r="N127" s="56" t="s">
        <v>99</v>
      </c>
      <c r="O127" s="56" t="s">
        <v>99</v>
      </c>
      <c r="P127" s="56" t="s">
        <v>99</v>
      </c>
      <c r="Q127" s="56" t="s">
        <v>99</v>
      </c>
      <c r="R127" s="56" t="s">
        <v>99</v>
      </c>
      <c r="S127" s="56" t="s">
        <v>99</v>
      </c>
      <c r="T127" s="56" t="s">
        <v>99</v>
      </c>
      <c r="U127" s="56" t="s">
        <v>99</v>
      </c>
      <c r="V127" s="56" t="s">
        <v>99</v>
      </c>
      <c r="W127" s="56" t="s">
        <v>99</v>
      </c>
      <c r="X127" s="56" t="s">
        <v>99</v>
      </c>
      <c r="Y127" s="56" t="s">
        <v>23</v>
      </c>
      <c r="Z127" s="56" t="s">
        <v>99</v>
      </c>
      <c r="AA127" s="56" t="s">
        <v>99</v>
      </c>
      <c r="AB127" s="56" t="s">
        <v>23</v>
      </c>
      <c r="AC127" s="56" t="s">
        <v>23</v>
      </c>
      <c r="AD127" s="56" t="s">
        <v>99</v>
      </c>
      <c r="AE127" s="56" t="s">
        <v>99</v>
      </c>
      <c r="AF127" s="56" t="s">
        <v>99</v>
      </c>
      <c r="AG127" s="56" t="s">
        <v>23</v>
      </c>
      <c r="AH127" s="56" t="s">
        <v>99</v>
      </c>
      <c r="AI127" s="56" t="s">
        <v>99</v>
      </c>
      <c r="AJ127" s="56" t="s">
        <v>99</v>
      </c>
      <c r="AK127" s="56" t="s">
        <v>23</v>
      </c>
      <c r="AL127" s="56" t="s">
        <v>99</v>
      </c>
      <c r="AM127" s="56" t="s">
        <v>99</v>
      </c>
      <c r="AN127" s="56" t="s">
        <v>99</v>
      </c>
      <c r="AO127" s="56" t="s">
        <v>99</v>
      </c>
      <c r="AP127" s="56" t="s">
        <v>99</v>
      </c>
      <c r="AQ127" s="56" t="s">
        <v>99</v>
      </c>
      <c r="AR127" s="56" t="s">
        <v>99</v>
      </c>
      <c r="AS127" s="56" t="s">
        <v>99</v>
      </c>
      <c r="AT127" s="56" t="s">
        <v>99</v>
      </c>
      <c r="AU127" s="56" t="s">
        <v>99</v>
      </c>
      <c r="AV127" s="56" t="s">
        <v>99</v>
      </c>
      <c r="AW127" s="56" t="s">
        <v>99</v>
      </c>
      <c r="AX127" s="56" t="s">
        <v>99</v>
      </c>
      <c r="AY127" s="56" t="s">
        <v>99</v>
      </c>
      <c r="AZ127" s="56" t="s">
        <v>99</v>
      </c>
      <c r="BA127" s="56" t="s">
        <v>99</v>
      </c>
      <c r="BB127" s="56" t="s">
        <v>99</v>
      </c>
      <c r="BC127" s="56" t="s">
        <v>99</v>
      </c>
      <c r="BD127" s="56" t="s">
        <v>99</v>
      </c>
      <c r="BE127" s="56" t="s">
        <v>99</v>
      </c>
      <c r="BF127" s="56" t="s">
        <v>99</v>
      </c>
      <c r="BG127" s="56" t="s">
        <v>99</v>
      </c>
      <c r="BH127" s="56" t="s">
        <v>99</v>
      </c>
      <c r="BI127" s="56" t="s">
        <v>99</v>
      </c>
      <c r="BJ127" s="56" t="s">
        <v>99</v>
      </c>
      <c r="BK127" s="56" t="s">
        <v>99</v>
      </c>
      <c r="BL127" s="56" t="s">
        <v>99</v>
      </c>
      <c r="BM127" s="56" t="s">
        <v>99</v>
      </c>
      <c r="BN127" s="56" t="s">
        <v>99</v>
      </c>
      <c r="BO127" s="56" t="s">
        <v>99</v>
      </c>
      <c r="BP127" s="62" t="s">
        <v>99</v>
      </c>
    </row>
    <row r="128" spans="2:68">
      <c r="B128" s="58">
        <v>4</v>
      </c>
      <c r="C128" s="59">
        <v>18</v>
      </c>
      <c r="D128" s="59" t="s">
        <v>102</v>
      </c>
      <c r="E128" s="60">
        <f>'[1]Master File'!B127</f>
        <v>46141</v>
      </c>
      <c r="F128" s="61" t="str">
        <f>'[1]Master File'!C127</f>
        <v>Closed</v>
      </c>
      <c r="G128" s="39"/>
      <c r="I128" s="56" t="s">
        <v>99</v>
      </c>
      <c r="J128" s="56" t="s">
        <v>99</v>
      </c>
      <c r="K128" s="56" t="s">
        <v>99</v>
      </c>
      <c r="L128" s="56" t="s">
        <v>23</v>
      </c>
      <c r="M128" s="56" t="s">
        <v>99</v>
      </c>
      <c r="N128" s="56" t="s">
        <v>99</v>
      </c>
      <c r="O128" s="56" t="s">
        <v>99</v>
      </c>
      <c r="P128" s="56" t="s">
        <v>99</v>
      </c>
      <c r="Q128" s="56" t="s">
        <v>99</v>
      </c>
      <c r="R128" s="56" t="s">
        <v>99</v>
      </c>
      <c r="S128" s="56" t="s">
        <v>99</v>
      </c>
      <c r="T128" s="56" t="s">
        <v>99</v>
      </c>
      <c r="U128" s="56" t="s">
        <v>99</v>
      </c>
      <c r="V128" s="56" t="s">
        <v>99</v>
      </c>
      <c r="W128" s="56" t="s">
        <v>99</v>
      </c>
      <c r="X128" s="56" t="s">
        <v>99</v>
      </c>
      <c r="Y128" s="56" t="s">
        <v>23</v>
      </c>
      <c r="Z128" s="56" t="s">
        <v>99</v>
      </c>
      <c r="AA128" s="56" t="s">
        <v>99</v>
      </c>
      <c r="AB128" s="56" t="s">
        <v>23</v>
      </c>
      <c r="AC128" s="56" t="s">
        <v>23</v>
      </c>
      <c r="AD128" s="56" t="s">
        <v>99</v>
      </c>
      <c r="AE128" s="56" t="s">
        <v>99</v>
      </c>
      <c r="AF128" s="56" t="s">
        <v>99</v>
      </c>
      <c r="AG128" s="56" t="s">
        <v>23</v>
      </c>
      <c r="AH128" s="56" t="s">
        <v>99</v>
      </c>
      <c r="AI128" s="56" t="s">
        <v>99</v>
      </c>
      <c r="AJ128" s="56" t="s">
        <v>99</v>
      </c>
      <c r="AK128" s="56" t="s">
        <v>23</v>
      </c>
      <c r="AL128" s="56" t="s">
        <v>99</v>
      </c>
      <c r="AM128" s="56" t="s">
        <v>99</v>
      </c>
      <c r="AN128" s="56" t="s">
        <v>99</v>
      </c>
      <c r="AO128" s="56" t="s">
        <v>99</v>
      </c>
      <c r="AP128" s="56" t="s">
        <v>99</v>
      </c>
      <c r="AQ128" s="56" t="s">
        <v>99</v>
      </c>
      <c r="AR128" s="56" t="s">
        <v>99</v>
      </c>
      <c r="AS128" s="56" t="s">
        <v>99</v>
      </c>
      <c r="AT128" s="56" t="s">
        <v>99</v>
      </c>
      <c r="AU128" s="56" t="s">
        <v>99</v>
      </c>
      <c r="AV128" s="56" t="s">
        <v>99</v>
      </c>
      <c r="AW128" s="56" t="s">
        <v>99</v>
      </c>
      <c r="AX128" s="56" t="s">
        <v>99</v>
      </c>
      <c r="AY128" s="56" t="s">
        <v>99</v>
      </c>
      <c r="AZ128" s="56" t="s">
        <v>99</v>
      </c>
      <c r="BA128" s="56" t="s">
        <v>99</v>
      </c>
      <c r="BB128" s="56" t="s">
        <v>99</v>
      </c>
      <c r="BC128" s="56" t="s">
        <v>99</v>
      </c>
      <c r="BD128" s="56" t="s">
        <v>99</v>
      </c>
      <c r="BE128" s="56" t="s">
        <v>99</v>
      </c>
      <c r="BF128" s="56" t="s">
        <v>99</v>
      </c>
      <c r="BG128" s="56" t="s">
        <v>99</v>
      </c>
      <c r="BH128" s="56" t="s">
        <v>99</v>
      </c>
      <c r="BI128" s="56" t="s">
        <v>99</v>
      </c>
      <c r="BJ128" s="56" t="s">
        <v>99</v>
      </c>
      <c r="BK128" s="56" t="s">
        <v>99</v>
      </c>
      <c r="BL128" s="56" t="s">
        <v>99</v>
      </c>
      <c r="BM128" s="56" t="s">
        <v>99</v>
      </c>
      <c r="BN128" s="56" t="s">
        <v>99</v>
      </c>
      <c r="BO128" s="56" t="s">
        <v>99</v>
      </c>
      <c r="BP128" s="62" t="s">
        <v>99</v>
      </c>
    </row>
    <row r="129" spans="2:68">
      <c r="B129" s="58">
        <v>4</v>
      </c>
      <c r="C129" s="59">
        <v>18</v>
      </c>
      <c r="D129" s="59" t="s">
        <v>103</v>
      </c>
      <c r="E129" s="60">
        <f>'[1]Master File'!B128</f>
        <v>46142</v>
      </c>
      <c r="F129" s="61" t="str">
        <f>'[1]Master File'!C128</f>
        <v>Lodge 5PM</v>
      </c>
      <c r="G129" s="39"/>
      <c r="I129" s="56" t="s">
        <v>99</v>
      </c>
      <c r="J129" s="56" t="s">
        <v>99</v>
      </c>
      <c r="K129" s="56" t="s">
        <v>99</v>
      </c>
      <c r="L129" s="56" t="s">
        <v>23</v>
      </c>
      <c r="M129" s="56" t="s">
        <v>99</v>
      </c>
      <c r="N129" s="56" t="s">
        <v>99</v>
      </c>
      <c r="O129" s="56" t="s">
        <v>99</v>
      </c>
      <c r="P129" s="56" t="s">
        <v>99</v>
      </c>
      <c r="Q129" s="56" t="s">
        <v>99</v>
      </c>
      <c r="R129" s="56" t="s">
        <v>99</v>
      </c>
      <c r="S129" s="56" t="s">
        <v>99</v>
      </c>
      <c r="T129" s="56" t="s">
        <v>99</v>
      </c>
      <c r="U129" s="56" t="s">
        <v>99</v>
      </c>
      <c r="V129" s="56" t="s">
        <v>99</v>
      </c>
      <c r="W129" s="56" t="s">
        <v>99</v>
      </c>
      <c r="X129" s="56" t="s">
        <v>99</v>
      </c>
      <c r="Y129" s="56" t="s">
        <v>23</v>
      </c>
      <c r="Z129" s="56" t="s">
        <v>99</v>
      </c>
      <c r="AA129" s="56" t="s">
        <v>99</v>
      </c>
      <c r="AB129" s="56" t="s">
        <v>23</v>
      </c>
      <c r="AC129" s="56" t="s">
        <v>23</v>
      </c>
      <c r="AD129" s="56" t="s">
        <v>99</v>
      </c>
      <c r="AE129" s="56" t="s">
        <v>99</v>
      </c>
      <c r="AF129" s="56" t="s">
        <v>99</v>
      </c>
      <c r="AG129" s="56" t="s">
        <v>23</v>
      </c>
      <c r="AH129" s="56" t="s">
        <v>99</v>
      </c>
      <c r="AI129" s="56" t="s">
        <v>99</v>
      </c>
      <c r="AJ129" s="56" t="s">
        <v>99</v>
      </c>
      <c r="AK129" s="56" t="s">
        <v>23</v>
      </c>
      <c r="AL129" s="56" t="s">
        <v>99</v>
      </c>
      <c r="AM129" s="56" t="s">
        <v>99</v>
      </c>
      <c r="AN129" s="56" t="s">
        <v>99</v>
      </c>
      <c r="AO129" s="56" t="s">
        <v>99</v>
      </c>
      <c r="AP129" s="56" t="s">
        <v>99</v>
      </c>
      <c r="AQ129" s="56" t="s">
        <v>99</v>
      </c>
      <c r="AR129" s="56" t="s">
        <v>99</v>
      </c>
      <c r="AS129" s="56" t="s">
        <v>99</v>
      </c>
      <c r="AT129" s="56" t="s">
        <v>99</v>
      </c>
      <c r="AU129" s="56" t="s">
        <v>99</v>
      </c>
      <c r="AV129" s="56" t="s">
        <v>99</v>
      </c>
      <c r="AW129" s="56" t="s">
        <v>99</v>
      </c>
      <c r="AX129" s="56" t="s">
        <v>99</v>
      </c>
      <c r="AY129" s="56" t="s">
        <v>99</v>
      </c>
      <c r="AZ129" s="56" t="s">
        <v>99</v>
      </c>
      <c r="BA129" s="56" t="s">
        <v>99</v>
      </c>
      <c r="BB129" s="56" t="s">
        <v>99</v>
      </c>
      <c r="BC129" s="56" t="s">
        <v>99</v>
      </c>
      <c r="BD129" s="56" t="s">
        <v>99</v>
      </c>
      <c r="BE129" s="56" t="s">
        <v>99</v>
      </c>
      <c r="BF129" s="56" t="s">
        <v>99</v>
      </c>
      <c r="BG129" s="56" t="s">
        <v>99</v>
      </c>
      <c r="BH129" s="56" t="s">
        <v>99</v>
      </c>
      <c r="BI129" s="56" t="s">
        <v>99</v>
      </c>
      <c r="BJ129" s="56" t="s">
        <v>99</v>
      </c>
      <c r="BK129" s="56" t="s">
        <v>99</v>
      </c>
      <c r="BL129" s="56" t="s">
        <v>99</v>
      </c>
      <c r="BM129" s="56" t="s">
        <v>99</v>
      </c>
      <c r="BN129" s="56" t="s">
        <v>99</v>
      </c>
      <c r="BO129" s="56" t="s">
        <v>99</v>
      </c>
      <c r="BP129" s="62" t="s">
        <v>99</v>
      </c>
    </row>
    <row r="130" spans="2:68">
      <c r="B130" s="58">
        <v>4</v>
      </c>
      <c r="C130" s="59">
        <v>18</v>
      </c>
      <c r="D130" s="59" t="s">
        <v>104</v>
      </c>
      <c r="E130" s="60">
        <f>'[1]Master File'!B129</f>
        <v>46143</v>
      </c>
      <c r="F130" s="61" t="str">
        <f>'[1]Master File'!C129</f>
        <v>Lodge 5PM</v>
      </c>
      <c r="G130" s="39"/>
      <c r="I130" s="56" t="s">
        <v>99</v>
      </c>
      <c r="J130" s="56" t="s">
        <v>99</v>
      </c>
      <c r="K130" s="56" t="s">
        <v>99</v>
      </c>
      <c r="L130" s="56" t="s">
        <v>23</v>
      </c>
      <c r="M130" s="56" t="s">
        <v>99</v>
      </c>
      <c r="N130" s="56" t="s">
        <v>99</v>
      </c>
      <c r="O130" s="56" t="s">
        <v>99</v>
      </c>
      <c r="P130" s="56" t="s">
        <v>99</v>
      </c>
      <c r="Q130" s="56" t="s">
        <v>99</v>
      </c>
      <c r="R130" s="56" t="s">
        <v>99</v>
      </c>
      <c r="S130" s="56" t="s">
        <v>99</v>
      </c>
      <c r="T130" s="56" t="s">
        <v>99</v>
      </c>
      <c r="U130" s="56" t="s">
        <v>99</v>
      </c>
      <c r="V130" s="56" t="s">
        <v>99</v>
      </c>
      <c r="W130" s="56" t="s">
        <v>99</v>
      </c>
      <c r="X130" s="56" t="s">
        <v>99</v>
      </c>
      <c r="Y130" s="56" t="s">
        <v>23</v>
      </c>
      <c r="Z130" s="56" t="s">
        <v>99</v>
      </c>
      <c r="AA130" s="56" t="s">
        <v>99</v>
      </c>
      <c r="AB130" s="56" t="s">
        <v>23</v>
      </c>
      <c r="AC130" s="56" t="s">
        <v>23</v>
      </c>
      <c r="AD130" s="56" t="s">
        <v>99</v>
      </c>
      <c r="AE130" s="56" t="s">
        <v>99</v>
      </c>
      <c r="AF130" s="56" t="s">
        <v>99</v>
      </c>
      <c r="AG130" s="56" t="s">
        <v>23</v>
      </c>
      <c r="AH130" s="56" t="s">
        <v>99</v>
      </c>
      <c r="AI130" s="56" t="s">
        <v>99</v>
      </c>
      <c r="AJ130" s="56" t="s">
        <v>99</v>
      </c>
      <c r="AK130" s="56" t="s">
        <v>23</v>
      </c>
      <c r="AL130" s="56" t="s">
        <v>99</v>
      </c>
      <c r="AM130" s="56" t="s">
        <v>99</v>
      </c>
      <c r="AN130" s="56" t="s">
        <v>99</v>
      </c>
      <c r="AO130" s="56" t="s">
        <v>99</v>
      </c>
      <c r="AP130" s="56" t="s">
        <v>99</v>
      </c>
      <c r="AQ130" s="56" t="s">
        <v>99</v>
      </c>
      <c r="AR130" s="56" t="s">
        <v>99</v>
      </c>
      <c r="AS130" s="56" t="s">
        <v>99</v>
      </c>
      <c r="AT130" s="56" t="s">
        <v>99</v>
      </c>
      <c r="AU130" s="56" t="s">
        <v>99</v>
      </c>
      <c r="AV130" s="56" t="s">
        <v>99</v>
      </c>
      <c r="AW130" s="56" t="s">
        <v>99</v>
      </c>
      <c r="AX130" s="56" t="s">
        <v>99</v>
      </c>
      <c r="AY130" s="56" t="s">
        <v>99</v>
      </c>
      <c r="AZ130" s="56" t="s">
        <v>99</v>
      </c>
      <c r="BA130" s="56" t="s">
        <v>99</v>
      </c>
      <c r="BB130" s="56" t="s">
        <v>99</v>
      </c>
      <c r="BC130" s="56" t="s">
        <v>99</v>
      </c>
      <c r="BD130" s="56" t="s">
        <v>99</v>
      </c>
      <c r="BE130" s="56" t="s">
        <v>99</v>
      </c>
      <c r="BF130" s="56" t="s">
        <v>99</v>
      </c>
      <c r="BG130" s="56" t="s">
        <v>99</v>
      </c>
      <c r="BH130" s="56" t="s">
        <v>99</v>
      </c>
      <c r="BI130" s="56" t="s">
        <v>99</v>
      </c>
      <c r="BJ130" s="56" t="s">
        <v>99</v>
      </c>
      <c r="BK130" s="56" t="s">
        <v>99</v>
      </c>
      <c r="BL130" s="56" t="s">
        <v>99</v>
      </c>
      <c r="BM130" s="56" t="s">
        <v>99</v>
      </c>
      <c r="BN130" s="56" t="s">
        <v>99</v>
      </c>
      <c r="BO130" s="56" t="s">
        <v>99</v>
      </c>
      <c r="BP130" s="62" t="s">
        <v>99</v>
      </c>
    </row>
    <row r="131" spans="2:68">
      <c r="B131" s="58">
        <v>4</v>
      </c>
      <c r="C131" s="59">
        <v>18</v>
      </c>
      <c r="D131" s="59" t="s">
        <v>105</v>
      </c>
      <c r="E131" s="60">
        <f>'[1]Master File'!B130</f>
        <v>46144</v>
      </c>
      <c r="F131" s="61" t="str">
        <f>'[1]Master File'!C130</f>
        <v>Explorer + 6PM</v>
      </c>
      <c r="G131" s="39"/>
      <c r="I131" s="63" t="s">
        <v>99</v>
      </c>
      <c r="J131" s="63" t="s">
        <v>99</v>
      </c>
      <c r="K131" s="63" t="s">
        <v>99</v>
      </c>
      <c r="L131" s="63" t="s">
        <v>23</v>
      </c>
      <c r="M131" s="63" t="s">
        <v>99</v>
      </c>
      <c r="N131" s="63" t="s">
        <v>99</v>
      </c>
      <c r="O131" s="63" t="s">
        <v>99</v>
      </c>
      <c r="P131" s="63" t="s">
        <v>99</v>
      </c>
      <c r="Q131" s="63" t="s">
        <v>99</v>
      </c>
      <c r="R131" s="63" t="s">
        <v>99</v>
      </c>
      <c r="S131" s="63" t="s">
        <v>99</v>
      </c>
      <c r="T131" s="63" t="s">
        <v>99</v>
      </c>
      <c r="U131" s="63" t="s">
        <v>99</v>
      </c>
      <c r="V131" s="63" t="s">
        <v>99</v>
      </c>
      <c r="W131" s="63" t="s">
        <v>99</v>
      </c>
      <c r="X131" s="63" t="s">
        <v>99</v>
      </c>
      <c r="Y131" s="56" t="s">
        <v>23</v>
      </c>
      <c r="Z131" s="63" t="s">
        <v>99</v>
      </c>
      <c r="AA131" s="63" t="s">
        <v>99</v>
      </c>
      <c r="AB131" s="63" t="s">
        <v>99</v>
      </c>
      <c r="AC131" s="63" t="s">
        <v>23</v>
      </c>
      <c r="AD131" s="63" t="s">
        <v>99</v>
      </c>
      <c r="AE131" s="63" t="s">
        <v>99</v>
      </c>
      <c r="AF131" s="63" t="s">
        <v>99</v>
      </c>
      <c r="AG131" s="63" t="s">
        <v>23</v>
      </c>
      <c r="AH131" s="63" t="s">
        <v>99</v>
      </c>
      <c r="AI131" s="63" t="s">
        <v>99</v>
      </c>
      <c r="AJ131" s="63" t="s">
        <v>99</v>
      </c>
      <c r="AK131" s="63" t="s">
        <v>23</v>
      </c>
      <c r="AL131" s="63" t="s">
        <v>99</v>
      </c>
      <c r="AM131" s="63" t="s">
        <v>99</v>
      </c>
      <c r="AN131" s="63" t="s">
        <v>99</v>
      </c>
      <c r="AO131" s="63" t="s">
        <v>99</v>
      </c>
      <c r="AP131" s="63" t="s">
        <v>99</v>
      </c>
      <c r="AQ131" s="63" t="s">
        <v>23</v>
      </c>
      <c r="AR131" s="63" t="s">
        <v>99</v>
      </c>
      <c r="AS131" s="63" t="s">
        <v>99</v>
      </c>
      <c r="AT131" s="63" t="s">
        <v>99</v>
      </c>
      <c r="AU131" s="63" t="s">
        <v>99</v>
      </c>
      <c r="AV131" s="63" t="s">
        <v>99</v>
      </c>
      <c r="AW131" s="63" t="s">
        <v>99</v>
      </c>
      <c r="AX131" s="63" t="s">
        <v>99</v>
      </c>
      <c r="AY131" s="63" t="s">
        <v>99</v>
      </c>
      <c r="AZ131" s="63" t="s">
        <v>99</v>
      </c>
      <c r="BA131" s="63" t="s">
        <v>99</v>
      </c>
      <c r="BB131" s="63" t="s">
        <v>99</v>
      </c>
      <c r="BC131" s="63" t="s">
        <v>99</v>
      </c>
      <c r="BD131" s="63" t="s">
        <v>99</v>
      </c>
      <c r="BE131" s="63" t="s">
        <v>99</v>
      </c>
      <c r="BF131" s="63" t="s">
        <v>99</v>
      </c>
      <c r="BG131" s="63" t="s">
        <v>99</v>
      </c>
      <c r="BH131" s="63" t="s">
        <v>99</v>
      </c>
      <c r="BI131" s="63" t="s">
        <v>99</v>
      </c>
      <c r="BJ131" s="63" t="s">
        <v>99</v>
      </c>
      <c r="BK131" s="63" t="s">
        <v>99</v>
      </c>
      <c r="BL131" s="63" t="s">
        <v>99</v>
      </c>
      <c r="BM131" s="63" t="s">
        <v>99</v>
      </c>
      <c r="BN131" s="63" t="s">
        <v>99</v>
      </c>
      <c r="BO131" s="63" t="s">
        <v>99</v>
      </c>
      <c r="BP131" s="64" t="s">
        <v>99</v>
      </c>
    </row>
    <row r="132" spans="2:68">
      <c r="B132" s="58">
        <v>5</v>
      </c>
      <c r="C132" s="59">
        <v>19</v>
      </c>
      <c r="D132" s="59" t="s">
        <v>98</v>
      </c>
      <c r="E132" s="60">
        <f>'[1]Master File'!B131</f>
        <v>46145</v>
      </c>
      <c r="F132" s="61" t="str">
        <f>'[1]Master File'!C131</f>
        <v>Explorer 6PM</v>
      </c>
      <c r="G132" s="39"/>
      <c r="I132" s="63" t="s">
        <v>99</v>
      </c>
      <c r="J132" s="63" t="s">
        <v>99</v>
      </c>
      <c r="K132" s="63" t="s">
        <v>99</v>
      </c>
      <c r="L132" s="63" t="s">
        <v>23</v>
      </c>
      <c r="M132" s="63" t="s">
        <v>99</v>
      </c>
      <c r="N132" s="63" t="s">
        <v>99</v>
      </c>
      <c r="O132" s="63" t="s">
        <v>99</v>
      </c>
      <c r="P132" s="63" t="s">
        <v>99</v>
      </c>
      <c r="Q132" s="63" t="s">
        <v>99</v>
      </c>
      <c r="R132" s="63" t="s">
        <v>99</v>
      </c>
      <c r="S132" s="63" t="s">
        <v>99</v>
      </c>
      <c r="T132" s="63" t="s">
        <v>99</v>
      </c>
      <c r="U132" s="63" t="s">
        <v>99</v>
      </c>
      <c r="V132" s="63" t="s">
        <v>99</v>
      </c>
      <c r="W132" s="63" t="s">
        <v>99</v>
      </c>
      <c r="X132" s="63" t="s">
        <v>99</v>
      </c>
      <c r="Y132" s="56" t="s">
        <v>23</v>
      </c>
      <c r="Z132" s="63" t="s">
        <v>99</v>
      </c>
      <c r="AA132" s="63" t="s">
        <v>99</v>
      </c>
      <c r="AB132" s="63" t="s">
        <v>99</v>
      </c>
      <c r="AC132" s="63" t="s">
        <v>23</v>
      </c>
      <c r="AD132" s="63" t="s">
        <v>99</v>
      </c>
      <c r="AE132" s="63" t="s">
        <v>99</v>
      </c>
      <c r="AF132" s="63" t="s">
        <v>99</v>
      </c>
      <c r="AG132" s="63" t="s">
        <v>23</v>
      </c>
      <c r="AH132" s="63" t="s">
        <v>99</v>
      </c>
      <c r="AI132" s="63" t="s">
        <v>99</v>
      </c>
      <c r="AJ132" s="63" t="s">
        <v>99</v>
      </c>
      <c r="AK132" s="63" t="s">
        <v>23</v>
      </c>
      <c r="AL132" s="63" t="s">
        <v>99</v>
      </c>
      <c r="AM132" s="63" t="s">
        <v>99</v>
      </c>
      <c r="AN132" s="63" t="s">
        <v>99</v>
      </c>
      <c r="AO132" s="63" t="s">
        <v>99</v>
      </c>
      <c r="AP132" s="63" t="s">
        <v>99</v>
      </c>
      <c r="AQ132" s="63" t="s">
        <v>23</v>
      </c>
      <c r="AR132" s="63" t="s">
        <v>99</v>
      </c>
      <c r="AS132" s="63" t="s">
        <v>99</v>
      </c>
      <c r="AT132" s="63" t="s">
        <v>99</v>
      </c>
      <c r="AU132" s="63" t="s">
        <v>99</v>
      </c>
      <c r="AV132" s="63" t="s">
        <v>99</v>
      </c>
      <c r="AW132" s="63" t="s">
        <v>99</v>
      </c>
      <c r="AX132" s="63" t="s">
        <v>99</v>
      </c>
      <c r="AY132" s="63" t="s">
        <v>99</v>
      </c>
      <c r="AZ132" s="63" t="s">
        <v>99</v>
      </c>
      <c r="BA132" s="63" t="s">
        <v>99</v>
      </c>
      <c r="BB132" s="63" t="s">
        <v>99</v>
      </c>
      <c r="BC132" s="63" t="s">
        <v>99</v>
      </c>
      <c r="BD132" s="63" t="s">
        <v>99</v>
      </c>
      <c r="BE132" s="63" t="s">
        <v>99</v>
      </c>
      <c r="BF132" s="63" t="s">
        <v>99</v>
      </c>
      <c r="BG132" s="63" t="s">
        <v>99</v>
      </c>
      <c r="BH132" s="63" t="s">
        <v>99</v>
      </c>
      <c r="BI132" s="63" t="s">
        <v>99</v>
      </c>
      <c r="BJ132" s="63" t="s">
        <v>99</v>
      </c>
      <c r="BK132" s="63" t="s">
        <v>99</v>
      </c>
      <c r="BL132" s="63" t="s">
        <v>99</v>
      </c>
      <c r="BM132" s="63" t="s">
        <v>99</v>
      </c>
      <c r="BN132" s="63" t="s">
        <v>99</v>
      </c>
      <c r="BO132" s="63" t="s">
        <v>99</v>
      </c>
      <c r="BP132" s="64" t="s">
        <v>99</v>
      </c>
    </row>
    <row r="133" spans="2:68">
      <c r="B133" s="58">
        <v>5</v>
      </c>
      <c r="C133" s="59">
        <v>19</v>
      </c>
      <c r="D133" s="59" t="s">
        <v>100</v>
      </c>
      <c r="E133" s="60">
        <f>'[1]Master File'!B132</f>
        <v>46146</v>
      </c>
      <c r="F133" s="61" t="str">
        <f>'[1]Master File'!C132</f>
        <v>Explorer 6PM</v>
      </c>
      <c r="G133" s="39"/>
      <c r="I133" s="56" t="s">
        <v>99</v>
      </c>
      <c r="J133" s="56" t="s">
        <v>99</v>
      </c>
      <c r="K133" s="56" t="s">
        <v>99</v>
      </c>
      <c r="L133" s="56" t="s">
        <v>23</v>
      </c>
      <c r="M133" s="56" t="s">
        <v>99</v>
      </c>
      <c r="N133" s="56" t="s">
        <v>99</v>
      </c>
      <c r="O133" s="56" t="s">
        <v>99</v>
      </c>
      <c r="P133" s="56" t="s">
        <v>99</v>
      </c>
      <c r="Q133" s="56" t="s">
        <v>99</v>
      </c>
      <c r="R133" s="56" t="s">
        <v>99</v>
      </c>
      <c r="S133" s="56" t="s">
        <v>99</v>
      </c>
      <c r="T133" s="56" t="s">
        <v>99</v>
      </c>
      <c r="U133" s="56" t="s">
        <v>99</v>
      </c>
      <c r="V133" s="56" t="s">
        <v>99</v>
      </c>
      <c r="W133" s="56" t="s">
        <v>99</v>
      </c>
      <c r="X133" s="56" t="s">
        <v>99</v>
      </c>
      <c r="Y133" s="56" t="s">
        <v>23</v>
      </c>
      <c r="Z133" s="56" t="s">
        <v>99</v>
      </c>
      <c r="AA133" s="56" t="s">
        <v>99</v>
      </c>
      <c r="AB133" s="56" t="s">
        <v>23</v>
      </c>
      <c r="AC133" s="56" t="s">
        <v>99</v>
      </c>
      <c r="AD133" s="56" t="s">
        <v>99</v>
      </c>
      <c r="AE133" s="56" t="s">
        <v>99</v>
      </c>
      <c r="AF133" s="56" t="s">
        <v>99</v>
      </c>
      <c r="AG133" s="56" t="s">
        <v>23</v>
      </c>
      <c r="AH133" s="56" t="s">
        <v>99</v>
      </c>
      <c r="AI133" s="56" t="s">
        <v>99</v>
      </c>
      <c r="AJ133" s="56" t="s">
        <v>99</v>
      </c>
      <c r="AK133" s="56" t="s">
        <v>23</v>
      </c>
      <c r="AL133" s="56" t="s">
        <v>99</v>
      </c>
      <c r="AM133" s="56" t="s">
        <v>99</v>
      </c>
      <c r="AN133" s="56" t="s">
        <v>99</v>
      </c>
      <c r="AO133" s="56" t="s">
        <v>99</v>
      </c>
      <c r="AP133" s="56" t="s">
        <v>99</v>
      </c>
      <c r="AQ133" s="56" t="s">
        <v>99</v>
      </c>
      <c r="AR133" s="56" t="s">
        <v>99</v>
      </c>
      <c r="AS133" s="56" t="s">
        <v>99</v>
      </c>
      <c r="AT133" s="56" t="s">
        <v>99</v>
      </c>
      <c r="AU133" s="56" t="s">
        <v>99</v>
      </c>
      <c r="AV133" s="56" t="s">
        <v>99</v>
      </c>
      <c r="AW133" s="56" t="s">
        <v>99</v>
      </c>
      <c r="AX133" s="56" t="s">
        <v>99</v>
      </c>
      <c r="AY133" s="56" t="s">
        <v>99</v>
      </c>
      <c r="AZ133" s="56" t="s">
        <v>99</v>
      </c>
      <c r="BA133" s="56" t="s">
        <v>99</v>
      </c>
      <c r="BB133" s="56" t="s">
        <v>99</v>
      </c>
      <c r="BC133" s="56" t="s">
        <v>99</v>
      </c>
      <c r="BD133" s="56" t="s">
        <v>99</v>
      </c>
      <c r="BE133" s="56" t="s">
        <v>99</v>
      </c>
      <c r="BF133" s="56" t="s">
        <v>99</v>
      </c>
      <c r="BG133" s="56" t="s">
        <v>99</v>
      </c>
      <c r="BH133" s="56" t="s">
        <v>99</v>
      </c>
      <c r="BI133" s="56" t="s">
        <v>99</v>
      </c>
      <c r="BJ133" s="56" t="s">
        <v>99</v>
      </c>
      <c r="BK133" s="56" t="s">
        <v>99</v>
      </c>
      <c r="BL133" s="56" t="s">
        <v>99</v>
      </c>
      <c r="BM133" s="56" t="s">
        <v>99</v>
      </c>
      <c r="BN133" s="56" t="s">
        <v>99</v>
      </c>
      <c r="BO133" s="56" t="s">
        <v>99</v>
      </c>
      <c r="BP133" s="62" t="s">
        <v>99</v>
      </c>
    </row>
    <row r="134" spans="2:68">
      <c r="B134" s="58">
        <v>5</v>
      </c>
      <c r="C134" s="59">
        <v>19</v>
      </c>
      <c r="D134" s="59" t="s">
        <v>101</v>
      </c>
      <c r="E134" s="60">
        <f>'[1]Master File'!B133</f>
        <v>46147</v>
      </c>
      <c r="F134" s="61" t="str">
        <f>'[1]Master File'!C133</f>
        <v>Lodge 5PM</v>
      </c>
      <c r="G134" s="39"/>
      <c r="I134" s="56" t="s">
        <v>99</v>
      </c>
      <c r="J134" s="56" t="s">
        <v>99</v>
      </c>
      <c r="K134" s="56" t="s">
        <v>99</v>
      </c>
      <c r="L134" s="56" t="s">
        <v>23</v>
      </c>
      <c r="M134" s="56" t="s">
        <v>99</v>
      </c>
      <c r="N134" s="56" t="s">
        <v>99</v>
      </c>
      <c r="O134" s="56" t="s">
        <v>99</v>
      </c>
      <c r="P134" s="56" t="s">
        <v>99</v>
      </c>
      <c r="Q134" s="56" t="s">
        <v>99</v>
      </c>
      <c r="R134" s="56" t="s">
        <v>99</v>
      </c>
      <c r="S134" s="56" t="s">
        <v>99</v>
      </c>
      <c r="T134" s="56" t="s">
        <v>99</v>
      </c>
      <c r="U134" s="56" t="s">
        <v>99</v>
      </c>
      <c r="V134" s="56" t="s">
        <v>99</v>
      </c>
      <c r="W134" s="56" t="s">
        <v>99</v>
      </c>
      <c r="X134" s="56" t="s">
        <v>99</v>
      </c>
      <c r="Y134" s="56" t="s">
        <v>23</v>
      </c>
      <c r="Z134" s="56" t="s">
        <v>99</v>
      </c>
      <c r="AA134" s="56" t="s">
        <v>99</v>
      </c>
      <c r="AB134" s="56" t="s">
        <v>23</v>
      </c>
      <c r="AC134" s="56" t="s">
        <v>23</v>
      </c>
      <c r="AD134" s="56" t="s">
        <v>99</v>
      </c>
      <c r="AE134" s="56" t="s">
        <v>99</v>
      </c>
      <c r="AF134" s="56" t="s">
        <v>99</v>
      </c>
      <c r="AG134" s="56" t="s">
        <v>23</v>
      </c>
      <c r="AH134" s="56" t="s">
        <v>99</v>
      </c>
      <c r="AI134" s="56" t="s">
        <v>99</v>
      </c>
      <c r="AJ134" s="56" t="s">
        <v>99</v>
      </c>
      <c r="AK134" s="56" t="s">
        <v>23</v>
      </c>
      <c r="AL134" s="56" t="s">
        <v>99</v>
      </c>
      <c r="AM134" s="56" t="s">
        <v>99</v>
      </c>
      <c r="AN134" s="56" t="s">
        <v>99</v>
      </c>
      <c r="AO134" s="56" t="s">
        <v>99</v>
      </c>
      <c r="AP134" s="56" t="s">
        <v>99</v>
      </c>
      <c r="AQ134" s="56" t="s">
        <v>99</v>
      </c>
      <c r="AR134" s="56" t="s">
        <v>99</v>
      </c>
      <c r="AS134" s="56" t="s">
        <v>99</v>
      </c>
      <c r="AT134" s="56" t="s">
        <v>99</v>
      </c>
      <c r="AU134" s="56" t="s">
        <v>99</v>
      </c>
      <c r="AV134" s="56" t="s">
        <v>99</v>
      </c>
      <c r="AW134" s="56" t="s">
        <v>99</v>
      </c>
      <c r="AX134" s="56" t="s">
        <v>99</v>
      </c>
      <c r="AY134" s="56" t="s">
        <v>99</v>
      </c>
      <c r="AZ134" s="56" t="s">
        <v>99</v>
      </c>
      <c r="BA134" s="56" t="s">
        <v>99</v>
      </c>
      <c r="BB134" s="56" t="s">
        <v>99</v>
      </c>
      <c r="BC134" s="56" t="s">
        <v>99</v>
      </c>
      <c r="BD134" s="56" t="s">
        <v>99</v>
      </c>
      <c r="BE134" s="56" t="s">
        <v>99</v>
      </c>
      <c r="BF134" s="56" t="s">
        <v>99</v>
      </c>
      <c r="BG134" s="56" t="s">
        <v>99</v>
      </c>
      <c r="BH134" s="56" t="s">
        <v>99</v>
      </c>
      <c r="BI134" s="56" t="s">
        <v>99</v>
      </c>
      <c r="BJ134" s="56" t="s">
        <v>99</v>
      </c>
      <c r="BK134" s="56" t="s">
        <v>99</v>
      </c>
      <c r="BL134" s="56" t="s">
        <v>99</v>
      </c>
      <c r="BM134" s="56" t="s">
        <v>99</v>
      </c>
      <c r="BN134" s="56" t="s">
        <v>99</v>
      </c>
      <c r="BO134" s="56" t="s">
        <v>99</v>
      </c>
      <c r="BP134" s="62" t="s">
        <v>99</v>
      </c>
    </row>
    <row r="135" spans="2:68">
      <c r="B135" s="58">
        <v>5</v>
      </c>
      <c r="C135" s="59">
        <v>19</v>
      </c>
      <c r="D135" s="59" t="s">
        <v>102</v>
      </c>
      <c r="E135" s="60">
        <f>'[1]Master File'!B134</f>
        <v>46148</v>
      </c>
      <c r="F135" s="61" t="str">
        <f>'[1]Master File'!C134</f>
        <v>Lodge 5PM</v>
      </c>
      <c r="G135" s="39"/>
      <c r="I135" s="56" t="s">
        <v>99</v>
      </c>
      <c r="J135" s="56" t="s">
        <v>99</v>
      </c>
      <c r="K135" s="56" t="s">
        <v>99</v>
      </c>
      <c r="L135" s="56" t="s">
        <v>23</v>
      </c>
      <c r="M135" s="56" t="s">
        <v>99</v>
      </c>
      <c r="N135" s="56" t="s">
        <v>99</v>
      </c>
      <c r="O135" s="56" t="s">
        <v>99</v>
      </c>
      <c r="P135" s="56" t="s">
        <v>99</v>
      </c>
      <c r="Q135" s="56" t="s">
        <v>99</v>
      </c>
      <c r="R135" s="56" t="s">
        <v>99</v>
      </c>
      <c r="S135" s="56" t="s">
        <v>99</v>
      </c>
      <c r="T135" s="56" t="s">
        <v>99</v>
      </c>
      <c r="U135" s="56" t="s">
        <v>99</v>
      </c>
      <c r="V135" s="56" t="s">
        <v>99</v>
      </c>
      <c r="W135" s="56" t="s">
        <v>99</v>
      </c>
      <c r="X135" s="56" t="s">
        <v>99</v>
      </c>
      <c r="Y135" s="56" t="s">
        <v>23</v>
      </c>
      <c r="Z135" s="56" t="s">
        <v>99</v>
      </c>
      <c r="AA135" s="56" t="s">
        <v>99</v>
      </c>
      <c r="AB135" s="56" t="s">
        <v>23</v>
      </c>
      <c r="AC135" s="56" t="s">
        <v>23</v>
      </c>
      <c r="AD135" s="56" t="s">
        <v>99</v>
      </c>
      <c r="AE135" s="56" t="s">
        <v>99</v>
      </c>
      <c r="AF135" s="56" t="s">
        <v>99</v>
      </c>
      <c r="AG135" s="56" t="s">
        <v>23</v>
      </c>
      <c r="AH135" s="56" t="s">
        <v>99</v>
      </c>
      <c r="AI135" s="56" t="s">
        <v>99</v>
      </c>
      <c r="AJ135" s="56" t="s">
        <v>99</v>
      </c>
      <c r="AK135" s="56" t="s">
        <v>23</v>
      </c>
      <c r="AL135" s="56" t="s">
        <v>99</v>
      </c>
      <c r="AM135" s="56" t="s">
        <v>99</v>
      </c>
      <c r="AN135" s="56" t="s">
        <v>99</v>
      </c>
      <c r="AO135" s="56" t="s">
        <v>99</v>
      </c>
      <c r="AP135" s="56" t="s">
        <v>99</v>
      </c>
      <c r="AQ135" s="56" t="s">
        <v>99</v>
      </c>
      <c r="AR135" s="56" t="s">
        <v>99</v>
      </c>
      <c r="AS135" s="56" t="s">
        <v>99</v>
      </c>
      <c r="AT135" s="56" t="s">
        <v>99</v>
      </c>
      <c r="AU135" s="56" t="s">
        <v>99</v>
      </c>
      <c r="AV135" s="56" t="s">
        <v>99</v>
      </c>
      <c r="AW135" s="56" t="s">
        <v>99</v>
      </c>
      <c r="AX135" s="56" t="s">
        <v>99</v>
      </c>
      <c r="AY135" s="56" t="s">
        <v>99</v>
      </c>
      <c r="AZ135" s="56" t="s">
        <v>99</v>
      </c>
      <c r="BA135" s="56" t="s">
        <v>99</v>
      </c>
      <c r="BB135" s="56" t="s">
        <v>99</v>
      </c>
      <c r="BC135" s="56" t="s">
        <v>99</v>
      </c>
      <c r="BD135" s="56" t="s">
        <v>99</v>
      </c>
      <c r="BE135" s="56" t="s">
        <v>99</v>
      </c>
      <c r="BF135" s="56" t="s">
        <v>99</v>
      </c>
      <c r="BG135" s="56" t="s">
        <v>99</v>
      </c>
      <c r="BH135" s="56" t="s">
        <v>99</v>
      </c>
      <c r="BI135" s="56" t="s">
        <v>99</v>
      </c>
      <c r="BJ135" s="56" t="s">
        <v>99</v>
      </c>
      <c r="BK135" s="56" t="s">
        <v>99</v>
      </c>
      <c r="BL135" s="56" t="s">
        <v>99</v>
      </c>
      <c r="BM135" s="56" t="s">
        <v>99</v>
      </c>
      <c r="BN135" s="56" t="s">
        <v>99</v>
      </c>
      <c r="BO135" s="56" t="s">
        <v>99</v>
      </c>
      <c r="BP135" s="62" t="s">
        <v>99</v>
      </c>
    </row>
    <row r="136" spans="2:68">
      <c r="B136" s="58">
        <v>5</v>
      </c>
      <c r="C136" s="59">
        <v>19</v>
      </c>
      <c r="D136" s="59" t="s">
        <v>103</v>
      </c>
      <c r="E136" s="60">
        <f>'[1]Master File'!B135</f>
        <v>46149</v>
      </c>
      <c r="F136" s="61" t="str">
        <f>'[1]Master File'!C135</f>
        <v>Lodge 5PM</v>
      </c>
      <c r="G136" s="39"/>
      <c r="I136" s="56" t="s">
        <v>99</v>
      </c>
      <c r="J136" s="56" t="s">
        <v>99</v>
      </c>
      <c r="K136" s="56" t="s">
        <v>99</v>
      </c>
      <c r="L136" s="56" t="s">
        <v>23</v>
      </c>
      <c r="M136" s="56" t="s">
        <v>99</v>
      </c>
      <c r="N136" s="56" t="s">
        <v>99</v>
      </c>
      <c r="O136" s="56" t="s">
        <v>99</v>
      </c>
      <c r="P136" s="56" t="s">
        <v>99</v>
      </c>
      <c r="Q136" s="56" t="s">
        <v>99</v>
      </c>
      <c r="R136" s="56" t="s">
        <v>99</v>
      </c>
      <c r="S136" s="56" t="s">
        <v>99</v>
      </c>
      <c r="T136" s="56" t="s">
        <v>99</v>
      </c>
      <c r="U136" s="56" t="s">
        <v>99</v>
      </c>
      <c r="V136" s="56" t="s">
        <v>99</v>
      </c>
      <c r="W136" s="56" t="s">
        <v>99</v>
      </c>
      <c r="X136" s="56" t="s">
        <v>99</v>
      </c>
      <c r="Y136" s="56" t="s">
        <v>23</v>
      </c>
      <c r="Z136" s="56" t="s">
        <v>99</v>
      </c>
      <c r="AA136" s="56" t="s">
        <v>99</v>
      </c>
      <c r="AB136" s="56" t="s">
        <v>23</v>
      </c>
      <c r="AC136" s="56" t="s">
        <v>23</v>
      </c>
      <c r="AD136" s="56" t="s">
        <v>99</v>
      </c>
      <c r="AE136" s="56" t="s">
        <v>99</v>
      </c>
      <c r="AF136" s="56" t="s">
        <v>99</v>
      </c>
      <c r="AG136" s="56" t="s">
        <v>23</v>
      </c>
      <c r="AH136" s="56" t="s">
        <v>99</v>
      </c>
      <c r="AI136" s="56" t="s">
        <v>99</v>
      </c>
      <c r="AJ136" s="56" t="s">
        <v>99</v>
      </c>
      <c r="AK136" s="56" t="s">
        <v>23</v>
      </c>
      <c r="AL136" s="56" t="s">
        <v>99</v>
      </c>
      <c r="AM136" s="56" t="s">
        <v>99</v>
      </c>
      <c r="AN136" s="56" t="s">
        <v>99</v>
      </c>
      <c r="AO136" s="56" t="s">
        <v>99</v>
      </c>
      <c r="AP136" s="56" t="s">
        <v>99</v>
      </c>
      <c r="AQ136" s="56" t="s">
        <v>99</v>
      </c>
      <c r="AR136" s="56" t="s">
        <v>99</v>
      </c>
      <c r="AS136" s="56" t="s">
        <v>99</v>
      </c>
      <c r="AT136" s="56" t="s">
        <v>99</v>
      </c>
      <c r="AU136" s="56" t="s">
        <v>99</v>
      </c>
      <c r="AV136" s="56" t="s">
        <v>99</v>
      </c>
      <c r="AW136" s="56" t="s">
        <v>99</v>
      </c>
      <c r="AX136" s="56" t="s">
        <v>99</v>
      </c>
      <c r="AY136" s="56" t="s">
        <v>99</v>
      </c>
      <c r="AZ136" s="56" t="s">
        <v>99</v>
      </c>
      <c r="BA136" s="56" t="s">
        <v>99</v>
      </c>
      <c r="BB136" s="56" t="s">
        <v>99</v>
      </c>
      <c r="BC136" s="56" t="s">
        <v>99</v>
      </c>
      <c r="BD136" s="56" t="s">
        <v>99</v>
      </c>
      <c r="BE136" s="56" t="s">
        <v>99</v>
      </c>
      <c r="BF136" s="56" t="s">
        <v>99</v>
      </c>
      <c r="BG136" s="56" t="s">
        <v>99</v>
      </c>
      <c r="BH136" s="56" t="s">
        <v>99</v>
      </c>
      <c r="BI136" s="56" t="s">
        <v>99</v>
      </c>
      <c r="BJ136" s="56" t="s">
        <v>99</v>
      </c>
      <c r="BK136" s="56" t="s">
        <v>99</v>
      </c>
      <c r="BL136" s="56" t="s">
        <v>99</v>
      </c>
      <c r="BM136" s="56" t="s">
        <v>99</v>
      </c>
      <c r="BN136" s="56" t="s">
        <v>99</v>
      </c>
      <c r="BO136" s="56" t="s">
        <v>99</v>
      </c>
      <c r="BP136" s="62" t="s">
        <v>99</v>
      </c>
    </row>
    <row r="137" spans="2:68">
      <c r="B137" s="58">
        <v>5</v>
      </c>
      <c r="C137" s="59">
        <v>19</v>
      </c>
      <c r="D137" s="59" t="s">
        <v>104</v>
      </c>
      <c r="E137" s="60">
        <f>'[1]Master File'!B136</f>
        <v>46150</v>
      </c>
      <c r="F137" s="61" t="str">
        <f>'[1]Master File'!C136</f>
        <v>Lodge 5PM</v>
      </c>
      <c r="G137" s="39"/>
      <c r="I137" s="56" t="s">
        <v>99</v>
      </c>
      <c r="J137" s="56" t="s">
        <v>99</v>
      </c>
      <c r="K137" s="56" t="s">
        <v>99</v>
      </c>
      <c r="L137" s="56" t="s">
        <v>23</v>
      </c>
      <c r="M137" s="56" t="s">
        <v>99</v>
      </c>
      <c r="N137" s="56" t="s">
        <v>99</v>
      </c>
      <c r="O137" s="56" t="s">
        <v>99</v>
      </c>
      <c r="P137" s="56" t="s">
        <v>99</v>
      </c>
      <c r="Q137" s="56" t="s">
        <v>99</v>
      </c>
      <c r="R137" s="56" t="s">
        <v>99</v>
      </c>
      <c r="S137" s="56" t="s">
        <v>99</v>
      </c>
      <c r="T137" s="56" t="s">
        <v>99</v>
      </c>
      <c r="U137" s="56" t="s">
        <v>99</v>
      </c>
      <c r="V137" s="56" t="s">
        <v>99</v>
      </c>
      <c r="W137" s="56" t="s">
        <v>99</v>
      </c>
      <c r="X137" s="56" t="s">
        <v>99</v>
      </c>
      <c r="Y137" s="56" t="s">
        <v>23</v>
      </c>
      <c r="Z137" s="56" t="s">
        <v>99</v>
      </c>
      <c r="AA137" s="56" t="s">
        <v>99</v>
      </c>
      <c r="AB137" s="56" t="s">
        <v>23</v>
      </c>
      <c r="AC137" s="56" t="s">
        <v>23</v>
      </c>
      <c r="AD137" s="56" t="s">
        <v>99</v>
      </c>
      <c r="AE137" s="56" t="s">
        <v>99</v>
      </c>
      <c r="AF137" s="56" t="s">
        <v>99</v>
      </c>
      <c r="AG137" s="56" t="s">
        <v>23</v>
      </c>
      <c r="AH137" s="56" t="s">
        <v>99</v>
      </c>
      <c r="AI137" s="56" t="s">
        <v>99</v>
      </c>
      <c r="AJ137" s="56" t="s">
        <v>99</v>
      </c>
      <c r="AK137" s="56" t="s">
        <v>23</v>
      </c>
      <c r="AL137" s="56" t="s">
        <v>99</v>
      </c>
      <c r="AM137" s="56" t="s">
        <v>99</v>
      </c>
      <c r="AN137" s="56" t="s">
        <v>99</v>
      </c>
      <c r="AO137" s="56" t="s">
        <v>99</v>
      </c>
      <c r="AP137" s="56" t="s">
        <v>99</v>
      </c>
      <c r="AQ137" s="56" t="s">
        <v>99</v>
      </c>
      <c r="AR137" s="56" t="s">
        <v>99</v>
      </c>
      <c r="AS137" s="56" t="s">
        <v>99</v>
      </c>
      <c r="AT137" s="56" t="s">
        <v>99</v>
      </c>
      <c r="AU137" s="56" t="s">
        <v>99</v>
      </c>
      <c r="AV137" s="56" t="s">
        <v>99</v>
      </c>
      <c r="AW137" s="56" t="s">
        <v>99</v>
      </c>
      <c r="AX137" s="56" t="s">
        <v>99</v>
      </c>
      <c r="AY137" s="56" t="s">
        <v>99</v>
      </c>
      <c r="AZ137" s="56" t="s">
        <v>99</v>
      </c>
      <c r="BA137" s="56" t="s">
        <v>99</v>
      </c>
      <c r="BB137" s="56" t="s">
        <v>99</v>
      </c>
      <c r="BC137" s="56" t="s">
        <v>99</v>
      </c>
      <c r="BD137" s="56" t="s">
        <v>99</v>
      </c>
      <c r="BE137" s="56" t="s">
        <v>99</v>
      </c>
      <c r="BF137" s="56" t="s">
        <v>99</v>
      </c>
      <c r="BG137" s="56" t="s">
        <v>99</v>
      </c>
      <c r="BH137" s="56" t="s">
        <v>99</v>
      </c>
      <c r="BI137" s="56" t="s">
        <v>99</v>
      </c>
      <c r="BJ137" s="56" t="s">
        <v>99</v>
      </c>
      <c r="BK137" s="56" t="s">
        <v>99</v>
      </c>
      <c r="BL137" s="56" t="s">
        <v>99</v>
      </c>
      <c r="BM137" s="56" t="s">
        <v>99</v>
      </c>
      <c r="BN137" s="56" t="s">
        <v>99</v>
      </c>
      <c r="BO137" s="56" t="s">
        <v>99</v>
      </c>
      <c r="BP137" s="62" t="s">
        <v>99</v>
      </c>
    </row>
    <row r="138" spans="2:68">
      <c r="B138" s="58">
        <v>5</v>
      </c>
      <c r="C138" s="59">
        <v>19</v>
      </c>
      <c r="D138" s="59" t="s">
        <v>105</v>
      </c>
      <c r="E138" s="60">
        <f>'[1]Master File'!B137</f>
        <v>46151</v>
      </c>
      <c r="F138" s="61" t="str">
        <f>'[1]Master File'!C137</f>
        <v>Explorer 5PM</v>
      </c>
      <c r="G138" s="39"/>
      <c r="I138" s="63" t="s">
        <v>99</v>
      </c>
      <c r="J138" s="63" t="s">
        <v>99</v>
      </c>
      <c r="K138" s="63" t="s">
        <v>99</v>
      </c>
      <c r="L138" s="63" t="s">
        <v>23</v>
      </c>
      <c r="M138" s="63" t="s">
        <v>99</v>
      </c>
      <c r="N138" s="63" t="s">
        <v>99</v>
      </c>
      <c r="O138" s="63" t="s">
        <v>99</v>
      </c>
      <c r="P138" s="63" t="s">
        <v>99</v>
      </c>
      <c r="Q138" s="63" t="s">
        <v>99</v>
      </c>
      <c r="R138" s="63" t="s">
        <v>99</v>
      </c>
      <c r="S138" s="63" t="s">
        <v>99</v>
      </c>
      <c r="T138" s="63" t="s">
        <v>99</v>
      </c>
      <c r="U138" s="63" t="s">
        <v>99</v>
      </c>
      <c r="V138" s="63" t="s">
        <v>99</v>
      </c>
      <c r="W138" s="63" t="s">
        <v>99</v>
      </c>
      <c r="X138" s="63" t="s">
        <v>99</v>
      </c>
      <c r="Y138" s="56" t="s">
        <v>23</v>
      </c>
      <c r="Z138" s="63" t="s">
        <v>99</v>
      </c>
      <c r="AA138" s="63" t="s">
        <v>99</v>
      </c>
      <c r="AB138" s="63" t="s">
        <v>99</v>
      </c>
      <c r="AC138" s="63" t="s">
        <v>23</v>
      </c>
      <c r="AD138" s="63" t="s">
        <v>99</v>
      </c>
      <c r="AE138" s="63" t="s">
        <v>99</v>
      </c>
      <c r="AF138" s="63" t="s">
        <v>99</v>
      </c>
      <c r="AG138" s="63" t="s">
        <v>23</v>
      </c>
      <c r="AH138" s="63" t="s">
        <v>99</v>
      </c>
      <c r="AI138" s="63" t="s">
        <v>99</v>
      </c>
      <c r="AJ138" s="63" t="s">
        <v>99</v>
      </c>
      <c r="AK138" s="63" t="s">
        <v>23</v>
      </c>
      <c r="AL138" s="63" t="s">
        <v>99</v>
      </c>
      <c r="AM138" s="63" t="s">
        <v>99</v>
      </c>
      <c r="AN138" s="63" t="s">
        <v>99</v>
      </c>
      <c r="AO138" s="63" t="s">
        <v>99</v>
      </c>
      <c r="AP138" s="63" t="s">
        <v>99</v>
      </c>
      <c r="AQ138" s="63" t="s">
        <v>23</v>
      </c>
      <c r="AR138" s="63" t="s">
        <v>99</v>
      </c>
      <c r="AS138" s="63" t="s">
        <v>99</v>
      </c>
      <c r="AT138" s="63" t="s">
        <v>99</v>
      </c>
      <c r="AU138" s="63" t="s">
        <v>99</v>
      </c>
      <c r="AV138" s="63" t="s">
        <v>99</v>
      </c>
      <c r="AW138" s="63" t="s">
        <v>99</v>
      </c>
      <c r="AX138" s="63" t="s">
        <v>99</v>
      </c>
      <c r="AY138" s="63" t="s">
        <v>99</v>
      </c>
      <c r="AZ138" s="63" t="s">
        <v>99</v>
      </c>
      <c r="BA138" s="63" t="s">
        <v>99</v>
      </c>
      <c r="BB138" s="63" t="s">
        <v>99</v>
      </c>
      <c r="BC138" s="63" t="s">
        <v>99</v>
      </c>
      <c r="BD138" s="63" t="s">
        <v>99</v>
      </c>
      <c r="BE138" s="63" t="s">
        <v>99</v>
      </c>
      <c r="BF138" s="63" t="s">
        <v>99</v>
      </c>
      <c r="BG138" s="63" t="s">
        <v>99</v>
      </c>
      <c r="BH138" s="63" t="s">
        <v>99</v>
      </c>
      <c r="BI138" s="63" t="s">
        <v>99</v>
      </c>
      <c r="BJ138" s="63" t="s">
        <v>99</v>
      </c>
      <c r="BK138" s="63" t="s">
        <v>99</v>
      </c>
      <c r="BL138" s="63" t="s">
        <v>99</v>
      </c>
      <c r="BM138" s="63" t="s">
        <v>99</v>
      </c>
      <c r="BN138" s="63" t="s">
        <v>99</v>
      </c>
      <c r="BO138" s="63" t="s">
        <v>99</v>
      </c>
      <c r="BP138" s="64" t="s">
        <v>99</v>
      </c>
    </row>
    <row r="139" spans="2:68">
      <c r="B139" s="58">
        <v>5</v>
      </c>
      <c r="C139" s="59">
        <v>20</v>
      </c>
      <c r="D139" s="59" t="s">
        <v>98</v>
      </c>
      <c r="E139" s="60">
        <f>'[1]Master File'!B138</f>
        <v>46152</v>
      </c>
      <c r="F139" s="61" t="str">
        <f>'[1]Master File'!C138</f>
        <v>Explorer 5PM</v>
      </c>
      <c r="G139" s="39"/>
      <c r="I139" s="63" t="s">
        <v>99</v>
      </c>
      <c r="J139" s="63" t="s">
        <v>99</v>
      </c>
      <c r="K139" s="63" t="s">
        <v>99</v>
      </c>
      <c r="L139" s="63" t="s">
        <v>23</v>
      </c>
      <c r="M139" s="63" t="s">
        <v>99</v>
      </c>
      <c r="N139" s="63" t="s">
        <v>99</v>
      </c>
      <c r="O139" s="63" t="s">
        <v>99</v>
      </c>
      <c r="P139" s="63" t="s">
        <v>99</v>
      </c>
      <c r="Q139" s="63" t="s">
        <v>99</v>
      </c>
      <c r="R139" s="63" t="s">
        <v>99</v>
      </c>
      <c r="S139" s="63" t="s">
        <v>99</v>
      </c>
      <c r="T139" s="63" t="s">
        <v>99</v>
      </c>
      <c r="U139" s="63" t="s">
        <v>99</v>
      </c>
      <c r="V139" s="63" t="s">
        <v>99</v>
      </c>
      <c r="W139" s="63" t="s">
        <v>99</v>
      </c>
      <c r="X139" s="63" t="s">
        <v>99</v>
      </c>
      <c r="Y139" s="56" t="s">
        <v>23</v>
      </c>
      <c r="Z139" s="63" t="s">
        <v>99</v>
      </c>
      <c r="AA139" s="63" t="s">
        <v>99</v>
      </c>
      <c r="AB139" s="63" t="s">
        <v>99</v>
      </c>
      <c r="AC139" s="63" t="s">
        <v>23</v>
      </c>
      <c r="AD139" s="63" t="s">
        <v>99</v>
      </c>
      <c r="AE139" s="63" t="s">
        <v>99</v>
      </c>
      <c r="AF139" s="63" t="s">
        <v>99</v>
      </c>
      <c r="AG139" s="63" t="s">
        <v>23</v>
      </c>
      <c r="AH139" s="63" t="s">
        <v>99</v>
      </c>
      <c r="AI139" s="63" t="s">
        <v>99</v>
      </c>
      <c r="AJ139" s="63" t="s">
        <v>99</v>
      </c>
      <c r="AK139" s="63" t="s">
        <v>23</v>
      </c>
      <c r="AL139" s="63" t="s">
        <v>99</v>
      </c>
      <c r="AM139" s="63" t="s">
        <v>99</v>
      </c>
      <c r="AN139" s="63" t="s">
        <v>99</v>
      </c>
      <c r="AO139" s="63" t="s">
        <v>99</v>
      </c>
      <c r="AP139" s="63" t="s">
        <v>99</v>
      </c>
      <c r="AQ139" s="63" t="s">
        <v>23</v>
      </c>
      <c r="AR139" s="63" t="s">
        <v>99</v>
      </c>
      <c r="AS139" s="63" t="s">
        <v>99</v>
      </c>
      <c r="AT139" s="63" t="s">
        <v>99</v>
      </c>
      <c r="AU139" s="63" t="s">
        <v>99</v>
      </c>
      <c r="AV139" s="63" t="s">
        <v>99</v>
      </c>
      <c r="AW139" s="63" t="s">
        <v>99</v>
      </c>
      <c r="AX139" s="63" t="s">
        <v>99</v>
      </c>
      <c r="AY139" s="63" t="s">
        <v>99</v>
      </c>
      <c r="AZ139" s="63" t="s">
        <v>99</v>
      </c>
      <c r="BA139" s="63" t="s">
        <v>99</v>
      </c>
      <c r="BB139" s="63" t="s">
        <v>99</v>
      </c>
      <c r="BC139" s="63" t="s">
        <v>99</v>
      </c>
      <c r="BD139" s="63" t="s">
        <v>99</v>
      </c>
      <c r="BE139" s="63" t="s">
        <v>99</v>
      </c>
      <c r="BF139" s="63" t="s">
        <v>99</v>
      </c>
      <c r="BG139" s="63" t="s">
        <v>99</v>
      </c>
      <c r="BH139" s="63" t="s">
        <v>99</v>
      </c>
      <c r="BI139" s="63" t="s">
        <v>99</v>
      </c>
      <c r="BJ139" s="63" t="s">
        <v>99</v>
      </c>
      <c r="BK139" s="63" t="s">
        <v>99</v>
      </c>
      <c r="BL139" s="63" t="s">
        <v>99</v>
      </c>
      <c r="BM139" s="63" t="s">
        <v>99</v>
      </c>
      <c r="BN139" s="63" t="s">
        <v>99</v>
      </c>
      <c r="BO139" s="63" t="s">
        <v>99</v>
      </c>
      <c r="BP139" s="64" t="s">
        <v>99</v>
      </c>
    </row>
    <row r="140" spans="2:68">
      <c r="B140" s="58">
        <v>5</v>
      </c>
      <c r="C140" s="59">
        <v>20</v>
      </c>
      <c r="D140" s="59" t="s">
        <v>100</v>
      </c>
      <c r="E140" s="60">
        <f>'[1]Master File'!B139</f>
        <v>46153</v>
      </c>
      <c r="F140" s="61" t="str">
        <f>'[1]Master File'!C139</f>
        <v>Lodge 5PM</v>
      </c>
      <c r="G140" s="39"/>
      <c r="I140" s="56" t="s">
        <v>99</v>
      </c>
      <c r="J140" s="56" t="s">
        <v>99</v>
      </c>
      <c r="K140" s="56" t="s">
        <v>99</v>
      </c>
      <c r="L140" s="56" t="s">
        <v>23</v>
      </c>
      <c r="M140" s="56" t="s">
        <v>99</v>
      </c>
      <c r="N140" s="56" t="s">
        <v>99</v>
      </c>
      <c r="O140" s="56" t="s">
        <v>99</v>
      </c>
      <c r="P140" s="56" t="s">
        <v>99</v>
      </c>
      <c r="Q140" s="56" t="s">
        <v>99</v>
      </c>
      <c r="R140" s="56" t="s">
        <v>99</v>
      </c>
      <c r="S140" s="56" t="s">
        <v>99</v>
      </c>
      <c r="T140" s="56" t="s">
        <v>99</v>
      </c>
      <c r="U140" s="56" t="s">
        <v>99</v>
      </c>
      <c r="V140" s="56" t="s">
        <v>99</v>
      </c>
      <c r="W140" s="56" t="s">
        <v>99</v>
      </c>
      <c r="X140" s="56" t="s">
        <v>99</v>
      </c>
      <c r="Y140" s="56" t="s">
        <v>23</v>
      </c>
      <c r="Z140" s="56" t="s">
        <v>99</v>
      </c>
      <c r="AA140" s="56" t="s">
        <v>99</v>
      </c>
      <c r="AB140" s="56" t="s">
        <v>23</v>
      </c>
      <c r="AC140" s="56" t="s">
        <v>99</v>
      </c>
      <c r="AD140" s="56" t="s">
        <v>99</v>
      </c>
      <c r="AE140" s="56" t="s">
        <v>99</v>
      </c>
      <c r="AF140" s="56" t="s">
        <v>99</v>
      </c>
      <c r="AG140" s="56" t="s">
        <v>23</v>
      </c>
      <c r="AH140" s="56" t="s">
        <v>99</v>
      </c>
      <c r="AI140" s="56" t="s">
        <v>99</v>
      </c>
      <c r="AJ140" s="56" t="s">
        <v>99</v>
      </c>
      <c r="AK140" s="56" t="s">
        <v>23</v>
      </c>
      <c r="AL140" s="56" t="s">
        <v>99</v>
      </c>
      <c r="AM140" s="56" t="s">
        <v>99</v>
      </c>
      <c r="AN140" s="56" t="s">
        <v>99</v>
      </c>
      <c r="AO140" s="56" t="s">
        <v>99</v>
      </c>
      <c r="AP140" s="56" t="s">
        <v>99</v>
      </c>
      <c r="AQ140" s="56" t="s">
        <v>99</v>
      </c>
      <c r="AR140" s="56" t="s">
        <v>99</v>
      </c>
      <c r="AS140" s="56" t="s">
        <v>99</v>
      </c>
      <c r="AT140" s="56" t="s">
        <v>99</v>
      </c>
      <c r="AU140" s="56" t="s">
        <v>99</v>
      </c>
      <c r="AV140" s="56" t="s">
        <v>99</v>
      </c>
      <c r="AW140" s="56" t="s">
        <v>99</v>
      </c>
      <c r="AX140" s="56" t="s">
        <v>99</v>
      </c>
      <c r="AY140" s="56" t="s">
        <v>99</v>
      </c>
      <c r="AZ140" s="56" t="s">
        <v>99</v>
      </c>
      <c r="BA140" s="56" t="s">
        <v>99</v>
      </c>
      <c r="BB140" s="56" t="s">
        <v>99</v>
      </c>
      <c r="BC140" s="56" t="s">
        <v>99</v>
      </c>
      <c r="BD140" s="56" t="s">
        <v>99</v>
      </c>
      <c r="BE140" s="56" t="s">
        <v>99</v>
      </c>
      <c r="BF140" s="56" t="s">
        <v>99</v>
      </c>
      <c r="BG140" s="56" t="s">
        <v>99</v>
      </c>
      <c r="BH140" s="56" t="s">
        <v>99</v>
      </c>
      <c r="BI140" s="56" t="s">
        <v>99</v>
      </c>
      <c r="BJ140" s="56" t="s">
        <v>99</v>
      </c>
      <c r="BK140" s="56" t="s">
        <v>99</v>
      </c>
      <c r="BL140" s="56" t="s">
        <v>99</v>
      </c>
      <c r="BM140" s="56" t="s">
        <v>99</v>
      </c>
      <c r="BN140" s="56" t="s">
        <v>99</v>
      </c>
      <c r="BO140" s="56" t="s">
        <v>99</v>
      </c>
      <c r="BP140" s="62" t="s">
        <v>99</v>
      </c>
    </row>
    <row r="141" spans="2:68">
      <c r="B141" s="58">
        <v>5</v>
      </c>
      <c r="C141" s="59">
        <v>20</v>
      </c>
      <c r="D141" s="59" t="s">
        <v>101</v>
      </c>
      <c r="E141" s="60">
        <f>'[1]Master File'!B140</f>
        <v>46154</v>
      </c>
      <c r="F141" s="61" t="str">
        <f>'[1]Master File'!C140</f>
        <v>Lodge 5PM</v>
      </c>
      <c r="G141" s="39"/>
      <c r="I141" s="56" t="s">
        <v>99</v>
      </c>
      <c r="J141" s="56" t="s">
        <v>99</v>
      </c>
      <c r="K141" s="56" t="s">
        <v>99</v>
      </c>
      <c r="L141" s="56" t="s">
        <v>23</v>
      </c>
      <c r="M141" s="56" t="s">
        <v>99</v>
      </c>
      <c r="N141" s="56" t="s">
        <v>99</v>
      </c>
      <c r="O141" s="56" t="s">
        <v>99</v>
      </c>
      <c r="P141" s="56" t="s">
        <v>99</v>
      </c>
      <c r="Q141" s="56" t="s">
        <v>99</v>
      </c>
      <c r="R141" s="56" t="s">
        <v>99</v>
      </c>
      <c r="S141" s="56" t="s">
        <v>99</v>
      </c>
      <c r="T141" s="56" t="s">
        <v>99</v>
      </c>
      <c r="U141" s="56" t="s">
        <v>99</v>
      </c>
      <c r="V141" s="56" t="s">
        <v>99</v>
      </c>
      <c r="W141" s="56" t="s">
        <v>99</v>
      </c>
      <c r="X141" s="56" t="s">
        <v>99</v>
      </c>
      <c r="Y141" s="56" t="s">
        <v>23</v>
      </c>
      <c r="Z141" s="56" t="s">
        <v>99</v>
      </c>
      <c r="AA141" s="56" t="s">
        <v>99</v>
      </c>
      <c r="AB141" s="56" t="s">
        <v>23</v>
      </c>
      <c r="AC141" s="56" t="s">
        <v>23</v>
      </c>
      <c r="AD141" s="56" t="s">
        <v>99</v>
      </c>
      <c r="AE141" s="56" t="s">
        <v>99</v>
      </c>
      <c r="AF141" s="56" t="s">
        <v>99</v>
      </c>
      <c r="AG141" s="56" t="s">
        <v>23</v>
      </c>
      <c r="AH141" s="56" t="s">
        <v>99</v>
      </c>
      <c r="AI141" s="56" t="s">
        <v>99</v>
      </c>
      <c r="AJ141" s="56" t="s">
        <v>99</v>
      </c>
      <c r="AK141" s="56" t="s">
        <v>23</v>
      </c>
      <c r="AL141" s="56" t="s">
        <v>99</v>
      </c>
      <c r="AM141" s="56" t="s">
        <v>99</v>
      </c>
      <c r="AN141" s="56" t="s">
        <v>99</v>
      </c>
      <c r="AO141" s="56" t="s">
        <v>99</v>
      </c>
      <c r="AP141" s="56" t="s">
        <v>99</v>
      </c>
      <c r="AQ141" s="56" t="s">
        <v>99</v>
      </c>
      <c r="AR141" s="56" t="s">
        <v>99</v>
      </c>
      <c r="AS141" s="56" t="s">
        <v>99</v>
      </c>
      <c r="AT141" s="56" t="s">
        <v>99</v>
      </c>
      <c r="AU141" s="56" t="s">
        <v>99</v>
      </c>
      <c r="AV141" s="56" t="s">
        <v>99</v>
      </c>
      <c r="AW141" s="56" t="s">
        <v>99</v>
      </c>
      <c r="AX141" s="56" t="s">
        <v>99</v>
      </c>
      <c r="AY141" s="56" t="s">
        <v>99</v>
      </c>
      <c r="AZ141" s="56" t="s">
        <v>99</v>
      </c>
      <c r="BA141" s="56" t="s">
        <v>99</v>
      </c>
      <c r="BB141" s="56" t="s">
        <v>99</v>
      </c>
      <c r="BC141" s="56" t="s">
        <v>99</v>
      </c>
      <c r="BD141" s="56" t="s">
        <v>99</v>
      </c>
      <c r="BE141" s="56" t="s">
        <v>99</v>
      </c>
      <c r="BF141" s="56" t="s">
        <v>99</v>
      </c>
      <c r="BG141" s="56" t="s">
        <v>99</v>
      </c>
      <c r="BH141" s="56" t="s">
        <v>99</v>
      </c>
      <c r="BI141" s="56" t="s">
        <v>99</v>
      </c>
      <c r="BJ141" s="56" t="s">
        <v>99</v>
      </c>
      <c r="BK141" s="56" t="s">
        <v>99</v>
      </c>
      <c r="BL141" s="56" t="s">
        <v>99</v>
      </c>
      <c r="BM141" s="56" t="s">
        <v>99</v>
      </c>
      <c r="BN141" s="56" t="s">
        <v>99</v>
      </c>
      <c r="BO141" s="56" t="s">
        <v>99</v>
      </c>
      <c r="BP141" s="62" t="s">
        <v>99</v>
      </c>
    </row>
    <row r="142" spans="2:68">
      <c r="B142" s="58">
        <v>5</v>
      </c>
      <c r="C142" s="59">
        <v>20</v>
      </c>
      <c r="D142" s="59" t="s">
        <v>102</v>
      </c>
      <c r="E142" s="60">
        <f>'[1]Master File'!B141</f>
        <v>46155</v>
      </c>
      <c r="F142" s="61" t="str">
        <f>'[1]Master File'!C141</f>
        <v>Lodge 5PM</v>
      </c>
      <c r="G142" s="39"/>
      <c r="I142" s="56" t="s">
        <v>99</v>
      </c>
      <c r="J142" s="56" t="s">
        <v>99</v>
      </c>
      <c r="K142" s="56" t="s">
        <v>99</v>
      </c>
      <c r="L142" s="56" t="s">
        <v>23</v>
      </c>
      <c r="M142" s="56" t="s">
        <v>99</v>
      </c>
      <c r="N142" s="56" t="s">
        <v>99</v>
      </c>
      <c r="O142" s="56" t="s">
        <v>99</v>
      </c>
      <c r="P142" s="56" t="s">
        <v>99</v>
      </c>
      <c r="Q142" s="56" t="s">
        <v>99</v>
      </c>
      <c r="R142" s="56" t="s">
        <v>99</v>
      </c>
      <c r="S142" s="56" t="s">
        <v>99</v>
      </c>
      <c r="T142" s="56" t="s">
        <v>99</v>
      </c>
      <c r="U142" s="56" t="s">
        <v>99</v>
      </c>
      <c r="V142" s="56" t="s">
        <v>99</v>
      </c>
      <c r="W142" s="56" t="s">
        <v>99</v>
      </c>
      <c r="X142" s="56" t="s">
        <v>99</v>
      </c>
      <c r="Y142" s="56" t="s">
        <v>23</v>
      </c>
      <c r="Z142" s="56" t="s">
        <v>99</v>
      </c>
      <c r="AA142" s="56" t="s">
        <v>99</v>
      </c>
      <c r="AB142" s="56" t="s">
        <v>23</v>
      </c>
      <c r="AC142" s="56" t="s">
        <v>23</v>
      </c>
      <c r="AD142" s="56" t="s">
        <v>99</v>
      </c>
      <c r="AE142" s="56" t="s">
        <v>99</v>
      </c>
      <c r="AF142" s="56" t="s">
        <v>99</v>
      </c>
      <c r="AG142" s="56" t="s">
        <v>23</v>
      </c>
      <c r="AH142" s="56" t="s">
        <v>99</v>
      </c>
      <c r="AI142" s="56" t="s">
        <v>99</v>
      </c>
      <c r="AJ142" s="56" t="s">
        <v>99</v>
      </c>
      <c r="AK142" s="56" t="s">
        <v>23</v>
      </c>
      <c r="AL142" s="56" t="s">
        <v>99</v>
      </c>
      <c r="AM142" s="56" t="s">
        <v>99</v>
      </c>
      <c r="AN142" s="56" t="s">
        <v>99</v>
      </c>
      <c r="AO142" s="56" t="s">
        <v>99</v>
      </c>
      <c r="AP142" s="56" t="s">
        <v>99</v>
      </c>
      <c r="AQ142" s="56" t="s">
        <v>99</v>
      </c>
      <c r="AR142" s="56" t="s">
        <v>99</v>
      </c>
      <c r="AS142" s="56" t="s">
        <v>99</v>
      </c>
      <c r="AT142" s="56" t="s">
        <v>99</v>
      </c>
      <c r="AU142" s="56" t="s">
        <v>99</v>
      </c>
      <c r="AV142" s="56" t="s">
        <v>99</v>
      </c>
      <c r="AW142" s="56" t="s">
        <v>99</v>
      </c>
      <c r="AX142" s="56" t="s">
        <v>99</v>
      </c>
      <c r="AY142" s="56" t="s">
        <v>99</v>
      </c>
      <c r="AZ142" s="56" t="s">
        <v>99</v>
      </c>
      <c r="BA142" s="56" t="s">
        <v>99</v>
      </c>
      <c r="BB142" s="56" t="s">
        <v>99</v>
      </c>
      <c r="BC142" s="56" t="s">
        <v>99</v>
      </c>
      <c r="BD142" s="56" t="s">
        <v>99</v>
      </c>
      <c r="BE142" s="56" t="s">
        <v>99</v>
      </c>
      <c r="BF142" s="56" t="s">
        <v>99</v>
      </c>
      <c r="BG142" s="56" t="s">
        <v>99</v>
      </c>
      <c r="BH142" s="56" t="s">
        <v>99</v>
      </c>
      <c r="BI142" s="56" t="s">
        <v>99</v>
      </c>
      <c r="BJ142" s="56" t="s">
        <v>99</v>
      </c>
      <c r="BK142" s="56" t="s">
        <v>99</v>
      </c>
      <c r="BL142" s="56" t="s">
        <v>99</v>
      </c>
      <c r="BM142" s="56" t="s">
        <v>99</v>
      </c>
      <c r="BN142" s="56" t="s">
        <v>99</v>
      </c>
      <c r="BO142" s="56" t="s">
        <v>99</v>
      </c>
      <c r="BP142" s="62" t="s">
        <v>99</v>
      </c>
    </row>
    <row r="143" spans="2:68">
      <c r="B143" s="58">
        <v>5</v>
      </c>
      <c r="C143" s="59">
        <v>20</v>
      </c>
      <c r="D143" s="59" t="s">
        <v>103</v>
      </c>
      <c r="E143" s="60">
        <f>'[1]Master File'!B142</f>
        <v>46156</v>
      </c>
      <c r="F143" s="61" t="str">
        <f>'[1]Master File'!C142</f>
        <v>Lodge 5PM</v>
      </c>
      <c r="G143" s="39"/>
      <c r="I143" s="56" t="s">
        <v>99</v>
      </c>
      <c r="J143" s="56" t="s">
        <v>99</v>
      </c>
      <c r="K143" s="56" t="s">
        <v>99</v>
      </c>
      <c r="L143" s="56" t="s">
        <v>23</v>
      </c>
      <c r="M143" s="56" t="s">
        <v>99</v>
      </c>
      <c r="N143" s="56" t="s">
        <v>99</v>
      </c>
      <c r="O143" s="56" t="s">
        <v>99</v>
      </c>
      <c r="P143" s="56" t="s">
        <v>99</v>
      </c>
      <c r="Q143" s="56" t="s">
        <v>99</v>
      </c>
      <c r="R143" s="56" t="s">
        <v>99</v>
      </c>
      <c r="S143" s="56" t="s">
        <v>99</v>
      </c>
      <c r="T143" s="56" t="s">
        <v>99</v>
      </c>
      <c r="U143" s="56" t="s">
        <v>99</v>
      </c>
      <c r="V143" s="56" t="s">
        <v>99</v>
      </c>
      <c r="W143" s="56" t="s">
        <v>99</v>
      </c>
      <c r="X143" s="56" t="s">
        <v>99</v>
      </c>
      <c r="Y143" s="56" t="s">
        <v>23</v>
      </c>
      <c r="Z143" s="56" t="s">
        <v>99</v>
      </c>
      <c r="AA143" s="56" t="s">
        <v>99</v>
      </c>
      <c r="AB143" s="56" t="s">
        <v>23</v>
      </c>
      <c r="AC143" s="56" t="s">
        <v>23</v>
      </c>
      <c r="AD143" s="56" t="s">
        <v>99</v>
      </c>
      <c r="AE143" s="56" t="s">
        <v>99</v>
      </c>
      <c r="AF143" s="56" t="s">
        <v>99</v>
      </c>
      <c r="AG143" s="56" t="s">
        <v>23</v>
      </c>
      <c r="AH143" s="56" t="s">
        <v>99</v>
      </c>
      <c r="AI143" s="56" t="s">
        <v>99</v>
      </c>
      <c r="AJ143" s="56" t="s">
        <v>99</v>
      </c>
      <c r="AK143" s="56" t="s">
        <v>23</v>
      </c>
      <c r="AL143" s="56" t="s">
        <v>99</v>
      </c>
      <c r="AM143" s="56" t="s">
        <v>99</v>
      </c>
      <c r="AN143" s="56" t="s">
        <v>99</v>
      </c>
      <c r="AO143" s="56" t="s">
        <v>99</v>
      </c>
      <c r="AP143" s="56" t="s">
        <v>99</v>
      </c>
      <c r="AQ143" s="56" t="s">
        <v>99</v>
      </c>
      <c r="AR143" s="56" t="s">
        <v>99</v>
      </c>
      <c r="AS143" s="56" t="s">
        <v>99</v>
      </c>
      <c r="AT143" s="56" t="s">
        <v>99</v>
      </c>
      <c r="AU143" s="56" t="s">
        <v>99</v>
      </c>
      <c r="AV143" s="56" t="s">
        <v>99</v>
      </c>
      <c r="AW143" s="56" t="s">
        <v>99</v>
      </c>
      <c r="AX143" s="56" t="s">
        <v>99</v>
      </c>
      <c r="AY143" s="56" t="s">
        <v>99</v>
      </c>
      <c r="AZ143" s="56" t="s">
        <v>99</v>
      </c>
      <c r="BA143" s="56" t="s">
        <v>99</v>
      </c>
      <c r="BB143" s="56" t="s">
        <v>99</v>
      </c>
      <c r="BC143" s="56" t="s">
        <v>99</v>
      </c>
      <c r="BD143" s="56" t="s">
        <v>99</v>
      </c>
      <c r="BE143" s="56" t="s">
        <v>99</v>
      </c>
      <c r="BF143" s="56" t="s">
        <v>99</v>
      </c>
      <c r="BG143" s="56" t="s">
        <v>99</v>
      </c>
      <c r="BH143" s="56" t="s">
        <v>99</v>
      </c>
      <c r="BI143" s="56" t="s">
        <v>99</v>
      </c>
      <c r="BJ143" s="56" t="s">
        <v>99</v>
      </c>
      <c r="BK143" s="56" t="s">
        <v>99</v>
      </c>
      <c r="BL143" s="56" t="s">
        <v>99</v>
      </c>
      <c r="BM143" s="56" t="s">
        <v>99</v>
      </c>
      <c r="BN143" s="56" t="s">
        <v>99</v>
      </c>
      <c r="BO143" s="56" t="s">
        <v>99</v>
      </c>
      <c r="BP143" s="62" t="s">
        <v>99</v>
      </c>
    </row>
    <row r="144" spans="2:68">
      <c r="B144" s="58">
        <v>5</v>
      </c>
      <c r="C144" s="59">
        <v>20</v>
      </c>
      <c r="D144" s="59" t="s">
        <v>104</v>
      </c>
      <c r="E144" s="60">
        <f>'[1]Master File'!B143</f>
        <v>46157</v>
      </c>
      <c r="F144" s="61" t="str">
        <f>'[1]Master File'!C143</f>
        <v>Explorer 5PM</v>
      </c>
      <c r="G144" s="39"/>
      <c r="I144" s="56" t="s">
        <v>99</v>
      </c>
      <c r="J144" s="56" t="s">
        <v>99</v>
      </c>
      <c r="K144" s="56" t="s">
        <v>99</v>
      </c>
      <c r="L144" s="56" t="s">
        <v>23</v>
      </c>
      <c r="M144" s="56" t="s">
        <v>99</v>
      </c>
      <c r="N144" s="56" t="s">
        <v>99</v>
      </c>
      <c r="O144" s="56" t="s">
        <v>99</v>
      </c>
      <c r="P144" s="56" t="s">
        <v>99</v>
      </c>
      <c r="Q144" s="56" t="s">
        <v>99</v>
      </c>
      <c r="R144" s="56" t="s">
        <v>99</v>
      </c>
      <c r="S144" s="56" t="s">
        <v>99</v>
      </c>
      <c r="T144" s="56" t="s">
        <v>99</v>
      </c>
      <c r="U144" s="56" t="s">
        <v>99</v>
      </c>
      <c r="V144" s="56" t="s">
        <v>99</v>
      </c>
      <c r="W144" s="56" t="s">
        <v>99</v>
      </c>
      <c r="X144" s="56" t="s">
        <v>99</v>
      </c>
      <c r="Y144" s="56" t="s">
        <v>23</v>
      </c>
      <c r="Z144" s="56" t="s">
        <v>99</v>
      </c>
      <c r="AA144" s="56" t="s">
        <v>99</v>
      </c>
      <c r="AB144" s="56" t="s">
        <v>23</v>
      </c>
      <c r="AC144" s="56" t="s">
        <v>23</v>
      </c>
      <c r="AD144" s="56" t="s">
        <v>99</v>
      </c>
      <c r="AE144" s="56" t="s">
        <v>99</v>
      </c>
      <c r="AF144" s="56" t="s">
        <v>99</v>
      </c>
      <c r="AG144" s="56" t="s">
        <v>23</v>
      </c>
      <c r="AH144" s="56" t="s">
        <v>99</v>
      </c>
      <c r="AI144" s="56" t="s">
        <v>99</v>
      </c>
      <c r="AJ144" s="56" t="s">
        <v>99</v>
      </c>
      <c r="AK144" s="56" t="s">
        <v>23</v>
      </c>
      <c r="AL144" s="56" t="s">
        <v>99</v>
      </c>
      <c r="AM144" s="56" t="s">
        <v>99</v>
      </c>
      <c r="AN144" s="56" t="s">
        <v>99</v>
      </c>
      <c r="AO144" s="56" t="s">
        <v>99</v>
      </c>
      <c r="AP144" s="56" t="s">
        <v>99</v>
      </c>
      <c r="AQ144" s="56" t="s">
        <v>99</v>
      </c>
      <c r="AR144" s="56" t="s">
        <v>99</v>
      </c>
      <c r="AS144" s="56" t="s">
        <v>99</v>
      </c>
      <c r="AT144" s="56" t="s">
        <v>99</v>
      </c>
      <c r="AU144" s="56" t="s">
        <v>99</v>
      </c>
      <c r="AV144" s="56" t="s">
        <v>99</v>
      </c>
      <c r="AW144" s="56" t="s">
        <v>99</v>
      </c>
      <c r="AX144" s="56" t="s">
        <v>99</v>
      </c>
      <c r="AY144" s="56" t="s">
        <v>99</v>
      </c>
      <c r="AZ144" s="56" t="s">
        <v>99</v>
      </c>
      <c r="BA144" s="56" t="s">
        <v>99</v>
      </c>
      <c r="BB144" s="56" t="s">
        <v>99</v>
      </c>
      <c r="BC144" s="56" t="s">
        <v>99</v>
      </c>
      <c r="BD144" s="56" t="s">
        <v>99</v>
      </c>
      <c r="BE144" s="56" t="s">
        <v>99</v>
      </c>
      <c r="BF144" s="56" t="s">
        <v>99</v>
      </c>
      <c r="BG144" s="56" t="s">
        <v>99</v>
      </c>
      <c r="BH144" s="56" t="s">
        <v>99</v>
      </c>
      <c r="BI144" s="56" t="s">
        <v>99</v>
      </c>
      <c r="BJ144" s="56" t="s">
        <v>99</v>
      </c>
      <c r="BK144" s="56" t="s">
        <v>99</v>
      </c>
      <c r="BL144" s="56" t="s">
        <v>99</v>
      </c>
      <c r="BM144" s="56" t="s">
        <v>99</v>
      </c>
      <c r="BN144" s="56" t="s">
        <v>99</v>
      </c>
      <c r="BO144" s="56" t="s">
        <v>99</v>
      </c>
      <c r="BP144" s="62" t="s">
        <v>99</v>
      </c>
    </row>
    <row r="145" spans="2:68">
      <c r="B145" s="58">
        <v>5</v>
      </c>
      <c r="C145" s="59">
        <v>20</v>
      </c>
      <c r="D145" s="59" t="s">
        <v>105</v>
      </c>
      <c r="E145" s="60">
        <f>'[1]Master File'!B144</f>
        <v>46158</v>
      </c>
      <c r="F145" s="61" t="str">
        <f>'[1]Master File'!C144</f>
        <v>Explorer 5PM</v>
      </c>
      <c r="G145" s="39"/>
      <c r="I145" s="63" t="s">
        <v>99</v>
      </c>
      <c r="J145" s="63" t="s">
        <v>99</v>
      </c>
      <c r="K145" s="63" t="s">
        <v>99</v>
      </c>
      <c r="L145" s="63" t="s">
        <v>23</v>
      </c>
      <c r="M145" s="63" t="s">
        <v>99</v>
      </c>
      <c r="N145" s="63" t="s">
        <v>99</v>
      </c>
      <c r="O145" s="63" t="s">
        <v>99</v>
      </c>
      <c r="P145" s="63" t="s">
        <v>99</v>
      </c>
      <c r="Q145" s="63" t="s">
        <v>99</v>
      </c>
      <c r="R145" s="63" t="s">
        <v>99</v>
      </c>
      <c r="S145" s="63" t="s">
        <v>99</v>
      </c>
      <c r="T145" s="63" t="s">
        <v>99</v>
      </c>
      <c r="U145" s="63" t="s">
        <v>99</v>
      </c>
      <c r="V145" s="63" t="s">
        <v>99</v>
      </c>
      <c r="W145" s="63" t="s">
        <v>99</v>
      </c>
      <c r="X145" s="63" t="s">
        <v>99</v>
      </c>
      <c r="Y145" s="56" t="s">
        <v>23</v>
      </c>
      <c r="Z145" s="63" t="s">
        <v>99</v>
      </c>
      <c r="AA145" s="63" t="s">
        <v>99</v>
      </c>
      <c r="AB145" s="63" t="s">
        <v>99</v>
      </c>
      <c r="AC145" s="63" t="s">
        <v>23</v>
      </c>
      <c r="AD145" s="63" t="s">
        <v>99</v>
      </c>
      <c r="AE145" s="63" t="s">
        <v>99</v>
      </c>
      <c r="AF145" s="63" t="s">
        <v>99</v>
      </c>
      <c r="AG145" s="63" t="s">
        <v>23</v>
      </c>
      <c r="AH145" s="63" t="s">
        <v>99</v>
      </c>
      <c r="AI145" s="63" t="s">
        <v>99</v>
      </c>
      <c r="AJ145" s="63" t="s">
        <v>99</v>
      </c>
      <c r="AK145" s="63" t="s">
        <v>23</v>
      </c>
      <c r="AL145" s="63" t="s">
        <v>99</v>
      </c>
      <c r="AM145" s="63" t="s">
        <v>99</v>
      </c>
      <c r="AN145" s="63" t="s">
        <v>99</v>
      </c>
      <c r="AO145" s="63" t="s">
        <v>99</v>
      </c>
      <c r="AP145" s="63" t="s">
        <v>99</v>
      </c>
      <c r="AQ145" s="63" t="s">
        <v>23</v>
      </c>
      <c r="AR145" s="63" t="s">
        <v>99</v>
      </c>
      <c r="AS145" s="63" t="s">
        <v>99</v>
      </c>
      <c r="AT145" s="63" t="s">
        <v>99</v>
      </c>
      <c r="AU145" s="63" t="s">
        <v>99</v>
      </c>
      <c r="AV145" s="63" t="s">
        <v>99</v>
      </c>
      <c r="AW145" s="63" t="s">
        <v>99</v>
      </c>
      <c r="AX145" s="63" t="s">
        <v>99</v>
      </c>
      <c r="AY145" s="63" t="s">
        <v>99</v>
      </c>
      <c r="AZ145" s="63" t="s">
        <v>99</v>
      </c>
      <c r="BA145" s="63" t="s">
        <v>99</v>
      </c>
      <c r="BB145" s="63" t="s">
        <v>99</v>
      </c>
      <c r="BC145" s="63" t="s">
        <v>99</v>
      </c>
      <c r="BD145" s="63" t="s">
        <v>99</v>
      </c>
      <c r="BE145" s="63" t="s">
        <v>99</v>
      </c>
      <c r="BF145" s="63" t="s">
        <v>99</v>
      </c>
      <c r="BG145" s="63" t="s">
        <v>99</v>
      </c>
      <c r="BH145" s="63" t="s">
        <v>99</v>
      </c>
      <c r="BI145" s="63" t="s">
        <v>99</v>
      </c>
      <c r="BJ145" s="63" t="s">
        <v>99</v>
      </c>
      <c r="BK145" s="63" t="s">
        <v>99</v>
      </c>
      <c r="BL145" s="63" t="s">
        <v>99</v>
      </c>
      <c r="BM145" s="63" t="s">
        <v>99</v>
      </c>
      <c r="BN145" s="63" t="s">
        <v>99</v>
      </c>
      <c r="BO145" s="63" t="s">
        <v>99</v>
      </c>
      <c r="BP145" s="64" t="s">
        <v>99</v>
      </c>
    </row>
    <row r="146" spans="2:68">
      <c r="B146" s="58">
        <v>5</v>
      </c>
      <c r="C146" s="59">
        <v>21</v>
      </c>
      <c r="D146" s="59" t="s">
        <v>98</v>
      </c>
      <c r="E146" s="60">
        <f>'[1]Master File'!B145</f>
        <v>46159</v>
      </c>
      <c r="F146" s="61" t="str">
        <f>'[1]Master File'!C145</f>
        <v>Explorer 5PM</v>
      </c>
      <c r="G146" s="39"/>
      <c r="I146" s="63" t="s">
        <v>99</v>
      </c>
      <c r="J146" s="63" t="s">
        <v>99</v>
      </c>
      <c r="K146" s="63" t="s">
        <v>99</v>
      </c>
      <c r="L146" s="63" t="s">
        <v>23</v>
      </c>
      <c r="M146" s="63" t="s">
        <v>99</v>
      </c>
      <c r="N146" s="63" t="s">
        <v>99</v>
      </c>
      <c r="O146" s="63" t="s">
        <v>99</v>
      </c>
      <c r="P146" s="63" t="s">
        <v>99</v>
      </c>
      <c r="Q146" s="63" t="s">
        <v>99</v>
      </c>
      <c r="R146" s="63" t="s">
        <v>99</v>
      </c>
      <c r="S146" s="63" t="s">
        <v>99</v>
      </c>
      <c r="T146" s="63" t="s">
        <v>99</v>
      </c>
      <c r="U146" s="63" t="s">
        <v>99</v>
      </c>
      <c r="V146" s="63" t="s">
        <v>99</v>
      </c>
      <c r="W146" s="63" t="s">
        <v>99</v>
      </c>
      <c r="X146" s="63" t="s">
        <v>99</v>
      </c>
      <c r="Y146" s="56" t="s">
        <v>23</v>
      </c>
      <c r="Z146" s="63" t="s">
        <v>99</v>
      </c>
      <c r="AA146" s="63" t="s">
        <v>99</v>
      </c>
      <c r="AB146" s="63" t="s">
        <v>99</v>
      </c>
      <c r="AC146" s="63" t="s">
        <v>23</v>
      </c>
      <c r="AD146" s="63" t="s">
        <v>99</v>
      </c>
      <c r="AE146" s="63" t="s">
        <v>99</v>
      </c>
      <c r="AF146" s="63" t="s">
        <v>99</v>
      </c>
      <c r="AG146" s="63" t="s">
        <v>23</v>
      </c>
      <c r="AH146" s="63" t="s">
        <v>99</v>
      </c>
      <c r="AI146" s="63" t="s">
        <v>99</v>
      </c>
      <c r="AJ146" s="63" t="s">
        <v>99</v>
      </c>
      <c r="AK146" s="63" t="s">
        <v>23</v>
      </c>
      <c r="AL146" s="63" t="s">
        <v>99</v>
      </c>
      <c r="AM146" s="63" t="s">
        <v>99</v>
      </c>
      <c r="AN146" s="63" t="s">
        <v>99</v>
      </c>
      <c r="AO146" s="63" t="s">
        <v>99</v>
      </c>
      <c r="AP146" s="63" t="s">
        <v>99</v>
      </c>
      <c r="AQ146" s="63" t="s">
        <v>23</v>
      </c>
      <c r="AR146" s="63" t="s">
        <v>99</v>
      </c>
      <c r="AS146" s="63" t="s">
        <v>99</v>
      </c>
      <c r="AT146" s="63" t="s">
        <v>99</v>
      </c>
      <c r="AU146" s="63" t="s">
        <v>99</v>
      </c>
      <c r="AV146" s="63" t="s">
        <v>99</v>
      </c>
      <c r="AW146" s="63" t="s">
        <v>99</v>
      </c>
      <c r="AX146" s="63" t="s">
        <v>99</v>
      </c>
      <c r="AY146" s="63" t="s">
        <v>99</v>
      </c>
      <c r="AZ146" s="63" t="s">
        <v>99</v>
      </c>
      <c r="BA146" s="63" t="s">
        <v>99</v>
      </c>
      <c r="BB146" s="63" t="s">
        <v>99</v>
      </c>
      <c r="BC146" s="63" t="s">
        <v>99</v>
      </c>
      <c r="BD146" s="63" t="s">
        <v>99</v>
      </c>
      <c r="BE146" s="63" t="s">
        <v>99</v>
      </c>
      <c r="BF146" s="63" t="s">
        <v>99</v>
      </c>
      <c r="BG146" s="63" t="s">
        <v>99</v>
      </c>
      <c r="BH146" s="63" t="s">
        <v>99</v>
      </c>
      <c r="BI146" s="63" t="s">
        <v>99</v>
      </c>
      <c r="BJ146" s="63" t="s">
        <v>99</v>
      </c>
      <c r="BK146" s="63" t="s">
        <v>99</v>
      </c>
      <c r="BL146" s="63" t="s">
        <v>99</v>
      </c>
      <c r="BM146" s="63" t="s">
        <v>99</v>
      </c>
      <c r="BN146" s="63" t="s">
        <v>99</v>
      </c>
      <c r="BO146" s="63" t="s">
        <v>99</v>
      </c>
      <c r="BP146" s="64" t="s">
        <v>99</v>
      </c>
    </row>
    <row r="147" spans="2:68">
      <c r="B147" s="58">
        <v>5</v>
      </c>
      <c r="C147" s="59">
        <v>21</v>
      </c>
      <c r="D147" s="59" t="s">
        <v>100</v>
      </c>
      <c r="E147" s="60">
        <f>'[1]Master File'!B146</f>
        <v>46160</v>
      </c>
      <c r="F147" s="61" t="str">
        <f>'[1]Master File'!C146</f>
        <v>Explorer 5PM</v>
      </c>
      <c r="G147" s="39"/>
      <c r="I147" s="56" t="s">
        <v>99</v>
      </c>
      <c r="J147" s="56" t="s">
        <v>99</v>
      </c>
      <c r="K147" s="56" t="s">
        <v>99</v>
      </c>
      <c r="L147" s="56" t="s">
        <v>23</v>
      </c>
      <c r="M147" s="56" t="s">
        <v>99</v>
      </c>
      <c r="N147" s="56" t="s">
        <v>99</v>
      </c>
      <c r="O147" s="56" t="s">
        <v>99</v>
      </c>
      <c r="P147" s="56" t="s">
        <v>99</v>
      </c>
      <c r="Q147" s="56" t="s">
        <v>99</v>
      </c>
      <c r="R147" s="56" t="s">
        <v>99</v>
      </c>
      <c r="S147" s="56" t="s">
        <v>99</v>
      </c>
      <c r="T147" s="56" t="s">
        <v>99</v>
      </c>
      <c r="U147" s="56" t="s">
        <v>99</v>
      </c>
      <c r="V147" s="56" t="s">
        <v>99</v>
      </c>
      <c r="W147" s="56" t="s">
        <v>99</v>
      </c>
      <c r="X147" s="56" t="s">
        <v>99</v>
      </c>
      <c r="Y147" s="56" t="s">
        <v>23</v>
      </c>
      <c r="Z147" s="56" t="s">
        <v>99</v>
      </c>
      <c r="AA147" s="56" t="s">
        <v>99</v>
      </c>
      <c r="AB147" s="56" t="s">
        <v>23</v>
      </c>
      <c r="AC147" s="56" t="s">
        <v>99</v>
      </c>
      <c r="AD147" s="56" t="s">
        <v>99</v>
      </c>
      <c r="AE147" s="56" t="s">
        <v>99</v>
      </c>
      <c r="AF147" s="56" t="s">
        <v>99</v>
      </c>
      <c r="AG147" s="56" t="s">
        <v>23</v>
      </c>
      <c r="AH147" s="56" t="s">
        <v>99</v>
      </c>
      <c r="AI147" s="56" t="s">
        <v>99</v>
      </c>
      <c r="AJ147" s="56" t="s">
        <v>99</v>
      </c>
      <c r="AK147" s="56" t="s">
        <v>23</v>
      </c>
      <c r="AL147" s="56" t="s">
        <v>99</v>
      </c>
      <c r="AM147" s="56" t="s">
        <v>99</v>
      </c>
      <c r="AN147" s="56" t="s">
        <v>99</v>
      </c>
      <c r="AO147" s="56" t="s">
        <v>99</v>
      </c>
      <c r="AP147" s="56" t="s">
        <v>99</v>
      </c>
      <c r="AQ147" s="56" t="s">
        <v>99</v>
      </c>
      <c r="AR147" s="56" t="s">
        <v>99</v>
      </c>
      <c r="AS147" s="56" t="s">
        <v>99</v>
      </c>
      <c r="AT147" s="56" t="s">
        <v>99</v>
      </c>
      <c r="AU147" s="56" t="s">
        <v>99</v>
      </c>
      <c r="AV147" s="56" t="s">
        <v>99</v>
      </c>
      <c r="AW147" s="56" t="s">
        <v>99</v>
      </c>
      <c r="AX147" s="56" t="s">
        <v>99</v>
      </c>
      <c r="AY147" s="56" t="s">
        <v>99</v>
      </c>
      <c r="AZ147" s="56" t="s">
        <v>99</v>
      </c>
      <c r="BA147" s="56" t="s">
        <v>99</v>
      </c>
      <c r="BB147" s="56" t="s">
        <v>99</v>
      </c>
      <c r="BC147" s="56" t="s">
        <v>99</v>
      </c>
      <c r="BD147" s="56" t="s">
        <v>99</v>
      </c>
      <c r="BE147" s="56" t="s">
        <v>99</v>
      </c>
      <c r="BF147" s="56" t="s">
        <v>99</v>
      </c>
      <c r="BG147" s="56" t="s">
        <v>99</v>
      </c>
      <c r="BH147" s="56" t="s">
        <v>99</v>
      </c>
      <c r="BI147" s="56" t="s">
        <v>99</v>
      </c>
      <c r="BJ147" s="56" t="s">
        <v>99</v>
      </c>
      <c r="BK147" s="56" t="s">
        <v>99</v>
      </c>
      <c r="BL147" s="56" t="s">
        <v>99</v>
      </c>
      <c r="BM147" s="56" t="s">
        <v>99</v>
      </c>
      <c r="BN147" s="56" t="s">
        <v>99</v>
      </c>
      <c r="BO147" s="56" t="s">
        <v>99</v>
      </c>
      <c r="BP147" s="62" t="s">
        <v>99</v>
      </c>
    </row>
    <row r="148" spans="2:68">
      <c r="B148" s="58">
        <v>5</v>
      </c>
      <c r="C148" s="59">
        <v>21</v>
      </c>
      <c r="D148" s="59" t="s">
        <v>101</v>
      </c>
      <c r="E148" s="60">
        <f>'[1]Master File'!B147</f>
        <v>46161</v>
      </c>
      <c r="F148" s="61" t="str">
        <f>'[1]Master File'!C147</f>
        <v>Lodge 5PM</v>
      </c>
      <c r="G148" s="39"/>
      <c r="I148" s="56" t="s">
        <v>99</v>
      </c>
      <c r="J148" s="56" t="s">
        <v>99</v>
      </c>
      <c r="K148" s="56" t="s">
        <v>99</v>
      </c>
      <c r="L148" s="56" t="s">
        <v>23</v>
      </c>
      <c r="M148" s="56" t="s">
        <v>99</v>
      </c>
      <c r="N148" s="56" t="s">
        <v>99</v>
      </c>
      <c r="O148" s="56" t="s">
        <v>99</v>
      </c>
      <c r="P148" s="56" t="s">
        <v>99</v>
      </c>
      <c r="Q148" s="56" t="s">
        <v>99</v>
      </c>
      <c r="R148" s="56" t="s">
        <v>99</v>
      </c>
      <c r="S148" s="56" t="s">
        <v>99</v>
      </c>
      <c r="T148" s="56" t="s">
        <v>99</v>
      </c>
      <c r="U148" s="56" t="s">
        <v>99</v>
      </c>
      <c r="V148" s="56" t="s">
        <v>99</v>
      </c>
      <c r="W148" s="56" t="s">
        <v>99</v>
      </c>
      <c r="X148" s="56" t="s">
        <v>99</v>
      </c>
      <c r="Y148" s="56" t="s">
        <v>23</v>
      </c>
      <c r="Z148" s="56" t="s">
        <v>99</v>
      </c>
      <c r="AA148" s="56" t="s">
        <v>99</v>
      </c>
      <c r="AB148" s="56" t="s">
        <v>23</v>
      </c>
      <c r="AC148" s="56" t="s">
        <v>23</v>
      </c>
      <c r="AD148" s="56" t="s">
        <v>99</v>
      </c>
      <c r="AE148" s="56" t="s">
        <v>99</v>
      </c>
      <c r="AF148" s="56" t="s">
        <v>99</v>
      </c>
      <c r="AG148" s="56" t="s">
        <v>23</v>
      </c>
      <c r="AH148" s="56" t="s">
        <v>99</v>
      </c>
      <c r="AI148" s="56" t="s">
        <v>99</v>
      </c>
      <c r="AJ148" s="56" t="s">
        <v>99</v>
      </c>
      <c r="AK148" s="56" t="s">
        <v>23</v>
      </c>
      <c r="AL148" s="56" t="s">
        <v>99</v>
      </c>
      <c r="AM148" s="56" t="s">
        <v>99</v>
      </c>
      <c r="AN148" s="56" t="s">
        <v>99</v>
      </c>
      <c r="AO148" s="56" t="s">
        <v>99</v>
      </c>
      <c r="AP148" s="56" t="s">
        <v>99</v>
      </c>
      <c r="AQ148" s="56" t="s">
        <v>99</v>
      </c>
      <c r="AR148" s="56" t="s">
        <v>99</v>
      </c>
      <c r="AS148" s="56" t="s">
        <v>99</v>
      </c>
      <c r="AT148" s="56" t="s">
        <v>99</v>
      </c>
      <c r="AU148" s="56" t="s">
        <v>99</v>
      </c>
      <c r="AV148" s="56" t="s">
        <v>99</v>
      </c>
      <c r="AW148" s="56" t="s">
        <v>99</v>
      </c>
      <c r="AX148" s="56" t="s">
        <v>99</v>
      </c>
      <c r="AY148" s="56" t="s">
        <v>99</v>
      </c>
      <c r="AZ148" s="56" t="s">
        <v>99</v>
      </c>
      <c r="BA148" s="56" t="s">
        <v>99</v>
      </c>
      <c r="BB148" s="56" t="s">
        <v>99</v>
      </c>
      <c r="BC148" s="56" t="s">
        <v>99</v>
      </c>
      <c r="BD148" s="56" t="s">
        <v>99</v>
      </c>
      <c r="BE148" s="56" t="s">
        <v>99</v>
      </c>
      <c r="BF148" s="56" t="s">
        <v>99</v>
      </c>
      <c r="BG148" s="56" t="s">
        <v>99</v>
      </c>
      <c r="BH148" s="56" t="s">
        <v>99</v>
      </c>
      <c r="BI148" s="56" t="s">
        <v>99</v>
      </c>
      <c r="BJ148" s="56" t="s">
        <v>99</v>
      </c>
      <c r="BK148" s="56" t="s">
        <v>99</v>
      </c>
      <c r="BL148" s="56" t="s">
        <v>99</v>
      </c>
      <c r="BM148" s="56" t="s">
        <v>99</v>
      </c>
      <c r="BN148" s="56" t="s">
        <v>99</v>
      </c>
      <c r="BO148" s="56" t="s">
        <v>99</v>
      </c>
      <c r="BP148" s="62" t="s">
        <v>99</v>
      </c>
    </row>
    <row r="149" spans="2:68">
      <c r="B149" s="58">
        <v>5</v>
      </c>
      <c r="C149" s="59">
        <v>21</v>
      </c>
      <c r="D149" s="59" t="s">
        <v>102</v>
      </c>
      <c r="E149" s="60">
        <f>'[1]Master File'!B148</f>
        <v>46162</v>
      </c>
      <c r="F149" s="61" t="str">
        <f>'[1]Master File'!C148</f>
        <v>Lodge 5PM</v>
      </c>
      <c r="G149" s="39"/>
      <c r="I149" s="56" t="s">
        <v>99</v>
      </c>
      <c r="J149" s="56" t="s">
        <v>99</v>
      </c>
      <c r="K149" s="56" t="s">
        <v>99</v>
      </c>
      <c r="L149" s="56" t="s">
        <v>23</v>
      </c>
      <c r="M149" s="56" t="s">
        <v>99</v>
      </c>
      <c r="N149" s="56" t="s">
        <v>99</v>
      </c>
      <c r="O149" s="56" t="s">
        <v>99</v>
      </c>
      <c r="P149" s="56" t="s">
        <v>99</v>
      </c>
      <c r="Q149" s="56" t="s">
        <v>99</v>
      </c>
      <c r="R149" s="56" t="s">
        <v>99</v>
      </c>
      <c r="S149" s="56" t="s">
        <v>99</v>
      </c>
      <c r="T149" s="56" t="s">
        <v>99</v>
      </c>
      <c r="U149" s="56" t="s">
        <v>99</v>
      </c>
      <c r="V149" s="56" t="s">
        <v>99</v>
      </c>
      <c r="W149" s="56" t="s">
        <v>99</v>
      </c>
      <c r="X149" s="56" t="s">
        <v>99</v>
      </c>
      <c r="Y149" s="56" t="s">
        <v>23</v>
      </c>
      <c r="Z149" s="56" t="s">
        <v>99</v>
      </c>
      <c r="AA149" s="56" t="s">
        <v>99</v>
      </c>
      <c r="AB149" s="56" t="s">
        <v>23</v>
      </c>
      <c r="AC149" s="56" t="s">
        <v>23</v>
      </c>
      <c r="AD149" s="56" t="s">
        <v>99</v>
      </c>
      <c r="AE149" s="56" t="s">
        <v>99</v>
      </c>
      <c r="AF149" s="56" t="s">
        <v>99</v>
      </c>
      <c r="AG149" s="56" t="s">
        <v>23</v>
      </c>
      <c r="AH149" s="56" t="s">
        <v>99</v>
      </c>
      <c r="AI149" s="56" t="s">
        <v>99</v>
      </c>
      <c r="AJ149" s="56" t="s">
        <v>99</v>
      </c>
      <c r="AK149" s="56" t="s">
        <v>23</v>
      </c>
      <c r="AL149" s="56" t="s">
        <v>99</v>
      </c>
      <c r="AM149" s="56" t="s">
        <v>99</v>
      </c>
      <c r="AN149" s="56" t="s">
        <v>99</v>
      </c>
      <c r="AO149" s="56" t="s">
        <v>99</v>
      </c>
      <c r="AP149" s="56" t="s">
        <v>99</v>
      </c>
      <c r="AQ149" s="56" t="s">
        <v>99</v>
      </c>
      <c r="AR149" s="56" t="s">
        <v>99</v>
      </c>
      <c r="AS149" s="56" t="s">
        <v>99</v>
      </c>
      <c r="AT149" s="56" t="s">
        <v>99</v>
      </c>
      <c r="AU149" s="56" t="s">
        <v>99</v>
      </c>
      <c r="AV149" s="56" t="s">
        <v>99</v>
      </c>
      <c r="AW149" s="56" t="s">
        <v>99</v>
      </c>
      <c r="AX149" s="56" t="s">
        <v>99</v>
      </c>
      <c r="AY149" s="56" t="s">
        <v>99</v>
      </c>
      <c r="AZ149" s="56" t="s">
        <v>99</v>
      </c>
      <c r="BA149" s="56" t="s">
        <v>99</v>
      </c>
      <c r="BB149" s="56" t="s">
        <v>99</v>
      </c>
      <c r="BC149" s="56" t="s">
        <v>99</v>
      </c>
      <c r="BD149" s="56" t="s">
        <v>99</v>
      </c>
      <c r="BE149" s="56" t="s">
        <v>99</v>
      </c>
      <c r="BF149" s="56" t="s">
        <v>99</v>
      </c>
      <c r="BG149" s="56" t="s">
        <v>99</v>
      </c>
      <c r="BH149" s="56" t="s">
        <v>99</v>
      </c>
      <c r="BI149" s="56" t="s">
        <v>99</v>
      </c>
      <c r="BJ149" s="56" t="s">
        <v>99</v>
      </c>
      <c r="BK149" s="56" t="s">
        <v>99</v>
      </c>
      <c r="BL149" s="56" t="s">
        <v>99</v>
      </c>
      <c r="BM149" s="56" t="s">
        <v>99</v>
      </c>
      <c r="BN149" s="56" t="s">
        <v>99</v>
      </c>
      <c r="BO149" s="56" t="s">
        <v>99</v>
      </c>
      <c r="BP149" s="62" t="s">
        <v>99</v>
      </c>
    </row>
    <row r="150" spans="2:68">
      <c r="B150" s="58">
        <v>5</v>
      </c>
      <c r="C150" s="59">
        <v>21</v>
      </c>
      <c r="D150" s="59" t="s">
        <v>103</v>
      </c>
      <c r="E150" s="60">
        <f>'[1]Master File'!B149</f>
        <v>46163</v>
      </c>
      <c r="F150" s="61" t="str">
        <f>'[1]Master File'!C149</f>
        <v>Explorer 5PM</v>
      </c>
      <c r="G150" s="39"/>
      <c r="I150" s="56" t="s">
        <v>99</v>
      </c>
      <c r="J150" s="56" t="s">
        <v>99</v>
      </c>
      <c r="K150" s="56" t="s">
        <v>99</v>
      </c>
      <c r="L150" s="56" t="s">
        <v>23</v>
      </c>
      <c r="M150" s="56" t="s">
        <v>99</v>
      </c>
      <c r="N150" s="56" t="s">
        <v>99</v>
      </c>
      <c r="O150" s="56" t="s">
        <v>99</v>
      </c>
      <c r="P150" s="56" t="s">
        <v>99</v>
      </c>
      <c r="Q150" s="56" t="s">
        <v>99</v>
      </c>
      <c r="R150" s="56" t="s">
        <v>99</v>
      </c>
      <c r="S150" s="56" t="s">
        <v>99</v>
      </c>
      <c r="T150" s="56" t="s">
        <v>99</v>
      </c>
      <c r="U150" s="56" t="s">
        <v>99</v>
      </c>
      <c r="V150" s="56" t="s">
        <v>99</v>
      </c>
      <c r="W150" s="56" t="s">
        <v>99</v>
      </c>
      <c r="X150" s="56" t="s">
        <v>99</v>
      </c>
      <c r="Y150" s="56" t="s">
        <v>23</v>
      </c>
      <c r="Z150" s="56" t="s">
        <v>99</v>
      </c>
      <c r="AA150" s="56" t="s">
        <v>99</v>
      </c>
      <c r="AB150" s="56" t="s">
        <v>23</v>
      </c>
      <c r="AC150" s="56" t="s">
        <v>23</v>
      </c>
      <c r="AD150" s="56" t="s">
        <v>99</v>
      </c>
      <c r="AE150" s="56" t="s">
        <v>99</v>
      </c>
      <c r="AF150" s="56" t="s">
        <v>99</v>
      </c>
      <c r="AG150" s="56" t="s">
        <v>23</v>
      </c>
      <c r="AH150" s="56" t="s">
        <v>99</v>
      </c>
      <c r="AI150" s="56" t="s">
        <v>99</v>
      </c>
      <c r="AJ150" s="56" t="s">
        <v>99</v>
      </c>
      <c r="AK150" s="56" t="s">
        <v>23</v>
      </c>
      <c r="AL150" s="56" t="s">
        <v>99</v>
      </c>
      <c r="AM150" s="56" t="s">
        <v>99</v>
      </c>
      <c r="AN150" s="56" t="s">
        <v>99</v>
      </c>
      <c r="AO150" s="56" t="s">
        <v>99</v>
      </c>
      <c r="AP150" s="56" t="s">
        <v>99</v>
      </c>
      <c r="AQ150" s="56" t="s">
        <v>99</v>
      </c>
      <c r="AR150" s="56" t="s">
        <v>99</v>
      </c>
      <c r="AS150" s="56" t="s">
        <v>99</v>
      </c>
      <c r="AT150" s="56" t="s">
        <v>99</v>
      </c>
      <c r="AU150" s="56" t="s">
        <v>99</v>
      </c>
      <c r="AV150" s="56" t="s">
        <v>99</v>
      </c>
      <c r="AW150" s="56" t="s">
        <v>99</v>
      </c>
      <c r="AX150" s="56" t="s">
        <v>99</v>
      </c>
      <c r="AY150" s="56" t="s">
        <v>99</v>
      </c>
      <c r="AZ150" s="56" t="s">
        <v>99</v>
      </c>
      <c r="BA150" s="56" t="s">
        <v>99</v>
      </c>
      <c r="BB150" s="56" t="s">
        <v>99</v>
      </c>
      <c r="BC150" s="56" t="s">
        <v>99</v>
      </c>
      <c r="BD150" s="56" t="s">
        <v>99</v>
      </c>
      <c r="BE150" s="56" t="s">
        <v>99</v>
      </c>
      <c r="BF150" s="56" t="s">
        <v>99</v>
      </c>
      <c r="BG150" s="56" t="s">
        <v>99</v>
      </c>
      <c r="BH150" s="56" t="s">
        <v>99</v>
      </c>
      <c r="BI150" s="56" t="s">
        <v>99</v>
      </c>
      <c r="BJ150" s="56" t="s">
        <v>99</v>
      </c>
      <c r="BK150" s="56" t="s">
        <v>99</v>
      </c>
      <c r="BL150" s="56" t="s">
        <v>99</v>
      </c>
      <c r="BM150" s="56" t="s">
        <v>99</v>
      </c>
      <c r="BN150" s="56" t="s">
        <v>99</v>
      </c>
      <c r="BO150" s="56" t="s">
        <v>99</v>
      </c>
      <c r="BP150" s="62" t="s">
        <v>99</v>
      </c>
    </row>
    <row r="151" spans="2:68">
      <c r="B151" s="58">
        <v>5</v>
      </c>
      <c r="C151" s="59">
        <v>21</v>
      </c>
      <c r="D151" s="59" t="s">
        <v>104</v>
      </c>
      <c r="E151" s="60">
        <f>'[1]Master File'!B150</f>
        <v>46164</v>
      </c>
      <c r="F151" s="61" t="str">
        <f>'[1]Master File'!C150</f>
        <v>Explorer 6PM</v>
      </c>
      <c r="G151" s="39"/>
      <c r="I151" s="56" t="s">
        <v>99</v>
      </c>
      <c r="J151" s="56" t="s">
        <v>99</v>
      </c>
      <c r="K151" s="56" t="s">
        <v>99</v>
      </c>
      <c r="L151" s="56" t="s">
        <v>23</v>
      </c>
      <c r="M151" s="56" t="s">
        <v>99</v>
      </c>
      <c r="N151" s="56" t="s">
        <v>99</v>
      </c>
      <c r="O151" s="56" t="s">
        <v>99</v>
      </c>
      <c r="P151" s="56" t="s">
        <v>99</v>
      </c>
      <c r="Q151" s="56" t="s">
        <v>99</v>
      </c>
      <c r="R151" s="56" t="s">
        <v>99</v>
      </c>
      <c r="S151" s="56" t="s">
        <v>99</v>
      </c>
      <c r="T151" s="56" t="s">
        <v>99</v>
      </c>
      <c r="U151" s="56" t="s">
        <v>99</v>
      </c>
      <c r="V151" s="56" t="s">
        <v>99</v>
      </c>
      <c r="W151" s="56" t="s">
        <v>99</v>
      </c>
      <c r="X151" s="56" t="s">
        <v>99</v>
      </c>
      <c r="Y151" s="56" t="s">
        <v>23</v>
      </c>
      <c r="Z151" s="56" t="s">
        <v>99</v>
      </c>
      <c r="AA151" s="56" t="s">
        <v>99</v>
      </c>
      <c r="AB151" s="56" t="s">
        <v>23</v>
      </c>
      <c r="AC151" s="56" t="s">
        <v>23</v>
      </c>
      <c r="AD151" s="56" t="s">
        <v>99</v>
      </c>
      <c r="AE151" s="56" t="s">
        <v>99</v>
      </c>
      <c r="AF151" s="56" t="s">
        <v>99</v>
      </c>
      <c r="AG151" s="56" t="s">
        <v>23</v>
      </c>
      <c r="AH151" s="56" t="s">
        <v>99</v>
      </c>
      <c r="AI151" s="56" t="s">
        <v>99</v>
      </c>
      <c r="AJ151" s="56" t="s">
        <v>99</v>
      </c>
      <c r="AK151" s="56" t="s">
        <v>23</v>
      </c>
      <c r="AL151" s="56" t="s">
        <v>99</v>
      </c>
      <c r="AM151" s="56" t="s">
        <v>99</v>
      </c>
      <c r="AN151" s="56" t="s">
        <v>99</v>
      </c>
      <c r="AO151" s="56" t="s">
        <v>99</v>
      </c>
      <c r="AP151" s="56" t="s">
        <v>99</v>
      </c>
      <c r="AQ151" s="56" t="s">
        <v>99</v>
      </c>
      <c r="AR151" s="56" t="s">
        <v>99</v>
      </c>
      <c r="AS151" s="56" t="s">
        <v>99</v>
      </c>
      <c r="AT151" s="56" t="s">
        <v>99</v>
      </c>
      <c r="AU151" s="56" t="s">
        <v>99</v>
      </c>
      <c r="AV151" s="56" t="s">
        <v>99</v>
      </c>
      <c r="AW151" s="56" t="s">
        <v>99</v>
      </c>
      <c r="AX151" s="56" t="s">
        <v>99</v>
      </c>
      <c r="AY151" s="56" t="s">
        <v>99</v>
      </c>
      <c r="AZ151" s="56" t="s">
        <v>99</v>
      </c>
      <c r="BA151" s="56" t="s">
        <v>99</v>
      </c>
      <c r="BB151" s="56" t="s">
        <v>99</v>
      </c>
      <c r="BC151" s="56" t="s">
        <v>99</v>
      </c>
      <c r="BD151" s="56" t="s">
        <v>99</v>
      </c>
      <c r="BE151" s="56" t="s">
        <v>99</v>
      </c>
      <c r="BF151" s="56" t="s">
        <v>99</v>
      </c>
      <c r="BG151" s="56" t="s">
        <v>99</v>
      </c>
      <c r="BH151" s="56" t="s">
        <v>99</v>
      </c>
      <c r="BI151" s="56" t="s">
        <v>99</v>
      </c>
      <c r="BJ151" s="56" t="s">
        <v>99</v>
      </c>
      <c r="BK151" s="56" t="s">
        <v>99</v>
      </c>
      <c r="BL151" s="56" t="s">
        <v>99</v>
      </c>
      <c r="BM151" s="56" t="s">
        <v>99</v>
      </c>
      <c r="BN151" s="56" t="s">
        <v>99</v>
      </c>
      <c r="BO151" s="56" t="s">
        <v>99</v>
      </c>
      <c r="BP151" s="62" t="s">
        <v>99</v>
      </c>
    </row>
    <row r="152" spans="2:68">
      <c r="B152" s="58">
        <v>5</v>
      </c>
      <c r="C152" s="59">
        <v>21</v>
      </c>
      <c r="D152" s="59" t="s">
        <v>105</v>
      </c>
      <c r="E152" s="60">
        <f>'[1]Master File'!B151</f>
        <v>46165</v>
      </c>
      <c r="F152" s="61" t="str">
        <f>'[1]Master File'!C151</f>
        <v>Explorer 6PM</v>
      </c>
      <c r="G152" s="39"/>
      <c r="I152" s="63" t="s">
        <v>99</v>
      </c>
      <c r="J152" s="63" t="s">
        <v>99</v>
      </c>
      <c r="K152" s="63" t="s">
        <v>99</v>
      </c>
      <c r="L152" s="63" t="s">
        <v>23</v>
      </c>
      <c r="M152" s="63" t="s">
        <v>99</v>
      </c>
      <c r="N152" s="63" t="s">
        <v>99</v>
      </c>
      <c r="O152" s="63" t="s">
        <v>99</v>
      </c>
      <c r="P152" s="63" t="s">
        <v>99</v>
      </c>
      <c r="Q152" s="63" t="s">
        <v>99</v>
      </c>
      <c r="R152" s="63" t="s">
        <v>99</v>
      </c>
      <c r="S152" s="63" t="s">
        <v>99</v>
      </c>
      <c r="T152" s="63" t="s">
        <v>99</v>
      </c>
      <c r="U152" s="63" t="s">
        <v>99</v>
      </c>
      <c r="V152" s="63" t="s">
        <v>99</v>
      </c>
      <c r="W152" s="63" t="s">
        <v>99</v>
      </c>
      <c r="X152" s="63" t="s">
        <v>99</v>
      </c>
      <c r="Y152" s="56" t="s">
        <v>23</v>
      </c>
      <c r="Z152" s="63" t="s">
        <v>99</v>
      </c>
      <c r="AA152" s="63" t="s">
        <v>99</v>
      </c>
      <c r="AB152" s="63" t="s">
        <v>99</v>
      </c>
      <c r="AC152" s="63" t="s">
        <v>23</v>
      </c>
      <c r="AD152" s="63" t="s">
        <v>99</v>
      </c>
      <c r="AE152" s="63" t="s">
        <v>99</v>
      </c>
      <c r="AF152" s="63" t="s">
        <v>99</v>
      </c>
      <c r="AG152" s="63" t="s">
        <v>23</v>
      </c>
      <c r="AH152" s="63" t="s">
        <v>99</v>
      </c>
      <c r="AI152" s="63" t="s">
        <v>99</v>
      </c>
      <c r="AJ152" s="63" t="s">
        <v>99</v>
      </c>
      <c r="AK152" s="63" t="s">
        <v>23</v>
      </c>
      <c r="AL152" s="63" t="s">
        <v>99</v>
      </c>
      <c r="AM152" s="63" t="s">
        <v>99</v>
      </c>
      <c r="AN152" s="63" t="s">
        <v>99</v>
      </c>
      <c r="AO152" s="63" t="s">
        <v>99</v>
      </c>
      <c r="AP152" s="63" t="s">
        <v>99</v>
      </c>
      <c r="AQ152" s="63" t="s">
        <v>23</v>
      </c>
      <c r="AR152" s="63" t="s">
        <v>99</v>
      </c>
      <c r="AS152" s="63" t="s">
        <v>99</v>
      </c>
      <c r="AT152" s="63" t="s">
        <v>99</v>
      </c>
      <c r="AU152" s="63" t="s">
        <v>99</v>
      </c>
      <c r="AV152" s="63" t="s">
        <v>99</v>
      </c>
      <c r="AW152" s="63" t="s">
        <v>99</v>
      </c>
      <c r="AX152" s="63" t="s">
        <v>99</v>
      </c>
      <c r="AY152" s="63" t="s">
        <v>99</v>
      </c>
      <c r="AZ152" s="63" t="s">
        <v>99</v>
      </c>
      <c r="BA152" s="63" t="s">
        <v>99</v>
      </c>
      <c r="BB152" s="63" t="s">
        <v>99</v>
      </c>
      <c r="BC152" s="63" t="s">
        <v>99</v>
      </c>
      <c r="BD152" s="63" t="s">
        <v>99</v>
      </c>
      <c r="BE152" s="63" t="s">
        <v>99</v>
      </c>
      <c r="BF152" s="63" t="s">
        <v>99</v>
      </c>
      <c r="BG152" s="63" t="s">
        <v>99</v>
      </c>
      <c r="BH152" s="63" t="s">
        <v>99</v>
      </c>
      <c r="BI152" s="63" t="s">
        <v>99</v>
      </c>
      <c r="BJ152" s="63" t="s">
        <v>99</v>
      </c>
      <c r="BK152" s="63" t="s">
        <v>99</v>
      </c>
      <c r="BL152" s="63" t="s">
        <v>99</v>
      </c>
      <c r="BM152" s="63" t="s">
        <v>99</v>
      </c>
      <c r="BN152" s="63" t="s">
        <v>99</v>
      </c>
      <c r="BO152" s="63" t="s">
        <v>99</v>
      </c>
      <c r="BP152" s="64" t="s">
        <v>99</v>
      </c>
    </row>
    <row r="153" spans="2:68">
      <c r="B153" s="58">
        <v>5</v>
      </c>
      <c r="C153" s="59">
        <v>22</v>
      </c>
      <c r="D153" s="59" t="s">
        <v>98</v>
      </c>
      <c r="E153" s="60">
        <f>'[1]Master File'!B152</f>
        <v>46166</v>
      </c>
      <c r="F153" s="61" t="str">
        <f>'[1]Master File'!C152</f>
        <v>Explorer 6PM</v>
      </c>
      <c r="G153" s="39"/>
      <c r="I153" s="63" t="s">
        <v>99</v>
      </c>
      <c r="J153" s="63" t="s">
        <v>99</v>
      </c>
      <c r="K153" s="63" t="s">
        <v>99</v>
      </c>
      <c r="L153" s="63" t="s">
        <v>23</v>
      </c>
      <c r="M153" s="63" t="s">
        <v>99</v>
      </c>
      <c r="N153" s="63" t="s">
        <v>99</v>
      </c>
      <c r="O153" s="63" t="s">
        <v>99</v>
      </c>
      <c r="P153" s="63" t="s">
        <v>99</v>
      </c>
      <c r="Q153" s="63" t="s">
        <v>99</v>
      </c>
      <c r="R153" s="63" t="s">
        <v>99</v>
      </c>
      <c r="S153" s="63" t="s">
        <v>99</v>
      </c>
      <c r="T153" s="63" t="s">
        <v>99</v>
      </c>
      <c r="U153" s="63" t="s">
        <v>99</v>
      </c>
      <c r="V153" s="63" t="s">
        <v>99</v>
      </c>
      <c r="W153" s="63" t="s">
        <v>99</v>
      </c>
      <c r="X153" s="63" t="s">
        <v>99</v>
      </c>
      <c r="Y153" s="56" t="s">
        <v>23</v>
      </c>
      <c r="Z153" s="63" t="s">
        <v>99</v>
      </c>
      <c r="AA153" s="63" t="s">
        <v>99</v>
      </c>
      <c r="AB153" s="63" t="s">
        <v>99</v>
      </c>
      <c r="AC153" s="63" t="s">
        <v>23</v>
      </c>
      <c r="AD153" s="63" t="s">
        <v>99</v>
      </c>
      <c r="AE153" s="63" t="s">
        <v>99</v>
      </c>
      <c r="AF153" s="63" t="s">
        <v>99</v>
      </c>
      <c r="AG153" s="63" t="s">
        <v>23</v>
      </c>
      <c r="AH153" s="63" t="s">
        <v>99</v>
      </c>
      <c r="AI153" s="63" t="s">
        <v>99</v>
      </c>
      <c r="AJ153" s="63" t="s">
        <v>99</v>
      </c>
      <c r="AK153" s="63" t="s">
        <v>23</v>
      </c>
      <c r="AL153" s="63" t="s">
        <v>99</v>
      </c>
      <c r="AM153" s="63" t="s">
        <v>99</v>
      </c>
      <c r="AN153" s="63" t="s">
        <v>99</v>
      </c>
      <c r="AO153" s="63" t="s">
        <v>99</v>
      </c>
      <c r="AP153" s="63" t="s">
        <v>99</v>
      </c>
      <c r="AQ153" s="63" t="s">
        <v>23</v>
      </c>
      <c r="AR153" s="63" t="s">
        <v>99</v>
      </c>
      <c r="AS153" s="63" t="s">
        <v>99</v>
      </c>
      <c r="AT153" s="63" t="s">
        <v>99</v>
      </c>
      <c r="AU153" s="63" t="s">
        <v>99</v>
      </c>
      <c r="AV153" s="63" t="s">
        <v>99</v>
      </c>
      <c r="AW153" s="63" t="s">
        <v>99</v>
      </c>
      <c r="AX153" s="63" t="s">
        <v>99</v>
      </c>
      <c r="AY153" s="63" t="s">
        <v>99</v>
      </c>
      <c r="AZ153" s="63" t="s">
        <v>99</v>
      </c>
      <c r="BA153" s="63" t="s">
        <v>99</v>
      </c>
      <c r="BB153" s="63" t="s">
        <v>99</v>
      </c>
      <c r="BC153" s="63" t="s">
        <v>99</v>
      </c>
      <c r="BD153" s="63" t="s">
        <v>99</v>
      </c>
      <c r="BE153" s="63" t="s">
        <v>99</v>
      </c>
      <c r="BF153" s="63" t="s">
        <v>99</v>
      </c>
      <c r="BG153" s="63" t="s">
        <v>99</v>
      </c>
      <c r="BH153" s="63" t="s">
        <v>99</v>
      </c>
      <c r="BI153" s="63" t="s">
        <v>99</v>
      </c>
      <c r="BJ153" s="63" t="s">
        <v>99</v>
      </c>
      <c r="BK153" s="63" t="s">
        <v>99</v>
      </c>
      <c r="BL153" s="63" t="s">
        <v>99</v>
      </c>
      <c r="BM153" s="63" t="s">
        <v>99</v>
      </c>
      <c r="BN153" s="63" t="s">
        <v>99</v>
      </c>
      <c r="BO153" s="63" t="s">
        <v>99</v>
      </c>
      <c r="BP153" s="64" t="s">
        <v>99</v>
      </c>
    </row>
    <row r="154" spans="2:68">
      <c r="B154" s="58">
        <v>5</v>
      </c>
      <c r="C154" s="59">
        <v>22</v>
      </c>
      <c r="D154" s="59" t="s">
        <v>100</v>
      </c>
      <c r="E154" s="60">
        <f>'[1]Master File'!B153</f>
        <v>46167</v>
      </c>
      <c r="F154" s="61" t="str">
        <f>'[1]Master File'!C153</f>
        <v>Explorer 6PM</v>
      </c>
      <c r="G154" s="39"/>
      <c r="I154" s="56" t="s">
        <v>99</v>
      </c>
      <c r="J154" s="56" t="s">
        <v>99</v>
      </c>
      <c r="K154" s="56" t="s">
        <v>99</v>
      </c>
      <c r="L154" s="56" t="s">
        <v>23</v>
      </c>
      <c r="M154" s="56" t="s">
        <v>99</v>
      </c>
      <c r="N154" s="56" t="s">
        <v>99</v>
      </c>
      <c r="O154" s="56" t="s">
        <v>99</v>
      </c>
      <c r="P154" s="56" t="s">
        <v>99</v>
      </c>
      <c r="Q154" s="56" t="s">
        <v>99</v>
      </c>
      <c r="R154" s="56" t="s">
        <v>99</v>
      </c>
      <c r="S154" s="56" t="s">
        <v>99</v>
      </c>
      <c r="T154" s="56" t="s">
        <v>99</v>
      </c>
      <c r="U154" s="56" t="s">
        <v>99</v>
      </c>
      <c r="V154" s="56" t="s">
        <v>99</v>
      </c>
      <c r="W154" s="56" t="s">
        <v>99</v>
      </c>
      <c r="X154" s="56" t="s">
        <v>99</v>
      </c>
      <c r="Y154" s="56" t="s">
        <v>23</v>
      </c>
      <c r="Z154" s="56" t="s">
        <v>99</v>
      </c>
      <c r="AA154" s="56" t="s">
        <v>99</v>
      </c>
      <c r="AB154" s="56" t="s">
        <v>99</v>
      </c>
      <c r="AC154" s="56" t="s">
        <v>99</v>
      </c>
      <c r="AD154" s="56" t="s">
        <v>99</v>
      </c>
      <c r="AE154" s="56" t="s">
        <v>99</v>
      </c>
      <c r="AF154" s="56" t="s">
        <v>99</v>
      </c>
      <c r="AG154" s="56" t="s">
        <v>23</v>
      </c>
      <c r="AH154" s="56" t="s">
        <v>99</v>
      </c>
      <c r="AI154" s="56" t="s">
        <v>99</v>
      </c>
      <c r="AJ154" s="56" t="s">
        <v>99</v>
      </c>
      <c r="AK154" s="56" t="s">
        <v>23</v>
      </c>
      <c r="AL154" s="56" t="s">
        <v>99</v>
      </c>
      <c r="AM154" s="56" t="s">
        <v>99</v>
      </c>
      <c r="AN154" s="56" t="s">
        <v>99</v>
      </c>
      <c r="AO154" s="56" t="s">
        <v>99</v>
      </c>
      <c r="AP154" s="56" t="s">
        <v>99</v>
      </c>
      <c r="AQ154" s="56" t="s">
        <v>99</v>
      </c>
      <c r="AR154" s="56" t="s">
        <v>99</v>
      </c>
      <c r="AS154" s="56" t="s">
        <v>99</v>
      </c>
      <c r="AT154" s="56" t="s">
        <v>99</v>
      </c>
      <c r="AU154" s="56" t="s">
        <v>99</v>
      </c>
      <c r="AV154" s="56" t="s">
        <v>99</v>
      </c>
      <c r="AW154" s="56" t="s">
        <v>99</v>
      </c>
      <c r="AX154" s="56" t="s">
        <v>99</v>
      </c>
      <c r="AY154" s="56" t="s">
        <v>99</v>
      </c>
      <c r="AZ154" s="56" t="s">
        <v>99</v>
      </c>
      <c r="BA154" s="56" t="s">
        <v>99</v>
      </c>
      <c r="BB154" s="56" t="s">
        <v>99</v>
      </c>
      <c r="BC154" s="56" t="s">
        <v>99</v>
      </c>
      <c r="BD154" s="56" t="s">
        <v>99</v>
      </c>
      <c r="BE154" s="56" t="s">
        <v>99</v>
      </c>
      <c r="BF154" s="56" t="s">
        <v>99</v>
      </c>
      <c r="BG154" s="56" t="s">
        <v>99</v>
      </c>
      <c r="BH154" s="56" t="s">
        <v>99</v>
      </c>
      <c r="BI154" s="56" t="s">
        <v>99</v>
      </c>
      <c r="BJ154" s="56" t="s">
        <v>99</v>
      </c>
      <c r="BK154" s="56" t="s">
        <v>99</v>
      </c>
      <c r="BL154" s="56" t="s">
        <v>99</v>
      </c>
      <c r="BM154" s="56" t="s">
        <v>99</v>
      </c>
      <c r="BN154" s="56" t="s">
        <v>99</v>
      </c>
      <c r="BO154" s="56" t="s">
        <v>99</v>
      </c>
      <c r="BP154" s="62" t="s">
        <v>99</v>
      </c>
    </row>
    <row r="155" spans="2:68">
      <c r="B155" s="58">
        <v>5</v>
      </c>
      <c r="C155" s="59">
        <v>22</v>
      </c>
      <c r="D155" s="59" t="s">
        <v>101</v>
      </c>
      <c r="E155" s="60">
        <f>'[1]Master File'!B154</f>
        <v>46168</v>
      </c>
      <c r="F155" s="61" t="str">
        <f>'[1]Master File'!C154</f>
        <v>Explorer 6PM</v>
      </c>
      <c r="G155" s="39"/>
      <c r="I155" s="56" t="s">
        <v>99</v>
      </c>
      <c r="J155" s="56" t="s">
        <v>99</v>
      </c>
      <c r="K155" s="56" t="s">
        <v>99</v>
      </c>
      <c r="L155" s="56" t="s">
        <v>23</v>
      </c>
      <c r="M155" s="56" t="s">
        <v>99</v>
      </c>
      <c r="N155" s="56" t="s">
        <v>99</v>
      </c>
      <c r="O155" s="56" t="s">
        <v>99</v>
      </c>
      <c r="P155" s="56" t="s">
        <v>99</v>
      </c>
      <c r="Q155" s="56" t="s">
        <v>99</v>
      </c>
      <c r="R155" s="56" t="s">
        <v>99</v>
      </c>
      <c r="S155" s="56" t="s">
        <v>99</v>
      </c>
      <c r="T155" s="56" t="s">
        <v>99</v>
      </c>
      <c r="U155" s="56" t="s">
        <v>99</v>
      </c>
      <c r="V155" s="56" t="s">
        <v>99</v>
      </c>
      <c r="W155" s="56" t="s">
        <v>99</v>
      </c>
      <c r="X155" s="56" t="s">
        <v>99</v>
      </c>
      <c r="Y155" s="56" t="s">
        <v>23</v>
      </c>
      <c r="Z155" s="56" t="s">
        <v>99</v>
      </c>
      <c r="AA155" s="56" t="s">
        <v>99</v>
      </c>
      <c r="AB155" s="56" t="s">
        <v>99</v>
      </c>
      <c r="AC155" s="56" t="s">
        <v>23</v>
      </c>
      <c r="AD155" s="56" t="s">
        <v>99</v>
      </c>
      <c r="AE155" s="56" t="s">
        <v>99</v>
      </c>
      <c r="AF155" s="56" t="s">
        <v>99</v>
      </c>
      <c r="AG155" s="56" t="s">
        <v>23</v>
      </c>
      <c r="AH155" s="56" t="s">
        <v>99</v>
      </c>
      <c r="AI155" s="56" t="s">
        <v>99</v>
      </c>
      <c r="AJ155" s="56" t="s">
        <v>99</v>
      </c>
      <c r="AK155" s="56" t="s">
        <v>23</v>
      </c>
      <c r="AL155" s="56" t="s">
        <v>99</v>
      </c>
      <c r="AM155" s="56" t="s">
        <v>99</v>
      </c>
      <c r="AN155" s="56" t="s">
        <v>99</v>
      </c>
      <c r="AO155" s="56" t="s">
        <v>99</v>
      </c>
      <c r="AP155" s="56" t="s">
        <v>99</v>
      </c>
      <c r="AQ155" s="56" t="s">
        <v>99</v>
      </c>
      <c r="AR155" s="56" t="s">
        <v>99</v>
      </c>
      <c r="AS155" s="56" t="s">
        <v>99</v>
      </c>
      <c r="AT155" s="56" t="s">
        <v>99</v>
      </c>
      <c r="AU155" s="56" t="s">
        <v>99</v>
      </c>
      <c r="AV155" s="56" t="s">
        <v>99</v>
      </c>
      <c r="AW155" s="56" t="s">
        <v>99</v>
      </c>
      <c r="AX155" s="56" t="s">
        <v>99</v>
      </c>
      <c r="AY155" s="56" t="s">
        <v>99</v>
      </c>
      <c r="AZ155" s="56" t="s">
        <v>99</v>
      </c>
      <c r="BA155" s="56" t="s">
        <v>99</v>
      </c>
      <c r="BB155" s="56" t="s">
        <v>99</v>
      </c>
      <c r="BC155" s="56" t="s">
        <v>99</v>
      </c>
      <c r="BD155" s="56" t="s">
        <v>99</v>
      </c>
      <c r="BE155" s="56" t="s">
        <v>99</v>
      </c>
      <c r="BF155" s="56" t="s">
        <v>99</v>
      </c>
      <c r="BG155" s="56" t="s">
        <v>99</v>
      </c>
      <c r="BH155" s="56" t="s">
        <v>99</v>
      </c>
      <c r="BI155" s="56" t="s">
        <v>99</v>
      </c>
      <c r="BJ155" s="56" t="s">
        <v>99</v>
      </c>
      <c r="BK155" s="56" t="s">
        <v>99</v>
      </c>
      <c r="BL155" s="56" t="s">
        <v>99</v>
      </c>
      <c r="BM155" s="56" t="s">
        <v>99</v>
      </c>
      <c r="BN155" s="56" t="s">
        <v>99</v>
      </c>
      <c r="BO155" s="56" t="s">
        <v>99</v>
      </c>
      <c r="BP155" s="62" t="s">
        <v>99</v>
      </c>
    </row>
    <row r="156" spans="2:68">
      <c r="B156" s="58">
        <v>5</v>
      </c>
      <c r="C156" s="59">
        <v>22</v>
      </c>
      <c r="D156" s="59" t="s">
        <v>102</v>
      </c>
      <c r="E156" s="60">
        <f>'[1]Master File'!B155</f>
        <v>46169</v>
      </c>
      <c r="F156" s="61" t="str">
        <f>'[1]Master File'!C155</f>
        <v>Explorer 6PM</v>
      </c>
      <c r="G156" s="39"/>
      <c r="I156" s="56" t="s">
        <v>99</v>
      </c>
      <c r="J156" s="56" t="s">
        <v>99</v>
      </c>
      <c r="K156" s="56" t="s">
        <v>99</v>
      </c>
      <c r="L156" s="56" t="s">
        <v>23</v>
      </c>
      <c r="M156" s="56" t="s">
        <v>99</v>
      </c>
      <c r="N156" s="56" t="s">
        <v>99</v>
      </c>
      <c r="O156" s="56" t="s">
        <v>99</v>
      </c>
      <c r="P156" s="56" t="s">
        <v>99</v>
      </c>
      <c r="Q156" s="56" t="s">
        <v>99</v>
      </c>
      <c r="R156" s="56" t="s">
        <v>99</v>
      </c>
      <c r="S156" s="56" t="s">
        <v>99</v>
      </c>
      <c r="T156" s="56" t="s">
        <v>99</v>
      </c>
      <c r="U156" s="56" t="s">
        <v>99</v>
      </c>
      <c r="V156" s="56" t="s">
        <v>99</v>
      </c>
      <c r="W156" s="56" t="s">
        <v>99</v>
      </c>
      <c r="X156" s="56" t="s">
        <v>99</v>
      </c>
      <c r="Y156" s="56" t="s">
        <v>23</v>
      </c>
      <c r="Z156" s="56" t="s">
        <v>99</v>
      </c>
      <c r="AA156" s="56" t="s">
        <v>99</v>
      </c>
      <c r="AB156" s="56" t="s">
        <v>99</v>
      </c>
      <c r="AC156" s="56" t="s">
        <v>23</v>
      </c>
      <c r="AD156" s="56" t="s">
        <v>99</v>
      </c>
      <c r="AE156" s="56" t="s">
        <v>99</v>
      </c>
      <c r="AF156" s="56" t="s">
        <v>99</v>
      </c>
      <c r="AG156" s="56" t="s">
        <v>23</v>
      </c>
      <c r="AH156" s="56" t="s">
        <v>99</v>
      </c>
      <c r="AI156" s="56" t="s">
        <v>99</v>
      </c>
      <c r="AJ156" s="56" t="s">
        <v>99</v>
      </c>
      <c r="AK156" s="56" t="s">
        <v>23</v>
      </c>
      <c r="AL156" s="56" t="s">
        <v>99</v>
      </c>
      <c r="AM156" s="56" t="s">
        <v>99</v>
      </c>
      <c r="AN156" s="56" t="s">
        <v>99</v>
      </c>
      <c r="AO156" s="56" t="s">
        <v>99</v>
      </c>
      <c r="AP156" s="56" t="s">
        <v>99</v>
      </c>
      <c r="AQ156" s="56" t="s">
        <v>99</v>
      </c>
      <c r="AR156" s="56" t="s">
        <v>99</v>
      </c>
      <c r="AS156" s="56" t="s">
        <v>99</v>
      </c>
      <c r="AT156" s="56" t="s">
        <v>99</v>
      </c>
      <c r="AU156" s="56" t="s">
        <v>99</v>
      </c>
      <c r="AV156" s="56" t="s">
        <v>99</v>
      </c>
      <c r="AW156" s="56" t="s">
        <v>99</v>
      </c>
      <c r="AX156" s="56" t="s">
        <v>99</v>
      </c>
      <c r="AY156" s="56" t="s">
        <v>99</v>
      </c>
      <c r="AZ156" s="56" t="s">
        <v>99</v>
      </c>
      <c r="BA156" s="56" t="s">
        <v>99</v>
      </c>
      <c r="BB156" s="56" t="s">
        <v>99</v>
      </c>
      <c r="BC156" s="56" t="s">
        <v>99</v>
      </c>
      <c r="BD156" s="56" t="s">
        <v>99</v>
      </c>
      <c r="BE156" s="56" t="s">
        <v>99</v>
      </c>
      <c r="BF156" s="56" t="s">
        <v>99</v>
      </c>
      <c r="BG156" s="56" t="s">
        <v>99</v>
      </c>
      <c r="BH156" s="56" t="s">
        <v>99</v>
      </c>
      <c r="BI156" s="56" t="s">
        <v>99</v>
      </c>
      <c r="BJ156" s="56" t="s">
        <v>99</v>
      </c>
      <c r="BK156" s="56" t="s">
        <v>99</v>
      </c>
      <c r="BL156" s="56" t="s">
        <v>99</v>
      </c>
      <c r="BM156" s="56" t="s">
        <v>99</v>
      </c>
      <c r="BN156" s="56" t="s">
        <v>99</v>
      </c>
      <c r="BO156" s="56" t="s">
        <v>99</v>
      </c>
      <c r="BP156" s="62" t="s">
        <v>99</v>
      </c>
    </row>
    <row r="157" spans="2:68">
      <c r="B157" s="58">
        <v>5</v>
      </c>
      <c r="C157" s="59">
        <v>22</v>
      </c>
      <c r="D157" s="59" t="s">
        <v>103</v>
      </c>
      <c r="E157" s="60">
        <f>'[1]Master File'!B156</f>
        <v>46170</v>
      </c>
      <c r="F157" s="61" t="str">
        <f>'[1]Master File'!C156</f>
        <v>Explorer 6PM</v>
      </c>
      <c r="G157" s="39"/>
      <c r="I157" s="56" t="s">
        <v>99</v>
      </c>
      <c r="J157" s="56" t="s">
        <v>99</v>
      </c>
      <c r="K157" s="56" t="s">
        <v>99</v>
      </c>
      <c r="L157" s="56" t="s">
        <v>23</v>
      </c>
      <c r="M157" s="56" t="s">
        <v>99</v>
      </c>
      <c r="N157" s="56" t="s">
        <v>99</v>
      </c>
      <c r="O157" s="56" t="s">
        <v>99</v>
      </c>
      <c r="P157" s="56" t="s">
        <v>99</v>
      </c>
      <c r="Q157" s="56" t="s">
        <v>99</v>
      </c>
      <c r="R157" s="56" t="s">
        <v>99</v>
      </c>
      <c r="S157" s="56" t="s">
        <v>99</v>
      </c>
      <c r="T157" s="56" t="s">
        <v>99</v>
      </c>
      <c r="U157" s="56" t="s">
        <v>99</v>
      </c>
      <c r="V157" s="56" t="s">
        <v>99</v>
      </c>
      <c r="W157" s="56" t="s">
        <v>99</v>
      </c>
      <c r="X157" s="56" t="s">
        <v>99</v>
      </c>
      <c r="Y157" s="56" t="s">
        <v>23</v>
      </c>
      <c r="Z157" s="56" t="s">
        <v>99</v>
      </c>
      <c r="AA157" s="56" t="s">
        <v>99</v>
      </c>
      <c r="AB157" s="56" t="s">
        <v>99</v>
      </c>
      <c r="AC157" s="56" t="s">
        <v>23</v>
      </c>
      <c r="AD157" s="56" t="s">
        <v>99</v>
      </c>
      <c r="AE157" s="56" t="s">
        <v>99</v>
      </c>
      <c r="AF157" s="56" t="s">
        <v>99</v>
      </c>
      <c r="AG157" s="56" t="s">
        <v>23</v>
      </c>
      <c r="AH157" s="56" t="s">
        <v>99</v>
      </c>
      <c r="AI157" s="56" t="s">
        <v>99</v>
      </c>
      <c r="AJ157" s="56" t="s">
        <v>99</v>
      </c>
      <c r="AK157" s="56" t="s">
        <v>23</v>
      </c>
      <c r="AL157" s="56" t="s">
        <v>99</v>
      </c>
      <c r="AM157" s="56" t="s">
        <v>99</v>
      </c>
      <c r="AN157" s="56" t="s">
        <v>99</v>
      </c>
      <c r="AO157" s="56" t="s">
        <v>99</v>
      </c>
      <c r="AP157" s="56" t="s">
        <v>99</v>
      </c>
      <c r="AQ157" s="56" t="s">
        <v>99</v>
      </c>
      <c r="AR157" s="56" t="s">
        <v>99</v>
      </c>
      <c r="AS157" s="56" t="s">
        <v>99</v>
      </c>
      <c r="AT157" s="56" t="s">
        <v>99</v>
      </c>
      <c r="AU157" s="56" t="s">
        <v>99</v>
      </c>
      <c r="AV157" s="56" t="s">
        <v>99</v>
      </c>
      <c r="AW157" s="56" t="s">
        <v>99</v>
      </c>
      <c r="AX157" s="56" t="s">
        <v>99</v>
      </c>
      <c r="AY157" s="56" t="s">
        <v>99</v>
      </c>
      <c r="AZ157" s="56" t="s">
        <v>99</v>
      </c>
      <c r="BA157" s="56" t="s">
        <v>99</v>
      </c>
      <c r="BB157" s="56" t="s">
        <v>99</v>
      </c>
      <c r="BC157" s="56" t="s">
        <v>99</v>
      </c>
      <c r="BD157" s="56" t="s">
        <v>99</v>
      </c>
      <c r="BE157" s="56" t="s">
        <v>99</v>
      </c>
      <c r="BF157" s="56" t="s">
        <v>99</v>
      </c>
      <c r="BG157" s="56" t="s">
        <v>99</v>
      </c>
      <c r="BH157" s="56" t="s">
        <v>99</v>
      </c>
      <c r="BI157" s="56" t="s">
        <v>99</v>
      </c>
      <c r="BJ157" s="56" t="s">
        <v>99</v>
      </c>
      <c r="BK157" s="56" t="s">
        <v>99</v>
      </c>
      <c r="BL157" s="56" t="s">
        <v>99</v>
      </c>
      <c r="BM157" s="56" t="s">
        <v>99</v>
      </c>
      <c r="BN157" s="56" t="s">
        <v>99</v>
      </c>
      <c r="BO157" s="56" t="s">
        <v>99</v>
      </c>
      <c r="BP157" s="62" t="s">
        <v>99</v>
      </c>
    </row>
    <row r="158" spans="2:68">
      <c r="B158" s="58">
        <v>5</v>
      </c>
      <c r="C158" s="59">
        <v>22</v>
      </c>
      <c r="D158" s="59" t="s">
        <v>104</v>
      </c>
      <c r="E158" s="60">
        <f>'[1]Master File'!B157</f>
        <v>46171</v>
      </c>
      <c r="F158" s="61" t="str">
        <f>'[1]Master File'!C157</f>
        <v>Explorer + 6PM</v>
      </c>
      <c r="G158" s="39"/>
      <c r="I158" s="56" t="s">
        <v>99</v>
      </c>
      <c r="J158" s="56" t="s">
        <v>99</v>
      </c>
      <c r="K158" s="56" t="s">
        <v>99</v>
      </c>
      <c r="L158" s="56" t="s">
        <v>23</v>
      </c>
      <c r="M158" s="56" t="s">
        <v>99</v>
      </c>
      <c r="N158" s="56" t="s">
        <v>99</v>
      </c>
      <c r="O158" s="56" t="s">
        <v>99</v>
      </c>
      <c r="P158" s="56" t="s">
        <v>99</v>
      </c>
      <c r="Q158" s="56" t="s">
        <v>99</v>
      </c>
      <c r="R158" s="56" t="s">
        <v>99</v>
      </c>
      <c r="S158" s="56" t="s">
        <v>99</v>
      </c>
      <c r="T158" s="56" t="s">
        <v>99</v>
      </c>
      <c r="U158" s="56" t="s">
        <v>99</v>
      </c>
      <c r="V158" s="56" t="s">
        <v>99</v>
      </c>
      <c r="W158" s="56" t="s">
        <v>99</v>
      </c>
      <c r="X158" s="56" t="s">
        <v>99</v>
      </c>
      <c r="Y158" s="56" t="s">
        <v>23</v>
      </c>
      <c r="Z158" s="56" t="s">
        <v>99</v>
      </c>
      <c r="AA158" s="56" t="s">
        <v>99</v>
      </c>
      <c r="AB158" s="56" t="s">
        <v>99</v>
      </c>
      <c r="AC158" s="56" t="s">
        <v>23</v>
      </c>
      <c r="AD158" s="56" t="s">
        <v>99</v>
      </c>
      <c r="AE158" s="56" t="s">
        <v>99</v>
      </c>
      <c r="AF158" s="56" t="s">
        <v>99</v>
      </c>
      <c r="AG158" s="56" t="s">
        <v>23</v>
      </c>
      <c r="AH158" s="56" t="s">
        <v>99</v>
      </c>
      <c r="AI158" s="56" t="s">
        <v>99</v>
      </c>
      <c r="AJ158" s="56" t="s">
        <v>99</v>
      </c>
      <c r="AK158" s="56" t="s">
        <v>23</v>
      </c>
      <c r="AL158" s="56" t="s">
        <v>99</v>
      </c>
      <c r="AM158" s="56" t="s">
        <v>99</v>
      </c>
      <c r="AN158" s="56" t="s">
        <v>99</v>
      </c>
      <c r="AO158" s="56" t="s">
        <v>99</v>
      </c>
      <c r="AP158" s="56" t="s">
        <v>99</v>
      </c>
      <c r="AQ158" s="56" t="s">
        <v>99</v>
      </c>
      <c r="AR158" s="56" t="s">
        <v>99</v>
      </c>
      <c r="AS158" s="56" t="s">
        <v>99</v>
      </c>
      <c r="AT158" s="56" t="s">
        <v>99</v>
      </c>
      <c r="AU158" s="56" t="s">
        <v>99</v>
      </c>
      <c r="AV158" s="56" t="s">
        <v>99</v>
      </c>
      <c r="AW158" s="56" t="s">
        <v>99</v>
      </c>
      <c r="AX158" s="56" t="s">
        <v>99</v>
      </c>
      <c r="AY158" s="56" t="s">
        <v>99</v>
      </c>
      <c r="AZ158" s="56" t="s">
        <v>99</v>
      </c>
      <c r="BA158" s="56" t="s">
        <v>99</v>
      </c>
      <c r="BB158" s="56" t="s">
        <v>99</v>
      </c>
      <c r="BC158" s="56" t="s">
        <v>99</v>
      </c>
      <c r="BD158" s="56" t="s">
        <v>99</v>
      </c>
      <c r="BE158" s="56" t="s">
        <v>99</v>
      </c>
      <c r="BF158" s="56" t="s">
        <v>99</v>
      </c>
      <c r="BG158" s="56" t="s">
        <v>99</v>
      </c>
      <c r="BH158" s="56" t="s">
        <v>99</v>
      </c>
      <c r="BI158" s="56" t="s">
        <v>99</v>
      </c>
      <c r="BJ158" s="56" t="s">
        <v>99</v>
      </c>
      <c r="BK158" s="56" t="s">
        <v>99</v>
      </c>
      <c r="BL158" s="56" t="s">
        <v>99</v>
      </c>
      <c r="BM158" s="56" t="s">
        <v>99</v>
      </c>
      <c r="BN158" s="56" t="s">
        <v>99</v>
      </c>
      <c r="BO158" s="56" t="s">
        <v>99</v>
      </c>
      <c r="BP158" s="62" t="s">
        <v>99</v>
      </c>
    </row>
    <row r="159" spans="2:68">
      <c r="B159" s="58">
        <v>5</v>
      </c>
      <c r="C159" s="59">
        <v>22</v>
      </c>
      <c r="D159" s="59" t="s">
        <v>105</v>
      </c>
      <c r="E159" s="60">
        <f>'[1]Master File'!B158</f>
        <v>46172</v>
      </c>
      <c r="F159" s="61" t="str">
        <f>'[1]Master File'!C158</f>
        <v>Explorer + 6PM</v>
      </c>
      <c r="G159" s="39"/>
      <c r="I159" s="63" t="s">
        <v>99</v>
      </c>
      <c r="J159" s="63" t="s">
        <v>99</v>
      </c>
      <c r="K159" s="63" t="s">
        <v>99</v>
      </c>
      <c r="L159" s="63" t="s">
        <v>23</v>
      </c>
      <c r="M159" s="63" t="s">
        <v>99</v>
      </c>
      <c r="N159" s="63" t="s">
        <v>99</v>
      </c>
      <c r="O159" s="63" t="s">
        <v>99</v>
      </c>
      <c r="P159" s="63" t="s">
        <v>99</v>
      </c>
      <c r="Q159" s="63" t="s">
        <v>99</v>
      </c>
      <c r="R159" s="63" t="s">
        <v>99</v>
      </c>
      <c r="S159" s="63" t="s">
        <v>99</v>
      </c>
      <c r="T159" s="63" t="s">
        <v>99</v>
      </c>
      <c r="U159" s="63" t="s">
        <v>99</v>
      </c>
      <c r="V159" s="63" t="s">
        <v>99</v>
      </c>
      <c r="W159" s="63" t="s">
        <v>99</v>
      </c>
      <c r="X159" s="63" t="s">
        <v>99</v>
      </c>
      <c r="Y159" s="56" t="s">
        <v>23</v>
      </c>
      <c r="Z159" s="63" t="s">
        <v>99</v>
      </c>
      <c r="AA159" s="63" t="s">
        <v>99</v>
      </c>
      <c r="AB159" s="63" t="s">
        <v>99</v>
      </c>
      <c r="AC159" s="63" t="s">
        <v>23</v>
      </c>
      <c r="AD159" s="63" t="s">
        <v>99</v>
      </c>
      <c r="AE159" s="63" t="s">
        <v>99</v>
      </c>
      <c r="AF159" s="63" t="s">
        <v>99</v>
      </c>
      <c r="AG159" s="63" t="s">
        <v>23</v>
      </c>
      <c r="AH159" s="63" t="s">
        <v>99</v>
      </c>
      <c r="AI159" s="63" t="s">
        <v>99</v>
      </c>
      <c r="AJ159" s="63" t="s">
        <v>99</v>
      </c>
      <c r="AK159" s="63" t="s">
        <v>23</v>
      </c>
      <c r="AL159" s="63" t="s">
        <v>99</v>
      </c>
      <c r="AM159" s="63" t="s">
        <v>99</v>
      </c>
      <c r="AN159" s="63" t="s">
        <v>99</v>
      </c>
      <c r="AO159" s="63" t="s">
        <v>99</v>
      </c>
      <c r="AP159" s="63" t="s">
        <v>99</v>
      </c>
      <c r="AQ159" s="63" t="s">
        <v>23</v>
      </c>
      <c r="AR159" s="63" t="s">
        <v>99</v>
      </c>
      <c r="AS159" s="63" t="s">
        <v>99</v>
      </c>
      <c r="AT159" s="63" t="s">
        <v>99</v>
      </c>
      <c r="AU159" s="63" t="s">
        <v>99</v>
      </c>
      <c r="AV159" s="63" t="s">
        <v>99</v>
      </c>
      <c r="AW159" s="63" t="s">
        <v>99</v>
      </c>
      <c r="AX159" s="63" t="s">
        <v>99</v>
      </c>
      <c r="AY159" s="63" t="s">
        <v>99</v>
      </c>
      <c r="AZ159" s="63" t="s">
        <v>99</v>
      </c>
      <c r="BA159" s="63" t="s">
        <v>99</v>
      </c>
      <c r="BB159" s="63" t="s">
        <v>99</v>
      </c>
      <c r="BC159" s="63" t="s">
        <v>99</v>
      </c>
      <c r="BD159" s="63" t="s">
        <v>99</v>
      </c>
      <c r="BE159" s="63" t="s">
        <v>99</v>
      </c>
      <c r="BF159" s="63" t="s">
        <v>99</v>
      </c>
      <c r="BG159" s="63" t="s">
        <v>99</v>
      </c>
      <c r="BH159" s="63" t="s">
        <v>99</v>
      </c>
      <c r="BI159" s="63" t="s">
        <v>99</v>
      </c>
      <c r="BJ159" s="63" t="s">
        <v>99</v>
      </c>
      <c r="BK159" s="63" t="s">
        <v>99</v>
      </c>
      <c r="BL159" s="63" t="s">
        <v>99</v>
      </c>
      <c r="BM159" s="63" t="s">
        <v>99</v>
      </c>
      <c r="BN159" s="63" t="s">
        <v>99</v>
      </c>
      <c r="BO159" s="63" t="s">
        <v>99</v>
      </c>
      <c r="BP159" s="64" t="s">
        <v>99</v>
      </c>
    </row>
    <row r="160" spans="2:68">
      <c r="B160" s="58">
        <v>6</v>
      </c>
      <c r="C160" s="59">
        <v>23</v>
      </c>
      <c r="D160" s="59" t="s">
        <v>98</v>
      </c>
      <c r="E160" s="60">
        <f>'[1]Master File'!B159</f>
        <v>46173</v>
      </c>
      <c r="F160" s="61" t="str">
        <f>'[1]Master File'!C159</f>
        <v>Explorer 6PM</v>
      </c>
      <c r="G160" s="39"/>
      <c r="I160" s="63" t="s">
        <v>99</v>
      </c>
      <c r="J160" s="63" t="s">
        <v>99</v>
      </c>
      <c r="K160" s="63" t="s">
        <v>99</v>
      </c>
      <c r="L160" s="63" t="s">
        <v>23</v>
      </c>
      <c r="M160" s="63" t="s">
        <v>99</v>
      </c>
      <c r="N160" s="63" t="s">
        <v>99</v>
      </c>
      <c r="O160" s="63" t="s">
        <v>99</v>
      </c>
      <c r="P160" s="63" t="s">
        <v>99</v>
      </c>
      <c r="Q160" s="63" t="s">
        <v>99</v>
      </c>
      <c r="R160" s="63" t="s">
        <v>99</v>
      </c>
      <c r="S160" s="63" t="s">
        <v>99</v>
      </c>
      <c r="T160" s="63" t="s">
        <v>99</v>
      </c>
      <c r="U160" s="63" t="s">
        <v>99</v>
      </c>
      <c r="V160" s="63" t="s">
        <v>99</v>
      </c>
      <c r="W160" s="63" t="s">
        <v>99</v>
      </c>
      <c r="X160" s="63" t="s">
        <v>99</v>
      </c>
      <c r="Y160" s="56" t="s">
        <v>23</v>
      </c>
      <c r="Z160" s="63" t="s">
        <v>99</v>
      </c>
      <c r="AA160" s="63" t="s">
        <v>99</v>
      </c>
      <c r="AB160" s="63" t="s">
        <v>99</v>
      </c>
      <c r="AC160" s="63" t="s">
        <v>23</v>
      </c>
      <c r="AD160" s="63" t="s">
        <v>99</v>
      </c>
      <c r="AE160" s="63" t="s">
        <v>99</v>
      </c>
      <c r="AF160" s="63" t="s">
        <v>99</v>
      </c>
      <c r="AG160" s="63" t="s">
        <v>23</v>
      </c>
      <c r="AH160" s="63" t="s">
        <v>99</v>
      </c>
      <c r="AI160" s="63" t="s">
        <v>99</v>
      </c>
      <c r="AJ160" s="63" t="s">
        <v>99</v>
      </c>
      <c r="AK160" s="63" t="s">
        <v>23</v>
      </c>
      <c r="AL160" s="63" t="s">
        <v>99</v>
      </c>
      <c r="AM160" s="63" t="s">
        <v>99</v>
      </c>
      <c r="AN160" s="63" t="s">
        <v>99</v>
      </c>
      <c r="AO160" s="63" t="s">
        <v>99</v>
      </c>
      <c r="AP160" s="63" t="s">
        <v>99</v>
      </c>
      <c r="AQ160" s="63" t="s">
        <v>23</v>
      </c>
      <c r="AR160" s="63" t="s">
        <v>99</v>
      </c>
      <c r="AS160" s="63" t="s">
        <v>99</v>
      </c>
      <c r="AT160" s="63" t="s">
        <v>99</v>
      </c>
      <c r="AU160" s="63" t="s">
        <v>99</v>
      </c>
      <c r="AV160" s="63" t="s">
        <v>99</v>
      </c>
      <c r="AW160" s="63" t="s">
        <v>99</v>
      </c>
      <c r="AX160" s="63" t="s">
        <v>99</v>
      </c>
      <c r="AY160" s="63" t="s">
        <v>99</v>
      </c>
      <c r="AZ160" s="63" t="s">
        <v>99</v>
      </c>
      <c r="BA160" s="63" t="s">
        <v>99</v>
      </c>
      <c r="BB160" s="63" t="s">
        <v>99</v>
      </c>
      <c r="BC160" s="63" t="s">
        <v>99</v>
      </c>
      <c r="BD160" s="63" t="s">
        <v>99</v>
      </c>
      <c r="BE160" s="63" t="s">
        <v>99</v>
      </c>
      <c r="BF160" s="63" t="s">
        <v>99</v>
      </c>
      <c r="BG160" s="63" t="s">
        <v>99</v>
      </c>
      <c r="BH160" s="63" t="s">
        <v>99</v>
      </c>
      <c r="BI160" s="63" t="s">
        <v>99</v>
      </c>
      <c r="BJ160" s="63" t="s">
        <v>99</v>
      </c>
      <c r="BK160" s="63" t="s">
        <v>99</v>
      </c>
      <c r="BL160" s="63" t="s">
        <v>99</v>
      </c>
      <c r="BM160" s="63" t="s">
        <v>99</v>
      </c>
      <c r="BN160" s="63" t="s">
        <v>99</v>
      </c>
      <c r="BO160" s="63" t="s">
        <v>99</v>
      </c>
      <c r="BP160" s="64" t="s">
        <v>99</v>
      </c>
    </row>
    <row r="161" spans="2:68">
      <c r="B161" s="58">
        <v>6</v>
      </c>
      <c r="C161" s="59">
        <v>23</v>
      </c>
      <c r="D161" s="59" t="s">
        <v>100</v>
      </c>
      <c r="E161" s="60">
        <f>'[1]Master File'!B160</f>
        <v>46174</v>
      </c>
      <c r="F161" s="61" t="str">
        <f>'[1]Master File'!C160</f>
        <v>Explorer 6PM</v>
      </c>
      <c r="G161" s="39"/>
      <c r="I161" s="56" t="s">
        <v>99</v>
      </c>
      <c r="J161" s="56" t="s">
        <v>99</v>
      </c>
      <c r="K161" s="56" t="s">
        <v>99</v>
      </c>
      <c r="L161" s="56" t="s">
        <v>23</v>
      </c>
      <c r="M161" s="56" t="s">
        <v>99</v>
      </c>
      <c r="N161" s="56" t="s">
        <v>99</v>
      </c>
      <c r="O161" s="56" t="s">
        <v>99</v>
      </c>
      <c r="P161" s="56" t="s">
        <v>99</v>
      </c>
      <c r="Q161" s="56" t="s">
        <v>99</v>
      </c>
      <c r="R161" s="56" t="s">
        <v>99</v>
      </c>
      <c r="S161" s="56" t="s">
        <v>99</v>
      </c>
      <c r="T161" s="56" t="s">
        <v>99</v>
      </c>
      <c r="U161" s="56" t="s">
        <v>99</v>
      </c>
      <c r="V161" s="56" t="s">
        <v>99</v>
      </c>
      <c r="W161" s="56" t="s">
        <v>99</v>
      </c>
      <c r="X161" s="56" t="s">
        <v>99</v>
      </c>
      <c r="Y161" s="56" t="s">
        <v>23</v>
      </c>
      <c r="Z161" s="56" t="s">
        <v>99</v>
      </c>
      <c r="AA161" s="56" t="s">
        <v>99</v>
      </c>
      <c r="AB161" s="56" t="s">
        <v>99</v>
      </c>
      <c r="AC161" s="56" t="s">
        <v>99</v>
      </c>
      <c r="AD161" s="56" t="s">
        <v>99</v>
      </c>
      <c r="AE161" s="56" t="s">
        <v>99</v>
      </c>
      <c r="AF161" s="56" t="s">
        <v>99</v>
      </c>
      <c r="AG161" s="56" t="s">
        <v>23</v>
      </c>
      <c r="AH161" s="56" t="s">
        <v>99</v>
      </c>
      <c r="AI161" s="56" t="s">
        <v>99</v>
      </c>
      <c r="AJ161" s="56" t="s">
        <v>99</v>
      </c>
      <c r="AK161" s="56" t="s">
        <v>23</v>
      </c>
      <c r="AL161" s="56" t="s">
        <v>99</v>
      </c>
      <c r="AM161" s="56" t="s">
        <v>99</v>
      </c>
      <c r="AN161" s="56" t="s">
        <v>99</v>
      </c>
      <c r="AO161" s="56" t="s">
        <v>99</v>
      </c>
      <c r="AP161" s="56" t="s">
        <v>99</v>
      </c>
      <c r="AQ161" s="56" t="s">
        <v>99</v>
      </c>
      <c r="AR161" s="56" t="s">
        <v>99</v>
      </c>
      <c r="AS161" s="56" t="s">
        <v>99</v>
      </c>
      <c r="AT161" s="56" t="s">
        <v>99</v>
      </c>
      <c r="AU161" s="56" t="s">
        <v>99</v>
      </c>
      <c r="AV161" s="56" t="s">
        <v>99</v>
      </c>
      <c r="AW161" s="56" t="s">
        <v>99</v>
      </c>
      <c r="AX161" s="56" t="s">
        <v>99</v>
      </c>
      <c r="AY161" s="56" t="s">
        <v>99</v>
      </c>
      <c r="AZ161" s="56" t="s">
        <v>99</v>
      </c>
      <c r="BA161" s="56" t="s">
        <v>99</v>
      </c>
      <c r="BB161" s="56" t="s">
        <v>99</v>
      </c>
      <c r="BC161" s="56" t="s">
        <v>99</v>
      </c>
      <c r="BD161" s="56" t="s">
        <v>99</v>
      </c>
      <c r="BE161" s="56" t="s">
        <v>99</v>
      </c>
      <c r="BF161" s="56" t="s">
        <v>99</v>
      </c>
      <c r="BG161" s="56" t="s">
        <v>99</v>
      </c>
      <c r="BH161" s="56" t="s">
        <v>99</v>
      </c>
      <c r="BI161" s="56" t="s">
        <v>99</v>
      </c>
      <c r="BJ161" s="56" t="s">
        <v>99</v>
      </c>
      <c r="BK161" s="56" t="s">
        <v>99</v>
      </c>
      <c r="BL161" s="56" t="s">
        <v>99</v>
      </c>
      <c r="BM161" s="56" t="s">
        <v>99</v>
      </c>
      <c r="BN161" s="56" t="s">
        <v>99</v>
      </c>
      <c r="BO161" s="56" t="s">
        <v>99</v>
      </c>
      <c r="BP161" s="62" t="s">
        <v>99</v>
      </c>
    </row>
    <row r="162" spans="2:68">
      <c r="B162" s="58">
        <v>6</v>
      </c>
      <c r="C162" s="59">
        <v>23</v>
      </c>
      <c r="D162" s="59" t="s">
        <v>101</v>
      </c>
      <c r="E162" s="60">
        <f>'[1]Master File'!B161</f>
        <v>46175</v>
      </c>
      <c r="F162" s="61" t="str">
        <f>'[1]Master File'!C161</f>
        <v>Lodge 5PM</v>
      </c>
      <c r="G162" s="39"/>
      <c r="I162" s="56" t="s">
        <v>99</v>
      </c>
      <c r="J162" s="56" t="s">
        <v>99</v>
      </c>
      <c r="K162" s="56" t="s">
        <v>99</v>
      </c>
      <c r="L162" s="56" t="s">
        <v>23</v>
      </c>
      <c r="M162" s="56" t="s">
        <v>99</v>
      </c>
      <c r="N162" s="56" t="s">
        <v>99</v>
      </c>
      <c r="O162" s="56" t="s">
        <v>99</v>
      </c>
      <c r="P162" s="56" t="s">
        <v>99</v>
      </c>
      <c r="Q162" s="56" t="s">
        <v>99</v>
      </c>
      <c r="R162" s="56" t="s">
        <v>99</v>
      </c>
      <c r="S162" s="56" t="s">
        <v>99</v>
      </c>
      <c r="T162" s="56" t="s">
        <v>99</v>
      </c>
      <c r="U162" s="56" t="s">
        <v>99</v>
      </c>
      <c r="V162" s="56" t="s">
        <v>99</v>
      </c>
      <c r="W162" s="56" t="s">
        <v>99</v>
      </c>
      <c r="X162" s="56" t="s">
        <v>99</v>
      </c>
      <c r="Y162" s="56" t="s">
        <v>23</v>
      </c>
      <c r="Z162" s="56" t="s">
        <v>99</v>
      </c>
      <c r="AA162" s="56" t="s">
        <v>99</v>
      </c>
      <c r="AB162" s="56" t="s">
        <v>23</v>
      </c>
      <c r="AC162" s="56" t="s">
        <v>23</v>
      </c>
      <c r="AD162" s="56" t="s">
        <v>99</v>
      </c>
      <c r="AE162" s="56" t="s">
        <v>99</v>
      </c>
      <c r="AF162" s="56" t="s">
        <v>99</v>
      </c>
      <c r="AG162" s="56" t="s">
        <v>23</v>
      </c>
      <c r="AH162" s="56" t="s">
        <v>99</v>
      </c>
      <c r="AI162" s="56" t="s">
        <v>99</v>
      </c>
      <c r="AJ162" s="56" t="s">
        <v>99</v>
      </c>
      <c r="AK162" s="56" t="s">
        <v>23</v>
      </c>
      <c r="AL162" s="56" t="s">
        <v>99</v>
      </c>
      <c r="AM162" s="56" t="s">
        <v>99</v>
      </c>
      <c r="AN162" s="56" t="s">
        <v>99</v>
      </c>
      <c r="AO162" s="56" t="s">
        <v>99</v>
      </c>
      <c r="AP162" s="56" t="s">
        <v>99</v>
      </c>
      <c r="AQ162" s="56" t="s">
        <v>99</v>
      </c>
      <c r="AR162" s="56" t="s">
        <v>99</v>
      </c>
      <c r="AS162" s="56" t="s">
        <v>99</v>
      </c>
      <c r="AT162" s="56" t="s">
        <v>99</v>
      </c>
      <c r="AU162" s="56" t="s">
        <v>99</v>
      </c>
      <c r="AV162" s="56" t="s">
        <v>99</v>
      </c>
      <c r="AW162" s="56" t="s">
        <v>99</v>
      </c>
      <c r="AX162" s="56" t="s">
        <v>99</v>
      </c>
      <c r="AY162" s="56" t="s">
        <v>99</v>
      </c>
      <c r="AZ162" s="56" t="s">
        <v>99</v>
      </c>
      <c r="BA162" s="56" t="s">
        <v>99</v>
      </c>
      <c r="BB162" s="56" t="s">
        <v>99</v>
      </c>
      <c r="BC162" s="56" t="s">
        <v>99</v>
      </c>
      <c r="BD162" s="56" t="s">
        <v>99</v>
      </c>
      <c r="BE162" s="56" t="s">
        <v>99</v>
      </c>
      <c r="BF162" s="56" t="s">
        <v>99</v>
      </c>
      <c r="BG162" s="56" t="s">
        <v>99</v>
      </c>
      <c r="BH162" s="56" t="s">
        <v>99</v>
      </c>
      <c r="BI162" s="56" t="s">
        <v>99</v>
      </c>
      <c r="BJ162" s="56" t="s">
        <v>99</v>
      </c>
      <c r="BK162" s="56" t="s">
        <v>99</v>
      </c>
      <c r="BL162" s="56" t="s">
        <v>99</v>
      </c>
      <c r="BM162" s="56" t="s">
        <v>99</v>
      </c>
      <c r="BN162" s="56" t="s">
        <v>99</v>
      </c>
      <c r="BO162" s="56" t="s">
        <v>99</v>
      </c>
      <c r="BP162" s="62" t="s">
        <v>99</v>
      </c>
    </row>
    <row r="163" spans="2:68">
      <c r="B163" s="58">
        <v>6</v>
      </c>
      <c r="C163" s="59">
        <v>23</v>
      </c>
      <c r="D163" s="59" t="s">
        <v>102</v>
      </c>
      <c r="E163" s="60">
        <f>'[1]Master File'!B162</f>
        <v>46176</v>
      </c>
      <c r="F163" s="61" t="str">
        <f>'[1]Master File'!C162</f>
        <v>Lodge 5PM</v>
      </c>
      <c r="G163" s="39"/>
      <c r="I163" s="56" t="s">
        <v>99</v>
      </c>
      <c r="J163" s="56" t="s">
        <v>99</v>
      </c>
      <c r="K163" s="56" t="s">
        <v>99</v>
      </c>
      <c r="L163" s="56" t="s">
        <v>23</v>
      </c>
      <c r="M163" s="56" t="s">
        <v>99</v>
      </c>
      <c r="N163" s="56" t="s">
        <v>99</v>
      </c>
      <c r="O163" s="56" t="s">
        <v>99</v>
      </c>
      <c r="P163" s="56" t="s">
        <v>99</v>
      </c>
      <c r="Q163" s="56" t="s">
        <v>99</v>
      </c>
      <c r="R163" s="56" t="s">
        <v>99</v>
      </c>
      <c r="S163" s="56" t="s">
        <v>99</v>
      </c>
      <c r="T163" s="56" t="s">
        <v>99</v>
      </c>
      <c r="U163" s="56" t="s">
        <v>99</v>
      </c>
      <c r="V163" s="56" t="s">
        <v>99</v>
      </c>
      <c r="W163" s="56" t="s">
        <v>99</v>
      </c>
      <c r="X163" s="56" t="s">
        <v>99</v>
      </c>
      <c r="Y163" s="56" t="s">
        <v>23</v>
      </c>
      <c r="Z163" s="56" t="s">
        <v>99</v>
      </c>
      <c r="AA163" s="56" t="s">
        <v>99</v>
      </c>
      <c r="AB163" s="56" t="s">
        <v>23</v>
      </c>
      <c r="AC163" s="56" t="s">
        <v>23</v>
      </c>
      <c r="AD163" s="56" t="s">
        <v>99</v>
      </c>
      <c r="AE163" s="56" t="s">
        <v>99</v>
      </c>
      <c r="AF163" s="56" t="s">
        <v>99</v>
      </c>
      <c r="AG163" s="56" t="s">
        <v>23</v>
      </c>
      <c r="AH163" s="56" t="s">
        <v>99</v>
      </c>
      <c r="AI163" s="56" t="s">
        <v>99</v>
      </c>
      <c r="AJ163" s="56" t="s">
        <v>99</v>
      </c>
      <c r="AK163" s="56" t="s">
        <v>23</v>
      </c>
      <c r="AL163" s="56" t="s">
        <v>99</v>
      </c>
      <c r="AM163" s="56" t="s">
        <v>99</v>
      </c>
      <c r="AN163" s="56" t="s">
        <v>99</v>
      </c>
      <c r="AO163" s="56" t="s">
        <v>99</v>
      </c>
      <c r="AP163" s="56" t="s">
        <v>99</v>
      </c>
      <c r="AQ163" s="56" t="s">
        <v>99</v>
      </c>
      <c r="AR163" s="56" t="s">
        <v>99</v>
      </c>
      <c r="AS163" s="56" t="s">
        <v>99</v>
      </c>
      <c r="AT163" s="56" t="s">
        <v>99</v>
      </c>
      <c r="AU163" s="56" t="s">
        <v>99</v>
      </c>
      <c r="AV163" s="56" t="s">
        <v>99</v>
      </c>
      <c r="AW163" s="56" t="s">
        <v>99</v>
      </c>
      <c r="AX163" s="56" t="s">
        <v>99</v>
      </c>
      <c r="AY163" s="56" t="s">
        <v>99</v>
      </c>
      <c r="AZ163" s="56" t="s">
        <v>99</v>
      </c>
      <c r="BA163" s="56" t="s">
        <v>99</v>
      </c>
      <c r="BB163" s="56" t="s">
        <v>99</v>
      </c>
      <c r="BC163" s="56" t="s">
        <v>99</v>
      </c>
      <c r="BD163" s="56" t="s">
        <v>99</v>
      </c>
      <c r="BE163" s="56" t="s">
        <v>99</v>
      </c>
      <c r="BF163" s="56" t="s">
        <v>99</v>
      </c>
      <c r="BG163" s="56" t="s">
        <v>99</v>
      </c>
      <c r="BH163" s="56" t="s">
        <v>99</v>
      </c>
      <c r="BI163" s="56" t="s">
        <v>99</v>
      </c>
      <c r="BJ163" s="56" t="s">
        <v>99</v>
      </c>
      <c r="BK163" s="56" t="s">
        <v>99</v>
      </c>
      <c r="BL163" s="56" t="s">
        <v>99</v>
      </c>
      <c r="BM163" s="56" t="s">
        <v>99</v>
      </c>
      <c r="BN163" s="56" t="s">
        <v>99</v>
      </c>
      <c r="BO163" s="56" t="s">
        <v>99</v>
      </c>
      <c r="BP163" s="62" t="s">
        <v>99</v>
      </c>
    </row>
    <row r="164" spans="2:68">
      <c r="B164" s="58">
        <v>6</v>
      </c>
      <c r="C164" s="59">
        <v>23</v>
      </c>
      <c r="D164" s="59" t="s">
        <v>103</v>
      </c>
      <c r="E164" s="60">
        <f>'[1]Master File'!B163</f>
        <v>46177</v>
      </c>
      <c r="F164" s="61" t="str">
        <f>'[1]Master File'!C163</f>
        <v>Lodge 5PM</v>
      </c>
      <c r="G164" s="39"/>
      <c r="I164" s="56" t="s">
        <v>99</v>
      </c>
      <c r="J164" s="56" t="s">
        <v>99</v>
      </c>
      <c r="K164" s="56" t="s">
        <v>99</v>
      </c>
      <c r="L164" s="56" t="s">
        <v>23</v>
      </c>
      <c r="M164" s="56" t="s">
        <v>99</v>
      </c>
      <c r="N164" s="56" t="s">
        <v>99</v>
      </c>
      <c r="O164" s="56" t="s">
        <v>99</v>
      </c>
      <c r="P164" s="56" t="s">
        <v>99</v>
      </c>
      <c r="Q164" s="56" t="s">
        <v>99</v>
      </c>
      <c r="R164" s="56" t="s">
        <v>99</v>
      </c>
      <c r="S164" s="56" t="s">
        <v>99</v>
      </c>
      <c r="T164" s="56" t="s">
        <v>99</v>
      </c>
      <c r="U164" s="56" t="s">
        <v>99</v>
      </c>
      <c r="V164" s="56" t="s">
        <v>99</v>
      </c>
      <c r="W164" s="56" t="s">
        <v>99</v>
      </c>
      <c r="X164" s="56" t="s">
        <v>99</v>
      </c>
      <c r="Y164" s="56" t="s">
        <v>23</v>
      </c>
      <c r="Z164" s="56" t="s">
        <v>99</v>
      </c>
      <c r="AA164" s="56" t="s">
        <v>99</v>
      </c>
      <c r="AB164" s="56" t="s">
        <v>23</v>
      </c>
      <c r="AC164" s="56" t="s">
        <v>23</v>
      </c>
      <c r="AD164" s="56" t="s">
        <v>99</v>
      </c>
      <c r="AE164" s="56" t="s">
        <v>99</v>
      </c>
      <c r="AF164" s="56" t="s">
        <v>99</v>
      </c>
      <c r="AG164" s="56" t="s">
        <v>23</v>
      </c>
      <c r="AH164" s="56" t="s">
        <v>99</v>
      </c>
      <c r="AI164" s="56" t="s">
        <v>99</v>
      </c>
      <c r="AJ164" s="56" t="s">
        <v>99</v>
      </c>
      <c r="AK164" s="56" t="s">
        <v>23</v>
      </c>
      <c r="AL164" s="56" t="s">
        <v>99</v>
      </c>
      <c r="AM164" s="56" t="s">
        <v>99</v>
      </c>
      <c r="AN164" s="56" t="s">
        <v>99</v>
      </c>
      <c r="AO164" s="56" t="s">
        <v>99</v>
      </c>
      <c r="AP164" s="56" t="s">
        <v>99</v>
      </c>
      <c r="AQ164" s="56" t="s">
        <v>99</v>
      </c>
      <c r="AR164" s="56" t="s">
        <v>99</v>
      </c>
      <c r="AS164" s="56" t="s">
        <v>99</v>
      </c>
      <c r="AT164" s="56" t="s">
        <v>99</v>
      </c>
      <c r="AU164" s="56" t="s">
        <v>99</v>
      </c>
      <c r="AV164" s="56" t="s">
        <v>99</v>
      </c>
      <c r="AW164" s="56" t="s">
        <v>99</v>
      </c>
      <c r="AX164" s="56" t="s">
        <v>99</v>
      </c>
      <c r="AY164" s="56" t="s">
        <v>99</v>
      </c>
      <c r="AZ164" s="56" t="s">
        <v>99</v>
      </c>
      <c r="BA164" s="56" t="s">
        <v>99</v>
      </c>
      <c r="BB164" s="56" t="s">
        <v>99</v>
      </c>
      <c r="BC164" s="56" t="s">
        <v>99</v>
      </c>
      <c r="BD164" s="56" t="s">
        <v>99</v>
      </c>
      <c r="BE164" s="56" t="s">
        <v>99</v>
      </c>
      <c r="BF164" s="56" t="s">
        <v>99</v>
      </c>
      <c r="BG164" s="56" t="s">
        <v>99</v>
      </c>
      <c r="BH164" s="56" t="s">
        <v>99</v>
      </c>
      <c r="BI164" s="56" t="s">
        <v>99</v>
      </c>
      <c r="BJ164" s="56" t="s">
        <v>99</v>
      </c>
      <c r="BK164" s="56" t="s">
        <v>99</v>
      </c>
      <c r="BL164" s="56" t="s">
        <v>99</v>
      </c>
      <c r="BM164" s="56" t="s">
        <v>99</v>
      </c>
      <c r="BN164" s="56" t="s">
        <v>99</v>
      </c>
      <c r="BO164" s="56" t="s">
        <v>99</v>
      </c>
      <c r="BP164" s="62" t="s">
        <v>99</v>
      </c>
    </row>
    <row r="165" spans="2:68">
      <c r="B165" s="58">
        <v>6</v>
      </c>
      <c r="C165" s="59">
        <v>23</v>
      </c>
      <c r="D165" s="59" t="s">
        <v>104</v>
      </c>
      <c r="E165" s="60">
        <f>'[1]Master File'!B164</f>
        <v>46178</v>
      </c>
      <c r="F165" s="61" t="str">
        <f>'[1]Master File'!C164</f>
        <v>Explorer 5PM</v>
      </c>
      <c r="G165" s="39"/>
      <c r="I165" s="56" t="s">
        <v>99</v>
      </c>
      <c r="J165" s="56" t="s">
        <v>99</v>
      </c>
      <c r="K165" s="56" t="s">
        <v>99</v>
      </c>
      <c r="L165" s="56" t="s">
        <v>23</v>
      </c>
      <c r="M165" s="56" t="s">
        <v>99</v>
      </c>
      <c r="N165" s="56" t="s">
        <v>99</v>
      </c>
      <c r="O165" s="56" t="s">
        <v>99</v>
      </c>
      <c r="P165" s="56" t="s">
        <v>99</v>
      </c>
      <c r="Q165" s="56" t="s">
        <v>99</v>
      </c>
      <c r="R165" s="56" t="s">
        <v>99</v>
      </c>
      <c r="S165" s="56" t="s">
        <v>99</v>
      </c>
      <c r="T165" s="56" t="s">
        <v>99</v>
      </c>
      <c r="U165" s="56" t="s">
        <v>99</v>
      </c>
      <c r="V165" s="56" t="s">
        <v>99</v>
      </c>
      <c r="W165" s="56" t="s">
        <v>99</v>
      </c>
      <c r="X165" s="56" t="s">
        <v>99</v>
      </c>
      <c r="Y165" s="56" t="s">
        <v>23</v>
      </c>
      <c r="Z165" s="56" t="s">
        <v>99</v>
      </c>
      <c r="AA165" s="56" t="s">
        <v>99</v>
      </c>
      <c r="AB165" s="56" t="s">
        <v>23</v>
      </c>
      <c r="AC165" s="56" t="s">
        <v>23</v>
      </c>
      <c r="AD165" s="56" t="s">
        <v>99</v>
      </c>
      <c r="AE165" s="56" t="s">
        <v>99</v>
      </c>
      <c r="AF165" s="56" t="s">
        <v>99</v>
      </c>
      <c r="AG165" s="56" t="s">
        <v>23</v>
      </c>
      <c r="AH165" s="56" t="s">
        <v>99</v>
      </c>
      <c r="AI165" s="56" t="s">
        <v>99</v>
      </c>
      <c r="AJ165" s="56" t="s">
        <v>99</v>
      </c>
      <c r="AK165" s="56" t="s">
        <v>23</v>
      </c>
      <c r="AL165" s="56" t="s">
        <v>99</v>
      </c>
      <c r="AM165" s="56" t="s">
        <v>99</v>
      </c>
      <c r="AN165" s="56" t="s">
        <v>99</v>
      </c>
      <c r="AO165" s="56" t="s">
        <v>99</v>
      </c>
      <c r="AP165" s="56" t="s">
        <v>99</v>
      </c>
      <c r="AQ165" s="56" t="s">
        <v>99</v>
      </c>
      <c r="AR165" s="56" t="s">
        <v>99</v>
      </c>
      <c r="AS165" s="56" t="s">
        <v>99</v>
      </c>
      <c r="AT165" s="56" t="s">
        <v>99</v>
      </c>
      <c r="AU165" s="56" t="s">
        <v>99</v>
      </c>
      <c r="AV165" s="56" t="s">
        <v>99</v>
      </c>
      <c r="AW165" s="56" t="s">
        <v>99</v>
      </c>
      <c r="AX165" s="56" t="s">
        <v>99</v>
      </c>
      <c r="AY165" s="56" t="s">
        <v>99</v>
      </c>
      <c r="AZ165" s="56" t="s">
        <v>99</v>
      </c>
      <c r="BA165" s="56" t="s">
        <v>99</v>
      </c>
      <c r="BB165" s="56" t="s">
        <v>99</v>
      </c>
      <c r="BC165" s="56" t="s">
        <v>99</v>
      </c>
      <c r="BD165" s="56" t="s">
        <v>99</v>
      </c>
      <c r="BE165" s="56" t="s">
        <v>99</v>
      </c>
      <c r="BF165" s="56" t="s">
        <v>99</v>
      </c>
      <c r="BG165" s="56" t="s">
        <v>99</v>
      </c>
      <c r="BH165" s="56" t="s">
        <v>99</v>
      </c>
      <c r="BI165" s="56" t="s">
        <v>99</v>
      </c>
      <c r="BJ165" s="56" t="s">
        <v>99</v>
      </c>
      <c r="BK165" s="56" t="s">
        <v>99</v>
      </c>
      <c r="BL165" s="56" t="s">
        <v>99</v>
      </c>
      <c r="BM165" s="56" t="s">
        <v>99</v>
      </c>
      <c r="BN165" s="56" t="s">
        <v>99</v>
      </c>
      <c r="BO165" s="56" t="s">
        <v>99</v>
      </c>
      <c r="BP165" s="62" t="s">
        <v>99</v>
      </c>
    </row>
    <row r="166" spans="2:68">
      <c r="B166" s="58">
        <v>6</v>
      </c>
      <c r="C166" s="59">
        <v>23</v>
      </c>
      <c r="D166" s="59" t="s">
        <v>105</v>
      </c>
      <c r="E166" s="60">
        <f>'[1]Master File'!B165</f>
        <v>46179</v>
      </c>
      <c r="F166" s="61" t="str">
        <f>'[1]Master File'!C165</f>
        <v>Explorer 6PM</v>
      </c>
      <c r="G166" s="39"/>
      <c r="I166" s="63" t="s">
        <v>99</v>
      </c>
      <c r="J166" s="63" t="s">
        <v>99</v>
      </c>
      <c r="K166" s="63" t="s">
        <v>99</v>
      </c>
      <c r="L166" s="63" t="s">
        <v>23</v>
      </c>
      <c r="M166" s="63" t="s">
        <v>99</v>
      </c>
      <c r="N166" s="63" t="s">
        <v>99</v>
      </c>
      <c r="O166" s="63" t="s">
        <v>99</v>
      </c>
      <c r="P166" s="63" t="s">
        <v>99</v>
      </c>
      <c r="Q166" s="63" t="s">
        <v>99</v>
      </c>
      <c r="R166" s="63" t="s">
        <v>99</v>
      </c>
      <c r="S166" s="63" t="s">
        <v>99</v>
      </c>
      <c r="T166" s="63" t="s">
        <v>99</v>
      </c>
      <c r="U166" s="63" t="s">
        <v>99</v>
      </c>
      <c r="V166" s="63" t="s">
        <v>99</v>
      </c>
      <c r="W166" s="63" t="s">
        <v>99</v>
      </c>
      <c r="X166" s="63" t="s">
        <v>99</v>
      </c>
      <c r="Y166" s="56" t="s">
        <v>23</v>
      </c>
      <c r="Z166" s="63" t="s">
        <v>99</v>
      </c>
      <c r="AA166" s="63" t="s">
        <v>99</v>
      </c>
      <c r="AB166" s="63" t="s">
        <v>99</v>
      </c>
      <c r="AC166" s="63" t="s">
        <v>23</v>
      </c>
      <c r="AD166" s="63" t="s">
        <v>99</v>
      </c>
      <c r="AE166" s="63" t="s">
        <v>99</v>
      </c>
      <c r="AF166" s="63" t="s">
        <v>99</v>
      </c>
      <c r="AG166" s="63" t="s">
        <v>23</v>
      </c>
      <c r="AH166" s="63" t="s">
        <v>99</v>
      </c>
      <c r="AI166" s="63" t="s">
        <v>99</v>
      </c>
      <c r="AJ166" s="63" t="s">
        <v>99</v>
      </c>
      <c r="AK166" s="63" t="s">
        <v>23</v>
      </c>
      <c r="AL166" s="63" t="s">
        <v>99</v>
      </c>
      <c r="AM166" s="63" t="s">
        <v>99</v>
      </c>
      <c r="AN166" s="63" t="s">
        <v>99</v>
      </c>
      <c r="AO166" s="63" t="s">
        <v>99</v>
      </c>
      <c r="AP166" s="63" t="s">
        <v>99</v>
      </c>
      <c r="AQ166" s="63" t="s">
        <v>23</v>
      </c>
      <c r="AR166" s="63" t="s">
        <v>99</v>
      </c>
      <c r="AS166" s="63" t="s">
        <v>99</v>
      </c>
      <c r="AT166" s="63" t="s">
        <v>99</v>
      </c>
      <c r="AU166" s="63" t="s">
        <v>99</v>
      </c>
      <c r="AV166" s="63" t="s">
        <v>99</v>
      </c>
      <c r="AW166" s="63" t="s">
        <v>99</v>
      </c>
      <c r="AX166" s="63" t="s">
        <v>99</v>
      </c>
      <c r="AY166" s="63" t="s">
        <v>99</v>
      </c>
      <c r="AZ166" s="63" t="s">
        <v>99</v>
      </c>
      <c r="BA166" s="63" t="s">
        <v>99</v>
      </c>
      <c r="BB166" s="63" t="s">
        <v>99</v>
      </c>
      <c r="BC166" s="63" t="s">
        <v>99</v>
      </c>
      <c r="BD166" s="63" t="s">
        <v>99</v>
      </c>
      <c r="BE166" s="63" t="s">
        <v>99</v>
      </c>
      <c r="BF166" s="63" t="s">
        <v>99</v>
      </c>
      <c r="BG166" s="63" t="s">
        <v>99</v>
      </c>
      <c r="BH166" s="63" t="s">
        <v>99</v>
      </c>
      <c r="BI166" s="63" t="s">
        <v>99</v>
      </c>
      <c r="BJ166" s="63" t="s">
        <v>99</v>
      </c>
      <c r="BK166" s="63" t="s">
        <v>99</v>
      </c>
      <c r="BL166" s="63" t="s">
        <v>99</v>
      </c>
      <c r="BM166" s="63" t="s">
        <v>99</v>
      </c>
      <c r="BN166" s="63" t="s">
        <v>99</v>
      </c>
      <c r="BO166" s="63" t="s">
        <v>99</v>
      </c>
      <c r="BP166" s="64" t="s">
        <v>99</v>
      </c>
    </row>
    <row r="167" spans="2:68">
      <c r="B167" s="58">
        <v>6</v>
      </c>
      <c r="C167" s="59">
        <v>24</v>
      </c>
      <c r="D167" s="59" t="s">
        <v>98</v>
      </c>
      <c r="E167" s="60">
        <f>'[1]Master File'!B166</f>
        <v>46180</v>
      </c>
      <c r="F167" s="61" t="str">
        <f>'[1]Master File'!C166</f>
        <v>Explorer + 6PM</v>
      </c>
      <c r="G167" s="39"/>
      <c r="I167" s="63" t="s">
        <v>99</v>
      </c>
      <c r="J167" s="63" t="s">
        <v>99</v>
      </c>
      <c r="K167" s="63" t="s">
        <v>99</v>
      </c>
      <c r="L167" s="63" t="s">
        <v>23</v>
      </c>
      <c r="M167" s="63" t="s">
        <v>99</v>
      </c>
      <c r="N167" s="63" t="s">
        <v>99</v>
      </c>
      <c r="O167" s="63" t="s">
        <v>99</v>
      </c>
      <c r="P167" s="63" t="s">
        <v>99</v>
      </c>
      <c r="Q167" s="63" t="s">
        <v>99</v>
      </c>
      <c r="R167" s="63" t="s">
        <v>99</v>
      </c>
      <c r="S167" s="63" t="s">
        <v>99</v>
      </c>
      <c r="T167" s="63" t="s">
        <v>99</v>
      </c>
      <c r="U167" s="63" t="s">
        <v>99</v>
      </c>
      <c r="V167" s="63" t="s">
        <v>99</v>
      </c>
      <c r="W167" s="63" t="s">
        <v>99</v>
      </c>
      <c r="X167" s="63" t="s">
        <v>99</v>
      </c>
      <c r="Y167" s="56" t="s">
        <v>23</v>
      </c>
      <c r="Z167" s="63" t="s">
        <v>99</v>
      </c>
      <c r="AA167" s="63" t="s">
        <v>99</v>
      </c>
      <c r="AB167" s="63" t="s">
        <v>99</v>
      </c>
      <c r="AC167" s="63" t="s">
        <v>23</v>
      </c>
      <c r="AD167" s="63" t="s">
        <v>99</v>
      </c>
      <c r="AE167" s="63" t="s">
        <v>99</v>
      </c>
      <c r="AF167" s="63" t="s">
        <v>99</v>
      </c>
      <c r="AG167" s="63" t="s">
        <v>23</v>
      </c>
      <c r="AH167" s="63" t="s">
        <v>99</v>
      </c>
      <c r="AI167" s="63" t="s">
        <v>99</v>
      </c>
      <c r="AJ167" s="63" t="s">
        <v>99</v>
      </c>
      <c r="AK167" s="63" t="s">
        <v>23</v>
      </c>
      <c r="AL167" s="63" t="s">
        <v>99</v>
      </c>
      <c r="AM167" s="63" t="s">
        <v>99</v>
      </c>
      <c r="AN167" s="63" t="s">
        <v>99</v>
      </c>
      <c r="AO167" s="63" t="s">
        <v>99</v>
      </c>
      <c r="AP167" s="63" t="s">
        <v>99</v>
      </c>
      <c r="AQ167" s="63" t="s">
        <v>23</v>
      </c>
      <c r="AR167" s="63" t="s">
        <v>99</v>
      </c>
      <c r="AS167" s="63" t="s">
        <v>99</v>
      </c>
      <c r="AT167" s="63" t="s">
        <v>99</v>
      </c>
      <c r="AU167" s="63" t="s">
        <v>99</v>
      </c>
      <c r="AV167" s="63" t="s">
        <v>99</v>
      </c>
      <c r="AW167" s="63" t="s">
        <v>99</v>
      </c>
      <c r="AX167" s="63" t="s">
        <v>99</v>
      </c>
      <c r="AY167" s="63" t="s">
        <v>99</v>
      </c>
      <c r="AZ167" s="63" t="s">
        <v>99</v>
      </c>
      <c r="BA167" s="63" t="s">
        <v>99</v>
      </c>
      <c r="BB167" s="63" t="s">
        <v>99</v>
      </c>
      <c r="BC167" s="63" t="s">
        <v>99</v>
      </c>
      <c r="BD167" s="63" t="s">
        <v>99</v>
      </c>
      <c r="BE167" s="63" t="s">
        <v>99</v>
      </c>
      <c r="BF167" s="63" t="s">
        <v>99</v>
      </c>
      <c r="BG167" s="63" t="s">
        <v>99</v>
      </c>
      <c r="BH167" s="63" t="s">
        <v>99</v>
      </c>
      <c r="BI167" s="63" t="s">
        <v>99</v>
      </c>
      <c r="BJ167" s="63" t="s">
        <v>99</v>
      </c>
      <c r="BK167" s="63" t="s">
        <v>99</v>
      </c>
      <c r="BL167" s="63" t="s">
        <v>99</v>
      </c>
      <c r="BM167" s="63" t="s">
        <v>99</v>
      </c>
      <c r="BN167" s="63" t="s">
        <v>99</v>
      </c>
      <c r="BO167" s="63" t="s">
        <v>99</v>
      </c>
      <c r="BP167" s="64" t="s">
        <v>99</v>
      </c>
    </row>
    <row r="168" spans="2:68">
      <c r="B168" s="58">
        <v>6</v>
      </c>
      <c r="C168" s="59">
        <v>24</v>
      </c>
      <c r="D168" s="59" t="s">
        <v>100</v>
      </c>
      <c r="E168" s="60">
        <f>'[1]Master File'!B167</f>
        <v>46181</v>
      </c>
      <c r="F168" s="61" t="str">
        <f>'[1]Master File'!C167</f>
        <v>Lodge 5PM</v>
      </c>
      <c r="G168" s="39"/>
      <c r="I168" s="56" t="s">
        <v>99</v>
      </c>
      <c r="J168" s="56" t="s">
        <v>99</v>
      </c>
      <c r="K168" s="56" t="s">
        <v>99</v>
      </c>
      <c r="L168" s="63" t="s">
        <v>23</v>
      </c>
      <c r="M168" s="56" t="s">
        <v>99</v>
      </c>
      <c r="N168" s="56" t="s">
        <v>99</v>
      </c>
      <c r="O168" s="56" t="s">
        <v>99</v>
      </c>
      <c r="P168" s="56" t="s">
        <v>99</v>
      </c>
      <c r="Q168" s="56" t="s">
        <v>99</v>
      </c>
      <c r="R168" s="56" t="s">
        <v>99</v>
      </c>
      <c r="S168" s="56" t="s">
        <v>99</v>
      </c>
      <c r="T168" s="56" t="s">
        <v>99</v>
      </c>
      <c r="U168" s="56" t="s">
        <v>99</v>
      </c>
      <c r="V168" s="56" t="s">
        <v>99</v>
      </c>
      <c r="W168" s="56" t="s">
        <v>99</v>
      </c>
      <c r="X168" s="56" t="s">
        <v>99</v>
      </c>
      <c r="Y168" s="56" t="s">
        <v>23</v>
      </c>
      <c r="Z168" s="56" t="s">
        <v>99</v>
      </c>
      <c r="AA168" s="56" t="s">
        <v>99</v>
      </c>
      <c r="AB168" s="56" t="s">
        <v>23</v>
      </c>
      <c r="AC168" s="56" t="s">
        <v>99</v>
      </c>
      <c r="AD168" s="56" t="s">
        <v>99</v>
      </c>
      <c r="AE168" s="56" t="s">
        <v>99</v>
      </c>
      <c r="AF168" s="56" t="s">
        <v>99</v>
      </c>
      <c r="AG168" s="56" t="s">
        <v>23</v>
      </c>
      <c r="AH168" s="56" t="s">
        <v>99</v>
      </c>
      <c r="AI168" s="56" t="s">
        <v>99</v>
      </c>
      <c r="AJ168" s="56" t="s">
        <v>99</v>
      </c>
      <c r="AK168" s="63" t="s">
        <v>23</v>
      </c>
      <c r="AL168" s="56" t="s">
        <v>99</v>
      </c>
      <c r="AM168" s="56" t="s">
        <v>99</v>
      </c>
      <c r="AN168" s="56" t="s">
        <v>99</v>
      </c>
      <c r="AO168" s="56" t="s">
        <v>99</v>
      </c>
      <c r="AP168" s="56" t="s">
        <v>99</v>
      </c>
      <c r="AQ168" s="56" t="s">
        <v>99</v>
      </c>
      <c r="AR168" s="56" t="s">
        <v>99</v>
      </c>
      <c r="AS168" s="56" t="s">
        <v>99</v>
      </c>
      <c r="AT168" s="56" t="s">
        <v>99</v>
      </c>
      <c r="AU168" s="56" t="s">
        <v>99</v>
      </c>
      <c r="AV168" s="56" t="s">
        <v>99</v>
      </c>
      <c r="AW168" s="56" t="s">
        <v>99</v>
      </c>
      <c r="AX168" s="56" t="s">
        <v>99</v>
      </c>
      <c r="AY168" s="56" t="s">
        <v>99</v>
      </c>
      <c r="AZ168" s="56" t="s">
        <v>99</v>
      </c>
      <c r="BA168" s="56" t="s">
        <v>99</v>
      </c>
      <c r="BB168" s="56" t="s">
        <v>99</v>
      </c>
      <c r="BC168" s="56" t="s">
        <v>99</v>
      </c>
      <c r="BD168" s="56" t="s">
        <v>99</v>
      </c>
      <c r="BE168" s="56" t="s">
        <v>99</v>
      </c>
      <c r="BF168" s="56" t="s">
        <v>99</v>
      </c>
      <c r="BG168" s="56" t="s">
        <v>99</v>
      </c>
      <c r="BH168" s="56" t="s">
        <v>99</v>
      </c>
      <c r="BI168" s="56" t="s">
        <v>99</v>
      </c>
      <c r="BJ168" s="56" t="s">
        <v>99</v>
      </c>
      <c r="BK168" s="56" t="s">
        <v>99</v>
      </c>
      <c r="BL168" s="56" t="s">
        <v>99</v>
      </c>
      <c r="BM168" s="56" t="s">
        <v>99</v>
      </c>
      <c r="BN168" s="56" t="s">
        <v>99</v>
      </c>
      <c r="BO168" s="56" t="s">
        <v>99</v>
      </c>
      <c r="BP168" s="62" t="s">
        <v>99</v>
      </c>
    </row>
    <row r="169" spans="2:68">
      <c r="B169" s="58">
        <v>6</v>
      </c>
      <c r="C169" s="59">
        <v>24</v>
      </c>
      <c r="D169" s="59" t="s">
        <v>101</v>
      </c>
      <c r="E169" s="60">
        <f>'[1]Master File'!B168</f>
        <v>46182</v>
      </c>
      <c r="F169" s="61" t="str">
        <f>'[1]Master File'!C168</f>
        <v>Lodge 5PM</v>
      </c>
      <c r="G169" s="39"/>
      <c r="I169" s="56" t="s">
        <v>99</v>
      </c>
      <c r="J169" s="56" t="s">
        <v>99</v>
      </c>
      <c r="K169" s="56" t="s">
        <v>99</v>
      </c>
      <c r="L169" s="63" t="s">
        <v>23</v>
      </c>
      <c r="M169" s="56" t="s">
        <v>99</v>
      </c>
      <c r="N169" s="56" t="s">
        <v>99</v>
      </c>
      <c r="O169" s="56" t="s">
        <v>99</v>
      </c>
      <c r="P169" s="56" t="s">
        <v>99</v>
      </c>
      <c r="Q169" s="56" t="s">
        <v>99</v>
      </c>
      <c r="R169" s="56" t="s">
        <v>99</v>
      </c>
      <c r="S169" s="56" t="s">
        <v>99</v>
      </c>
      <c r="T169" s="56" t="s">
        <v>99</v>
      </c>
      <c r="U169" s="56" t="s">
        <v>99</v>
      </c>
      <c r="V169" s="56" t="s">
        <v>99</v>
      </c>
      <c r="W169" s="56" t="s">
        <v>99</v>
      </c>
      <c r="X169" s="56" t="s">
        <v>99</v>
      </c>
      <c r="Y169" s="56" t="s">
        <v>23</v>
      </c>
      <c r="Z169" s="56" t="s">
        <v>99</v>
      </c>
      <c r="AA169" s="56" t="s">
        <v>99</v>
      </c>
      <c r="AB169" s="56" t="s">
        <v>23</v>
      </c>
      <c r="AC169" s="56" t="s">
        <v>23</v>
      </c>
      <c r="AD169" s="56" t="s">
        <v>99</v>
      </c>
      <c r="AE169" s="56" t="s">
        <v>99</v>
      </c>
      <c r="AF169" s="56" t="s">
        <v>99</v>
      </c>
      <c r="AG169" s="56" t="s">
        <v>23</v>
      </c>
      <c r="AH169" s="56" t="s">
        <v>99</v>
      </c>
      <c r="AI169" s="56" t="s">
        <v>99</v>
      </c>
      <c r="AJ169" s="56" t="s">
        <v>99</v>
      </c>
      <c r="AK169" s="63" t="s">
        <v>23</v>
      </c>
      <c r="AL169" s="56" t="s">
        <v>99</v>
      </c>
      <c r="AM169" s="56" t="s">
        <v>99</v>
      </c>
      <c r="AN169" s="56" t="s">
        <v>99</v>
      </c>
      <c r="AO169" s="56" t="s">
        <v>99</v>
      </c>
      <c r="AP169" s="56" t="s">
        <v>99</v>
      </c>
      <c r="AQ169" s="56" t="s">
        <v>99</v>
      </c>
      <c r="AR169" s="56" t="s">
        <v>99</v>
      </c>
      <c r="AS169" s="56" t="s">
        <v>99</v>
      </c>
      <c r="AT169" s="56" t="s">
        <v>99</v>
      </c>
      <c r="AU169" s="56" t="s">
        <v>99</v>
      </c>
      <c r="AV169" s="56" t="s">
        <v>99</v>
      </c>
      <c r="AW169" s="56" t="s">
        <v>99</v>
      </c>
      <c r="AX169" s="56" t="s">
        <v>99</v>
      </c>
      <c r="AY169" s="56" t="s">
        <v>99</v>
      </c>
      <c r="AZ169" s="56" t="s">
        <v>99</v>
      </c>
      <c r="BA169" s="56" t="s">
        <v>99</v>
      </c>
      <c r="BB169" s="56" t="s">
        <v>99</v>
      </c>
      <c r="BC169" s="56" t="s">
        <v>99</v>
      </c>
      <c r="BD169" s="56" t="s">
        <v>99</v>
      </c>
      <c r="BE169" s="56" t="s">
        <v>99</v>
      </c>
      <c r="BF169" s="56" t="s">
        <v>99</v>
      </c>
      <c r="BG169" s="56" t="s">
        <v>99</v>
      </c>
      <c r="BH169" s="56" t="s">
        <v>99</v>
      </c>
      <c r="BI169" s="56" t="s">
        <v>99</v>
      </c>
      <c r="BJ169" s="56" t="s">
        <v>99</v>
      </c>
      <c r="BK169" s="56" t="s">
        <v>99</v>
      </c>
      <c r="BL169" s="56" t="s">
        <v>99</v>
      </c>
      <c r="BM169" s="56" t="s">
        <v>99</v>
      </c>
      <c r="BN169" s="56" t="s">
        <v>99</v>
      </c>
      <c r="BO169" s="56" t="s">
        <v>99</v>
      </c>
      <c r="BP169" s="62" t="s">
        <v>99</v>
      </c>
    </row>
    <row r="170" spans="2:68">
      <c r="B170" s="58">
        <v>6</v>
      </c>
      <c r="C170" s="59">
        <v>24</v>
      </c>
      <c r="D170" s="59" t="s">
        <v>102</v>
      </c>
      <c r="E170" s="60">
        <f>'[1]Master File'!B169</f>
        <v>46183</v>
      </c>
      <c r="F170" s="61" t="str">
        <f>'[1]Master File'!C169</f>
        <v>Explorer 5PM</v>
      </c>
      <c r="G170" s="39"/>
      <c r="I170" s="56" t="s">
        <v>99</v>
      </c>
      <c r="J170" s="56" t="s">
        <v>99</v>
      </c>
      <c r="K170" s="56" t="s">
        <v>99</v>
      </c>
      <c r="L170" s="63" t="s">
        <v>23</v>
      </c>
      <c r="M170" s="56" t="s">
        <v>99</v>
      </c>
      <c r="N170" s="56" t="s">
        <v>99</v>
      </c>
      <c r="O170" s="56" t="s">
        <v>99</v>
      </c>
      <c r="P170" s="56" t="s">
        <v>99</v>
      </c>
      <c r="Q170" s="56" t="s">
        <v>99</v>
      </c>
      <c r="R170" s="56" t="s">
        <v>99</v>
      </c>
      <c r="S170" s="56" t="s">
        <v>99</v>
      </c>
      <c r="T170" s="56" t="s">
        <v>99</v>
      </c>
      <c r="U170" s="56" t="s">
        <v>99</v>
      </c>
      <c r="V170" s="56" t="s">
        <v>99</v>
      </c>
      <c r="W170" s="56" t="s">
        <v>99</v>
      </c>
      <c r="X170" s="56" t="s">
        <v>99</v>
      </c>
      <c r="Y170" s="56" t="s">
        <v>23</v>
      </c>
      <c r="Z170" s="56" t="s">
        <v>99</v>
      </c>
      <c r="AA170" s="56" t="s">
        <v>99</v>
      </c>
      <c r="AB170" s="56" t="s">
        <v>23</v>
      </c>
      <c r="AC170" s="56" t="s">
        <v>23</v>
      </c>
      <c r="AD170" s="56" t="s">
        <v>99</v>
      </c>
      <c r="AE170" s="56" t="s">
        <v>99</v>
      </c>
      <c r="AF170" s="56" t="s">
        <v>99</v>
      </c>
      <c r="AG170" s="56" t="s">
        <v>23</v>
      </c>
      <c r="AH170" s="56" t="s">
        <v>99</v>
      </c>
      <c r="AI170" s="56" t="s">
        <v>99</v>
      </c>
      <c r="AJ170" s="56" t="s">
        <v>99</v>
      </c>
      <c r="AK170" s="63" t="s">
        <v>23</v>
      </c>
      <c r="AL170" s="56" t="s">
        <v>99</v>
      </c>
      <c r="AM170" s="56" t="s">
        <v>99</v>
      </c>
      <c r="AN170" s="56" t="s">
        <v>99</v>
      </c>
      <c r="AO170" s="56" t="s">
        <v>99</v>
      </c>
      <c r="AP170" s="56" t="s">
        <v>99</v>
      </c>
      <c r="AQ170" s="56" t="s">
        <v>99</v>
      </c>
      <c r="AR170" s="56" t="s">
        <v>99</v>
      </c>
      <c r="AS170" s="56" t="s">
        <v>99</v>
      </c>
      <c r="AT170" s="56" t="s">
        <v>99</v>
      </c>
      <c r="AU170" s="56" t="s">
        <v>99</v>
      </c>
      <c r="AV170" s="56" t="s">
        <v>99</v>
      </c>
      <c r="AW170" s="56" t="s">
        <v>99</v>
      </c>
      <c r="AX170" s="56" t="s">
        <v>99</v>
      </c>
      <c r="AY170" s="56" t="s">
        <v>99</v>
      </c>
      <c r="AZ170" s="56" t="s">
        <v>99</v>
      </c>
      <c r="BA170" s="56" t="s">
        <v>99</v>
      </c>
      <c r="BB170" s="56" t="s">
        <v>99</v>
      </c>
      <c r="BC170" s="56" t="s">
        <v>99</v>
      </c>
      <c r="BD170" s="56" t="s">
        <v>99</v>
      </c>
      <c r="BE170" s="56" t="s">
        <v>99</v>
      </c>
      <c r="BF170" s="56" t="s">
        <v>99</v>
      </c>
      <c r="BG170" s="56" t="s">
        <v>99</v>
      </c>
      <c r="BH170" s="56" t="s">
        <v>99</v>
      </c>
      <c r="BI170" s="56" t="s">
        <v>99</v>
      </c>
      <c r="BJ170" s="56" t="s">
        <v>99</v>
      </c>
      <c r="BK170" s="56" t="s">
        <v>99</v>
      </c>
      <c r="BL170" s="56" t="s">
        <v>99</v>
      </c>
      <c r="BM170" s="56" t="s">
        <v>99</v>
      </c>
      <c r="BN170" s="56" t="s">
        <v>99</v>
      </c>
      <c r="BO170" s="56" t="s">
        <v>99</v>
      </c>
      <c r="BP170" s="62" t="s">
        <v>99</v>
      </c>
    </row>
    <row r="171" spans="2:68">
      <c r="B171" s="58">
        <v>6</v>
      </c>
      <c r="C171" s="59">
        <v>24</v>
      </c>
      <c r="D171" s="59" t="s">
        <v>103</v>
      </c>
      <c r="E171" s="60">
        <f>'[1]Master File'!B170</f>
        <v>46184</v>
      </c>
      <c r="F171" s="61" t="str">
        <f>'[1]Master File'!C170</f>
        <v>Lodge 5PM</v>
      </c>
      <c r="G171" s="39"/>
      <c r="I171" s="56" t="s">
        <v>99</v>
      </c>
      <c r="J171" s="56" t="s">
        <v>99</v>
      </c>
      <c r="K171" s="56" t="s">
        <v>99</v>
      </c>
      <c r="L171" s="63" t="s">
        <v>23</v>
      </c>
      <c r="M171" s="56" t="s">
        <v>99</v>
      </c>
      <c r="N171" s="56" t="s">
        <v>99</v>
      </c>
      <c r="O171" s="56" t="s">
        <v>99</v>
      </c>
      <c r="P171" s="56" t="s">
        <v>99</v>
      </c>
      <c r="Q171" s="56" t="s">
        <v>99</v>
      </c>
      <c r="R171" s="56" t="s">
        <v>99</v>
      </c>
      <c r="S171" s="56" t="s">
        <v>99</v>
      </c>
      <c r="T171" s="56" t="s">
        <v>99</v>
      </c>
      <c r="U171" s="56" t="s">
        <v>99</v>
      </c>
      <c r="V171" s="56" t="s">
        <v>99</v>
      </c>
      <c r="W171" s="56" t="s">
        <v>99</v>
      </c>
      <c r="X171" s="56" t="s">
        <v>99</v>
      </c>
      <c r="Y171" s="56" t="s">
        <v>23</v>
      </c>
      <c r="Z171" s="56" t="s">
        <v>99</v>
      </c>
      <c r="AA171" s="56" t="s">
        <v>99</v>
      </c>
      <c r="AB171" s="56" t="s">
        <v>23</v>
      </c>
      <c r="AC171" s="56" t="s">
        <v>23</v>
      </c>
      <c r="AD171" s="56" t="s">
        <v>99</v>
      </c>
      <c r="AE171" s="56" t="s">
        <v>99</v>
      </c>
      <c r="AF171" s="56" t="s">
        <v>99</v>
      </c>
      <c r="AG171" s="56" t="s">
        <v>23</v>
      </c>
      <c r="AH171" s="56" t="s">
        <v>99</v>
      </c>
      <c r="AI171" s="56" t="s">
        <v>99</v>
      </c>
      <c r="AJ171" s="56" t="s">
        <v>99</v>
      </c>
      <c r="AK171" s="63" t="s">
        <v>23</v>
      </c>
      <c r="AL171" s="56" t="s">
        <v>99</v>
      </c>
      <c r="AM171" s="56" t="s">
        <v>99</v>
      </c>
      <c r="AN171" s="56" t="s">
        <v>99</v>
      </c>
      <c r="AO171" s="56" t="s">
        <v>99</v>
      </c>
      <c r="AP171" s="56" t="s">
        <v>99</v>
      </c>
      <c r="AQ171" s="56" t="s">
        <v>99</v>
      </c>
      <c r="AR171" s="56" t="s">
        <v>99</v>
      </c>
      <c r="AS171" s="56" t="s">
        <v>99</v>
      </c>
      <c r="AT171" s="56" t="s">
        <v>99</v>
      </c>
      <c r="AU171" s="56" t="s">
        <v>99</v>
      </c>
      <c r="AV171" s="56" t="s">
        <v>99</v>
      </c>
      <c r="AW171" s="56" t="s">
        <v>99</v>
      </c>
      <c r="AX171" s="56" t="s">
        <v>99</v>
      </c>
      <c r="AY171" s="56" t="s">
        <v>99</v>
      </c>
      <c r="AZ171" s="56" t="s">
        <v>99</v>
      </c>
      <c r="BA171" s="56" t="s">
        <v>99</v>
      </c>
      <c r="BB171" s="56" t="s">
        <v>99</v>
      </c>
      <c r="BC171" s="56" t="s">
        <v>99</v>
      </c>
      <c r="BD171" s="56" t="s">
        <v>99</v>
      </c>
      <c r="BE171" s="56" t="s">
        <v>99</v>
      </c>
      <c r="BF171" s="56" t="s">
        <v>99</v>
      </c>
      <c r="BG171" s="56" t="s">
        <v>99</v>
      </c>
      <c r="BH171" s="56" t="s">
        <v>99</v>
      </c>
      <c r="BI171" s="56" t="s">
        <v>99</v>
      </c>
      <c r="BJ171" s="56" t="s">
        <v>99</v>
      </c>
      <c r="BK171" s="56" t="s">
        <v>99</v>
      </c>
      <c r="BL171" s="56" t="s">
        <v>99</v>
      </c>
      <c r="BM171" s="56" t="s">
        <v>99</v>
      </c>
      <c r="BN171" s="56" t="s">
        <v>99</v>
      </c>
      <c r="BO171" s="56" t="s">
        <v>99</v>
      </c>
      <c r="BP171" s="62" t="s">
        <v>99</v>
      </c>
    </row>
    <row r="172" spans="2:68">
      <c r="B172" s="58">
        <v>6</v>
      </c>
      <c r="C172" s="59">
        <v>24</v>
      </c>
      <c r="D172" s="59" t="s">
        <v>104</v>
      </c>
      <c r="E172" s="60">
        <f>'[1]Master File'!B171</f>
        <v>46185</v>
      </c>
      <c r="F172" s="61" t="str">
        <f>'[1]Master File'!C171</f>
        <v>Lodge 5PM</v>
      </c>
      <c r="G172" s="39"/>
      <c r="I172" s="56" t="s">
        <v>99</v>
      </c>
      <c r="J172" s="56" t="s">
        <v>99</v>
      </c>
      <c r="K172" s="56" t="s">
        <v>99</v>
      </c>
      <c r="L172" s="63" t="s">
        <v>23</v>
      </c>
      <c r="M172" s="56" t="s">
        <v>99</v>
      </c>
      <c r="N172" s="56" t="s">
        <v>99</v>
      </c>
      <c r="O172" s="56" t="s">
        <v>99</v>
      </c>
      <c r="P172" s="56" t="s">
        <v>99</v>
      </c>
      <c r="Q172" s="56" t="s">
        <v>99</v>
      </c>
      <c r="R172" s="56" t="s">
        <v>99</v>
      </c>
      <c r="S172" s="56" t="s">
        <v>99</v>
      </c>
      <c r="T172" s="56" t="s">
        <v>99</v>
      </c>
      <c r="U172" s="56" t="s">
        <v>99</v>
      </c>
      <c r="V172" s="56" t="s">
        <v>99</v>
      </c>
      <c r="W172" s="56" t="s">
        <v>99</v>
      </c>
      <c r="X172" s="56" t="s">
        <v>99</v>
      </c>
      <c r="Y172" s="56" t="s">
        <v>23</v>
      </c>
      <c r="Z172" s="56" t="s">
        <v>99</v>
      </c>
      <c r="AA172" s="56" t="s">
        <v>99</v>
      </c>
      <c r="AB172" s="56" t="s">
        <v>23</v>
      </c>
      <c r="AC172" s="56" t="s">
        <v>23</v>
      </c>
      <c r="AD172" s="56" t="s">
        <v>99</v>
      </c>
      <c r="AE172" s="56" t="s">
        <v>99</v>
      </c>
      <c r="AF172" s="56" t="s">
        <v>99</v>
      </c>
      <c r="AG172" s="56" t="s">
        <v>23</v>
      </c>
      <c r="AH172" s="56" t="s">
        <v>99</v>
      </c>
      <c r="AI172" s="56" t="s">
        <v>99</v>
      </c>
      <c r="AJ172" s="56" t="s">
        <v>99</v>
      </c>
      <c r="AK172" s="63" t="s">
        <v>23</v>
      </c>
      <c r="AL172" s="56" t="s">
        <v>99</v>
      </c>
      <c r="AM172" s="56" t="s">
        <v>99</v>
      </c>
      <c r="AN172" s="56" t="s">
        <v>99</v>
      </c>
      <c r="AO172" s="56" t="s">
        <v>99</v>
      </c>
      <c r="AP172" s="56" t="s">
        <v>99</v>
      </c>
      <c r="AQ172" s="56" t="s">
        <v>99</v>
      </c>
      <c r="AR172" s="56" t="s">
        <v>99</v>
      </c>
      <c r="AS172" s="56" t="s">
        <v>99</v>
      </c>
      <c r="AT172" s="56" t="s">
        <v>99</v>
      </c>
      <c r="AU172" s="56" t="s">
        <v>99</v>
      </c>
      <c r="AV172" s="56" t="s">
        <v>99</v>
      </c>
      <c r="AW172" s="56" t="s">
        <v>99</v>
      </c>
      <c r="AX172" s="56" t="s">
        <v>99</v>
      </c>
      <c r="AY172" s="56" t="s">
        <v>99</v>
      </c>
      <c r="AZ172" s="56" t="s">
        <v>99</v>
      </c>
      <c r="BA172" s="56" t="s">
        <v>99</v>
      </c>
      <c r="BB172" s="56" t="s">
        <v>99</v>
      </c>
      <c r="BC172" s="56" t="s">
        <v>99</v>
      </c>
      <c r="BD172" s="56" t="s">
        <v>99</v>
      </c>
      <c r="BE172" s="56" t="s">
        <v>99</v>
      </c>
      <c r="BF172" s="56" t="s">
        <v>99</v>
      </c>
      <c r="BG172" s="56" t="s">
        <v>99</v>
      </c>
      <c r="BH172" s="56" t="s">
        <v>99</v>
      </c>
      <c r="BI172" s="56" t="s">
        <v>99</v>
      </c>
      <c r="BJ172" s="56" t="s">
        <v>99</v>
      </c>
      <c r="BK172" s="56" t="s">
        <v>99</v>
      </c>
      <c r="BL172" s="56" t="s">
        <v>99</v>
      </c>
      <c r="BM172" s="56" t="s">
        <v>99</v>
      </c>
      <c r="BN172" s="56" t="s">
        <v>99</v>
      </c>
      <c r="BO172" s="56" t="s">
        <v>99</v>
      </c>
      <c r="BP172" s="62" t="s">
        <v>99</v>
      </c>
    </row>
    <row r="173" spans="2:68">
      <c r="B173" s="58">
        <v>6</v>
      </c>
      <c r="C173" s="59">
        <v>24</v>
      </c>
      <c r="D173" s="59" t="s">
        <v>105</v>
      </c>
      <c r="E173" s="60">
        <f>'[1]Master File'!B172</f>
        <v>46186</v>
      </c>
      <c r="F173" s="61" t="str">
        <f>'[1]Master File'!C172</f>
        <v>Explorer 6PM</v>
      </c>
      <c r="G173" s="39"/>
      <c r="I173" s="63" t="s">
        <v>99</v>
      </c>
      <c r="J173" s="63" t="s">
        <v>99</v>
      </c>
      <c r="K173" s="63" t="s">
        <v>99</v>
      </c>
      <c r="L173" s="63" t="s">
        <v>23</v>
      </c>
      <c r="M173" s="63" t="s">
        <v>99</v>
      </c>
      <c r="N173" s="63" t="s">
        <v>99</v>
      </c>
      <c r="O173" s="63" t="s">
        <v>99</v>
      </c>
      <c r="P173" s="63" t="s">
        <v>99</v>
      </c>
      <c r="Q173" s="63" t="s">
        <v>99</v>
      </c>
      <c r="R173" s="63" t="s">
        <v>99</v>
      </c>
      <c r="S173" s="63" t="s">
        <v>99</v>
      </c>
      <c r="T173" s="63" t="s">
        <v>99</v>
      </c>
      <c r="U173" s="63" t="s">
        <v>99</v>
      </c>
      <c r="V173" s="63" t="s">
        <v>99</v>
      </c>
      <c r="W173" s="63" t="s">
        <v>99</v>
      </c>
      <c r="X173" s="63" t="s">
        <v>99</v>
      </c>
      <c r="Y173" s="56" t="s">
        <v>23</v>
      </c>
      <c r="Z173" s="63" t="s">
        <v>99</v>
      </c>
      <c r="AA173" s="63" t="s">
        <v>99</v>
      </c>
      <c r="AB173" s="63" t="s">
        <v>99</v>
      </c>
      <c r="AC173" s="63" t="s">
        <v>23</v>
      </c>
      <c r="AD173" s="63" t="s">
        <v>99</v>
      </c>
      <c r="AE173" s="63" t="s">
        <v>99</v>
      </c>
      <c r="AF173" s="63" t="s">
        <v>99</v>
      </c>
      <c r="AG173" s="63" t="s">
        <v>23</v>
      </c>
      <c r="AH173" s="63" t="s">
        <v>99</v>
      </c>
      <c r="AI173" s="63" t="s">
        <v>99</v>
      </c>
      <c r="AJ173" s="63" t="s">
        <v>99</v>
      </c>
      <c r="AK173" s="63" t="s">
        <v>23</v>
      </c>
      <c r="AL173" s="63" t="s">
        <v>99</v>
      </c>
      <c r="AM173" s="63" t="s">
        <v>99</v>
      </c>
      <c r="AN173" s="63" t="s">
        <v>99</v>
      </c>
      <c r="AO173" s="63" t="s">
        <v>99</v>
      </c>
      <c r="AP173" s="63" t="s">
        <v>99</v>
      </c>
      <c r="AQ173" s="63" t="s">
        <v>23</v>
      </c>
      <c r="AR173" s="63" t="s">
        <v>99</v>
      </c>
      <c r="AS173" s="63" t="s">
        <v>99</v>
      </c>
      <c r="AT173" s="63" t="s">
        <v>99</v>
      </c>
      <c r="AU173" s="63" t="s">
        <v>99</v>
      </c>
      <c r="AV173" s="63" t="s">
        <v>99</v>
      </c>
      <c r="AW173" s="63" t="s">
        <v>99</v>
      </c>
      <c r="AX173" s="63" t="s">
        <v>99</v>
      </c>
      <c r="AY173" s="63" t="s">
        <v>99</v>
      </c>
      <c r="AZ173" s="63" t="s">
        <v>99</v>
      </c>
      <c r="BA173" s="63" t="s">
        <v>99</v>
      </c>
      <c r="BB173" s="63" t="s">
        <v>99</v>
      </c>
      <c r="BC173" s="63" t="s">
        <v>99</v>
      </c>
      <c r="BD173" s="63" t="s">
        <v>99</v>
      </c>
      <c r="BE173" s="63" t="s">
        <v>99</v>
      </c>
      <c r="BF173" s="63" t="s">
        <v>99</v>
      </c>
      <c r="BG173" s="63" t="s">
        <v>99</v>
      </c>
      <c r="BH173" s="63" t="s">
        <v>99</v>
      </c>
      <c r="BI173" s="63" t="s">
        <v>99</v>
      </c>
      <c r="BJ173" s="63" t="s">
        <v>99</v>
      </c>
      <c r="BK173" s="63" t="s">
        <v>99</v>
      </c>
      <c r="BL173" s="63" t="s">
        <v>99</v>
      </c>
      <c r="BM173" s="63" t="s">
        <v>99</v>
      </c>
      <c r="BN173" s="63" t="s">
        <v>99</v>
      </c>
      <c r="BO173" s="63" t="s">
        <v>99</v>
      </c>
      <c r="BP173" s="64" t="s">
        <v>99</v>
      </c>
    </row>
    <row r="174" spans="2:68">
      <c r="B174" s="58">
        <v>6</v>
      </c>
      <c r="C174" s="59">
        <v>25</v>
      </c>
      <c r="D174" s="59" t="s">
        <v>98</v>
      </c>
      <c r="E174" s="60">
        <f>'[1]Master File'!B173</f>
        <v>46187</v>
      </c>
      <c r="F174" s="61" t="str">
        <f>'[1]Master File'!C173</f>
        <v>Explorer 6PM</v>
      </c>
      <c r="G174" s="39"/>
      <c r="I174" s="63" t="s">
        <v>99</v>
      </c>
      <c r="J174" s="63" t="s">
        <v>99</v>
      </c>
      <c r="K174" s="63" t="s">
        <v>99</v>
      </c>
      <c r="L174" s="63" t="s">
        <v>23</v>
      </c>
      <c r="M174" s="63" t="s">
        <v>99</v>
      </c>
      <c r="N174" s="63" t="s">
        <v>99</v>
      </c>
      <c r="O174" s="63" t="s">
        <v>99</v>
      </c>
      <c r="P174" s="63" t="s">
        <v>99</v>
      </c>
      <c r="Q174" s="63" t="s">
        <v>99</v>
      </c>
      <c r="R174" s="63" t="s">
        <v>99</v>
      </c>
      <c r="S174" s="63" t="s">
        <v>99</v>
      </c>
      <c r="T174" s="63" t="s">
        <v>99</v>
      </c>
      <c r="U174" s="63" t="s">
        <v>99</v>
      </c>
      <c r="V174" s="63" t="s">
        <v>99</v>
      </c>
      <c r="W174" s="63" t="s">
        <v>99</v>
      </c>
      <c r="X174" s="63" t="s">
        <v>99</v>
      </c>
      <c r="Y174" s="56" t="s">
        <v>23</v>
      </c>
      <c r="Z174" s="63" t="s">
        <v>99</v>
      </c>
      <c r="AA174" s="63" t="s">
        <v>99</v>
      </c>
      <c r="AB174" s="63" t="s">
        <v>99</v>
      </c>
      <c r="AC174" s="63" t="s">
        <v>23</v>
      </c>
      <c r="AD174" s="63" t="s">
        <v>99</v>
      </c>
      <c r="AE174" s="63" t="s">
        <v>99</v>
      </c>
      <c r="AF174" s="63" t="s">
        <v>99</v>
      </c>
      <c r="AG174" s="63" t="s">
        <v>23</v>
      </c>
      <c r="AH174" s="63" t="s">
        <v>99</v>
      </c>
      <c r="AI174" s="63" t="s">
        <v>99</v>
      </c>
      <c r="AJ174" s="63" t="s">
        <v>99</v>
      </c>
      <c r="AK174" s="63" t="s">
        <v>23</v>
      </c>
      <c r="AL174" s="63" t="s">
        <v>99</v>
      </c>
      <c r="AM174" s="63" t="s">
        <v>99</v>
      </c>
      <c r="AN174" s="63" t="s">
        <v>99</v>
      </c>
      <c r="AO174" s="63" t="s">
        <v>99</v>
      </c>
      <c r="AP174" s="63" t="s">
        <v>99</v>
      </c>
      <c r="AQ174" s="63" t="s">
        <v>23</v>
      </c>
      <c r="AR174" s="63" t="s">
        <v>99</v>
      </c>
      <c r="AS174" s="63" t="s">
        <v>99</v>
      </c>
      <c r="AT174" s="63" t="s">
        <v>99</v>
      </c>
      <c r="AU174" s="63" t="s">
        <v>99</v>
      </c>
      <c r="AV174" s="63" t="s">
        <v>99</v>
      </c>
      <c r="AW174" s="63" t="s">
        <v>99</v>
      </c>
      <c r="AX174" s="63" t="s">
        <v>99</v>
      </c>
      <c r="AY174" s="63" t="s">
        <v>99</v>
      </c>
      <c r="AZ174" s="63" t="s">
        <v>99</v>
      </c>
      <c r="BA174" s="63" t="s">
        <v>99</v>
      </c>
      <c r="BB174" s="63" t="s">
        <v>99</v>
      </c>
      <c r="BC174" s="63" t="s">
        <v>99</v>
      </c>
      <c r="BD174" s="63" t="s">
        <v>99</v>
      </c>
      <c r="BE174" s="63" t="s">
        <v>99</v>
      </c>
      <c r="BF174" s="63" t="s">
        <v>99</v>
      </c>
      <c r="BG174" s="63" t="s">
        <v>99</v>
      </c>
      <c r="BH174" s="63" t="s">
        <v>99</v>
      </c>
      <c r="BI174" s="63" t="s">
        <v>99</v>
      </c>
      <c r="BJ174" s="63" t="s">
        <v>99</v>
      </c>
      <c r="BK174" s="63" t="s">
        <v>99</v>
      </c>
      <c r="BL174" s="63" t="s">
        <v>99</v>
      </c>
      <c r="BM174" s="63" t="s">
        <v>99</v>
      </c>
      <c r="BN174" s="63" t="s">
        <v>99</v>
      </c>
      <c r="BO174" s="63" t="s">
        <v>99</v>
      </c>
      <c r="BP174" s="64" t="s">
        <v>99</v>
      </c>
    </row>
    <row r="175" spans="2:68">
      <c r="B175" s="58">
        <v>6</v>
      </c>
      <c r="C175" s="59">
        <v>25</v>
      </c>
      <c r="D175" s="59" t="s">
        <v>100</v>
      </c>
      <c r="E175" s="60">
        <f>'[1]Master File'!B174</f>
        <v>46188</v>
      </c>
      <c r="F175" s="61" t="str">
        <f>'[1]Master File'!C174</f>
        <v>Lodge 5PM</v>
      </c>
      <c r="G175" s="39"/>
      <c r="I175" s="56" t="s">
        <v>99</v>
      </c>
      <c r="J175" s="56" t="s">
        <v>99</v>
      </c>
      <c r="K175" s="56" t="s">
        <v>99</v>
      </c>
      <c r="L175" s="63" t="s">
        <v>23</v>
      </c>
      <c r="M175" s="56" t="s">
        <v>99</v>
      </c>
      <c r="N175" s="56" t="s">
        <v>99</v>
      </c>
      <c r="O175" s="56" t="s">
        <v>99</v>
      </c>
      <c r="P175" s="56" t="s">
        <v>99</v>
      </c>
      <c r="Q175" s="56" t="s">
        <v>99</v>
      </c>
      <c r="R175" s="56" t="s">
        <v>99</v>
      </c>
      <c r="S175" s="56" t="s">
        <v>99</v>
      </c>
      <c r="T175" s="56" t="s">
        <v>99</v>
      </c>
      <c r="U175" s="56" t="s">
        <v>99</v>
      </c>
      <c r="V175" s="56" t="s">
        <v>99</v>
      </c>
      <c r="W175" s="56" t="s">
        <v>99</v>
      </c>
      <c r="X175" s="56" t="s">
        <v>99</v>
      </c>
      <c r="Y175" s="56" t="s">
        <v>99</v>
      </c>
      <c r="Z175" s="56" t="s">
        <v>99</v>
      </c>
      <c r="AA175" s="56" t="s">
        <v>99</v>
      </c>
      <c r="AB175" s="56" t="s">
        <v>23</v>
      </c>
      <c r="AC175" s="56" t="s">
        <v>99</v>
      </c>
      <c r="AD175" s="56" t="s">
        <v>99</v>
      </c>
      <c r="AE175" s="56" t="s">
        <v>99</v>
      </c>
      <c r="AF175" s="56" t="s">
        <v>99</v>
      </c>
      <c r="AG175" s="56" t="s">
        <v>99</v>
      </c>
      <c r="AH175" s="56" t="s">
        <v>99</v>
      </c>
      <c r="AI175" s="56" t="s">
        <v>99</v>
      </c>
      <c r="AJ175" s="56" t="s">
        <v>99</v>
      </c>
      <c r="AK175" s="63" t="s">
        <v>23</v>
      </c>
      <c r="AL175" s="56" t="s">
        <v>99</v>
      </c>
      <c r="AM175" s="56" t="s">
        <v>99</v>
      </c>
      <c r="AN175" s="56" t="s">
        <v>99</v>
      </c>
      <c r="AO175" s="56" t="s">
        <v>99</v>
      </c>
      <c r="AP175" s="56" t="s">
        <v>99</v>
      </c>
      <c r="AQ175" s="56" t="s">
        <v>99</v>
      </c>
      <c r="AR175" s="56" t="s">
        <v>99</v>
      </c>
      <c r="AS175" s="56" t="s">
        <v>99</v>
      </c>
      <c r="AT175" s="56" t="s">
        <v>99</v>
      </c>
      <c r="AU175" s="56" t="s">
        <v>99</v>
      </c>
      <c r="AV175" s="56" t="s">
        <v>99</v>
      </c>
      <c r="AW175" s="56" t="s">
        <v>99</v>
      </c>
      <c r="AX175" s="56" t="s">
        <v>99</v>
      </c>
      <c r="AY175" s="56" t="s">
        <v>99</v>
      </c>
      <c r="AZ175" s="56" t="s">
        <v>99</v>
      </c>
      <c r="BA175" s="56" t="s">
        <v>99</v>
      </c>
      <c r="BB175" s="56" t="s">
        <v>99</v>
      </c>
      <c r="BC175" s="56" t="s">
        <v>99</v>
      </c>
      <c r="BD175" s="56" t="s">
        <v>99</v>
      </c>
      <c r="BE175" s="56" t="s">
        <v>99</v>
      </c>
      <c r="BF175" s="56" t="s">
        <v>99</v>
      </c>
      <c r="BG175" s="56" t="s">
        <v>99</v>
      </c>
      <c r="BH175" s="56" t="s">
        <v>99</v>
      </c>
      <c r="BI175" s="56" t="s">
        <v>99</v>
      </c>
      <c r="BJ175" s="56" t="s">
        <v>99</v>
      </c>
      <c r="BK175" s="56" t="s">
        <v>99</v>
      </c>
      <c r="BL175" s="56" t="s">
        <v>99</v>
      </c>
      <c r="BM175" s="56" t="s">
        <v>99</v>
      </c>
      <c r="BN175" s="56" t="s">
        <v>99</v>
      </c>
      <c r="BO175" s="56" t="s">
        <v>99</v>
      </c>
      <c r="BP175" s="62" t="s">
        <v>99</v>
      </c>
    </row>
    <row r="176" spans="2:68">
      <c r="B176" s="58">
        <v>6</v>
      </c>
      <c r="C176" s="59">
        <v>25</v>
      </c>
      <c r="D176" s="59" t="s">
        <v>101</v>
      </c>
      <c r="E176" s="60">
        <f>'[1]Master File'!B175</f>
        <v>46189</v>
      </c>
      <c r="F176" s="61" t="str">
        <f>'[1]Master File'!C175</f>
        <v>Lodge 5PM</v>
      </c>
      <c r="G176" s="39"/>
      <c r="I176" s="56" t="s">
        <v>99</v>
      </c>
      <c r="J176" s="56" t="s">
        <v>99</v>
      </c>
      <c r="K176" s="56" t="s">
        <v>99</v>
      </c>
      <c r="L176" s="63" t="s">
        <v>23</v>
      </c>
      <c r="M176" s="56" t="s">
        <v>99</v>
      </c>
      <c r="N176" s="56" t="s">
        <v>99</v>
      </c>
      <c r="O176" s="56" t="s">
        <v>99</v>
      </c>
      <c r="P176" s="56" t="s">
        <v>99</v>
      </c>
      <c r="Q176" s="56" t="s">
        <v>99</v>
      </c>
      <c r="R176" s="56" t="s">
        <v>99</v>
      </c>
      <c r="S176" s="56" t="s">
        <v>99</v>
      </c>
      <c r="T176" s="56" t="s">
        <v>99</v>
      </c>
      <c r="U176" s="56" t="s">
        <v>99</v>
      </c>
      <c r="V176" s="56" t="s">
        <v>99</v>
      </c>
      <c r="W176" s="56" t="s">
        <v>99</v>
      </c>
      <c r="X176" s="56" t="s">
        <v>99</v>
      </c>
      <c r="Y176" s="56" t="s">
        <v>99</v>
      </c>
      <c r="Z176" s="56" t="s">
        <v>99</v>
      </c>
      <c r="AA176" s="56" t="s">
        <v>99</v>
      </c>
      <c r="AB176" s="56" t="s">
        <v>23</v>
      </c>
      <c r="AC176" s="56" t="s">
        <v>23</v>
      </c>
      <c r="AD176" s="56" t="s">
        <v>99</v>
      </c>
      <c r="AE176" s="56" t="s">
        <v>99</v>
      </c>
      <c r="AF176" s="56" t="s">
        <v>99</v>
      </c>
      <c r="AG176" s="56" t="s">
        <v>99</v>
      </c>
      <c r="AH176" s="56" t="s">
        <v>99</v>
      </c>
      <c r="AI176" s="56" t="s">
        <v>99</v>
      </c>
      <c r="AJ176" s="56" t="s">
        <v>99</v>
      </c>
      <c r="AK176" s="63" t="s">
        <v>23</v>
      </c>
      <c r="AL176" s="56" t="s">
        <v>99</v>
      </c>
      <c r="AM176" s="56" t="s">
        <v>99</v>
      </c>
      <c r="AN176" s="56" t="s">
        <v>99</v>
      </c>
      <c r="AO176" s="56" t="s">
        <v>99</v>
      </c>
      <c r="AP176" s="56" t="s">
        <v>99</v>
      </c>
      <c r="AQ176" s="56" t="s">
        <v>99</v>
      </c>
      <c r="AR176" s="56" t="s">
        <v>99</v>
      </c>
      <c r="AS176" s="56" t="s">
        <v>99</v>
      </c>
      <c r="AT176" s="56" t="s">
        <v>99</v>
      </c>
      <c r="AU176" s="56" t="s">
        <v>99</v>
      </c>
      <c r="AV176" s="56" t="s">
        <v>99</v>
      </c>
      <c r="AW176" s="56" t="s">
        <v>99</v>
      </c>
      <c r="AX176" s="56" t="s">
        <v>99</v>
      </c>
      <c r="AY176" s="56" t="s">
        <v>99</v>
      </c>
      <c r="AZ176" s="56" t="s">
        <v>99</v>
      </c>
      <c r="BA176" s="56" t="s">
        <v>99</v>
      </c>
      <c r="BB176" s="56" t="s">
        <v>99</v>
      </c>
      <c r="BC176" s="56" t="s">
        <v>99</v>
      </c>
      <c r="BD176" s="56" t="s">
        <v>99</v>
      </c>
      <c r="BE176" s="56" t="s">
        <v>99</v>
      </c>
      <c r="BF176" s="56" t="s">
        <v>99</v>
      </c>
      <c r="BG176" s="56" t="s">
        <v>99</v>
      </c>
      <c r="BH176" s="56" t="s">
        <v>99</v>
      </c>
      <c r="BI176" s="56" t="s">
        <v>99</v>
      </c>
      <c r="BJ176" s="56" t="s">
        <v>99</v>
      </c>
      <c r="BK176" s="56" t="s">
        <v>99</v>
      </c>
      <c r="BL176" s="56" t="s">
        <v>99</v>
      </c>
      <c r="BM176" s="56" t="s">
        <v>99</v>
      </c>
      <c r="BN176" s="56" t="s">
        <v>99</v>
      </c>
      <c r="BO176" s="56" t="s">
        <v>99</v>
      </c>
      <c r="BP176" s="62" t="s">
        <v>99</v>
      </c>
    </row>
    <row r="177" spans="2:68">
      <c r="B177" s="58">
        <v>6</v>
      </c>
      <c r="C177" s="59">
        <v>25</v>
      </c>
      <c r="D177" s="59" t="s">
        <v>102</v>
      </c>
      <c r="E177" s="60">
        <f>'[1]Master File'!B176</f>
        <v>46190</v>
      </c>
      <c r="F177" s="61" t="str">
        <f>'[1]Master File'!C176</f>
        <v>Lodge 5PM</v>
      </c>
      <c r="G177" s="39"/>
      <c r="I177" s="56" t="s">
        <v>99</v>
      </c>
      <c r="J177" s="56" t="s">
        <v>99</v>
      </c>
      <c r="K177" s="56" t="s">
        <v>99</v>
      </c>
      <c r="L177" s="63" t="s">
        <v>23</v>
      </c>
      <c r="M177" s="56" t="s">
        <v>99</v>
      </c>
      <c r="N177" s="56" t="s">
        <v>99</v>
      </c>
      <c r="O177" s="56" t="s">
        <v>99</v>
      </c>
      <c r="P177" s="56" t="s">
        <v>99</v>
      </c>
      <c r="Q177" s="56" t="s">
        <v>99</v>
      </c>
      <c r="R177" s="56" t="s">
        <v>99</v>
      </c>
      <c r="S177" s="56" t="s">
        <v>99</v>
      </c>
      <c r="T177" s="56" t="s">
        <v>99</v>
      </c>
      <c r="U177" s="56" t="s">
        <v>99</v>
      </c>
      <c r="V177" s="56" t="s">
        <v>99</v>
      </c>
      <c r="W177" s="56" t="s">
        <v>99</v>
      </c>
      <c r="X177" s="56" t="s">
        <v>99</v>
      </c>
      <c r="Y177" s="56" t="s">
        <v>99</v>
      </c>
      <c r="Z177" s="56" t="s">
        <v>99</v>
      </c>
      <c r="AA177" s="56" t="s">
        <v>99</v>
      </c>
      <c r="AB177" s="56" t="s">
        <v>23</v>
      </c>
      <c r="AC177" s="56" t="s">
        <v>23</v>
      </c>
      <c r="AD177" s="56" t="s">
        <v>99</v>
      </c>
      <c r="AE177" s="56" t="s">
        <v>99</v>
      </c>
      <c r="AF177" s="56" t="s">
        <v>99</v>
      </c>
      <c r="AG177" s="56" t="s">
        <v>99</v>
      </c>
      <c r="AH177" s="56" t="s">
        <v>99</v>
      </c>
      <c r="AI177" s="56" t="s">
        <v>99</v>
      </c>
      <c r="AJ177" s="56" t="s">
        <v>99</v>
      </c>
      <c r="AK177" s="63" t="s">
        <v>23</v>
      </c>
      <c r="AL177" s="56" t="s">
        <v>99</v>
      </c>
      <c r="AM177" s="56" t="s">
        <v>99</v>
      </c>
      <c r="AN177" s="56" t="s">
        <v>99</v>
      </c>
      <c r="AO177" s="56" t="s">
        <v>99</v>
      </c>
      <c r="AP177" s="56" t="s">
        <v>99</v>
      </c>
      <c r="AQ177" s="56" t="s">
        <v>99</v>
      </c>
      <c r="AR177" s="56" t="s">
        <v>99</v>
      </c>
      <c r="AS177" s="56" t="s">
        <v>99</v>
      </c>
      <c r="AT177" s="56" t="s">
        <v>99</v>
      </c>
      <c r="AU177" s="56" t="s">
        <v>99</v>
      </c>
      <c r="AV177" s="56" t="s">
        <v>99</v>
      </c>
      <c r="AW177" s="56" t="s">
        <v>99</v>
      </c>
      <c r="AX177" s="56" t="s">
        <v>99</v>
      </c>
      <c r="AY177" s="56" t="s">
        <v>99</v>
      </c>
      <c r="AZ177" s="56" t="s">
        <v>99</v>
      </c>
      <c r="BA177" s="56" t="s">
        <v>99</v>
      </c>
      <c r="BB177" s="56" t="s">
        <v>99</v>
      </c>
      <c r="BC177" s="56" t="s">
        <v>99</v>
      </c>
      <c r="BD177" s="56" t="s">
        <v>99</v>
      </c>
      <c r="BE177" s="56" t="s">
        <v>99</v>
      </c>
      <c r="BF177" s="56" t="s">
        <v>99</v>
      </c>
      <c r="BG177" s="56" t="s">
        <v>99</v>
      </c>
      <c r="BH177" s="56" t="s">
        <v>99</v>
      </c>
      <c r="BI177" s="56" t="s">
        <v>99</v>
      </c>
      <c r="BJ177" s="56" t="s">
        <v>99</v>
      </c>
      <c r="BK177" s="56" t="s">
        <v>99</v>
      </c>
      <c r="BL177" s="56" t="s">
        <v>99</v>
      </c>
      <c r="BM177" s="56" t="s">
        <v>99</v>
      </c>
      <c r="BN177" s="56" t="s">
        <v>99</v>
      </c>
      <c r="BO177" s="56" t="s">
        <v>99</v>
      </c>
      <c r="BP177" s="62" t="s">
        <v>99</v>
      </c>
    </row>
    <row r="178" spans="2:68">
      <c r="B178" s="58">
        <v>6</v>
      </c>
      <c r="C178" s="59">
        <v>25</v>
      </c>
      <c r="D178" s="59" t="s">
        <v>103</v>
      </c>
      <c r="E178" s="60">
        <f>'[1]Master File'!B177</f>
        <v>46191</v>
      </c>
      <c r="F178" s="61" t="str">
        <f>'[1]Master File'!C177</f>
        <v>Lodge 5PM</v>
      </c>
      <c r="G178" s="39"/>
      <c r="I178" s="56" t="s">
        <v>99</v>
      </c>
      <c r="J178" s="56" t="s">
        <v>99</v>
      </c>
      <c r="K178" s="56" t="s">
        <v>99</v>
      </c>
      <c r="L178" s="63" t="s">
        <v>23</v>
      </c>
      <c r="M178" s="56" t="s">
        <v>99</v>
      </c>
      <c r="N178" s="56" t="s">
        <v>99</v>
      </c>
      <c r="O178" s="56" t="s">
        <v>99</v>
      </c>
      <c r="P178" s="56" t="s">
        <v>99</v>
      </c>
      <c r="Q178" s="56" t="s">
        <v>99</v>
      </c>
      <c r="R178" s="56" t="s">
        <v>99</v>
      </c>
      <c r="S178" s="56" t="s">
        <v>99</v>
      </c>
      <c r="T178" s="56" t="s">
        <v>99</v>
      </c>
      <c r="U178" s="56" t="s">
        <v>99</v>
      </c>
      <c r="V178" s="56" t="s">
        <v>99</v>
      </c>
      <c r="W178" s="56" t="s">
        <v>99</v>
      </c>
      <c r="X178" s="56" t="s">
        <v>99</v>
      </c>
      <c r="Y178" s="56" t="s">
        <v>99</v>
      </c>
      <c r="Z178" s="56" t="s">
        <v>99</v>
      </c>
      <c r="AA178" s="56" t="s">
        <v>99</v>
      </c>
      <c r="AB178" s="56" t="s">
        <v>23</v>
      </c>
      <c r="AC178" s="56" t="s">
        <v>23</v>
      </c>
      <c r="AD178" s="56" t="s">
        <v>99</v>
      </c>
      <c r="AE178" s="56" t="s">
        <v>99</v>
      </c>
      <c r="AF178" s="56" t="s">
        <v>99</v>
      </c>
      <c r="AG178" s="56" t="s">
        <v>99</v>
      </c>
      <c r="AH178" s="56" t="s">
        <v>99</v>
      </c>
      <c r="AI178" s="56" t="s">
        <v>99</v>
      </c>
      <c r="AJ178" s="56" t="s">
        <v>99</v>
      </c>
      <c r="AK178" s="63" t="s">
        <v>23</v>
      </c>
      <c r="AL178" s="56" t="s">
        <v>99</v>
      </c>
      <c r="AM178" s="56" t="s">
        <v>99</v>
      </c>
      <c r="AN178" s="56" t="s">
        <v>99</v>
      </c>
      <c r="AO178" s="56" t="s">
        <v>99</v>
      </c>
      <c r="AP178" s="56" t="s">
        <v>99</v>
      </c>
      <c r="AQ178" s="56" t="s">
        <v>99</v>
      </c>
      <c r="AR178" s="56" t="s">
        <v>99</v>
      </c>
      <c r="AS178" s="56" t="s">
        <v>99</v>
      </c>
      <c r="AT178" s="56" t="s">
        <v>99</v>
      </c>
      <c r="AU178" s="56" t="s">
        <v>99</v>
      </c>
      <c r="AV178" s="56" t="s">
        <v>99</v>
      </c>
      <c r="AW178" s="56" t="s">
        <v>99</v>
      </c>
      <c r="AX178" s="56" t="s">
        <v>99</v>
      </c>
      <c r="AY178" s="56" t="s">
        <v>99</v>
      </c>
      <c r="AZ178" s="56" t="s">
        <v>99</v>
      </c>
      <c r="BA178" s="56" t="s">
        <v>99</v>
      </c>
      <c r="BB178" s="56" t="s">
        <v>99</v>
      </c>
      <c r="BC178" s="56" t="s">
        <v>99</v>
      </c>
      <c r="BD178" s="56" t="s">
        <v>99</v>
      </c>
      <c r="BE178" s="56" t="s">
        <v>99</v>
      </c>
      <c r="BF178" s="56" t="s">
        <v>99</v>
      </c>
      <c r="BG178" s="56" t="s">
        <v>99</v>
      </c>
      <c r="BH178" s="56" t="s">
        <v>99</v>
      </c>
      <c r="BI178" s="56" t="s">
        <v>99</v>
      </c>
      <c r="BJ178" s="56" t="s">
        <v>99</v>
      </c>
      <c r="BK178" s="56" t="s">
        <v>99</v>
      </c>
      <c r="BL178" s="56" t="s">
        <v>99</v>
      </c>
      <c r="BM178" s="56" t="s">
        <v>99</v>
      </c>
      <c r="BN178" s="56" t="s">
        <v>99</v>
      </c>
      <c r="BO178" s="56" t="s">
        <v>99</v>
      </c>
      <c r="BP178" s="62" t="s">
        <v>99</v>
      </c>
    </row>
    <row r="179" spans="2:68">
      <c r="B179" s="58">
        <v>6</v>
      </c>
      <c r="C179" s="59">
        <v>25</v>
      </c>
      <c r="D179" s="59" t="s">
        <v>104</v>
      </c>
      <c r="E179" s="60">
        <f>'[1]Master File'!B178</f>
        <v>46192</v>
      </c>
      <c r="F179" s="61" t="str">
        <f>'[1]Master File'!C178</f>
        <v>Explorer 5PM</v>
      </c>
      <c r="G179" s="39"/>
      <c r="I179" s="56" t="s">
        <v>99</v>
      </c>
      <c r="J179" s="56" t="s">
        <v>99</v>
      </c>
      <c r="K179" s="56" t="s">
        <v>99</v>
      </c>
      <c r="L179" s="63" t="s">
        <v>23</v>
      </c>
      <c r="M179" s="56" t="s">
        <v>99</v>
      </c>
      <c r="N179" s="56" t="s">
        <v>99</v>
      </c>
      <c r="O179" s="56" t="s">
        <v>99</v>
      </c>
      <c r="P179" s="56" t="s">
        <v>99</v>
      </c>
      <c r="Q179" s="56" t="s">
        <v>99</v>
      </c>
      <c r="R179" s="56" t="s">
        <v>99</v>
      </c>
      <c r="S179" s="56" t="s">
        <v>99</v>
      </c>
      <c r="T179" s="56" t="s">
        <v>99</v>
      </c>
      <c r="U179" s="56" t="s">
        <v>99</v>
      </c>
      <c r="V179" s="56" t="s">
        <v>99</v>
      </c>
      <c r="W179" s="56" t="s">
        <v>99</v>
      </c>
      <c r="X179" s="56" t="s">
        <v>99</v>
      </c>
      <c r="Y179" s="56" t="s">
        <v>99</v>
      </c>
      <c r="Z179" s="56" t="s">
        <v>99</v>
      </c>
      <c r="AA179" s="56" t="s">
        <v>99</v>
      </c>
      <c r="AB179" s="56" t="s">
        <v>23</v>
      </c>
      <c r="AC179" s="56" t="s">
        <v>23</v>
      </c>
      <c r="AD179" s="56" t="s">
        <v>99</v>
      </c>
      <c r="AE179" s="56" t="s">
        <v>99</v>
      </c>
      <c r="AF179" s="56" t="s">
        <v>99</v>
      </c>
      <c r="AG179" s="56" t="s">
        <v>99</v>
      </c>
      <c r="AH179" s="56" t="s">
        <v>99</v>
      </c>
      <c r="AI179" s="56" t="s">
        <v>99</v>
      </c>
      <c r="AJ179" s="56" t="s">
        <v>99</v>
      </c>
      <c r="AK179" s="63" t="s">
        <v>23</v>
      </c>
      <c r="AL179" s="56" t="s">
        <v>99</v>
      </c>
      <c r="AM179" s="56" t="s">
        <v>99</v>
      </c>
      <c r="AN179" s="56" t="s">
        <v>99</v>
      </c>
      <c r="AO179" s="56" t="s">
        <v>99</v>
      </c>
      <c r="AP179" s="56" t="s">
        <v>99</v>
      </c>
      <c r="AQ179" s="56" t="s">
        <v>99</v>
      </c>
      <c r="AR179" s="56" t="s">
        <v>99</v>
      </c>
      <c r="AS179" s="56" t="s">
        <v>99</v>
      </c>
      <c r="AT179" s="56" t="s">
        <v>99</v>
      </c>
      <c r="AU179" s="56" t="s">
        <v>99</v>
      </c>
      <c r="AV179" s="56" t="s">
        <v>99</v>
      </c>
      <c r="AW179" s="56" t="s">
        <v>99</v>
      </c>
      <c r="AX179" s="56" t="s">
        <v>99</v>
      </c>
      <c r="AY179" s="56" t="s">
        <v>99</v>
      </c>
      <c r="AZ179" s="56" t="s">
        <v>99</v>
      </c>
      <c r="BA179" s="56" t="s">
        <v>99</v>
      </c>
      <c r="BB179" s="56" t="s">
        <v>99</v>
      </c>
      <c r="BC179" s="56" t="s">
        <v>99</v>
      </c>
      <c r="BD179" s="56" t="s">
        <v>99</v>
      </c>
      <c r="BE179" s="56" t="s">
        <v>99</v>
      </c>
      <c r="BF179" s="56" t="s">
        <v>99</v>
      </c>
      <c r="BG179" s="56" t="s">
        <v>99</v>
      </c>
      <c r="BH179" s="56" t="s">
        <v>99</v>
      </c>
      <c r="BI179" s="56" t="s">
        <v>99</v>
      </c>
      <c r="BJ179" s="56" t="s">
        <v>99</v>
      </c>
      <c r="BK179" s="56" t="s">
        <v>99</v>
      </c>
      <c r="BL179" s="56" t="s">
        <v>99</v>
      </c>
      <c r="BM179" s="56" t="s">
        <v>99</v>
      </c>
      <c r="BN179" s="56" t="s">
        <v>99</v>
      </c>
      <c r="BO179" s="56" t="s">
        <v>99</v>
      </c>
      <c r="BP179" s="62" t="s">
        <v>99</v>
      </c>
    </row>
    <row r="180" spans="2:68">
      <c r="B180" s="58">
        <v>6</v>
      </c>
      <c r="C180" s="59">
        <v>25</v>
      </c>
      <c r="D180" s="59" t="s">
        <v>105</v>
      </c>
      <c r="E180" s="60">
        <f>'[1]Master File'!B179</f>
        <v>46193</v>
      </c>
      <c r="F180" s="61" t="str">
        <f>'[1]Master File'!C179</f>
        <v>Explorer 6PM</v>
      </c>
      <c r="G180" s="39"/>
      <c r="I180" s="63" t="s">
        <v>99</v>
      </c>
      <c r="J180" s="63" t="s">
        <v>99</v>
      </c>
      <c r="K180" s="63" t="s">
        <v>99</v>
      </c>
      <c r="L180" s="63" t="s">
        <v>23</v>
      </c>
      <c r="M180" s="63" t="s">
        <v>99</v>
      </c>
      <c r="N180" s="63" t="s">
        <v>99</v>
      </c>
      <c r="O180" s="63" t="s">
        <v>99</v>
      </c>
      <c r="P180" s="63" t="s">
        <v>99</v>
      </c>
      <c r="Q180" s="63" t="s">
        <v>99</v>
      </c>
      <c r="R180" s="63" t="s">
        <v>99</v>
      </c>
      <c r="S180" s="63" t="s">
        <v>99</v>
      </c>
      <c r="T180" s="63" t="s">
        <v>99</v>
      </c>
      <c r="U180" s="63" t="s">
        <v>99</v>
      </c>
      <c r="V180" s="63" t="s">
        <v>99</v>
      </c>
      <c r="W180" s="63" t="s">
        <v>99</v>
      </c>
      <c r="X180" s="63" t="s">
        <v>99</v>
      </c>
      <c r="Y180" s="56" t="s">
        <v>23</v>
      </c>
      <c r="Z180" s="63" t="s">
        <v>99</v>
      </c>
      <c r="AA180" s="63" t="s">
        <v>99</v>
      </c>
      <c r="AB180" s="63" t="s">
        <v>99</v>
      </c>
      <c r="AC180" s="63" t="s">
        <v>23</v>
      </c>
      <c r="AD180" s="63" t="s">
        <v>99</v>
      </c>
      <c r="AE180" s="63" t="s">
        <v>99</v>
      </c>
      <c r="AF180" s="63" t="s">
        <v>99</v>
      </c>
      <c r="AG180" s="63" t="s">
        <v>23</v>
      </c>
      <c r="AH180" s="63" t="s">
        <v>99</v>
      </c>
      <c r="AI180" s="63" t="s">
        <v>99</v>
      </c>
      <c r="AJ180" s="63" t="s">
        <v>99</v>
      </c>
      <c r="AK180" s="63" t="s">
        <v>23</v>
      </c>
      <c r="AL180" s="63" t="s">
        <v>99</v>
      </c>
      <c r="AM180" s="63" t="s">
        <v>99</v>
      </c>
      <c r="AN180" s="63" t="s">
        <v>99</v>
      </c>
      <c r="AO180" s="63" t="s">
        <v>99</v>
      </c>
      <c r="AP180" s="63" t="s">
        <v>99</v>
      </c>
      <c r="AQ180" s="63" t="s">
        <v>23</v>
      </c>
      <c r="AR180" s="63" t="s">
        <v>99</v>
      </c>
      <c r="AS180" s="63" t="s">
        <v>99</v>
      </c>
      <c r="AT180" s="63" t="s">
        <v>99</v>
      </c>
      <c r="AU180" s="63" t="s">
        <v>99</v>
      </c>
      <c r="AV180" s="63" t="s">
        <v>99</v>
      </c>
      <c r="AW180" s="63" t="s">
        <v>99</v>
      </c>
      <c r="AX180" s="63" t="s">
        <v>99</v>
      </c>
      <c r="AY180" s="63" t="s">
        <v>99</v>
      </c>
      <c r="AZ180" s="63" t="s">
        <v>99</v>
      </c>
      <c r="BA180" s="63" t="s">
        <v>99</v>
      </c>
      <c r="BB180" s="63" t="s">
        <v>99</v>
      </c>
      <c r="BC180" s="63" t="s">
        <v>99</v>
      </c>
      <c r="BD180" s="63" t="s">
        <v>99</v>
      </c>
      <c r="BE180" s="63" t="s">
        <v>99</v>
      </c>
      <c r="BF180" s="63" t="s">
        <v>99</v>
      </c>
      <c r="BG180" s="63" t="s">
        <v>99</v>
      </c>
      <c r="BH180" s="63" t="s">
        <v>99</v>
      </c>
      <c r="BI180" s="63" t="s">
        <v>99</v>
      </c>
      <c r="BJ180" s="63" t="s">
        <v>99</v>
      </c>
      <c r="BK180" s="63" t="s">
        <v>99</v>
      </c>
      <c r="BL180" s="63" t="s">
        <v>99</v>
      </c>
      <c r="BM180" s="63" t="s">
        <v>99</v>
      </c>
      <c r="BN180" s="63" t="s">
        <v>99</v>
      </c>
      <c r="BO180" s="63" t="s">
        <v>99</v>
      </c>
      <c r="BP180" s="64" t="s">
        <v>99</v>
      </c>
    </row>
    <row r="181" spans="2:68">
      <c r="B181" s="58">
        <v>6</v>
      </c>
      <c r="C181" s="59">
        <v>26</v>
      </c>
      <c r="D181" s="59" t="s">
        <v>98</v>
      </c>
      <c r="E181" s="60">
        <f>'[1]Master File'!B180</f>
        <v>46194</v>
      </c>
      <c r="F181" s="61" t="str">
        <f>'[1]Master File'!C180</f>
        <v>Explorer 6PM</v>
      </c>
      <c r="G181" s="39"/>
      <c r="I181" s="63" t="s">
        <v>99</v>
      </c>
      <c r="J181" s="63" t="s">
        <v>99</v>
      </c>
      <c r="K181" s="63" t="s">
        <v>99</v>
      </c>
      <c r="L181" s="63" t="s">
        <v>23</v>
      </c>
      <c r="M181" s="63" t="s">
        <v>99</v>
      </c>
      <c r="N181" s="63" t="s">
        <v>99</v>
      </c>
      <c r="O181" s="63" t="s">
        <v>99</v>
      </c>
      <c r="P181" s="63" t="s">
        <v>99</v>
      </c>
      <c r="Q181" s="63" t="s">
        <v>99</v>
      </c>
      <c r="R181" s="63" t="s">
        <v>99</v>
      </c>
      <c r="S181" s="63" t="s">
        <v>99</v>
      </c>
      <c r="T181" s="63" t="s">
        <v>99</v>
      </c>
      <c r="U181" s="63" t="s">
        <v>99</v>
      </c>
      <c r="V181" s="63" t="s">
        <v>99</v>
      </c>
      <c r="W181" s="63" t="s">
        <v>99</v>
      </c>
      <c r="X181" s="63" t="s">
        <v>99</v>
      </c>
      <c r="Y181" s="56" t="s">
        <v>23</v>
      </c>
      <c r="Z181" s="63" t="s">
        <v>99</v>
      </c>
      <c r="AA181" s="63" t="s">
        <v>99</v>
      </c>
      <c r="AB181" s="63" t="s">
        <v>99</v>
      </c>
      <c r="AC181" s="63" t="s">
        <v>23</v>
      </c>
      <c r="AD181" s="63" t="s">
        <v>99</v>
      </c>
      <c r="AE181" s="63" t="s">
        <v>99</v>
      </c>
      <c r="AF181" s="63" t="s">
        <v>99</v>
      </c>
      <c r="AG181" s="63" t="s">
        <v>23</v>
      </c>
      <c r="AH181" s="63" t="s">
        <v>99</v>
      </c>
      <c r="AI181" s="63" t="s">
        <v>99</v>
      </c>
      <c r="AJ181" s="63" t="s">
        <v>99</v>
      </c>
      <c r="AK181" s="63" t="s">
        <v>23</v>
      </c>
      <c r="AL181" s="63" t="s">
        <v>99</v>
      </c>
      <c r="AM181" s="63" t="s">
        <v>99</v>
      </c>
      <c r="AN181" s="63" t="s">
        <v>99</v>
      </c>
      <c r="AO181" s="63" t="s">
        <v>99</v>
      </c>
      <c r="AP181" s="63" t="s">
        <v>99</v>
      </c>
      <c r="AQ181" s="63" t="s">
        <v>23</v>
      </c>
      <c r="AR181" s="63" t="s">
        <v>99</v>
      </c>
      <c r="AS181" s="63" t="s">
        <v>99</v>
      </c>
      <c r="AT181" s="63" t="s">
        <v>99</v>
      </c>
      <c r="AU181" s="63" t="s">
        <v>99</v>
      </c>
      <c r="AV181" s="63" t="s">
        <v>99</v>
      </c>
      <c r="AW181" s="63" t="s">
        <v>99</v>
      </c>
      <c r="AX181" s="63" t="s">
        <v>99</v>
      </c>
      <c r="AY181" s="63" t="s">
        <v>99</v>
      </c>
      <c r="AZ181" s="63" t="s">
        <v>99</v>
      </c>
      <c r="BA181" s="63" t="s">
        <v>99</v>
      </c>
      <c r="BB181" s="63" t="s">
        <v>99</v>
      </c>
      <c r="BC181" s="63" t="s">
        <v>99</v>
      </c>
      <c r="BD181" s="63" t="s">
        <v>99</v>
      </c>
      <c r="BE181" s="63" t="s">
        <v>99</v>
      </c>
      <c r="BF181" s="63" t="s">
        <v>99</v>
      </c>
      <c r="BG181" s="63" t="s">
        <v>99</v>
      </c>
      <c r="BH181" s="63" t="s">
        <v>99</v>
      </c>
      <c r="BI181" s="63" t="s">
        <v>99</v>
      </c>
      <c r="BJ181" s="63" t="s">
        <v>99</v>
      </c>
      <c r="BK181" s="63" t="s">
        <v>99</v>
      </c>
      <c r="BL181" s="63" t="s">
        <v>99</v>
      </c>
      <c r="BM181" s="63" t="s">
        <v>99</v>
      </c>
      <c r="BN181" s="63" t="s">
        <v>99</v>
      </c>
      <c r="BO181" s="63" t="s">
        <v>99</v>
      </c>
      <c r="BP181" s="64" t="s">
        <v>99</v>
      </c>
    </row>
    <row r="182" spans="2:68">
      <c r="B182" s="58">
        <v>6</v>
      </c>
      <c r="C182" s="59">
        <v>26</v>
      </c>
      <c r="D182" s="59" t="s">
        <v>100</v>
      </c>
      <c r="E182" s="60">
        <f>'[1]Master File'!B181</f>
        <v>46195</v>
      </c>
      <c r="F182" s="61" t="str">
        <f>'[1]Master File'!C181</f>
        <v>Explorer 5PM</v>
      </c>
      <c r="G182" s="39"/>
      <c r="I182" s="56" t="s">
        <v>99</v>
      </c>
      <c r="J182" s="56" t="s">
        <v>99</v>
      </c>
      <c r="K182" s="56" t="s">
        <v>99</v>
      </c>
      <c r="L182" s="63" t="s">
        <v>23</v>
      </c>
      <c r="M182" s="56" t="s">
        <v>99</v>
      </c>
      <c r="N182" s="56" t="s">
        <v>99</v>
      </c>
      <c r="O182" s="56" t="s">
        <v>99</v>
      </c>
      <c r="P182" s="56" t="s">
        <v>99</v>
      </c>
      <c r="Q182" s="56" t="s">
        <v>99</v>
      </c>
      <c r="R182" s="56" t="s">
        <v>99</v>
      </c>
      <c r="S182" s="56" t="s">
        <v>99</v>
      </c>
      <c r="T182" s="56" t="s">
        <v>99</v>
      </c>
      <c r="U182" s="56" t="s">
        <v>99</v>
      </c>
      <c r="V182" s="56" t="s">
        <v>99</v>
      </c>
      <c r="W182" s="56" t="s">
        <v>99</v>
      </c>
      <c r="X182" s="56" t="s">
        <v>99</v>
      </c>
      <c r="Y182" s="56" t="s">
        <v>99</v>
      </c>
      <c r="Z182" s="56" t="s">
        <v>99</v>
      </c>
      <c r="AA182" s="56" t="s">
        <v>99</v>
      </c>
      <c r="AB182" s="56" t="s">
        <v>23</v>
      </c>
      <c r="AC182" s="56" t="s">
        <v>99</v>
      </c>
      <c r="AD182" s="56" t="s">
        <v>99</v>
      </c>
      <c r="AE182" s="56" t="s">
        <v>99</v>
      </c>
      <c r="AF182" s="56" t="s">
        <v>99</v>
      </c>
      <c r="AG182" s="56" t="s">
        <v>99</v>
      </c>
      <c r="AH182" s="56" t="s">
        <v>99</v>
      </c>
      <c r="AI182" s="56" t="s">
        <v>99</v>
      </c>
      <c r="AJ182" s="56" t="s">
        <v>99</v>
      </c>
      <c r="AK182" s="63" t="s">
        <v>23</v>
      </c>
      <c r="AL182" s="56" t="s">
        <v>99</v>
      </c>
      <c r="AM182" s="56" t="s">
        <v>99</v>
      </c>
      <c r="AN182" s="56" t="s">
        <v>99</v>
      </c>
      <c r="AO182" s="56" t="s">
        <v>99</v>
      </c>
      <c r="AP182" s="56" t="s">
        <v>99</v>
      </c>
      <c r="AQ182" s="56" t="s">
        <v>99</v>
      </c>
      <c r="AR182" s="56" t="s">
        <v>99</v>
      </c>
      <c r="AS182" s="56" t="s">
        <v>99</v>
      </c>
      <c r="AT182" s="56" t="s">
        <v>99</v>
      </c>
      <c r="AU182" s="56" t="s">
        <v>99</v>
      </c>
      <c r="AV182" s="56" t="s">
        <v>99</v>
      </c>
      <c r="AW182" s="56" t="s">
        <v>99</v>
      </c>
      <c r="AX182" s="56" t="s">
        <v>99</v>
      </c>
      <c r="AY182" s="56" t="s">
        <v>99</v>
      </c>
      <c r="AZ182" s="56" t="s">
        <v>99</v>
      </c>
      <c r="BA182" s="56" t="s">
        <v>99</v>
      </c>
      <c r="BB182" s="56" t="s">
        <v>99</v>
      </c>
      <c r="BC182" s="56" t="s">
        <v>99</v>
      </c>
      <c r="BD182" s="56" t="s">
        <v>99</v>
      </c>
      <c r="BE182" s="56" t="s">
        <v>99</v>
      </c>
      <c r="BF182" s="56" t="s">
        <v>99</v>
      </c>
      <c r="BG182" s="56" t="s">
        <v>99</v>
      </c>
      <c r="BH182" s="56" t="s">
        <v>99</v>
      </c>
      <c r="BI182" s="56" t="s">
        <v>99</v>
      </c>
      <c r="BJ182" s="56" t="s">
        <v>99</v>
      </c>
      <c r="BK182" s="56" t="s">
        <v>99</v>
      </c>
      <c r="BL182" s="56" t="s">
        <v>99</v>
      </c>
      <c r="BM182" s="56" t="s">
        <v>99</v>
      </c>
      <c r="BN182" s="56" t="s">
        <v>99</v>
      </c>
      <c r="BO182" s="56" t="s">
        <v>99</v>
      </c>
      <c r="BP182" s="62" t="s">
        <v>99</v>
      </c>
    </row>
    <row r="183" spans="2:68">
      <c r="B183" s="58">
        <v>6</v>
      </c>
      <c r="C183" s="59">
        <v>26</v>
      </c>
      <c r="D183" s="59" t="s">
        <v>101</v>
      </c>
      <c r="E183" s="60">
        <f>'[1]Master File'!B182</f>
        <v>46196</v>
      </c>
      <c r="F183" s="61" t="str">
        <f>'[1]Master File'!C182</f>
        <v>Explorer 5PM</v>
      </c>
      <c r="G183" s="39"/>
      <c r="I183" s="56" t="s">
        <v>99</v>
      </c>
      <c r="J183" s="56" t="s">
        <v>99</v>
      </c>
      <c r="K183" s="56" t="s">
        <v>99</v>
      </c>
      <c r="L183" s="63" t="s">
        <v>23</v>
      </c>
      <c r="M183" s="56" t="s">
        <v>99</v>
      </c>
      <c r="N183" s="56" t="s">
        <v>99</v>
      </c>
      <c r="O183" s="56" t="s">
        <v>99</v>
      </c>
      <c r="P183" s="56" t="s">
        <v>99</v>
      </c>
      <c r="Q183" s="56" t="s">
        <v>99</v>
      </c>
      <c r="R183" s="56" t="s">
        <v>99</v>
      </c>
      <c r="S183" s="56" t="s">
        <v>99</v>
      </c>
      <c r="T183" s="56" t="s">
        <v>99</v>
      </c>
      <c r="U183" s="56" t="s">
        <v>99</v>
      </c>
      <c r="V183" s="56" t="s">
        <v>99</v>
      </c>
      <c r="W183" s="56" t="s">
        <v>99</v>
      </c>
      <c r="X183" s="56" t="s">
        <v>99</v>
      </c>
      <c r="Y183" s="56" t="s">
        <v>99</v>
      </c>
      <c r="Z183" s="56" t="s">
        <v>99</v>
      </c>
      <c r="AA183" s="56" t="s">
        <v>99</v>
      </c>
      <c r="AB183" s="56" t="s">
        <v>23</v>
      </c>
      <c r="AC183" s="56" t="s">
        <v>23</v>
      </c>
      <c r="AD183" s="56" t="s">
        <v>99</v>
      </c>
      <c r="AE183" s="56" t="s">
        <v>99</v>
      </c>
      <c r="AF183" s="56" t="s">
        <v>99</v>
      </c>
      <c r="AG183" s="56" t="s">
        <v>99</v>
      </c>
      <c r="AH183" s="56" t="s">
        <v>99</v>
      </c>
      <c r="AI183" s="56" t="s">
        <v>99</v>
      </c>
      <c r="AJ183" s="56" t="s">
        <v>99</v>
      </c>
      <c r="AK183" s="63" t="s">
        <v>23</v>
      </c>
      <c r="AL183" s="56" t="s">
        <v>99</v>
      </c>
      <c r="AM183" s="56" t="s">
        <v>99</v>
      </c>
      <c r="AN183" s="56" t="s">
        <v>99</v>
      </c>
      <c r="AO183" s="56" t="s">
        <v>99</v>
      </c>
      <c r="AP183" s="56" t="s">
        <v>99</v>
      </c>
      <c r="AQ183" s="56" t="s">
        <v>99</v>
      </c>
      <c r="AR183" s="56" t="s">
        <v>99</v>
      </c>
      <c r="AS183" s="56" t="s">
        <v>99</v>
      </c>
      <c r="AT183" s="56" t="s">
        <v>99</v>
      </c>
      <c r="AU183" s="56" t="s">
        <v>99</v>
      </c>
      <c r="AV183" s="56" t="s">
        <v>99</v>
      </c>
      <c r="AW183" s="56" t="s">
        <v>99</v>
      </c>
      <c r="AX183" s="56" t="s">
        <v>99</v>
      </c>
      <c r="AY183" s="56" t="s">
        <v>99</v>
      </c>
      <c r="AZ183" s="56" t="s">
        <v>99</v>
      </c>
      <c r="BA183" s="56" t="s">
        <v>99</v>
      </c>
      <c r="BB183" s="56" t="s">
        <v>99</v>
      </c>
      <c r="BC183" s="56" t="s">
        <v>99</v>
      </c>
      <c r="BD183" s="56" t="s">
        <v>99</v>
      </c>
      <c r="BE183" s="56" t="s">
        <v>99</v>
      </c>
      <c r="BF183" s="56" t="s">
        <v>99</v>
      </c>
      <c r="BG183" s="56" t="s">
        <v>99</v>
      </c>
      <c r="BH183" s="56" t="s">
        <v>99</v>
      </c>
      <c r="BI183" s="56" t="s">
        <v>99</v>
      </c>
      <c r="BJ183" s="56" t="s">
        <v>99</v>
      </c>
      <c r="BK183" s="56" t="s">
        <v>99</v>
      </c>
      <c r="BL183" s="56" t="s">
        <v>99</v>
      </c>
      <c r="BM183" s="56" t="s">
        <v>99</v>
      </c>
      <c r="BN183" s="56" t="s">
        <v>99</v>
      </c>
      <c r="BO183" s="56" t="s">
        <v>99</v>
      </c>
      <c r="BP183" s="62" t="s">
        <v>99</v>
      </c>
    </row>
    <row r="184" spans="2:68">
      <c r="B184" s="58">
        <v>6</v>
      </c>
      <c r="C184" s="59">
        <v>26</v>
      </c>
      <c r="D184" s="59" t="s">
        <v>102</v>
      </c>
      <c r="E184" s="60">
        <f>'[1]Master File'!B183</f>
        <v>46197</v>
      </c>
      <c r="F184" s="61" t="str">
        <f>'[1]Master File'!C183</f>
        <v>Explorer 5PM</v>
      </c>
      <c r="G184" s="39"/>
      <c r="I184" s="56" t="s">
        <v>99</v>
      </c>
      <c r="J184" s="56" t="s">
        <v>99</v>
      </c>
      <c r="K184" s="56" t="s">
        <v>99</v>
      </c>
      <c r="L184" s="63" t="s">
        <v>23</v>
      </c>
      <c r="M184" s="56" t="s">
        <v>99</v>
      </c>
      <c r="N184" s="56" t="s">
        <v>99</v>
      </c>
      <c r="O184" s="56" t="s">
        <v>99</v>
      </c>
      <c r="P184" s="56" t="s">
        <v>99</v>
      </c>
      <c r="Q184" s="56" t="s">
        <v>99</v>
      </c>
      <c r="R184" s="56" t="s">
        <v>99</v>
      </c>
      <c r="S184" s="56" t="s">
        <v>99</v>
      </c>
      <c r="T184" s="56" t="s">
        <v>99</v>
      </c>
      <c r="U184" s="56" t="s">
        <v>99</v>
      </c>
      <c r="V184" s="56" t="s">
        <v>99</v>
      </c>
      <c r="W184" s="56" t="s">
        <v>99</v>
      </c>
      <c r="X184" s="56" t="s">
        <v>99</v>
      </c>
      <c r="Y184" s="56" t="s">
        <v>99</v>
      </c>
      <c r="Z184" s="56" t="s">
        <v>99</v>
      </c>
      <c r="AA184" s="56" t="s">
        <v>99</v>
      </c>
      <c r="AB184" s="56" t="s">
        <v>23</v>
      </c>
      <c r="AC184" s="56" t="s">
        <v>23</v>
      </c>
      <c r="AD184" s="56" t="s">
        <v>99</v>
      </c>
      <c r="AE184" s="56" t="s">
        <v>99</v>
      </c>
      <c r="AF184" s="56" t="s">
        <v>99</v>
      </c>
      <c r="AG184" s="56" t="s">
        <v>99</v>
      </c>
      <c r="AH184" s="56" t="s">
        <v>99</v>
      </c>
      <c r="AI184" s="56" t="s">
        <v>99</v>
      </c>
      <c r="AJ184" s="56" t="s">
        <v>99</v>
      </c>
      <c r="AK184" s="63" t="s">
        <v>23</v>
      </c>
      <c r="AL184" s="56" t="s">
        <v>99</v>
      </c>
      <c r="AM184" s="56" t="s">
        <v>99</v>
      </c>
      <c r="AN184" s="56" t="s">
        <v>99</v>
      </c>
      <c r="AO184" s="56" t="s">
        <v>99</v>
      </c>
      <c r="AP184" s="56" t="s">
        <v>99</v>
      </c>
      <c r="AQ184" s="56" t="s">
        <v>99</v>
      </c>
      <c r="AR184" s="56" t="s">
        <v>99</v>
      </c>
      <c r="AS184" s="56" t="s">
        <v>99</v>
      </c>
      <c r="AT184" s="56" t="s">
        <v>99</v>
      </c>
      <c r="AU184" s="56" t="s">
        <v>99</v>
      </c>
      <c r="AV184" s="56" t="s">
        <v>99</v>
      </c>
      <c r="AW184" s="56" t="s">
        <v>99</v>
      </c>
      <c r="AX184" s="56" t="s">
        <v>99</v>
      </c>
      <c r="AY184" s="56" t="s">
        <v>99</v>
      </c>
      <c r="AZ184" s="56" t="s">
        <v>99</v>
      </c>
      <c r="BA184" s="56" t="s">
        <v>99</v>
      </c>
      <c r="BB184" s="56" t="s">
        <v>99</v>
      </c>
      <c r="BC184" s="56" t="s">
        <v>99</v>
      </c>
      <c r="BD184" s="56" t="s">
        <v>99</v>
      </c>
      <c r="BE184" s="56" t="s">
        <v>99</v>
      </c>
      <c r="BF184" s="56" t="s">
        <v>99</v>
      </c>
      <c r="BG184" s="56" t="s">
        <v>99</v>
      </c>
      <c r="BH184" s="56" t="s">
        <v>99</v>
      </c>
      <c r="BI184" s="56" t="s">
        <v>99</v>
      </c>
      <c r="BJ184" s="56" t="s">
        <v>99</v>
      </c>
      <c r="BK184" s="56" t="s">
        <v>99</v>
      </c>
      <c r="BL184" s="56" t="s">
        <v>99</v>
      </c>
      <c r="BM184" s="56" t="s">
        <v>99</v>
      </c>
      <c r="BN184" s="56" t="s">
        <v>99</v>
      </c>
      <c r="BO184" s="56" t="s">
        <v>99</v>
      </c>
      <c r="BP184" s="62" t="s">
        <v>99</v>
      </c>
    </row>
    <row r="185" spans="2:68">
      <c r="B185" s="58">
        <v>6</v>
      </c>
      <c r="C185" s="59">
        <v>26</v>
      </c>
      <c r="D185" s="59" t="s">
        <v>103</v>
      </c>
      <c r="E185" s="60">
        <f>'[1]Master File'!B184</f>
        <v>46198</v>
      </c>
      <c r="F185" s="61" t="str">
        <f>'[1]Master File'!C184</f>
        <v>Explorer 5PM</v>
      </c>
      <c r="G185" s="39"/>
      <c r="I185" s="56" t="s">
        <v>99</v>
      </c>
      <c r="J185" s="56" t="s">
        <v>99</v>
      </c>
      <c r="K185" s="56" t="s">
        <v>99</v>
      </c>
      <c r="L185" s="63" t="s">
        <v>23</v>
      </c>
      <c r="M185" s="56" t="s">
        <v>99</v>
      </c>
      <c r="N185" s="56" t="s">
        <v>99</v>
      </c>
      <c r="O185" s="56" t="s">
        <v>99</v>
      </c>
      <c r="P185" s="56" t="s">
        <v>99</v>
      </c>
      <c r="Q185" s="56" t="s">
        <v>99</v>
      </c>
      <c r="R185" s="56" t="s">
        <v>99</v>
      </c>
      <c r="S185" s="56" t="s">
        <v>99</v>
      </c>
      <c r="T185" s="56" t="s">
        <v>99</v>
      </c>
      <c r="U185" s="56" t="s">
        <v>99</v>
      </c>
      <c r="V185" s="56" t="s">
        <v>99</v>
      </c>
      <c r="W185" s="56" t="s">
        <v>99</v>
      </c>
      <c r="X185" s="56" t="s">
        <v>99</v>
      </c>
      <c r="Y185" s="56" t="s">
        <v>99</v>
      </c>
      <c r="Z185" s="56" t="s">
        <v>99</v>
      </c>
      <c r="AA185" s="56" t="s">
        <v>99</v>
      </c>
      <c r="AB185" s="56" t="s">
        <v>23</v>
      </c>
      <c r="AC185" s="56" t="s">
        <v>23</v>
      </c>
      <c r="AD185" s="56" t="s">
        <v>99</v>
      </c>
      <c r="AE185" s="56" t="s">
        <v>99</v>
      </c>
      <c r="AF185" s="56" t="s">
        <v>99</v>
      </c>
      <c r="AG185" s="56" t="s">
        <v>99</v>
      </c>
      <c r="AH185" s="56" t="s">
        <v>99</v>
      </c>
      <c r="AI185" s="56" t="s">
        <v>99</v>
      </c>
      <c r="AJ185" s="56" t="s">
        <v>99</v>
      </c>
      <c r="AK185" s="63" t="s">
        <v>23</v>
      </c>
      <c r="AL185" s="56" t="s">
        <v>99</v>
      </c>
      <c r="AM185" s="56" t="s">
        <v>99</v>
      </c>
      <c r="AN185" s="56" t="s">
        <v>99</v>
      </c>
      <c r="AO185" s="56" t="s">
        <v>99</v>
      </c>
      <c r="AP185" s="56" t="s">
        <v>99</v>
      </c>
      <c r="AQ185" s="56" t="s">
        <v>99</v>
      </c>
      <c r="AR185" s="56" t="s">
        <v>99</v>
      </c>
      <c r="AS185" s="56" t="s">
        <v>99</v>
      </c>
      <c r="AT185" s="56" t="s">
        <v>99</v>
      </c>
      <c r="AU185" s="56" t="s">
        <v>99</v>
      </c>
      <c r="AV185" s="56" t="s">
        <v>99</v>
      </c>
      <c r="AW185" s="56" t="s">
        <v>99</v>
      </c>
      <c r="AX185" s="56" t="s">
        <v>99</v>
      </c>
      <c r="AY185" s="56" t="s">
        <v>99</v>
      </c>
      <c r="AZ185" s="56" t="s">
        <v>99</v>
      </c>
      <c r="BA185" s="56" t="s">
        <v>99</v>
      </c>
      <c r="BB185" s="56" t="s">
        <v>99</v>
      </c>
      <c r="BC185" s="56" t="s">
        <v>99</v>
      </c>
      <c r="BD185" s="56" t="s">
        <v>99</v>
      </c>
      <c r="BE185" s="56" t="s">
        <v>99</v>
      </c>
      <c r="BF185" s="56" t="s">
        <v>99</v>
      </c>
      <c r="BG185" s="56" t="s">
        <v>99</v>
      </c>
      <c r="BH185" s="56" t="s">
        <v>99</v>
      </c>
      <c r="BI185" s="56" t="s">
        <v>99</v>
      </c>
      <c r="BJ185" s="56" t="s">
        <v>99</v>
      </c>
      <c r="BK185" s="56" t="s">
        <v>99</v>
      </c>
      <c r="BL185" s="56" t="s">
        <v>99</v>
      </c>
      <c r="BM185" s="56" t="s">
        <v>99</v>
      </c>
      <c r="BN185" s="56" t="s">
        <v>99</v>
      </c>
      <c r="BO185" s="56" t="s">
        <v>99</v>
      </c>
      <c r="BP185" s="62" t="s">
        <v>99</v>
      </c>
    </row>
    <row r="186" spans="2:68">
      <c r="B186" s="58">
        <v>6</v>
      </c>
      <c r="C186" s="59">
        <v>26</v>
      </c>
      <c r="D186" s="59" t="s">
        <v>104</v>
      </c>
      <c r="E186" s="60">
        <f>'[1]Master File'!B185</f>
        <v>46199</v>
      </c>
      <c r="F186" s="61" t="str">
        <f>'[1]Master File'!C185</f>
        <v>Explorer + 5PM</v>
      </c>
      <c r="G186" s="39"/>
      <c r="I186" s="56" t="s">
        <v>99</v>
      </c>
      <c r="J186" s="56" t="s">
        <v>99</v>
      </c>
      <c r="K186" s="56" t="s">
        <v>99</v>
      </c>
      <c r="L186" s="63" t="s">
        <v>23</v>
      </c>
      <c r="M186" s="56" t="s">
        <v>99</v>
      </c>
      <c r="N186" s="56" t="s">
        <v>99</v>
      </c>
      <c r="O186" s="56" t="s">
        <v>99</v>
      </c>
      <c r="P186" s="56" t="s">
        <v>99</v>
      </c>
      <c r="Q186" s="56" t="s">
        <v>99</v>
      </c>
      <c r="R186" s="56" t="s">
        <v>99</v>
      </c>
      <c r="S186" s="56" t="s">
        <v>99</v>
      </c>
      <c r="T186" s="56" t="s">
        <v>99</v>
      </c>
      <c r="U186" s="56" t="s">
        <v>99</v>
      </c>
      <c r="V186" s="56" t="s">
        <v>99</v>
      </c>
      <c r="W186" s="56" t="s">
        <v>99</v>
      </c>
      <c r="X186" s="56" t="s">
        <v>99</v>
      </c>
      <c r="Y186" s="56" t="s">
        <v>99</v>
      </c>
      <c r="Z186" s="56" t="s">
        <v>99</v>
      </c>
      <c r="AA186" s="56" t="s">
        <v>99</v>
      </c>
      <c r="AB186" s="56" t="s">
        <v>23</v>
      </c>
      <c r="AC186" s="56" t="s">
        <v>23</v>
      </c>
      <c r="AD186" s="56" t="s">
        <v>99</v>
      </c>
      <c r="AE186" s="56" t="s">
        <v>99</v>
      </c>
      <c r="AF186" s="56" t="s">
        <v>99</v>
      </c>
      <c r="AG186" s="56" t="s">
        <v>99</v>
      </c>
      <c r="AH186" s="56" t="s">
        <v>99</v>
      </c>
      <c r="AI186" s="56" t="s">
        <v>99</v>
      </c>
      <c r="AJ186" s="56" t="s">
        <v>99</v>
      </c>
      <c r="AK186" s="63" t="s">
        <v>23</v>
      </c>
      <c r="AL186" s="56" t="s">
        <v>99</v>
      </c>
      <c r="AM186" s="56" t="s">
        <v>99</v>
      </c>
      <c r="AN186" s="56" t="s">
        <v>99</v>
      </c>
      <c r="AO186" s="56" t="s">
        <v>99</v>
      </c>
      <c r="AP186" s="56" t="s">
        <v>99</v>
      </c>
      <c r="AQ186" s="56" t="s">
        <v>99</v>
      </c>
      <c r="AR186" s="56" t="s">
        <v>99</v>
      </c>
      <c r="AS186" s="56" t="s">
        <v>99</v>
      </c>
      <c r="AT186" s="56" t="s">
        <v>99</v>
      </c>
      <c r="AU186" s="56" t="s">
        <v>99</v>
      </c>
      <c r="AV186" s="56" t="s">
        <v>99</v>
      </c>
      <c r="AW186" s="56" t="s">
        <v>99</v>
      </c>
      <c r="AX186" s="56" t="s">
        <v>99</v>
      </c>
      <c r="AY186" s="56" t="s">
        <v>99</v>
      </c>
      <c r="AZ186" s="56" t="s">
        <v>99</v>
      </c>
      <c r="BA186" s="56" t="s">
        <v>99</v>
      </c>
      <c r="BB186" s="56" t="s">
        <v>99</v>
      </c>
      <c r="BC186" s="56" t="s">
        <v>99</v>
      </c>
      <c r="BD186" s="56" t="s">
        <v>99</v>
      </c>
      <c r="BE186" s="56" t="s">
        <v>99</v>
      </c>
      <c r="BF186" s="56" t="s">
        <v>99</v>
      </c>
      <c r="BG186" s="56" t="s">
        <v>99</v>
      </c>
      <c r="BH186" s="56" t="s">
        <v>99</v>
      </c>
      <c r="BI186" s="56" t="s">
        <v>99</v>
      </c>
      <c r="BJ186" s="56" t="s">
        <v>99</v>
      </c>
      <c r="BK186" s="56" t="s">
        <v>99</v>
      </c>
      <c r="BL186" s="56" t="s">
        <v>99</v>
      </c>
      <c r="BM186" s="56" t="s">
        <v>99</v>
      </c>
      <c r="BN186" s="56" t="s">
        <v>99</v>
      </c>
      <c r="BO186" s="56" t="s">
        <v>99</v>
      </c>
      <c r="BP186" s="62" t="s">
        <v>99</v>
      </c>
    </row>
    <row r="187" spans="2:68">
      <c r="B187" s="58">
        <v>6</v>
      </c>
      <c r="C187" s="59">
        <v>26</v>
      </c>
      <c r="D187" s="59" t="s">
        <v>105</v>
      </c>
      <c r="E187" s="60">
        <f>'[1]Master File'!B186</f>
        <v>46200</v>
      </c>
      <c r="F187" s="61" t="str">
        <f>'[1]Master File'!C186</f>
        <v>Explorer 6PM</v>
      </c>
      <c r="G187" s="39"/>
      <c r="I187" s="63" t="s">
        <v>99</v>
      </c>
      <c r="J187" s="63" t="s">
        <v>99</v>
      </c>
      <c r="K187" s="63" t="s">
        <v>99</v>
      </c>
      <c r="L187" s="63" t="s">
        <v>23</v>
      </c>
      <c r="M187" s="63" t="s">
        <v>99</v>
      </c>
      <c r="N187" s="63" t="s">
        <v>99</v>
      </c>
      <c r="O187" s="63" t="s">
        <v>99</v>
      </c>
      <c r="P187" s="63" t="s">
        <v>99</v>
      </c>
      <c r="Q187" s="63" t="s">
        <v>99</v>
      </c>
      <c r="R187" s="63" t="s">
        <v>99</v>
      </c>
      <c r="S187" s="63" t="s">
        <v>99</v>
      </c>
      <c r="T187" s="63" t="s">
        <v>99</v>
      </c>
      <c r="U187" s="63" t="s">
        <v>99</v>
      </c>
      <c r="V187" s="63" t="s">
        <v>99</v>
      </c>
      <c r="W187" s="63" t="s">
        <v>99</v>
      </c>
      <c r="X187" s="63" t="s">
        <v>99</v>
      </c>
      <c r="Y187" s="56" t="s">
        <v>23</v>
      </c>
      <c r="Z187" s="63" t="s">
        <v>99</v>
      </c>
      <c r="AA187" s="63" t="s">
        <v>99</v>
      </c>
      <c r="AB187" s="63" t="s">
        <v>99</v>
      </c>
      <c r="AC187" s="63" t="s">
        <v>23</v>
      </c>
      <c r="AD187" s="63" t="s">
        <v>99</v>
      </c>
      <c r="AE187" s="63" t="s">
        <v>99</v>
      </c>
      <c r="AF187" s="63" t="s">
        <v>99</v>
      </c>
      <c r="AG187" s="63" t="s">
        <v>23</v>
      </c>
      <c r="AH187" s="63" t="s">
        <v>99</v>
      </c>
      <c r="AI187" s="63" t="s">
        <v>99</v>
      </c>
      <c r="AJ187" s="63" t="s">
        <v>99</v>
      </c>
      <c r="AK187" s="63" t="s">
        <v>23</v>
      </c>
      <c r="AL187" s="63" t="s">
        <v>99</v>
      </c>
      <c r="AM187" s="63" t="s">
        <v>99</v>
      </c>
      <c r="AN187" s="63" t="s">
        <v>99</v>
      </c>
      <c r="AO187" s="63" t="s">
        <v>99</v>
      </c>
      <c r="AP187" s="63" t="s">
        <v>99</v>
      </c>
      <c r="AQ187" s="63" t="s">
        <v>23</v>
      </c>
      <c r="AR187" s="63" t="s">
        <v>99</v>
      </c>
      <c r="AS187" s="63" t="s">
        <v>99</v>
      </c>
      <c r="AT187" s="63" t="s">
        <v>99</v>
      </c>
      <c r="AU187" s="63" t="s">
        <v>99</v>
      </c>
      <c r="AV187" s="63" t="s">
        <v>99</v>
      </c>
      <c r="AW187" s="63" t="s">
        <v>99</v>
      </c>
      <c r="AX187" s="63" t="s">
        <v>99</v>
      </c>
      <c r="AY187" s="63" t="s">
        <v>99</v>
      </c>
      <c r="AZ187" s="63" t="s">
        <v>99</v>
      </c>
      <c r="BA187" s="63" t="s">
        <v>99</v>
      </c>
      <c r="BB187" s="63" t="s">
        <v>99</v>
      </c>
      <c r="BC187" s="63" t="s">
        <v>99</v>
      </c>
      <c r="BD187" s="63" t="s">
        <v>99</v>
      </c>
      <c r="BE187" s="63" t="s">
        <v>99</v>
      </c>
      <c r="BF187" s="63" t="s">
        <v>99</v>
      </c>
      <c r="BG187" s="63" t="s">
        <v>99</v>
      </c>
      <c r="BH187" s="63" t="s">
        <v>99</v>
      </c>
      <c r="BI187" s="63" t="s">
        <v>99</v>
      </c>
      <c r="BJ187" s="63" t="s">
        <v>99</v>
      </c>
      <c r="BK187" s="63" t="s">
        <v>99</v>
      </c>
      <c r="BL187" s="63" t="s">
        <v>99</v>
      </c>
      <c r="BM187" s="63" t="s">
        <v>99</v>
      </c>
      <c r="BN187" s="63" t="s">
        <v>99</v>
      </c>
      <c r="BO187" s="63" t="s">
        <v>99</v>
      </c>
      <c r="BP187" s="64" t="s">
        <v>99</v>
      </c>
    </row>
    <row r="188" spans="2:68">
      <c r="B188" s="58">
        <v>7</v>
      </c>
      <c r="C188" s="59">
        <v>27</v>
      </c>
      <c r="D188" s="59" t="s">
        <v>98</v>
      </c>
      <c r="E188" s="60">
        <f>'[1]Master File'!B187</f>
        <v>46201</v>
      </c>
      <c r="F188" s="61" t="str">
        <f>'[1]Master File'!C187</f>
        <v>Explorer 6PM</v>
      </c>
      <c r="G188" s="39"/>
      <c r="I188" s="63" t="s">
        <v>99</v>
      </c>
      <c r="J188" s="63" t="s">
        <v>99</v>
      </c>
      <c r="K188" s="63" t="s">
        <v>99</v>
      </c>
      <c r="L188" s="63" t="s">
        <v>23</v>
      </c>
      <c r="M188" s="63" t="s">
        <v>99</v>
      </c>
      <c r="N188" s="63" t="s">
        <v>99</v>
      </c>
      <c r="O188" s="63" t="s">
        <v>99</v>
      </c>
      <c r="P188" s="63" t="s">
        <v>99</v>
      </c>
      <c r="Q188" s="63" t="s">
        <v>99</v>
      </c>
      <c r="R188" s="63" t="s">
        <v>99</v>
      </c>
      <c r="S188" s="63" t="s">
        <v>99</v>
      </c>
      <c r="T188" s="63" t="s">
        <v>99</v>
      </c>
      <c r="U188" s="63" t="s">
        <v>99</v>
      </c>
      <c r="V188" s="63" t="s">
        <v>99</v>
      </c>
      <c r="W188" s="63" t="s">
        <v>99</v>
      </c>
      <c r="X188" s="63" t="s">
        <v>99</v>
      </c>
      <c r="Y188" s="56" t="s">
        <v>23</v>
      </c>
      <c r="Z188" s="63" t="s">
        <v>99</v>
      </c>
      <c r="AA188" s="63" t="s">
        <v>99</v>
      </c>
      <c r="AB188" s="63" t="s">
        <v>99</v>
      </c>
      <c r="AC188" s="63" t="s">
        <v>23</v>
      </c>
      <c r="AD188" s="63" t="s">
        <v>99</v>
      </c>
      <c r="AE188" s="63" t="s">
        <v>99</v>
      </c>
      <c r="AF188" s="63" t="s">
        <v>99</v>
      </c>
      <c r="AG188" s="63" t="s">
        <v>23</v>
      </c>
      <c r="AH188" s="63" t="s">
        <v>99</v>
      </c>
      <c r="AI188" s="63" t="s">
        <v>99</v>
      </c>
      <c r="AJ188" s="63" t="s">
        <v>99</v>
      </c>
      <c r="AK188" s="63" t="s">
        <v>23</v>
      </c>
      <c r="AL188" s="63" t="s">
        <v>99</v>
      </c>
      <c r="AM188" s="63" t="s">
        <v>99</v>
      </c>
      <c r="AN188" s="63" t="s">
        <v>99</v>
      </c>
      <c r="AO188" s="63" t="s">
        <v>99</v>
      </c>
      <c r="AP188" s="63" t="s">
        <v>99</v>
      </c>
      <c r="AQ188" s="63" t="s">
        <v>23</v>
      </c>
      <c r="AR188" s="63" t="s">
        <v>99</v>
      </c>
      <c r="AS188" s="63" t="s">
        <v>99</v>
      </c>
      <c r="AT188" s="63" t="s">
        <v>99</v>
      </c>
      <c r="AU188" s="63" t="s">
        <v>99</v>
      </c>
      <c r="AV188" s="63" t="s">
        <v>99</v>
      </c>
      <c r="AW188" s="63" t="s">
        <v>99</v>
      </c>
      <c r="AX188" s="63" t="s">
        <v>99</v>
      </c>
      <c r="AY188" s="63" t="s">
        <v>99</v>
      </c>
      <c r="AZ188" s="63" t="s">
        <v>99</v>
      </c>
      <c r="BA188" s="63" t="s">
        <v>99</v>
      </c>
      <c r="BB188" s="63" t="s">
        <v>99</v>
      </c>
      <c r="BC188" s="63" t="s">
        <v>99</v>
      </c>
      <c r="BD188" s="63" t="s">
        <v>99</v>
      </c>
      <c r="BE188" s="63" t="s">
        <v>99</v>
      </c>
      <c r="BF188" s="63" t="s">
        <v>99</v>
      </c>
      <c r="BG188" s="63" t="s">
        <v>99</v>
      </c>
      <c r="BH188" s="63" t="s">
        <v>99</v>
      </c>
      <c r="BI188" s="63" t="s">
        <v>99</v>
      </c>
      <c r="BJ188" s="63" t="s">
        <v>99</v>
      </c>
      <c r="BK188" s="63" t="s">
        <v>99</v>
      </c>
      <c r="BL188" s="63" t="s">
        <v>99</v>
      </c>
      <c r="BM188" s="63" t="s">
        <v>99</v>
      </c>
      <c r="BN188" s="63" t="s">
        <v>99</v>
      </c>
      <c r="BO188" s="63" t="s">
        <v>99</v>
      </c>
      <c r="BP188" s="64" t="s">
        <v>99</v>
      </c>
    </row>
    <row r="189" spans="2:68">
      <c r="B189" s="58">
        <v>7</v>
      </c>
      <c r="C189" s="59">
        <v>27</v>
      </c>
      <c r="D189" s="59" t="s">
        <v>100</v>
      </c>
      <c r="E189" s="60">
        <f>'[1]Master File'!B188</f>
        <v>46202</v>
      </c>
      <c r="F189" s="61" t="str">
        <f>'[1]Master File'!C188</f>
        <v>Lodge + Sch Exp</v>
      </c>
      <c r="G189" s="39"/>
      <c r="I189" s="56" t="s">
        <v>99</v>
      </c>
      <c r="J189" s="56" t="s">
        <v>99</v>
      </c>
      <c r="K189" s="56" t="s">
        <v>99</v>
      </c>
      <c r="L189" s="63" t="s">
        <v>23</v>
      </c>
      <c r="M189" s="56" t="s">
        <v>99</v>
      </c>
      <c r="N189" s="56" t="s">
        <v>99</v>
      </c>
      <c r="O189" s="56" t="s">
        <v>99</v>
      </c>
      <c r="P189" s="56" t="s">
        <v>99</v>
      </c>
      <c r="Q189" s="56" t="s">
        <v>99</v>
      </c>
      <c r="R189" s="56" t="s">
        <v>99</v>
      </c>
      <c r="S189" s="56" t="s">
        <v>99</v>
      </c>
      <c r="T189" s="56" t="s">
        <v>99</v>
      </c>
      <c r="U189" s="56" t="s">
        <v>99</v>
      </c>
      <c r="V189" s="56" t="s">
        <v>99</v>
      </c>
      <c r="W189" s="56" t="s">
        <v>99</v>
      </c>
      <c r="X189" s="56" t="s">
        <v>99</v>
      </c>
      <c r="Y189" s="56" t="s">
        <v>99</v>
      </c>
      <c r="Z189" s="56" t="s">
        <v>99</v>
      </c>
      <c r="AA189" s="56" t="s">
        <v>99</v>
      </c>
      <c r="AB189" s="56" t="s">
        <v>23</v>
      </c>
      <c r="AC189" s="56" t="s">
        <v>99</v>
      </c>
      <c r="AD189" s="56" t="s">
        <v>99</v>
      </c>
      <c r="AE189" s="56" t="s">
        <v>99</v>
      </c>
      <c r="AF189" s="56" t="s">
        <v>99</v>
      </c>
      <c r="AG189" s="56" t="s">
        <v>99</v>
      </c>
      <c r="AH189" s="56" t="s">
        <v>99</v>
      </c>
      <c r="AI189" s="56" t="s">
        <v>99</v>
      </c>
      <c r="AJ189" s="56" t="s">
        <v>99</v>
      </c>
      <c r="AK189" s="63" t="s">
        <v>23</v>
      </c>
      <c r="AL189" s="56" t="s">
        <v>99</v>
      </c>
      <c r="AM189" s="56" t="s">
        <v>99</v>
      </c>
      <c r="AN189" s="56" t="s">
        <v>99</v>
      </c>
      <c r="AO189" s="56" t="s">
        <v>99</v>
      </c>
      <c r="AP189" s="56" t="s">
        <v>99</v>
      </c>
      <c r="AQ189" s="56" t="s">
        <v>99</v>
      </c>
      <c r="AR189" s="56" t="s">
        <v>99</v>
      </c>
      <c r="AS189" s="56" t="s">
        <v>99</v>
      </c>
      <c r="AT189" s="56" t="s">
        <v>99</v>
      </c>
      <c r="AU189" s="56" t="s">
        <v>99</v>
      </c>
      <c r="AV189" s="56" t="s">
        <v>99</v>
      </c>
      <c r="AW189" s="56" t="s">
        <v>99</v>
      </c>
      <c r="AX189" s="56" t="s">
        <v>99</v>
      </c>
      <c r="AY189" s="56" t="s">
        <v>99</v>
      </c>
      <c r="AZ189" s="56" t="s">
        <v>99</v>
      </c>
      <c r="BA189" s="56" t="s">
        <v>99</v>
      </c>
      <c r="BB189" s="56" t="s">
        <v>99</v>
      </c>
      <c r="BC189" s="56" t="s">
        <v>99</v>
      </c>
      <c r="BD189" s="56" t="s">
        <v>99</v>
      </c>
      <c r="BE189" s="56" t="s">
        <v>99</v>
      </c>
      <c r="BF189" s="56" t="s">
        <v>99</v>
      </c>
      <c r="BG189" s="56" t="s">
        <v>99</v>
      </c>
      <c r="BH189" s="56" t="s">
        <v>99</v>
      </c>
      <c r="BI189" s="56" t="s">
        <v>99</v>
      </c>
      <c r="BJ189" s="56" t="s">
        <v>99</v>
      </c>
      <c r="BK189" s="56" t="s">
        <v>99</v>
      </c>
      <c r="BL189" s="56" t="s">
        <v>99</v>
      </c>
      <c r="BM189" s="56" t="s">
        <v>99</v>
      </c>
      <c r="BN189" s="56" t="s">
        <v>99</v>
      </c>
      <c r="BO189" s="56" t="s">
        <v>99</v>
      </c>
      <c r="BP189" s="62" t="s">
        <v>99</v>
      </c>
    </row>
    <row r="190" spans="2:68">
      <c r="B190" s="58">
        <v>7</v>
      </c>
      <c r="C190" s="59">
        <v>27</v>
      </c>
      <c r="D190" s="59" t="s">
        <v>101</v>
      </c>
      <c r="E190" s="60">
        <f>'[1]Master File'!B189</f>
        <v>46203</v>
      </c>
      <c r="F190" s="61" t="str">
        <f>'[1]Master File'!C189</f>
        <v>Lodge + Sch Exp</v>
      </c>
      <c r="G190" s="39"/>
      <c r="I190" s="56" t="s">
        <v>99</v>
      </c>
      <c r="J190" s="56" t="s">
        <v>99</v>
      </c>
      <c r="K190" s="56" t="s">
        <v>99</v>
      </c>
      <c r="L190" s="63" t="s">
        <v>23</v>
      </c>
      <c r="M190" s="56" t="s">
        <v>99</v>
      </c>
      <c r="N190" s="56" t="s">
        <v>99</v>
      </c>
      <c r="O190" s="56" t="s">
        <v>99</v>
      </c>
      <c r="P190" s="56" t="s">
        <v>99</v>
      </c>
      <c r="Q190" s="56" t="s">
        <v>99</v>
      </c>
      <c r="R190" s="56" t="s">
        <v>99</v>
      </c>
      <c r="S190" s="56" t="s">
        <v>99</v>
      </c>
      <c r="T190" s="56" t="s">
        <v>99</v>
      </c>
      <c r="U190" s="56" t="s">
        <v>99</v>
      </c>
      <c r="V190" s="56" t="s">
        <v>99</v>
      </c>
      <c r="W190" s="56" t="s">
        <v>99</v>
      </c>
      <c r="X190" s="56" t="s">
        <v>99</v>
      </c>
      <c r="Y190" s="56" t="s">
        <v>99</v>
      </c>
      <c r="Z190" s="56" t="s">
        <v>99</v>
      </c>
      <c r="AA190" s="56" t="s">
        <v>99</v>
      </c>
      <c r="AB190" s="56" t="s">
        <v>23</v>
      </c>
      <c r="AC190" s="56" t="s">
        <v>23</v>
      </c>
      <c r="AD190" s="56" t="s">
        <v>99</v>
      </c>
      <c r="AE190" s="56" t="s">
        <v>99</v>
      </c>
      <c r="AF190" s="56" t="s">
        <v>99</v>
      </c>
      <c r="AG190" s="56" t="s">
        <v>99</v>
      </c>
      <c r="AH190" s="56" t="s">
        <v>99</v>
      </c>
      <c r="AI190" s="56" t="s">
        <v>99</v>
      </c>
      <c r="AJ190" s="56" t="s">
        <v>99</v>
      </c>
      <c r="AK190" s="63" t="s">
        <v>23</v>
      </c>
      <c r="AL190" s="56" t="s">
        <v>99</v>
      </c>
      <c r="AM190" s="56" t="s">
        <v>99</v>
      </c>
      <c r="AN190" s="56" t="s">
        <v>99</v>
      </c>
      <c r="AO190" s="56" t="s">
        <v>99</v>
      </c>
      <c r="AP190" s="56" t="s">
        <v>99</v>
      </c>
      <c r="AQ190" s="56" t="s">
        <v>99</v>
      </c>
      <c r="AR190" s="56" t="s">
        <v>99</v>
      </c>
      <c r="AS190" s="56" t="s">
        <v>99</v>
      </c>
      <c r="AT190" s="56" t="s">
        <v>99</v>
      </c>
      <c r="AU190" s="56" t="s">
        <v>99</v>
      </c>
      <c r="AV190" s="56" t="s">
        <v>99</v>
      </c>
      <c r="AW190" s="56" t="s">
        <v>99</v>
      </c>
      <c r="AX190" s="56" t="s">
        <v>99</v>
      </c>
      <c r="AY190" s="56" t="s">
        <v>99</v>
      </c>
      <c r="AZ190" s="56" t="s">
        <v>99</v>
      </c>
      <c r="BA190" s="56" t="s">
        <v>99</v>
      </c>
      <c r="BB190" s="56" t="s">
        <v>99</v>
      </c>
      <c r="BC190" s="56" t="s">
        <v>99</v>
      </c>
      <c r="BD190" s="56" t="s">
        <v>99</v>
      </c>
      <c r="BE190" s="56" t="s">
        <v>99</v>
      </c>
      <c r="BF190" s="56" t="s">
        <v>99</v>
      </c>
      <c r="BG190" s="56" t="s">
        <v>99</v>
      </c>
      <c r="BH190" s="56" t="s">
        <v>99</v>
      </c>
      <c r="BI190" s="56" t="s">
        <v>99</v>
      </c>
      <c r="BJ190" s="56" t="s">
        <v>99</v>
      </c>
      <c r="BK190" s="56" t="s">
        <v>99</v>
      </c>
      <c r="BL190" s="56" t="s">
        <v>99</v>
      </c>
      <c r="BM190" s="56" t="s">
        <v>99</v>
      </c>
      <c r="BN190" s="56" t="s">
        <v>99</v>
      </c>
      <c r="BO190" s="56" t="s">
        <v>99</v>
      </c>
      <c r="BP190" s="62" t="s">
        <v>99</v>
      </c>
    </row>
    <row r="191" spans="2:68">
      <c r="B191" s="58">
        <v>7</v>
      </c>
      <c r="C191" s="59">
        <v>27</v>
      </c>
      <c r="D191" s="59" t="s">
        <v>102</v>
      </c>
      <c r="E191" s="60">
        <f>'[1]Master File'!B190</f>
        <v>46204</v>
      </c>
      <c r="F191" s="61" t="str">
        <f>'[1]Master File'!C190</f>
        <v>Lodge + Sch Exp</v>
      </c>
      <c r="G191" s="39"/>
      <c r="I191" s="56" t="s">
        <v>99</v>
      </c>
      <c r="J191" s="56" t="s">
        <v>99</v>
      </c>
      <c r="K191" s="56" t="s">
        <v>99</v>
      </c>
      <c r="L191" s="63" t="s">
        <v>23</v>
      </c>
      <c r="M191" s="56" t="s">
        <v>99</v>
      </c>
      <c r="N191" s="56" t="s">
        <v>99</v>
      </c>
      <c r="O191" s="56" t="s">
        <v>99</v>
      </c>
      <c r="P191" s="56" t="s">
        <v>99</v>
      </c>
      <c r="Q191" s="56" t="s">
        <v>99</v>
      </c>
      <c r="R191" s="56" t="s">
        <v>99</v>
      </c>
      <c r="S191" s="56" t="s">
        <v>99</v>
      </c>
      <c r="T191" s="56" t="s">
        <v>99</v>
      </c>
      <c r="U191" s="56" t="s">
        <v>99</v>
      </c>
      <c r="V191" s="56" t="s">
        <v>99</v>
      </c>
      <c r="W191" s="56" t="s">
        <v>99</v>
      </c>
      <c r="X191" s="56" t="s">
        <v>99</v>
      </c>
      <c r="Y191" s="56" t="s">
        <v>99</v>
      </c>
      <c r="Z191" s="56" t="s">
        <v>99</v>
      </c>
      <c r="AA191" s="56" t="s">
        <v>99</v>
      </c>
      <c r="AB191" s="56" t="s">
        <v>23</v>
      </c>
      <c r="AC191" s="56" t="s">
        <v>23</v>
      </c>
      <c r="AD191" s="56" t="s">
        <v>99</v>
      </c>
      <c r="AE191" s="56" t="s">
        <v>99</v>
      </c>
      <c r="AF191" s="56" t="s">
        <v>99</v>
      </c>
      <c r="AG191" s="56" t="s">
        <v>99</v>
      </c>
      <c r="AH191" s="56" t="s">
        <v>99</v>
      </c>
      <c r="AI191" s="56" t="s">
        <v>99</v>
      </c>
      <c r="AJ191" s="56" t="s">
        <v>99</v>
      </c>
      <c r="AK191" s="63" t="s">
        <v>23</v>
      </c>
      <c r="AL191" s="56" t="s">
        <v>99</v>
      </c>
      <c r="AM191" s="56" t="s">
        <v>99</v>
      </c>
      <c r="AN191" s="56" t="s">
        <v>99</v>
      </c>
      <c r="AO191" s="56" t="s">
        <v>99</v>
      </c>
      <c r="AP191" s="56" t="s">
        <v>99</v>
      </c>
      <c r="AQ191" s="56" t="s">
        <v>99</v>
      </c>
      <c r="AR191" s="56" t="s">
        <v>99</v>
      </c>
      <c r="AS191" s="56" t="s">
        <v>99</v>
      </c>
      <c r="AT191" s="56" t="s">
        <v>99</v>
      </c>
      <c r="AU191" s="56" t="s">
        <v>99</v>
      </c>
      <c r="AV191" s="56" t="s">
        <v>99</v>
      </c>
      <c r="AW191" s="56" t="s">
        <v>99</v>
      </c>
      <c r="AX191" s="56" t="s">
        <v>99</v>
      </c>
      <c r="AY191" s="56" t="s">
        <v>99</v>
      </c>
      <c r="AZ191" s="56" t="s">
        <v>99</v>
      </c>
      <c r="BA191" s="56" t="s">
        <v>99</v>
      </c>
      <c r="BB191" s="56" t="s">
        <v>99</v>
      </c>
      <c r="BC191" s="56" t="s">
        <v>99</v>
      </c>
      <c r="BD191" s="56" t="s">
        <v>99</v>
      </c>
      <c r="BE191" s="56" t="s">
        <v>99</v>
      </c>
      <c r="BF191" s="56" t="s">
        <v>99</v>
      </c>
      <c r="BG191" s="56" t="s">
        <v>99</v>
      </c>
      <c r="BH191" s="56" t="s">
        <v>99</v>
      </c>
      <c r="BI191" s="56" t="s">
        <v>99</v>
      </c>
      <c r="BJ191" s="56" t="s">
        <v>99</v>
      </c>
      <c r="BK191" s="56" t="s">
        <v>99</v>
      </c>
      <c r="BL191" s="56" t="s">
        <v>99</v>
      </c>
      <c r="BM191" s="56" t="s">
        <v>99</v>
      </c>
      <c r="BN191" s="56" t="s">
        <v>99</v>
      </c>
      <c r="BO191" s="56" t="s">
        <v>99</v>
      </c>
      <c r="BP191" s="62" t="s">
        <v>99</v>
      </c>
    </row>
    <row r="192" spans="2:68">
      <c r="B192" s="58">
        <v>7</v>
      </c>
      <c r="C192" s="59">
        <v>27</v>
      </c>
      <c r="D192" s="59" t="s">
        <v>103</v>
      </c>
      <c r="E192" s="60">
        <f>'[1]Master File'!B191</f>
        <v>46205</v>
      </c>
      <c r="F192" s="61" t="str">
        <f>'[1]Master File'!C191</f>
        <v>Lodge + Sch Exp</v>
      </c>
      <c r="G192" s="39"/>
      <c r="I192" s="56" t="s">
        <v>99</v>
      </c>
      <c r="J192" s="56" t="s">
        <v>99</v>
      </c>
      <c r="K192" s="56" t="s">
        <v>99</v>
      </c>
      <c r="L192" s="63" t="s">
        <v>23</v>
      </c>
      <c r="M192" s="56" t="s">
        <v>99</v>
      </c>
      <c r="N192" s="56" t="s">
        <v>99</v>
      </c>
      <c r="O192" s="56" t="s">
        <v>99</v>
      </c>
      <c r="P192" s="56" t="s">
        <v>99</v>
      </c>
      <c r="Q192" s="56" t="s">
        <v>99</v>
      </c>
      <c r="R192" s="56" t="s">
        <v>99</v>
      </c>
      <c r="S192" s="56" t="s">
        <v>99</v>
      </c>
      <c r="T192" s="56" t="s">
        <v>99</v>
      </c>
      <c r="U192" s="56" t="s">
        <v>99</v>
      </c>
      <c r="V192" s="56" t="s">
        <v>99</v>
      </c>
      <c r="W192" s="56" t="s">
        <v>99</v>
      </c>
      <c r="X192" s="56" t="s">
        <v>99</v>
      </c>
      <c r="Y192" s="56" t="s">
        <v>99</v>
      </c>
      <c r="Z192" s="56" t="s">
        <v>99</v>
      </c>
      <c r="AA192" s="56" t="s">
        <v>99</v>
      </c>
      <c r="AB192" s="56" t="s">
        <v>23</v>
      </c>
      <c r="AC192" s="56" t="s">
        <v>23</v>
      </c>
      <c r="AD192" s="56" t="s">
        <v>99</v>
      </c>
      <c r="AE192" s="56" t="s">
        <v>99</v>
      </c>
      <c r="AF192" s="56" t="s">
        <v>99</v>
      </c>
      <c r="AG192" s="56" t="s">
        <v>99</v>
      </c>
      <c r="AH192" s="56" t="s">
        <v>99</v>
      </c>
      <c r="AI192" s="56" t="s">
        <v>99</v>
      </c>
      <c r="AJ192" s="56" t="s">
        <v>99</v>
      </c>
      <c r="AK192" s="63" t="s">
        <v>23</v>
      </c>
      <c r="AL192" s="56" t="s">
        <v>99</v>
      </c>
      <c r="AM192" s="56" t="s">
        <v>99</v>
      </c>
      <c r="AN192" s="56" t="s">
        <v>99</v>
      </c>
      <c r="AO192" s="56" t="s">
        <v>99</v>
      </c>
      <c r="AP192" s="56" t="s">
        <v>99</v>
      </c>
      <c r="AQ192" s="56" t="s">
        <v>99</v>
      </c>
      <c r="AR192" s="56" t="s">
        <v>99</v>
      </c>
      <c r="AS192" s="56" t="s">
        <v>99</v>
      </c>
      <c r="AT192" s="56" t="s">
        <v>99</v>
      </c>
      <c r="AU192" s="56" t="s">
        <v>99</v>
      </c>
      <c r="AV192" s="56" t="s">
        <v>99</v>
      </c>
      <c r="AW192" s="56" t="s">
        <v>99</v>
      </c>
      <c r="AX192" s="56" t="s">
        <v>99</v>
      </c>
      <c r="AY192" s="56" t="s">
        <v>99</v>
      </c>
      <c r="AZ192" s="56" t="s">
        <v>99</v>
      </c>
      <c r="BA192" s="56" t="s">
        <v>99</v>
      </c>
      <c r="BB192" s="56" t="s">
        <v>99</v>
      </c>
      <c r="BC192" s="56" t="s">
        <v>99</v>
      </c>
      <c r="BD192" s="56" t="s">
        <v>99</v>
      </c>
      <c r="BE192" s="56" t="s">
        <v>99</v>
      </c>
      <c r="BF192" s="56" t="s">
        <v>99</v>
      </c>
      <c r="BG192" s="56" t="s">
        <v>99</v>
      </c>
      <c r="BH192" s="56" t="s">
        <v>99</v>
      </c>
      <c r="BI192" s="56" t="s">
        <v>99</v>
      </c>
      <c r="BJ192" s="56" t="s">
        <v>99</v>
      </c>
      <c r="BK192" s="56" t="s">
        <v>99</v>
      </c>
      <c r="BL192" s="56" t="s">
        <v>99</v>
      </c>
      <c r="BM192" s="56" t="s">
        <v>99</v>
      </c>
      <c r="BN192" s="56" t="s">
        <v>99</v>
      </c>
      <c r="BO192" s="56" t="s">
        <v>99</v>
      </c>
      <c r="BP192" s="62" t="s">
        <v>99</v>
      </c>
    </row>
    <row r="193" spans="2:68">
      <c r="B193" s="58">
        <v>7</v>
      </c>
      <c r="C193" s="59">
        <v>27</v>
      </c>
      <c r="D193" s="59" t="s">
        <v>104</v>
      </c>
      <c r="E193" s="60">
        <f>'[1]Master File'!B192</f>
        <v>46206</v>
      </c>
      <c r="F193" s="61" t="str">
        <f>'[1]Master File'!C192</f>
        <v>Lodge + Sch Exp</v>
      </c>
      <c r="G193" s="39"/>
      <c r="I193" s="56" t="s">
        <v>99</v>
      </c>
      <c r="J193" s="56" t="s">
        <v>99</v>
      </c>
      <c r="K193" s="56" t="s">
        <v>99</v>
      </c>
      <c r="L193" s="63" t="s">
        <v>23</v>
      </c>
      <c r="M193" s="56" t="s">
        <v>99</v>
      </c>
      <c r="N193" s="56" t="s">
        <v>99</v>
      </c>
      <c r="O193" s="56" t="s">
        <v>99</v>
      </c>
      <c r="P193" s="56" t="s">
        <v>99</v>
      </c>
      <c r="Q193" s="56" t="s">
        <v>99</v>
      </c>
      <c r="R193" s="56" t="s">
        <v>99</v>
      </c>
      <c r="S193" s="56" t="s">
        <v>99</v>
      </c>
      <c r="T193" s="56" t="s">
        <v>99</v>
      </c>
      <c r="U193" s="56" t="s">
        <v>99</v>
      </c>
      <c r="V193" s="56" t="s">
        <v>99</v>
      </c>
      <c r="W193" s="56" t="s">
        <v>99</v>
      </c>
      <c r="X193" s="56" t="s">
        <v>99</v>
      </c>
      <c r="Y193" s="56" t="s">
        <v>99</v>
      </c>
      <c r="Z193" s="56" t="s">
        <v>99</v>
      </c>
      <c r="AA193" s="56" t="s">
        <v>99</v>
      </c>
      <c r="AB193" s="56" t="s">
        <v>23</v>
      </c>
      <c r="AC193" s="56" t="s">
        <v>23</v>
      </c>
      <c r="AD193" s="56" t="s">
        <v>99</v>
      </c>
      <c r="AE193" s="56" t="s">
        <v>99</v>
      </c>
      <c r="AF193" s="56" t="s">
        <v>99</v>
      </c>
      <c r="AG193" s="56" t="s">
        <v>99</v>
      </c>
      <c r="AH193" s="56" t="s">
        <v>99</v>
      </c>
      <c r="AI193" s="56" t="s">
        <v>99</v>
      </c>
      <c r="AJ193" s="56" t="s">
        <v>99</v>
      </c>
      <c r="AK193" s="63" t="s">
        <v>23</v>
      </c>
      <c r="AL193" s="56" t="s">
        <v>99</v>
      </c>
      <c r="AM193" s="56" t="s">
        <v>99</v>
      </c>
      <c r="AN193" s="56" t="s">
        <v>99</v>
      </c>
      <c r="AO193" s="56" t="s">
        <v>99</v>
      </c>
      <c r="AP193" s="56" t="s">
        <v>99</v>
      </c>
      <c r="AQ193" s="56" t="s">
        <v>99</v>
      </c>
      <c r="AR193" s="56" t="s">
        <v>99</v>
      </c>
      <c r="AS193" s="56" t="s">
        <v>99</v>
      </c>
      <c r="AT193" s="56" t="s">
        <v>99</v>
      </c>
      <c r="AU193" s="56" t="s">
        <v>99</v>
      </c>
      <c r="AV193" s="56" t="s">
        <v>99</v>
      </c>
      <c r="AW193" s="56" t="s">
        <v>99</v>
      </c>
      <c r="AX193" s="56" t="s">
        <v>99</v>
      </c>
      <c r="AY193" s="56" t="s">
        <v>99</v>
      </c>
      <c r="AZ193" s="56" t="s">
        <v>99</v>
      </c>
      <c r="BA193" s="56" t="s">
        <v>99</v>
      </c>
      <c r="BB193" s="56" t="s">
        <v>99</v>
      </c>
      <c r="BC193" s="56" t="s">
        <v>99</v>
      </c>
      <c r="BD193" s="56" t="s">
        <v>99</v>
      </c>
      <c r="BE193" s="56" t="s">
        <v>99</v>
      </c>
      <c r="BF193" s="56" t="s">
        <v>99</v>
      </c>
      <c r="BG193" s="56" t="s">
        <v>99</v>
      </c>
      <c r="BH193" s="56" t="s">
        <v>99</v>
      </c>
      <c r="BI193" s="56" t="s">
        <v>99</v>
      </c>
      <c r="BJ193" s="56" t="s">
        <v>99</v>
      </c>
      <c r="BK193" s="56" t="s">
        <v>99</v>
      </c>
      <c r="BL193" s="56" t="s">
        <v>99</v>
      </c>
      <c r="BM193" s="56" t="s">
        <v>99</v>
      </c>
      <c r="BN193" s="56" t="s">
        <v>99</v>
      </c>
      <c r="BO193" s="56" t="s">
        <v>99</v>
      </c>
      <c r="BP193" s="62" t="s">
        <v>99</v>
      </c>
    </row>
    <row r="194" spans="2:68">
      <c r="B194" s="58">
        <v>7</v>
      </c>
      <c r="C194" s="59">
        <v>27</v>
      </c>
      <c r="D194" s="59" t="s">
        <v>105</v>
      </c>
      <c r="E194" s="60">
        <f>'[1]Master File'!B193</f>
        <v>46207</v>
      </c>
      <c r="F194" s="61" t="str">
        <f>'[1]Master File'!C193</f>
        <v>Explorer 6PM</v>
      </c>
      <c r="G194" s="39"/>
      <c r="I194" s="63" t="s">
        <v>99</v>
      </c>
      <c r="J194" s="63" t="s">
        <v>99</v>
      </c>
      <c r="K194" s="63" t="s">
        <v>99</v>
      </c>
      <c r="L194" s="63" t="s">
        <v>23</v>
      </c>
      <c r="M194" s="63" t="s">
        <v>99</v>
      </c>
      <c r="N194" s="63" t="s">
        <v>99</v>
      </c>
      <c r="O194" s="63" t="s">
        <v>99</v>
      </c>
      <c r="P194" s="63" t="s">
        <v>99</v>
      </c>
      <c r="Q194" s="63" t="s">
        <v>99</v>
      </c>
      <c r="R194" s="63" t="s">
        <v>99</v>
      </c>
      <c r="S194" s="63" t="s">
        <v>99</v>
      </c>
      <c r="T194" s="63" t="s">
        <v>99</v>
      </c>
      <c r="U194" s="63" t="s">
        <v>99</v>
      </c>
      <c r="V194" s="63" t="s">
        <v>99</v>
      </c>
      <c r="W194" s="63" t="s">
        <v>99</v>
      </c>
      <c r="X194" s="63" t="s">
        <v>99</v>
      </c>
      <c r="Y194" s="56" t="s">
        <v>23</v>
      </c>
      <c r="Z194" s="63" t="s">
        <v>99</v>
      </c>
      <c r="AA194" s="63" t="s">
        <v>99</v>
      </c>
      <c r="AB194" s="63" t="s">
        <v>99</v>
      </c>
      <c r="AC194" s="63" t="s">
        <v>23</v>
      </c>
      <c r="AD194" s="63" t="s">
        <v>99</v>
      </c>
      <c r="AE194" s="63" t="s">
        <v>99</v>
      </c>
      <c r="AF194" s="63" t="s">
        <v>99</v>
      </c>
      <c r="AG194" s="63" t="s">
        <v>23</v>
      </c>
      <c r="AH194" s="63" t="s">
        <v>99</v>
      </c>
      <c r="AI194" s="63" t="s">
        <v>99</v>
      </c>
      <c r="AJ194" s="63" t="s">
        <v>99</v>
      </c>
      <c r="AK194" s="63" t="s">
        <v>23</v>
      </c>
      <c r="AL194" s="63" t="s">
        <v>99</v>
      </c>
      <c r="AM194" s="63" t="s">
        <v>99</v>
      </c>
      <c r="AN194" s="63" t="s">
        <v>99</v>
      </c>
      <c r="AO194" s="63" t="s">
        <v>99</v>
      </c>
      <c r="AP194" s="63" t="s">
        <v>99</v>
      </c>
      <c r="AQ194" s="63" t="s">
        <v>23</v>
      </c>
      <c r="AR194" s="63" t="s">
        <v>99</v>
      </c>
      <c r="AS194" s="63" t="s">
        <v>99</v>
      </c>
      <c r="AT194" s="63" t="s">
        <v>99</v>
      </c>
      <c r="AU194" s="63" t="s">
        <v>99</v>
      </c>
      <c r="AV194" s="63" t="s">
        <v>99</v>
      </c>
      <c r="AW194" s="63" t="s">
        <v>99</v>
      </c>
      <c r="AX194" s="63" t="s">
        <v>99</v>
      </c>
      <c r="AY194" s="63" t="s">
        <v>99</v>
      </c>
      <c r="AZ194" s="63" t="s">
        <v>99</v>
      </c>
      <c r="BA194" s="63" t="s">
        <v>99</v>
      </c>
      <c r="BB194" s="63" t="s">
        <v>99</v>
      </c>
      <c r="BC194" s="63" t="s">
        <v>99</v>
      </c>
      <c r="BD194" s="63" t="s">
        <v>99</v>
      </c>
      <c r="BE194" s="63" t="s">
        <v>99</v>
      </c>
      <c r="BF194" s="63" t="s">
        <v>99</v>
      </c>
      <c r="BG194" s="63" t="s">
        <v>99</v>
      </c>
      <c r="BH194" s="63" t="s">
        <v>99</v>
      </c>
      <c r="BI194" s="63" t="s">
        <v>99</v>
      </c>
      <c r="BJ194" s="63" t="s">
        <v>99</v>
      </c>
      <c r="BK194" s="63" t="s">
        <v>99</v>
      </c>
      <c r="BL194" s="63" t="s">
        <v>99</v>
      </c>
      <c r="BM194" s="63" t="s">
        <v>99</v>
      </c>
      <c r="BN194" s="63" t="s">
        <v>99</v>
      </c>
      <c r="BO194" s="63" t="s">
        <v>99</v>
      </c>
      <c r="BP194" s="64" t="s">
        <v>99</v>
      </c>
    </row>
    <row r="195" spans="2:68">
      <c r="B195" s="58">
        <v>7</v>
      </c>
      <c r="C195" s="59">
        <v>28</v>
      </c>
      <c r="D195" s="59" t="s">
        <v>98</v>
      </c>
      <c r="E195" s="60">
        <f>'[1]Master File'!B194</f>
        <v>46208</v>
      </c>
      <c r="F195" s="61" t="str">
        <f>'[1]Master File'!C194</f>
        <v>Explorer 6PM</v>
      </c>
      <c r="G195" s="39"/>
      <c r="I195" s="63" t="s">
        <v>99</v>
      </c>
      <c r="J195" s="63" t="s">
        <v>99</v>
      </c>
      <c r="K195" s="63" t="s">
        <v>99</v>
      </c>
      <c r="L195" s="63" t="s">
        <v>23</v>
      </c>
      <c r="M195" s="63" t="s">
        <v>99</v>
      </c>
      <c r="N195" s="63" t="s">
        <v>99</v>
      </c>
      <c r="O195" s="63" t="s">
        <v>99</v>
      </c>
      <c r="P195" s="63" t="s">
        <v>99</v>
      </c>
      <c r="Q195" s="63" t="s">
        <v>99</v>
      </c>
      <c r="R195" s="63" t="s">
        <v>99</v>
      </c>
      <c r="S195" s="63" t="s">
        <v>99</v>
      </c>
      <c r="T195" s="63" t="s">
        <v>99</v>
      </c>
      <c r="U195" s="63" t="s">
        <v>99</v>
      </c>
      <c r="V195" s="63" t="s">
        <v>99</v>
      </c>
      <c r="W195" s="63" t="s">
        <v>99</v>
      </c>
      <c r="X195" s="63" t="s">
        <v>99</v>
      </c>
      <c r="Y195" s="56" t="s">
        <v>23</v>
      </c>
      <c r="Z195" s="63" t="s">
        <v>99</v>
      </c>
      <c r="AA195" s="63" t="s">
        <v>99</v>
      </c>
      <c r="AB195" s="63" t="s">
        <v>99</v>
      </c>
      <c r="AC195" s="63" t="s">
        <v>23</v>
      </c>
      <c r="AD195" s="63" t="s">
        <v>99</v>
      </c>
      <c r="AE195" s="63" t="s">
        <v>99</v>
      </c>
      <c r="AF195" s="63" t="s">
        <v>99</v>
      </c>
      <c r="AG195" s="63" t="s">
        <v>23</v>
      </c>
      <c r="AH195" s="63" t="s">
        <v>99</v>
      </c>
      <c r="AI195" s="63" t="s">
        <v>99</v>
      </c>
      <c r="AJ195" s="63" t="s">
        <v>99</v>
      </c>
      <c r="AK195" s="63" t="s">
        <v>23</v>
      </c>
      <c r="AL195" s="63" t="s">
        <v>99</v>
      </c>
      <c r="AM195" s="63" t="s">
        <v>99</v>
      </c>
      <c r="AN195" s="63" t="s">
        <v>99</v>
      </c>
      <c r="AO195" s="63" t="s">
        <v>99</v>
      </c>
      <c r="AP195" s="63" t="s">
        <v>99</v>
      </c>
      <c r="AQ195" s="63" t="s">
        <v>23</v>
      </c>
      <c r="AR195" s="63" t="s">
        <v>99</v>
      </c>
      <c r="AS195" s="63" t="s">
        <v>99</v>
      </c>
      <c r="AT195" s="63" t="s">
        <v>99</v>
      </c>
      <c r="AU195" s="63" t="s">
        <v>99</v>
      </c>
      <c r="AV195" s="63" t="s">
        <v>99</v>
      </c>
      <c r="AW195" s="63" t="s">
        <v>99</v>
      </c>
      <c r="AX195" s="63" t="s">
        <v>99</v>
      </c>
      <c r="AY195" s="63" t="s">
        <v>99</v>
      </c>
      <c r="AZ195" s="63" t="s">
        <v>99</v>
      </c>
      <c r="BA195" s="63" t="s">
        <v>99</v>
      </c>
      <c r="BB195" s="63" t="s">
        <v>99</v>
      </c>
      <c r="BC195" s="63" t="s">
        <v>99</v>
      </c>
      <c r="BD195" s="63" t="s">
        <v>99</v>
      </c>
      <c r="BE195" s="63" t="s">
        <v>99</v>
      </c>
      <c r="BF195" s="63" t="s">
        <v>99</v>
      </c>
      <c r="BG195" s="63" t="s">
        <v>99</v>
      </c>
      <c r="BH195" s="63" t="s">
        <v>99</v>
      </c>
      <c r="BI195" s="63" t="s">
        <v>99</v>
      </c>
      <c r="BJ195" s="63" t="s">
        <v>99</v>
      </c>
      <c r="BK195" s="63" t="s">
        <v>99</v>
      </c>
      <c r="BL195" s="63" t="s">
        <v>99</v>
      </c>
      <c r="BM195" s="63" t="s">
        <v>99</v>
      </c>
      <c r="BN195" s="63" t="s">
        <v>99</v>
      </c>
      <c r="BO195" s="63" t="s">
        <v>99</v>
      </c>
      <c r="BP195" s="64" t="s">
        <v>99</v>
      </c>
    </row>
    <row r="196" spans="2:68">
      <c r="B196" s="58">
        <v>7</v>
      </c>
      <c r="C196" s="59">
        <v>28</v>
      </c>
      <c r="D196" s="59" t="s">
        <v>100</v>
      </c>
      <c r="E196" s="60">
        <f>'[1]Master File'!B195</f>
        <v>46209</v>
      </c>
      <c r="F196" s="61" t="str">
        <f>'[1]Master File'!C195</f>
        <v>Lodge + Sch Exp</v>
      </c>
      <c r="G196" s="39"/>
      <c r="I196" s="56" t="s">
        <v>99</v>
      </c>
      <c r="J196" s="56" t="s">
        <v>99</v>
      </c>
      <c r="K196" s="56" t="s">
        <v>99</v>
      </c>
      <c r="L196" s="63" t="s">
        <v>23</v>
      </c>
      <c r="M196" s="56" t="s">
        <v>99</v>
      </c>
      <c r="N196" s="56" t="s">
        <v>99</v>
      </c>
      <c r="O196" s="56" t="s">
        <v>99</v>
      </c>
      <c r="P196" s="56" t="s">
        <v>99</v>
      </c>
      <c r="Q196" s="56" t="s">
        <v>99</v>
      </c>
      <c r="R196" s="56" t="s">
        <v>99</v>
      </c>
      <c r="S196" s="56" t="s">
        <v>99</v>
      </c>
      <c r="T196" s="56" t="s">
        <v>99</v>
      </c>
      <c r="U196" s="56" t="s">
        <v>99</v>
      </c>
      <c r="V196" s="56" t="s">
        <v>99</v>
      </c>
      <c r="W196" s="56" t="s">
        <v>99</v>
      </c>
      <c r="X196" s="56" t="s">
        <v>99</v>
      </c>
      <c r="Y196" s="56" t="s">
        <v>99</v>
      </c>
      <c r="Z196" s="56" t="s">
        <v>99</v>
      </c>
      <c r="AA196" s="56" t="s">
        <v>99</v>
      </c>
      <c r="AB196" s="56" t="s">
        <v>23</v>
      </c>
      <c r="AC196" s="56" t="s">
        <v>99</v>
      </c>
      <c r="AD196" s="56" t="s">
        <v>99</v>
      </c>
      <c r="AE196" s="56" t="s">
        <v>99</v>
      </c>
      <c r="AF196" s="56" t="s">
        <v>99</v>
      </c>
      <c r="AG196" s="56" t="s">
        <v>99</v>
      </c>
      <c r="AH196" s="56" t="s">
        <v>99</v>
      </c>
      <c r="AI196" s="56" t="s">
        <v>99</v>
      </c>
      <c r="AJ196" s="56" t="s">
        <v>99</v>
      </c>
      <c r="AK196" s="63" t="s">
        <v>23</v>
      </c>
      <c r="AL196" s="56" t="s">
        <v>99</v>
      </c>
      <c r="AM196" s="56" t="s">
        <v>99</v>
      </c>
      <c r="AN196" s="56" t="s">
        <v>99</v>
      </c>
      <c r="AO196" s="56" t="s">
        <v>99</v>
      </c>
      <c r="AP196" s="56" t="s">
        <v>99</v>
      </c>
      <c r="AQ196" s="56" t="s">
        <v>99</v>
      </c>
      <c r="AR196" s="56" t="s">
        <v>99</v>
      </c>
      <c r="AS196" s="56" t="s">
        <v>99</v>
      </c>
      <c r="AT196" s="56" t="s">
        <v>99</v>
      </c>
      <c r="AU196" s="56" t="s">
        <v>99</v>
      </c>
      <c r="AV196" s="56" t="s">
        <v>99</v>
      </c>
      <c r="AW196" s="56" t="s">
        <v>99</v>
      </c>
      <c r="AX196" s="56" t="s">
        <v>99</v>
      </c>
      <c r="AY196" s="56" t="s">
        <v>99</v>
      </c>
      <c r="AZ196" s="56" t="s">
        <v>99</v>
      </c>
      <c r="BA196" s="56" t="s">
        <v>99</v>
      </c>
      <c r="BB196" s="56" t="s">
        <v>99</v>
      </c>
      <c r="BC196" s="56" t="s">
        <v>99</v>
      </c>
      <c r="BD196" s="56" t="s">
        <v>99</v>
      </c>
      <c r="BE196" s="56" t="s">
        <v>99</v>
      </c>
      <c r="BF196" s="56" t="s">
        <v>99</v>
      </c>
      <c r="BG196" s="56" t="s">
        <v>99</v>
      </c>
      <c r="BH196" s="56" t="s">
        <v>99</v>
      </c>
      <c r="BI196" s="56" t="s">
        <v>99</v>
      </c>
      <c r="BJ196" s="56" t="s">
        <v>99</v>
      </c>
      <c r="BK196" s="56" t="s">
        <v>99</v>
      </c>
      <c r="BL196" s="56" t="s">
        <v>99</v>
      </c>
      <c r="BM196" s="56" t="s">
        <v>99</v>
      </c>
      <c r="BN196" s="56" t="s">
        <v>99</v>
      </c>
      <c r="BO196" s="56" t="s">
        <v>99</v>
      </c>
      <c r="BP196" s="62" t="s">
        <v>99</v>
      </c>
    </row>
    <row r="197" spans="2:68">
      <c r="B197" s="58">
        <v>7</v>
      </c>
      <c r="C197" s="59">
        <v>28</v>
      </c>
      <c r="D197" s="59" t="s">
        <v>101</v>
      </c>
      <c r="E197" s="60">
        <f>'[1]Master File'!B196</f>
        <v>46210</v>
      </c>
      <c r="F197" s="61" t="str">
        <f>'[1]Master File'!C196</f>
        <v>Lodge + Sch Exp</v>
      </c>
      <c r="G197" s="39"/>
      <c r="I197" s="56" t="s">
        <v>99</v>
      </c>
      <c r="J197" s="56" t="s">
        <v>99</v>
      </c>
      <c r="K197" s="56" t="s">
        <v>99</v>
      </c>
      <c r="L197" s="63" t="s">
        <v>23</v>
      </c>
      <c r="M197" s="56" t="s">
        <v>99</v>
      </c>
      <c r="N197" s="56" t="s">
        <v>99</v>
      </c>
      <c r="O197" s="56" t="s">
        <v>99</v>
      </c>
      <c r="P197" s="56" t="s">
        <v>99</v>
      </c>
      <c r="Q197" s="56" t="s">
        <v>99</v>
      </c>
      <c r="R197" s="56" t="s">
        <v>99</v>
      </c>
      <c r="S197" s="56" t="s">
        <v>99</v>
      </c>
      <c r="T197" s="56" t="s">
        <v>99</v>
      </c>
      <c r="U197" s="56" t="s">
        <v>99</v>
      </c>
      <c r="V197" s="56" t="s">
        <v>99</v>
      </c>
      <c r="W197" s="56" t="s">
        <v>99</v>
      </c>
      <c r="X197" s="56" t="s">
        <v>99</v>
      </c>
      <c r="Y197" s="56" t="s">
        <v>99</v>
      </c>
      <c r="Z197" s="56" t="s">
        <v>99</v>
      </c>
      <c r="AA197" s="56" t="s">
        <v>99</v>
      </c>
      <c r="AB197" s="56" t="s">
        <v>23</v>
      </c>
      <c r="AC197" s="56" t="s">
        <v>23</v>
      </c>
      <c r="AD197" s="56" t="s">
        <v>99</v>
      </c>
      <c r="AE197" s="56" t="s">
        <v>99</v>
      </c>
      <c r="AF197" s="56" t="s">
        <v>99</v>
      </c>
      <c r="AG197" s="56" t="s">
        <v>99</v>
      </c>
      <c r="AH197" s="56" t="s">
        <v>99</v>
      </c>
      <c r="AI197" s="56" t="s">
        <v>99</v>
      </c>
      <c r="AJ197" s="56" t="s">
        <v>99</v>
      </c>
      <c r="AK197" s="63" t="s">
        <v>23</v>
      </c>
      <c r="AL197" s="56" t="s">
        <v>99</v>
      </c>
      <c r="AM197" s="56" t="s">
        <v>99</v>
      </c>
      <c r="AN197" s="56" t="s">
        <v>99</v>
      </c>
      <c r="AO197" s="56" t="s">
        <v>99</v>
      </c>
      <c r="AP197" s="56" t="s">
        <v>99</v>
      </c>
      <c r="AQ197" s="56" t="s">
        <v>99</v>
      </c>
      <c r="AR197" s="56" t="s">
        <v>99</v>
      </c>
      <c r="AS197" s="56" t="s">
        <v>99</v>
      </c>
      <c r="AT197" s="56" t="s">
        <v>99</v>
      </c>
      <c r="AU197" s="56" t="s">
        <v>99</v>
      </c>
      <c r="AV197" s="56" t="s">
        <v>99</v>
      </c>
      <c r="AW197" s="56" t="s">
        <v>99</v>
      </c>
      <c r="AX197" s="56" t="s">
        <v>99</v>
      </c>
      <c r="AY197" s="56" t="s">
        <v>99</v>
      </c>
      <c r="AZ197" s="56" t="s">
        <v>99</v>
      </c>
      <c r="BA197" s="56" t="s">
        <v>99</v>
      </c>
      <c r="BB197" s="56" t="s">
        <v>99</v>
      </c>
      <c r="BC197" s="56" t="s">
        <v>99</v>
      </c>
      <c r="BD197" s="56" t="s">
        <v>99</v>
      </c>
      <c r="BE197" s="56" t="s">
        <v>99</v>
      </c>
      <c r="BF197" s="56" t="s">
        <v>99</v>
      </c>
      <c r="BG197" s="56" t="s">
        <v>99</v>
      </c>
      <c r="BH197" s="56" t="s">
        <v>99</v>
      </c>
      <c r="BI197" s="56" t="s">
        <v>99</v>
      </c>
      <c r="BJ197" s="56" t="s">
        <v>99</v>
      </c>
      <c r="BK197" s="56" t="s">
        <v>99</v>
      </c>
      <c r="BL197" s="56" t="s">
        <v>99</v>
      </c>
      <c r="BM197" s="56" t="s">
        <v>99</v>
      </c>
      <c r="BN197" s="56" t="s">
        <v>99</v>
      </c>
      <c r="BO197" s="56" t="s">
        <v>99</v>
      </c>
      <c r="BP197" s="62" t="s">
        <v>99</v>
      </c>
    </row>
    <row r="198" spans="2:68">
      <c r="B198" s="58">
        <v>7</v>
      </c>
      <c r="C198" s="59">
        <v>28</v>
      </c>
      <c r="D198" s="59" t="s">
        <v>102</v>
      </c>
      <c r="E198" s="60">
        <f>'[1]Master File'!B197</f>
        <v>46211</v>
      </c>
      <c r="F198" s="61" t="str">
        <f>'[1]Master File'!C197</f>
        <v>Lodge + Sch Exp</v>
      </c>
      <c r="G198" s="39"/>
      <c r="I198" s="56" t="s">
        <v>99</v>
      </c>
      <c r="J198" s="56" t="s">
        <v>99</v>
      </c>
      <c r="K198" s="56" t="s">
        <v>99</v>
      </c>
      <c r="L198" s="63" t="s">
        <v>23</v>
      </c>
      <c r="M198" s="56" t="s">
        <v>99</v>
      </c>
      <c r="N198" s="56" t="s">
        <v>99</v>
      </c>
      <c r="O198" s="56" t="s">
        <v>99</v>
      </c>
      <c r="P198" s="56" t="s">
        <v>99</v>
      </c>
      <c r="Q198" s="56" t="s">
        <v>99</v>
      </c>
      <c r="R198" s="56" t="s">
        <v>99</v>
      </c>
      <c r="S198" s="56" t="s">
        <v>99</v>
      </c>
      <c r="T198" s="56" t="s">
        <v>99</v>
      </c>
      <c r="U198" s="56" t="s">
        <v>99</v>
      </c>
      <c r="V198" s="56" t="s">
        <v>99</v>
      </c>
      <c r="W198" s="56" t="s">
        <v>99</v>
      </c>
      <c r="X198" s="56" t="s">
        <v>99</v>
      </c>
      <c r="Y198" s="56" t="s">
        <v>99</v>
      </c>
      <c r="Z198" s="56" t="s">
        <v>99</v>
      </c>
      <c r="AA198" s="56" t="s">
        <v>99</v>
      </c>
      <c r="AB198" s="56" t="s">
        <v>23</v>
      </c>
      <c r="AC198" s="56" t="s">
        <v>23</v>
      </c>
      <c r="AD198" s="56" t="s">
        <v>99</v>
      </c>
      <c r="AE198" s="56" t="s">
        <v>99</v>
      </c>
      <c r="AF198" s="56" t="s">
        <v>99</v>
      </c>
      <c r="AG198" s="56" t="s">
        <v>99</v>
      </c>
      <c r="AH198" s="56" t="s">
        <v>99</v>
      </c>
      <c r="AI198" s="56" t="s">
        <v>99</v>
      </c>
      <c r="AJ198" s="56" t="s">
        <v>99</v>
      </c>
      <c r="AK198" s="63" t="s">
        <v>23</v>
      </c>
      <c r="AL198" s="56" t="s">
        <v>99</v>
      </c>
      <c r="AM198" s="56" t="s">
        <v>99</v>
      </c>
      <c r="AN198" s="56" t="s">
        <v>99</v>
      </c>
      <c r="AO198" s="56" t="s">
        <v>99</v>
      </c>
      <c r="AP198" s="56" t="s">
        <v>99</v>
      </c>
      <c r="AQ198" s="56" t="s">
        <v>99</v>
      </c>
      <c r="AR198" s="56" t="s">
        <v>99</v>
      </c>
      <c r="AS198" s="56" t="s">
        <v>99</v>
      </c>
      <c r="AT198" s="56" t="s">
        <v>99</v>
      </c>
      <c r="AU198" s="56" t="s">
        <v>99</v>
      </c>
      <c r="AV198" s="56" t="s">
        <v>99</v>
      </c>
      <c r="AW198" s="56" t="s">
        <v>99</v>
      </c>
      <c r="AX198" s="56" t="s">
        <v>99</v>
      </c>
      <c r="AY198" s="56" t="s">
        <v>99</v>
      </c>
      <c r="AZ198" s="56" t="s">
        <v>99</v>
      </c>
      <c r="BA198" s="56" t="s">
        <v>99</v>
      </c>
      <c r="BB198" s="56" t="s">
        <v>99</v>
      </c>
      <c r="BC198" s="56" t="s">
        <v>99</v>
      </c>
      <c r="BD198" s="56" t="s">
        <v>99</v>
      </c>
      <c r="BE198" s="56" t="s">
        <v>99</v>
      </c>
      <c r="BF198" s="56" t="s">
        <v>99</v>
      </c>
      <c r="BG198" s="56" t="s">
        <v>99</v>
      </c>
      <c r="BH198" s="56" t="s">
        <v>99</v>
      </c>
      <c r="BI198" s="56" t="s">
        <v>99</v>
      </c>
      <c r="BJ198" s="56" t="s">
        <v>99</v>
      </c>
      <c r="BK198" s="56" t="s">
        <v>99</v>
      </c>
      <c r="BL198" s="56" t="s">
        <v>99</v>
      </c>
      <c r="BM198" s="56" t="s">
        <v>99</v>
      </c>
      <c r="BN198" s="56" t="s">
        <v>99</v>
      </c>
      <c r="BO198" s="56" t="s">
        <v>99</v>
      </c>
      <c r="BP198" s="62" t="s">
        <v>99</v>
      </c>
    </row>
    <row r="199" spans="2:68">
      <c r="B199" s="58">
        <v>7</v>
      </c>
      <c r="C199" s="59">
        <v>28</v>
      </c>
      <c r="D199" s="59" t="s">
        <v>103</v>
      </c>
      <c r="E199" s="60">
        <f>'[1]Master File'!B198</f>
        <v>46212</v>
      </c>
      <c r="F199" s="61" t="str">
        <f>'[1]Master File'!C198</f>
        <v>Lodge + Sch Exp</v>
      </c>
      <c r="G199" s="39"/>
      <c r="I199" s="56" t="s">
        <v>99</v>
      </c>
      <c r="J199" s="56" t="s">
        <v>99</v>
      </c>
      <c r="K199" s="56" t="s">
        <v>99</v>
      </c>
      <c r="L199" s="63" t="s">
        <v>23</v>
      </c>
      <c r="M199" s="56" t="s">
        <v>99</v>
      </c>
      <c r="N199" s="56" t="s">
        <v>99</v>
      </c>
      <c r="O199" s="56" t="s">
        <v>99</v>
      </c>
      <c r="P199" s="56" t="s">
        <v>99</v>
      </c>
      <c r="Q199" s="56" t="s">
        <v>99</v>
      </c>
      <c r="R199" s="56" t="s">
        <v>99</v>
      </c>
      <c r="S199" s="56" t="s">
        <v>99</v>
      </c>
      <c r="T199" s="56" t="s">
        <v>99</v>
      </c>
      <c r="U199" s="56" t="s">
        <v>99</v>
      </c>
      <c r="V199" s="56" t="s">
        <v>99</v>
      </c>
      <c r="W199" s="56" t="s">
        <v>99</v>
      </c>
      <c r="X199" s="56" t="s">
        <v>99</v>
      </c>
      <c r="Y199" s="56" t="s">
        <v>99</v>
      </c>
      <c r="Z199" s="56" t="s">
        <v>99</v>
      </c>
      <c r="AA199" s="56" t="s">
        <v>99</v>
      </c>
      <c r="AB199" s="56" t="s">
        <v>23</v>
      </c>
      <c r="AC199" s="56" t="s">
        <v>23</v>
      </c>
      <c r="AD199" s="56" t="s">
        <v>99</v>
      </c>
      <c r="AE199" s="56" t="s">
        <v>99</v>
      </c>
      <c r="AF199" s="56" t="s">
        <v>99</v>
      </c>
      <c r="AG199" s="56" t="s">
        <v>99</v>
      </c>
      <c r="AH199" s="56" t="s">
        <v>99</v>
      </c>
      <c r="AI199" s="56" t="s">
        <v>99</v>
      </c>
      <c r="AJ199" s="56" t="s">
        <v>99</v>
      </c>
      <c r="AK199" s="63" t="s">
        <v>23</v>
      </c>
      <c r="AL199" s="56" t="s">
        <v>99</v>
      </c>
      <c r="AM199" s="56" t="s">
        <v>99</v>
      </c>
      <c r="AN199" s="56" t="s">
        <v>99</v>
      </c>
      <c r="AO199" s="56" t="s">
        <v>99</v>
      </c>
      <c r="AP199" s="56" t="s">
        <v>99</v>
      </c>
      <c r="AQ199" s="56" t="s">
        <v>99</v>
      </c>
      <c r="AR199" s="56" t="s">
        <v>99</v>
      </c>
      <c r="AS199" s="56" t="s">
        <v>99</v>
      </c>
      <c r="AT199" s="56" t="s">
        <v>99</v>
      </c>
      <c r="AU199" s="56" t="s">
        <v>99</v>
      </c>
      <c r="AV199" s="56" t="s">
        <v>99</v>
      </c>
      <c r="AW199" s="56" t="s">
        <v>99</v>
      </c>
      <c r="AX199" s="56" t="s">
        <v>99</v>
      </c>
      <c r="AY199" s="56" t="s">
        <v>99</v>
      </c>
      <c r="AZ199" s="56" t="s">
        <v>99</v>
      </c>
      <c r="BA199" s="56" t="s">
        <v>99</v>
      </c>
      <c r="BB199" s="56" t="s">
        <v>99</v>
      </c>
      <c r="BC199" s="56" t="s">
        <v>99</v>
      </c>
      <c r="BD199" s="56" t="s">
        <v>99</v>
      </c>
      <c r="BE199" s="56" t="s">
        <v>99</v>
      </c>
      <c r="BF199" s="56" t="s">
        <v>99</v>
      </c>
      <c r="BG199" s="56" t="s">
        <v>99</v>
      </c>
      <c r="BH199" s="56" t="s">
        <v>99</v>
      </c>
      <c r="BI199" s="56" t="s">
        <v>99</v>
      </c>
      <c r="BJ199" s="56" t="s">
        <v>99</v>
      </c>
      <c r="BK199" s="56" t="s">
        <v>99</v>
      </c>
      <c r="BL199" s="56" t="s">
        <v>99</v>
      </c>
      <c r="BM199" s="56" t="s">
        <v>99</v>
      </c>
      <c r="BN199" s="56" t="s">
        <v>99</v>
      </c>
      <c r="BO199" s="56" t="s">
        <v>99</v>
      </c>
      <c r="BP199" s="62" t="s">
        <v>99</v>
      </c>
    </row>
    <row r="200" spans="2:68">
      <c r="B200" s="58">
        <v>7</v>
      </c>
      <c r="C200" s="59">
        <v>28</v>
      </c>
      <c r="D200" s="59" t="s">
        <v>104</v>
      </c>
      <c r="E200" s="60">
        <f>'[1]Master File'!B199</f>
        <v>46213</v>
      </c>
      <c r="F200" s="61" t="str">
        <f>'[1]Master File'!C199</f>
        <v>Lodge + Sch Exp</v>
      </c>
      <c r="G200" s="39"/>
      <c r="I200" s="56" t="s">
        <v>99</v>
      </c>
      <c r="J200" s="56" t="s">
        <v>99</v>
      </c>
      <c r="K200" s="56" t="s">
        <v>99</v>
      </c>
      <c r="L200" s="63" t="s">
        <v>23</v>
      </c>
      <c r="M200" s="56" t="s">
        <v>99</v>
      </c>
      <c r="N200" s="56" t="s">
        <v>99</v>
      </c>
      <c r="O200" s="56" t="s">
        <v>99</v>
      </c>
      <c r="P200" s="56" t="s">
        <v>99</v>
      </c>
      <c r="Q200" s="56" t="s">
        <v>99</v>
      </c>
      <c r="R200" s="56" t="s">
        <v>99</v>
      </c>
      <c r="S200" s="56" t="s">
        <v>99</v>
      </c>
      <c r="T200" s="56" t="s">
        <v>99</v>
      </c>
      <c r="U200" s="56" t="s">
        <v>99</v>
      </c>
      <c r="V200" s="56" t="s">
        <v>99</v>
      </c>
      <c r="W200" s="56" t="s">
        <v>99</v>
      </c>
      <c r="X200" s="56" t="s">
        <v>99</v>
      </c>
      <c r="Y200" s="56" t="s">
        <v>99</v>
      </c>
      <c r="Z200" s="56" t="s">
        <v>99</v>
      </c>
      <c r="AA200" s="56" t="s">
        <v>99</v>
      </c>
      <c r="AB200" s="56" t="s">
        <v>23</v>
      </c>
      <c r="AC200" s="56" t="s">
        <v>23</v>
      </c>
      <c r="AD200" s="56" t="s">
        <v>99</v>
      </c>
      <c r="AE200" s="56" t="s">
        <v>99</v>
      </c>
      <c r="AF200" s="56" t="s">
        <v>99</v>
      </c>
      <c r="AG200" s="56" t="s">
        <v>99</v>
      </c>
      <c r="AH200" s="56" t="s">
        <v>99</v>
      </c>
      <c r="AI200" s="56" t="s">
        <v>99</v>
      </c>
      <c r="AJ200" s="56" t="s">
        <v>99</v>
      </c>
      <c r="AK200" s="63" t="s">
        <v>23</v>
      </c>
      <c r="AL200" s="56" t="s">
        <v>99</v>
      </c>
      <c r="AM200" s="56" t="s">
        <v>99</v>
      </c>
      <c r="AN200" s="56" t="s">
        <v>99</v>
      </c>
      <c r="AO200" s="56" t="s">
        <v>99</v>
      </c>
      <c r="AP200" s="56" t="s">
        <v>99</v>
      </c>
      <c r="AQ200" s="56" t="s">
        <v>99</v>
      </c>
      <c r="AR200" s="56" t="s">
        <v>99</v>
      </c>
      <c r="AS200" s="56" t="s">
        <v>99</v>
      </c>
      <c r="AT200" s="56" t="s">
        <v>99</v>
      </c>
      <c r="AU200" s="56" t="s">
        <v>99</v>
      </c>
      <c r="AV200" s="56" t="s">
        <v>99</v>
      </c>
      <c r="AW200" s="56" t="s">
        <v>99</v>
      </c>
      <c r="AX200" s="56" t="s">
        <v>99</v>
      </c>
      <c r="AY200" s="56" t="s">
        <v>99</v>
      </c>
      <c r="AZ200" s="56" t="s">
        <v>99</v>
      </c>
      <c r="BA200" s="56" t="s">
        <v>99</v>
      </c>
      <c r="BB200" s="56" t="s">
        <v>99</v>
      </c>
      <c r="BC200" s="56" t="s">
        <v>99</v>
      </c>
      <c r="BD200" s="56" t="s">
        <v>99</v>
      </c>
      <c r="BE200" s="56" t="s">
        <v>99</v>
      </c>
      <c r="BF200" s="56" t="s">
        <v>99</v>
      </c>
      <c r="BG200" s="56" t="s">
        <v>99</v>
      </c>
      <c r="BH200" s="56" t="s">
        <v>99</v>
      </c>
      <c r="BI200" s="56" t="s">
        <v>99</v>
      </c>
      <c r="BJ200" s="56" t="s">
        <v>99</v>
      </c>
      <c r="BK200" s="56" t="s">
        <v>99</v>
      </c>
      <c r="BL200" s="56" t="s">
        <v>99</v>
      </c>
      <c r="BM200" s="56" t="s">
        <v>99</v>
      </c>
      <c r="BN200" s="56" t="s">
        <v>99</v>
      </c>
      <c r="BO200" s="56" t="s">
        <v>99</v>
      </c>
      <c r="BP200" s="62" t="s">
        <v>99</v>
      </c>
    </row>
    <row r="201" spans="2:68">
      <c r="B201" s="58">
        <v>7</v>
      </c>
      <c r="C201" s="59">
        <v>28</v>
      </c>
      <c r="D201" s="59" t="s">
        <v>105</v>
      </c>
      <c r="E201" s="60">
        <f>'[1]Master File'!B200</f>
        <v>46214</v>
      </c>
      <c r="F201" s="61" t="str">
        <f>'[1]Master File'!C200</f>
        <v>Explorer 6PM</v>
      </c>
      <c r="G201" s="39"/>
      <c r="I201" s="63" t="s">
        <v>99</v>
      </c>
      <c r="J201" s="63" t="s">
        <v>99</v>
      </c>
      <c r="K201" s="63" t="s">
        <v>99</v>
      </c>
      <c r="L201" s="63" t="s">
        <v>23</v>
      </c>
      <c r="M201" s="63" t="s">
        <v>99</v>
      </c>
      <c r="N201" s="63" t="s">
        <v>99</v>
      </c>
      <c r="O201" s="63" t="s">
        <v>99</v>
      </c>
      <c r="P201" s="63" t="s">
        <v>99</v>
      </c>
      <c r="Q201" s="63" t="s">
        <v>99</v>
      </c>
      <c r="R201" s="63" t="s">
        <v>99</v>
      </c>
      <c r="S201" s="63" t="s">
        <v>99</v>
      </c>
      <c r="T201" s="63" t="s">
        <v>99</v>
      </c>
      <c r="U201" s="63" t="s">
        <v>99</v>
      </c>
      <c r="V201" s="63" t="s">
        <v>99</v>
      </c>
      <c r="W201" s="63" t="s">
        <v>99</v>
      </c>
      <c r="X201" s="63" t="s">
        <v>99</v>
      </c>
      <c r="Y201" s="56" t="s">
        <v>23</v>
      </c>
      <c r="Z201" s="63" t="s">
        <v>99</v>
      </c>
      <c r="AA201" s="63" t="s">
        <v>99</v>
      </c>
      <c r="AB201" s="63" t="s">
        <v>99</v>
      </c>
      <c r="AC201" s="63" t="s">
        <v>23</v>
      </c>
      <c r="AD201" s="63" t="s">
        <v>99</v>
      </c>
      <c r="AE201" s="63" t="s">
        <v>99</v>
      </c>
      <c r="AF201" s="63" t="s">
        <v>99</v>
      </c>
      <c r="AG201" s="63" t="s">
        <v>23</v>
      </c>
      <c r="AH201" s="63" t="s">
        <v>99</v>
      </c>
      <c r="AI201" s="63" t="s">
        <v>99</v>
      </c>
      <c r="AJ201" s="63" t="s">
        <v>99</v>
      </c>
      <c r="AK201" s="63" t="s">
        <v>23</v>
      </c>
      <c r="AL201" s="63" t="s">
        <v>99</v>
      </c>
      <c r="AM201" s="63" t="s">
        <v>99</v>
      </c>
      <c r="AN201" s="63" t="s">
        <v>99</v>
      </c>
      <c r="AO201" s="63" t="s">
        <v>99</v>
      </c>
      <c r="AP201" s="63" t="s">
        <v>99</v>
      </c>
      <c r="AQ201" s="63" t="s">
        <v>23</v>
      </c>
      <c r="AR201" s="63" t="s">
        <v>99</v>
      </c>
      <c r="AS201" s="63" t="s">
        <v>99</v>
      </c>
      <c r="AT201" s="63" t="s">
        <v>99</v>
      </c>
      <c r="AU201" s="63" t="s">
        <v>99</v>
      </c>
      <c r="AV201" s="63" t="s">
        <v>99</v>
      </c>
      <c r="AW201" s="63" t="s">
        <v>99</v>
      </c>
      <c r="AX201" s="63" t="s">
        <v>99</v>
      </c>
      <c r="AY201" s="63" t="s">
        <v>99</v>
      </c>
      <c r="AZ201" s="63" t="s">
        <v>99</v>
      </c>
      <c r="BA201" s="63" t="s">
        <v>99</v>
      </c>
      <c r="BB201" s="63" t="s">
        <v>99</v>
      </c>
      <c r="BC201" s="63" t="s">
        <v>99</v>
      </c>
      <c r="BD201" s="63" t="s">
        <v>99</v>
      </c>
      <c r="BE201" s="63" t="s">
        <v>99</v>
      </c>
      <c r="BF201" s="63" t="s">
        <v>99</v>
      </c>
      <c r="BG201" s="63" t="s">
        <v>99</v>
      </c>
      <c r="BH201" s="63" t="s">
        <v>99</v>
      </c>
      <c r="BI201" s="63" t="s">
        <v>99</v>
      </c>
      <c r="BJ201" s="63" t="s">
        <v>99</v>
      </c>
      <c r="BK201" s="63" t="s">
        <v>99</v>
      </c>
      <c r="BL201" s="63" t="s">
        <v>99</v>
      </c>
      <c r="BM201" s="63" t="s">
        <v>99</v>
      </c>
      <c r="BN201" s="63" t="s">
        <v>99</v>
      </c>
      <c r="BO201" s="63" t="s">
        <v>99</v>
      </c>
      <c r="BP201" s="64" t="s">
        <v>99</v>
      </c>
    </row>
    <row r="202" spans="2:68">
      <c r="B202" s="58">
        <v>7</v>
      </c>
      <c r="C202" s="59">
        <v>29</v>
      </c>
      <c r="D202" s="59" t="s">
        <v>98</v>
      </c>
      <c r="E202" s="60">
        <f>'[1]Master File'!B201</f>
        <v>46215</v>
      </c>
      <c r="F202" s="61" t="str">
        <f>'[1]Master File'!C201</f>
        <v>Explorer 6PM</v>
      </c>
      <c r="G202" s="39"/>
      <c r="I202" s="63" t="s">
        <v>99</v>
      </c>
      <c r="J202" s="63" t="s">
        <v>99</v>
      </c>
      <c r="K202" s="63" t="s">
        <v>99</v>
      </c>
      <c r="L202" s="63" t="s">
        <v>23</v>
      </c>
      <c r="M202" s="63" t="s">
        <v>99</v>
      </c>
      <c r="N202" s="63" t="s">
        <v>99</v>
      </c>
      <c r="O202" s="63" t="s">
        <v>99</v>
      </c>
      <c r="P202" s="63" t="s">
        <v>99</v>
      </c>
      <c r="Q202" s="63" t="s">
        <v>99</v>
      </c>
      <c r="R202" s="63" t="s">
        <v>99</v>
      </c>
      <c r="S202" s="63" t="s">
        <v>99</v>
      </c>
      <c r="T202" s="63" t="s">
        <v>99</v>
      </c>
      <c r="U202" s="63" t="s">
        <v>99</v>
      </c>
      <c r="V202" s="63" t="s">
        <v>99</v>
      </c>
      <c r="W202" s="63" t="s">
        <v>99</v>
      </c>
      <c r="X202" s="63" t="s">
        <v>99</v>
      </c>
      <c r="Y202" s="56" t="s">
        <v>23</v>
      </c>
      <c r="Z202" s="63" t="s">
        <v>99</v>
      </c>
      <c r="AA202" s="63" t="s">
        <v>99</v>
      </c>
      <c r="AB202" s="63" t="s">
        <v>99</v>
      </c>
      <c r="AC202" s="63" t="s">
        <v>23</v>
      </c>
      <c r="AD202" s="63" t="s">
        <v>99</v>
      </c>
      <c r="AE202" s="63" t="s">
        <v>99</v>
      </c>
      <c r="AF202" s="63" t="s">
        <v>99</v>
      </c>
      <c r="AG202" s="63" t="s">
        <v>23</v>
      </c>
      <c r="AH202" s="63" t="s">
        <v>99</v>
      </c>
      <c r="AI202" s="63" t="s">
        <v>99</v>
      </c>
      <c r="AJ202" s="63" t="s">
        <v>99</v>
      </c>
      <c r="AK202" s="63" t="s">
        <v>23</v>
      </c>
      <c r="AL202" s="63" t="s">
        <v>99</v>
      </c>
      <c r="AM202" s="63" t="s">
        <v>99</v>
      </c>
      <c r="AN202" s="63" t="s">
        <v>99</v>
      </c>
      <c r="AO202" s="63" t="s">
        <v>99</v>
      </c>
      <c r="AP202" s="63" t="s">
        <v>99</v>
      </c>
      <c r="AQ202" s="63" t="s">
        <v>23</v>
      </c>
      <c r="AR202" s="63" t="s">
        <v>99</v>
      </c>
      <c r="AS202" s="63" t="s">
        <v>99</v>
      </c>
      <c r="AT202" s="63" t="s">
        <v>99</v>
      </c>
      <c r="AU202" s="63" t="s">
        <v>99</v>
      </c>
      <c r="AV202" s="63" t="s">
        <v>99</v>
      </c>
      <c r="AW202" s="63" t="s">
        <v>99</v>
      </c>
      <c r="AX202" s="63" t="s">
        <v>99</v>
      </c>
      <c r="AY202" s="63" t="s">
        <v>99</v>
      </c>
      <c r="AZ202" s="63" t="s">
        <v>99</v>
      </c>
      <c r="BA202" s="63" t="s">
        <v>99</v>
      </c>
      <c r="BB202" s="63" t="s">
        <v>99</v>
      </c>
      <c r="BC202" s="63" t="s">
        <v>99</v>
      </c>
      <c r="BD202" s="63" t="s">
        <v>99</v>
      </c>
      <c r="BE202" s="63" t="s">
        <v>99</v>
      </c>
      <c r="BF202" s="63" t="s">
        <v>99</v>
      </c>
      <c r="BG202" s="63" t="s">
        <v>99</v>
      </c>
      <c r="BH202" s="63" t="s">
        <v>99</v>
      </c>
      <c r="BI202" s="63" t="s">
        <v>99</v>
      </c>
      <c r="BJ202" s="63" t="s">
        <v>99</v>
      </c>
      <c r="BK202" s="63" t="s">
        <v>99</v>
      </c>
      <c r="BL202" s="63" t="s">
        <v>99</v>
      </c>
      <c r="BM202" s="63" t="s">
        <v>99</v>
      </c>
      <c r="BN202" s="63" t="s">
        <v>99</v>
      </c>
      <c r="BO202" s="63" t="s">
        <v>99</v>
      </c>
      <c r="BP202" s="64" t="s">
        <v>99</v>
      </c>
    </row>
    <row r="203" spans="2:68">
      <c r="B203" s="58">
        <v>7</v>
      </c>
      <c r="C203" s="59">
        <v>29</v>
      </c>
      <c r="D203" s="59" t="s">
        <v>100</v>
      </c>
      <c r="E203" s="60">
        <f>'[1]Master File'!B202</f>
        <v>46216</v>
      </c>
      <c r="F203" s="61" t="str">
        <f>'[1]Master File'!C202</f>
        <v>Explorer 5PM</v>
      </c>
      <c r="G203" s="39"/>
      <c r="I203" s="56" t="s">
        <v>99</v>
      </c>
      <c r="J203" s="56" t="s">
        <v>99</v>
      </c>
      <c r="K203" s="56" t="s">
        <v>99</v>
      </c>
      <c r="L203" s="63" t="s">
        <v>23</v>
      </c>
      <c r="M203" s="56" t="s">
        <v>99</v>
      </c>
      <c r="N203" s="56" t="s">
        <v>99</v>
      </c>
      <c r="O203" s="56" t="s">
        <v>99</v>
      </c>
      <c r="P203" s="56" t="s">
        <v>99</v>
      </c>
      <c r="Q203" s="56" t="s">
        <v>99</v>
      </c>
      <c r="R203" s="56" t="s">
        <v>99</v>
      </c>
      <c r="S203" s="56" t="s">
        <v>99</v>
      </c>
      <c r="T203" s="56" t="s">
        <v>99</v>
      </c>
      <c r="U203" s="56" t="s">
        <v>99</v>
      </c>
      <c r="V203" s="56" t="s">
        <v>99</v>
      </c>
      <c r="W203" s="56" t="s">
        <v>99</v>
      </c>
      <c r="X203" s="56" t="s">
        <v>99</v>
      </c>
      <c r="Y203" s="56" t="s">
        <v>99</v>
      </c>
      <c r="Z203" s="56" t="s">
        <v>99</v>
      </c>
      <c r="AA203" s="56" t="s">
        <v>99</v>
      </c>
      <c r="AB203" s="56" t="s">
        <v>23</v>
      </c>
      <c r="AC203" s="56" t="s">
        <v>99</v>
      </c>
      <c r="AD203" s="56" t="s">
        <v>99</v>
      </c>
      <c r="AE203" s="56" t="s">
        <v>99</v>
      </c>
      <c r="AF203" s="56" t="s">
        <v>99</v>
      </c>
      <c r="AG203" s="56" t="s">
        <v>99</v>
      </c>
      <c r="AH203" s="56" t="s">
        <v>99</v>
      </c>
      <c r="AI203" s="56" t="s">
        <v>99</v>
      </c>
      <c r="AJ203" s="56" t="s">
        <v>99</v>
      </c>
      <c r="AK203" s="63" t="s">
        <v>23</v>
      </c>
      <c r="AL203" s="56" t="s">
        <v>99</v>
      </c>
      <c r="AM203" s="56" t="s">
        <v>99</v>
      </c>
      <c r="AN203" s="56" t="s">
        <v>99</v>
      </c>
      <c r="AO203" s="56" t="s">
        <v>99</v>
      </c>
      <c r="AP203" s="56" t="s">
        <v>99</v>
      </c>
      <c r="AQ203" s="56" t="s">
        <v>99</v>
      </c>
      <c r="AR203" s="56" t="s">
        <v>99</v>
      </c>
      <c r="AS203" s="56" t="s">
        <v>99</v>
      </c>
      <c r="AT203" s="56" t="s">
        <v>99</v>
      </c>
      <c r="AU203" s="56" t="s">
        <v>99</v>
      </c>
      <c r="AV203" s="56" t="s">
        <v>99</v>
      </c>
      <c r="AW203" s="56" t="s">
        <v>99</v>
      </c>
      <c r="AX203" s="56" t="s">
        <v>99</v>
      </c>
      <c r="AY203" s="56" t="s">
        <v>99</v>
      </c>
      <c r="AZ203" s="56" t="s">
        <v>99</v>
      </c>
      <c r="BA203" s="56" t="s">
        <v>99</v>
      </c>
      <c r="BB203" s="56" t="s">
        <v>99</v>
      </c>
      <c r="BC203" s="56" t="s">
        <v>99</v>
      </c>
      <c r="BD203" s="56" t="s">
        <v>99</v>
      </c>
      <c r="BE203" s="56" t="s">
        <v>99</v>
      </c>
      <c r="BF203" s="56" t="s">
        <v>99</v>
      </c>
      <c r="BG203" s="56" t="s">
        <v>99</v>
      </c>
      <c r="BH203" s="56" t="s">
        <v>99</v>
      </c>
      <c r="BI203" s="56" t="s">
        <v>99</v>
      </c>
      <c r="BJ203" s="56" t="s">
        <v>99</v>
      </c>
      <c r="BK203" s="56" t="s">
        <v>99</v>
      </c>
      <c r="BL203" s="56" t="s">
        <v>99</v>
      </c>
      <c r="BM203" s="56" t="s">
        <v>99</v>
      </c>
      <c r="BN203" s="56" t="s">
        <v>99</v>
      </c>
      <c r="BO203" s="56" t="s">
        <v>99</v>
      </c>
      <c r="BP203" s="62" t="s">
        <v>99</v>
      </c>
    </row>
    <row r="204" spans="2:68">
      <c r="B204" s="58">
        <v>7</v>
      </c>
      <c r="C204" s="59">
        <v>29</v>
      </c>
      <c r="D204" s="59" t="s">
        <v>101</v>
      </c>
      <c r="E204" s="60">
        <f>'[1]Master File'!B203</f>
        <v>46217</v>
      </c>
      <c r="F204" s="61" t="str">
        <f>'[1]Master File'!C203</f>
        <v>Explorer 5PM</v>
      </c>
      <c r="G204" s="39"/>
      <c r="I204" s="56" t="s">
        <v>99</v>
      </c>
      <c r="J204" s="56" t="s">
        <v>99</v>
      </c>
      <c r="K204" s="56" t="s">
        <v>99</v>
      </c>
      <c r="L204" s="63" t="s">
        <v>23</v>
      </c>
      <c r="M204" s="56" t="s">
        <v>99</v>
      </c>
      <c r="N204" s="56" t="s">
        <v>99</v>
      </c>
      <c r="O204" s="56" t="s">
        <v>99</v>
      </c>
      <c r="P204" s="56" t="s">
        <v>99</v>
      </c>
      <c r="Q204" s="56" t="s">
        <v>99</v>
      </c>
      <c r="R204" s="56" t="s">
        <v>99</v>
      </c>
      <c r="S204" s="56" t="s">
        <v>99</v>
      </c>
      <c r="T204" s="56" t="s">
        <v>99</v>
      </c>
      <c r="U204" s="56" t="s">
        <v>99</v>
      </c>
      <c r="V204" s="56" t="s">
        <v>99</v>
      </c>
      <c r="W204" s="56" t="s">
        <v>99</v>
      </c>
      <c r="X204" s="56" t="s">
        <v>99</v>
      </c>
      <c r="Y204" s="56" t="s">
        <v>99</v>
      </c>
      <c r="Z204" s="56" t="s">
        <v>99</v>
      </c>
      <c r="AA204" s="56" t="s">
        <v>99</v>
      </c>
      <c r="AB204" s="56" t="s">
        <v>23</v>
      </c>
      <c r="AC204" s="56" t="s">
        <v>23</v>
      </c>
      <c r="AD204" s="56" t="s">
        <v>99</v>
      </c>
      <c r="AE204" s="56" t="s">
        <v>99</v>
      </c>
      <c r="AF204" s="56" t="s">
        <v>99</v>
      </c>
      <c r="AG204" s="56" t="s">
        <v>99</v>
      </c>
      <c r="AH204" s="56" t="s">
        <v>99</v>
      </c>
      <c r="AI204" s="56" t="s">
        <v>99</v>
      </c>
      <c r="AJ204" s="56" t="s">
        <v>99</v>
      </c>
      <c r="AK204" s="63" t="s">
        <v>23</v>
      </c>
      <c r="AL204" s="56" t="s">
        <v>99</v>
      </c>
      <c r="AM204" s="56" t="s">
        <v>99</v>
      </c>
      <c r="AN204" s="56" t="s">
        <v>99</v>
      </c>
      <c r="AO204" s="56" t="s">
        <v>99</v>
      </c>
      <c r="AP204" s="56" t="s">
        <v>99</v>
      </c>
      <c r="AQ204" s="56" t="s">
        <v>99</v>
      </c>
      <c r="AR204" s="56" t="s">
        <v>99</v>
      </c>
      <c r="AS204" s="56" t="s">
        <v>99</v>
      </c>
      <c r="AT204" s="56" t="s">
        <v>99</v>
      </c>
      <c r="AU204" s="56" t="s">
        <v>99</v>
      </c>
      <c r="AV204" s="56" t="s">
        <v>99</v>
      </c>
      <c r="AW204" s="56" t="s">
        <v>99</v>
      </c>
      <c r="AX204" s="56" t="s">
        <v>99</v>
      </c>
      <c r="AY204" s="56" t="s">
        <v>99</v>
      </c>
      <c r="AZ204" s="56" t="s">
        <v>99</v>
      </c>
      <c r="BA204" s="56" t="s">
        <v>99</v>
      </c>
      <c r="BB204" s="56" t="s">
        <v>99</v>
      </c>
      <c r="BC204" s="56" t="s">
        <v>99</v>
      </c>
      <c r="BD204" s="56" t="s">
        <v>99</v>
      </c>
      <c r="BE204" s="56" t="s">
        <v>99</v>
      </c>
      <c r="BF204" s="56" t="s">
        <v>99</v>
      </c>
      <c r="BG204" s="56" t="s">
        <v>99</v>
      </c>
      <c r="BH204" s="56" t="s">
        <v>99</v>
      </c>
      <c r="BI204" s="56" t="s">
        <v>99</v>
      </c>
      <c r="BJ204" s="56" t="s">
        <v>99</v>
      </c>
      <c r="BK204" s="56" t="s">
        <v>99</v>
      </c>
      <c r="BL204" s="56" t="s">
        <v>99</v>
      </c>
      <c r="BM204" s="56" t="s">
        <v>99</v>
      </c>
      <c r="BN204" s="56" t="s">
        <v>99</v>
      </c>
      <c r="BO204" s="56" t="s">
        <v>99</v>
      </c>
      <c r="BP204" s="62" t="s">
        <v>99</v>
      </c>
    </row>
    <row r="205" spans="2:68">
      <c r="B205" s="58">
        <v>7</v>
      </c>
      <c r="C205" s="59">
        <v>29</v>
      </c>
      <c r="D205" s="59" t="s">
        <v>102</v>
      </c>
      <c r="E205" s="60">
        <f>'[1]Master File'!B204</f>
        <v>46218</v>
      </c>
      <c r="F205" s="61" t="str">
        <f>'[1]Master File'!C204</f>
        <v>Explorer 5PM</v>
      </c>
      <c r="G205" s="39"/>
      <c r="I205" s="56" t="s">
        <v>99</v>
      </c>
      <c r="J205" s="56" t="s">
        <v>99</v>
      </c>
      <c r="K205" s="56" t="s">
        <v>99</v>
      </c>
      <c r="L205" s="63" t="s">
        <v>23</v>
      </c>
      <c r="M205" s="56" t="s">
        <v>99</v>
      </c>
      <c r="N205" s="56" t="s">
        <v>99</v>
      </c>
      <c r="O205" s="56" t="s">
        <v>99</v>
      </c>
      <c r="P205" s="56" t="s">
        <v>99</v>
      </c>
      <c r="Q205" s="56" t="s">
        <v>99</v>
      </c>
      <c r="R205" s="56" t="s">
        <v>99</v>
      </c>
      <c r="S205" s="56" t="s">
        <v>99</v>
      </c>
      <c r="T205" s="56" t="s">
        <v>99</v>
      </c>
      <c r="U205" s="56" t="s">
        <v>99</v>
      </c>
      <c r="V205" s="56" t="s">
        <v>99</v>
      </c>
      <c r="W205" s="56" t="s">
        <v>99</v>
      </c>
      <c r="X205" s="56" t="s">
        <v>99</v>
      </c>
      <c r="Y205" s="56" t="s">
        <v>99</v>
      </c>
      <c r="Z205" s="56" t="s">
        <v>99</v>
      </c>
      <c r="AA205" s="56" t="s">
        <v>99</v>
      </c>
      <c r="AB205" s="56" t="s">
        <v>23</v>
      </c>
      <c r="AC205" s="56" t="s">
        <v>23</v>
      </c>
      <c r="AD205" s="56" t="s">
        <v>99</v>
      </c>
      <c r="AE205" s="56" t="s">
        <v>99</v>
      </c>
      <c r="AF205" s="56" t="s">
        <v>99</v>
      </c>
      <c r="AG205" s="56" t="s">
        <v>99</v>
      </c>
      <c r="AH205" s="56" t="s">
        <v>99</v>
      </c>
      <c r="AI205" s="56" t="s">
        <v>99</v>
      </c>
      <c r="AJ205" s="56" t="s">
        <v>99</v>
      </c>
      <c r="AK205" s="63" t="s">
        <v>23</v>
      </c>
      <c r="AL205" s="56" t="s">
        <v>99</v>
      </c>
      <c r="AM205" s="56" t="s">
        <v>99</v>
      </c>
      <c r="AN205" s="56" t="s">
        <v>99</v>
      </c>
      <c r="AO205" s="56" t="s">
        <v>99</v>
      </c>
      <c r="AP205" s="56" t="s">
        <v>99</v>
      </c>
      <c r="AQ205" s="56" t="s">
        <v>99</v>
      </c>
      <c r="AR205" s="56" t="s">
        <v>99</v>
      </c>
      <c r="AS205" s="56" t="s">
        <v>99</v>
      </c>
      <c r="AT205" s="56" t="s">
        <v>99</v>
      </c>
      <c r="AU205" s="56" t="s">
        <v>99</v>
      </c>
      <c r="AV205" s="56" t="s">
        <v>99</v>
      </c>
      <c r="AW205" s="56" t="s">
        <v>99</v>
      </c>
      <c r="AX205" s="56" t="s">
        <v>99</v>
      </c>
      <c r="AY205" s="56" t="s">
        <v>99</v>
      </c>
      <c r="AZ205" s="56" t="s">
        <v>99</v>
      </c>
      <c r="BA205" s="56" t="s">
        <v>99</v>
      </c>
      <c r="BB205" s="56" t="s">
        <v>99</v>
      </c>
      <c r="BC205" s="56" t="s">
        <v>99</v>
      </c>
      <c r="BD205" s="56" t="s">
        <v>99</v>
      </c>
      <c r="BE205" s="56" t="s">
        <v>99</v>
      </c>
      <c r="BF205" s="56" t="s">
        <v>99</v>
      </c>
      <c r="BG205" s="56" t="s">
        <v>99</v>
      </c>
      <c r="BH205" s="56" t="s">
        <v>99</v>
      </c>
      <c r="BI205" s="56" t="s">
        <v>99</v>
      </c>
      <c r="BJ205" s="56" t="s">
        <v>99</v>
      </c>
      <c r="BK205" s="56" t="s">
        <v>99</v>
      </c>
      <c r="BL205" s="56" t="s">
        <v>99</v>
      </c>
      <c r="BM205" s="56" t="s">
        <v>99</v>
      </c>
      <c r="BN205" s="56" t="s">
        <v>99</v>
      </c>
      <c r="BO205" s="56" t="s">
        <v>99</v>
      </c>
      <c r="BP205" s="62" t="s">
        <v>99</v>
      </c>
    </row>
    <row r="206" spans="2:68">
      <c r="B206" s="58">
        <v>7</v>
      </c>
      <c r="C206" s="59">
        <v>29</v>
      </c>
      <c r="D206" s="59" t="s">
        <v>103</v>
      </c>
      <c r="E206" s="60">
        <f>'[1]Master File'!B205</f>
        <v>46219</v>
      </c>
      <c r="F206" s="61" t="str">
        <f>'[1]Master File'!C205</f>
        <v>Explorer + 5PM</v>
      </c>
      <c r="G206" s="39"/>
      <c r="I206" s="56" t="s">
        <v>99</v>
      </c>
      <c r="J206" s="56" t="s">
        <v>99</v>
      </c>
      <c r="K206" s="56" t="s">
        <v>99</v>
      </c>
      <c r="L206" s="63" t="s">
        <v>23</v>
      </c>
      <c r="M206" s="56" t="s">
        <v>99</v>
      </c>
      <c r="N206" s="56" t="s">
        <v>99</v>
      </c>
      <c r="O206" s="56" t="s">
        <v>99</v>
      </c>
      <c r="P206" s="56" t="s">
        <v>99</v>
      </c>
      <c r="Q206" s="56" t="s">
        <v>99</v>
      </c>
      <c r="R206" s="56" t="s">
        <v>99</v>
      </c>
      <c r="S206" s="56" t="s">
        <v>99</v>
      </c>
      <c r="T206" s="56" t="s">
        <v>99</v>
      </c>
      <c r="U206" s="56" t="s">
        <v>99</v>
      </c>
      <c r="V206" s="56" t="s">
        <v>99</v>
      </c>
      <c r="W206" s="56" t="s">
        <v>99</v>
      </c>
      <c r="X206" s="56" t="s">
        <v>99</v>
      </c>
      <c r="Y206" s="56" t="s">
        <v>99</v>
      </c>
      <c r="Z206" s="56" t="s">
        <v>99</v>
      </c>
      <c r="AA206" s="56" t="s">
        <v>99</v>
      </c>
      <c r="AB206" s="56" t="s">
        <v>23</v>
      </c>
      <c r="AC206" s="56" t="s">
        <v>23</v>
      </c>
      <c r="AD206" s="56" t="s">
        <v>99</v>
      </c>
      <c r="AE206" s="56" t="s">
        <v>99</v>
      </c>
      <c r="AF206" s="56" t="s">
        <v>99</v>
      </c>
      <c r="AG206" s="56" t="s">
        <v>99</v>
      </c>
      <c r="AH206" s="56" t="s">
        <v>99</v>
      </c>
      <c r="AI206" s="56" t="s">
        <v>99</v>
      </c>
      <c r="AJ206" s="56" t="s">
        <v>99</v>
      </c>
      <c r="AK206" s="63" t="s">
        <v>23</v>
      </c>
      <c r="AL206" s="56" t="s">
        <v>99</v>
      </c>
      <c r="AM206" s="56" t="s">
        <v>99</v>
      </c>
      <c r="AN206" s="56" t="s">
        <v>99</v>
      </c>
      <c r="AO206" s="56" t="s">
        <v>99</v>
      </c>
      <c r="AP206" s="56" t="s">
        <v>99</v>
      </c>
      <c r="AQ206" s="56" t="s">
        <v>99</v>
      </c>
      <c r="AR206" s="56" t="s">
        <v>99</v>
      </c>
      <c r="AS206" s="56" t="s">
        <v>99</v>
      </c>
      <c r="AT206" s="56" t="s">
        <v>99</v>
      </c>
      <c r="AU206" s="56" t="s">
        <v>99</v>
      </c>
      <c r="AV206" s="56" t="s">
        <v>99</v>
      </c>
      <c r="AW206" s="56" t="s">
        <v>99</v>
      </c>
      <c r="AX206" s="56" t="s">
        <v>99</v>
      </c>
      <c r="AY206" s="56" t="s">
        <v>99</v>
      </c>
      <c r="AZ206" s="56" t="s">
        <v>99</v>
      </c>
      <c r="BA206" s="56" t="s">
        <v>99</v>
      </c>
      <c r="BB206" s="56" t="s">
        <v>99</v>
      </c>
      <c r="BC206" s="56" t="s">
        <v>99</v>
      </c>
      <c r="BD206" s="56" t="s">
        <v>99</v>
      </c>
      <c r="BE206" s="56" t="s">
        <v>99</v>
      </c>
      <c r="BF206" s="56" t="s">
        <v>99</v>
      </c>
      <c r="BG206" s="56" t="s">
        <v>99</v>
      </c>
      <c r="BH206" s="56" t="s">
        <v>99</v>
      </c>
      <c r="BI206" s="56" t="s">
        <v>99</v>
      </c>
      <c r="BJ206" s="56" t="s">
        <v>99</v>
      </c>
      <c r="BK206" s="56" t="s">
        <v>99</v>
      </c>
      <c r="BL206" s="56" t="s">
        <v>99</v>
      </c>
      <c r="BM206" s="56" t="s">
        <v>99</v>
      </c>
      <c r="BN206" s="56" t="s">
        <v>99</v>
      </c>
      <c r="BO206" s="56" t="s">
        <v>99</v>
      </c>
      <c r="BP206" s="62" t="s">
        <v>99</v>
      </c>
    </row>
    <row r="207" spans="2:68">
      <c r="B207" s="58">
        <v>7</v>
      </c>
      <c r="C207" s="59">
        <v>29</v>
      </c>
      <c r="D207" s="59" t="s">
        <v>104</v>
      </c>
      <c r="E207" s="60">
        <f>'[1]Master File'!B206</f>
        <v>46220</v>
      </c>
      <c r="F207" s="61" t="str">
        <f>'[1]Master File'!C206</f>
        <v>Explorer 5PM</v>
      </c>
      <c r="G207" s="39"/>
      <c r="I207" s="56" t="s">
        <v>99</v>
      </c>
      <c r="J207" s="56" t="s">
        <v>99</v>
      </c>
      <c r="K207" s="56" t="s">
        <v>99</v>
      </c>
      <c r="L207" s="63" t="s">
        <v>23</v>
      </c>
      <c r="M207" s="56" t="s">
        <v>99</v>
      </c>
      <c r="N207" s="56" t="s">
        <v>99</v>
      </c>
      <c r="O207" s="56" t="s">
        <v>99</v>
      </c>
      <c r="P207" s="56" t="s">
        <v>99</v>
      </c>
      <c r="Q207" s="56" t="s">
        <v>99</v>
      </c>
      <c r="R207" s="56" t="s">
        <v>99</v>
      </c>
      <c r="S207" s="56" t="s">
        <v>99</v>
      </c>
      <c r="T207" s="56" t="s">
        <v>99</v>
      </c>
      <c r="U207" s="56" t="s">
        <v>99</v>
      </c>
      <c r="V207" s="56" t="s">
        <v>99</v>
      </c>
      <c r="W207" s="56" t="s">
        <v>99</v>
      </c>
      <c r="X207" s="56" t="s">
        <v>99</v>
      </c>
      <c r="Y207" s="56" t="s">
        <v>99</v>
      </c>
      <c r="Z207" s="56" t="s">
        <v>99</v>
      </c>
      <c r="AA207" s="56" t="s">
        <v>99</v>
      </c>
      <c r="AB207" s="56" t="s">
        <v>23</v>
      </c>
      <c r="AC207" s="56" t="s">
        <v>23</v>
      </c>
      <c r="AD207" s="56" t="s">
        <v>99</v>
      </c>
      <c r="AE207" s="56" t="s">
        <v>99</v>
      </c>
      <c r="AF207" s="56" t="s">
        <v>99</v>
      </c>
      <c r="AG207" s="56" t="s">
        <v>99</v>
      </c>
      <c r="AH207" s="56" t="s">
        <v>99</v>
      </c>
      <c r="AI207" s="56" t="s">
        <v>99</v>
      </c>
      <c r="AJ207" s="56" t="s">
        <v>99</v>
      </c>
      <c r="AK207" s="63" t="s">
        <v>23</v>
      </c>
      <c r="AL207" s="56" t="s">
        <v>99</v>
      </c>
      <c r="AM207" s="56" t="s">
        <v>99</v>
      </c>
      <c r="AN207" s="56" t="s">
        <v>99</v>
      </c>
      <c r="AO207" s="56" t="s">
        <v>99</v>
      </c>
      <c r="AP207" s="56" t="s">
        <v>99</v>
      </c>
      <c r="AQ207" s="56" t="s">
        <v>99</v>
      </c>
      <c r="AR207" s="56" t="s">
        <v>99</v>
      </c>
      <c r="AS207" s="56" t="s">
        <v>99</v>
      </c>
      <c r="AT207" s="56" t="s">
        <v>99</v>
      </c>
      <c r="AU207" s="56" t="s">
        <v>99</v>
      </c>
      <c r="AV207" s="56" t="s">
        <v>99</v>
      </c>
      <c r="AW207" s="56" t="s">
        <v>99</v>
      </c>
      <c r="AX207" s="56" t="s">
        <v>99</v>
      </c>
      <c r="AY207" s="56" t="s">
        <v>99</v>
      </c>
      <c r="AZ207" s="56" t="s">
        <v>99</v>
      </c>
      <c r="BA207" s="56" t="s">
        <v>99</v>
      </c>
      <c r="BB207" s="56" t="s">
        <v>99</v>
      </c>
      <c r="BC207" s="56" t="s">
        <v>99</v>
      </c>
      <c r="BD207" s="56" t="s">
        <v>99</v>
      </c>
      <c r="BE207" s="56" t="s">
        <v>99</v>
      </c>
      <c r="BF207" s="56" t="s">
        <v>99</v>
      </c>
      <c r="BG207" s="56" t="s">
        <v>99</v>
      </c>
      <c r="BH207" s="56" t="s">
        <v>99</v>
      </c>
      <c r="BI207" s="56" t="s">
        <v>99</v>
      </c>
      <c r="BJ207" s="56" t="s">
        <v>99</v>
      </c>
      <c r="BK207" s="56" t="s">
        <v>99</v>
      </c>
      <c r="BL207" s="56" t="s">
        <v>99</v>
      </c>
      <c r="BM207" s="56" t="s">
        <v>99</v>
      </c>
      <c r="BN207" s="56" t="s">
        <v>99</v>
      </c>
      <c r="BO207" s="56" t="s">
        <v>99</v>
      </c>
      <c r="BP207" s="62" t="s">
        <v>99</v>
      </c>
    </row>
    <row r="208" spans="2:68">
      <c r="B208" s="58">
        <v>7</v>
      </c>
      <c r="C208" s="59">
        <v>29</v>
      </c>
      <c r="D208" s="59" t="s">
        <v>105</v>
      </c>
      <c r="E208" s="60">
        <f>'[1]Master File'!B207</f>
        <v>46221</v>
      </c>
      <c r="F208" s="61" t="str">
        <f>'[1]Master File'!C207</f>
        <v>Explorer + 6PM</v>
      </c>
      <c r="G208" s="39"/>
      <c r="I208" s="63" t="s">
        <v>99</v>
      </c>
      <c r="J208" s="63" t="s">
        <v>99</v>
      </c>
      <c r="K208" s="63" t="s">
        <v>99</v>
      </c>
      <c r="L208" s="63" t="s">
        <v>23</v>
      </c>
      <c r="M208" s="63" t="s">
        <v>99</v>
      </c>
      <c r="N208" s="63" t="s">
        <v>99</v>
      </c>
      <c r="O208" s="63" t="s">
        <v>99</v>
      </c>
      <c r="P208" s="63" t="s">
        <v>99</v>
      </c>
      <c r="Q208" s="63" t="s">
        <v>99</v>
      </c>
      <c r="R208" s="63" t="s">
        <v>99</v>
      </c>
      <c r="S208" s="63" t="s">
        <v>99</v>
      </c>
      <c r="T208" s="63" t="s">
        <v>99</v>
      </c>
      <c r="U208" s="63" t="s">
        <v>99</v>
      </c>
      <c r="V208" s="63" t="s">
        <v>99</v>
      </c>
      <c r="W208" s="63" t="s">
        <v>99</v>
      </c>
      <c r="X208" s="63" t="s">
        <v>99</v>
      </c>
      <c r="Y208" s="56" t="s">
        <v>23</v>
      </c>
      <c r="Z208" s="63" t="s">
        <v>99</v>
      </c>
      <c r="AA208" s="63" t="s">
        <v>99</v>
      </c>
      <c r="AB208" s="63" t="s">
        <v>99</v>
      </c>
      <c r="AC208" s="63" t="s">
        <v>23</v>
      </c>
      <c r="AD208" s="63" t="s">
        <v>99</v>
      </c>
      <c r="AE208" s="63" t="s">
        <v>99</v>
      </c>
      <c r="AF208" s="63" t="s">
        <v>99</v>
      </c>
      <c r="AG208" s="63" t="s">
        <v>23</v>
      </c>
      <c r="AH208" s="63" t="s">
        <v>99</v>
      </c>
      <c r="AI208" s="63" t="s">
        <v>99</v>
      </c>
      <c r="AJ208" s="63" t="s">
        <v>99</v>
      </c>
      <c r="AK208" s="63" t="s">
        <v>23</v>
      </c>
      <c r="AL208" s="63" t="s">
        <v>99</v>
      </c>
      <c r="AM208" s="63" t="s">
        <v>99</v>
      </c>
      <c r="AN208" s="63" t="s">
        <v>99</v>
      </c>
      <c r="AO208" s="63" t="s">
        <v>99</v>
      </c>
      <c r="AP208" s="63" t="s">
        <v>99</v>
      </c>
      <c r="AQ208" s="63" t="s">
        <v>23</v>
      </c>
      <c r="AR208" s="63" t="s">
        <v>99</v>
      </c>
      <c r="AS208" s="63" t="s">
        <v>99</v>
      </c>
      <c r="AT208" s="63" t="s">
        <v>99</v>
      </c>
      <c r="AU208" s="63" t="s">
        <v>99</v>
      </c>
      <c r="AV208" s="63" t="s">
        <v>99</v>
      </c>
      <c r="AW208" s="63" t="s">
        <v>99</v>
      </c>
      <c r="AX208" s="63" t="s">
        <v>99</v>
      </c>
      <c r="AY208" s="63" t="s">
        <v>99</v>
      </c>
      <c r="AZ208" s="63" t="s">
        <v>99</v>
      </c>
      <c r="BA208" s="63" t="s">
        <v>99</v>
      </c>
      <c r="BB208" s="63" t="s">
        <v>99</v>
      </c>
      <c r="BC208" s="63" t="s">
        <v>99</v>
      </c>
      <c r="BD208" s="63" t="s">
        <v>99</v>
      </c>
      <c r="BE208" s="63" t="s">
        <v>99</v>
      </c>
      <c r="BF208" s="63" t="s">
        <v>99</v>
      </c>
      <c r="BG208" s="63" t="s">
        <v>99</v>
      </c>
      <c r="BH208" s="63" t="s">
        <v>99</v>
      </c>
      <c r="BI208" s="63" t="s">
        <v>99</v>
      </c>
      <c r="BJ208" s="63" t="s">
        <v>99</v>
      </c>
      <c r="BK208" s="63" t="s">
        <v>99</v>
      </c>
      <c r="BL208" s="63" t="s">
        <v>99</v>
      </c>
      <c r="BM208" s="63" t="s">
        <v>99</v>
      </c>
      <c r="BN208" s="63" t="s">
        <v>99</v>
      </c>
      <c r="BO208" s="63" t="s">
        <v>99</v>
      </c>
      <c r="BP208" s="64" t="s">
        <v>99</v>
      </c>
    </row>
    <row r="209" spans="2:68">
      <c r="B209" s="58">
        <v>7</v>
      </c>
      <c r="C209" s="59">
        <v>30</v>
      </c>
      <c r="D209" s="59" t="s">
        <v>98</v>
      </c>
      <c r="E209" s="60">
        <f>'[1]Master File'!B208</f>
        <v>46222</v>
      </c>
      <c r="F209" s="61" t="str">
        <f>'[1]Master File'!C208</f>
        <v>Explorer + 6PM</v>
      </c>
      <c r="G209" s="39"/>
      <c r="I209" s="63" t="s">
        <v>99</v>
      </c>
      <c r="J209" s="63" t="s">
        <v>99</v>
      </c>
      <c r="K209" s="63" t="s">
        <v>99</v>
      </c>
      <c r="L209" s="63" t="s">
        <v>23</v>
      </c>
      <c r="M209" s="63" t="s">
        <v>99</v>
      </c>
      <c r="N209" s="63" t="s">
        <v>99</v>
      </c>
      <c r="O209" s="63" t="s">
        <v>99</v>
      </c>
      <c r="P209" s="63" t="s">
        <v>99</v>
      </c>
      <c r="Q209" s="63" t="s">
        <v>99</v>
      </c>
      <c r="R209" s="63" t="s">
        <v>99</v>
      </c>
      <c r="S209" s="63" t="s">
        <v>99</v>
      </c>
      <c r="T209" s="63" t="s">
        <v>99</v>
      </c>
      <c r="U209" s="63" t="s">
        <v>99</v>
      </c>
      <c r="V209" s="63" t="s">
        <v>99</v>
      </c>
      <c r="W209" s="63" t="s">
        <v>99</v>
      </c>
      <c r="X209" s="63" t="s">
        <v>99</v>
      </c>
      <c r="Y209" s="56" t="s">
        <v>23</v>
      </c>
      <c r="Z209" s="63" t="s">
        <v>99</v>
      </c>
      <c r="AA209" s="63" t="s">
        <v>99</v>
      </c>
      <c r="AB209" s="63" t="s">
        <v>99</v>
      </c>
      <c r="AC209" s="63" t="s">
        <v>23</v>
      </c>
      <c r="AD209" s="63" t="s">
        <v>99</v>
      </c>
      <c r="AE209" s="63" t="s">
        <v>99</v>
      </c>
      <c r="AF209" s="63" t="s">
        <v>99</v>
      </c>
      <c r="AG209" s="63" t="s">
        <v>23</v>
      </c>
      <c r="AH209" s="63" t="s">
        <v>99</v>
      </c>
      <c r="AI209" s="63" t="s">
        <v>99</v>
      </c>
      <c r="AJ209" s="63" t="s">
        <v>99</v>
      </c>
      <c r="AK209" s="63" t="s">
        <v>23</v>
      </c>
      <c r="AL209" s="63" t="s">
        <v>99</v>
      </c>
      <c r="AM209" s="63" t="s">
        <v>99</v>
      </c>
      <c r="AN209" s="63" t="s">
        <v>99</v>
      </c>
      <c r="AO209" s="63" t="s">
        <v>99</v>
      </c>
      <c r="AP209" s="63" t="s">
        <v>99</v>
      </c>
      <c r="AQ209" s="63" t="s">
        <v>23</v>
      </c>
      <c r="AR209" s="63" t="s">
        <v>99</v>
      </c>
      <c r="AS209" s="63" t="s">
        <v>99</v>
      </c>
      <c r="AT209" s="63" t="s">
        <v>99</v>
      </c>
      <c r="AU209" s="63" t="s">
        <v>99</v>
      </c>
      <c r="AV209" s="63" t="s">
        <v>99</v>
      </c>
      <c r="AW209" s="63" t="s">
        <v>99</v>
      </c>
      <c r="AX209" s="63" t="s">
        <v>99</v>
      </c>
      <c r="AY209" s="63" t="s">
        <v>99</v>
      </c>
      <c r="AZ209" s="63" t="s">
        <v>99</v>
      </c>
      <c r="BA209" s="63" t="s">
        <v>99</v>
      </c>
      <c r="BB209" s="63" t="s">
        <v>99</v>
      </c>
      <c r="BC209" s="63" t="s">
        <v>99</v>
      </c>
      <c r="BD209" s="63" t="s">
        <v>99</v>
      </c>
      <c r="BE209" s="63" t="s">
        <v>99</v>
      </c>
      <c r="BF209" s="63" t="s">
        <v>99</v>
      </c>
      <c r="BG209" s="63" t="s">
        <v>99</v>
      </c>
      <c r="BH209" s="63" t="s">
        <v>99</v>
      </c>
      <c r="BI209" s="63" t="s">
        <v>99</v>
      </c>
      <c r="BJ209" s="63" t="s">
        <v>99</v>
      </c>
      <c r="BK209" s="63" t="s">
        <v>99</v>
      </c>
      <c r="BL209" s="63" t="s">
        <v>99</v>
      </c>
      <c r="BM209" s="63" t="s">
        <v>99</v>
      </c>
      <c r="BN209" s="63" t="s">
        <v>99</v>
      </c>
      <c r="BO209" s="63" t="s">
        <v>99</v>
      </c>
      <c r="BP209" s="64" t="s">
        <v>99</v>
      </c>
    </row>
    <row r="210" spans="2:68">
      <c r="B210" s="58">
        <v>7</v>
      </c>
      <c r="C210" s="59">
        <v>30</v>
      </c>
      <c r="D210" s="59" t="s">
        <v>100</v>
      </c>
      <c r="E210" s="60">
        <f>'[1]Master File'!B209</f>
        <v>46223</v>
      </c>
      <c r="F210" s="61" t="str">
        <f>'[1]Master File'!C209</f>
        <v>Explorer + 5PM</v>
      </c>
      <c r="G210" s="39"/>
      <c r="I210" s="56" t="s">
        <v>99</v>
      </c>
      <c r="J210" s="56" t="s">
        <v>99</v>
      </c>
      <c r="K210" s="56" t="s">
        <v>99</v>
      </c>
      <c r="L210" s="63" t="s">
        <v>23</v>
      </c>
      <c r="M210" s="56" t="s">
        <v>99</v>
      </c>
      <c r="N210" s="56" t="s">
        <v>99</v>
      </c>
      <c r="O210" s="56" t="s">
        <v>99</v>
      </c>
      <c r="P210" s="56" t="s">
        <v>99</v>
      </c>
      <c r="Q210" s="56" t="s">
        <v>99</v>
      </c>
      <c r="R210" s="56" t="s">
        <v>99</v>
      </c>
      <c r="S210" s="56" t="s">
        <v>99</v>
      </c>
      <c r="T210" s="56" t="s">
        <v>99</v>
      </c>
      <c r="U210" s="56" t="s">
        <v>99</v>
      </c>
      <c r="V210" s="56" t="s">
        <v>99</v>
      </c>
      <c r="W210" s="56" t="s">
        <v>99</v>
      </c>
      <c r="X210" s="56" t="s">
        <v>99</v>
      </c>
      <c r="Y210" s="56" t="s">
        <v>23</v>
      </c>
      <c r="Z210" s="56" t="s">
        <v>99</v>
      </c>
      <c r="AA210" s="56" t="s">
        <v>99</v>
      </c>
      <c r="AB210" s="56" t="s">
        <v>99</v>
      </c>
      <c r="AC210" s="56" t="s">
        <v>99</v>
      </c>
      <c r="AD210" s="56" t="s">
        <v>99</v>
      </c>
      <c r="AE210" s="56" t="s">
        <v>99</v>
      </c>
      <c r="AF210" s="56" t="s">
        <v>99</v>
      </c>
      <c r="AG210" s="56" t="s">
        <v>23</v>
      </c>
      <c r="AH210" s="56" t="s">
        <v>99</v>
      </c>
      <c r="AI210" s="56" t="s">
        <v>99</v>
      </c>
      <c r="AJ210" s="56" t="s">
        <v>99</v>
      </c>
      <c r="AK210" s="63" t="s">
        <v>23</v>
      </c>
      <c r="AL210" s="56" t="s">
        <v>99</v>
      </c>
      <c r="AM210" s="56" t="s">
        <v>99</v>
      </c>
      <c r="AN210" s="56" t="s">
        <v>99</v>
      </c>
      <c r="AO210" s="56" t="s">
        <v>99</v>
      </c>
      <c r="AP210" s="56" t="s">
        <v>99</v>
      </c>
      <c r="AQ210" s="56" t="s">
        <v>99</v>
      </c>
      <c r="AR210" s="56" t="s">
        <v>99</v>
      </c>
      <c r="AS210" s="56" t="s">
        <v>99</v>
      </c>
      <c r="AT210" s="56" t="s">
        <v>99</v>
      </c>
      <c r="AU210" s="56" t="s">
        <v>99</v>
      </c>
      <c r="AV210" s="56" t="s">
        <v>99</v>
      </c>
      <c r="AW210" s="56" t="s">
        <v>99</v>
      </c>
      <c r="AX210" s="56" t="s">
        <v>99</v>
      </c>
      <c r="AY210" s="56" t="s">
        <v>99</v>
      </c>
      <c r="AZ210" s="56" t="s">
        <v>99</v>
      </c>
      <c r="BA210" s="56" t="s">
        <v>99</v>
      </c>
      <c r="BB210" s="56" t="s">
        <v>99</v>
      </c>
      <c r="BC210" s="56" t="s">
        <v>99</v>
      </c>
      <c r="BD210" s="56" t="s">
        <v>99</v>
      </c>
      <c r="BE210" s="56" t="s">
        <v>99</v>
      </c>
      <c r="BF210" s="56" t="s">
        <v>99</v>
      </c>
      <c r="BG210" s="56" t="s">
        <v>99</v>
      </c>
      <c r="BH210" s="56" t="s">
        <v>99</v>
      </c>
      <c r="BI210" s="56" t="s">
        <v>99</v>
      </c>
      <c r="BJ210" s="56" t="s">
        <v>99</v>
      </c>
      <c r="BK210" s="56" t="s">
        <v>99</v>
      </c>
      <c r="BL210" s="56" t="s">
        <v>99</v>
      </c>
      <c r="BM210" s="56" t="s">
        <v>99</v>
      </c>
      <c r="BN210" s="56" t="s">
        <v>99</v>
      </c>
      <c r="BO210" s="56" t="s">
        <v>99</v>
      </c>
      <c r="BP210" s="62" t="s">
        <v>99</v>
      </c>
    </row>
    <row r="211" spans="2:68">
      <c r="B211" s="58">
        <v>7</v>
      </c>
      <c r="C211" s="59">
        <v>30</v>
      </c>
      <c r="D211" s="59" t="s">
        <v>101</v>
      </c>
      <c r="E211" s="60">
        <f>'[1]Master File'!B210</f>
        <v>46224</v>
      </c>
      <c r="F211" s="61" t="str">
        <f>'[1]Master File'!C210</f>
        <v>Explorer + 5PM</v>
      </c>
      <c r="G211" s="39"/>
      <c r="I211" s="56" t="s">
        <v>99</v>
      </c>
      <c r="J211" s="56" t="s">
        <v>99</v>
      </c>
      <c r="K211" s="56" t="s">
        <v>99</v>
      </c>
      <c r="L211" s="63" t="s">
        <v>23</v>
      </c>
      <c r="M211" s="56" t="s">
        <v>99</v>
      </c>
      <c r="N211" s="56" t="s">
        <v>99</v>
      </c>
      <c r="O211" s="56" t="s">
        <v>99</v>
      </c>
      <c r="P211" s="56" t="s">
        <v>99</v>
      </c>
      <c r="Q211" s="56" t="s">
        <v>99</v>
      </c>
      <c r="R211" s="56" t="s">
        <v>99</v>
      </c>
      <c r="S211" s="56" t="s">
        <v>99</v>
      </c>
      <c r="T211" s="56" t="s">
        <v>99</v>
      </c>
      <c r="U211" s="56" t="s">
        <v>99</v>
      </c>
      <c r="V211" s="56" t="s">
        <v>99</v>
      </c>
      <c r="W211" s="56" t="s">
        <v>99</v>
      </c>
      <c r="X211" s="56" t="s">
        <v>99</v>
      </c>
      <c r="Y211" s="56" t="s">
        <v>23</v>
      </c>
      <c r="Z211" s="56" t="s">
        <v>99</v>
      </c>
      <c r="AA211" s="56" t="s">
        <v>99</v>
      </c>
      <c r="AB211" s="56" t="s">
        <v>99</v>
      </c>
      <c r="AC211" s="56" t="s">
        <v>23</v>
      </c>
      <c r="AD211" s="56" t="s">
        <v>99</v>
      </c>
      <c r="AE211" s="56" t="s">
        <v>99</v>
      </c>
      <c r="AF211" s="56" t="s">
        <v>99</v>
      </c>
      <c r="AG211" s="56" t="s">
        <v>23</v>
      </c>
      <c r="AH211" s="56" t="s">
        <v>99</v>
      </c>
      <c r="AI211" s="56" t="s">
        <v>99</v>
      </c>
      <c r="AJ211" s="56" t="s">
        <v>99</v>
      </c>
      <c r="AK211" s="63" t="s">
        <v>23</v>
      </c>
      <c r="AL211" s="56" t="s">
        <v>99</v>
      </c>
      <c r="AM211" s="56" t="s">
        <v>99</v>
      </c>
      <c r="AN211" s="56" t="s">
        <v>99</v>
      </c>
      <c r="AO211" s="56" t="s">
        <v>99</v>
      </c>
      <c r="AP211" s="56" t="s">
        <v>99</v>
      </c>
      <c r="AQ211" s="56" t="s">
        <v>99</v>
      </c>
      <c r="AR211" s="56" t="s">
        <v>99</v>
      </c>
      <c r="AS211" s="56" t="s">
        <v>99</v>
      </c>
      <c r="AT211" s="56" t="s">
        <v>99</v>
      </c>
      <c r="AU211" s="56" t="s">
        <v>99</v>
      </c>
      <c r="AV211" s="56" t="s">
        <v>99</v>
      </c>
      <c r="AW211" s="56" t="s">
        <v>99</v>
      </c>
      <c r="AX211" s="56" t="s">
        <v>99</v>
      </c>
      <c r="AY211" s="56" t="s">
        <v>99</v>
      </c>
      <c r="AZ211" s="56" t="s">
        <v>99</v>
      </c>
      <c r="BA211" s="56" t="s">
        <v>99</v>
      </c>
      <c r="BB211" s="56" t="s">
        <v>99</v>
      </c>
      <c r="BC211" s="56" t="s">
        <v>99</v>
      </c>
      <c r="BD211" s="56" t="s">
        <v>99</v>
      </c>
      <c r="BE211" s="56" t="s">
        <v>99</v>
      </c>
      <c r="BF211" s="56" t="s">
        <v>99</v>
      </c>
      <c r="BG211" s="56" t="s">
        <v>99</v>
      </c>
      <c r="BH211" s="56" t="s">
        <v>99</v>
      </c>
      <c r="BI211" s="56" t="s">
        <v>99</v>
      </c>
      <c r="BJ211" s="56" t="s">
        <v>99</v>
      </c>
      <c r="BK211" s="56" t="s">
        <v>99</v>
      </c>
      <c r="BL211" s="56" t="s">
        <v>99</v>
      </c>
      <c r="BM211" s="56" t="s">
        <v>99</v>
      </c>
      <c r="BN211" s="56" t="s">
        <v>99</v>
      </c>
      <c r="BO211" s="56" t="s">
        <v>99</v>
      </c>
      <c r="BP211" s="62" t="s">
        <v>99</v>
      </c>
    </row>
    <row r="212" spans="2:68">
      <c r="B212" s="58">
        <v>7</v>
      </c>
      <c r="C212" s="59">
        <v>30</v>
      </c>
      <c r="D212" s="59" t="s">
        <v>102</v>
      </c>
      <c r="E212" s="60">
        <f>'[1]Master File'!B211</f>
        <v>46225</v>
      </c>
      <c r="F212" s="61" t="str">
        <f>'[1]Master File'!C211</f>
        <v>Explorer + 5PM</v>
      </c>
      <c r="G212" s="39"/>
      <c r="I212" s="56" t="s">
        <v>99</v>
      </c>
      <c r="J212" s="56" t="s">
        <v>99</v>
      </c>
      <c r="K212" s="56" t="s">
        <v>99</v>
      </c>
      <c r="L212" s="63" t="s">
        <v>23</v>
      </c>
      <c r="M212" s="56" t="s">
        <v>99</v>
      </c>
      <c r="N212" s="56" t="s">
        <v>99</v>
      </c>
      <c r="O212" s="56" t="s">
        <v>99</v>
      </c>
      <c r="P212" s="56" t="s">
        <v>99</v>
      </c>
      <c r="Q212" s="56" t="s">
        <v>99</v>
      </c>
      <c r="R212" s="56" t="s">
        <v>99</v>
      </c>
      <c r="S212" s="56" t="s">
        <v>99</v>
      </c>
      <c r="T212" s="56" t="s">
        <v>99</v>
      </c>
      <c r="U212" s="56" t="s">
        <v>99</v>
      </c>
      <c r="V212" s="56" t="s">
        <v>99</v>
      </c>
      <c r="W212" s="56" t="s">
        <v>99</v>
      </c>
      <c r="X212" s="56" t="s">
        <v>99</v>
      </c>
      <c r="Y212" s="56" t="s">
        <v>23</v>
      </c>
      <c r="Z212" s="56" t="s">
        <v>99</v>
      </c>
      <c r="AA212" s="56" t="s">
        <v>99</v>
      </c>
      <c r="AB212" s="56" t="s">
        <v>99</v>
      </c>
      <c r="AC212" s="56" t="s">
        <v>23</v>
      </c>
      <c r="AD212" s="56" t="s">
        <v>99</v>
      </c>
      <c r="AE212" s="56" t="s">
        <v>99</v>
      </c>
      <c r="AF212" s="56" t="s">
        <v>99</v>
      </c>
      <c r="AG212" s="56" t="s">
        <v>23</v>
      </c>
      <c r="AH212" s="56" t="s">
        <v>99</v>
      </c>
      <c r="AI212" s="56" t="s">
        <v>99</v>
      </c>
      <c r="AJ212" s="56" t="s">
        <v>99</v>
      </c>
      <c r="AK212" s="63" t="s">
        <v>23</v>
      </c>
      <c r="AL212" s="56" t="s">
        <v>99</v>
      </c>
      <c r="AM212" s="56" t="s">
        <v>99</v>
      </c>
      <c r="AN212" s="56" t="s">
        <v>99</v>
      </c>
      <c r="AO212" s="56" t="s">
        <v>99</v>
      </c>
      <c r="AP212" s="56" t="s">
        <v>99</v>
      </c>
      <c r="AQ212" s="56" t="s">
        <v>99</v>
      </c>
      <c r="AR212" s="56" t="s">
        <v>99</v>
      </c>
      <c r="AS212" s="56" t="s">
        <v>99</v>
      </c>
      <c r="AT212" s="56" t="s">
        <v>99</v>
      </c>
      <c r="AU212" s="56" t="s">
        <v>99</v>
      </c>
      <c r="AV212" s="56" t="s">
        <v>99</v>
      </c>
      <c r="AW212" s="56" t="s">
        <v>99</v>
      </c>
      <c r="AX212" s="56" t="s">
        <v>99</v>
      </c>
      <c r="AY212" s="56" t="s">
        <v>99</v>
      </c>
      <c r="AZ212" s="56" t="s">
        <v>99</v>
      </c>
      <c r="BA212" s="56" t="s">
        <v>99</v>
      </c>
      <c r="BB212" s="56" t="s">
        <v>99</v>
      </c>
      <c r="BC212" s="56" t="s">
        <v>99</v>
      </c>
      <c r="BD212" s="56" t="s">
        <v>99</v>
      </c>
      <c r="BE212" s="56" t="s">
        <v>99</v>
      </c>
      <c r="BF212" s="56" t="s">
        <v>99</v>
      </c>
      <c r="BG212" s="56" t="s">
        <v>99</v>
      </c>
      <c r="BH212" s="56" t="s">
        <v>99</v>
      </c>
      <c r="BI212" s="56" t="s">
        <v>99</v>
      </c>
      <c r="BJ212" s="56" t="s">
        <v>99</v>
      </c>
      <c r="BK212" s="56" t="s">
        <v>99</v>
      </c>
      <c r="BL212" s="56" t="s">
        <v>99</v>
      </c>
      <c r="BM212" s="56" t="s">
        <v>99</v>
      </c>
      <c r="BN212" s="56" t="s">
        <v>99</v>
      </c>
      <c r="BO212" s="56" t="s">
        <v>99</v>
      </c>
      <c r="BP212" s="62" t="s">
        <v>99</v>
      </c>
    </row>
    <row r="213" spans="2:68">
      <c r="B213" s="58">
        <v>7</v>
      </c>
      <c r="C213" s="59">
        <v>30</v>
      </c>
      <c r="D213" s="59" t="s">
        <v>103</v>
      </c>
      <c r="E213" s="60">
        <f>'[1]Master File'!B212</f>
        <v>46226</v>
      </c>
      <c r="F213" s="61" t="str">
        <f>'[1]Master File'!C212</f>
        <v>Explorer + 5PM</v>
      </c>
      <c r="G213" s="39"/>
      <c r="I213" s="56" t="s">
        <v>99</v>
      </c>
      <c r="J213" s="56" t="s">
        <v>99</v>
      </c>
      <c r="K213" s="56" t="s">
        <v>99</v>
      </c>
      <c r="L213" s="63" t="s">
        <v>23</v>
      </c>
      <c r="M213" s="56" t="s">
        <v>99</v>
      </c>
      <c r="N213" s="56" t="s">
        <v>99</v>
      </c>
      <c r="O213" s="56" t="s">
        <v>99</v>
      </c>
      <c r="P213" s="56" t="s">
        <v>99</v>
      </c>
      <c r="Q213" s="56" t="s">
        <v>99</v>
      </c>
      <c r="R213" s="56" t="s">
        <v>99</v>
      </c>
      <c r="S213" s="56" t="s">
        <v>99</v>
      </c>
      <c r="T213" s="56" t="s">
        <v>99</v>
      </c>
      <c r="U213" s="56" t="s">
        <v>99</v>
      </c>
      <c r="V213" s="56" t="s">
        <v>99</v>
      </c>
      <c r="W213" s="56" t="s">
        <v>99</v>
      </c>
      <c r="X213" s="56" t="s">
        <v>99</v>
      </c>
      <c r="Y213" s="56" t="s">
        <v>23</v>
      </c>
      <c r="Z213" s="56" t="s">
        <v>99</v>
      </c>
      <c r="AA213" s="56" t="s">
        <v>99</v>
      </c>
      <c r="AB213" s="56" t="s">
        <v>99</v>
      </c>
      <c r="AC213" s="56" t="s">
        <v>23</v>
      </c>
      <c r="AD213" s="56" t="s">
        <v>99</v>
      </c>
      <c r="AE213" s="56" t="s">
        <v>99</v>
      </c>
      <c r="AF213" s="56" t="s">
        <v>99</v>
      </c>
      <c r="AG213" s="56" t="s">
        <v>23</v>
      </c>
      <c r="AH213" s="56" t="s">
        <v>99</v>
      </c>
      <c r="AI213" s="56" t="s">
        <v>99</v>
      </c>
      <c r="AJ213" s="56" t="s">
        <v>99</v>
      </c>
      <c r="AK213" s="63" t="s">
        <v>23</v>
      </c>
      <c r="AL213" s="56" t="s">
        <v>99</v>
      </c>
      <c r="AM213" s="56" t="s">
        <v>99</v>
      </c>
      <c r="AN213" s="56" t="s">
        <v>99</v>
      </c>
      <c r="AO213" s="56" t="s">
        <v>99</v>
      </c>
      <c r="AP213" s="56" t="s">
        <v>99</v>
      </c>
      <c r="AQ213" s="56" t="s">
        <v>99</v>
      </c>
      <c r="AR213" s="56" t="s">
        <v>99</v>
      </c>
      <c r="AS213" s="56" t="s">
        <v>99</v>
      </c>
      <c r="AT213" s="56" t="s">
        <v>99</v>
      </c>
      <c r="AU213" s="56" t="s">
        <v>99</v>
      </c>
      <c r="AV213" s="56" t="s">
        <v>99</v>
      </c>
      <c r="AW213" s="56" t="s">
        <v>99</v>
      </c>
      <c r="AX213" s="56" t="s">
        <v>99</v>
      </c>
      <c r="AY213" s="56" t="s">
        <v>99</v>
      </c>
      <c r="AZ213" s="56" t="s">
        <v>99</v>
      </c>
      <c r="BA213" s="56" t="s">
        <v>99</v>
      </c>
      <c r="BB213" s="56" t="s">
        <v>99</v>
      </c>
      <c r="BC213" s="56" t="s">
        <v>99</v>
      </c>
      <c r="BD213" s="56" t="s">
        <v>99</v>
      </c>
      <c r="BE213" s="56" t="s">
        <v>99</v>
      </c>
      <c r="BF213" s="56" t="s">
        <v>99</v>
      </c>
      <c r="BG213" s="56" t="s">
        <v>99</v>
      </c>
      <c r="BH213" s="56" t="s">
        <v>99</v>
      </c>
      <c r="BI213" s="56" t="s">
        <v>99</v>
      </c>
      <c r="BJ213" s="56" t="s">
        <v>99</v>
      </c>
      <c r="BK213" s="56" t="s">
        <v>99</v>
      </c>
      <c r="BL213" s="56" t="s">
        <v>99</v>
      </c>
      <c r="BM213" s="56" t="s">
        <v>99</v>
      </c>
      <c r="BN213" s="56" t="s">
        <v>99</v>
      </c>
      <c r="BO213" s="56" t="s">
        <v>99</v>
      </c>
      <c r="BP213" s="62" t="s">
        <v>99</v>
      </c>
    </row>
    <row r="214" spans="2:68">
      <c r="B214" s="58">
        <v>7</v>
      </c>
      <c r="C214" s="59">
        <v>30</v>
      </c>
      <c r="D214" s="59" t="s">
        <v>104</v>
      </c>
      <c r="E214" s="60">
        <f>'[1]Master File'!B213</f>
        <v>46227</v>
      </c>
      <c r="F214" s="61" t="str">
        <f>'[1]Master File'!C213</f>
        <v>Explorer + 5PM</v>
      </c>
      <c r="G214" s="39"/>
      <c r="I214" s="56" t="s">
        <v>99</v>
      </c>
      <c r="J214" s="56" t="s">
        <v>99</v>
      </c>
      <c r="K214" s="56" t="s">
        <v>99</v>
      </c>
      <c r="L214" s="63" t="s">
        <v>23</v>
      </c>
      <c r="M214" s="56" t="s">
        <v>99</v>
      </c>
      <c r="N214" s="56" t="s">
        <v>99</v>
      </c>
      <c r="O214" s="56" t="s">
        <v>99</v>
      </c>
      <c r="P214" s="56" t="s">
        <v>99</v>
      </c>
      <c r="Q214" s="56" t="s">
        <v>99</v>
      </c>
      <c r="R214" s="56" t="s">
        <v>99</v>
      </c>
      <c r="S214" s="56" t="s">
        <v>99</v>
      </c>
      <c r="T214" s="56" t="s">
        <v>99</v>
      </c>
      <c r="U214" s="56" t="s">
        <v>99</v>
      </c>
      <c r="V214" s="56" t="s">
        <v>99</v>
      </c>
      <c r="W214" s="56" t="s">
        <v>99</v>
      </c>
      <c r="X214" s="56" t="s">
        <v>99</v>
      </c>
      <c r="Y214" s="56" t="s">
        <v>23</v>
      </c>
      <c r="Z214" s="56" t="s">
        <v>99</v>
      </c>
      <c r="AA214" s="56" t="s">
        <v>99</v>
      </c>
      <c r="AB214" s="56" t="s">
        <v>99</v>
      </c>
      <c r="AC214" s="56" t="s">
        <v>23</v>
      </c>
      <c r="AD214" s="56" t="s">
        <v>99</v>
      </c>
      <c r="AE214" s="56" t="s">
        <v>99</v>
      </c>
      <c r="AF214" s="56" t="s">
        <v>99</v>
      </c>
      <c r="AG214" s="56" t="s">
        <v>23</v>
      </c>
      <c r="AH214" s="56" t="s">
        <v>99</v>
      </c>
      <c r="AI214" s="56" t="s">
        <v>99</v>
      </c>
      <c r="AJ214" s="56" t="s">
        <v>99</v>
      </c>
      <c r="AK214" s="63" t="s">
        <v>23</v>
      </c>
      <c r="AL214" s="56" t="s">
        <v>99</v>
      </c>
      <c r="AM214" s="56" t="s">
        <v>99</v>
      </c>
      <c r="AN214" s="56" t="s">
        <v>99</v>
      </c>
      <c r="AO214" s="56" t="s">
        <v>99</v>
      </c>
      <c r="AP214" s="56" t="s">
        <v>99</v>
      </c>
      <c r="AQ214" s="56" t="s">
        <v>99</v>
      </c>
      <c r="AR214" s="56" t="s">
        <v>99</v>
      </c>
      <c r="AS214" s="56" t="s">
        <v>99</v>
      </c>
      <c r="AT214" s="56" t="s">
        <v>99</v>
      </c>
      <c r="AU214" s="56" t="s">
        <v>99</v>
      </c>
      <c r="AV214" s="56" t="s">
        <v>99</v>
      </c>
      <c r="AW214" s="56" t="s">
        <v>99</v>
      </c>
      <c r="AX214" s="56" t="s">
        <v>99</v>
      </c>
      <c r="AY214" s="56" t="s">
        <v>99</v>
      </c>
      <c r="AZ214" s="56" t="s">
        <v>99</v>
      </c>
      <c r="BA214" s="56" t="s">
        <v>99</v>
      </c>
      <c r="BB214" s="56" t="s">
        <v>99</v>
      </c>
      <c r="BC214" s="56" t="s">
        <v>99</v>
      </c>
      <c r="BD214" s="56" t="s">
        <v>99</v>
      </c>
      <c r="BE214" s="56" t="s">
        <v>99</v>
      </c>
      <c r="BF214" s="56" t="s">
        <v>99</v>
      </c>
      <c r="BG214" s="56" t="s">
        <v>99</v>
      </c>
      <c r="BH214" s="56" t="s">
        <v>99</v>
      </c>
      <c r="BI214" s="56" t="s">
        <v>99</v>
      </c>
      <c r="BJ214" s="56" t="s">
        <v>99</v>
      </c>
      <c r="BK214" s="56" t="s">
        <v>99</v>
      </c>
      <c r="BL214" s="56" t="s">
        <v>99</v>
      </c>
      <c r="BM214" s="56" t="s">
        <v>99</v>
      </c>
      <c r="BN214" s="56" t="s">
        <v>99</v>
      </c>
      <c r="BO214" s="56" t="s">
        <v>99</v>
      </c>
      <c r="BP214" s="62" t="s">
        <v>99</v>
      </c>
    </row>
    <row r="215" spans="2:68">
      <c r="B215" s="58">
        <v>7</v>
      </c>
      <c r="C215" s="59">
        <v>30</v>
      </c>
      <c r="D215" s="59" t="s">
        <v>105</v>
      </c>
      <c r="E215" s="60">
        <f>'[1]Master File'!B214</f>
        <v>46228</v>
      </c>
      <c r="F215" s="61" t="str">
        <f>'[1]Master File'!C214</f>
        <v>Explorer 6PM</v>
      </c>
      <c r="G215" s="39"/>
      <c r="I215" s="63" t="s">
        <v>99</v>
      </c>
      <c r="J215" s="63" t="s">
        <v>99</v>
      </c>
      <c r="K215" s="63" t="s">
        <v>99</v>
      </c>
      <c r="L215" s="63" t="s">
        <v>23</v>
      </c>
      <c r="M215" s="63" t="s">
        <v>99</v>
      </c>
      <c r="N215" s="63" t="s">
        <v>99</v>
      </c>
      <c r="O215" s="63" t="s">
        <v>99</v>
      </c>
      <c r="P215" s="63" t="s">
        <v>99</v>
      </c>
      <c r="Q215" s="63" t="s">
        <v>99</v>
      </c>
      <c r="R215" s="63" t="s">
        <v>99</v>
      </c>
      <c r="S215" s="63" t="s">
        <v>99</v>
      </c>
      <c r="T215" s="63" t="s">
        <v>99</v>
      </c>
      <c r="U215" s="63" t="s">
        <v>99</v>
      </c>
      <c r="V215" s="63" t="s">
        <v>99</v>
      </c>
      <c r="W215" s="63" t="s">
        <v>99</v>
      </c>
      <c r="X215" s="63" t="s">
        <v>99</v>
      </c>
      <c r="Y215" s="56" t="s">
        <v>23</v>
      </c>
      <c r="Z215" s="63" t="s">
        <v>99</v>
      </c>
      <c r="AA215" s="63" t="s">
        <v>99</v>
      </c>
      <c r="AB215" s="63" t="s">
        <v>99</v>
      </c>
      <c r="AC215" s="63" t="s">
        <v>23</v>
      </c>
      <c r="AD215" s="63" t="s">
        <v>99</v>
      </c>
      <c r="AE215" s="63" t="s">
        <v>99</v>
      </c>
      <c r="AF215" s="63" t="s">
        <v>99</v>
      </c>
      <c r="AG215" s="63" t="s">
        <v>23</v>
      </c>
      <c r="AH215" s="63" t="s">
        <v>99</v>
      </c>
      <c r="AI215" s="63" t="s">
        <v>99</v>
      </c>
      <c r="AJ215" s="63" t="s">
        <v>99</v>
      </c>
      <c r="AK215" s="63" t="s">
        <v>23</v>
      </c>
      <c r="AL215" s="63" t="s">
        <v>99</v>
      </c>
      <c r="AM215" s="63" t="s">
        <v>99</v>
      </c>
      <c r="AN215" s="63" t="s">
        <v>99</v>
      </c>
      <c r="AO215" s="63" t="s">
        <v>99</v>
      </c>
      <c r="AP215" s="63" t="s">
        <v>99</v>
      </c>
      <c r="AQ215" s="63" t="s">
        <v>23</v>
      </c>
      <c r="AR215" s="63" t="s">
        <v>99</v>
      </c>
      <c r="AS215" s="63" t="s">
        <v>99</v>
      </c>
      <c r="AT215" s="63" t="s">
        <v>99</v>
      </c>
      <c r="AU215" s="63" t="s">
        <v>99</v>
      </c>
      <c r="AV215" s="63" t="s">
        <v>99</v>
      </c>
      <c r="AW215" s="63" t="s">
        <v>99</v>
      </c>
      <c r="AX215" s="63" t="s">
        <v>99</v>
      </c>
      <c r="AY215" s="63" t="s">
        <v>99</v>
      </c>
      <c r="AZ215" s="63" t="s">
        <v>99</v>
      </c>
      <c r="BA215" s="63" t="s">
        <v>99</v>
      </c>
      <c r="BB215" s="63" t="s">
        <v>99</v>
      </c>
      <c r="BC215" s="63" t="s">
        <v>99</v>
      </c>
      <c r="BD215" s="63" t="s">
        <v>99</v>
      </c>
      <c r="BE215" s="63" t="s">
        <v>99</v>
      </c>
      <c r="BF215" s="63" t="s">
        <v>99</v>
      </c>
      <c r="BG215" s="63" t="s">
        <v>99</v>
      </c>
      <c r="BH215" s="63" t="s">
        <v>99</v>
      </c>
      <c r="BI215" s="63" t="s">
        <v>99</v>
      </c>
      <c r="BJ215" s="63" t="s">
        <v>99</v>
      </c>
      <c r="BK215" s="63" t="s">
        <v>99</v>
      </c>
      <c r="BL215" s="63" t="s">
        <v>99</v>
      </c>
      <c r="BM215" s="63" t="s">
        <v>99</v>
      </c>
      <c r="BN215" s="63" t="s">
        <v>99</v>
      </c>
      <c r="BO215" s="63" t="s">
        <v>99</v>
      </c>
      <c r="BP215" s="64" t="s">
        <v>99</v>
      </c>
    </row>
    <row r="216" spans="2:68">
      <c r="B216" s="58">
        <v>7</v>
      </c>
      <c r="C216" s="59">
        <v>31</v>
      </c>
      <c r="D216" s="59" t="s">
        <v>98</v>
      </c>
      <c r="E216" s="60">
        <f>'[1]Master File'!B215</f>
        <v>46229</v>
      </c>
      <c r="F216" s="61" t="str">
        <f>'[1]Master File'!C215</f>
        <v>Explorer 6PM</v>
      </c>
      <c r="G216" s="39"/>
      <c r="I216" s="63" t="s">
        <v>99</v>
      </c>
      <c r="J216" s="63" t="s">
        <v>99</v>
      </c>
      <c r="K216" s="63" t="s">
        <v>99</v>
      </c>
      <c r="L216" s="63" t="s">
        <v>23</v>
      </c>
      <c r="M216" s="63" t="s">
        <v>99</v>
      </c>
      <c r="N216" s="63" t="s">
        <v>99</v>
      </c>
      <c r="O216" s="63" t="s">
        <v>99</v>
      </c>
      <c r="P216" s="63" t="s">
        <v>99</v>
      </c>
      <c r="Q216" s="63" t="s">
        <v>99</v>
      </c>
      <c r="R216" s="63" t="s">
        <v>99</v>
      </c>
      <c r="S216" s="63" t="s">
        <v>99</v>
      </c>
      <c r="T216" s="63" t="s">
        <v>99</v>
      </c>
      <c r="U216" s="63" t="s">
        <v>99</v>
      </c>
      <c r="V216" s="63" t="s">
        <v>99</v>
      </c>
      <c r="W216" s="63" t="s">
        <v>99</v>
      </c>
      <c r="X216" s="63" t="s">
        <v>99</v>
      </c>
      <c r="Y216" s="56" t="s">
        <v>23</v>
      </c>
      <c r="Z216" s="63" t="s">
        <v>99</v>
      </c>
      <c r="AA216" s="63" t="s">
        <v>99</v>
      </c>
      <c r="AB216" s="63" t="s">
        <v>99</v>
      </c>
      <c r="AC216" s="63" t="s">
        <v>23</v>
      </c>
      <c r="AD216" s="63" t="s">
        <v>99</v>
      </c>
      <c r="AE216" s="63" t="s">
        <v>99</v>
      </c>
      <c r="AF216" s="63" t="s">
        <v>99</v>
      </c>
      <c r="AG216" s="63" t="s">
        <v>23</v>
      </c>
      <c r="AH216" s="63" t="s">
        <v>99</v>
      </c>
      <c r="AI216" s="63" t="s">
        <v>99</v>
      </c>
      <c r="AJ216" s="63" t="s">
        <v>99</v>
      </c>
      <c r="AK216" s="63" t="s">
        <v>23</v>
      </c>
      <c r="AL216" s="63" t="s">
        <v>99</v>
      </c>
      <c r="AM216" s="63" t="s">
        <v>99</v>
      </c>
      <c r="AN216" s="63" t="s">
        <v>99</v>
      </c>
      <c r="AO216" s="63" t="s">
        <v>99</v>
      </c>
      <c r="AP216" s="63" t="s">
        <v>99</v>
      </c>
      <c r="AQ216" s="63" t="s">
        <v>23</v>
      </c>
      <c r="AR216" s="63" t="s">
        <v>99</v>
      </c>
      <c r="AS216" s="63" t="s">
        <v>99</v>
      </c>
      <c r="AT216" s="63" t="s">
        <v>99</v>
      </c>
      <c r="AU216" s="63" t="s">
        <v>99</v>
      </c>
      <c r="AV216" s="63" t="s">
        <v>99</v>
      </c>
      <c r="AW216" s="63" t="s">
        <v>99</v>
      </c>
      <c r="AX216" s="63" t="s">
        <v>99</v>
      </c>
      <c r="AY216" s="63" t="s">
        <v>99</v>
      </c>
      <c r="AZ216" s="63" t="s">
        <v>99</v>
      </c>
      <c r="BA216" s="63" t="s">
        <v>99</v>
      </c>
      <c r="BB216" s="63" t="s">
        <v>99</v>
      </c>
      <c r="BC216" s="63" t="s">
        <v>99</v>
      </c>
      <c r="BD216" s="63" t="s">
        <v>99</v>
      </c>
      <c r="BE216" s="63" t="s">
        <v>99</v>
      </c>
      <c r="BF216" s="63" t="s">
        <v>99</v>
      </c>
      <c r="BG216" s="63" t="s">
        <v>99</v>
      </c>
      <c r="BH216" s="63" t="s">
        <v>99</v>
      </c>
      <c r="BI216" s="63" t="s">
        <v>99</v>
      </c>
      <c r="BJ216" s="63" t="s">
        <v>99</v>
      </c>
      <c r="BK216" s="63" t="s">
        <v>99</v>
      </c>
      <c r="BL216" s="63" t="s">
        <v>99</v>
      </c>
      <c r="BM216" s="63" t="s">
        <v>99</v>
      </c>
      <c r="BN216" s="63" t="s">
        <v>99</v>
      </c>
      <c r="BO216" s="63" t="s">
        <v>99</v>
      </c>
      <c r="BP216" s="64" t="s">
        <v>99</v>
      </c>
    </row>
    <row r="217" spans="2:68">
      <c r="B217" s="58">
        <v>7</v>
      </c>
      <c r="C217" s="59">
        <v>31</v>
      </c>
      <c r="D217" s="59" t="s">
        <v>100</v>
      </c>
      <c r="E217" s="60">
        <f>'[1]Master File'!B216</f>
        <v>46230</v>
      </c>
      <c r="F217" s="61" t="str">
        <f>'[1]Master File'!C216</f>
        <v>Explorer 6PM</v>
      </c>
      <c r="G217" s="39"/>
      <c r="I217" s="56" t="s">
        <v>99</v>
      </c>
      <c r="J217" s="56" t="s">
        <v>99</v>
      </c>
      <c r="K217" s="56" t="s">
        <v>99</v>
      </c>
      <c r="L217" s="63" t="s">
        <v>23</v>
      </c>
      <c r="M217" s="56" t="s">
        <v>99</v>
      </c>
      <c r="N217" s="56" t="s">
        <v>99</v>
      </c>
      <c r="O217" s="56" t="s">
        <v>99</v>
      </c>
      <c r="P217" s="56" t="s">
        <v>99</v>
      </c>
      <c r="Q217" s="56" t="s">
        <v>99</v>
      </c>
      <c r="R217" s="56" t="s">
        <v>99</v>
      </c>
      <c r="S217" s="56" t="s">
        <v>99</v>
      </c>
      <c r="T217" s="56" t="s">
        <v>99</v>
      </c>
      <c r="U217" s="56" t="s">
        <v>99</v>
      </c>
      <c r="V217" s="56" t="s">
        <v>99</v>
      </c>
      <c r="W217" s="56" t="s">
        <v>99</v>
      </c>
      <c r="X217" s="56" t="s">
        <v>99</v>
      </c>
      <c r="Y217" s="56" t="s">
        <v>23</v>
      </c>
      <c r="Z217" s="56" t="s">
        <v>99</v>
      </c>
      <c r="AA217" s="56" t="s">
        <v>99</v>
      </c>
      <c r="AB217" s="56" t="s">
        <v>99</v>
      </c>
      <c r="AC217" s="56" t="s">
        <v>99</v>
      </c>
      <c r="AD217" s="56" t="s">
        <v>99</v>
      </c>
      <c r="AE217" s="56" t="s">
        <v>99</v>
      </c>
      <c r="AF217" s="56" t="s">
        <v>99</v>
      </c>
      <c r="AG217" s="56" t="s">
        <v>23</v>
      </c>
      <c r="AH217" s="56" t="s">
        <v>99</v>
      </c>
      <c r="AI217" s="56" t="s">
        <v>99</v>
      </c>
      <c r="AJ217" s="56" t="s">
        <v>99</v>
      </c>
      <c r="AK217" s="63" t="s">
        <v>23</v>
      </c>
      <c r="AL217" s="56" t="s">
        <v>99</v>
      </c>
      <c r="AM217" s="56" t="s">
        <v>99</v>
      </c>
      <c r="AN217" s="56" t="s">
        <v>99</v>
      </c>
      <c r="AO217" s="56" t="s">
        <v>99</v>
      </c>
      <c r="AP217" s="56" t="s">
        <v>99</v>
      </c>
      <c r="AQ217" s="56" t="s">
        <v>99</v>
      </c>
      <c r="AR217" s="56" t="s">
        <v>99</v>
      </c>
      <c r="AS217" s="56" t="s">
        <v>99</v>
      </c>
      <c r="AT217" s="56" t="s">
        <v>99</v>
      </c>
      <c r="AU217" s="56" t="s">
        <v>99</v>
      </c>
      <c r="AV217" s="56" t="s">
        <v>99</v>
      </c>
      <c r="AW217" s="56" t="s">
        <v>99</v>
      </c>
      <c r="AX217" s="56" t="s">
        <v>99</v>
      </c>
      <c r="AY217" s="56" t="s">
        <v>99</v>
      </c>
      <c r="AZ217" s="56" t="s">
        <v>99</v>
      </c>
      <c r="BA217" s="56" t="s">
        <v>99</v>
      </c>
      <c r="BB217" s="56" t="s">
        <v>99</v>
      </c>
      <c r="BC217" s="56" t="s">
        <v>99</v>
      </c>
      <c r="BD217" s="56" t="s">
        <v>99</v>
      </c>
      <c r="BE217" s="56" t="s">
        <v>99</v>
      </c>
      <c r="BF217" s="56" t="s">
        <v>99</v>
      </c>
      <c r="BG217" s="56" t="s">
        <v>99</v>
      </c>
      <c r="BH217" s="56" t="s">
        <v>99</v>
      </c>
      <c r="BI217" s="56" t="s">
        <v>99</v>
      </c>
      <c r="BJ217" s="56" t="s">
        <v>99</v>
      </c>
      <c r="BK217" s="56" t="s">
        <v>99</v>
      </c>
      <c r="BL217" s="56" t="s">
        <v>99</v>
      </c>
      <c r="BM217" s="56" t="s">
        <v>99</v>
      </c>
      <c r="BN217" s="56" t="s">
        <v>99</v>
      </c>
      <c r="BO217" s="56" t="s">
        <v>99</v>
      </c>
      <c r="BP217" s="62" t="s">
        <v>99</v>
      </c>
    </row>
    <row r="218" spans="2:68">
      <c r="B218" s="58">
        <v>7</v>
      </c>
      <c r="C218" s="59">
        <v>31</v>
      </c>
      <c r="D218" s="59" t="s">
        <v>101</v>
      </c>
      <c r="E218" s="60">
        <f>'[1]Master File'!B217</f>
        <v>46231</v>
      </c>
      <c r="F218" s="61" t="str">
        <f>'[1]Master File'!C217</f>
        <v>Explorer 6PM</v>
      </c>
      <c r="G218" s="39"/>
      <c r="I218" s="56" t="s">
        <v>99</v>
      </c>
      <c r="J218" s="56" t="s">
        <v>99</v>
      </c>
      <c r="K218" s="56" t="s">
        <v>99</v>
      </c>
      <c r="L218" s="63" t="s">
        <v>23</v>
      </c>
      <c r="M218" s="56" t="s">
        <v>99</v>
      </c>
      <c r="N218" s="56" t="s">
        <v>99</v>
      </c>
      <c r="O218" s="56" t="s">
        <v>99</v>
      </c>
      <c r="P218" s="56" t="s">
        <v>99</v>
      </c>
      <c r="Q218" s="56" t="s">
        <v>99</v>
      </c>
      <c r="R218" s="56" t="s">
        <v>99</v>
      </c>
      <c r="S218" s="56" t="s">
        <v>99</v>
      </c>
      <c r="T218" s="56" t="s">
        <v>99</v>
      </c>
      <c r="U218" s="56" t="s">
        <v>99</v>
      </c>
      <c r="V218" s="56" t="s">
        <v>99</v>
      </c>
      <c r="W218" s="56" t="s">
        <v>99</v>
      </c>
      <c r="X218" s="56" t="s">
        <v>99</v>
      </c>
      <c r="Y218" s="56" t="s">
        <v>23</v>
      </c>
      <c r="Z218" s="56" t="s">
        <v>99</v>
      </c>
      <c r="AA218" s="56" t="s">
        <v>99</v>
      </c>
      <c r="AB218" s="56" t="s">
        <v>99</v>
      </c>
      <c r="AC218" s="56" t="s">
        <v>23</v>
      </c>
      <c r="AD218" s="56" t="s">
        <v>99</v>
      </c>
      <c r="AE218" s="56" t="s">
        <v>99</v>
      </c>
      <c r="AF218" s="56" t="s">
        <v>99</v>
      </c>
      <c r="AG218" s="56" t="s">
        <v>23</v>
      </c>
      <c r="AH218" s="56" t="s">
        <v>99</v>
      </c>
      <c r="AI218" s="56" t="s">
        <v>99</v>
      </c>
      <c r="AJ218" s="56" t="s">
        <v>99</v>
      </c>
      <c r="AK218" s="63" t="s">
        <v>23</v>
      </c>
      <c r="AL218" s="56" t="s">
        <v>99</v>
      </c>
      <c r="AM218" s="56" t="s">
        <v>99</v>
      </c>
      <c r="AN218" s="56" t="s">
        <v>99</v>
      </c>
      <c r="AO218" s="56" t="s">
        <v>99</v>
      </c>
      <c r="AP218" s="56" t="s">
        <v>99</v>
      </c>
      <c r="AQ218" s="56" t="s">
        <v>99</v>
      </c>
      <c r="AR218" s="56" t="s">
        <v>99</v>
      </c>
      <c r="AS218" s="56" t="s">
        <v>99</v>
      </c>
      <c r="AT218" s="56" t="s">
        <v>99</v>
      </c>
      <c r="AU218" s="56" t="s">
        <v>99</v>
      </c>
      <c r="AV218" s="56" t="s">
        <v>99</v>
      </c>
      <c r="AW218" s="56" t="s">
        <v>99</v>
      </c>
      <c r="AX218" s="56" t="s">
        <v>99</v>
      </c>
      <c r="AY218" s="56" t="s">
        <v>99</v>
      </c>
      <c r="AZ218" s="56" t="s">
        <v>99</v>
      </c>
      <c r="BA218" s="56" t="s">
        <v>99</v>
      </c>
      <c r="BB218" s="56" t="s">
        <v>99</v>
      </c>
      <c r="BC218" s="56" t="s">
        <v>99</v>
      </c>
      <c r="BD218" s="56" t="s">
        <v>99</v>
      </c>
      <c r="BE218" s="56" t="s">
        <v>99</v>
      </c>
      <c r="BF218" s="56" t="s">
        <v>99</v>
      </c>
      <c r="BG218" s="56" t="s">
        <v>99</v>
      </c>
      <c r="BH218" s="56" t="s">
        <v>99</v>
      </c>
      <c r="BI218" s="56" t="s">
        <v>99</v>
      </c>
      <c r="BJ218" s="56" t="s">
        <v>99</v>
      </c>
      <c r="BK218" s="56" t="s">
        <v>99</v>
      </c>
      <c r="BL218" s="56" t="s">
        <v>99</v>
      </c>
      <c r="BM218" s="56" t="s">
        <v>99</v>
      </c>
      <c r="BN218" s="56" t="s">
        <v>99</v>
      </c>
      <c r="BO218" s="56" t="s">
        <v>99</v>
      </c>
      <c r="BP218" s="62" t="s">
        <v>99</v>
      </c>
    </row>
    <row r="219" spans="2:68">
      <c r="B219" s="58">
        <v>7</v>
      </c>
      <c r="C219" s="59">
        <v>31</v>
      </c>
      <c r="D219" s="59" t="s">
        <v>102</v>
      </c>
      <c r="E219" s="60">
        <f>'[1]Master File'!B218</f>
        <v>46232</v>
      </c>
      <c r="F219" s="61" t="str">
        <f>'[1]Master File'!C218</f>
        <v>Explorer 6PM</v>
      </c>
      <c r="G219" s="39"/>
      <c r="I219" s="56" t="s">
        <v>99</v>
      </c>
      <c r="J219" s="56" t="s">
        <v>99</v>
      </c>
      <c r="K219" s="56" t="s">
        <v>99</v>
      </c>
      <c r="L219" s="63" t="s">
        <v>23</v>
      </c>
      <c r="M219" s="56" t="s">
        <v>99</v>
      </c>
      <c r="N219" s="56" t="s">
        <v>99</v>
      </c>
      <c r="O219" s="56" t="s">
        <v>99</v>
      </c>
      <c r="P219" s="56" t="s">
        <v>99</v>
      </c>
      <c r="Q219" s="56" t="s">
        <v>99</v>
      </c>
      <c r="R219" s="56" t="s">
        <v>99</v>
      </c>
      <c r="S219" s="56" t="s">
        <v>99</v>
      </c>
      <c r="T219" s="56" t="s">
        <v>99</v>
      </c>
      <c r="U219" s="56" t="s">
        <v>99</v>
      </c>
      <c r="V219" s="56" t="s">
        <v>99</v>
      </c>
      <c r="W219" s="56" t="s">
        <v>99</v>
      </c>
      <c r="X219" s="56" t="s">
        <v>99</v>
      </c>
      <c r="Y219" s="56" t="s">
        <v>23</v>
      </c>
      <c r="Z219" s="56" t="s">
        <v>99</v>
      </c>
      <c r="AA219" s="56" t="s">
        <v>99</v>
      </c>
      <c r="AB219" s="56" t="s">
        <v>99</v>
      </c>
      <c r="AC219" s="56" t="s">
        <v>23</v>
      </c>
      <c r="AD219" s="56" t="s">
        <v>99</v>
      </c>
      <c r="AE219" s="56" t="s">
        <v>99</v>
      </c>
      <c r="AF219" s="56" t="s">
        <v>99</v>
      </c>
      <c r="AG219" s="56" t="s">
        <v>23</v>
      </c>
      <c r="AH219" s="56" t="s">
        <v>99</v>
      </c>
      <c r="AI219" s="56" t="s">
        <v>99</v>
      </c>
      <c r="AJ219" s="56" t="s">
        <v>99</v>
      </c>
      <c r="AK219" s="63" t="s">
        <v>23</v>
      </c>
      <c r="AL219" s="56" t="s">
        <v>99</v>
      </c>
      <c r="AM219" s="56" t="s">
        <v>99</v>
      </c>
      <c r="AN219" s="56" t="s">
        <v>99</v>
      </c>
      <c r="AO219" s="56" t="s">
        <v>99</v>
      </c>
      <c r="AP219" s="56" t="s">
        <v>99</v>
      </c>
      <c r="AQ219" s="56" t="s">
        <v>99</v>
      </c>
      <c r="AR219" s="56" t="s">
        <v>99</v>
      </c>
      <c r="AS219" s="56" t="s">
        <v>99</v>
      </c>
      <c r="AT219" s="56" t="s">
        <v>99</v>
      </c>
      <c r="AU219" s="56" t="s">
        <v>99</v>
      </c>
      <c r="AV219" s="56" t="s">
        <v>99</v>
      </c>
      <c r="AW219" s="56" t="s">
        <v>99</v>
      </c>
      <c r="AX219" s="56" t="s">
        <v>99</v>
      </c>
      <c r="AY219" s="56" t="s">
        <v>99</v>
      </c>
      <c r="AZ219" s="56" t="s">
        <v>99</v>
      </c>
      <c r="BA219" s="56" t="s">
        <v>99</v>
      </c>
      <c r="BB219" s="56" t="s">
        <v>99</v>
      </c>
      <c r="BC219" s="56" t="s">
        <v>99</v>
      </c>
      <c r="BD219" s="56" t="s">
        <v>99</v>
      </c>
      <c r="BE219" s="56" t="s">
        <v>99</v>
      </c>
      <c r="BF219" s="56" t="s">
        <v>99</v>
      </c>
      <c r="BG219" s="56" t="s">
        <v>99</v>
      </c>
      <c r="BH219" s="56" t="s">
        <v>99</v>
      </c>
      <c r="BI219" s="56" t="s">
        <v>99</v>
      </c>
      <c r="BJ219" s="56" t="s">
        <v>99</v>
      </c>
      <c r="BK219" s="56" t="s">
        <v>99</v>
      </c>
      <c r="BL219" s="56" t="s">
        <v>99</v>
      </c>
      <c r="BM219" s="56" t="s">
        <v>99</v>
      </c>
      <c r="BN219" s="56" t="s">
        <v>99</v>
      </c>
      <c r="BO219" s="56" t="s">
        <v>99</v>
      </c>
      <c r="BP219" s="62" t="s">
        <v>99</v>
      </c>
    </row>
    <row r="220" spans="2:68">
      <c r="B220" s="58">
        <v>7</v>
      </c>
      <c r="C220" s="59">
        <v>31</v>
      </c>
      <c r="D220" s="59" t="s">
        <v>103</v>
      </c>
      <c r="E220" s="60">
        <f>'[1]Master File'!B219</f>
        <v>46233</v>
      </c>
      <c r="F220" s="61" t="str">
        <f>'[1]Master File'!C219</f>
        <v>Explorer 6PM</v>
      </c>
      <c r="G220" s="39"/>
      <c r="I220" s="56" t="s">
        <v>99</v>
      </c>
      <c r="J220" s="56" t="s">
        <v>99</v>
      </c>
      <c r="K220" s="56" t="s">
        <v>99</v>
      </c>
      <c r="L220" s="63" t="s">
        <v>23</v>
      </c>
      <c r="M220" s="56" t="s">
        <v>99</v>
      </c>
      <c r="N220" s="56" t="s">
        <v>99</v>
      </c>
      <c r="O220" s="56" t="s">
        <v>99</v>
      </c>
      <c r="P220" s="56" t="s">
        <v>99</v>
      </c>
      <c r="Q220" s="56" t="s">
        <v>99</v>
      </c>
      <c r="R220" s="56" t="s">
        <v>99</v>
      </c>
      <c r="S220" s="56" t="s">
        <v>99</v>
      </c>
      <c r="T220" s="56" t="s">
        <v>99</v>
      </c>
      <c r="U220" s="56" t="s">
        <v>99</v>
      </c>
      <c r="V220" s="56" t="s">
        <v>99</v>
      </c>
      <c r="W220" s="56" t="s">
        <v>99</v>
      </c>
      <c r="X220" s="56" t="s">
        <v>99</v>
      </c>
      <c r="Y220" s="56" t="s">
        <v>23</v>
      </c>
      <c r="Z220" s="56" t="s">
        <v>99</v>
      </c>
      <c r="AA220" s="56" t="s">
        <v>99</v>
      </c>
      <c r="AB220" s="56" t="s">
        <v>99</v>
      </c>
      <c r="AC220" s="56" t="s">
        <v>23</v>
      </c>
      <c r="AD220" s="56" t="s">
        <v>99</v>
      </c>
      <c r="AE220" s="56" t="s">
        <v>99</v>
      </c>
      <c r="AF220" s="56" t="s">
        <v>99</v>
      </c>
      <c r="AG220" s="56" t="s">
        <v>23</v>
      </c>
      <c r="AH220" s="56" t="s">
        <v>99</v>
      </c>
      <c r="AI220" s="56" t="s">
        <v>99</v>
      </c>
      <c r="AJ220" s="56" t="s">
        <v>99</v>
      </c>
      <c r="AK220" s="63" t="s">
        <v>23</v>
      </c>
      <c r="AL220" s="56" t="s">
        <v>99</v>
      </c>
      <c r="AM220" s="56" t="s">
        <v>99</v>
      </c>
      <c r="AN220" s="56" t="s">
        <v>99</v>
      </c>
      <c r="AO220" s="56" t="s">
        <v>99</v>
      </c>
      <c r="AP220" s="56" t="s">
        <v>99</v>
      </c>
      <c r="AQ220" s="56" t="s">
        <v>99</v>
      </c>
      <c r="AR220" s="56" t="s">
        <v>99</v>
      </c>
      <c r="AS220" s="56" t="s">
        <v>99</v>
      </c>
      <c r="AT220" s="56" t="s">
        <v>99</v>
      </c>
      <c r="AU220" s="56" t="s">
        <v>99</v>
      </c>
      <c r="AV220" s="56" t="s">
        <v>99</v>
      </c>
      <c r="AW220" s="56" t="s">
        <v>99</v>
      </c>
      <c r="AX220" s="56" t="s">
        <v>99</v>
      </c>
      <c r="AY220" s="56" t="s">
        <v>99</v>
      </c>
      <c r="AZ220" s="56" t="s">
        <v>99</v>
      </c>
      <c r="BA220" s="56" t="s">
        <v>99</v>
      </c>
      <c r="BB220" s="56" t="s">
        <v>99</v>
      </c>
      <c r="BC220" s="56" t="s">
        <v>99</v>
      </c>
      <c r="BD220" s="56" t="s">
        <v>99</v>
      </c>
      <c r="BE220" s="56" t="s">
        <v>99</v>
      </c>
      <c r="BF220" s="56" t="s">
        <v>99</v>
      </c>
      <c r="BG220" s="56" t="s">
        <v>99</v>
      </c>
      <c r="BH220" s="56" t="s">
        <v>99</v>
      </c>
      <c r="BI220" s="56" t="s">
        <v>99</v>
      </c>
      <c r="BJ220" s="56" t="s">
        <v>99</v>
      </c>
      <c r="BK220" s="56" t="s">
        <v>99</v>
      </c>
      <c r="BL220" s="56" t="s">
        <v>99</v>
      </c>
      <c r="BM220" s="56" t="s">
        <v>99</v>
      </c>
      <c r="BN220" s="56" t="s">
        <v>99</v>
      </c>
      <c r="BO220" s="56" t="s">
        <v>99</v>
      </c>
      <c r="BP220" s="62" t="s">
        <v>99</v>
      </c>
    </row>
    <row r="221" spans="2:68">
      <c r="B221" s="58">
        <v>7</v>
      </c>
      <c r="C221" s="59">
        <v>31</v>
      </c>
      <c r="D221" s="59" t="s">
        <v>104</v>
      </c>
      <c r="E221" s="60">
        <f>'[1]Master File'!B220</f>
        <v>46234</v>
      </c>
      <c r="F221" s="61" t="str">
        <f>'[1]Master File'!C220</f>
        <v>Explorer 6PM</v>
      </c>
      <c r="G221" s="39"/>
      <c r="I221" s="56" t="s">
        <v>99</v>
      </c>
      <c r="J221" s="56" t="s">
        <v>99</v>
      </c>
      <c r="K221" s="56" t="s">
        <v>99</v>
      </c>
      <c r="L221" s="63" t="s">
        <v>23</v>
      </c>
      <c r="M221" s="56" t="s">
        <v>99</v>
      </c>
      <c r="N221" s="56" t="s">
        <v>99</v>
      </c>
      <c r="O221" s="56" t="s">
        <v>99</v>
      </c>
      <c r="P221" s="56" t="s">
        <v>99</v>
      </c>
      <c r="Q221" s="56" t="s">
        <v>99</v>
      </c>
      <c r="R221" s="56" t="s">
        <v>99</v>
      </c>
      <c r="S221" s="56" t="s">
        <v>99</v>
      </c>
      <c r="T221" s="56" t="s">
        <v>99</v>
      </c>
      <c r="U221" s="56" t="s">
        <v>99</v>
      </c>
      <c r="V221" s="56" t="s">
        <v>99</v>
      </c>
      <c r="W221" s="56" t="s">
        <v>99</v>
      </c>
      <c r="X221" s="56" t="s">
        <v>99</v>
      </c>
      <c r="Y221" s="56" t="s">
        <v>23</v>
      </c>
      <c r="Z221" s="56" t="s">
        <v>99</v>
      </c>
      <c r="AA221" s="56" t="s">
        <v>99</v>
      </c>
      <c r="AB221" s="56" t="s">
        <v>99</v>
      </c>
      <c r="AC221" s="56" t="s">
        <v>23</v>
      </c>
      <c r="AD221" s="56" t="s">
        <v>99</v>
      </c>
      <c r="AE221" s="56" t="s">
        <v>99</v>
      </c>
      <c r="AF221" s="56" t="s">
        <v>99</v>
      </c>
      <c r="AG221" s="56" t="s">
        <v>23</v>
      </c>
      <c r="AH221" s="56" t="s">
        <v>99</v>
      </c>
      <c r="AI221" s="56" t="s">
        <v>99</v>
      </c>
      <c r="AJ221" s="56" t="s">
        <v>99</v>
      </c>
      <c r="AK221" s="63" t="s">
        <v>23</v>
      </c>
      <c r="AL221" s="56" t="s">
        <v>99</v>
      </c>
      <c r="AM221" s="56" t="s">
        <v>99</v>
      </c>
      <c r="AN221" s="56" t="s">
        <v>99</v>
      </c>
      <c r="AO221" s="56" t="s">
        <v>99</v>
      </c>
      <c r="AP221" s="56" t="s">
        <v>99</v>
      </c>
      <c r="AQ221" s="56" t="s">
        <v>99</v>
      </c>
      <c r="AR221" s="56" t="s">
        <v>99</v>
      </c>
      <c r="AS221" s="56" t="s">
        <v>99</v>
      </c>
      <c r="AT221" s="56" t="s">
        <v>99</v>
      </c>
      <c r="AU221" s="56" t="s">
        <v>99</v>
      </c>
      <c r="AV221" s="56" t="s">
        <v>99</v>
      </c>
      <c r="AW221" s="56" t="s">
        <v>99</v>
      </c>
      <c r="AX221" s="56" t="s">
        <v>99</v>
      </c>
      <c r="AY221" s="56" t="s">
        <v>99</v>
      </c>
      <c r="AZ221" s="56" t="s">
        <v>99</v>
      </c>
      <c r="BA221" s="56" t="s">
        <v>99</v>
      </c>
      <c r="BB221" s="56" t="s">
        <v>99</v>
      </c>
      <c r="BC221" s="56" t="s">
        <v>99</v>
      </c>
      <c r="BD221" s="56" t="s">
        <v>99</v>
      </c>
      <c r="BE221" s="56" t="s">
        <v>99</v>
      </c>
      <c r="BF221" s="56" t="s">
        <v>99</v>
      </c>
      <c r="BG221" s="56" t="s">
        <v>99</v>
      </c>
      <c r="BH221" s="56" t="s">
        <v>99</v>
      </c>
      <c r="BI221" s="56" t="s">
        <v>99</v>
      </c>
      <c r="BJ221" s="56" t="s">
        <v>99</v>
      </c>
      <c r="BK221" s="56" t="s">
        <v>99</v>
      </c>
      <c r="BL221" s="56" t="s">
        <v>99</v>
      </c>
      <c r="BM221" s="56" t="s">
        <v>99</v>
      </c>
      <c r="BN221" s="56" t="s">
        <v>99</v>
      </c>
      <c r="BO221" s="56" t="s">
        <v>99</v>
      </c>
      <c r="BP221" s="62" t="s">
        <v>99</v>
      </c>
    </row>
    <row r="222" spans="2:68">
      <c r="B222" s="58">
        <v>7</v>
      </c>
      <c r="C222" s="59">
        <v>31</v>
      </c>
      <c r="D222" s="59" t="s">
        <v>105</v>
      </c>
      <c r="E222" s="60">
        <f>'[1]Master File'!B221</f>
        <v>46235</v>
      </c>
      <c r="F222" s="61" t="str">
        <f>'[1]Master File'!C221</f>
        <v>Explorer + 6PM</v>
      </c>
      <c r="G222" s="39"/>
      <c r="I222" s="63" t="s">
        <v>99</v>
      </c>
      <c r="J222" s="63" t="s">
        <v>99</v>
      </c>
      <c r="K222" s="63" t="s">
        <v>99</v>
      </c>
      <c r="L222" s="63" t="s">
        <v>23</v>
      </c>
      <c r="M222" s="63" t="s">
        <v>99</v>
      </c>
      <c r="N222" s="63" t="s">
        <v>99</v>
      </c>
      <c r="O222" s="63" t="s">
        <v>99</v>
      </c>
      <c r="P222" s="63" t="s">
        <v>99</v>
      </c>
      <c r="Q222" s="63" t="s">
        <v>99</v>
      </c>
      <c r="R222" s="63" t="s">
        <v>99</v>
      </c>
      <c r="S222" s="63" t="s">
        <v>99</v>
      </c>
      <c r="T222" s="63" t="s">
        <v>99</v>
      </c>
      <c r="U222" s="63" t="s">
        <v>99</v>
      </c>
      <c r="V222" s="63" t="s">
        <v>99</v>
      </c>
      <c r="W222" s="63" t="s">
        <v>99</v>
      </c>
      <c r="X222" s="63" t="s">
        <v>99</v>
      </c>
      <c r="Y222" s="56" t="s">
        <v>23</v>
      </c>
      <c r="Z222" s="63" t="s">
        <v>99</v>
      </c>
      <c r="AA222" s="63" t="s">
        <v>99</v>
      </c>
      <c r="AB222" s="63" t="s">
        <v>99</v>
      </c>
      <c r="AC222" s="63" t="s">
        <v>23</v>
      </c>
      <c r="AD222" s="63" t="s">
        <v>99</v>
      </c>
      <c r="AE222" s="63" t="s">
        <v>99</v>
      </c>
      <c r="AF222" s="63" t="s">
        <v>99</v>
      </c>
      <c r="AG222" s="63" t="s">
        <v>23</v>
      </c>
      <c r="AH222" s="63" t="s">
        <v>99</v>
      </c>
      <c r="AI222" s="63" t="s">
        <v>99</v>
      </c>
      <c r="AJ222" s="63" t="s">
        <v>99</v>
      </c>
      <c r="AK222" s="63" t="s">
        <v>23</v>
      </c>
      <c r="AL222" s="63" t="s">
        <v>99</v>
      </c>
      <c r="AM222" s="63" t="s">
        <v>99</v>
      </c>
      <c r="AN222" s="63" t="s">
        <v>99</v>
      </c>
      <c r="AO222" s="63" t="s">
        <v>99</v>
      </c>
      <c r="AP222" s="63" t="s">
        <v>99</v>
      </c>
      <c r="AQ222" s="63" t="s">
        <v>23</v>
      </c>
      <c r="AR222" s="63" t="s">
        <v>99</v>
      </c>
      <c r="AS222" s="63" t="s">
        <v>99</v>
      </c>
      <c r="AT222" s="63" t="s">
        <v>99</v>
      </c>
      <c r="AU222" s="63" t="s">
        <v>99</v>
      </c>
      <c r="AV222" s="63" t="s">
        <v>99</v>
      </c>
      <c r="AW222" s="63" t="s">
        <v>99</v>
      </c>
      <c r="AX222" s="63" t="s">
        <v>99</v>
      </c>
      <c r="AY222" s="63" t="s">
        <v>99</v>
      </c>
      <c r="AZ222" s="63" t="s">
        <v>99</v>
      </c>
      <c r="BA222" s="63" t="s">
        <v>99</v>
      </c>
      <c r="BB222" s="63" t="s">
        <v>99</v>
      </c>
      <c r="BC222" s="63" t="s">
        <v>99</v>
      </c>
      <c r="BD222" s="63" t="s">
        <v>99</v>
      </c>
      <c r="BE222" s="63" t="s">
        <v>99</v>
      </c>
      <c r="BF222" s="63" t="s">
        <v>99</v>
      </c>
      <c r="BG222" s="63" t="s">
        <v>99</v>
      </c>
      <c r="BH222" s="63" t="s">
        <v>99</v>
      </c>
      <c r="BI222" s="63" t="s">
        <v>99</v>
      </c>
      <c r="BJ222" s="63" t="s">
        <v>99</v>
      </c>
      <c r="BK222" s="63" t="s">
        <v>99</v>
      </c>
      <c r="BL222" s="63" t="s">
        <v>99</v>
      </c>
      <c r="BM222" s="63" t="s">
        <v>99</v>
      </c>
      <c r="BN222" s="63" t="s">
        <v>99</v>
      </c>
      <c r="BO222" s="63" t="s">
        <v>99</v>
      </c>
      <c r="BP222" s="64" t="s">
        <v>99</v>
      </c>
    </row>
    <row r="223" spans="2:68">
      <c r="B223" s="58">
        <v>8</v>
      </c>
      <c r="C223" s="59">
        <v>32</v>
      </c>
      <c r="D223" s="59" t="s">
        <v>98</v>
      </c>
      <c r="E223" s="60">
        <f>'[1]Master File'!B222</f>
        <v>46236</v>
      </c>
      <c r="F223" s="61" t="str">
        <f>'[1]Master File'!C222</f>
        <v>Explorer 6PM</v>
      </c>
      <c r="G223" s="39"/>
      <c r="I223" s="63" t="s">
        <v>99</v>
      </c>
      <c r="J223" s="63" t="s">
        <v>99</v>
      </c>
      <c r="K223" s="63" t="s">
        <v>99</v>
      </c>
      <c r="L223" s="63" t="s">
        <v>23</v>
      </c>
      <c r="M223" s="63" t="s">
        <v>99</v>
      </c>
      <c r="N223" s="63" t="s">
        <v>99</v>
      </c>
      <c r="O223" s="63" t="s">
        <v>99</v>
      </c>
      <c r="P223" s="63" t="s">
        <v>99</v>
      </c>
      <c r="Q223" s="63" t="s">
        <v>99</v>
      </c>
      <c r="R223" s="63" t="s">
        <v>99</v>
      </c>
      <c r="S223" s="63" t="s">
        <v>99</v>
      </c>
      <c r="T223" s="63" t="s">
        <v>99</v>
      </c>
      <c r="U223" s="63" t="s">
        <v>99</v>
      </c>
      <c r="V223" s="63" t="s">
        <v>99</v>
      </c>
      <c r="W223" s="63" t="s">
        <v>99</v>
      </c>
      <c r="X223" s="63" t="s">
        <v>99</v>
      </c>
      <c r="Y223" s="56" t="s">
        <v>23</v>
      </c>
      <c r="Z223" s="63" t="s">
        <v>99</v>
      </c>
      <c r="AA223" s="63" t="s">
        <v>99</v>
      </c>
      <c r="AB223" s="63" t="s">
        <v>99</v>
      </c>
      <c r="AC223" s="63" t="s">
        <v>23</v>
      </c>
      <c r="AD223" s="63" t="s">
        <v>99</v>
      </c>
      <c r="AE223" s="63" t="s">
        <v>99</v>
      </c>
      <c r="AF223" s="63" t="s">
        <v>99</v>
      </c>
      <c r="AG223" s="63" t="s">
        <v>23</v>
      </c>
      <c r="AH223" s="63" t="s">
        <v>99</v>
      </c>
      <c r="AI223" s="63" t="s">
        <v>99</v>
      </c>
      <c r="AJ223" s="63" t="s">
        <v>99</v>
      </c>
      <c r="AK223" s="63" t="s">
        <v>23</v>
      </c>
      <c r="AL223" s="63" t="s">
        <v>99</v>
      </c>
      <c r="AM223" s="63" t="s">
        <v>99</v>
      </c>
      <c r="AN223" s="63" t="s">
        <v>99</v>
      </c>
      <c r="AO223" s="63" t="s">
        <v>99</v>
      </c>
      <c r="AP223" s="63" t="s">
        <v>99</v>
      </c>
      <c r="AQ223" s="63" t="s">
        <v>23</v>
      </c>
      <c r="AR223" s="63" t="s">
        <v>99</v>
      </c>
      <c r="AS223" s="63" t="s">
        <v>99</v>
      </c>
      <c r="AT223" s="63" t="s">
        <v>99</v>
      </c>
      <c r="AU223" s="63" t="s">
        <v>99</v>
      </c>
      <c r="AV223" s="63" t="s">
        <v>99</v>
      </c>
      <c r="AW223" s="63" t="s">
        <v>99</v>
      </c>
      <c r="AX223" s="63" t="s">
        <v>99</v>
      </c>
      <c r="AY223" s="63" t="s">
        <v>99</v>
      </c>
      <c r="AZ223" s="63" t="s">
        <v>99</v>
      </c>
      <c r="BA223" s="63" t="s">
        <v>99</v>
      </c>
      <c r="BB223" s="63" t="s">
        <v>99</v>
      </c>
      <c r="BC223" s="63" t="s">
        <v>99</v>
      </c>
      <c r="BD223" s="63" t="s">
        <v>99</v>
      </c>
      <c r="BE223" s="63" t="s">
        <v>99</v>
      </c>
      <c r="BF223" s="63" t="s">
        <v>99</v>
      </c>
      <c r="BG223" s="63" t="s">
        <v>99</v>
      </c>
      <c r="BH223" s="63" t="s">
        <v>99</v>
      </c>
      <c r="BI223" s="63" t="s">
        <v>99</v>
      </c>
      <c r="BJ223" s="63" t="s">
        <v>99</v>
      </c>
      <c r="BK223" s="63" t="s">
        <v>99</v>
      </c>
      <c r="BL223" s="63" t="s">
        <v>99</v>
      </c>
      <c r="BM223" s="63" t="s">
        <v>99</v>
      </c>
      <c r="BN223" s="63" t="s">
        <v>99</v>
      </c>
      <c r="BO223" s="63" t="s">
        <v>99</v>
      </c>
      <c r="BP223" s="64" t="s">
        <v>99</v>
      </c>
    </row>
    <row r="224" spans="2:68">
      <c r="B224" s="58">
        <v>8</v>
      </c>
      <c r="C224" s="59">
        <v>32</v>
      </c>
      <c r="D224" s="59" t="s">
        <v>100</v>
      </c>
      <c r="E224" s="60">
        <f>'[1]Master File'!B223</f>
        <v>46237</v>
      </c>
      <c r="F224" s="61" t="str">
        <f>'[1]Master File'!C223</f>
        <v>Explorer 6PM</v>
      </c>
      <c r="G224" s="39"/>
      <c r="I224" s="56" t="s">
        <v>99</v>
      </c>
      <c r="J224" s="56" t="s">
        <v>99</v>
      </c>
      <c r="K224" s="56" t="s">
        <v>99</v>
      </c>
      <c r="L224" s="63" t="s">
        <v>23</v>
      </c>
      <c r="M224" s="56" t="s">
        <v>99</v>
      </c>
      <c r="N224" s="56" t="s">
        <v>99</v>
      </c>
      <c r="O224" s="56" t="s">
        <v>99</v>
      </c>
      <c r="P224" s="56" t="s">
        <v>99</v>
      </c>
      <c r="Q224" s="56" t="s">
        <v>99</v>
      </c>
      <c r="R224" s="56" t="s">
        <v>99</v>
      </c>
      <c r="S224" s="56" t="s">
        <v>99</v>
      </c>
      <c r="T224" s="56" t="s">
        <v>99</v>
      </c>
      <c r="U224" s="56" t="s">
        <v>99</v>
      </c>
      <c r="V224" s="56" t="s">
        <v>99</v>
      </c>
      <c r="W224" s="56" t="s">
        <v>99</v>
      </c>
      <c r="X224" s="56" t="s">
        <v>99</v>
      </c>
      <c r="Y224" s="56" t="s">
        <v>23</v>
      </c>
      <c r="Z224" s="56" t="s">
        <v>99</v>
      </c>
      <c r="AA224" s="56" t="s">
        <v>99</v>
      </c>
      <c r="AB224" s="56" t="s">
        <v>99</v>
      </c>
      <c r="AC224" s="56" t="s">
        <v>99</v>
      </c>
      <c r="AD224" s="56" t="s">
        <v>99</v>
      </c>
      <c r="AE224" s="56" t="s">
        <v>99</v>
      </c>
      <c r="AF224" s="56" t="s">
        <v>99</v>
      </c>
      <c r="AG224" s="56" t="s">
        <v>23</v>
      </c>
      <c r="AH224" s="56" t="s">
        <v>99</v>
      </c>
      <c r="AI224" s="56" t="s">
        <v>99</v>
      </c>
      <c r="AJ224" s="56" t="s">
        <v>99</v>
      </c>
      <c r="AK224" s="63" t="s">
        <v>23</v>
      </c>
      <c r="AL224" s="56" t="s">
        <v>99</v>
      </c>
      <c r="AM224" s="56" t="s">
        <v>99</v>
      </c>
      <c r="AN224" s="56" t="s">
        <v>99</v>
      </c>
      <c r="AO224" s="56" t="s">
        <v>99</v>
      </c>
      <c r="AP224" s="56" t="s">
        <v>99</v>
      </c>
      <c r="AQ224" s="56" t="s">
        <v>99</v>
      </c>
      <c r="AR224" s="56" t="s">
        <v>99</v>
      </c>
      <c r="AS224" s="56" t="s">
        <v>99</v>
      </c>
      <c r="AT224" s="56" t="s">
        <v>99</v>
      </c>
      <c r="AU224" s="56" t="s">
        <v>99</v>
      </c>
      <c r="AV224" s="56" t="s">
        <v>99</v>
      </c>
      <c r="AW224" s="56" t="s">
        <v>99</v>
      </c>
      <c r="AX224" s="56" t="s">
        <v>99</v>
      </c>
      <c r="AY224" s="56" t="s">
        <v>99</v>
      </c>
      <c r="AZ224" s="56" t="s">
        <v>99</v>
      </c>
      <c r="BA224" s="56" t="s">
        <v>99</v>
      </c>
      <c r="BB224" s="56" t="s">
        <v>99</v>
      </c>
      <c r="BC224" s="56" t="s">
        <v>99</v>
      </c>
      <c r="BD224" s="56" t="s">
        <v>99</v>
      </c>
      <c r="BE224" s="56" t="s">
        <v>99</v>
      </c>
      <c r="BF224" s="56" t="s">
        <v>99</v>
      </c>
      <c r="BG224" s="56" t="s">
        <v>99</v>
      </c>
      <c r="BH224" s="56" t="s">
        <v>99</v>
      </c>
      <c r="BI224" s="56" t="s">
        <v>99</v>
      </c>
      <c r="BJ224" s="56" t="s">
        <v>99</v>
      </c>
      <c r="BK224" s="56" t="s">
        <v>99</v>
      </c>
      <c r="BL224" s="56" t="s">
        <v>99</v>
      </c>
      <c r="BM224" s="56" t="s">
        <v>99</v>
      </c>
      <c r="BN224" s="56" t="s">
        <v>99</v>
      </c>
      <c r="BO224" s="56" t="s">
        <v>99</v>
      </c>
      <c r="BP224" s="62" t="s">
        <v>99</v>
      </c>
    </row>
    <row r="225" spans="2:68">
      <c r="B225" s="58">
        <v>8</v>
      </c>
      <c r="C225" s="59">
        <v>32</v>
      </c>
      <c r="D225" s="59" t="s">
        <v>101</v>
      </c>
      <c r="E225" s="60">
        <f>'[1]Master File'!B224</f>
        <v>46238</v>
      </c>
      <c r="F225" s="61" t="str">
        <f>'[1]Master File'!C224</f>
        <v>Explorer 6PM</v>
      </c>
      <c r="G225" s="39"/>
      <c r="I225" s="56" t="s">
        <v>99</v>
      </c>
      <c r="J225" s="56" t="s">
        <v>99</v>
      </c>
      <c r="K225" s="56" t="s">
        <v>99</v>
      </c>
      <c r="L225" s="63" t="s">
        <v>23</v>
      </c>
      <c r="M225" s="56" t="s">
        <v>99</v>
      </c>
      <c r="N225" s="56" t="s">
        <v>99</v>
      </c>
      <c r="O225" s="56" t="s">
        <v>99</v>
      </c>
      <c r="P225" s="56" t="s">
        <v>99</v>
      </c>
      <c r="Q225" s="56" t="s">
        <v>99</v>
      </c>
      <c r="R225" s="56" t="s">
        <v>99</v>
      </c>
      <c r="S225" s="56" t="s">
        <v>99</v>
      </c>
      <c r="T225" s="56" t="s">
        <v>99</v>
      </c>
      <c r="U225" s="56" t="s">
        <v>99</v>
      </c>
      <c r="V225" s="56" t="s">
        <v>99</v>
      </c>
      <c r="W225" s="56" t="s">
        <v>99</v>
      </c>
      <c r="X225" s="56" t="s">
        <v>99</v>
      </c>
      <c r="Y225" s="56" t="s">
        <v>23</v>
      </c>
      <c r="Z225" s="56" t="s">
        <v>99</v>
      </c>
      <c r="AA225" s="56" t="s">
        <v>99</v>
      </c>
      <c r="AB225" s="56" t="s">
        <v>99</v>
      </c>
      <c r="AC225" s="56" t="s">
        <v>23</v>
      </c>
      <c r="AD225" s="56" t="s">
        <v>99</v>
      </c>
      <c r="AE225" s="56" t="s">
        <v>99</v>
      </c>
      <c r="AF225" s="56" t="s">
        <v>99</v>
      </c>
      <c r="AG225" s="56" t="s">
        <v>23</v>
      </c>
      <c r="AH225" s="56" t="s">
        <v>99</v>
      </c>
      <c r="AI225" s="56" t="s">
        <v>99</v>
      </c>
      <c r="AJ225" s="56" t="s">
        <v>99</v>
      </c>
      <c r="AK225" s="63" t="s">
        <v>23</v>
      </c>
      <c r="AL225" s="56" t="s">
        <v>99</v>
      </c>
      <c r="AM225" s="56" t="s">
        <v>99</v>
      </c>
      <c r="AN225" s="56" t="s">
        <v>99</v>
      </c>
      <c r="AO225" s="56" t="s">
        <v>99</v>
      </c>
      <c r="AP225" s="56" t="s">
        <v>99</v>
      </c>
      <c r="AQ225" s="56" t="s">
        <v>99</v>
      </c>
      <c r="AR225" s="56" t="s">
        <v>99</v>
      </c>
      <c r="AS225" s="56" t="s">
        <v>99</v>
      </c>
      <c r="AT225" s="56" t="s">
        <v>99</v>
      </c>
      <c r="AU225" s="56" t="s">
        <v>99</v>
      </c>
      <c r="AV225" s="56" t="s">
        <v>99</v>
      </c>
      <c r="AW225" s="56" t="s">
        <v>99</v>
      </c>
      <c r="AX225" s="56" t="s">
        <v>99</v>
      </c>
      <c r="AY225" s="56" t="s">
        <v>99</v>
      </c>
      <c r="AZ225" s="56" t="s">
        <v>99</v>
      </c>
      <c r="BA225" s="56" t="s">
        <v>99</v>
      </c>
      <c r="BB225" s="56" t="s">
        <v>99</v>
      </c>
      <c r="BC225" s="56" t="s">
        <v>99</v>
      </c>
      <c r="BD225" s="56" t="s">
        <v>99</v>
      </c>
      <c r="BE225" s="56" t="s">
        <v>99</v>
      </c>
      <c r="BF225" s="56" t="s">
        <v>99</v>
      </c>
      <c r="BG225" s="56" t="s">
        <v>99</v>
      </c>
      <c r="BH225" s="56" t="s">
        <v>99</v>
      </c>
      <c r="BI225" s="56" t="s">
        <v>99</v>
      </c>
      <c r="BJ225" s="56" t="s">
        <v>99</v>
      </c>
      <c r="BK225" s="56" t="s">
        <v>99</v>
      </c>
      <c r="BL225" s="56" t="s">
        <v>99</v>
      </c>
      <c r="BM225" s="56" t="s">
        <v>99</v>
      </c>
      <c r="BN225" s="56" t="s">
        <v>99</v>
      </c>
      <c r="BO225" s="56" t="s">
        <v>99</v>
      </c>
      <c r="BP225" s="62" t="s">
        <v>99</v>
      </c>
    </row>
    <row r="226" spans="2:68">
      <c r="B226" s="58">
        <v>8</v>
      </c>
      <c r="C226" s="59">
        <v>32</v>
      </c>
      <c r="D226" s="59" t="s">
        <v>102</v>
      </c>
      <c r="E226" s="60">
        <f>'[1]Master File'!B225</f>
        <v>46239</v>
      </c>
      <c r="F226" s="61" t="str">
        <f>'[1]Master File'!C225</f>
        <v>Explorer + 6PM</v>
      </c>
      <c r="G226" s="39"/>
      <c r="I226" s="56" t="s">
        <v>99</v>
      </c>
      <c r="J226" s="56" t="s">
        <v>99</v>
      </c>
      <c r="K226" s="56" t="s">
        <v>99</v>
      </c>
      <c r="L226" s="63" t="s">
        <v>23</v>
      </c>
      <c r="M226" s="56" t="s">
        <v>99</v>
      </c>
      <c r="N226" s="56" t="s">
        <v>99</v>
      </c>
      <c r="O226" s="56" t="s">
        <v>99</v>
      </c>
      <c r="P226" s="56" t="s">
        <v>99</v>
      </c>
      <c r="Q226" s="56" t="s">
        <v>99</v>
      </c>
      <c r="R226" s="56" t="s">
        <v>99</v>
      </c>
      <c r="S226" s="56" t="s">
        <v>99</v>
      </c>
      <c r="T226" s="56" t="s">
        <v>99</v>
      </c>
      <c r="U226" s="56" t="s">
        <v>99</v>
      </c>
      <c r="V226" s="56" t="s">
        <v>99</v>
      </c>
      <c r="W226" s="56" t="s">
        <v>99</v>
      </c>
      <c r="X226" s="56" t="s">
        <v>99</v>
      </c>
      <c r="Y226" s="56" t="s">
        <v>23</v>
      </c>
      <c r="Z226" s="56" t="s">
        <v>99</v>
      </c>
      <c r="AA226" s="56" t="s">
        <v>99</v>
      </c>
      <c r="AB226" s="56" t="s">
        <v>99</v>
      </c>
      <c r="AC226" s="56" t="s">
        <v>23</v>
      </c>
      <c r="AD226" s="56" t="s">
        <v>99</v>
      </c>
      <c r="AE226" s="56" t="s">
        <v>99</v>
      </c>
      <c r="AF226" s="56" t="s">
        <v>99</v>
      </c>
      <c r="AG226" s="56" t="s">
        <v>23</v>
      </c>
      <c r="AH226" s="56" t="s">
        <v>99</v>
      </c>
      <c r="AI226" s="56" t="s">
        <v>99</v>
      </c>
      <c r="AJ226" s="56" t="s">
        <v>99</v>
      </c>
      <c r="AK226" s="63" t="s">
        <v>23</v>
      </c>
      <c r="AL226" s="56" t="s">
        <v>99</v>
      </c>
      <c r="AM226" s="56" t="s">
        <v>99</v>
      </c>
      <c r="AN226" s="56" t="s">
        <v>99</v>
      </c>
      <c r="AO226" s="56" t="s">
        <v>99</v>
      </c>
      <c r="AP226" s="56" t="s">
        <v>99</v>
      </c>
      <c r="AQ226" s="56" t="s">
        <v>99</v>
      </c>
      <c r="AR226" s="56" t="s">
        <v>99</v>
      </c>
      <c r="AS226" s="56" t="s">
        <v>99</v>
      </c>
      <c r="AT226" s="56" t="s">
        <v>99</v>
      </c>
      <c r="AU226" s="56" t="s">
        <v>99</v>
      </c>
      <c r="AV226" s="56" t="s">
        <v>99</v>
      </c>
      <c r="AW226" s="56" t="s">
        <v>99</v>
      </c>
      <c r="AX226" s="56" t="s">
        <v>99</v>
      </c>
      <c r="AY226" s="56" t="s">
        <v>99</v>
      </c>
      <c r="AZ226" s="56" t="s">
        <v>99</v>
      </c>
      <c r="BA226" s="56" t="s">
        <v>99</v>
      </c>
      <c r="BB226" s="56" t="s">
        <v>99</v>
      </c>
      <c r="BC226" s="56" t="s">
        <v>99</v>
      </c>
      <c r="BD226" s="56" t="s">
        <v>99</v>
      </c>
      <c r="BE226" s="56" t="s">
        <v>99</v>
      </c>
      <c r="BF226" s="56" t="s">
        <v>99</v>
      </c>
      <c r="BG226" s="56" t="s">
        <v>99</v>
      </c>
      <c r="BH226" s="56" t="s">
        <v>99</v>
      </c>
      <c r="BI226" s="56" t="s">
        <v>99</v>
      </c>
      <c r="BJ226" s="56" t="s">
        <v>99</v>
      </c>
      <c r="BK226" s="56" t="s">
        <v>99</v>
      </c>
      <c r="BL226" s="56" t="s">
        <v>99</v>
      </c>
      <c r="BM226" s="56" t="s">
        <v>99</v>
      </c>
      <c r="BN226" s="56" t="s">
        <v>99</v>
      </c>
      <c r="BO226" s="56" t="s">
        <v>99</v>
      </c>
      <c r="BP226" s="62" t="s">
        <v>99</v>
      </c>
    </row>
    <row r="227" spans="2:68">
      <c r="B227" s="58">
        <v>8</v>
      </c>
      <c r="C227" s="59">
        <v>32</v>
      </c>
      <c r="D227" s="59" t="s">
        <v>103</v>
      </c>
      <c r="E227" s="60">
        <f>'[1]Master File'!B226</f>
        <v>46240</v>
      </c>
      <c r="F227" s="61" t="str">
        <f>'[1]Master File'!C226</f>
        <v>Explorer 6PM</v>
      </c>
      <c r="G227" s="39"/>
      <c r="I227" s="56" t="s">
        <v>99</v>
      </c>
      <c r="J227" s="56" t="s">
        <v>99</v>
      </c>
      <c r="K227" s="56" t="s">
        <v>99</v>
      </c>
      <c r="L227" s="63" t="s">
        <v>23</v>
      </c>
      <c r="M227" s="56" t="s">
        <v>99</v>
      </c>
      <c r="N227" s="56" t="s">
        <v>99</v>
      </c>
      <c r="O227" s="56" t="s">
        <v>99</v>
      </c>
      <c r="P227" s="56" t="s">
        <v>99</v>
      </c>
      <c r="Q227" s="56" t="s">
        <v>99</v>
      </c>
      <c r="R227" s="56" t="s">
        <v>99</v>
      </c>
      <c r="S227" s="56" t="s">
        <v>99</v>
      </c>
      <c r="T227" s="56" t="s">
        <v>99</v>
      </c>
      <c r="U227" s="56" t="s">
        <v>99</v>
      </c>
      <c r="V227" s="56" t="s">
        <v>99</v>
      </c>
      <c r="W227" s="56" t="s">
        <v>99</v>
      </c>
      <c r="X227" s="56" t="s">
        <v>99</v>
      </c>
      <c r="Y227" s="56" t="s">
        <v>23</v>
      </c>
      <c r="Z227" s="56" t="s">
        <v>99</v>
      </c>
      <c r="AA227" s="56" t="s">
        <v>99</v>
      </c>
      <c r="AB227" s="56" t="s">
        <v>99</v>
      </c>
      <c r="AC227" s="56" t="s">
        <v>23</v>
      </c>
      <c r="AD227" s="56" t="s">
        <v>99</v>
      </c>
      <c r="AE227" s="56" t="s">
        <v>99</v>
      </c>
      <c r="AF227" s="56" t="s">
        <v>99</v>
      </c>
      <c r="AG227" s="56" t="s">
        <v>23</v>
      </c>
      <c r="AH227" s="56" t="s">
        <v>99</v>
      </c>
      <c r="AI227" s="56" t="s">
        <v>99</v>
      </c>
      <c r="AJ227" s="56" t="s">
        <v>99</v>
      </c>
      <c r="AK227" s="63" t="s">
        <v>23</v>
      </c>
      <c r="AL227" s="56" t="s">
        <v>99</v>
      </c>
      <c r="AM227" s="56" t="s">
        <v>99</v>
      </c>
      <c r="AN227" s="56" t="s">
        <v>99</v>
      </c>
      <c r="AO227" s="56" t="s">
        <v>99</v>
      </c>
      <c r="AP227" s="56" t="s">
        <v>99</v>
      </c>
      <c r="AQ227" s="56" t="s">
        <v>99</v>
      </c>
      <c r="AR227" s="56" t="s">
        <v>99</v>
      </c>
      <c r="AS227" s="56" t="s">
        <v>99</v>
      </c>
      <c r="AT227" s="56" t="s">
        <v>99</v>
      </c>
      <c r="AU227" s="56" t="s">
        <v>99</v>
      </c>
      <c r="AV227" s="56" t="s">
        <v>99</v>
      </c>
      <c r="AW227" s="56" t="s">
        <v>99</v>
      </c>
      <c r="AX227" s="56" t="s">
        <v>99</v>
      </c>
      <c r="AY227" s="56" t="s">
        <v>99</v>
      </c>
      <c r="AZ227" s="56" t="s">
        <v>99</v>
      </c>
      <c r="BA227" s="56" t="s">
        <v>99</v>
      </c>
      <c r="BB227" s="56" t="s">
        <v>99</v>
      </c>
      <c r="BC227" s="56" t="s">
        <v>99</v>
      </c>
      <c r="BD227" s="56" t="s">
        <v>99</v>
      </c>
      <c r="BE227" s="56" t="s">
        <v>99</v>
      </c>
      <c r="BF227" s="56" t="s">
        <v>99</v>
      </c>
      <c r="BG227" s="56" t="s">
        <v>99</v>
      </c>
      <c r="BH227" s="56" t="s">
        <v>99</v>
      </c>
      <c r="BI227" s="56" t="s">
        <v>99</v>
      </c>
      <c r="BJ227" s="56" t="s">
        <v>99</v>
      </c>
      <c r="BK227" s="56" t="s">
        <v>99</v>
      </c>
      <c r="BL227" s="56" t="s">
        <v>99</v>
      </c>
      <c r="BM227" s="56" t="s">
        <v>99</v>
      </c>
      <c r="BN227" s="56" t="s">
        <v>99</v>
      </c>
      <c r="BO227" s="56" t="s">
        <v>99</v>
      </c>
      <c r="BP227" s="62" t="s">
        <v>99</v>
      </c>
    </row>
    <row r="228" spans="2:68">
      <c r="B228" s="58">
        <v>8</v>
      </c>
      <c r="C228" s="59">
        <v>32</v>
      </c>
      <c r="D228" s="59" t="s">
        <v>104</v>
      </c>
      <c r="E228" s="60">
        <f>'[1]Master File'!B227</f>
        <v>46241</v>
      </c>
      <c r="F228" s="61" t="str">
        <f>'[1]Master File'!C227</f>
        <v>Explorer 6PM</v>
      </c>
      <c r="G228" s="39"/>
      <c r="I228" s="56" t="s">
        <v>99</v>
      </c>
      <c r="J228" s="56" t="s">
        <v>99</v>
      </c>
      <c r="K228" s="56" t="s">
        <v>99</v>
      </c>
      <c r="L228" s="63" t="s">
        <v>23</v>
      </c>
      <c r="M228" s="56" t="s">
        <v>99</v>
      </c>
      <c r="N228" s="56" t="s">
        <v>99</v>
      </c>
      <c r="O228" s="56" t="s">
        <v>99</v>
      </c>
      <c r="P228" s="56" t="s">
        <v>99</v>
      </c>
      <c r="Q228" s="56" t="s">
        <v>99</v>
      </c>
      <c r="R228" s="56" t="s">
        <v>99</v>
      </c>
      <c r="S228" s="56" t="s">
        <v>99</v>
      </c>
      <c r="T228" s="56" t="s">
        <v>99</v>
      </c>
      <c r="U228" s="56" t="s">
        <v>99</v>
      </c>
      <c r="V228" s="56" t="s">
        <v>99</v>
      </c>
      <c r="W228" s="56" t="s">
        <v>99</v>
      </c>
      <c r="X228" s="56" t="s">
        <v>99</v>
      </c>
      <c r="Y228" s="56" t="s">
        <v>23</v>
      </c>
      <c r="Z228" s="56" t="s">
        <v>99</v>
      </c>
      <c r="AA228" s="56" t="s">
        <v>99</v>
      </c>
      <c r="AB228" s="56" t="s">
        <v>99</v>
      </c>
      <c r="AC228" s="56" t="s">
        <v>23</v>
      </c>
      <c r="AD228" s="56" t="s">
        <v>99</v>
      </c>
      <c r="AE228" s="56" t="s">
        <v>99</v>
      </c>
      <c r="AF228" s="56" t="s">
        <v>99</v>
      </c>
      <c r="AG228" s="56" t="s">
        <v>23</v>
      </c>
      <c r="AH228" s="56" t="s">
        <v>99</v>
      </c>
      <c r="AI228" s="56" t="s">
        <v>99</v>
      </c>
      <c r="AJ228" s="56" t="s">
        <v>99</v>
      </c>
      <c r="AK228" s="63" t="s">
        <v>23</v>
      </c>
      <c r="AL228" s="56" t="s">
        <v>99</v>
      </c>
      <c r="AM228" s="56" t="s">
        <v>99</v>
      </c>
      <c r="AN228" s="56" t="s">
        <v>99</v>
      </c>
      <c r="AO228" s="56" t="s">
        <v>99</v>
      </c>
      <c r="AP228" s="56" t="s">
        <v>99</v>
      </c>
      <c r="AQ228" s="56" t="s">
        <v>99</v>
      </c>
      <c r="AR228" s="56" t="s">
        <v>99</v>
      </c>
      <c r="AS228" s="56" t="s">
        <v>99</v>
      </c>
      <c r="AT228" s="56" t="s">
        <v>99</v>
      </c>
      <c r="AU228" s="56" t="s">
        <v>99</v>
      </c>
      <c r="AV228" s="56" t="s">
        <v>99</v>
      </c>
      <c r="AW228" s="56" t="s">
        <v>99</v>
      </c>
      <c r="AX228" s="56" t="s">
        <v>99</v>
      </c>
      <c r="AY228" s="56" t="s">
        <v>99</v>
      </c>
      <c r="AZ228" s="56" t="s">
        <v>99</v>
      </c>
      <c r="BA228" s="56" t="s">
        <v>99</v>
      </c>
      <c r="BB228" s="56" t="s">
        <v>99</v>
      </c>
      <c r="BC228" s="56" t="s">
        <v>99</v>
      </c>
      <c r="BD228" s="56" t="s">
        <v>99</v>
      </c>
      <c r="BE228" s="56" t="s">
        <v>99</v>
      </c>
      <c r="BF228" s="56" t="s">
        <v>99</v>
      </c>
      <c r="BG228" s="56" t="s">
        <v>99</v>
      </c>
      <c r="BH228" s="56" t="s">
        <v>99</v>
      </c>
      <c r="BI228" s="56" t="s">
        <v>99</v>
      </c>
      <c r="BJ228" s="56" t="s">
        <v>99</v>
      </c>
      <c r="BK228" s="56" t="s">
        <v>99</v>
      </c>
      <c r="BL228" s="56" t="s">
        <v>99</v>
      </c>
      <c r="BM228" s="56" t="s">
        <v>99</v>
      </c>
      <c r="BN228" s="56" t="s">
        <v>99</v>
      </c>
      <c r="BO228" s="56" t="s">
        <v>99</v>
      </c>
      <c r="BP228" s="62" t="s">
        <v>99</v>
      </c>
    </row>
    <row r="229" spans="2:68">
      <c r="B229" s="58">
        <v>8</v>
      </c>
      <c r="C229" s="59">
        <v>32</v>
      </c>
      <c r="D229" s="59" t="s">
        <v>105</v>
      </c>
      <c r="E229" s="60">
        <f>'[1]Master File'!B228</f>
        <v>46242</v>
      </c>
      <c r="F229" s="61" t="str">
        <f>'[1]Master File'!C228</f>
        <v>Explorer + 6PM</v>
      </c>
      <c r="G229" s="39"/>
      <c r="I229" s="63" t="s">
        <v>99</v>
      </c>
      <c r="J229" s="63" t="s">
        <v>99</v>
      </c>
      <c r="K229" s="63" t="s">
        <v>99</v>
      </c>
      <c r="L229" s="63" t="s">
        <v>23</v>
      </c>
      <c r="M229" s="63" t="s">
        <v>99</v>
      </c>
      <c r="N229" s="63" t="s">
        <v>99</v>
      </c>
      <c r="O229" s="63" t="s">
        <v>99</v>
      </c>
      <c r="P229" s="63" t="s">
        <v>99</v>
      </c>
      <c r="Q229" s="63" t="s">
        <v>99</v>
      </c>
      <c r="R229" s="63" t="s">
        <v>99</v>
      </c>
      <c r="S229" s="63" t="s">
        <v>99</v>
      </c>
      <c r="T229" s="63" t="s">
        <v>99</v>
      </c>
      <c r="U229" s="63" t="s">
        <v>99</v>
      </c>
      <c r="V229" s="63" t="s">
        <v>99</v>
      </c>
      <c r="W229" s="63" t="s">
        <v>99</v>
      </c>
      <c r="X229" s="63" t="s">
        <v>99</v>
      </c>
      <c r="Y229" s="56" t="s">
        <v>23</v>
      </c>
      <c r="Z229" s="63" t="s">
        <v>99</v>
      </c>
      <c r="AA229" s="63" t="s">
        <v>99</v>
      </c>
      <c r="AB229" s="63" t="s">
        <v>99</v>
      </c>
      <c r="AC229" s="63" t="s">
        <v>23</v>
      </c>
      <c r="AD229" s="63" t="s">
        <v>99</v>
      </c>
      <c r="AE229" s="63" t="s">
        <v>99</v>
      </c>
      <c r="AF229" s="63" t="s">
        <v>99</v>
      </c>
      <c r="AG229" s="63" t="s">
        <v>23</v>
      </c>
      <c r="AH229" s="63" t="s">
        <v>99</v>
      </c>
      <c r="AI229" s="63" t="s">
        <v>99</v>
      </c>
      <c r="AJ229" s="63" t="s">
        <v>99</v>
      </c>
      <c r="AK229" s="63" t="s">
        <v>23</v>
      </c>
      <c r="AL229" s="63" t="s">
        <v>99</v>
      </c>
      <c r="AM229" s="63" t="s">
        <v>99</v>
      </c>
      <c r="AN229" s="63" t="s">
        <v>99</v>
      </c>
      <c r="AO229" s="63" t="s">
        <v>99</v>
      </c>
      <c r="AP229" s="63" t="s">
        <v>99</v>
      </c>
      <c r="AQ229" s="63" t="s">
        <v>23</v>
      </c>
      <c r="AR229" s="63" t="s">
        <v>99</v>
      </c>
      <c r="AS229" s="63" t="s">
        <v>99</v>
      </c>
      <c r="AT229" s="63" t="s">
        <v>99</v>
      </c>
      <c r="AU229" s="63" t="s">
        <v>99</v>
      </c>
      <c r="AV229" s="63" t="s">
        <v>99</v>
      </c>
      <c r="AW229" s="63" t="s">
        <v>99</v>
      </c>
      <c r="AX229" s="63" t="s">
        <v>99</v>
      </c>
      <c r="AY229" s="63" t="s">
        <v>99</v>
      </c>
      <c r="AZ229" s="63" t="s">
        <v>99</v>
      </c>
      <c r="BA229" s="63" t="s">
        <v>99</v>
      </c>
      <c r="BB229" s="63" t="s">
        <v>99</v>
      </c>
      <c r="BC229" s="63" t="s">
        <v>99</v>
      </c>
      <c r="BD229" s="63" t="s">
        <v>99</v>
      </c>
      <c r="BE229" s="63" t="s">
        <v>99</v>
      </c>
      <c r="BF229" s="63" t="s">
        <v>99</v>
      </c>
      <c r="BG229" s="63" t="s">
        <v>99</v>
      </c>
      <c r="BH229" s="63" t="s">
        <v>99</v>
      </c>
      <c r="BI229" s="63" t="s">
        <v>99</v>
      </c>
      <c r="BJ229" s="63" t="s">
        <v>99</v>
      </c>
      <c r="BK229" s="63" t="s">
        <v>99</v>
      </c>
      <c r="BL229" s="63" t="s">
        <v>99</v>
      </c>
      <c r="BM229" s="63" t="s">
        <v>99</v>
      </c>
      <c r="BN229" s="63" t="s">
        <v>99</v>
      </c>
      <c r="BO229" s="63" t="s">
        <v>99</v>
      </c>
      <c r="BP229" s="64" t="s">
        <v>99</v>
      </c>
    </row>
    <row r="230" spans="2:68">
      <c r="B230" s="58">
        <v>8</v>
      </c>
      <c r="C230" s="59">
        <v>33</v>
      </c>
      <c r="D230" s="59" t="s">
        <v>98</v>
      </c>
      <c r="E230" s="60">
        <f>'[1]Master File'!B229</f>
        <v>46243</v>
      </c>
      <c r="F230" s="61" t="str">
        <f>'[1]Master File'!C229</f>
        <v>Explorer 6PM</v>
      </c>
      <c r="G230" s="39"/>
      <c r="I230" s="63" t="s">
        <v>99</v>
      </c>
      <c r="J230" s="63" t="s">
        <v>99</v>
      </c>
      <c r="K230" s="63" t="s">
        <v>99</v>
      </c>
      <c r="L230" s="63" t="s">
        <v>23</v>
      </c>
      <c r="M230" s="63" t="s">
        <v>99</v>
      </c>
      <c r="N230" s="63" t="s">
        <v>99</v>
      </c>
      <c r="O230" s="63" t="s">
        <v>99</v>
      </c>
      <c r="P230" s="63" t="s">
        <v>99</v>
      </c>
      <c r="Q230" s="63" t="s">
        <v>99</v>
      </c>
      <c r="R230" s="63" t="s">
        <v>99</v>
      </c>
      <c r="S230" s="63" t="s">
        <v>99</v>
      </c>
      <c r="T230" s="63" t="s">
        <v>99</v>
      </c>
      <c r="U230" s="63" t="s">
        <v>99</v>
      </c>
      <c r="V230" s="63" t="s">
        <v>99</v>
      </c>
      <c r="W230" s="63" t="s">
        <v>99</v>
      </c>
      <c r="X230" s="63" t="s">
        <v>99</v>
      </c>
      <c r="Y230" s="56" t="s">
        <v>23</v>
      </c>
      <c r="Z230" s="63" t="s">
        <v>99</v>
      </c>
      <c r="AA230" s="63" t="s">
        <v>99</v>
      </c>
      <c r="AB230" s="63" t="s">
        <v>99</v>
      </c>
      <c r="AC230" s="63" t="s">
        <v>23</v>
      </c>
      <c r="AD230" s="63" t="s">
        <v>99</v>
      </c>
      <c r="AE230" s="63" t="s">
        <v>99</v>
      </c>
      <c r="AF230" s="63" t="s">
        <v>99</v>
      </c>
      <c r="AG230" s="63" t="s">
        <v>23</v>
      </c>
      <c r="AH230" s="63" t="s">
        <v>99</v>
      </c>
      <c r="AI230" s="63" t="s">
        <v>99</v>
      </c>
      <c r="AJ230" s="63" t="s">
        <v>99</v>
      </c>
      <c r="AK230" s="63" t="s">
        <v>23</v>
      </c>
      <c r="AL230" s="63" t="s">
        <v>99</v>
      </c>
      <c r="AM230" s="63" t="s">
        <v>99</v>
      </c>
      <c r="AN230" s="63" t="s">
        <v>99</v>
      </c>
      <c r="AO230" s="63" t="s">
        <v>99</v>
      </c>
      <c r="AP230" s="63" t="s">
        <v>99</v>
      </c>
      <c r="AQ230" s="63" t="s">
        <v>23</v>
      </c>
      <c r="AR230" s="63" t="s">
        <v>99</v>
      </c>
      <c r="AS230" s="63" t="s">
        <v>99</v>
      </c>
      <c r="AT230" s="63" t="s">
        <v>99</v>
      </c>
      <c r="AU230" s="63" t="s">
        <v>99</v>
      </c>
      <c r="AV230" s="63" t="s">
        <v>99</v>
      </c>
      <c r="AW230" s="63" t="s">
        <v>99</v>
      </c>
      <c r="AX230" s="63" t="s">
        <v>99</v>
      </c>
      <c r="AY230" s="63" t="s">
        <v>99</v>
      </c>
      <c r="AZ230" s="63" t="s">
        <v>99</v>
      </c>
      <c r="BA230" s="63" t="s">
        <v>99</v>
      </c>
      <c r="BB230" s="63" t="s">
        <v>99</v>
      </c>
      <c r="BC230" s="63" t="s">
        <v>99</v>
      </c>
      <c r="BD230" s="63" t="s">
        <v>99</v>
      </c>
      <c r="BE230" s="63" t="s">
        <v>99</v>
      </c>
      <c r="BF230" s="63" t="s">
        <v>99</v>
      </c>
      <c r="BG230" s="63" t="s">
        <v>99</v>
      </c>
      <c r="BH230" s="63" t="s">
        <v>99</v>
      </c>
      <c r="BI230" s="63" t="s">
        <v>99</v>
      </c>
      <c r="BJ230" s="63" t="s">
        <v>99</v>
      </c>
      <c r="BK230" s="63" t="s">
        <v>99</v>
      </c>
      <c r="BL230" s="63" t="s">
        <v>99</v>
      </c>
      <c r="BM230" s="63" t="s">
        <v>99</v>
      </c>
      <c r="BN230" s="63" t="s">
        <v>99</v>
      </c>
      <c r="BO230" s="63" t="s">
        <v>99</v>
      </c>
      <c r="BP230" s="64" t="s">
        <v>99</v>
      </c>
    </row>
    <row r="231" spans="2:68">
      <c r="B231" s="58">
        <v>8</v>
      </c>
      <c r="C231" s="59">
        <v>33</v>
      </c>
      <c r="D231" s="59" t="s">
        <v>100</v>
      </c>
      <c r="E231" s="60">
        <f>'[1]Master File'!B230</f>
        <v>46244</v>
      </c>
      <c r="F231" s="61" t="str">
        <f>'[1]Master File'!C230</f>
        <v>Explorer 6PM</v>
      </c>
      <c r="G231" s="39"/>
      <c r="I231" s="56" t="s">
        <v>99</v>
      </c>
      <c r="J231" s="56" t="s">
        <v>99</v>
      </c>
      <c r="K231" s="56" t="s">
        <v>99</v>
      </c>
      <c r="L231" s="63" t="s">
        <v>23</v>
      </c>
      <c r="M231" s="56" t="s">
        <v>99</v>
      </c>
      <c r="N231" s="56" t="s">
        <v>99</v>
      </c>
      <c r="O231" s="56" t="s">
        <v>99</v>
      </c>
      <c r="P231" s="56" t="s">
        <v>99</v>
      </c>
      <c r="Q231" s="56" t="s">
        <v>99</v>
      </c>
      <c r="R231" s="56" t="s">
        <v>99</v>
      </c>
      <c r="S231" s="56" t="s">
        <v>99</v>
      </c>
      <c r="T231" s="56" t="s">
        <v>99</v>
      </c>
      <c r="U231" s="56" t="s">
        <v>99</v>
      </c>
      <c r="V231" s="56" t="s">
        <v>99</v>
      </c>
      <c r="W231" s="56" t="s">
        <v>99</v>
      </c>
      <c r="X231" s="56" t="s">
        <v>99</v>
      </c>
      <c r="Y231" s="56" t="s">
        <v>23</v>
      </c>
      <c r="Z231" s="56" t="s">
        <v>99</v>
      </c>
      <c r="AA231" s="56" t="s">
        <v>99</v>
      </c>
      <c r="AB231" s="56" t="s">
        <v>99</v>
      </c>
      <c r="AC231" s="56" t="s">
        <v>99</v>
      </c>
      <c r="AD231" s="56" t="s">
        <v>99</v>
      </c>
      <c r="AE231" s="56" t="s">
        <v>99</v>
      </c>
      <c r="AF231" s="56" t="s">
        <v>99</v>
      </c>
      <c r="AG231" s="56" t="s">
        <v>23</v>
      </c>
      <c r="AH231" s="56" t="s">
        <v>99</v>
      </c>
      <c r="AI231" s="56" t="s">
        <v>99</v>
      </c>
      <c r="AJ231" s="56" t="s">
        <v>99</v>
      </c>
      <c r="AK231" s="63" t="s">
        <v>23</v>
      </c>
      <c r="AL231" s="56" t="s">
        <v>99</v>
      </c>
      <c r="AM231" s="56" t="s">
        <v>99</v>
      </c>
      <c r="AN231" s="56" t="s">
        <v>99</v>
      </c>
      <c r="AO231" s="56" t="s">
        <v>99</v>
      </c>
      <c r="AP231" s="56" t="s">
        <v>99</v>
      </c>
      <c r="AQ231" s="56" t="s">
        <v>99</v>
      </c>
      <c r="AR231" s="56" t="s">
        <v>99</v>
      </c>
      <c r="AS231" s="56" t="s">
        <v>99</v>
      </c>
      <c r="AT231" s="56" t="s">
        <v>99</v>
      </c>
      <c r="AU231" s="56" t="s">
        <v>99</v>
      </c>
      <c r="AV231" s="56" t="s">
        <v>99</v>
      </c>
      <c r="AW231" s="56" t="s">
        <v>99</v>
      </c>
      <c r="AX231" s="56" t="s">
        <v>99</v>
      </c>
      <c r="AY231" s="56" t="s">
        <v>99</v>
      </c>
      <c r="AZ231" s="56" t="s">
        <v>99</v>
      </c>
      <c r="BA231" s="56" t="s">
        <v>99</v>
      </c>
      <c r="BB231" s="56" t="s">
        <v>99</v>
      </c>
      <c r="BC231" s="56" t="s">
        <v>99</v>
      </c>
      <c r="BD231" s="56" t="s">
        <v>99</v>
      </c>
      <c r="BE231" s="56" t="s">
        <v>99</v>
      </c>
      <c r="BF231" s="56" t="s">
        <v>99</v>
      </c>
      <c r="BG231" s="56" t="s">
        <v>99</v>
      </c>
      <c r="BH231" s="56" t="s">
        <v>99</v>
      </c>
      <c r="BI231" s="56" t="s">
        <v>99</v>
      </c>
      <c r="BJ231" s="56" t="s">
        <v>99</v>
      </c>
      <c r="BK231" s="56" t="s">
        <v>99</v>
      </c>
      <c r="BL231" s="56" t="s">
        <v>99</v>
      </c>
      <c r="BM231" s="56" t="s">
        <v>99</v>
      </c>
      <c r="BN231" s="56" t="s">
        <v>99</v>
      </c>
      <c r="BO231" s="56" t="s">
        <v>99</v>
      </c>
      <c r="BP231" s="62" t="s">
        <v>99</v>
      </c>
    </row>
    <row r="232" spans="2:68">
      <c r="B232" s="58">
        <v>8</v>
      </c>
      <c r="C232" s="59">
        <v>33</v>
      </c>
      <c r="D232" s="59" t="s">
        <v>101</v>
      </c>
      <c r="E232" s="60">
        <f>'[1]Master File'!B231</f>
        <v>46245</v>
      </c>
      <c r="F232" s="61" t="str">
        <f>'[1]Master File'!C231</f>
        <v>Explorer + 6PM</v>
      </c>
      <c r="G232" s="39"/>
      <c r="I232" s="56" t="s">
        <v>99</v>
      </c>
      <c r="J232" s="56" t="s">
        <v>99</v>
      </c>
      <c r="K232" s="56" t="s">
        <v>99</v>
      </c>
      <c r="L232" s="63" t="s">
        <v>23</v>
      </c>
      <c r="M232" s="56" t="s">
        <v>99</v>
      </c>
      <c r="N232" s="56" t="s">
        <v>99</v>
      </c>
      <c r="O232" s="56" t="s">
        <v>99</v>
      </c>
      <c r="P232" s="56" t="s">
        <v>99</v>
      </c>
      <c r="Q232" s="56" t="s">
        <v>99</v>
      </c>
      <c r="R232" s="56" t="s">
        <v>99</v>
      </c>
      <c r="S232" s="56" t="s">
        <v>99</v>
      </c>
      <c r="T232" s="56" t="s">
        <v>99</v>
      </c>
      <c r="U232" s="56" t="s">
        <v>99</v>
      </c>
      <c r="V232" s="56" t="s">
        <v>99</v>
      </c>
      <c r="W232" s="56" t="s">
        <v>99</v>
      </c>
      <c r="X232" s="56" t="s">
        <v>99</v>
      </c>
      <c r="Y232" s="56" t="s">
        <v>23</v>
      </c>
      <c r="Z232" s="56" t="s">
        <v>99</v>
      </c>
      <c r="AA232" s="56" t="s">
        <v>99</v>
      </c>
      <c r="AB232" s="56" t="s">
        <v>99</v>
      </c>
      <c r="AC232" s="56" t="s">
        <v>23</v>
      </c>
      <c r="AD232" s="56" t="s">
        <v>99</v>
      </c>
      <c r="AE232" s="56" t="s">
        <v>99</v>
      </c>
      <c r="AF232" s="56" t="s">
        <v>99</v>
      </c>
      <c r="AG232" s="56" t="s">
        <v>23</v>
      </c>
      <c r="AH232" s="56" t="s">
        <v>99</v>
      </c>
      <c r="AI232" s="56" t="s">
        <v>99</v>
      </c>
      <c r="AJ232" s="56" t="s">
        <v>99</v>
      </c>
      <c r="AK232" s="63" t="s">
        <v>23</v>
      </c>
      <c r="AL232" s="56" t="s">
        <v>99</v>
      </c>
      <c r="AM232" s="56" t="s">
        <v>99</v>
      </c>
      <c r="AN232" s="56" t="s">
        <v>99</v>
      </c>
      <c r="AO232" s="56" t="s">
        <v>99</v>
      </c>
      <c r="AP232" s="56" t="s">
        <v>99</v>
      </c>
      <c r="AQ232" s="56" t="s">
        <v>99</v>
      </c>
      <c r="AR232" s="56" t="s">
        <v>99</v>
      </c>
      <c r="AS232" s="56" t="s">
        <v>99</v>
      </c>
      <c r="AT232" s="56" t="s">
        <v>99</v>
      </c>
      <c r="AU232" s="56" t="s">
        <v>99</v>
      </c>
      <c r="AV232" s="56" t="s">
        <v>99</v>
      </c>
      <c r="AW232" s="56" t="s">
        <v>99</v>
      </c>
      <c r="AX232" s="56" t="s">
        <v>99</v>
      </c>
      <c r="AY232" s="56" t="s">
        <v>99</v>
      </c>
      <c r="AZ232" s="56" t="s">
        <v>99</v>
      </c>
      <c r="BA232" s="56" t="s">
        <v>99</v>
      </c>
      <c r="BB232" s="56" t="s">
        <v>99</v>
      </c>
      <c r="BC232" s="56" t="s">
        <v>99</v>
      </c>
      <c r="BD232" s="56" t="s">
        <v>99</v>
      </c>
      <c r="BE232" s="56" t="s">
        <v>99</v>
      </c>
      <c r="BF232" s="56" t="s">
        <v>99</v>
      </c>
      <c r="BG232" s="56" t="s">
        <v>99</v>
      </c>
      <c r="BH232" s="56" t="s">
        <v>99</v>
      </c>
      <c r="BI232" s="56" t="s">
        <v>99</v>
      </c>
      <c r="BJ232" s="56" t="s">
        <v>99</v>
      </c>
      <c r="BK232" s="56" t="s">
        <v>99</v>
      </c>
      <c r="BL232" s="56" t="s">
        <v>99</v>
      </c>
      <c r="BM232" s="56" t="s">
        <v>99</v>
      </c>
      <c r="BN232" s="56" t="s">
        <v>99</v>
      </c>
      <c r="BO232" s="56" t="s">
        <v>99</v>
      </c>
      <c r="BP232" s="62" t="s">
        <v>99</v>
      </c>
    </row>
    <row r="233" spans="2:68">
      <c r="B233" s="58">
        <v>8</v>
      </c>
      <c r="C233" s="59">
        <v>33</v>
      </c>
      <c r="D233" s="59" t="s">
        <v>102</v>
      </c>
      <c r="E233" s="60">
        <f>'[1]Master File'!B232</f>
        <v>46246</v>
      </c>
      <c r="F233" s="61" t="str">
        <f>'[1]Master File'!C232</f>
        <v>Explorer + 6PM</v>
      </c>
      <c r="G233" s="39"/>
      <c r="I233" s="56" t="s">
        <v>99</v>
      </c>
      <c r="J233" s="56" t="s">
        <v>99</v>
      </c>
      <c r="K233" s="56" t="s">
        <v>99</v>
      </c>
      <c r="L233" s="63" t="s">
        <v>23</v>
      </c>
      <c r="M233" s="56" t="s">
        <v>99</v>
      </c>
      <c r="N233" s="56" t="s">
        <v>99</v>
      </c>
      <c r="O233" s="56" t="s">
        <v>99</v>
      </c>
      <c r="P233" s="56" t="s">
        <v>99</v>
      </c>
      <c r="Q233" s="56" t="s">
        <v>99</v>
      </c>
      <c r="R233" s="56" t="s">
        <v>99</v>
      </c>
      <c r="S233" s="56" t="s">
        <v>99</v>
      </c>
      <c r="T233" s="56" t="s">
        <v>99</v>
      </c>
      <c r="U233" s="56" t="s">
        <v>99</v>
      </c>
      <c r="V233" s="56" t="s">
        <v>99</v>
      </c>
      <c r="W233" s="56" t="s">
        <v>99</v>
      </c>
      <c r="X233" s="56" t="s">
        <v>99</v>
      </c>
      <c r="Y233" s="56" t="s">
        <v>23</v>
      </c>
      <c r="Z233" s="56" t="s">
        <v>99</v>
      </c>
      <c r="AA233" s="56" t="s">
        <v>99</v>
      </c>
      <c r="AB233" s="56" t="s">
        <v>99</v>
      </c>
      <c r="AC233" s="56" t="s">
        <v>23</v>
      </c>
      <c r="AD233" s="56" t="s">
        <v>99</v>
      </c>
      <c r="AE233" s="56" t="s">
        <v>99</v>
      </c>
      <c r="AF233" s="56" t="s">
        <v>99</v>
      </c>
      <c r="AG233" s="56" t="s">
        <v>23</v>
      </c>
      <c r="AH233" s="56" t="s">
        <v>99</v>
      </c>
      <c r="AI233" s="56" t="s">
        <v>99</v>
      </c>
      <c r="AJ233" s="56" t="s">
        <v>99</v>
      </c>
      <c r="AK233" s="63" t="s">
        <v>23</v>
      </c>
      <c r="AL233" s="56" t="s">
        <v>99</v>
      </c>
      <c r="AM233" s="56" t="s">
        <v>99</v>
      </c>
      <c r="AN233" s="56" t="s">
        <v>99</v>
      </c>
      <c r="AO233" s="56" t="s">
        <v>99</v>
      </c>
      <c r="AP233" s="56" t="s">
        <v>99</v>
      </c>
      <c r="AQ233" s="56" t="s">
        <v>99</v>
      </c>
      <c r="AR233" s="56" t="s">
        <v>99</v>
      </c>
      <c r="AS233" s="56" t="s">
        <v>99</v>
      </c>
      <c r="AT233" s="56" t="s">
        <v>99</v>
      </c>
      <c r="AU233" s="56" t="s">
        <v>99</v>
      </c>
      <c r="AV233" s="56" t="s">
        <v>99</v>
      </c>
      <c r="AW233" s="56" t="s">
        <v>99</v>
      </c>
      <c r="AX233" s="56" t="s">
        <v>99</v>
      </c>
      <c r="AY233" s="56" t="s">
        <v>99</v>
      </c>
      <c r="AZ233" s="56" t="s">
        <v>99</v>
      </c>
      <c r="BA233" s="56" t="s">
        <v>99</v>
      </c>
      <c r="BB233" s="56" t="s">
        <v>99</v>
      </c>
      <c r="BC233" s="56" t="s">
        <v>99</v>
      </c>
      <c r="BD233" s="56" t="s">
        <v>99</v>
      </c>
      <c r="BE233" s="56" t="s">
        <v>99</v>
      </c>
      <c r="BF233" s="56" t="s">
        <v>99</v>
      </c>
      <c r="BG233" s="56" t="s">
        <v>99</v>
      </c>
      <c r="BH233" s="56" t="s">
        <v>99</v>
      </c>
      <c r="BI233" s="56" t="s">
        <v>99</v>
      </c>
      <c r="BJ233" s="56" t="s">
        <v>99</v>
      </c>
      <c r="BK233" s="56" t="s">
        <v>99</v>
      </c>
      <c r="BL233" s="56" t="s">
        <v>99</v>
      </c>
      <c r="BM233" s="56" t="s">
        <v>99</v>
      </c>
      <c r="BN233" s="56" t="s">
        <v>99</v>
      </c>
      <c r="BO233" s="56" t="s">
        <v>99</v>
      </c>
      <c r="BP233" s="62" t="s">
        <v>99</v>
      </c>
    </row>
    <row r="234" spans="2:68">
      <c r="B234" s="58">
        <v>8</v>
      </c>
      <c r="C234" s="59">
        <v>33</v>
      </c>
      <c r="D234" s="59" t="s">
        <v>103</v>
      </c>
      <c r="E234" s="60">
        <f>'[1]Master File'!B233</f>
        <v>46247</v>
      </c>
      <c r="F234" s="61" t="str">
        <f>'[1]Master File'!C233</f>
        <v>Explorer + 6PM</v>
      </c>
      <c r="G234" s="39"/>
      <c r="I234" s="56" t="s">
        <v>99</v>
      </c>
      <c r="J234" s="56" t="s">
        <v>99</v>
      </c>
      <c r="K234" s="56" t="s">
        <v>99</v>
      </c>
      <c r="L234" s="63" t="s">
        <v>23</v>
      </c>
      <c r="M234" s="56" t="s">
        <v>99</v>
      </c>
      <c r="N234" s="56" t="s">
        <v>99</v>
      </c>
      <c r="O234" s="56" t="s">
        <v>99</v>
      </c>
      <c r="P234" s="56" t="s">
        <v>99</v>
      </c>
      <c r="Q234" s="56" t="s">
        <v>99</v>
      </c>
      <c r="R234" s="56" t="s">
        <v>99</v>
      </c>
      <c r="S234" s="56" t="s">
        <v>99</v>
      </c>
      <c r="T234" s="56" t="s">
        <v>99</v>
      </c>
      <c r="U234" s="56" t="s">
        <v>99</v>
      </c>
      <c r="V234" s="56" t="s">
        <v>99</v>
      </c>
      <c r="W234" s="56" t="s">
        <v>99</v>
      </c>
      <c r="X234" s="56" t="s">
        <v>99</v>
      </c>
      <c r="Y234" s="56" t="s">
        <v>23</v>
      </c>
      <c r="Z234" s="56" t="s">
        <v>99</v>
      </c>
      <c r="AA234" s="56" t="s">
        <v>99</v>
      </c>
      <c r="AB234" s="56" t="s">
        <v>99</v>
      </c>
      <c r="AC234" s="56" t="s">
        <v>23</v>
      </c>
      <c r="AD234" s="56" t="s">
        <v>99</v>
      </c>
      <c r="AE234" s="56" t="s">
        <v>99</v>
      </c>
      <c r="AF234" s="56" t="s">
        <v>99</v>
      </c>
      <c r="AG234" s="56" t="s">
        <v>23</v>
      </c>
      <c r="AH234" s="56" t="s">
        <v>99</v>
      </c>
      <c r="AI234" s="56" t="s">
        <v>99</v>
      </c>
      <c r="AJ234" s="56" t="s">
        <v>99</v>
      </c>
      <c r="AK234" s="63" t="s">
        <v>23</v>
      </c>
      <c r="AL234" s="56" t="s">
        <v>99</v>
      </c>
      <c r="AM234" s="56" t="s">
        <v>99</v>
      </c>
      <c r="AN234" s="56" t="s">
        <v>99</v>
      </c>
      <c r="AO234" s="56" t="s">
        <v>99</v>
      </c>
      <c r="AP234" s="56" t="s">
        <v>99</v>
      </c>
      <c r="AQ234" s="56" t="s">
        <v>99</v>
      </c>
      <c r="AR234" s="56" t="s">
        <v>99</v>
      </c>
      <c r="AS234" s="56" t="s">
        <v>99</v>
      </c>
      <c r="AT234" s="56" t="s">
        <v>99</v>
      </c>
      <c r="AU234" s="56" t="s">
        <v>99</v>
      </c>
      <c r="AV234" s="56" t="s">
        <v>99</v>
      </c>
      <c r="AW234" s="56" t="s">
        <v>99</v>
      </c>
      <c r="AX234" s="56" t="s">
        <v>99</v>
      </c>
      <c r="AY234" s="56" t="s">
        <v>99</v>
      </c>
      <c r="AZ234" s="56" t="s">
        <v>99</v>
      </c>
      <c r="BA234" s="56" t="s">
        <v>99</v>
      </c>
      <c r="BB234" s="56" t="s">
        <v>99</v>
      </c>
      <c r="BC234" s="56" t="s">
        <v>99</v>
      </c>
      <c r="BD234" s="56" t="s">
        <v>99</v>
      </c>
      <c r="BE234" s="56" t="s">
        <v>99</v>
      </c>
      <c r="BF234" s="56" t="s">
        <v>99</v>
      </c>
      <c r="BG234" s="56" t="s">
        <v>99</v>
      </c>
      <c r="BH234" s="56" t="s">
        <v>99</v>
      </c>
      <c r="BI234" s="56" t="s">
        <v>99</v>
      </c>
      <c r="BJ234" s="56" t="s">
        <v>99</v>
      </c>
      <c r="BK234" s="56" t="s">
        <v>99</v>
      </c>
      <c r="BL234" s="56" t="s">
        <v>99</v>
      </c>
      <c r="BM234" s="56" t="s">
        <v>99</v>
      </c>
      <c r="BN234" s="56" t="s">
        <v>99</v>
      </c>
      <c r="BO234" s="56" t="s">
        <v>99</v>
      </c>
      <c r="BP234" s="62" t="s">
        <v>99</v>
      </c>
    </row>
    <row r="235" spans="2:68">
      <c r="B235" s="58">
        <v>8</v>
      </c>
      <c r="C235" s="59">
        <v>33</v>
      </c>
      <c r="D235" s="59" t="s">
        <v>104</v>
      </c>
      <c r="E235" s="60">
        <f>'[1]Master File'!B234</f>
        <v>46248</v>
      </c>
      <c r="F235" s="61" t="str">
        <f>'[1]Master File'!C234</f>
        <v>Explorer + 6PM</v>
      </c>
      <c r="G235" s="39"/>
      <c r="I235" s="56" t="s">
        <v>99</v>
      </c>
      <c r="J235" s="56" t="s">
        <v>99</v>
      </c>
      <c r="K235" s="56" t="s">
        <v>99</v>
      </c>
      <c r="L235" s="63" t="s">
        <v>23</v>
      </c>
      <c r="M235" s="56" t="s">
        <v>99</v>
      </c>
      <c r="N235" s="56" t="s">
        <v>99</v>
      </c>
      <c r="O235" s="56" t="s">
        <v>99</v>
      </c>
      <c r="P235" s="56" t="s">
        <v>99</v>
      </c>
      <c r="Q235" s="56" t="s">
        <v>99</v>
      </c>
      <c r="R235" s="56" t="s">
        <v>99</v>
      </c>
      <c r="S235" s="56" t="s">
        <v>99</v>
      </c>
      <c r="T235" s="56" t="s">
        <v>99</v>
      </c>
      <c r="U235" s="56" t="s">
        <v>99</v>
      </c>
      <c r="V235" s="56" t="s">
        <v>99</v>
      </c>
      <c r="W235" s="56" t="s">
        <v>99</v>
      </c>
      <c r="X235" s="56" t="s">
        <v>99</v>
      </c>
      <c r="Y235" s="56" t="s">
        <v>23</v>
      </c>
      <c r="Z235" s="56" t="s">
        <v>99</v>
      </c>
      <c r="AA235" s="56" t="s">
        <v>99</v>
      </c>
      <c r="AB235" s="56" t="s">
        <v>99</v>
      </c>
      <c r="AC235" s="56" t="s">
        <v>23</v>
      </c>
      <c r="AD235" s="56" t="s">
        <v>99</v>
      </c>
      <c r="AE235" s="56" t="s">
        <v>99</v>
      </c>
      <c r="AF235" s="56" t="s">
        <v>99</v>
      </c>
      <c r="AG235" s="56" t="s">
        <v>23</v>
      </c>
      <c r="AH235" s="56" t="s">
        <v>99</v>
      </c>
      <c r="AI235" s="56" t="s">
        <v>99</v>
      </c>
      <c r="AJ235" s="56" t="s">
        <v>99</v>
      </c>
      <c r="AK235" s="63" t="s">
        <v>23</v>
      </c>
      <c r="AL235" s="56" t="s">
        <v>99</v>
      </c>
      <c r="AM235" s="56" t="s">
        <v>99</v>
      </c>
      <c r="AN235" s="56" t="s">
        <v>99</v>
      </c>
      <c r="AO235" s="56" t="s">
        <v>99</v>
      </c>
      <c r="AP235" s="56" t="s">
        <v>99</v>
      </c>
      <c r="AQ235" s="56" t="s">
        <v>99</v>
      </c>
      <c r="AR235" s="56" t="s">
        <v>99</v>
      </c>
      <c r="AS235" s="56" t="s">
        <v>99</v>
      </c>
      <c r="AT235" s="56" t="s">
        <v>99</v>
      </c>
      <c r="AU235" s="56" t="s">
        <v>99</v>
      </c>
      <c r="AV235" s="56" t="s">
        <v>99</v>
      </c>
      <c r="AW235" s="56" t="s">
        <v>99</v>
      </c>
      <c r="AX235" s="56" t="s">
        <v>99</v>
      </c>
      <c r="AY235" s="56" t="s">
        <v>99</v>
      </c>
      <c r="AZ235" s="56" t="s">
        <v>99</v>
      </c>
      <c r="BA235" s="56" t="s">
        <v>99</v>
      </c>
      <c r="BB235" s="56" t="s">
        <v>99</v>
      </c>
      <c r="BC235" s="56" t="s">
        <v>99</v>
      </c>
      <c r="BD235" s="56" t="s">
        <v>99</v>
      </c>
      <c r="BE235" s="56" t="s">
        <v>99</v>
      </c>
      <c r="BF235" s="56" t="s">
        <v>99</v>
      </c>
      <c r="BG235" s="56" t="s">
        <v>99</v>
      </c>
      <c r="BH235" s="56" t="s">
        <v>99</v>
      </c>
      <c r="BI235" s="56" t="s">
        <v>99</v>
      </c>
      <c r="BJ235" s="56" t="s">
        <v>99</v>
      </c>
      <c r="BK235" s="56" t="s">
        <v>99</v>
      </c>
      <c r="BL235" s="56" t="s">
        <v>99</v>
      </c>
      <c r="BM235" s="56" t="s">
        <v>99</v>
      </c>
      <c r="BN235" s="56" t="s">
        <v>99</v>
      </c>
      <c r="BO235" s="56" t="s">
        <v>99</v>
      </c>
      <c r="BP235" s="62" t="s">
        <v>99</v>
      </c>
    </row>
    <row r="236" spans="2:68">
      <c r="B236" s="58">
        <v>8</v>
      </c>
      <c r="C236" s="59">
        <v>33</v>
      </c>
      <c r="D236" s="59" t="s">
        <v>105</v>
      </c>
      <c r="E236" s="60">
        <f>'[1]Master File'!B235</f>
        <v>46249</v>
      </c>
      <c r="F236" s="61" t="str">
        <f>'[1]Master File'!C235</f>
        <v>Explorer + 6PM</v>
      </c>
      <c r="G236" s="39"/>
      <c r="I236" s="63" t="s">
        <v>99</v>
      </c>
      <c r="J236" s="63" t="s">
        <v>99</v>
      </c>
      <c r="K236" s="63" t="s">
        <v>99</v>
      </c>
      <c r="L236" s="63" t="s">
        <v>23</v>
      </c>
      <c r="M236" s="63" t="s">
        <v>99</v>
      </c>
      <c r="N236" s="63" t="s">
        <v>99</v>
      </c>
      <c r="O236" s="63" t="s">
        <v>99</v>
      </c>
      <c r="P236" s="63" t="s">
        <v>99</v>
      </c>
      <c r="Q236" s="63" t="s">
        <v>99</v>
      </c>
      <c r="R236" s="63" t="s">
        <v>99</v>
      </c>
      <c r="S236" s="63" t="s">
        <v>99</v>
      </c>
      <c r="T236" s="63" t="s">
        <v>99</v>
      </c>
      <c r="U236" s="63" t="s">
        <v>99</v>
      </c>
      <c r="V236" s="63" t="s">
        <v>99</v>
      </c>
      <c r="W236" s="63" t="s">
        <v>99</v>
      </c>
      <c r="X236" s="63" t="s">
        <v>99</v>
      </c>
      <c r="Y236" s="56" t="s">
        <v>23</v>
      </c>
      <c r="Z236" s="63" t="s">
        <v>99</v>
      </c>
      <c r="AA236" s="63" t="s">
        <v>99</v>
      </c>
      <c r="AB236" s="63" t="s">
        <v>99</v>
      </c>
      <c r="AC236" s="63" t="s">
        <v>23</v>
      </c>
      <c r="AD236" s="63" t="s">
        <v>99</v>
      </c>
      <c r="AE236" s="63" t="s">
        <v>99</v>
      </c>
      <c r="AF236" s="63" t="s">
        <v>99</v>
      </c>
      <c r="AG236" s="63" t="s">
        <v>23</v>
      </c>
      <c r="AH236" s="63" t="s">
        <v>99</v>
      </c>
      <c r="AI236" s="63" t="s">
        <v>99</v>
      </c>
      <c r="AJ236" s="63" t="s">
        <v>99</v>
      </c>
      <c r="AK236" s="63" t="s">
        <v>23</v>
      </c>
      <c r="AL236" s="63" t="s">
        <v>99</v>
      </c>
      <c r="AM236" s="63" t="s">
        <v>99</v>
      </c>
      <c r="AN236" s="63" t="s">
        <v>99</v>
      </c>
      <c r="AO236" s="63" t="s">
        <v>99</v>
      </c>
      <c r="AP236" s="63" t="s">
        <v>99</v>
      </c>
      <c r="AQ236" s="63" t="s">
        <v>23</v>
      </c>
      <c r="AR236" s="63" t="s">
        <v>99</v>
      </c>
      <c r="AS236" s="63" t="s">
        <v>99</v>
      </c>
      <c r="AT236" s="63" t="s">
        <v>99</v>
      </c>
      <c r="AU236" s="63" t="s">
        <v>99</v>
      </c>
      <c r="AV236" s="63" t="s">
        <v>99</v>
      </c>
      <c r="AW236" s="63" t="s">
        <v>99</v>
      </c>
      <c r="AX236" s="63" t="s">
        <v>99</v>
      </c>
      <c r="AY236" s="63" t="s">
        <v>99</v>
      </c>
      <c r="AZ236" s="63" t="s">
        <v>99</v>
      </c>
      <c r="BA236" s="63" t="s">
        <v>99</v>
      </c>
      <c r="BB236" s="63" t="s">
        <v>99</v>
      </c>
      <c r="BC236" s="63" t="s">
        <v>99</v>
      </c>
      <c r="BD236" s="63" t="s">
        <v>99</v>
      </c>
      <c r="BE236" s="63" t="s">
        <v>99</v>
      </c>
      <c r="BF236" s="63" t="s">
        <v>99</v>
      </c>
      <c r="BG236" s="63" t="s">
        <v>99</v>
      </c>
      <c r="BH236" s="63" t="s">
        <v>99</v>
      </c>
      <c r="BI236" s="63" t="s">
        <v>99</v>
      </c>
      <c r="BJ236" s="63" t="s">
        <v>99</v>
      </c>
      <c r="BK236" s="63" t="s">
        <v>99</v>
      </c>
      <c r="BL236" s="63" t="s">
        <v>99</v>
      </c>
      <c r="BM236" s="63" t="s">
        <v>99</v>
      </c>
      <c r="BN236" s="63" t="s">
        <v>99</v>
      </c>
      <c r="BO236" s="63" t="s">
        <v>99</v>
      </c>
      <c r="BP236" s="64" t="s">
        <v>99</v>
      </c>
    </row>
    <row r="237" spans="2:68">
      <c r="B237" s="58">
        <v>8</v>
      </c>
      <c r="C237" s="59">
        <v>34</v>
      </c>
      <c r="D237" s="59" t="s">
        <v>98</v>
      </c>
      <c r="E237" s="60">
        <f>'[1]Master File'!B236</f>
        <v>46250</v>
      </c>
      <c r="F237" s="61" t="str">
        <f>'[1]Master File'!C236</f>
        <v>Explorer + 6PM</v>
      </c>
      <c r="G237" s="39"/>
      <c r="I237" s="63" t="s">
        <v>99</v>
      </c>
      <c r="J237" s="63" t="s">
        <v>99</v>
      </c>
      <c r="K237" s="63" t="s">
        <v>99</v>
      </c>
      <c r="L237" s="63" t="s">
        <v>23</v>
      </c>
      <c r="M237" s="63" t="s">
        <v>99</v>
      </c>
      <c r="N237" s="63" t="s">
        <v>99</v>
      </c>
      <c r="O237" s="63" t="s">
        <v>99</v>
      </c>
      <c r="P237" s="63" t="s">
        <v>99</v>
      </c>
      <c r="Q237" s="63" t="s">
        <v>99</v>
      </c>
      <c r="R237" s="63" t="s">
        <v>99</v>
      </c>
      <c r="S237" s="63" t="s">
        <v>99</v>
      </c>
      <c r="T237" s="63" t="s">
        <v>99</v>
      </c>
      <c r="U237" s="63" t="s">
        <v>99</v>
      </c>
      <c r="V237" s="63" t="s">
        <v>99</v>
      </c>
      <c r="W237" s="63" t="s">
        <v>99</v>
      </c>
      <c r="X237" s="63" t="s">
        <v>99</v>
      </c>
      <c r="Y237" s="56" t="s">
        <v>23</v>
      </c>
      <c r="Z237" s="63" t="s">
        <v>99</v>
      </c>
      <c r="AA237" s="63" t="s">
        <v>99</v>
      </c>
      <c r="AB237" s="63" t="s">
        <v>99</v>
      </c>
      <c r="AC237" s="63" t="s">
        <v>23</v>
      </c>
      <c r="AD237" s="63" t="s">
        <v>99</v>
      </c>
      <c r="AE237" s="63" t="s">
        <v>99</v>
      </c>
      <c r="AF237" s="63" t="s">
        <v>99</v>
      </c>
      <c r="AG237" s="63" t="s">
        <v>23</v>
      </c>
      <c r="AH237" s="63" t="s">
        <v>99</v>
      </c>
      <c r="AI237" s="63" t="s">
        <v>99</v>
      </c>
      <c r="AJ237" s="63" t="s">
        <v>99</v>
      </c>
      <c r="AK237" s="63" t="s">
        <v>23</v>
      </c>
      <c r="AL237" s="63" t="s">
        <v>99</v>
      </c>
      <c r="AM237" s="63" t="s">
        <v>99</v>
      </c>
      <c r="AN237" s="63" t="s">
        <v>99</v>
      </c>
      <c r="AO237" s="63" t="s">
        <v>99</v>
      </c>
      <c r="AP237" s="63" t="s">
        <v>99</v>
      </c>
      <c r="AQ237" s="63" t="s">
        <v>23</v>
      </c>
      <c r="AR237" s="63" t="s">
        <v>99</v>
      </c>
      <c r="AS237" s="63" t="s">
        <v>99</v>
      </c>
      <c r="AT237" s="63" t="s">
        <v>99</v>
      </c>
      <c r="AU237" s="63" t="s">
        <v>99</v>
      </c>
      <c r="AV237" s="63" t="s">
        <v>99</v>
      </c>
      <c r="AW237" s="63" t="s">
        <v>99</v>
      </c>
      <c r="AX237" s="63" t="s">
        <v>99</v>
      </c>
      <c r="AY237" s="63" t="s">
        <v>99</v>
      </c>
      <c r="AZ237" s="63" t="s">
        <v>99</v>
      </c>
      <c r="BA237" s="63" t="s">
        <v>99</v>
      </c>
      <c r="BB237" s="63" t="s">
        <v>99</v>
      </c>
      <c r="BC237" s="63" t="s">
        <v>99</v>
      </c>
      <c r="BD237" s="63" t="s">
        <v>99</v>
      </c>
      <c r="BE237" s="63" t="s">
        <v>99</v>
      </c>
      <c r="BF237" s="63" t="s">
        <v>99</v>
      </c>
      <c r="BG237" s="63" t="s">
        <v>99</v>
      </c>
      <c r="BH237" s="63" t="s">
        <v>99</v>
      </c>
      <c r="BI237" s="63" t="s">
        <v>99</v>
      </c>
      <c r="BJ237" s="63" t="s">
        <v>99</v>
      </c>
      <c r="BK237" s="63" t="s">
        <v>99</v>
      </c>
      <c r="BL237" s="63" t="s">
        <v>99</v>
      </c>
      <c r="BM237" s="63" t="s">
        <v>99</v>
      </c>
      <c r="BN237" s="63" t="s">
        <v>99</v>
      </c>
      <c r="BO237" s="63" t="s">
        <v>99</v>
      </c>
      <c r="BP237" s="64" t="s">
        <v>99</v>
      </c>
    </row>
    <row r="238" spans="2:68">
      <c r="B238" s="58">
        <v>8</v>
      </c>
      <c r="C238" s="59">
        <v>34</v>
      </c>
      <c r="D238" s="59" t="s">
        <v>100</v>
      </c>
      <c r="E238" s="60">
        <f>'[1]Master File'!B237</f>
        <v>46251</v>
      </c>
      <c r="F238" s="61" t="str">
        <f>'[1]Master File'!C237</f>
        <v>Explorer + 6PM</v>
      </c>
      <c r="G238" s="39"/>
      <c r="I238" s="65" t="s">
        <v>99</v>
      </c>
      <c r="J238" s="65" t="s">
        <v>99</v>
      </c>
      <c r="K238" s="65" t="s">
        <v>99</v>
      </c>
      <c r="L238" s="63" t="s">
        <v>23</v>
      </c>
      <c r="M238" s="65" t="s">
        <v>99</v>
      </c>
      <c r="N238" s="65" t="s">
        <v>99</v>
      </c>
      <c r="O238" s="65" t="s">
        <v>99</v>
      </c>
      <c r="P238" s="65" t="s">
        <v>99</v>
      </c>
      <c r="Q238" s="65" t="s">
        <v>99</v>
      </c>
      <c r="R238" s="65" t="s">
        <v>99</v>
      </c>
      <c r="S238" s="65" t="s">
        <v>99</v>
      </c>
      <c r="T238" s="65" t="s">
        <v>99</v>
      </c>
      <c r="U238" s="65" t="s">
        <v>99</v>
      </c>
      <c r="V238" s="65" t="s">
        <v>99</v>
      </c>
      <c r="W238" s="65" t="s">
        <v>99</v>
      </c>
      <c r="X238" s="65" t="s">
        <v>99</v>
      </c>
      <c r="Y238" s="56" t="s">
        <v>23</v>
      </c>
      <c r="Z238" s="65" t="s">
        <v>99</v>
      </c>
      <c r="AA238" s="65" t="s">
        <v>99</v>
      </c>
      <c r="AB238" s="65" t="s">
        <v>99</v>
      </c>
      <c r="AC238" s="56" t="s">
        <v>99</v>
      </c>
      <c r="AD238" s="65" t="s">
        <v>99</v>
      </c>
      <c r="AE238" s="65" t="s">
        <v>99</v>
      </c>
      <c r="AF238" s="65" t="s">
        <v>99</v>
      </c>
      <c r="AG238" s="65" t="s">
        <v>23</v>
      </c>
      <c r="AH238" s="65" t="s">
        <v>99</v>
      </c>
      <c r="AI238" s="65" t="s">
        <v>99</v>
      </c>
      <c r="AJ238" s="65" t="s">
        <v>99</v>
      </c>
      <c r="AK238" s="63" t="s">
        <v>23</v>
      </c>
      <c r="AL238" s="65" t="s">
        <v>99</v>
      </c>
      <c r="AM238" s="65" t="s">
        <v>99</v>
      </c>
      <c r="AN238" s="65" t="s">
        <v>99</v>
      </c>
      <c r="AO238" s="65" t="s">
        <v>99</v>
      </c>
      <c r="AP238" s="65" t="s">
        <v>99</v>
      </c>
      <c r="AQ238" s="65" t="s">
        <v>99</v>
      </c>
      <c r="AR238" s="65" t="s">
        <v>99</v>
      </c>
      <c r="AS238" s="65" t="s">
        <v>99</v>
      </c>
      <c r="AT238" s="65" t="s">
        <v>99</v>
      </c>
      <c r="AU238" s="65" t="s">
        <v>99</v>
      </c>
      <c r="AV238" s="65" t="s">
        <v>99</v>
      </c>
      <c r="AW238" s="65" t="s">
        <v>99</v>
      </c>
      <c r="AX238" s="65" t="s">
        <v>99</v>
      </c>
      <c r="AY238" s="65" t="s">
        <v>99</v>
      </c>
      <c r="AZ238" s="65" t="s">
        <v>99</v>
      </c>
      <c r="BA238" s="65" t="s">
        <v>99</v>
      </c>
      <c r="BB238" s="65" t="s">
        <v>99</v>
      </c>
      <c r="BC238" s="65" t="s">
        <v>99</v>
      </c>
      <c r="BD238" s="65" t="s">
        <v>99</v>
      </c>
      <c r="BE238" s="65" t="s">
        <v>99</v>
      </c>
      <c r="BF238" s="65" t="s">
        <v>99</v>
      </c>
      <c r="BG238" s="65" t="s">
        <v>99</v>
      </c>
      <c r="BH238" s="65" t="s">
        <v>99</v>
      </c>
      <c r="BI238" s="65" t="s">
        <v>99</v>
      </c>
      <c r="BJ238" s="65" t="s">
        <v>99</v>
      </c>
      <c r="BK238" s="65" t="s">
        <v>99</v>
      </c>
      <c r="BL238" s="65" t="s">
        <v>99</v>
      </c>
      <c r="BM238" s="65" t="s">
        <v>99</v>
      </c>
      <c r="BN238" s="65" t="s">
        <v>99</v>
      </c>
      <c r="BO238" s="65" t="s">
        <v>99</v>
      </c>
      <c r="BP238" s="66" t="s">
        <v>99</v>
      </c>
    </row>
    <row r="239" spans="2:68">
      <c r="B239" s="58">
        <v>8</v>
      </c>
      <c r="C239" s="59">
        <v>34</v>
      </c>
      <c r="D239" s="59" t="s">
        <v>101</v>
      </c>
      <c r="E239" s="60">
        <f>'[1]Master File'!B238</f>
        <v>46252</v>
      </c>
      <c r="F239" s="61" t="str">
        <f>'[1]Master File'!C238</f>
        <v>Explorer + 6PM</v>
      </c>
      <c r="G239" s="39"/>
      <c r="I239" s="56" t="s">
        <v>99</v>
      </c>
      <c r="J239" s="56" t="s">
        <v>99</v>
      </c>
      <c r="K239" s="56" t="s">
        <v>99</v>
      </c>
      <c r="L239" s="63" t="s">
        <v>23</v>
      </c>
      <c r="M239" s="56" t="s">
        <v>99</v>
      </c>
      <c r="N239" s="56" t="s">
        <v>99</v>
      </c>
      <c r="O239" s="56" t="s">
        <v>99</v>
      </c>
      <c r="P239" s="56" t="s">
        <v>99</v>
      </c>
      <c r="Q239" s="56" t="s">
        <v>99</v>
      </c>
      <c r="R239" s="56" t="s">
        <v>99</v>
      </c>
      <c r="S239" s="56" t="s">
        <v>99</v>
      </c>
      <c r="T239" s="56" t="s">
        <v>99</v>
      </c>
      <c r="U239" s="56" t="s">
        <v>99</v>
      </c>
      <c r="V239" s="56" t="s">
        <v>99</v>
      </c>
      <c r="W239" s="56" t="s">
        <v>99</v>
      </c>
      <c r="X239" s="56" t="s">
        <v>99</v>
      </c>
      <c r="Y239" s="56" t="s">
        <v>23</v>
      </c>
      <c r="Z239" s="56" t="s">
        <v>99</v>
      </c>
      <c r="AA239" s="56" t="s">
        <v>99</v>
      </c>
      <c r="AB239" s="56" t="s">
        <v>99</v>
      </c>
      <c r="AC239" s="56" t="s">
        <v>23</v>
      </c>
      <c r="AD239" s="56" t="s">
        <v>99</v>
      </c>
      <c r="AE239" s="56" t="s">
        <v>99</v>
      </c>
      <c r="AF239" s="56" t="s">
        <v>99</v>
      </c>
      <c r="AG239" s="56" t="s">
        <v>23</v>
      </c>
      <c r="AH239" s="56" t="s">
        <v>99</v>
      </c>
      <c r="AI239" s="56" t="s">
        <v>99</v>
      </c>
      <c r="AJ239" s="56" t="s">
        <v>99</v>
      </c>
      <c r="AK239" s="63" t="s">
        <v>23</v>
      </c>
      <c r="AL239" s="56" t="s">
        <v>99</v>
      </c>
      <c r="AM239" s="56" t="s">
        <v>99</v>
      </c>
      <c r="AN239" s="56" t="s">
        <v>99</v>
      </c>
      <c r="AO239" s="56" t="s">
        <v>99</v>
      </c>
      <c r="AP239" s="56" t="s">
        <v>99</v>
      </c>
      <c r="AQ239" s="56" t="s">
        <v>99</v>
      </c>
      <c r="AR239" s="56" t="s">
        <v>99</v>
      </c>
      <c r="AS239" s="56" t="s">
        <v>99</v>
      </c>
      <c r="AT239" s="56" t="s">
        <v>99</v>
      </c>
      <c r="AU239" s="56" t="s">
        <v>99</v>
      </c>
      <c r="AV239" s="56" t="s">
        <v>99</v>
      </c>
      <c r="AW239" s="56" t="s">
        <v>99</v>
      </c>
      <c r="AX239" s="56" t="s">
        <v>99</v>
      </c>
      <c r="AY239" s="56" t="s">
        <v>99</v>
      </c>
      <c r="AZ239" s="56" t="s">
        <v>99</v>
      </c>
      <c r="BA239" s="56" t="s">
        <v>99</v>
      </c>
      <c r="BB239" s="56" t="s">
        <v>99</v>
      </c>
      <c r="BC239" s="56" t="s">
        <v>99</v>
      </c>
      <c r="BD239" s="56" t="s">
        <v>99</v>
      </c>
      <c r="BE239" s="56" t="s">
        <v>99</v>
      </c>
      <c r="BF239" s="56" t="s">
        <v>99</v>
      </c>
      <c r="BG239" s="56" t="s">
        <v>99</v>
      </c>
      <c r="BH239" s="56" t="s">
        <v>99</v>
      </c>
      <c r="BI239" s="56" t="s">
        <v>99</v>
      </c>
      <c r="BJ239" s="56" t="s">
        <v>99</v>
      </c>
      <c r="BK239" s="56" t="s">
        <v>99</v>
      </c>
      <c r="BL239" s="56" t="s">
        <v>99</v>
      </c>
      <c r="BM239" s="56" t="s">
        <v>99</v>
      </c>
      <c r="BN239" s="56" t="s">
        <v>99</v>
      </c>
      <c r="BO239" s="56" t="s">
        <v>99</v>
      </c>
      <c r="BP239" s="62" t="s">
        <v>99</v>
      </c>
    </row>
    <row r="240" spans="2:68">
      <c r="B240" s="58">
        <v>8</v>
      </c>
      <c r="C240" s="59">
        <v>34</v>
      </c>
      <c r="D240" s="59" t="s">
        <v>102</v>
      </c>
      <c r="E240" s="60">
        <f>'[1]Master File'!B239</f>
        <v>46253</v>
      </c>
      <c r="F240" s="61" t="str">
        <f>'[1]Master File'!C239</f>
        <v>Explorer + 6PM</v>
      </c>
      <c r="G240" s="39"/>
      <c r="I240" s="56" t="s">
        <v>99</v>
      </c>
      <c r="J240" s="56" t="s">
        <v>99</v>
      </c>
      <c r="K240" s="56" t="s">
        <v>99</v>
      </c>
      <c r="L240" s="63" t="s">
        <v>23</v>
      </c>
      <c r="M240" s="56" t="s">
        <v>99</v>
      </c>
      <c r="N240" s="56" t="s">
        <v>99</v>
      </c>
      <c r="O240" s="56" t="s">
        <v>99</v>
      </c>
      <c r="P240" s="56" t="s">
        <v>99</v>
      </c>
      <c r="Q240" s="56" t="s">
        <v>99</v>
      </c>
      <c r="R240" s="56" t="s">
        <v>99</v>
      </c>
      <c r="S240" s="56" t="s">
        <v>99</v>
      </c>
      <c r="T240" s="56" t="s">
        <v>99</v>
      </c>
      <c r="U240" s="56" t="s">
        <v>99</v>
      </c>
      <c r="V240" s="56" t="s">
        <v>99</v>
      </c>
      <c r="W240" s="56" t="s">
        <v>99</v>
      </c>
      <c r="X240" s="56" t="s">
        <v>99</v>
      </c>
      <c r="Y240" s="56" t="s">
        <v>23</v>
      </c>
      <c r="Z240" s="56" t="s">
        <v>99</v>
      </c>
      <c r="AA240" s="56" t="s">
        <v>99</v>
      </c>
      <c r="AB240" s="56" t="s">
        <v>99</v>
      </c>
      <c r="AC240" s="56" t="s">
        <v>23</v>
      </c>
      <c r="AD240" s="56" t="s">
        <v>99</v>
      </c>
      <c r="AE240" s="56" t="s">
        <v>99</v>
      </c>
      <c r="AF240" s="56" t="s">
        <v>99</v>
      </c>
      <c r="AG240" s="56" t="s">
        <v>23</v>
      </c>
      <c r="AH240" s="56" t="s">
        <v>99</v>
      </c>
      <c r="AI240" s="56" t="s">
        <v>99</v>
      </c>
      <c r="AJ240" s="56" t="s">
        <v>99</v>
      </c>
      <c r="AK240" s="63" t="s">
        <v>23</v>
      </c>
      <c r="AL240" s="56" t="s">
        <v>99</v>
      </c>
      <c r="AM240" s="56" t="s">
        <v>99</v>
      </c>
      <c r="AN240" s="56" t="s">
        <v>99</v>
      </c>
      <c r="AO240" s="56" t="s">
        <v>99</v>
      </c>
      <c r="AP240" s="56" t="s">
        <v>99</v>
      </c>
      <c r="AQ240" s="56" t="s">
        <v>99</v>
      </c>
      <c r="AR240" s="56" t="s">
        <v>99</v>
      </c>
      <c r="AS240" s="56" t="s">
        <v>99</v>
      </c>
      <c r="AT240" s="56" t="s">
        <v>99</v>
      </c>
      <c r="AU240" s="56" t="s">
        <v>99</v>
      </c>
      <c r="AV240" s="56" t="s">
        <v>99</v>
      </c>
      <c r="AW240" s="56" t="s">
        <v>99</v>
      </c>
      <c r="AX240" s="56" t="s">
        <v>99</v>
      </c>
      <c r="AY240" s="56" t="s">
        <v>99</v>
      </c>
      <c r="AZ240" s="56" t="s">
        <v>99</v>
      </c>
      <c r="BA240" s="56" t="s">
        <v>99</v>
      </c>
      <c r="BB240" s="56" t="s">
        <v>99</v>
      </c>
      <c r="BC240" s="56" t="s">
        <v>99</v>
      </c>
      <c r="BD240" s="56" t="s">
        <v>99</v>
      </c>
      <c r="BE240" s="56" t="s">
        <v>99</v>
      </c>
      <c r="BF240" s="56" t="s">
        <v>99</v>
      </c>
      <c r="BG240" s="56" t="s">
        <v>99</v>
      </c>
      <c r="BH240" s="56" t="s">
        <v>99</v>
      </c>
      <c r="BI240" s="56" t="s">
        <v>99</v>
      </c>
      <c r="BJ240" s="56" t="s">
        <v>99</v>
      </c>
      <c r="BK240" s="56" t="s">
        <v>99</v>
      </c>
      <c r="BL240" s="56" t="s">
        <v>99</v>
      </c>
      <c r="BM240" s="56" t="s">
        <v>99</v>
      </c>
      <c r="BN240" s="56" t="s">
        <v>99</v>
      </c>
      <c r="BO240" s="56" t="s">
        <v>99</v>
      </c>
      <c r="BP240" s="62" t="s">
        <v>99</v>
      </c>
    </row>
    <row r="241" spans="2:68">
      <c r="B241" s="58">
        <v>8</v>
      </c>
      <c r="C241" s="59">
        <v>34</v>
      </c>
      <c r="D241" s="59" t="s">
        <v>103</v>
      </c>
      <c r="E241" s="60">
        <f>'[1]Master File'!B240</f>
        <v>46254</v>
      </c>
      <c r="F241" s="61" t="str">
        <f>'[1]Master File'!C240</f>
        <v>Explorer + 6PM</v>
      </c>
      <c r="G241" s="39"/>
      <c r="I241" s="56" t="s">
        <v>99</v>
      </c>
      <c r="J241" s="56" t="s">
        <v>99</v>
      </c>
      <c r="K241" s="56" t="s">
        <v>99</v>
      </c>
      <c r="L241" s="63" t="s">
        <v>23</v>
      </c>
      <c r="M241" s="56" t="s">
        <v>99</v>
      </c>
      <c r="N241" s="56" t="s">
        <v>99</v>
      </c>
      <c r="O241" s="56" t="s">
        <v>99</v>
      </c>
      <c r="P241" s="56" t="s">
        <v>99</v>
      </c>
      <c r="Q241" s="56" t="s">
        <v>99</v>
      </c>
      <c r="R241" s="56" t="s">
        <v>99</v>
      </c>
      <c r="S241" s="56" t="s">
        <v>99</v>
      </c>
      <c r="T241" s="56" t="s">
        <v>99</v>
      </c>
      <c r="U241" s="56" t="s">
        <v>99</v>
      </c>
      <c r="V241" s="56" t="s">
        <v>99</v>
      </c>
      <c r="W241" s="56" t="s">
        <v>99</v>
      </c>
      <c r="X241" s="56" t="s">
        <v>99</v>
      </c>
      <c r="Y241" s="56" t="s">
        <v>23</v>
      </c>
      <c r="Z241" s="56" t="s">
        <v>99</v>
      </c>
      <c r="AA241" s="56" t="s">
        <v>99</v>
      </c>
      <c r="AB241" s="56" t="s">
        <v>99</v>
      </c>
      <c r="AC241" s="56" t="s">
        <v>23</v>
      </c>
      <c r="AD241" s="56" t="s">
        <v>99</v>
      </c>
      <c r="AE241" s="56" t="s">
        <v>99</v>
      </c>
      <c r="AF241" s="56" t="s">
        <v>99</v>
      </c>
      <c r="AG241" s="56" t="s">
        <v>23</v>
      </c>
      <c r="AH241" s="56" t="s">
        <v>99</v>
      </c>
      <c r="AI241" s="56" t="s">
        <v>99</v>
      </c>
      <c r="AJ241" s="56" t="s">
        <v>99</v>
      </c>
      <c r="AK241" s="63" t="s">
        <v>23</v>
      </c>
      <c r="AL241" s="56" t="s">
        <v>99</v>
      </c>
      <c r="AM241" s="56" t="s">
        <v>99</v>
      </c>
      <c r="AN241" s="56" t="s">
        <v>99</v>
      </c>
      <c r="AO241" s="56" t="s">
        <v>99</v>
      </c>
      <c r="AP241" s="56" t="s">
        <v>99</v>
      </c>
      <c r="AQ241" s="56" t="s">
        <v>99</v>
      </c>
      <c r="AR241" s="56" t="s">
        <v>99</v>
      </c>
      <c r="AS241" s="56" t="s">
        <v>99</v>
      </c>
      <c r="AT241" s="56" t="s">
        <v>99</v>
      </c>
      <c r="AU241" s="56" t="s">
        <v>99</v>
      </c>
      <c r="AV241" s="56" t="s">
        <v>99</v>
      </c>
      <c r="AW241" s="56" t="s">
        <v>99</v>
      </c>
      <c r="AX241" s="56" t="s">
        <v>99</v>
      </c>
      <c r="AY241" s="56" t="s">
        <v>99</v>
      </c>
      <c r="AZ241" s="56" t="s">
        <v>99</v>
      </c>
      <c r="BA241" s="56" t="s">
        <v>99</v>
      </c>
      <c r="BB241" s="56" t="s">
        <v>99</v>
      </c>
      <c r="BC241" s="56" t="s">
        <v>99</v>
      </c>
      <c r="BD241" s="56" t="s">
        <v>99</v>
      </c>
      <c r="BE241" s="56" t="s">
        <v>99</v>
      </c>
      <c r="BF241" s="56" t="s">
        <v>99</v>
      </c>
      <c r="BG241" s="56" t="s">
        <v>99</v>
      </c>
      <c r="BH241" s="56" t="s">
        <v>99</v>
      </c>
      <c r="BI241" s="56" t="s">
        <v>99</v>
      </c>
      <c r="BJ241" s="56" t="s">
        <v>99</v>
      </c>
      <c r="BK241" s="56" t="s">
        <v>99</v>
      </c>
      <c r="BL241" s="56" t="s">
        <v>99</v>
      </c>
      <c r="BM241" s="56" t="s">
        <v>99</v>
      </c>
      <c r="BN241" s="56" t="s">
        <v>99</v>
      </c>
      <c r="BO241" s="56" t="s">
        <v>99</v>
      </c>
      <c r="BP241" s="62" t="s">
        <v>99</v>
      </c>
    </row>
    <row r="242" spans="2:68">
      <c r="B242" s="58">
        <v>8</v>
      </c>
      <c r="C242" s="59">
        <v>34</v>
      </c>
      <c r="D242" s="59" t="s">
        <v>104</v>
      </c>
      <c r="E242" s="60">
        <f>'[1]Master File'!B241</f>
        <v>46255</v>
      </c>
      <c r="F242" s="61" t="str">
        <f>'[1]Master File'!C241</f>
        <v>Explorer + 6PM</v>
      </c>
      <c r="G242" s="39"/>
      <c r="I242" s="56" t="s">
        <v>99</v>
      </c>
      <c r="J242" s="56" t="s">
        <v>99</v>
      </c>
      <c r="K242" s="56" t="s">
        <v>99</v>
      </c>
      <c r="L242" s="63" t="s">
        <v>23</v>
      </c>
      <c r="M242" s="56" t="s">
        <v>99</v>
      </c>
      <c r="N242" s="56" t="s">
        <v>99</v>
      </c>
      <c r="O242" s="56" t="s">
        <v>99</v>
      </c>
      <c r="P242" s="56" t="s">
        <v>99</v>
      </c>
      <c r="Q242" s="56" t="s">
        <v>99</v>
      </c>
      <c r="R242" s="56" t="s">
        <v>99</v>
      </c>
      <c r="S242" s="56" t="s">
        <v>99</v>
      </c>
      <c r="T242" s="56" t="s">
        <v>99</v>
      </c>
      <c r="U242" s="56" t="s">
        <v>99</v>
      </c>
      <c r="V242" s="56" t="s">
        <v>99</v>
      </c>
      <c r="W242" s="56" t="s">
        <v>99</v>
      </c>
      <c r="X242" s="56" t="s">
        <v>99</v>
      </c>
      <c r="Y242" s="56" t="s">
        <v>23</v>
      </c>
      <c r="Z242" s="56" t="s">
        <v>99</v>
      </c>
      <c r="AA242" s="56" t="s">
        <v>99</v>
      </c>
      <c r="AB242" s="56" t="s">
        <v>99</v>
      </c>
      <c r="AC242" s="56" t="s">
        <v>23</v>
      </c>
      <c r="AD242" s="56" t="s">
        <v>99</v>
      </c>
      <c r="AE242" s="56" t="s">
        <v>99</v>
      </c>
      <c r="AF242" s="56" t="s">
        <v>99</v>
      </c>
      <c r="AG242" s="56" t="s">
        <v>23</v>
      </c>
      <c r="AH242" s="56" t="s">
        <v>99</v>
      </c>
      <c r="AI242" s="56" t="s">
        <v>99</v>
      </c>
      <c r="AJ242" s="56" t="s">
        <v>99</v>
      </c>
      <c r="AK242" s="63" t="s">
        <v>23</v>
      </c>
      <c r="AL242" s="56" t="s">
        <v>99</v>
      </c>
      <c r="AM242" s="56" t="s">
        <v>99</v>
      </c>
      <c r="AN242" s="56" t="s">
        <v>99</v>
      </c>
      <c r="AO242" s="56" t="s">
        <v>99</v>
      </c>
      <c r="AP242" s="56" t="s">
        <v>99</v>
      </c>
      <c r="AQ242" s="56" t="s">
        <v>99</v>
      </c>
      <c r="AR242" s="56" t="s">
        <v>99</v>
      </c>
      <c r="AS242" s="56" t="s">
        <v>99</v>
      </c>
      <c r="AT242" s="56" t="s">
        <v>99</v>
      </c>
      <c r="AU242" s="56" t="s">
        <v>99</v>
      </c>
      <c r="AV242" s="56" t="s">
        <v>99</v>
      </c>
      <c r="AW242" s="56" t="s">
        <v>99</v>
      </c>
      <c r="AX242" s="56" t="s">
        <v>99</v>
      </c>
      <c r="AY242" s="56" t="s">
        <v>99</v>
      </c>
      <c r="AZ242" s="56" t="s">
        <v>99</v>
      </c>
      <c r="BA242" s="56" t="s">
        <v>99</v>
      </c>
      <c r="BB242" s="56" t="s">
        <v>99</v>
      </c>
      <c r="BC242" s="56" t="s">
        <v>99</v>
      </c>
      <c r="BD242" s="56" t="s">
        <v>99</v>
      </c>
      <c r="BE242" s="56" t="s">
        <v>99</v>
      </c>
      <c r="BF242" s="56" t="s">
        <v>99</v>
      </c>
      <c r="BG242" s="56" t="s">
        <v>99</v>
      </c>
      <c r="BH242" s="56" t="s">
        <v>99</v>
      </c>
      <c r="BI242" s="56" t="s">
        <v>99</v>
      </c>
      <c r="BJ242" s="56" t="s">
        <v>99</v>
      </c>
      <c r="BK242" s="56" t="s">
        <v>99</v>
      </c>
      <c r="BL242" s="56" t="s">
        <v>99</v>
      </c>
      <c r="BM242" s="56" t="s">
        <v>99</v>
      </c>
      <c r="BN242" s="56" t="s">
        <v>99</v>
      </c>
      <c r="BO242" s="56" t="s">
        <v>99</v>
      </c>
      <c r="BP242" s="62" t="s">
        <v>99</v>
      </c>
    </row>
    <row r="243" spans="2:68">
      <c r="B243" s="58">
        <v>8</v>
      </c>
      <c r="C243" s="59">
        <v>34</v>
      </c>
      <c r="D243" s="59" t="s">
        <v>105</v>
      </c>
      <c r="E243" s="60">
        <f>'[1]Master File'!B242</f>
        <v>46256</v>
      </c>
      <c r="F243" s="61" t="str">
        <f>'[1]Master File'!C242</f>
        <v>Explorer + 6PM</v>
      </c>
      <c r="G243" s="39"/>
      <c r="I243" s="67" t="s">
        <v>99</v>
      </c>
      <c r="J243" s="67" t="s">
        <v>99</v>
      </c>
      <c r="K243" s="67" t="s">
        <v>99</v>
      </c>
      <c r="L243" s="63" t="s">
        <v>23</v>
      </c>
      <c r="M243" s="67" t="s">
        <v>99</v>
      </c>
      <c r="N243" s="67" t="s">
        <v>99</v>
      </c>
      <c r="O243" s="67" t="s">
        <v>99</v>
      </c>
      <c r="P243" s="67" t="s">
        <v>99</v>
      </c>
      <c r="Q243" s="67" t="s">
        <v>99</v>
      </c>
      <c r="R243" s="67" t="s">
        <v>99</v>
      </c>
      <c r="S243" s="67" t="s">
        <v>99</v>
      </c>
      <c r="T243" s="67" t="s">
        <v>99</v>
      </c>
      <c r="U243" s="67" t="s">
        <v>99</v>
      </c>
      <c r="V243" s="67" t="s">
        <v>99</v>
      </c>
      <c r="W243" s="67" t="s">
        <v>99</v>
      </c>
      <c r="X243" s="67" t="s">
        <v>99</v>
      </c>
      <c r="Y243" s="56" t="s">
        <v>23</v>
      </c>
      <c r="Z243" s="67" t="s">
        <v>99</v>
      </c>
      <c r="AA243" s="67" t="s">
        <v>99</v>
      </c>
      <c r="AB243" s="67" t="s">
        <v>99</v>
      </c>
      <c r="AC243" s="63" t="s">
        <v>23</v>
      </c>
      <c r="AD243" s="67" t="s">
        <v>99</v>
      </c>
      <c r="AE243" s="67" t="s">
        <v>99</v>
      </c>
      <c r="AF243" s="67" t="s">
        <v>99</v>
      </c>
      <c r="AG243" s="67" t="s">
        <v>23</v>
      </c>
      <c r="AH243" s="67" t="s">
        <v>99</v>
      </c>
      <c r="AI243" s="67" t="s">
        <v>99</v>
      </c>
      <c r="AJ243" s="67" t="s">
        <v>99</v>
      </c>
      <c r="AK243" s="63" t="s">
        <v>23</v>
      </c>
      <c r="AL243" s="67" t="s">
        <v>99</v>
      </c>
      <c r="AM243" s="67" t="s">
        <v>99</v>
      </c>
      <c r="AN243" s="67" t="s">
        <v>99</v>
      </c>
      <c r="AO243" s="67" t="s">
        <v>99</v>
      </c>
      <c r="AP243" s="67" t="s">
        <v>99</v>
      </c>
      <c r="AQ243" s="67" t="s">
        <v>23</v>
      </c>
      <c r="AR243" s="67" t="s">
        <v>99</v>
      </c>
      <c r="AS243" s="67" t="s">
        <v>99</v>
      </c>
      <c r="AT243" s="67" t="s">
        <v>99</v>
      </c>
      <c r="AU243" s="67" t="s">
        <v>99</v>
      </c>
      <c r="AV243" s="67" t="s">
        <v>99</v>
      </c>
      <c r="AW243" s="67" t="s">
        <v>99</v>
      </c>
      <c r="AX243" s="67" t="s">
        <v>99</v>
      </c>
      <c r="AY243" s="67" t="s">
        <v>99</v>
      </c>
      <c r="AZ243" s="67" t="s">
        <v>99</v>
      </c>
      <c r="BA243" s="67" t="s">
        <v>99</v>
      </c>
      <c r="BB243" s="67" t="s">
        <v>99</v>
      </c>
      <c r="BC243" s="67" t="s">
        <v>99</v>
      </c>
      <c r="BD243" s="67" t="s">
        <v>99</v>
      </c>
      <c r="BE243" s="67" t="s">
        <v>99</v>
      </c>
      <c r="BF243" s="67" t="s">
        <v>99</v>
      </c>
      <c r="BG243" s="67" t="s">
        <v>99</v>
      </c>
      <c r="BH243" s="67" t="s">
        <v>99</v>
      </c>
      <c r="BI243" s="67" t="s">
        <v>99</v>
      </c>
      <c r="BJ243" s="67" t="s">
        <v>99</v>
      </c>
      <c r="BK243" s="67" t="s">
        <v>99</v>
      </c>
      <c r="BL243" s="67" t="s">
        <v>99</v>
      </c>
      <c r="BM243" s="67" t="s">
        <v>99</v>
      </c>
      <c r="BN243" s="67" t="s">
        <v>99</v>
      </c>
      <c r="BO243" s="67" t="s">
        <v>99</v>
      </c>
      <c r="BP243" s="68" t="s">
        <v>99</v>
      </c>
    </row>
    <row r="244" spans="2:68">
      <c r="B244" s="58">
        <v>8</v>
      </c>
      <c r="C244" s="59">
        <v>35</v>
      </c>
      <c r="D244" s="59" t="s">
        <v>98</v>
      </c>
      <c r="E244" s="60">
        <f>'[1]Master File'!B243</f>
        <v>46257</v>
      </c>
      <c r="F244" s="61" t="str">
        <f>'[1]Master File'!C243</f>
        <v>Explorer + 6PM</v>
      </c>
      <c r="G244" s="39"/>
      <c r="I244" s="67" t="s">
        <v>99</v>
      </c>
      <c r="J244" s="67" t="s">
        <v>99</v>
      </c>
      <c r="K244" s="67" t="s">
        <v>99</v>
      </c>
      <c r="L244" s="63" t="s">
        <v>23</v>
      </c>
      <c r="M244" s="67" t="s">
        <v>99</v>
      </c>
      <c r="N244" s="67" t="s">
        <v>99</v>
      </c>
      <c r="O244" s="67" t="s">
        <v>99</v>
      </c>
      <c r="P244" s="67" t="s">
        <v>99</v>
      </c>
      <c r="Q244" s="67" t="s">
        <v>99</v>
      </c>
      <c r="R244" s="67" t="s">
        <v>99</v>
      </c>
      <c r="S244" s="67" t="s">
        <v>99</v>
      </c>
      <c r="T244" s="67" t="s">
        <v>99</v>
      </c>
      <c r="U244" s="67" t="s">
        <v>99</v>
      </c>
      <c r="V244" s="67" t="s">
        <v>99</v>
      </c>
      <c r="W244" s="67" t="s">
        <v>99</v>
      </c>
      <c r="X244" s="67" t="s">
        <v>99</v>
      </c>
      <c r="Y244" s="56" t="s">
        <v>23</v>
      </c>
      <c r="Z244" s="67" t="s">
        <v>99</v>
      </c>
      <c r="AA244" s="67" t="s">
        <v>99</v>
      </c>
      <c r="AB244" s="67" t="s">
        <v>99</v>
      </c>
      <c r="AC244" s="63" t="s">
        <v>23</v>
      </c>
      <c r="AD244" s="67" t="s">
        <v>99</v>
      </c>
      <c r="AE244" s="67" t="s">
        <v>99</v>
      </c>
      <c r="AF244" s="67" t="s">
        <v>99</v>
      </c>
      <c r="AG244" s="67" t="s">
        <v>23</v>
      </c>
      <c r="AH244" s="67" t="s">
        <v>99</v>
      </c>
      <c r="AI244" s="67" t="s">
        <v>99</v>
      </c>
      <c r="AJ244" s="67" t="s">
        <v>99</v>
      </c>
      <c r="AK244" s="63" t="s">
        <v>23</v>
      </c>
      <c r="AL244" s="67" t="s">
        <v>99</v>
      </c>
      <c r="AM244" s="67" t="s">
        <v>99</v>
      </c>
      <c r="AN244" s="67" t="s">
        <v>99</v>
      </c>
      <c r="AO244" s="67" t="s">
        <v>99</v>
      </c>
      <c r="AP244" s="67" t="s">
        <v>99</v>
      </c>
      <c r="AQ244" s="67" t="s">
        <v>23</v>
      </c>
      <c r="AR244" s="67" t="s">
        <v>99</v>
      </c>
      <c r="AS244" s="67" t="s">
        <v>99</v>
      </c>
      <c r="AT244" s="67" t="s">
        <v>99</v>
      </c>
      <c r="AU244" s="67" t="s">
        <v>99</v>
      </c>
      <c r="AV244" s="67" t="s">
        <v>99</v>
      </c>
      <c r="AW244" s="67" t="s">
        <v>99</v>
      </c>
      <c r="AX244" s="67" t="s">
        <v>99</v>
      </c>
      <c r="AY244" s="67" t="s">
        <v>99</v>
      </c>
      <c r="AZ244" s="67" t="s">
        <v>99</v>
      </c>
      <c r="BA244" s="67" t="s">
        <v>99</v>
      </c>
      <c r="BB244" s="67" t="s">
        <v>99</v>
      </c>
      <c r="BC244" s="67" t="s">
        <v>99</v>
      </c>
      <c r="BD244" s="67" t="s">
        <v>99</v>
      </c>
      <c r="BE244" s="67" t="s">
        <v>99</v>
      </c>
      <c r="BF244" s="67" t="s">
        <v>99</v>
      </c>
      <c r="BG244" s="67" t="s">
        <v>99</v>
      </c>
      <c r="BH244" s="67" t="s">
        <v>99</v>
      </c>
      <c r="BI244" s="67" t="s">
        <v>99</v>
      </c>
      <c r="BJ244" s="67" t="s">
        <v>99</v>
      </c>
      <c r="BK244" s="67" t="s">
        <v>99</v>
      </c>
      <c r="BL244" s="67" t="s">
        <v>99</v>
      </c>
      <c r="BM244" s="67" t="s">
        <v>99</v>
      </c>
      <c r="BN244" s="67" t="s">
        <v>99</v>
      </c>
      <c r="BO244" s="67" t="s">
        <v>99</v>
      </c>
      <c r="BP244" s="68" t="s">
        <v>99</v>
      </c>
    </row>
    <row r="245" spans="2:68">
      <c r="B245" s="58">
        <v>8</v>
      </c>
      <c r="C245" s="59">
        <v>35</v>
      </c>
      <c r="D245" s="59" t="s">
        <v>100</v>
      </c>
      <c r="E245" s="60">
        <f>'[1]Master File'!B244</f>
        <v>46258</v>
      </c>
      <c r="F245" s="61" t="str">
        <f>'[1]Master File'!C244</f>
        <v>Explorer + 6PM</v>
      </c>
      <c r="G245" s="39"/>
      <c r="I245" s="56" t="s">
        <v>99</v>
      </c>
      <c r="J245" s="56" t="s">
        <v>99</v>
      </c>
      <c r="K245" s="56" t="s">
        <v>99</v>
      </c>
      <c r="L245" s="63" t="s">
        <v>23</v>
      </c>
      <c r="M245" s="56" t="s">
        <v>99</v>
      </c>
      <c r="N245" s="56" t="s">
        <v>99</v>
      </c>
      <c r="O245" s="56" t="s">
        <v>99</v>
      </c>
      <c r="P245" s="56" t="s">
        <v>99</v>
      </c>
      <c r="Q245" s="56" t="s">
        <v>99</v>
      </c>
      <c r="R245" s="56" t="s">
        <v>99</v>
      </c>
      <c r="S245" s="56" t="s">
        <v>99</v>
      </c>
      <c r="T245" s="56" t="s">
        <v>99</v>
      </c>
      <c r="U245" s="56" t="s">
        <v>99</v>
      </c>
      <c r="V245" s="56" t="s">
        <v>99</v>
      </c>
      <c r="W245" s="56" t="s">
        <v>99</v>
      </c>
      <c r="X245" s="56" t="s">
        <v>99</v>
      </c>
      <c r="Y245" s="56" t="s">
        <v>23</v>
      </c>
      <c r="Z245" s="56" t="s">
        <v>99</v>
      </c>
      <c r="AA245" s="56" t="s">
        <v>99</v>
      </c>
      <c r="AB245" s="56" t="s">
        <v>99</v>
      </c>
      <c r="AC245" s="56" t="s">
        <v>99</v>
      </c>
      <c r="AD245" s="56" t="s">
        <v>99</v>
      </c>
      <c r="AE245" s="56" t="s">
        <v>99</v>
      </c>
      <c r="AF245" s="56" t="s">
        <v>99</v>
      </c>
      <c r="AG245" s="56" t="s">
        <v>23</v>
      </c>
      <c r="AH245" s="56" t="s">
        <v>99</v>
      </c>
      <c r="AI245" s="56" t="s">
        <v>99</v>
      </c>
      <c r="AJ245" s="56" t="s">
        <v>99</v>
      </c>
      <c r="AK245" s="63" t="s">
        <v>23</v>
      </c>
      <c r="AL245" s="56" t="s">
        <v>99</v>
      </c>
      <c r="AM245" s="56" t="s">
        <v>99</v>
      </c>
      <c r="AN245" s="56" t="s">
        <v>99</v>
      </c>
      <c r="AO245" s="56" t="s">
        <v>99</v>
      </c>
      <c r="AP245" s="56" t="s">
        <v>99</v>
      </c>
      <c r="AQ245" s="56" t="s">
        <v>99</v>
      </c>
      <c r="AR245" s="56" t="s">
        <v>99</v>
      </c>
      <c r="AS245" s="56" t="s">
        <v>99</v>
      </c>
      <c r="AT245" s="56" t="s">
        <v>99</v>
      </c>
      <c r="AU245" s="56" t="s">
        <v>99</v>
      </c>
      <c r="AV245" s="56" t="s">
        <v>99</v>
      </c>
      <c r="AW245" s="56" t="s">
        <v>99</v>
      </c>
      <c r="AX245" s="56" t="s">
        <v>99</v>
      </c>
      <c r="AY245" s="56" t="s">
        <v>99</v>
      </c>
      <c r="AZ245" s="56" t="s">
        <v>99</v>
      </c>
      <c r="BA245" s="56" t="s">
        <v>99</v>
      </c>
      <c r="BB245" s="56" t="s">
        <v>99</v>
      </c>
      <c r="BC245" s="56" t="s">
        <v>99</v>
      </c>
      <c r="BD245" s="56" t="s">
        <v>99</v>
      </c>
      <c r="BE245" s="56" t="s">
        <v>99</v>
      </c>
      <c r="BF245" s="56" t="s">
        <v>99</v>
      </c>
      <c r="BG245" s="56" t="s">
        <v>99</v>
      </c>
      <c r="BH245" s="56" t="s">
        <v>99</v>
      </c>
      <c r="BI245" s="56" t="s">
        <v>99</v>
      </c>
      <c r="BJ245" s="56" t="s">
        <v>99</v>
      </c>
      <c r="BK245" s="56" t="s">
        <v>99</v>
      </c>
      <c r="BL245" s="56" t="s">
        <v>99</v>
      </c>
      <c r="BM245" s="56" t="s">
        <v>99</v>
      </c>
      <c r="BN245" s="56" t="s">
        <v>99</v>
      </c>
      <c r="BO245" s="56" t="s">
        <v>99</v>
      </c>
      <c r="BP245" s="62" t="s">
        <v>99</v>
      </c>
    </row>
    <row r="246" spans="2:68">
      <c r="B246" s="58">
        <v>8</v>
      </c>
      <c r="C246" s="59">
        <v>35</v>
      </c>
      <c r="D246" s="59" t="s">
        <v>101</v>
      </c>
      <c r="E246" s="60">
        <f>'[1]Master File'!B245</f>
        <v>46259</v>
      </c>
      <c r="F246" s="61" t="str">
        <f>'[1]Master File'!C245</f>
        <v>Explorer + 6PM</v>
      </c>
      <c r="G246" s="39"/>
      <c r="I246" s="56" t="s">
        <v>99</v>
      </c>
      <c r="J246" s="56" t="s">
        <v>99</v>
      </c>
      <c r="K246" s="56" t="s">
        <v>99</v>
      </c>
      <c r="L246" s="63" t="s">
        <v>23</v>
      </c>
      <c r="M246" s="56" t="s">
        <v>99</v>
      </c>
      <c r="N246" s="56" t="s">
        <v>99</v>
      </c>
      <c r="O246" s="56" t="s">
        <v>99</v>
      </c>
      <c r="P246" s="56" t="s">
        <v>99</v>
      </c>
      <c r="Q246" s="56" t="s">
        <v>99</v>
      </c>
      <c r="R246" s="56" t="s">
        <v>99</v>
      </c>
      <c r="S246" s="56" t="s">
        <v>99</v>
      </c>
      <c r="T246" s="56" t="s">
        <v>99</v>
      </c>
      <c r="U246" s="56" t="s">
        <v>99</v>
      </c>
      <c r="V246" s="56" t="s">
        <v>99</v>
      </c>
      <c r="W246" s="56" t="s">
        <v>99</v>
      </c>
      <c r="X246" s="56" t="s">
        <v>99</v>
      </c>
      <c r="Y246" s="56" t="s">
        <v>23</v>
      </c>
      <c r="Z246" s="56" t="s">
        <v>99</v>
      </c>
      <c r="AA246" s="56" t="s">
        <v>99</v>
      </c>
      <c r="AB246" s="56" t="s">
        <v>99</v>
      </c>
      <c r="AC246" s="56" t="s">
        <v>23</v>
      </c>
      <c r="AD246" s="56" t="s">
        <v>99</v>
      </c>
      <c r="AE246" s="56" t="s">
        <v>99</v>
      </c>
      <c r="AF246" s="56" t="s">
        <v>99</v>
      </c>
      <c r="AG246" s="56" t="s">
        <v>23</v>
      </c>
      <c r="AH246" s="56" t="s">
        <v>99</v>
      </c>
      <c r="AI246" s="56" t="s">
        <v>99</v>
      </c>
      <c r="AJ246" s="56" t="s">
        <v>99</v>
      </c>
      <c r="AK246" s="63" t="s">
        <v>23</v>
      </c>
      <c r="AL246" s="56" t="s">
        <v>99</v>
      </c>
      <c r="AM246" s="56" t="s">
        <v>99</v>
      </c>
      <c r="AN246" s="56" t="s">
        <v>99</v>
      </c>
      <c r="AO246" s="56" t="s">
        <v>99</v>
      </c>
      <c r="AP246" s="56" t="s">
        <v>99</v>
      </c>
      <c r="AQ246" s="56" t="s">
        <v>99</v>
      </c>
      <c r="AR246" s="56" t="s">
        <v>99</v>
      </c>
      <c r="AS246" s="56" t="s">
        <v>99</v>
      </c>
      <c r="AT246" s="56" t="s">
        <v>99</v>
      </c>
      <c r="AU246" s="56" t="s">
        <v>99</v>
      </c>
      <c r="AV246" s="56" t="s">
        <v>99</v>
      </c>
      <c r="AW246" s="56" t="s">
        <v>99</v>
      </c>
      <c r="AX246" s="56" t="s">
        <v>99</v>
      </c>
      <c r="AY246" s="56" t="s">
        <v>99</v>
      </c>
      <c r="AZ246" s="56" t="s">
        <v>99</v>
      </c>
      <c r="BA246" s="56" t="s">
        <v>99</v>
      </c>
      <c r="BB246" s="56" t="s">
        <v>99</v>
      </c>
      <c r="BC246" s="56" t="s">
        <v>99</v>
      </c>
      <c r="BD246" s="56" t="s">
        <v>99</v>
      </c>
      <c r="BE246" s="56" t="s">
        <v>99</v>
      </c>
      <c r="BF246" s="56" t="s">
        <v>99</v>
      </c>
      <c r="BG246" s="56" t="s">
        <v>99</v>
      </c>
      <c r="BH246" s="56" t="s">
        <v>99</v>
      </c>
      <c r="BI246" s="56" t="s">
        <v>99</v>
      </c>
      <c r="BJ246" s="56" t="s">
        <v>99</v>
      </c>
      <c r="BK246" s="56" t="s">
        <v>99</v>
      </c>
      <c r="BL246" s="56" t="s">
        <v>99</v>
      </c>
      <c r="BM246" s="56" t="s">
        <v>99</v>
      </c>
      <c r="BN246" s="56" t="s">
        <v>99</v>
      </c>
      <c r="BO246" s="56" t="s">
        <v>99</v>
      </c>
      <c r="BP246" s="62" t="s">
        <v>99</v>
      </c>
    </row>
    <row r="247" spans="2:68">
      <c r="B247" s="58">
        <v>8</v>
      </c>
      <c r="C247" s="59">
        <v>35</v>
      </c>
      <c r="D247" s="59" t="s">
        <v>102</v>
      </c>
      <c r="E247" s="60">
        <f>'[1]Master File'!B246</f>
        <v>46260</v>
      </c>
      <c r="F247" s="61" t="str">
        <f>'[1]Master File'!C246</f>
        <v>Explorer + 6PM</v>
      </c>
      <c r="G247" s="39"/>
      <c r="I247" s="56" t="s">
        <v>99</v>
      </c>
      <c r="J247" s="56" t="s">
        <v>99</v>
      </c>
      <c r="K247" s="56" t="s">
        <v>99</v>
      </c>
      <c r="L247" s="63" t="s">
        <v>23</v>
      </c>
      <c r="M247" s="56" t="s">
        <v>99</v>
      </c>
      <c r="N247" s="56" t="s">
        <v>99</v>
      </c>
      <c r="O247" s="56" t="s">
        <v>99</v>
      </c>
      <c r="P247" s="56" t="s">
        <v>99</v>
      </c>
      <c r="Q247" s="56" t="s">
        <v>99</v>
      </c>
      <c r="R247" s="56" t="s">
        <v>99</v>
      </c>
      <c r="S247" s="56" t="s">
        <v>99</v>
      </c>
      <c r="T247" s="56" t="s">
        <v>99</v>
      </c>
      <c r="U247" s="56" t="s">
        <v>99</v>
      </c>
      <c r="V247" s="56" t="s">
        <v>99</v>
      </c>
      <c r="W247" s="56" t="s">
        <v>99</v>
      </c>
      <c r="X247" s="56" t="s">
        <v>99</v>
      </c>
      <c r="Y247" s="56" t="s">
        <v>23</v>
      </c>
      <c r="Z247" s="56" t="s">
        <v>99</v>
      </c>
      <c r="AA247" s="56" t="s">
        <v>99</v>
      </c>
      <c r="AB247" s="56" t="s">
        <v>99</v>
      </c>
      <c r="AC247" s="56" t="s">
        <v>23</v>
      </c>
      <c r="AD247" s="56" t="s">
        <v>99</v>
      </c>
      <c r="AE247" s="56" t="s">
        <v>99</v>
      </c>
      <c r="AF247" s="56" t="s">
        <v>99</v>
      </c>
      <c r="AG247" s="56" t="s">
        <v>23</v>
      </c>
      <c r="AH247" s="56" t="s">
        <v>99</v>
      </c>
      <c r="AI247" s="56" t="s">
        <v>99</v>
      </c>
      <c r="AJ247" s="56" t="s">
        <v>99</v>
      </c>
      <c r="AK247" s="63" t="s">
        <v>23</v>
      </c>
      <c r="AL247" s="56" t="s">
        <v>99</v>
      </c>
      <c r="AM247" s="56" t="s">
        <v>99</v>
      </c>
      <c r="AN247" s="56" t="s">
        <v>99</v>
      </c>
      <c r="AO247" s="56" t="s">
        <v>99</v>
      </c>
      <c r="AP247" s="56" t="s">
        <v>99</v>
      </c>
      <c r="AQ247" s="56" t="s">
        <v>99</v>
      </c>
      <c r="AR247" s="56" t="s">
        <v>99</v>
      </c>
      <c r="AS247" s="56" t="s">
        <v>99</v>
      </c>
      <c r="AT247" s="56" t="s">
        <v>99</v>
      </c>
      <c r="AU247" s="56" t="s">
        <v>99</v>
      </c>
      <c r="AV247" s="56" t="s">
        <v>99</v>
      </c>
      <c r="AW247" s="56" t="s">
        <v>99</v>
      </c>
      <c r="AX247" s="56" t="s">
        <v>99</v>
      </c>
      <c r="AY247" s="56" t="s">
        <v>99</v>
      </c>
      <c r="AZ247" s="56" t="s">
        <v>99</v>
      </c>
      <c r="BA247" s="56" t="s">
        <v>99</v>
      </c>
      <c r="BB247" s="56" t="s">
        <v>99</v>
      </c>
      <c r="BC247" s="56" t="s">
        <v>99</v>
      </c>
      <c r="BD247" s="56" t="s">
        <v>99</v>
      </c>
      <c r="BE247" s="56" t="s">
        <v>99</v>
      </c>
      <c r="BF247" s="56" t="s">
        <v>99</v>
      </c>
      <c r="BG247" s="56" t="s">
        <v>99</v>
      </c>
      <c r="BH247" s="56" t="s">
        <v>99</v>
      </c>
      <c r="BI247" s="56" t="s">
        <v>99</v>
      </c>
      <c r="BJ247" s="56" t="s">
        <v>99</v>
      </c>
      <c r="BK247" s="56" t="s">
        <v>99</v>
      </c>
      <c r="BL247" s="56" t="s">
        <v>99</v>
      </c>
      <c r="BM247" s="56" t="s">
        <v>99</v>
      </c>
      <c r="BN247" s="56" t="s">
        <v>99</v>
      </c>
      <c r="BO247" s="56" t="s">
        <v>99</v>
      </c>
      <c r="BP247" s="62" t="s">
        <v>99</v>
      </c>
    </row>
    <row r="248" spans="2:68">
      <c r="B248" s="58">
        <v>8</v>
      </c>
      <c r="C248" s="59">
        <v>35</v>
      </c>
      <c r="D248" s="59" t="s">
        <v>103</v>
      </c>
      <c r="E248" s="60">
        <f>'[1]Master File'!B247</f>
        <v>46261</v>
      </c>
      <c r="F248" s="61" t="str">
        <f>'[1]Master File'!C247</f>
        <v>Explorer + 6PM</v>
      </c>
      <c r="G248" s="39"/>
      <c r="I248" s="56" t="s">
        <v>99</v>
      </c>
      <c r="J248" s="56" t="s">
        <v>99</v>
      </c>
      <c r="K248" s="56" t="s">
        <v>99</v>
      </c>
      <c r="L248" s="63" t="s">
        <v>23</v>
      </c>
      <c r="M248" s="56" t="s">
        <v>99</v>
      </c>
      <c r="N248" s="56" t="s">
        <v>99</v>
      </c>
      <c r="O248" s="56" t="s">
        <v>99</v>
      </c>
      <c r="P248" s="56" t="s">
        <v>99</v>
      </c>
      <c r="Q248" s="56" t="s">
        <v>99</v>
      </c>
      <c r="R248" s="56" t="s">
        <v>99</v>
      </c>
      <c r="S248" s="56" t="s">
        <v>99</v>
      </c>
      <c r="T248" s="56" t="s">
        <v>99</v>
      </c>
      <c r="U248" s="56" t="s">
        <v>99</v>
      </c>
      <c r="V248" s="56" t="s">
        <v>99</v>
      </c>
      <c r="W248" s="56" t="s">
        <v>99</v>
      </c>
      <c r="X248" s="56" t="s">
        <v>99</v>
      </c>
      <c r="Y248" s="56" t="s">
        <v>23</v>
      </c>
      <c r="Z248" s="56" t="s">
        <v>99</v>
      </c>
      <c r="AA248" s="56" t="s">
        <v>99</v>
      </c>
      <c r="AB248" s="56" t="s">
        <v>99</v>
      </c>
      <c r="AC248" s="56" t="s">
        <v>23</v>
      </c>
      <c r="AD248" s="56" t="s">
        <v>99</v>
      </c>
      <c r="AE248" s="56" t="s">
        <v>99</v>
      </c>
      <c r="AF248" s="56" t="s">
        <v>99</v>
      </c>
      <c r="AG248" s="56" t="s">
        <v>23</v>
      </c>
      <c r="AH248" s="56" t="s">
        <v>99</v>
      </c>
      <c r="AI248" s="56" t="s">
        <v>99</v>
      </c>
      <c r="AJ248" s="56" t="s">
        <v>99</v>
      </c>
      <c r="AK248" s="63" t="s">
        <v>23</v>
      </c>
      <c r="AL248" s="56" t="s">
        <v>99</v>
      </c>
      <c r="AM248" s="56" t="s">
        <v>99</v>
      </c>
      <c r="AN248" s="56" t="s">
        <v>99</v>
      </c>
      <c r="AO248" s="56" t="s">
        <v>99</v>
      </c>
      <c r="AP248" s="56" t="s">
        <v>99</v>
      </c>
      <c r="AQ248" s="56" t="s">
        <v>99</v>
      </c>
      <c r="AR248" s="56" t="s">
        <v>99</v>
      </c>
      <c r="AS248" s="56" t="s">
        <v>99</v>
      </c>
      <c r="AT248" s="56" t="s">
        <v>99</v>
      </c>
      <c r="AU248" s="56" t="s">
        <v>99</v>
      </c>
      <c r="AV248" s="56" t="s">
        <v>99</v>
      </c>
      <c r="AW248" s="56" t="s">
        <v>99</v>
      </c>
      <c r="AX248" s="56" t="s">
        <v>99</v>
      </c>
      <c r="AY248" s="56" t="s">
        <v>99</v>
      </c>
      <c r="AZ248" s="56" t="s">
        <v>99</v>
      </c>
      <c r="BA248" s="56" t="s">
        <v>99</v>
      </c>
      <c r="BB248" s="56" t="s">
        <v>99</v>
      </c>
      <c r="BC248" s="56" t="s">
        <v>99</v>
      </c>
      <c r="BD248" s="56" t="s">
        <v>99</v>
      </c>
      <c r="BE248" s="56" t="s">
        <v>99</v>
      </c>
      <c r="BF248" s="56" t="s">
        <v>99</v>
      </c>
      <c r="BG248" s="56" t="s">
        <v>99</v>
      </c>
      <c r="BH248" s="56" t="s">
        <v>99</v>
      </c>
      <c r="BI248" s="56" t="s">
        <v>99</v>
      </c>
      <c r="BJ248" s="56" t="s">
        <v>99</v>
      </c>
      <c r="BK248" s="56" t="s">
        <v>99</v>
      </c>
      <c r="BL248" s="56" t="s">
        <v>99</v>
      </c>
      <c r="BM248" s="56" t="s">
        <v>99</v>
      </c>
      <c r="BN248" s="56" t="s">
        <v>99</v>
      </c>
      <c r="BO248" s="56" t="s">
        <v>99</v>
      </c>
      <c r="BP248" s="62" t="s">
        <v>99</v>
      </c>
    </row>
    <row r="249" spans="2:68">
      <c r="B249" s="58">
        <v>8</v>
      </c>
      <c r="C249" s="59">
        <v>35</v>
      </c>
      <c r="D249" s="59" t="s">
        <v>104</v>
      </c>
      <c r="E249" s="60">
        <f>'[1]Master File'!B248</f>
        <v>46262</v>
      </c>
      <c r="F249" s="61" t="str">
        <f>'[1]Master File'!C248</f>
        <v>Explorer + 6PM</v>
      </c>
      <c r="G249" s="39"/>
      <c r="I249" s="56" t="s">
        <v>99</v>
      </c>
      <c r="J249" s="56" t="s">
        <v>99</v>
      </c>
      <c r="K249" s="56" t="s">
        <v>99</v>
      </c>
      <c r="L249" s="63" t="s">
        <v>23</v>
      </c>
      <c r="M249" s="56" t="s">
        <v>99</v>
      </c>
      <c r="N249" s="56" t="s">
        <v>99</v>
      </c>
      <c r="O249" s="56" t="s">
        <v>99</v>
      </c>
      <c r="P249" s="56" t="s">
        <v>99</v>
      </c>
      <c r="Q249" s="56" t="s">
        <v>99</v>
      </c>
      <c r="R249" s="56" t="s">
        <v>99</v>
      </c>
      <c r="S249" s="56" t="s">
        <v>99</v>
      </c>
      <c r="T249" s="56" t="s">
        <v>99</v>
      </c>
      <c r="U249" s="56" t="s">
        <v>99</v>
      </c>
      <c r="V249" s="56" t="s">
        <v>99</v>
      </c>
      <c r="W249" s="56" t="s">
        <v>99</v>
      </c>
      <c r="X249" s="56" t="s">
        <v>99</v>
      </c>
      <c r="Y249" s="56" t="s">
        <v>23</v>
      </c>
      <c r="Z249" s="56" t="s">
        <v>99</v>
      </c>
      <c r="AA249" s="56" t="s">
        <v>99</v>
      </c>
      <c r="AB249" s="56" t="s">
        <v>99</v>
      </c>
      <c r="AC249" s="56" t="s">
        <v>23</v>
      </c>
      <c r="AD249" s="56" t="s">
        <v>99</v>
      </c>
      <c r="AE249" s="56" t="s">
        <v>99</v>
      </c>
      <c r="AF249" s="56" t="s">
        <v>99</v>
      </c>
      <c r="AG249" s="56" t="s">
        <v>23</v>
      </c>
      <c r="AH249" s="56" t="s">
        <v>99</v>
      </c>
      <c r="AI249" s="56" t="s">
        <v>99</v>
      </c>
      <c r="AJ249" s="56" t="s">
        <v>99</v>
      </c>
      <c r="AK249" s="63" t="s">
        <v>23</v>
      </c>
      <c r="AL249" s="56" t="s">
        <v>99</v>
      </c>
      <c r="AM249" s="56" t="s">
        <v>99</v>
      </c>
      <c r="AN249" s="56" t="s">
        <v>99</v>
      </c>
      <c r="AO249" s="56" t="s">
        <v>99</v>
      </c>
      <c r="AP249" s="56" t="s">
        <v>99</v>
      </c>
      <c r="AQ249" s="56" t="s">
        <v>99</v>
      </c>
      <c r="AR249" s="56" t="s">
        <v>99</v>
      </c>
      <c r="AS249" s="56" t="s">
        <v>99</v>
      </c>
      <c r="AT249" s="56" t="s">
        <v>99</v>
      </c>
      <c r="AU249" s="56" t="s">
        <v>99</v>
      </c>
      <c r="AV249" s="56" t="s">
        <v>99</v>
      </c>
      <c r="AW249" s="56" t="s">
        <v>99</v>
      </c>
      <c r="AX249" s="56" t="s">
        <v>99</v>
      </c>
      <c r="AY249" s="56" t="s">
        <v>99</v>
      </c>
      <c r="AZ249" s="56" t="s">
        <v>99</v>
      </c>
      <c r="BA249" s="56" t="s">
        <v>99</v>
      </c>
      <c r="BB249" s="56" t="s">
        <v>99</v>
      </c>
      <c r="BC249" s="56" t="s">
        <v>99</v>
      </c>
      <c r="BD249" s="56" t="s">
        <v>99</v>
      </c>
      <c r="BE249" s="56" t="s">
        <v>99</v>
      </c>
      <c r="BF249" s="56" t="s">
        <v>99</v>
      </c>
      <c r="BG249" s="56" t="s">
        <v>99</v>
      </c>
      <c r="BH249" s="56" t="s">
        <v>99</v>
      </c>
      <c r="BI249" s="56" t="s">
        <v>99</v>
      </c>
      <c r="BJ249" s="56" t="s">
        <v>99</v>
      </c>
      <c r="BK249" s="56" t="s">
        <v>99</v>
      </c>
      <c r="BL249" s="56" t="s">
        <v>99</v>
      </c>
      <c r="BM249" s="56" t="s">
        <v>99</v>
      </c>
      <c r="BN249" s="56" t="s">
        <v>99</v>
      </c>
      <c r="BO249" s="56" t="s">
        <v>99</v>
      </c>
      <c r="BP249" s="62" t="s">
        <v>99</v>
      </c>
    </row>
    <row r="250" spans="2:68">
      <c r="B250" s="58">
        <v>8</v>
      </c>
      <c r="C250" s="59">
        <v>35</v>
      </c>
      <c r="D250" s="59" t="s">
        <v>105</v>
      </c>
      <c r="E250" s="60">
        <f>'[1]Master File'!B249</f>
        <v>46263</v>
      </c>
      <c r="F250" s="61" t="str">
        <f>'[1]Master File'!C249</f>
        <v>Explorer + 6PM</v>
      </c>
      <c r="G250" s="39"/>
      <c r="I250" s="67" t="s">
        <v>99</v>
      </c>
      <c r="J250" s="67" t="s">
        <v>99</v>
      </c>
      <c r="K250" s="67" t="s">
        <v>99</v>
      </c>
      <c r="L250" s="63" t="s">
        <v>23</v>
      </c>
      <c r="M250" s="67" t="s">
        <v>99</v>
      </c>
      <c r="N250" s="67" t="s">
        <v>99</v>
      </c>
      <c r="O250" s="67" t="s">
        <v>99</v>
      </c>
      <c r="P250" s="67" t="s">
        <v>99</v>
      </c>
      <c r="Q250" s="67" t="s">
        <v>99</v>
      </c>
      <c r="R250" s="67" t="s">
        <v>99</v>
      </c>
      <c r="S250" s="67" t="s">
        <v>99</v>
      </c>
      <c r="T250" s="67" t="s">
        <v>99</v>
      </c>
      <c r="U250" s="67" t="s">
        <v>99</v>
      </c>
      <c r="V250" s="67" t="s">
        <v>99</v>
      </c>
      <c r="W250" s="67" t="s">
        <v>99</v>
      </c>
      <c r="X250" s="67" t="s">
        <v>99</v>
      </c>
      <c r="Y250" s="56" t="s">
        <v>23</v>
      </c>
      <c r="Z250" s="67" t="s">
        <v>99</v>
      </c>
      <c r="AA250" s="67" t="s">
        <v>99</v>
      </c>
      <c r="AB250" s="67" t="s">
        <v>99</v>
      </c>
      <c r="AC250" s="63" t="s">
        <v>23</v>
      </c>
      <c r="AD250" s="67" t="s">
        <v>99</v>
      </c>
      <c r="AE250" s="67" t="s">
        <v>99</v>
      </c>
      <c r="AF250" s="67" t="s">
        <v>99</v>
      </c>
      <c r="AG250" s="67" t="s">
        <v>23</v>
      </c>
      <c r="AH250" s="67" t="s">
        <v>99</v>
      </c>
      <c r="AI250" s="67" t="s">
        <v>99</v>
      </c>
      <c r="AJ250" s="67" t="s">
        <v>99</v>
      </c>
      <c r="AK250" s="63" t="s">
        <v>23</v>
      </c>
      <c r="AL250" s="67" t="s">
        <v>99</v>
      </c>
      <c r="AM250" s="67" t="s">
        <v>99</v>
      </c>
      <c r="AN250" s="67" t="s">
        <v>99</v>
      </c>
      <c r="AO250" s="67" t="s">
        <v>99</v>
      </c>
      <c r="AP250" s="67" t="s">
        <v>99</v>
      </c>
      <c r="AQ250" s="67" t="s">
        <v>23</v>
      </c>
      <c r="AR250" s="67" t="s">
        <v>99</v>
      </c>
      <c r="AS250" s="67" t="s">
        <v>99</v>
      </c>
      <c r="AT250" s="67" t="s">
        <v>99</v>
      </c>
      <c r="AU250" s="67" t="s">
        <v>99</v>
      </c>
      <c r="AV250" s="67" t="s">
        <v>99</v>
      </c>
      <c r="AW250" s="67" t="s">
        <v>99</v>
      </c>
      <c r="AX250" s="67" t="s">
        <v>99</v>
      </c>
      <c r="AY250" s="67" t="s">
        <v>99</v>
      </c>
      <c r="AZ250" s="67" t="s">
        <v>99</v>
      </c>
      <c r="BA250" s="67" t="s">
        <v>99</v>
      </c>
      <c r="BB250" s="67" t="s">
        <v>99</v>
      </c>
      <c r="BC250" s="67" t="s">
        <v>99</v>
      </c>
      <c r="BD250" s="67" t="s">
        <v>99</v>
      </c>
      <c r="BE250" s="67" t="s">
        <v>99</v>
      </c>
      <c r="BF250" s="67" t="s">
        <v>99</v>
      </c>
      <c r="BG250" s="67" t="s">
        <v>99</v>
      </c>
      <c r="BH250" s="67" t="s">
        <v>99</v>
      </c>
      <c r="BI250" s="67" t="s">
        <v>99</v>
      </c>
      <c r="BJ250" s="67" t="s">
        <v>99</v>
      </c>
      <c r="BK250" s="67" t="s">
        <v>99</v>
      </c>
      <c r="BL250" s="67" t="s">
        <v>99</v>
      </c>
      <c r="BM250" s="67" t="s">
        <v>99</v>
      </c>
      <c r="BN250" s="67" t="s">
        <v>99</v>
      </c>
      <c r="BO250" s="67" t="s">
        <v>99</v>
      </c>
      <c r="BP250" s="68" t="s">
        <v>99</v>
      </c>
    </row>
    <row r="251" spans="2:68">
      <c r="B251" s="58">
        <v>9</v>
      </c>
      <c r="C251" s="59">
        <v>36</v>
      </c>
      <c r="D251" s="59" t="s">
        <v>98</v>
      </c>
      <c r="E251" s="60">
        <f>'[1]Master File'!B250</f>
        <v>46264</v>
      </c>
      <c r="F251" s="61" t="str">
        <f>'[1]Master File'!C250</f>
        <v>Explorer + 6PM</v>
      </c>
      <c r="G251" s="39"/>
      <c r="I251" s="67" t="s">
        <v>99</v>
      </c>
      <c r="J251" s="67" t="s">
        <v>99</v>
      </c>
      <c r="K251" s="67" t="s">
        <v>99</v>
      </c>
      <c r="L251" s="63" t="s">
        <v>23</v>
      </c>
      <c r="M251" s="67" t="s">
        <v>99</v>
      </c>
      <c r="N251" s="67" t="s">
        <v>99</v>
      </c>
      <c r="O251" s="67" t="s">
        <v>99</v>
      </c>
      <c r="P251" s="67" t="s">
        <v>99</v>
      </c>
      <c r="Q251" s="67" t="s">
        <v>99</v>
      </c>
      <c r="R251" s="67" t="s">
        <v>99</v>
      </c>
      <c r="S251" s="67" t="s">
        <v>99</v>
      </c>
      <c r="T251" s="67" t="s">
        <v>99</v>
      </c>
      <c r="U251" s="67" t="s">
        <v>99</v>
      </c>
      <c r="V251" s="67" t="s">
        <v>99</v>
      </c>
      <c r="W251" s="67" t="s">
        <v>99</v>
      </c>
      <c r="X251" s="67" t="s">
        <v>99</v>
      </c>
      <c r="Y251" s="56" t="s">
        <v>23</v>
      </c>
      <c r="Z251" s="67" t="s">
        <v>99</v>
      </c>
      <c r="AA251" s="67" t="s">
        <v>99</v>
      </c>
      <c r="AB251" s="67" t="s">
        <v>99</v>
      </c>
      <c r="AC251" s="63" t="s">
        <v>23</v>
      </c>
      <c r="AD251" s="67" t="s">
        <v>99</v>
      </c>
      <c r="AE251" s="67" t="s">
        <v>99</v>
      </c>
      <c r="AF251" s="67" t="s">
        <v>99</v>
      </c>
      <c r="AG251" s="67" t="s">
        <v>23</v>
      </c>
      <c r="AH251" s="67" t="s">
        <v>99</v>
      </c>
      <c r="AI251" s="67" t="s">
        <v>99</v>
      </c>
      <c r="AJ251" s="67" t="s">
        <v>99</v>
      </c>
      <c r="AK251" s="63" t="s">
        <v>23</v>
      </c>
      <c r="AL251" s="67" t="s">
        <v>99</v>
      </c>
      <c r="AM251" s="67" t="s">
        <v>99</v>
      </c>
      <c r="AN251" s="67" t="s">
        <v>99</v>
      </c>
      <c r="AO251" s="67" t="s">
        <v>99</v>
      </c>
      <c r="AP251" s="67" t="s">
        <v>99</v>
      </c>
      <c r="AQ251" s="67" t="s">
        <v>23</v>
      </c>
      <c r="AR251" s="67" t="s">
        <v>99</v>
      </c>
      <c r="AS251" s="67" t="s">
        <v>99</v>
      </c>
      <c r="AT251" s="67" t="s">
        <v>99</v>
      </c>
      <c r="AU251" s="67" t="s">
        <v>99</v>
      </c>
      <c r="AV251" s="67" t="s">
        <v>99</v>
      </c>
      <c r="AW251" s="67" t="s">
        <v>99</v>
      </c>
      <c r="AX251" s="67" t="s">
        <v>99</v>
      </c>
      <c r="AY251" s="67" t="s">
        <v>99</v>
      </c>
      <c r="AZ251" s="67" t="s">
        <v>99</v>
      </c>
      <c r="BA251" s="67" t="s">
        <v>99</v>
      </c>
      <c r="BB251" s="67" t="s">
        <v>99</v>
      </c>
      <c r="BC251" s="67" t="s">
        <v>99</v>
      </c>
      <c r="BD251" s="67" t="s">
        <v>99</v>
      </c>
      <c r="BE251" s="67" t="s">
        <v>99</v>
      </c>
      <c r="BF251" s="67" t="s">
        <v>99</v>
      </c>
      <c r="BG251" s="67" t="s">
        <v>99</v>
      </c>
      <c r="BH251" s="67" t="s">
        <v>99</v>
      </c>
      <c r="BI251" s="67" t="s">
        <v>99</v>
      </c>
      <c r="BJ251" s="67" t="s">
        <v>99</v>
      </c>
      <c r="BK251" s="67" t="s">
        <v>99</v>
      </c>
      <c r="BL251" s="67" t="s">
        <v>99</v>
      </c>
      <c r="BM251" s="67" t="s">
        <v>99</v>
      </c>
      <c r="BN251" s="67" t="s">
        <v>99</v>
      </c>
      <c r="BO251" s="67" t="s">
        <v>99</v>
      </c>
      <c r="BP251" s="68" t="s">
        <v>99</v>
      </c>
    </row>
    <row r="252" spans="2:68">
      <c r="B252" s="58">
        <v>9</v>
      </c>
      <c r="C252" s="59">
        <v>36</v>
      </c>
      <c r="D252" s="59" t="s">
        <v>100</v>
      </c>
      <c r="E252" s="60">
        <f>'[1]Master File'!B251</f>
        <v>46265</v>
      </c>
      <c r="F252" s="61" t="str">
        <f>'[1]Master File'!C251</f>
        <v>Explorer + 6PM</v>
      </c>
      <c r="G252" s="39"/>
      <c r="I252" s="56" t="s">
        <v>99</v>
      </c>
      <c r="J252" s="56" t="s">
        <v>99</v>
      </c>
      <c r="K252" s="56" t="s">
        <v>99</v>
      </c>
      <c r="L252" s="63" t="s">
        <v>23</v>
      </c>
      <c r="M252" s="56" t="s">
        <v>99</v>
      </c>
      <c r="N252" s="56" t="s">
        <v>99</v>
      </c>
      <c r="O252" s="56" t="s">
        <v>99</v>
      </c>
      <c r="P252" s="56" t="s">
        <v>99</v>
      </c>
      <c r="Q252" s="56" t="s">
        <v>99</v>
      </c>
      <c r="R252" s="56" t="s">
        <v>99</v>
      </c>
      <c r="S252" s="56" t="s">
        <v>99</v>
      </c>
      <c r="T252" s="56" t="s">
        <v>99</v>
      </c>
      <c r="U252" s="56" t="s">
        <v>99</v>
      </c>
      <c r="V252" s="56" t="s">
        <v>99</v>
      </c>
      <c r="W252" s="56" t="s">
        <v>99</v>
      </c>
      <c r="X252" s="56" t="s">
        <v>99</v>
      </c>
      <c r="Y252" s="56" t="s">
        <v>23</v>
      </c>
      <c r="Z252" s="56" t="s">
        <v>99</v>
      </c>
      <c r="AA252" s="56" t="s">
        <v>99</v>
      </c>
      <c r="AB252" s="56" t="s">
        <v>99</v>
      </c>
      <c r="AC252" s="56" t="s">
        <v>99</v>
      </c>
      <c r="AD252" s="56" t="s">
        <v>99</v>
      </c>
      <c r="AE252" s="56" t="s">
        <v>99</v>
      </c>
      <c r="AF252" s="56" t="s">
        <v>99</v>
      </c>
      <c r="AG252" s="56" t="s">
        <v>23</v>
      </c>
      <c r="AH252" s="56" t="s">
        <v>99</v>
      </c>
      <c r="AI252" s="56" t="s">
        <v>99</v>
      </c>
      <c r="AJ252" s="56" t="s">
        <v>99</v>
      </c>
      <c r="AK252" s="63" t="s">
        <v>23</v>
      </c>
      <c r="AL252" s="56" t="s">
        <v>99</v>
      </c>
      <c r="AM252" s="56" t="s">
        <v>99</v>
      </c>
      <c r="AN252" s="56" t="s">
        <v>99</v>
      </c>
      <c r="AO252" s="56" t="s">
        <v>99</v>
      </c>
      <c r="AP252" s="56" t="s">
        <v>99</v>
      </c>
      <c r="AQ252" s="56" t="s">
        <v>99</v>
      </c>
      <c r="AR252" s="56" t="s">
        <v>99</v>
      </c>
      <c r="AS252" s="56" t="s">
        <v>99</v>
      </c>
      <c r="AT252" s="56" t="s">
        <v>99</v>
      </c>
      <c r="AU252" s="56" t="s">
        <v>99</v>
      </c>
      <c r="AV252" s="56" t="s">
        <v>99</v>
      </c>
      <c r="AW252" s="56" t="s">
        <v>99</v>
      </c>
      <c r="AX252" s="56" t="s">
        <v>99</v>
      </c>
      <c r="AY252" s="56" t="s">
        <v>99</v>
      </c>
      <c r="AZ252" s="56" t="s">
        <v>99</v>
      </c>
      <c r="BA252" s="56" t="s">
        <v>99</v>
      </c>
      <c r="BB252" s="56" t="s">
        <v>99</v>
      </c>
      <c r="BC252" s="56" t="s">
        <v>99</v>
      </c>
      <c r="BD252" s="56" t="s">
        <v>99</v>
      </c>
      <c r="BE252" s="56" t="s">
        <v>99</v>
      </c>
      <c r="BF252" s="56" t="s">
        <v>99</v>
      </c>
      <c r="BG252" s="56" t="s">
        <v>99</v>
      </c>
      <c r="BH252" s="56" t="s">
        <v>99</v>
      </c>
      <c r="BI252" s="56" t="s">
        <v>99</v>
      </c>
      <c r="BJ252" s="56" t="s">
        <v>99</v>
      </c>
      <c r="BK252" s="56" t="s">
        <v>99</v>
      </c>
      <c r="BL252" s="56" t="s">
        <v>99</v>
      </c>
      <c r="BM252" s="56" t="s">
        <v>99</v>
      </c>
      <c r="BN252" s="56" t="s">
        <v>99</v>
      </c>
      <c r="BO252" s="56" t="s">
        <v>99</v>
      </c>
      <c r="BP252" s="62" t="s">
        <v>99</v>
      </c>
    </row>
    <row r="253" spans="2:68">
      <c r="B253" s="58">
        <v>9</v>
      </c>
      <c r="C253" s="59">
        <v>36</v>
      </c>
      <c r="D253" s="59" t="s">
        <v>101</v>
      </c>
      <c r="E253" s="60">
        <f>'[1]Master File'!B252</f>
        <v>46266</v>
      </c>
      <c r="F253" s="61" t="str">
        <f>'[1]Master File'!C252</f>
        <v>Explorer + 5PM</v>
      </c>
      <c r="G253" s="39"/>
      <c r="I253" s="56" t="s">
        <v>99</v>
      </c>
      <c r="J253" s="56" t="s">
        <v>99</v>
      </c>
      <c r="K253" s="56" t="s">
        <v>99</v>
      </c>
      <c r="L253" s="63" t="s">
        <v>23</v>
      </c>
      <c r="M253" s="56" t="s">
        <v>99</v>
      </c>
      <c r="N253" s="56" t="s">
        <v>99</v>
      </c>
      <c r="O253" s="56" t="s">
        <v>99</v>
      </c>
      <c r="P253" s="56" t="s">
        <v>99</v>
      </c>
      <c r="Q253" s="56" t="s">
        <v>99</v>
      </c>
      <c r="R253" s="56" t="s">
        <v>99</v>
      </c>
      <c r="S253" s="56" t="s">
        <v>99</v>
      </c>
      <c r="T253" s="56" t="s">
        <v>99</v>
      </c>
      <c r="U253" s="56" t="s">
        <v>99</v>
      </c>
      <c r="V253" s="56" t="s">
        <v>99</v>
      </c>
      <c r="W253" s="56" t="s">
        <v>99</v>
      </c>
      <c r="X253" s="56" t="s">
        <v>99</v>
      </c>
      <c r="Y253" s="56" t="s">
        <v>23</v>
      </c>
      <c r="Z253" s="56" t="s">
        <v>99</v>
      </c>
      <c r="AA253" s="56" t="s">
        <v>99</v>
      </c>
      <c r="AB253" s="56" t="s">
        <v>23</v>
      </c>
      <c r="AC253" s="56" t="s">
        <v>23</v>
      </c>
      <c r="AD253" s="56" t="s">
        <v>99</v>
      </c>
      <c r="AE253" s="56" t="s">
        <v>99</v>
      </c>
      <c r="AF253" s="56" t="s">
        <v>99</v>
      </c>
      <c r="AG253" s="56" t="s">
        <v>23</v>
      </c>
      <c r="AH253" s="56" t="s">
        <v>99</v>
      </c>
      <c r="AI253" s="56" t="s">
        <v>99</v>
      </c>
      <c r="AJ253" s="56" t="s">
        <v>99</v>
      </c>
      <c r="AK253" s="63" t="s">
        <v>23</v>
      </c>
      <c r="AL253" s="56" t="s">
        <v>99</v>
      </c>
      <c r="AM253" s="56" t="s">
        <v>99</v>
      </c>
      <c r="AN253" s="56" t="s">
        <v>99</v>
      </c>
      <c r="AO253" s="56" t="s">
        <v>99</v>
      </c>
      <c r="AP253" s="56" t="s">
        <v>99</v>
      </c>
      <c r="AQ253" s="56" t="s">
        <v>99</v>
      </c>
      <c r="AR253" s="56" t="s">
        <v>99</v>
      </c>
      <c r="AS253" s="56" t="s">
        <v>99</v>
      </c>
      <c r="AT253" s="56" t="s">
        <v>99</v>
      </c>
      <c r="AU253" s="56" t="s">
        <v>99</v>
      </c>
      <c r="AV253" s="56" t="s">
        <v>99</v>
      </c>
      <c r="AW253" s="56" t="s">
        <v>99</v>
      </c>
      <c r="AX253" s="56" t="s">
        <v>99</v>
      </c>
      <c r="AY253" s="56" t="s">
        <v>99</v>
      </c>
      <c r="AZ253" s="56" t="s">
        <v>99</v>
      </c>
      <c r="BA253" s="56" t="s">
        <v>99</v>
      </c>
      <c r="BB253" s="56" t="s">
        <v>99</v>
      </c>
      <c r="BC253" s="56" t="s">
        <v>99</v>
      </c>
      <c r="BD253" s="56" t="s">
        <v>99</v>
      </c>
      <c r="BE253" s="56" t="s">
        <v>99</v>
      </c>
      <c r="BF253" s="56" t="s">
        <v>99</v>
      </c>
      <c r="BG253" s="56" t="s">
        <v>99</v>
      </c>
      <c r="BH253" s="56" t="s">
        <v>99</v>
      </c>
      <c r="BI253" s="56" t="s">
        <v>99</v>
      </c>
      <c r="BJ253" s="56" t="s">
        <v>99</v>
      </c>
      <c r="BK253" s="56" t="s">
        <v>99</v>
      </c>
      <c r="BL253" s="56" t="s">
        <v>99</v>
      </c>
      <c r="BM253" s="56" t="s">
        <v>99</v>
      </c>
      <c r="BN253" s="56" t="s">
        <v>99</v>
      </c>
      <c r="BO253" s="56" t="s">
        <v>99</v>
      </c>
      <c r="BP253" s="62" t="s">
        <v>99</v>
      </c>
    </row>
    <row r="254" spans="2:68">
      <c r="B254" s="58">
        <v>9</v>
      </c>
      <c r="C254" s="59">
        <v>36</v>
      </c>
      <c r="D254" s="59" t="s">
        <v>102</v>
      </c>
      <c r="E254" s="60">
        <f>'[1]Master File'!B253</f>
        <v>46267</v>
      </c>
      <c r="F254" s="61" t="str">
        <f>'[1]Master File'!C253</f>
        <v>Explorer + 5PM</v>
      </c>
      <c r="G254" s="39"/>
      <c r="I254" s="56" t="s">
        <v>99</v>
      </c>
      <c r="J254" s="56" t="s">
        <v>99</v>
      </c>
      <c r="K254" s="56" t="s">
        <v>99</v>
      </c>
      <c r="L254" s="63" t="s">
        <v>23</v>
      </c>
      <c r="M254" s="56" t="s">
        <v>99</v>
      </c>
      <c r="N254" s="56" t="s">
        <v>99</v>
      </c>
      <c r="O254" s="56" t="s">
        <v>99</v>
      </c>
      <c r="P254" s="56" t="s">
        <v>99</v>
      </c>
      <c r="Q254" s="56" t="s">
        <v>99</v>
      </c>
      <c r="R254" s="56" t="s">
        <v>99</v>
      </c>
      <c r="S254" s="56" t="s">
        <v>99</v>
      </c>
      <c r="T254" s="56" t="s">
        <v>99</v>
      </c>
      <c r="U254" s="56" t="s">
        <v>99</v>
      </c>
      <c r="V254" s="56" t="s">
        <v>99</v>
      </c>
      <c r="W254" s="56" t="s">
        <v>99</v>
      </c>
      <c r="X254" s="56" t="s">
        <v>99</v>
      </c>
      <c r="Y254" s="56" t="s">
        <v>23</v>
      </c>
      <c r="Z254" s="56" t="s">
        <v>99</v>
      </c>
      <c r="AA254" s="56" t="s">
        <v>99</v>
      </c>
      <c r="AB254" s="56" t="s">
        <v>23</v>
      </c>
      <c r="AC254" s="56" t="s">
        <v>23</v>
      </c>
      <c r="AD254" s="56" t="s">
        <v>99</v>
      </c>
      <c r="AE254" s="56" t="s">
        <v>99</v>
      </c>
      <c r="AF254" s="56" t="s">
        <v>99</v>
      </c>
      <c r="AG254" s="56" t="s">
        <v>23</v>
      </c>
      <c r="AH254" s="56" t="s">
        <v>99</v>
      </c>
      <c r="AI254" s="56" t="s">
        <v>99</v>
      </c>
      <c r="AJ254" s="56" t="s">
        <v>99</v>
      </c>
      <c r="AK254" s="63" t="s">
        <v>23</v>
      </c>
      <c r="AL254" s="56" t="s">
        <v>99</v>
      </c>
      <c r="AM254" s="56" t="s">
        <v>99</v>
      </c>
      <c r="AN254" s="56" t="s">
        <v>99</v>
      </c>
      <c r="AO254" s="56" t="s">
        <v>99</v>
      </c>
      <c r="AP254" s="56" t="s">
        <v>99</v>
      </c>
      <c r="AQ254" s="56" t="s">
        <v>99</v>
      </c>
      <c r="AR254" s="56" t="s">
        <v>99</v>
      </c>
      <c r="AS254" s="56" t="s">
        <v>99</v>
      </c>
      <c r="AT254" s="56" t="s">
        <v>99</v>
      </c>
      <c r="AU254" s="56" t="s">
        <v>99</v>
      </c>
      <c r="AV254" s="56" t="s">
        <v>99</v>
      </c>
      <c r="AW254" s="56" t="s">
        <v>99</v>
      </c>
      <c r="AX254" s="56" t="s">
        <v>99</v>
      </c>
      <c r="AY254" s="56" t="s">
        <v>99</v>
      </c>
      <c r="AZ254" s="56" t="s">
        <v>99</v>
      </c>
      <c r="BA254" s="56" t="s">
        <v>99</v>
      </c>
      <c r="BB254" s="56" t="s">
        <v>99</v>
      </c>
      <c r="BC254" s="56" t="s">
        <v>99</v>
      </c>
      <c r="BD254" s="56" t="s">
        <v>99</v>
      </c>
      <c r="BE254" s="56" t="s">
        <v>99</v>
      </c>
      <c r="BF254" s="56" t="s">
        <v>99</v>
      </c>
      <c r="BG254" s="56" t="s">
        <v>99</v>
      </c>
      <c r="BH254" s="56" t="s">
        <v>99</v>
      </c>
      <c r="BI254" s="56" t="s">
        <v>99</v>
      </c>
      <c r="BJ254" s="56" t="s">
        <v>99</v>
      </c>
      <c r="BK254" s="56" t="s">
        <v>99</v>
      </c>
      <c r="BL254" s="56" t="s">
        <v>99</v>
      </c>
      <c r="BM254" s="56" t="s">
        <v>99</v>
      </c>
      <c r="BN254" s="56" t="s">
        <v>99</v>
      </c>
      <c r="BO254" s="56" t="s">
        <v>99</v>
      </c>
      <c r="BP254" s="62" t="s">
        <v>99</v>
      </c>
    </row>
    <row r="255" spans="2:68">
      <c r="B255" s="58">
        <v>9</v>
      </c>
      <c r="C255" s="59">
        <v>36</v>
      </c>
      <c r="D255" s="59" t="s">
        <v>103</v>
      </c>
      <c r="E255" s="60">
        <f>'[1]Master File'!B254</f>
        <v>46268</v>
      </c>
      <c r="F255" s="61" t="str">
        <f>'[1]Master File'!C254</f>
        <v>Lodge 5PM</v>
      </c>
      <c r="G255" s="39"/>
      <c r="I255" s="56" t="s">
        <v>99</v>
      </c>
      <c r="J255" s="56" t="s">
        <v>99</v>
      </c>
      <c r="K255" s="56" t="s">
        <v>99</v>
      </c>
      <c r="L255" s="63" t="s">
        <v>23</v>
      </c>
      <c r="M255" s="56" t="s">
        <v>99</v>
      </c>
      <c r="N255" s="56" t="s">
        <v>99</v>
      </c>
      <c r="O255" s="56" t="s">
        <v>99</v>
      </c>
      <c r="P255" s="56" t="s">
        <v>99</v>
      </c>
      <c r="Q255" s="56" t="s">
        <v>99</v>
      </c>
      <c r="R255" s="56" t="s">
        <v>99</v>
      </c>
      <c r="S255" s="56" t="s">
        <v>99</v>
      </c>
      <c r="T255" s="56" t="s">
        <v>99</v>
      </c>
      <c r="U255" s="56" t="s">
        <v>99</v>
      </c>
      <c r="V255" s="56" t="s">
        <v>99</v>
      </c>
      <c r="W255" s="56" t="s">
        <v>99</v>
      </c>
      <c r="X255" s="56" t="s">
        <v>99</v>
      </c>
      <c r="Y255" s="56" t="s">
        <v>23</v>
      </c>
      <c r="Z255" s="56" t="s">
        <v>99</v>
      </c>
      <c r="AA255" s="56" t="s">
        <v>99</v>
      </c>
      <c r="AB255" s="56" t="s">
        <v>23</v>
      </c>
      <c r="AC255" s="56" t="s">
        <v>23</v>
      </c>
      <c r="AD255" s="56" t="s">
        <v>99</v>
      </c>
      <c r="AE255" s="56" t="s">
        <v>99</v>
      </c>
      <c r="AF255" s="56" t="s">
        <v>99</v>
      </c>
      <c r="AG255" s="56" t="s">
        <v>23</v>
      </c>
      <c r="AH255" s="56" t="s">
        <v>99</v>
      </c>
      <c r="AI255" s="56" t="s">
        <v>99</v>
      </c>
      <c r="AJ255" s="56" t="s">
        <v>99</v>
      </c>
      <c r="AK255" s="63" t="s">
        <v>23</v>
      </c>
      <c r="AL255" s="56" t="s">
        <v>99</v>
      </c>
      <c r="AM255" s="56" t="s">
        <v>99</v>
      </c>
      <c r="AN255" s="56" t="s">
        <v>99</v>
      </c>
      <c r="AO255" s="56" t="s">
        <v>99</v>
      </c>
      <c r="AP255" s="56" t="s">
        <v>99</v>
      </c>
      <c r="AQ255" s="56" t="s">
        <v>99</v>
      </c>
      <c r="AR255" s="56" t="s">
        <v>99</v>
      </c>
      <c r="AS255" s="56" t="s">
        <v>99</v>
      </c>
      <c r="AT255" s="56" t="s">
        <v>99</v>
      </c>
      <c r="AU255" s="56" t="s">
        <v>99</v>
      </c>
      <c r="AV255" s="56" t="s">
        <v>99</v>
      </c>
      <c r="AW255" s="56" t="s">
        <v>99</v>
      </c>
      <c r="AX255" s="56" t="s">
        <v>99</v>
      </c>
      <c r="AY255" s="56" t="s">
        <v>99</v>
      </c>
      <c r="AZ255" s="56" t="s">
        <v>99</v>
      </c>
      <c r="BA255" s="56" t="s">
        <v>99</v>
      </c>
      <c r="BB255" s="56" t="s">
        <v>99</v>
      </c>
      <c r="BC255" s="56" t="s">
        <v>99</v>
      </c>
      <c r="BD255" s="56" t="s">
        <v>99</v>
      </c>
      <c r="BE255" s="56" t="s">
        <v>99</v>
      </c>
      <c r="BF255" s="56" t="s">
        <v>99</v>
      </c>
      <c r="BG255" s="56" t="s">
        <v>99</v>
      </c>
      <c r="BH255" s="56" t="s">
        <v>99</v>
      </c>
      <c r="BI255" s="56" t="s">
        <v>99</v>
      </c>
      <c r="BJ255" s="56" t="s">
        <v>99</v>
      </c>
      <c r="BK255" s="56" t="s">
        <v>99</v>
      </c>
      <c r="BL255" s="56" t="s">
        <v>99</v>
      </c>
      <c r="BM255" s="56" t="s">
        <v>99</v>
      </c>
      <c r="BN255" s="56" t="s">
        <v>99</v>
      </c>
      <c r="BO255" s="56" t="s">
        <v>99</v>
      </c>
      <c r="BP255" s="62" t="s">
        <v>99</v>
      </c>
    </row>
    <row r="256" spans="2:68">
      <c r="B256" s="58">
        <v>9</v>
      </c>
      <c r="C256" s="59">
        <v>36</v>
      </c>
      <c r="D256" s="59" t="s">
        <v>104</v>
      </c>
      <c r="E256" s="60">
        <f>'[1]Master File'!B255</f>
        <v>46269</v>
      </c>
      <c r="F256" s="61" t="str">
        <f>'[1]Master File'!C255</f>
        <v>Lodge 5PM</v>
      </c>
      <c r="G256" s="39"/>
      <c r="I256" s="56" t="s">
        <v>99</v>
      </c>
      <c r="J256" s="56" t="s">
        <v>99</v>
      </c>
      <c r="K256" s="56" t="s">
        <v>99</v>
      </c>
      <c r="L256" s="63" t="s">
        <v>23</v>
      </c>
      <c r="M256" s="56" t="s">
        <v>99</v>
      </c>
      <c r="N256" s="56" t="s">
        <v>99</v>
      </c>
      <c r="O256" s="56" t="s">
        <v>99</v>
      </c>
      <c r="P256" s="56" t="s">
        <v>99</v>
      </c>
      <c r="Q256" s="56" t="s">
        <v>99</v>
      </c>
      <c r="R256" s="56" t="s">
        <v>99</v>
      </c>
      <c r="S256" s="56" t="s">
        <v>99</v>
      </c>
      <c r="T256" s="56" t="s">
        <v>99</v>
      </c>
      <c r="U256" s="56" t="s">
        <v>99</v>
      </c>
      <c r="V256" s="56" t="s">
        <v>99</v>
      </c>
      <c r="W256" s="56" t="s">
        <v>99</v>
      </c>
      <c r="X256" s="56" t="s">
        <v>99</v>
      </c>
      <c r="Y256" s="56" t="s">
        <v>23</v>
      </c>
      <c r="Z256" s="56" t="s">
        <v>99</v>
      </c>
      <c r="AA256" s="56" t="s">
        <v>99</v>
      </c>
      <c r="AB256" s="56" t="s">
        <v>23</v>
      </c>
      <c r="AC256" s="56" t="s">
        <v>23</v>
      </c>
      <c r="AD256" s="56" t="s">
        <v>99</v>
      </c>
      <c r="AE256" s="56" t="s">
        <v>99</v>
      </c>
      <c r="AF256" s="56" t="s">
        <v>99</v>
      </c>
      <c r="AG256" s="56" t="s">
        <v>23</v>
      </c>
      <c r="AH256" s="56" t="s">
        <v>99</v>
      </c>
      <c r="AI256" s="56" t="s">
        <v>99</v>
      </c>
      <c r="AJ256" s="56" t="s">
        <v>99</v>
      </c>
      <c r="AK256" s="63" t="s">
        <v>23</v>
      </c>
      <c r="AL256" s="56" t="s">
        <v>99</v>
      </c>
      <c r="AM256" s="56" t="s">
        <v>99</v>
      </c>
      <c r="AN256" s="56" t="s">
        <v>99</v>
      </c>
      <c r="AO256" s="56" t="s">
        <v>99</v>
      </c>
      <c r="AP256" s="56" t="s">
        <v>99</v>
      </c>
      <c r="AQ256" s="56" t="s">
        <v>99</v>
      </c>
      <c r="AR256" s="56" t="s">
        <v>99</v>
      </c>
      <c r="AS256" s="56" t="s">
        <v>99</v>
      </c>
      <c r="AT256" s="56" t="s">
        <v>99</v>
      </c>
      <c r="AU256" s="56" t="s">
        <v>99</v>
      </c>
      <c r="AV256" s="56" t="s">
        <v>99</v>
      </c>
      <c r="AW256" s="56" t="s">
        <v>99</v>
      </c>
      <c r="AX256" s="56" t="s">
        <v>99</v>
      </c>
      <c r="AY256" s="56" t="s">
        <v>99</v>
      </c>
      <c r="AZ256" s="56" t="s">
        <v>99</v>
      </c>
      <c r="BA256" s="56" t="s">
        <v>99</v>
      </c>
      <c r="BB256" s="56" t="s">
        <v>99</v>
      </c>
      <c r="BC256" s="56" t="s">
        <v>99</v>
      </c>
      <c r="BD256" s="56" t="s">
        <v>99</v>
      </c>
      <c r="BE256" s="56" t="s">
        <v>99</v>
      </c>
      <c r="BF256" s="56" t="s">
        <v>99</v>
      </c>
      <c r="BG256" s="56" t="s">
        <v>99</v>
      </c>
      <c r="BH256" s="56" t="s">
        <v>99</v>
      </c>
      <c r="BI256" s="56" t="s">
        <v>99</v>
      </c>
      <c r="BJ256" s="56" t="s">
        <v>99</v>
      </c>
      <c r="BK256" s="56" t="s">
        <v>99</v>
      </c>
      <c r="BL256" s="56" t="s">
        <v>99</v>
      </c>
      <c r="BM256" s="56" t="s">
        <v>99</v>
      </c>
      <c r="BN256" s="56" t="s">
        <v>99</v>
      </c>
      <c r="BO256" s="56" t="s">
        <v>99</v>
      </c>
      <c r="BP256" s="62" t="s">
        <v>99</v>
      </c>
    </row>
    <row r="257" spans="2:68">
      <c r="B257" s="58">
        <v>9</v>
      </c>
      <c r="C257" s="59">
        <v>36</v>
      </c>
      <c r="D257" s="59" t="s">
        <v>105</v>
      </c>
      <c r="E257" s="60">
        <f>'[1]Master File'!B256</f>
        <v>46270</v>
      </c>
      <c r="F257" s="61" t="str">
        <f>'[1]Master File'!C256</f>
        <v>Explorer 6PM</v>
      </c>
      <c r="G257" s="39"/>
      <c r="I257" s="67" t="s">
        <v>99</v>
      </c>
      <c r="J257" s="67" t="s">
        <v>99</v>
      </c>
      <c r="K257" s="67" t="s">
        <v>99</v>
      </c>
      <c r="L257" s="63" t="s">
        <v>23</v>
      </c>
      <c r="M257" s="67" t="s">
        <v>99</v>
      </c>
      <c r="N257" s="67" t="s">
        <v>99</v>
      </c>
      <c r="O257" s="67" t="s">
        <v>99</v>
      </c>
      <c r="P257" s="67" t="s">
        <v>99</v>
      </c>
      <c r="Q257" s="67" t="s">
        <v>99</v>
      </c>
      <c r="R257" s="67" t="s">
        <v>99</v>
      </c>
      <c r="S257" s="67" t="s">
        <v>99</v>
      </c>
      <c r="T257" s="67" t="s">
        <v>99</v>
      </c>
      <c r="U257" s="67" t="s">
        <v>99</v>
      </c>
      <c r="V257" s="67" t="s">
        <v>99</v>
      </c>
      <c r="W257" s="67" t="s">
        <v>99</v>
      </c>
      <c r="X257" s="67" t="s">
        <v>99</v>
      </c>
      <c r="Y257" s="56" t="s">
        <v>23</v>
      </c>
      <c r="Z257" s="67" t="s">
        <v>99</v>
      </c>
      <c r="AA257" s="67" t="s">
        <v>99</v>
      </c>
      <c r="AB257" s="67" t="s">
        <v>99</v>
      </c>
      <c r="AC257" s="63" t="s">
        <v>23</v>
      </c>
      <c r="AD257" s="67" t="s">
        <v>99</v>
      </c>
      <c r="AE257" s="67" t="s">
        <v>99</v>
      </c>
      <c r="AF257" s="67" t="s">
        <v>99</v>
      </c>
      <c r="AG257" s="67" t="s">
        <v>23</v>
      </c>
      <c r="AH257" s="67" t="s">
        <v>99</v>
      </c>
      <c r="AI257" s="67" t="s">
        <v>99</v>
      </c>
      <c r="AJ257" s="67" t="s">
        <v>99</v>
      </c>
      <c r="AK257" s="63" t="s">
        <v>23</v>
      </c>
      <c r="AL257" s="67" t="s">
        <v>99</v>
      </c>
      <c r="AM257" s="67" t="s">
        <v>99</v>
      </c>
      <c r="AN257" s="67" t="s">
        <v>99</v>
      </c>
      <c r="AO257" s="67" t="s">
        <v>99</v>
      </c>
      <c r="AP257" s="67" t="s">
        <v>99</v>
      </c>
      <c r="AQ257" s="67" t="s">
        <v>23</v>
      </c>
      <c r="AR257" s="67" t="s">
        <v>99</v>
      </c>
      <c r="AS257" s="67" t="s">
        <v>99</v>
      </c>
      <c r="AT257" s="67" t="s">
        <v>99</v>
      </c>
      <c r="AU257" s="67" t="s">
        <v>99</v>
      </c>
      <c r="AV257" s="67" t="s">
        <v>99</v>
      </c>
      <c r="AW257" s="67" t="s">
        <v>99</v>
      </c>
      <c r="AX257" s="67" t="s">
        <v>99</v>
      </c>
      <c r="AY257" s="67" t="s">
        <v>99</v>
      </c>
      <c r="AZ257" s="67" t="s">
        <v>99</v>
      </c>
      <c r="BA257" s="67" t="s">
        <v>99</v>
      </c>
      <c r="BB257" s="67" t="s">
        <v>99</v>
      </c>
      <c r="BC257" s="67" t="s">
        <v>99</v>
      </c>
      <c r="BD257" s="67" t="s">
        <v>99</v>
      </c>
      <c r="BE257" s="67" t="s">
        <v>99</v>
      </c>
      <c r="BF257" s="67" t="s">
        <v>99</v>
      </c>
      <c r="BG257" s="67" t="s">
        <v>99</v>
      </c>
      <c r="BH257" s="67" t="s">
        <v>99</v>
      </c>
      <c r="BI257" s="67" t="s">
        <v>99</v>
      </c>
      <c r="BJ257" s="67" t="s">
        <v>99</v>
      </c>
      <c r="BK257" s="67" t="s">
        <v>99</v>
      </c>
      <c r="BL257" s="67" t="s">
        <v>99</v>
      </c>
      <c r="BM257" s="67" t="s">
        <v>99</v>
      </c>
      <c r="BN257" s="67" t="s">
        <v>99</v>
      </c>
      <c r="BO257" s="67" t="s">
        <v>99</v>
      </c>
      <c r="BP257" s="68" t="s">
        <v>99</v>
      </c>
    </row>
    <row r="258" spans="2:68">
      <c r="B258" s="58">
        <v>9</v>
      </c>
      <c r="C258" s="59">
        <v>37</v>
      </c>
      <c r="D258" s="59" t="s">
        <v>98</v>
      </c>
      <c r="E258" s="60">
        <f>'[1]Master File'!B257</f>
        <v>46271</v>
      </c>
      <c r="F258" s="61" t="str">
        <f>'[1]Master File'!C257</f>
        <v>Explorer 6PM</v>
      </c>
      <c r="G258" s="39"/>
      <c r="I258" s="67" t="s">
        <v>99</v>
      </c>
      <c r="J258" s="67" t="s">
        <v>99</v>
      </c>
      <c r="K258" s="67" t="s">
        <v>99</v>
      </c>
      <c r="L258" s="63" t="s">
        <v>23</v>
      </c>
      <c r="M258" s="67" t="s">
        <v>99</v>
      </c>
      <c r="N258" s="67" t="s">
        <v>99</v>
      </c>
      <c r="O258" s="67" t="s">
        <v>99</v>
      </c>
      <c r="P258" s="67" t="s">
        <v>99</v>
      </c>
      <c r="Q258" s="67" t="s">
        <v>99</v>
      </c>
      <c r="R258" s="67" t="s">
        <v>99</v>
      </c>
      <c r="S258" s="67" t="s">
        <v>99</v>
      </c>
      <c r="T258" s="67" t="s">
        <v>99</v>
      </c>
      <c r="U258" s="67" t="s">
        <v>99</v>
      </c>
      <c r="V258" s="67" t="s">
        <v>99</v>
      </c>
      <c r="W258" s="67" t="s">
        <v>99</v>
      </c>
      <c r="X258" s="67" t="s">
        <v>99</v>
      </c>
      <c r="Y258" s="56" t="s">
        <v>23</v>
      </c>
      <c r="Z258" s="67" t="s">
        <v>99</v>
      </c>
      <c r="AA258" s="67" t="s">
        <v>99</v>
      </c>
      <c r="AB258" s="67" t="s">
        <v>99</v>
      </c>
      <c r="AC258" s="63" t="s">
        <v>23</v>
      </c>
      <c r="AD258" s="67" t="s">
        <v>99</v>
      </c>
      <c r="AE258" s="67" t="s">
        <v>99</v>
      </c>
      <c r="AF258" s="67" t="s">
        <v>99</v>
      </c>
      <c r="AG258" s="67" t="s">
        <v>23</v>
      </c>
      <c r="AH258" s="67" t="s">
        <v>99</v>
      </c>
      <c r="AI258" s="67" t="s">
        <v>99</v>
      </c>
      <c r="AJ258" s="67" t="s">
        <v>99</v>
      </c>
      <c r="AK258" s="63" t="s">
        <v>23</v>
      </c>
      <c r="AL258" s="67" t="s">
        <v>99</v>
      </c>
      <c r="AM258" s="67" t="s">
        <v>99</v>
      </c>
      <c r="AN258" s="67" t="s">
        <v>99</v>
      </c>
      <c r="AO258" s="67" t="s">
        <v>99</v>
      </c>
      <c r="AP258" s="67" t="s">
        <v>99</v>
      </c>
      <c r="AQ258" s="67" t="s">
        <v>23</v>
      </c>
      <c r="AR258" s="67" t="s">
        <v>99</v>
      </c>
      <c r="AS258" s="67" t="s">
        <v>99</v>
      </c>
      <c r="AT258" s="67" t="s">
        <v>99</v>
      </c>
      <c r="AU258" s="67" t="s">
        <v>99</v>
      </c>
      <c r="AV258" s="67" t="s">
        <v>99</v>
      </c>
      <c r="AW258" s="67" t="s">
        <v>99</v>
      </c>
      <c r="AX258" s="67" t="s">
        <v>99</v>
      </c>
      <c r="AY258" s="67" t="s">
        <v>99</v>
      </c>
      <c r="AZ258" s="67" t="s">
        <v>99</v>
      </c>
      <c r="BA258" s="67" t="s">
        <v>99</v>
      </c>
      <c r="BB258" s="67" t="s">
        <v>99</v>
      </c>
      <c r="BC258" s="67" t="s">
        <v>99</v>
      </c>
      <c r="BD258" s="67" t="s">
        <v>99</v>
      </c>
      <c r="BE258" s="67" t="s">
        <v>99</v>
      </c>
      <c r="BF258" s="67" t="s">
        <v>99</v>
      </c>
      <c r="BG258" s="67" t="s">
        <v>99</v>
      </c>
      <c r="BH258" s="67" t="s">
        <v>99</v>
      </c>
      <c r="BI258" s="67" t="s">
        <v>99</v>
      </c>
      <c r="BJ258" s="67" t="s">
        <v>99</v>
      </c>
      <c r="BK258" s="67" t="s">
        <v>99</v>
      </c>
      <c r="BL258" s="67" t="s">
        <v>99</v>
      </c>
      <c r="BM258" s="67" t="s">
        <v>99</v>
      </c>
      <c r="BN258" s="67" t="s">
        <v>99</v>
      </c>
      <c r="BO258" s="67" t="s">
        <v>99</v>
      </c>
      <c r="BP258" s="68" t="s">
        <v>99</v>
      </c>
    </row>
    <row r="259" spans="2:68">
      <c r="B259" s="58">
        <v>9</v>
      </c>
      <c r="C259" s="59">
        <v>37</v>
      </c>
      <c r="D259" s="59" t="s">
        <v>100</v>
      </c>
      <c r="E259" s="60">
        <f>'[1]Master File'!B258</f>
        <v>46272</v>
      </c>
      <c r="F259" s="61" t="str">
        <f>'[1]Master File'!C258</f>
        <v>Lodge 5PM</v>
      </c>
      <c r="G259" s="39"/>
      <c r="I259" s="56" t="s">
        <v>99</v>
      </c>
      <c r="J259" s="56" t="s">
        <v>99</v>
      </c>
      <c r="K259" s="56" t="s">
        <v>99</v>
      </c>
      <c r="L259" s="63" t="s">
        <v>23</v>
      </c>
      <c r="M259" s="56" t="s">
        <v>99</v>
      </c>
      <c r="N259" s="56" t="s">
        <v>99</v>
      </c>
      <c r="O259" s="56" t="s">
        <v>23</v>
      </c>
      <c r="P259" s="56" t="s">
        <v>99</v>
      </c>
      <c r="Q259" s="56" t="s">
        <v>99</v>
      </c>
      <c r="R259" s="56" t="s">
        <v>99</v>
      </c>
      <c r="S259" s="56" t="s">
        <v>99</v>
      </c>
      <c r="T259" s="56" t="s">
        <v>99</v>
      </c>
      <c r="U259" s="56" t="s">
        <v>99</v>
      </c>
      <c r="V259" s="56" t="s">
        <v>99</v>
      </c>
      <c r="W259" s="56" t="s">
        <v>99</v>
      </c>
      <c r="X259" s="56" t="s">
        <v>99</v>
      </c>
      <c r="Y259" s="56" t="s">
        <v>23</v>
      </c>
      <c r="Z259" s="56" t="s">
        <v>99</v>
      </c>
      <c r="AA259" s="56" t="s">
        <v>99</v>
      </c>
      <c r="AB259" s="56" t="s">
        <v>23</v>
      </c>
      <c r="AC259" s="56" t="s">
        <v>99</v>
      </c>
      <c r="AD259" s="56" t="s">
        <v>99</v>
      </c>
      <c r="AE259" s="56" t="s">
        <v>99</v>
      </c>
      <c r="AF259" s="56" t="s">
        <v>99</v>
      </c>
      <c r="AG259" s="56" t="s">
        <v>23</v>
      </c>
      <c r="AH259" s="56" t="s">
        <v>99</v>
      </c>
      <c r="AI259" s="56" t="s">
        <v>99</v>
      </c>
      <c r="AJ259" s="56" t="s">
        <v>99</v>
      </c>
      <c r="AK259" s="63" t="s">
        <v>23</v>
      </c>
      <c r="AL259" s="56" t="s">
        <v>99</v>
      </c>
      <c r="AM259" s="56" t="s">
        <v>99</v>
      </c>
      <c r="AN259" s="56" t="s">
        <v>99</v>
      </c>
      <c r="AO259" s="56" t="s">
        <v>99</v>
      </c>
      <c r="AP259" s="56" t="s">
        <v>99</v>
      </c>
      <c r="AQ259" s="56" t="s">
        <v>99</v>
      </c>
      <c r="AR259" s="56" t="s">
        <v>99</v>
      </c>
      <c r="AS259" s="56" t="s">
        <v>99</v>
      </c>
      <c r="AT259" s="56" t="s">
        <v>99</v>
      </c>
      <c r="AU259" s="56" t="s">
        <v>99</v>
      </c>
      <c r="AV259" s="56" t="s">
        <v>99</v>
      </c>
      <c r="AW259" s="56" t="s">
        <v>99</v>
      </c>
      <c r="AX259" s="56" t="s">
        <v>99</v>
      </c>
      <c r="AY259" s="56" t="s">
        <v>99</v>
      </c>
      <c r="AZ259" s="56" t="s">
        <v>99</v>
      </c>
      <c r="BA259" s="56" t="s">
        <v>99</v>
      </c>
      <c r="BB259" s="56" t="s">
        <v>99</v>
      </c>
      <c r="BC259" s="56" t="s">
        <v>99</v>
      </c>
      <c r="BD259" s="56" t="s">
        <v>99</v>
      </c>
      <c r="BE259" s="56" t="s">
        <v>99</v>
      </c>
      <c r="BF259" s="56" t="s">
        <v>99</v>
      </c>
      <c r="BG259" s="56" t="s">
        <v>99</v>
      </c>
      <c r="BH259" s="56" t="s">
        <v>99</v>
      </c>
      <c r="BI259" s="56" t="s">
        <v>99</v>
      </c>
      <c r="BJ259" s="56" t="s">
        <v>99</v>
      </c>
      <c r="BK259" s="56" t="s">
        <v>99</v>
      </c>
      <c r="BL259" s="56" t="s">
        <v>99</v>
      </c>
      <c r="BM259" s="56" t="s">
        <v>99</v>
      </c>
      <c r="BN259" s="56" t="s">
        <v>99</v>
      </c>
      <c r="BO259" s="56" t="s">
        <v>99</v>
      </c>
      <c r="BP259" s="62" t="s">
        <v>99</v>
      </c>
    </row>
    <row r="260" spans="2:68">
      <c r="B260" s="58">
        <v>9</v>
      </c>
      <c r="C260" s="59">
        <v>37</v>
      </c>
      <c r="D260" s="59" t="s">
        <v>101</v>
      </c>
      <c r="E260" s="60">
        <f>'[1]Master File'!B259</f>
        <v>46273</v>
      </c>
      <c r="F260" s="61" t="str">
        <f>'[1]Master File'!C259</f>
        <v>Closed</v>
      </c>
      <c r="G260" s="39"/>
      <c r="I260" s="56" t="s">
        <v>99</v>
      </c>
      <c r="J260" s="56" t="s">
        <v>99</v>
      </c>
      <c r="K260" s="56" t="s">
        <v>99</v>
      </c>
      <c r="L260" s="63" t="s">
        <v>23</v>
      </c>
      <c r="M260" s="56" t="s">
        <v>99</v>
      </c>
      <c r="N260" s="56" t="s">
        <v>99</v>
      </c>
      <c r="O260" s="56" t="s">
        <v>23</v>
      </c>
      <c r="P260" s="56" t="s">
        <v>99</v>
      </c>
      <c r="Q260" s="56" t="s">
        <v>99</v>
      </c>
      <c r="R260" s="56" t="s">
        <v>99</v>
      </c>
      <c r="S260" s="56" t="s">
        <v>99</v>
      </c>
      <c r="T260" s="56" t="s">
        <v>99</v>
      </c>
      <c r="U260" s="56" t="s">
        <v>99</v>
      </c>
      <c r="V260" s="56" t="s">
        <v>99</v>
      </c>
      <c r="W260" s="56" t="s">
        <v>99</v>
      </c>
      <c r="X260" s="56" t="s">
        <v>99</v>
      </c>
      <c r="Y260" s="56" t="s">
        <v>23</v>
      </c>
      <c r="Z260" s="56" t="s">
        <v>99</v>
      </c>
      <c r="AA260" s="56" t="s">
        <v>99</v>
      </c>
      <c r="AB260" s="56" t="s">
        <v>23</v>
      </c>
      <c r="AC260" s="56" t="s">
        <v>23</v>
      </c>
      <c r="AD260" s="56" t="s">
        <v>99</v>
      </c>
      <c r="AE260" s="56" t="s">
        <v>99</v>
      </c>
      <c r="AF260" s="56" t="s">
        <v>99</v>
      </c>
      <c r="AG260" s="56" t="s">
        <v>23</v>
      </c>
      <c r="AH260" s="56" t="s">
        <v>99</v>
      </c>
      <c r="AI260" s="56" t="s">
        <v>99</v>
      </c>
      <c r="AJ260" s="56" t="s">
        <v>99</v>
      </c>
      <c r="AK260" s="63" t="s">
        <v>23</v>
      </c>
      <c r="AL260" s="56" t="s">
        <v>99</v>
      </c>
      <c r="AM260" s="56" t="s">
        <v>99</v>
      </c>
      <c r="AN260" s="56" t="s">
        <v>99</v>
      </c>
      <c r="AO260" s="56" t="s">
        <v>99</v>
      </c>
      <c r="AP260" s="56" t="s">
        <v>99</v>
      </c>
      <c r="AQ260" s="56" t="s">
        <v>99</v>
      </c>
      <c r="AR260" s="56" t="s">
        <v>99</v>
      </c>
      <c r="AS260" s="56" t="s">
        <v>99</v>
      </c>
      <c r="AT260" s="56" t="s">
        <v>99</v>
      </c>
      <c r="AU260" s="56" t="s">
        <v>99</v>
      </c>
      <c r="AV260" s="56" t="s">
        <v>99</v>
      </c>
      <c r="AW260" s="56" t="s">
        <v>99</v>
      </c>
      <c r="AX260" s="56" t="s">
        <v>99</v>
      </c>
      <c r="AY260" s="56" t="s">
        <v>99</v>
      </c>
      <c r="AZ260" s="56" t="s">
        <v>99</v>
      </c>
      <c r="BA260" s="56" t="s">
        <v>99</v>
      </c>
      <c r="BB260" s="56" t="s">
        <v>99</v>
      </c>
      <c r="BC260" s="56" t="s">
        <v>99</v>
      </c>
      <c r="BD260" s="56" t="s">
        <v>99</v>
      </c>
      <c r="BE260" s="56" t="s">
        <v>99</v>
      </c>
      <c r="BF260" s="56" t="s">
        <v>99</v>
      </c>
      <c r="BG260" s="56" t="s">
        <v>99</v>
      </c>
      <c r="BH260" s="56" t="s">
        <v>99</v>
      </c>
      <c r="BI260" s="56" t="s">
        <v>99</v>
      </c>
      <c r="BJ260" s="56" t="s">
        <v>99</v>
      </c>
      <c r="BK260" s="56" t="s">
        <v>99</v>
      </c>
      <c r="BL260" s="56" t="s">
        <v>99</v>
      </c>
      <c r="BM260" s="56" t="s">
        <v>99</v>
      </c>
      <c r="BN260" s="56" t="s">
        <v>99</v>
      </c>
      <c r="BO260" s="56" t="s">
        <v>99</v>
      </c>
      <c r="BP260" s="62" t="s">
        <v>99</v>
      </c>
    </row>
    <row r="261" spans="2:68">
      <c r="B261" s="58">
        <v>9</v>
      </c>
      <c r="C261" s="59">
        <v>37</v>
      </c>
      <c r="D261" s="59" t="s">
        <v>102</v>
      </c>
      <c r="E261" s="60">
        <f>'[1]Master File'!B260</f>
        <v>46274</v>
      </c>
      <c r="F261" s="61" t="str">
        <f>'[1]Master File'!C260</f>
        <v>Closed</v>
      </c>
      <c r="G261" s="39"/>
      <c r="I261" s="56" t="s">
        <v>99</v>
      </c>
      <c r="J261" s="56" t="s">
        <v>99</v>
      </c>
      <c r="K261" s="56" t="s">
        <v>99</v>
      </c>
      <c r="L261" s="63" t="s">
        <v>23</v>
      </c>
      <c r="M261" s="56" t="s">
        <v>99</v>
      </c>
      <c r="N261" s="56" t="s">
        <v>99</v>
      </c>
      <c r="O261" s="56" t="s">
        <v>23</v>
      </c>
      <c r="P261" s="56" t="s">
        <v>99</v>
      </c>
      <c r="Q261" s="56" t="s">
        <v>99</v>
      </c>
      <c r="R261" s="56" t="s">
        <v>99</v>
      </c>
      <c r="S261" s="56" t="s">
        <v>99</v>
      </c>
      <c r="T261" s="56" t="s">
        <v>99</v>
      </c>
      <c r="U261" s="56" t="s">
        <v>99</v>
      </c>
      <c r="V261" s="56" t="s">
        <v>99</v>
      </c>
      <c r="W261" s="56" t="s">
        <v>99</v>
      </c>
      <c r="X261" s="56" t="s">
        <v>99</v>
      </c>
      <c r="Y261" s="56" t="s">
        <v>23</v>
      </c>
      <c r="Z261" s="56" t="s">
        <v>99</v>
      </c>
      <c r="AA261" s="56" t="s">
        <v>99</v>
      </c>
      <c r="AB261" s="56" t="s">
        <v>23</v>
      </c>
      <c r="AC261" s="56" t="s">
        <v>23</v>
      </c>
      <c r="AD261" s="56" t="s">
        <v>99</v>
      </c>
      <c r="AE261" s="56" t="s">
        <v>99</v>
      </c>
      <c r="AF261" s="56" t="s">
        <v>99</v>
      </c>
      <c r="AG261" s="56" t="s">
        <v>23</v>
      </c>
      <c r="AH261" s="56" t="s">
        <v>99</v>
      </c>
      <c r="AI261" s="56" t="s">
        <v>99</v>
      </c>
      <c r="AJ261" s="56" t="s">
        <v>99</v>
      </c>
      <c r="AK261" s="63" t="s">
        <v>23</v>
      </c>
      <c r="AL261" s="56" t="s">
        <v>99</v>
      </c>
      <c r="AM261" s="56" t="s">
        <v>99</v>
      </c>
      <c r="AN261" s="56" t="s">
        <v>99</v>
      </c>
      <c r="AO261" s="56" t="s">
        <v>99</v>
      </c>
      <c r="AP261" s="56" t="s">
        <v>99</v>
      </c>
      <c r="AQ261" s="56" t="s">
        <v>99</v>
      </c>
      <c r="AR261" s="56" t="s">
        <v>99</v>
      </c>
      <c r="AS261" s="56" t="s">
        <v>99</v>
      </c>
      <c r="AT261" s="56" t="s">
        <v>99</v>
      </c>
      <c r="AU261" s="56" t="s">
        <v>99</v>
      </c>
      <c r="AV261" s="56" t="s">
        <v>99</v>
      </c>
      <c r="AW261" s="56" t="s">
        <v>99</v>
      </c>
      <c r="AX261" s="56" t="s">
        <v>99</v>
      </c>
      <c r="AY261" s="56" t="s">
        <v>99</v>
      </c>
      <c r="AZ261" s="56" t="s">
        <v>99</v>
      </c>
      <c r="BA261" s="56" t="s">
        <v>99</v>
      </c>
      <c r="BB261" s="56" t="s">
        <v>99</v>
      </c>
      <c r="BC261" s="56" t="s">
        <v>99</v>
      </c>
      <c r="BD261" s="56" t="s">
        <v>99</v>
      </c>
      <c r="BE261" s="56" t="s">
        <v>99</v>
      </c>
      <c r="BF261" s="56" t="s">
        <v>99</v>
      </c>
      <c r="BG261" s="56" t="s">
        <v>99</v>
      </c>
      <c r="BH261" s="56" t="s">
        <v>99</v>
      </c>
      <c r="BI261" s="56" t="s">
        <v>99</v>
      </c>
      <c r="BJ261" s="56" t="s">
        <v>99</v>
      </c>
      <c r="BK261" s="56" t="s">
        <v>99</v>
      </c>
      <c r="BL261" s="56" t="s">
        <v>99</v>
      </c>
      <c r="BM261" s="56" t="s">
        <v>99</v>
      </c>
      <c r="BN261" s="56" t="s">
        <v>99</v>
      </c>
      <c r="BO261" s="56" t="s">
        <v>99</v>
      </c>
      <c r="BP261" s="62" t="s">
        <v>99</v>
      </c>
    </row>
    <row r="262" spans="2:68">
      <c r="B262" s="58">
        <v>9</v>
      </c>
      <c r="C262" s="59">
        <v>37</v>
      </c>
      <c r="D262" s="59" t="s">
        <v>103</v>
      </c>
      <c r="E262" s="60">
        <f>'[1]Master File'!B261</f>
        <v>46275</v>
      </c>
      <c r="F262" s="61" t="str">
        <f>'[1]Master File'!C261</f>
        <v>Lodge 5PM</v>
      </c>
      <c r="G262" s="39"/>
      <c r="I262" s="56" t="s">
        <v>99</v>
      </c>
      <c r="J262" s="56" t="s">
        <v>99</v>
      </c>
      <c r="K262" s="56" t="s">
        <v>99</v>
      </c>
      <c r="L262" s="63" t="s">
        <v>23</v>
      </c>
      <c r="M262" s="56" t="s">
        <v>99</v>
      </c>
      <c r="N262" s="56" t="s">
        <v>99</v>
      </c>
      <c r="O262" s="56" t="s">
        <v>23</v>
      </c>
      <c r="P262" s="56" t="s">
        <v>99</v>
      </c>
      <c r="Q262" s="56" t="s">
        <v>99</v>
      </c>
      <c r="R262" s="56" t="s">
        <v>99</v>
      </c>
      <c r="S262" s="56" t="s">
        <v>99</v>
      </c>
      <c r="T262" s="56" t="s">
        <v>99</v>
      </c>
      <c r="U262" s="56" t="s">
        <v>99</v>
      </c>
      <c r="V262" s="56" t="s">
        <v>99</v>
      </c>
      <c r="W262" s="56" t="s">
        <v>99</v>
      </c>
      <c r="X262" s="56" t="s">
        <v>99</v>
      </c>
      <c r="Y262" s="56" t="s">
        <v>23</v>
      </c>
      <c r="Z262" s="56" t="s">
        <v>99</v>
      </c>
      <c r="AA262" s="56" t="s">
        <v>99</v>
      </c>
      <c r="AB262" s="56" t="s">
        <v>23</v>
      </c>
      <c r="AC262" s="56" t="s">
        <v>23</v>
      </c>
      <c r="AD262" s="56" t="s">
        <v>99</v>
      </c>
      <c r="AE262" s="56" t="s">
        <v>99</v>
      </c>
      <c r="AF262" s="56" t="s">
        <v>99</v>
      </c>
      <c r="AG262" s="56" t="s">
        <v>23</v>
      </c>
      <c r="AH262" s="56" t="s">
        <v>99</v>
      </c>
      <c r="AI262" s="56" t="s">
        <v>99</v>
      </c>
      <c r="AJ262" s="56" t="s">
        <v>99</v>
      </c>
      <c r="AK262" s="63" t="s">
        <v>23</v>
      </c>
      <c r="AL262" s="56" t="s">
        <v>99</v>
      </c>
      <c r="AM262" s="56" t="s">
        <v>99</v>
      </c>
      <c r="AN262" s="56" t="s">
        <v>99</v>
      </c>
      <c r="AO262" s="56" t="s">
        <v>99</v>
      </c>
      <c r="AP262" s="56" t="s">
        <v>99</v>
      </c>
      <c r="AQ262" s="56" t="s">
        <v>99</v>
      </c>
      <c r="AR262" s="56" t="s">
        <v>99</v>
      </c>
      <c r="AS262" s="56" t="s">
        <v>99</v>
      </c>
      <c r="AT262" s="56" t="s">
        <v>99</v>
      </c>
      <c r="AU262" s="56" t="s">
        <v>99</v>
      </c>
      <c r="AV262" s="56" t="s">
        <v>99</v>
      </c>
      <c r="AW262" s="56" t="s">
        <v>99</v>
      </c>
      <c r="AX262" s="56" t="s">
        <v>99</v>
      </c>
      <c r="AY262" s="56" t="s">
        <v>99</v>
      </c>
      <c r="AZ262" s="56" t="s">
        <v>99</v>
      </c>
      <c r="BA262" s="56" t="s">
        <v>99</v>
      </c>
      <c r="BB262" s="56" t="s">
        <v>99</v>
      </c>
      <c r="BC262" s="56" t="s">
        <v>99</v>
      </c>
      <c r="BD262" s="56" t="s">
        <v>99</v>
      </c>
      <c r="BE262" s="56" t="s">
        <v>99</v>
      </c>
      <c r="BF262" s="56" t="s">
        <v>99</v>
      </c>
      <c r="BG262" s="56" t="s">
        <v>99</v>
      </c>
      <c r="BH262" s="56" t="s">
        <v>99</v>
      </c>
      <c r="BI262" s="56" t="s">
        <v>99</v>
      </c>
      <c r="BJ262" s="56" t="s">
        <v>99</v>
      </c>
      <c r="BK262" s="56" t="s">
        <v>99</v>
      </c>
      <c r="BL262" s="56" t="s">
        <v>99</v>
      </c>
      <c r="BM262" s="56" t="s">
        <v>99</v>
      </c>
      <c r="BN262" s="56" t="s">
        <v>99</v>
      </c>
      <c r="BO262" s="56" t="s">
        <v>99</v>
      </c>
      <c r="BP262" s="62" t="s">
        <v>99</v>
      </c>
    </row>
    <row r="263" spans="2:68">
      <c r="B263" s="58">
        <v>9</v>
      </c>
      <c r="C263" s="59">
        <v>37</v>
      </c>
      <c r="D263" s="59" t="s">
        <v>104</v>
      </c>
      <c r="E263" s="60">
        <f>'[1]Master File'!B262</f>
        <v>46276</v>
      </c>
      <c r="F263" s="61" t="str">
        <f>'[1]Master File'!C262</f>
        <v>Lodge 5PM</v>
      </c>
      <c r="G263" s="39"/>
      <c r="I263" s="56" t="s">
        <v>99</v>
      </c>
      <c r="J263" s="56" t="s">
        <v>99</v>
      </c>
      <c r="K263" s="56" t="s">
        <v>99</v>
      </c>
      <c r="L263" s="63" t="s">
        <v>23</v>
      </c>
      <c r="M263" s="56" t="s">
        <v>99</v>
      </c>
      <c r="N263" s="56" t="s">
        <v>99</v>
      </c>
      <c r="O263" s="56" t="s">
        <v>23</v>
      </c>
      <c r="P263" s="56" t="s">
        <v>99</v>
      </c>
      <c r="Q263" s="56" t="s">
        <v>99</v>
      </c>
      <c r="R263" s="56" t="s">
        <v>99</v>
      </c>
      <c r="S263" s="56" t="s">
        <v>99</v>
      </c>
      <c r="T263" s="56" t="s">
        <v>99</v>
      </c>
      <c r="U263" s="56" t="s">
        <v>99</v>
      </c>
      <c r="V263" s="56" t="s">
        <v>99</v>
      </c>
      <c r="W263" s="56" t="s">
        <v>99</v>
      </c>
      <c r="X263" s="56" t="s">
        <v>99</v>
      </c>
      <c r="Y263" s="56" t="s">
        <v>23</v>
      </c>
      <c r="Z263" s="56" t="s">
        <v>99</v>
      </c>
      <c r="AA263" s="56" t="s">
        <v>99</v>
      </c>
      <c r="AB263" s="56" t="s">
        <v>23</v>
      </c>
      <c r="AC263" s="56" t="s">
        <v>23</v>
      </c>
      <c r="AD263" s="56" t="s">
        <v>99</v>
      </c>
      <c r="AE263" s="56" t="s">
        <v>99</v>
      </c>
      <c r="AF263" s="56" t="s">
        <v>99</v>
      </c>
      <c r="AG263" s="56" t="s">
        <v>23</v>
      </c>
      <c r="AH263" s="56" t="s">
        <v>99</v>
      </c>
      <c r="AI263" s="56" t="s">
        <v>99</v>
      </c>
      <c r="AJ263" s="56" t="s">
        <v>99</v>
      </c>
      <c r="AK263" s="63" t="s">
        <v>23</v>
      </c>
      <c r="AL263" s="56" t="s">
        <v>99</v>
      </c>
      <c r="AM263" s="56" t="s">
        <v>99</v>
      </c>
      <c r="AN263" s="56" t="s">
        <v>99</v>
      </c>
      <c r="AO263" s="56" t="s">
        <v>99</v>
      </c>
      <c r="AP263" s="56" t="s">
        <v>99</v>
      </c>
      <c r="AQ263" s="56" t="s">
        <v>99</v>
      </c>
      <c r="AR263" s="56" t="s">
        <v>99</v>
      </c>
      <c r="AS263" s="56" t="s">
        <v>99</v>
      </c>
      <c r="AT263" s="56" t="s">
        <v>99</v>
      </c>
      <c r="AU263" s="56" t="s">
        <v>99</v>
      </c>
      <c r="AV263" s="56" t="s">
        <v>99</v>
      </c>
      <c r="AW263" s="56" t="s">
        <v>99</v>
      </c>
      <c r="AX263" s="56" t="s">
        <v>99</v>
      </c>
      <c r="AY263" s="56" t="s">
        <v>99</v>
      </c>
      <c r="AZ263" s="56" t="s">
        <v>99</v>
      </c>
      <c r="BA263" s="56" t="s">
        <v>99</v>
      </c>
      <c r="BB263" s="56" t="s">
        <v>99</v>
      </c>
      <c r="BC263" s="56" t="s">
        <v>99</v>
      </c>
      <c r="BD263" s="56" t="s">
        <v>99</v>
      </c>
      <c r="BE263" s="56" t="s">
        <v>99</v>
      </c>
      <c r="BF263" s="56" t="s">
        <v>99</v>
      </c>
      <c r="BG263" s="56" t="s">
        <v>99</v>
      </c>
      <c r="BH263" s="56" t="s">
        <v>99</v>
      </c>
      <c r="BI263" s="56" t="s">
        <v>99</v>
      </c>
      <c r="BJ263" s="56" t="s">
        <v>99</v>
      </c>
      <c r="BK263" s="56" t="s">
        <v>99</v>
      </c>
      <c r="BL263" s="56" t="s">
        <v>99</v>
      </c>
      <c r="BM263" s="56" t="s">
        <v>99</v>
      </c>
      <c r="BN263" s="56" t="s">
        <v>99</v>
      </c>
      <c r="BO263" s="56" t="s">
        <v>99</v>
      </c>
      <c r="BP263" s="62" t="s">
        <v>99</v>
      </c>
    </row>
    <row r="264" spans="2:68">
      <c r="B264" s="58">
        <v>9</v>
      </c>
      <c r="C264" s="59">
        <v>37</v>
      </c>
      <c r="D264" s="59" t="s">
        <v>105</v>
      </c>
      <c r="E264" s="60">
        <f>'[1]Master File'!B263</f>
        <v>46277</v>
      </c>
      <c r="F264" s="61" t="str">
        <f>'[1]Master File'!C263</f>
        <v>Explorer 5PM</v>
      </c>
      <c r="G264" s="39"/>
      <c r="I264" s="67" t="s">
        <v>99</v>
      </c>
      <c r="J264" s="67" t="s">
        <v>99</v>
      </c>
      <c r="K264" s="67" t="s">
        <v>99</v>
      </c>
      <c r="L264" s="63" t="s">
        <v>23</v>
      </c>
      <c r="M264" s="67" t="s">
        <v>99</v>
      </c>
      <c r="N264" s="67" t="s">
        <v>99</v>
      </c>
      <c r="O264" s="56" t="s">
        <v>23</v>
      </c>
      <c r="P264" s="67" t="s">
        <v>99</v>
      </c>
      <c r="Q264" s="67" t="s">
        <v>99</v>
      </c>
      <c r="R264" s="67" t="s">
        <v>99</v>
      </c>
      <c r="S264" s="67" t="s">
        <v>99</v>
      </c>
      <c r="T264" s="67" t="s">
        <v>99</v>
      </c>
      <c r="U264" s="67" t="s">
        <v>99</v>
      </c>
      <c r="V264" s="67" t="s">
        <v>99</v>
      </c>
      <c r="W264" s="67" t="s">
        <v>99</v>
      </c>
      <c r="X264" s="67" t="s">
        <v>99</v>
      </c>
      <c r="Y264" s="56" t="s">
        <v>23</v>
      </c>
      <c r="Z264" s="67" t="s">
        <v>99</v>
      </c>
      <c r="AA264" s="67" t="s">
        <v>99</v>
      </c>
      <c r="AB264" s="67" t="s">
        <v>99</v>
      </c>
      <c r="AC264" s="63" t="s">
        <v>23</v>
      </c>
      <c r="AD264" s="67" t="s">
        <v>99</v>
      </c>
      <c r="AE264" s="67" t="s">
        <v>99</v>
      </c>
      <c r="AF264" s="67" t="s">
        <v>99</v>
      </c>
      <c r="AG264" s="67" t="s">
        <v>23</v>
      </c>
      <c r="AH264" s="67" t="s">
        <v>99</v>
      </c>
      <c r="AI264" s="67" t="s">
        <v>99</v>
      </c>
      <c r="AJ264" s="67" t="s">
        <v>99</v>
      </c>
      <c r="AK264" s="63" t="s">
        <v>23</v>
      </c>
      <c r="AL264" s="67" t="s">
        <v>99</v>
      </c>
      <c r="AM264" s="67" t="s">
        <v>99</v>
      </c>
      <c r="AN264" s="67" t="s">
        <v>99</v>
      </c>
      <c r="AO264" s="67" t="s">
        <v>99</v>
      </c>
      <c r="AP264" s="67" t="s">
        <v>99</v>
      </c>
      <c r="AQ264" s="67" t="s">
        <v>23</v>
      </c>
      <c r="AR264" s="67" t="s">
        <v>99</v>
      </c>
      <c r="AS264" s="67" t="s">
        <v>99</v>
      </c>
      <c r="AT264" s="67" t="s">
        <v>99</v>
      </c>
      <c r="AU264" s="67" t="s">
        <v>99</v>
      </c>
      <c r="AV264" s="67" t="s">
        <v>99</v>
      </c>
      <c r="AW264" s="67" t="s">
        <v>99</v>
      </c>
      <c r="AX264" s="67" t="s">
        <v>99</v>
      </c>
      <c r="AY264" s="67" t="s">
        <v>99</v>
      </c>
      <c r="AZ264" s="67" t="s">
        <v>99</v>
      </c>
      <c r="BA264" s="67" t="s">
        <v>99</v>
      </c>
      <c r="BB264" s="67" t="s">
        <v>99</v>
      </c>
      <c r="BC264" s="67" t="s">
        <v>99</v>
      </c>
      <c r="BD264" s="67" t="s">
        <v>99</v>
      </c>
      <c r="BE264" s="67" t="s">
        <v>99</v>
      </c>
      <c r="BF264" s="67" t="s">
        <v>99</v>
      </c>
      <c r="BG264" s="67" t="s">
        <v>99</v>
      </c>
      <c r="BH264" s="67" t="s">
        <v>99</v>
      </c>
      <c r="BI264" s="67" t="s">
        <v>99</v>
      </c>
      <c r="BJ264" s="67" t="s">
        <v>99</v>
      </c>
      <c r="BK264" s="67" t="s">
        <v>99</v>
      </c>
      <c r="BL264" s="67" t="s">
        <v>99</v>
      </c>
      <c r="BM264" s="67" t="s">
        <v>99</v>
      </c>
      <c r="BN264" s="67" t="s">
        <v>99</v>
      </c>
      <c r="BO264" s="67" t="s">
        <v>99</v>
      </c>
      <c r="BP264" s="68" t="s">
        <v>99</v>
      </c>
    </row>
    <row r="265" spans="2:68">
      <c r="B265" s="58">
        <v>9</v>
      </c>
      <c r="C265" s="59">
        <v>38</v>
      </c>
      <c r="D265" s="59" t="s">
        <v>98</v>
      </c>
      <c r="E265" s="60">
        <f>'[1]Master File'!B264</f>
        <v>46278</v>
      </c>
      <c r="F265" s="61" t="str">
        <f>'[1]Master File'!C264</f>
        <v>Explorer 5PM</v>
      </c>
      <c r="G265" s="39"/>
      <c r="I265" s="67" t="s">
        <v>99</v>
      </c>
      <c r="J265" s="67" t="s">
        <v>99</v>
      </c>
      <c r="K265" s="67" t="s">
        <v>99</v>
      </c>
      <c r="L265" s="63" t="s">
        <v>23</v>
      </c>
      <c r="M265" s="67" t="s">
        <v>99</v>
      </c>
      <c r="N265" s="67" t="s">
        <v>99</v>
      </c>
      <c r="O265" s="56" t="s">
        <v>23</v>
      </c>
      <c r="P265" s="67" t="s">
        <v>99</v>
      </c>
      <c r="Q265" s="67" t="s">
        <v>99</v>
      </c>
      <c r="R265" s="67" t="s">
        <v>99</v>
      </c>
      <c r="S265" s="67" t="s">
        <v>99</v>
      </c>
      <c r="T265" s="67" t="s">
        <v>99</v>
      </c>
      <c r="U265" s="67" t="s">
        <v>99</v>
      </c>
      <c r="V265" s="67" t="s">
        <v>99</v>
      </c>
      <c r="W265" s="67" t="s">
        <v>99</v>
      </c>
      <c r="X265" s="67" t="s">
        <v>99</v>
      </c>
      <c r="Y265" s="56" t="s">
        <v>23</v>
      </c>
      <c r="Z265" s="67" t="s">
        <v>99</v>
      </c>
      <c r="AA265" s="67" t="s">
        <v>99</v>
      </c>
      <c r="AB265" s="67" t="s">
        <v>99</v>
      </c>
      <c r="AC265" s="63" t="s">
        <v>23</v>
      </c>
      <c r="AD265" s="67" t="s">
        <v>99</v>
      </c>
      <c r="AE265" s="67" t="s">
        <v>99</v>
      </c>
      <c r="AF265" s="67" t="s">
        <v>99</v>
      </c>
      <c r="AG265" s="67" t="s">
        <v>23</v>
      </c>
      <c r="AH265" s="67" t="s">
        <v>99</v>
      </c>
      <c r="AI265" s="67" t="s">
        <v>99</v>
      </c>
      <c r="AJ265" s="67" t="s">
        <v>99</v>
      </c>
      <c r="AK265" s="63" t="s">
        <v>23</v>
      </c>
      <c r="AL265" s="67" t="s">
        <v>99</v>
      </c>
      <c r="AM265" s="67" t="s">
        <v>99</v>
      </c>
      <c r="AN265" s="67" t="s">
        <v>99</v>
      </c>
      <c r="AO265" s="67" t="s">
        <v>99</v>
      </c>
      <c r="AP265" s="67" t="s">
        <v>99</v>
      </c>
      <c r="AQ265" s="67" t="s">
        <v>23</v>
      </c>
      <c r="AR265" s="67" t="s">
        <v>99</v>
      </c>
      <c r="AS265" s="67" t="s">
        <v>99</v>
      </c>
      <c r="AT265" s="67" t="s">
        <v>99</v>
      </c>
      <c r="AU265" s="67" t="s">
        <v>99</v>
      </c>
      <c r="AV265" s="67" t="s">
        <v>99</v>
      </c>
      <c r="AW265" s="67" t="s">
        <v>99</v>
      </c>
      <c r="AX265" s="67" t="s">
        <v>99</v>
      </c>
      <c r="AY265" s="67" t="s">
        <v>99</v>
      </c>
      <c r="AZ265" s="67" t="s">
        <v>99</v>
      </c>
      <c r="BA265" s="67" t="s">
        <v>99</v>
      </c>
      <c r="BB265" s="67" t="s">
        <v>99</v>
      </c>
      <c r="BC265" s="67" t="s">
        <v>99</v>
      </c>
      <c r="BD265" s="67" t="s">
        <v>99</v>
      </c>
      <c r="BE265" s="67" t="s">
        <v>99</v>
      </c>
      <c r="BF265" s="67" t="s">
        <v>99</v>
      </c>
      <c r="BG265" s="67" t="s">
        <v>99</v>
      </c>
      <c r="BH265" s="67" t="s">
        <v>99</v>
      </c>
      <c r="BI265" s="67" t="s">
        <v>99</v>
      </c>
      <c r="BJ265" s="67" t="s">
        <v>99</v>
      </c>
      <c r="BK265" s="67" t="s">
        <v>99</v>
      </c>
      <c r="BL265" s="67" t="s">
        <v>99</v>
      </c>
      <c r="BM265" s="67" t="s">
        <v>99</v>
      </c>
      <c r="BN265" s="67" t="s">
        <v>99</v>
      </c>
      <c r="BO265" s="67" t="s">
        <v>99</v>
      </c>
      <c r="BP265" s="68" t="s">
        <v>99</v>
      </c>
    </row>
    <row r="266" spans="2:68">
      <c r="B266" s="58">
        <v>9</v>
      </c>
      <c r="C266" s="59">
        <v>38</v>
      </c>
      <c r="D266" s="59" t="s">
        <v>100</v>
      </c>
      <c r="E266" s="60">
        <f>'[1]Master File'!B265</f>
        <v>46279</v>
      </c>
      <c r="F266" s="61" t="str">
        <f>'[1]Master File'!C265</f>
        <v>Lodge 5PM</v>
      </c>
      <c r="G266" s="39"/>
      <c r="I266" s="56" t="s">
        <v>99</v>
      </c>
      <c r="J266" s="56" t="s">
        <v>99</v>
      </c>
      <c r="K266" s="56" t="s">
        <v>99</v>
      </c>
      <c r="L266" s="63" t="s">
        <v>23</v>
      </c>
      <c r="M266" s="56" t="s">
        <v>99</v>
      </c>
      <c r="N266" s="56" t="s">
        <v>99</v>
      </c>
      <c r="O266" s="56" t="s">
        <v>23</v>
      </c>
      <c r="P266" s="56" t="s">
        <v>99</v>
      </c>
      <c r="Q266" s="56" t="s">
        <v>99</v>
      </c>
      <c r="R266" s="56" t="s">
        <v>99</v>
      </c>
      <c r="S266" s="56" t="s">
        <v>99</v>
      </c>
      <c r="T266" s="56" t="s">
        <v>99</v>
      </c>
      <c r="U266" s="56" t="s">
        <v>99</v>
      </c>
      <c r="V266" s="56" t="s">
        <v>99</v>
      </c>
      <c r="W266" s="56" t="s">
        <v>99</v>
      </c>
      <c r="X266" s="56" t="s">
        <v>99</v>
      </c>
      <c r="Y266" s="56" t="s">
        <v>23</v>
      </c>
      <c r="Z266" s="56" t="s">
        <v>99</v>
      </c>
      <c r="AA266" s="56" t="s">
        <v>99</v>
      </c>
      <c r="AB266" s="56" t="s">
        <v>23</v>
      </c>
      <c r="AC266" s="56" t="s">
        <v>99</v>
      </c>
      <c r="AD266" s="56" t="s">
        <v>99</v>
      </c>
      <c r="AE266" s="56" t="s">
        <v>99</v>
      </c>
      <c r="AF266" s="56" t="s">
        <v>99</v>
      </c>
      <c r="AG266" s="56" t="s">
        <v>23</v>
      </c>
      <c r="AH266" s="56" t="s">
        <v>99</v>
      </c>
      <c r="AI266" s="56" t="s">
        <v>99</v>
      </c>
      <c r="AJ266" s="56" t="s">
        <v>99</v>
      </c>
      <c r="AK266" s="63" t="s">
        <v>23</v>
      </c>
      <c r="AL266" s="56" t="s">
        <v>99</v>
      </c>
      <c r="AM266" s="56" t="s">
        <v>99</v>
      </c>
      <c r="AN266" s="56" t="s">
        <v>99</v>
      </c>
      <c r="AO266" s="56" t="s">
        <v>99</v>
      </c>
      <c r="AP266" s="56" t="s">
        <v>99</v>
      </c>
      <c r="AQ266" s="56" t="s">
        <v>99</v>
      </c>
      <c r="AR266" s="56" t="s">
        <v>99</v>
      </c>
      <c r="AS266" s="56" t="s">
        <v>99</v>
      </c>
      <c r="AT266" s="56" t="s">
        <v>99</v>
      </c>
      <c r="AU266" s="56" t="s">
        <v>99</v>
      </c>
      <c r="AV266" s="56" t="s">
        <v>99</v>
      </c>
      <c r="AW266" s="56" t="s">
        <v>99</v>
      </c>
      <c r="AX266" s="56" t="s">
        <v>99</v>
      </c>
      <c r="AY266" s="56" t="s">
        <v>99</v>
      </c>
      <c r="AZ266" s="56" t="s">
        <v>99</v>
      </c>
      <c r="BA266" s="56" t="s">
        <v>99</v>
      </c>
      <c r="BB266" s="56" t="s">
        <v>99</v>
      </c>
      <c r="BC266" s="56" t="s">
        <v>99</v>
      </c>
      <c r="BD266" s="56" t="s">
        <v>99</v>
      </c>
      <c r="BE266" s="56" t="s">
        <v>99</v>
      </c>
      <c r="BF266" s="56" t="s">
        <v>99</v>
      </c>
      <c r="BG266" s="56" t="s">
        <v>99</v>
      </c>
      <c r="BH266" s="56" t="s">
        <v>99</v>
      </c>
      <c r="BI266" s="56" t="s">
        <v>99</v>
      </c>
      <c r="BJ266" s="56" t="s">
        <v>99</v>
      </c>
      <c r="BK266" s="56" t="s">
        <v>99</v>
      </c>
      <c r="BL266" s="56" t="s">
        <v>99</v>
      </c>
      <c r="BM266" s="56" t="s">
        <v>99</v>
      </c>
      <c r="BN266" s="56" t="s">
        <v>99</v>
      </c>
      <c r="BO266" s="56" t="s">
        <v>99</v>
      </c>
      <c r="BP266" s="62" t="s">
        <v>99</v>
      </c>
    </row>
    <row r="267" spans="2:68">
      <c r="B267" s="58">
        <v>9</v>
      </c>
      <c r="C267" s="59">
        <v>38</v>
      </c>
      <c r="D267" s="59" t="s">
        <v>101</v>
      </c>
      <c r="E267" s="60">
        <f>'[1]Master File'!B266</f>
        <v>46280</v>
      </c>
      <c r="F267" s="61" t="str">
        <f>'[1]Master File'!C266</f>
        <v>Closed</v>
      </c>
      <c r="G267" s="39"/>
      <c r="I267" s="56" t="s">
        <v>99</v>
      </c>
      <c r="J267" s="56" t="s">
        <v>99</v>
      </c>
      <c r="K267" s="56" t="s">
        <v>99</v>
      </c>
      <c r="L267" s="63" t="s">
        <v>23</v>
      </c>
      <c r="M267" s="56" t="s">
        <v>99</v>
      </c>
      <c r="N267" s="56" t="s">
        <v>99</v>
      </c>
      <c r="O267" s="56" t="s">
        <v>23</v>
      </c>
      <c r="P267" s="56" t="s">
        <v>99</v>
      </c>
      <c r="Q267" s="56" t="s">
        <v>99</v>
      </c>
      <c r="R267" s="56" t="s">
        <v>99</v>
      </c>
      <c r="S267" s="56" t="s">
        <v>99</v>
      </c>
      <c r="T267" s="56" t="s">
        <v>99</v>
      </c>
      <c r="U267" s="56" t="s">
        <v>99</v>
      </c>
      <c r="V267" s="56" t="s">
        <v>99</v>
      </c>
      <c r="W267" s="56" t="s">
        <v>99</v>
      </c>
      <c r="X267" s="56" t="s">
        <v>99</v>
      </c>
      <c r="Y267" s="56" t="s">
        <v>23</v>
      </c>
      <c r="Z267" s="56" t="s">
        <v>99</v>
      </c>
      <c r="AA267" s="56" t="s">
        <v>99</v>
      </c>
      <c r="AB267" s="56" t="s">
        <v>23</v>
      </c>
      <c r="AC267" s="56" t="s">
        <v>23</v>
      </c>
      <c r="AD267" s="56" t="s">
        <v>99</v>
      </c>
      <c r="AE267" s="56" t="s">
        <v>99</v>
      </c>
      <c r="AF267" s="56" t="s">
        <v>99</v>
      </c>
      <c r="AG267" s="56" t="s">
        <v>23</v>
      </c>
      <c r="AH267" s="56" t="s">
        <v>99</v>
      </c>
      <c r="AI267" s="56" t="s">
        <v>99</v>
      </c>
      <c r="AJ267" s="56" t="s">
        <v>99</v>
      </c>
      <c r="AK267" s="63" t="s">
        <v>23</v>
      </c>
      <c r="AL267" s="56" t="s">
        <v>99</v>
      </c>
      <c r="AM267" s="56" t="s">
        <v>99</v>
      </c>
      <c r="AN267" s="56" t="s">
        <v>99</v>
      </c>
      <c r="AO267" s="56" t="s">
        <v>99</v>
      </c>
      <c r="AP267" s="56" t="s">
        <v>99</v>
      </c>
      <c r="AQ267" s="56" t="s">
        <v>99</v>
      </c>
      <c r="AR267" s="56" t="s">
        <v>99</v>
      </c>
      <c r="AS267" s="56" t="s">
        <v>99</v>
      </c>
      <c r="AT267" s="56" t="s">
        <v>99</v>
      </c>
      <c r="AU267" s="56" t="s">
        <v>99</v>
      </c>
      <c r="AV267" s="56" t="s">
        <v>99</v>
      </c>
      <c r="AW267" s="56" t="s">
        <v>99</v>
      </c>
      <c r="AX267" s="56" t="s">
        <v>99</v>
      </c>
      <c r="AY267" s="56" t="s">
        <v>99</v>
      </c>
      <c r="AZ267" s="56" t="s">
        <v>99</v>
      </c>
      <c r="BA267" s="56" t="s">
        <v>99</v>
      </c>
      <c r="BB267" s="56" t="s">
        <v>99</v>
      </c>
      <c r="BC267" s="56" t="s">
        <v>99</v>
      </c>
      <c r="BD267" s="56" t="s">
        <v>99</v>
      </c>
      <c r="BE267" s="56" t="s">
        <v>99</v>
      </c>
      <c r="BF267" s="56" t="s">
        <v>99</v>
      </c>
      <c r="BG267" s="56" t="s">
        <v>99</v>
      </c>
      <c r="BH267" s="56" t="s">
        <v>99</v>
      </c>
      <c r="BI267" s="56" t="s">
        <v>99</v>
      </c>
      <c r="BJ267" s="56" t="s">
        <v>99</v>
      </c>
      <c r="BK267" s="56" t="s">
        <v>99</v>
      </c>
      <c r="BL267" s="56" t="s">
        <v>99</v>
      </c>
      <c r="BM267" s="56" t="s">
        <v>99</v>
      </c>
      <c r="BN267" s="56" t="s">
        <v>99</v>
      </c>
      <c r="BO267" s="56" t="s">
        <v>99</v>
      </c>
      <c r="BP267" s="62" t="s">
        <v>99</v>
      </c>
    </row>
    <row r="268" spans="2:68">
      <c r="B268" s="58">
        <v>9</v>
      </c>
      <c r="C268" s="59">
        <v>38</v>
      </c>
      <c r="D268" s="59" t="s">
        <v>102</v>
      </c>
      <c r="E268" s="60">
        <f>'[1]Master File'!B267</f>
        <v>46281</v>
      </c>
      <c r="F268" s="61" t="str">
        <f>'[1]Master File'!C267</f>
        <v>Closed</v>
      </c>
      <c r="G268" s="39"/>
      <c r="I268" s="56" t="s">
        <v>99</v>
      </c>
      <c r="J268" s="56" t="s">
        <v>99</v>
      </c>
      <c r="K268" s="56" t="s">
        <v>99</v>
      </c>
      <c r="L268" s="63" t="s">
        <v>23</v>
      </c>
      <c r="M268" s="56" t="s">
        <v>99</v>
      </c>
      <c r="N268" s="56" t="s">
        <v>99</v>
      </c>
      <c r="O268" s="56" t="s">
        <v>23</v>
      </c>
      <c r="P268" s="56" t="s">
        <v>99</v>
      </c>
      <c r="Q268" s="56" t="s">
        <v>99</v>
      </c>
      <c r="R268" s="56" t="s">
        <v>99</v>
      </c>
      <c r="S268" s="56" t="s">
        <v>99</v>
      </c>
      <c r="T268" s="56" t="s">
        <v>99</v>
      </c>
      <c r="U268" s="56" t="s">
        <v>99</v>
      </c>
      <c r="V268" s="56" t="s">
        <v>99</v>
      </c>
      <c r="W268" s="56" t="s">
        <v>99</v>
      </c>
      <c r="X268" s="56" t="s">
        <v>99</v>
      </c>
      <c r="Y268" s="56" t="s">
        <v>23</v>
      </c>
      <c r="Z268" s="56" t="s">
        <v>99</v>
      </c>
      <c r="AA268" s="56" t="s">
        <v>99</v>
      </c>
      <c r="AB268" s="56" t="s">
        <v>23</v>
      </c>
      <c r="AC268" s="56" t="s">
        <v>23</v>
      </c>
      <c r="AD268" s="56" t="s">
        <v>99</v>
      </c>
      <c r="AE268" s="56" t="s">
        <v>99</v>
      </c>
      <c r="AF268" s="56" t="s">
        <v>99</v>
      </c>
      <c r="AG268" s="56" t="s">
        <v>23</v>
      </c>
      <c r="AH268" s="56" t="s">
        <v>99</v>
      </c>
      <c r="AI268" s="56" t="s">
        <v>99</v>
      </c>
      <c r="AJ268" s="56" t="s">
        <v>99</v>
      </c>
      <c r="AK268" s="63" t="s">
        <v>23</v>
      </c>
      <c r="AL268" s="56" t="s">
        <v>99</v>
      </c>
      <c r="AM268" s="56" t="s">
        <v>99</v>
      </c>
      <c r="AN268" s="56" t="s">
        <v>99</v>
      </c>
      <c r="AO268" s="56" t="s">
        <v>99</v>
      </c>
      <c r="AP268" s="56" t="s">
        <v>99</v>
      </c>
      <c r="AQ268" s="56" t="s">
        <v>99</v>
      </c>
      <c r="AR268" s="56" t="s">
        <v>99</v>
      </c>
      <c r="AS268" s="56" t="s">
        <v>99</v>
      </c>
      <c r="AT268" s="56" t="s">
        <v>99</v>
      </c>
      <c r="AU268" s="56" t="s">
        <v>99</v>
      </c>
      <c r="AV268" s="56" t="s">
        <v>99</v>
      </c>
      <c r="AW268" s="56" t="s">
        <v>99</v>
      </c>
      <c r="AX268" s="56" t="s">
        <v>99</v>
      </c>
      <c r="AY268" s="56" t="s">
        <v>99</v>
      </c>
      <c r="AZ268" s="56" t="s">
        <v>99</v>
      </c>
      <c r="BA268" s="56" t="s">
        <v>99</v>
      </c>
      <c r="BB268" s="56" t="s">
        <v>99</v>
      </c>
      <c r="BC268" s="56" t="s">
        <v>99</v>
      </c>
      <c r="BD268" s="56" t="s">
        <v>99</v>
      </c>
      <c r="BE268" s="56" t="s">
        <v>99</v>
      </c>
      <c r="BF268" s="56" t="s">
        <v>99</v>
      </c>
      <c r="BG268" s="56" t="s">
        <v>99</v>
      </c>
      <c r="BH268" s="56" t="s">
        <v>99</v>
      </c>
      <c r="BI268" s="56" t="s">
        <v>99</v>
      </c>
      <c r="BJ268" s="56" t="s">
        <v>99</v>
      </c>
      <c r="BK268" s="56" t="s">
        <v>99</v>
      </c>
      <c r="BL268" s="56" t="s">
        <v>99</v>
      </c>
      <c r="BM268" s="56" t="s">
        <v>99</v>
      </c>
      <c r="BN268" s="56" t="s">
        <v>99</v>
      </c>
      <c r="BO268" s="56" t="s">
        <v>99</v>
      </c>
      <c r="BP268" s="62" t="s">
        <v>99</v>
      </c>
    </row>
    <row r="269" spans="2:68">
      <c r="B269" s="58">
        <v>9</v>
      </c>
      <c r="C269" s="59">
        <v>38</v>
      </c>
      <c r="D269" s="59" t="s">
        <v>103</v>
      </c>
      <c r="E269" s="60">
        <f>'[1]Master File'!B268</f>
        <v>46282</v>
      </c>
      <c r="F269" s="61" t="str">
        <f>'[1]Master File'!C268</f>
        <v>Lodge 5PM</v>
      </c>
      <c r="G269" s="39"/>
      <c r="I269" s="56" t="s">
        <v>99</v>
      </c>
      <c r="J269" s="56" t="s">
        <v>99</v>
      </c>
      <c r="K269" s="56" t="s">
        <v>99</v>
      </c>
      <c r="L269" s="63" t="s">
        <v>23</v>
      </c>
      <c r="M269" s="56" t="s">
        <v>99</v>
      </c>
      <c r="N269" s="56" t="s">
        <v>99</v>
      </c>
      <c r="O269" s="56" t="s">
        <v>23</v>
      </c>
      <c r="P269" s="56" t="s">
        <v>99</v>
      </c>
      <c r="Q269" s="56" t="s">
        <v>99</v>
      </c>
      <c r="R269" s="56" t="s">
        <v>99</v>
      </c>
      <c r="S269" s="56" t="s">
        <v>99</v>
      </c>
      <c r="T269" s="56" t="s">
        <v>99</v>
      </c>
      <c r="U269" s="56" t="s">
        <v>99</v>
      </c>
      <c r="V269" s="56" t="s">
        <v>99</v>
      </c>
      <c r="W269" s="56" t="s">
        <v>99</v>
      </c>
      <c r="X269" s="56" t="s">
        <v>99</v>
      </c>
      <c r="Y269" s="56" t="s">
        <v>23</v>
      </c>
      <c r="Z269" s="56" t="s">
        <v>99</v>
      </c>
      <c r="AA269" s="56" t="s">
        <v>99</v>
      </c>
      <c r="AB269" s="56" t="s">
        <v>23</v>
      </c>
      <c r="AC269" s="56" t="s">
        <v>23</v>
      </c>
      <c r="AD269" s="56" t="s">
        <v>99</v>
      </c>
      <c r="AE269" s="56" t="s">
        <v>99</v>
      </c>
      <c r="AF269" s="56" t="s">
        <v>99</v>
      </c>
      <c r="AG269" s="56" t="s">
        <v>23</v>
      </c>
      <c r="AH269" s="56" t="s">
        <v>99</v>
      </c>
      <c r="AI269" s="56" t="s">
        <v>99</v>
      </c>
      <c r="AJ269" s="56" t="s">
        <v>99</v>
      </c>
      <c r="AK269" s="63" t="s">
        <v>23</v>
      </c>
      <c r="AL269" s="56" t="s">
        <v>99</v>
      </c>
      <c r="AM269" s="56" t="s">
        <v>99</v>
      </c>
      <c r="AN269" s="56" t="s">
        <v>99</v>
      </c>
      <c r="AO269" s="56" t="s">
        <v>99</v>
      </c>
      <c r="AP269" s="56" t="s">
        <v>99</v>
      </c>
      <c r="AQ269" s="56" t="s">
        <v>99</v>
      </c>
      <c r="AR269" s="56" t="s">
        <v>99</v>
      </c>
      <c r="AS269" s="56" t="s">
        <v>99</v>
      </c>
      <c r="AT269" s="56" t="s">
        <v>99</v>
      </c>
      <c r="AU269" s="56" t="s">
        <v>99</v>
      </c>
      <c r="AV269" s="56" t="s">
        <v>99</v>
      </c>
      <c r="AW269" s="56" t="s">
        <v>99</v>
      </c>
      <c r="AX269" s="56" t="s">
        <v>99</v>
      </c>
      <c r="AY269" s="56" t="s">
        <v>99</v>
      </c>
      <c r="AZ269" s="56" t="s">
        <v>99</v>
      </c>
      <c r="BA269" s="56" t="s">
        <v>99</v>
      </c>
      <c r="BB269" s="56" t="s">
        <v>99</v>
      </c>
      <c r="BC269" s="56" t="s">
        <v>99</v>
      </c>
      <c r="BD269" s="56" t="s">
        <v>99</v>
      </c>
      <c r="BE269" s="56" t="s">
        <v>99</v>
      </c>
      <c r="BF269" s="56" t="s">
        <v>99</v>
      </c>
      <c r="BG269" s="56" t="s">
        <v>99</v>
      </c>
      <c r="BH269" s="56" t="s">
        <v>99</v>
      </c>
      <c r="BI269" s="56" t="s">
        <v>99</v>
      </c>
      <c r="BJ269" s="56" t="s">
        <v>99</v>
      </c>
      <c r="BK269" s="56" t="s">
        <v>99</v>
      </c>
      <c r="BL269" s="56" t="s">
        <v>99</v>
      </c>
      <c r="BM269" s="56" t="s">
        <v>99</v>
      </c>
      <c r="BN269" s="56" t="s">
        <v>99</v>
      </c>
      <c r="BO269" s="56" t="s">
        <v>99</v>
      </c>
      <c r="BP269" s="62" t="s">
        <v>99</v>
      </c>
    </row>
    <row r="270" spans="2:68">
      <c r="B270" s="58">
        <v>9</v>
      </c>
      <c r="C270" s="59">
        <v>38</v>
      </c>
      <c r="D270" s="59" t="s">
        <v>104</v>
      </c>
      <c r="E270" s="60">
        <f>'[1]Master File'!B269</f>
        <v>46283</v>
      </c>
      <c r="F270" s="61" t="str">
        <f>'[1]Master File'!C269</f>
        <v>Lodge 5PM</v>
      </c>
      <c r="G270" s="39"/>
      <c r="I270" s="56" t="s">
        <v>99</v>
      </c>
      <c r="J270" s="56" t="s">
        <v>99</v>
      </c>
      <c r="K270" s="56" t="s">
        <v>99</v>
      </c>
      <c r="L270" s="63" t="s">
        <v>23</v>
      </c>
      <c r="M270" s="56" t="s">
        <v>99</v>
      </c>
      <c r="N270" s="56" t="s">
        <v>99</v>
      </c>
      <c r="O270" s="56" t="s">
        <v>23</v>
      </c>
      <c r="P270" s="56" t="s">
        <v>99</v>
      </c>
      <c r="Q270" s="56" t="s">
        <v>99</v>
      </c>
      <c r="R270" s="56" t="s">
        <v>99</v>
      </c>
      <c r="S270" s="56" t="s">
        <v>99</v>
      </c>
      <c r="T270" s="56" t="s">
        <v>99</v>
      </c>
      <c r="U270" s="56" t="s">
        <v>99</v>
      </c>
      <c r="V270" s="56" t="s">
        <v>99</v>
      </c>
      <c r="W270" s="56" t="s">
        <v>99</v>
      </c>
      <c r="X270" s="56" t="s">
        <v>99</v>
      </c>
      <c r="Y270" s="56" t="s">
        <v>23</v>
      </c>
      <c r="Z270" s="56" t="s">
        <v>99</v>
      </c>
      <c r="AA270" s="56" t="s">
        <v>99</v>
      </c>
      <c r="AB270" s="56" t="s">
        <v>23</v>
      </c>
      <c r="AC270" s="56" t="s">
        <v>23</v>
      </c>
      <c r="AD270" s="56" t="s">
        <v>99</v>
      </c>
      <c r="AE270" s="56" t="s">
        <v>99</v>
      </c>
      <c r="AF270" s="56" t="s">
        <v>99</v>
      </c>
      <c r="AG270" s="56" t="s">
        <v>23</v>
      </c>
      <c r="AH270" s="56" t="s">
        <v>99</v>
      </c>
      <c r="AI270" s="56" t="s">
        <v>99</v>
      </c>
      <c r="AJ270" s="56" t="s">
        <v>99</v>
      </c>
      <c r="AK270" s="63" t="s">
        <v>23</v>
      </c>
      <c r="AL270" s="56" t="s">
        <v>99</v>
      </c>
      <c r="AM270" s="56" t="s">
        <v>99</v>
      </c>
      <c r="AN270" s="56" t="s">
        <v>99</v>
      </c>
      <c r="AO270" s="56" t="s">
        <v>99</v>
      </c>
      <c r="AP270" s="56" t="s">
        <v>99</v>
      </c>
      <c r="AQ270" s="56" t="s">
        <v>99</v>
      </c>
      <c r="AR270" s="56" t="s">
        <v>99</v>
      </c>
      <c r="AS270" s="56" t="s">
        <v>99</v>
      </c>
      <c r="AT270" s="56" t="s">
        <v>99</v>
      </c>
      <c r="AU270" s="56" t="s">
        <v>99</v>
      </c>
      <c r="AV270" s="56" t="s">
        <v>99</v>
      </c>
      <c r="AW270" s="56" t="s">
        <v>99</v>
      </c>
      <c r="AX270" s="56" t="s">
        <v>99</v>
      </c>
      <c r="AY270" s="56" t="s">
        <v>99</v>
      </c>
      <c r="AZ270" s="56" t="s">
        <v>99</v>
      </c>
      <c r="BA270" s="56" t="s">
        <v>99</v>
      </c>
      <c r="BB270" s="56" t="s">
        <v>99</v>
      </c>
      <c r="BC270" s="56" t="s">
        <v>99</v>
      </c>
      <c r="BD270" s="56" t="s">
        <v>99</v>
      </c>
      <c r="BE270" s="56" t="s">
        <v>99</v>
      </c>
      <c r="BF270" s="56" t="s">
        <v>99</v>
      </c>
      <c r="BG270" s="56" t="s">
        <v>99</v>
      </c>
      <c r="BH270" s="56" t="s">
        <v>99</v>
      </c>
      <c r="BI270" s="56" t="s">
        <v>99</v>
      </c>
      <c r="BJ270" s="56" t="s">
        <v>99</v>
      </c>
      <c r="BK270" s="56" t="s">
        <v>99</v>
      </c>
      <c r="BL270" s="56" t="s">
        <v>99</v>
      </c>
      <c r="BM270" s="56" t="s">
        <v>99</v>
      </c>
      <c r="BN270" s="56" t="s">
        <v>99</v>
      </c>
      <c r="BO270" s="56" t="s">
        <v>99</v>
      </c>
      <c r="BP270" s="62" t="s">
        <v>99</v>
      </c>
    </row>
    <row r="271" spans="2:68">
      <c r="B271" s="58">
        <v>9</v>
      </c>
      <c r="C271" s="59">
        <v>38</v>
      </c>
      <c r="D271" s="59" t="s">
        <v>105</v>
      </c>
      <c r="E271" s="60">
        <f>'[1]Master File'!B270</f>
        <v>46284</v>
      </c>
      <c r="F271" s="61" t="str">
        <f>'[1]Master File'!C270</f>
        <v>Explorer 5PM</v>
      </c>
      <c r="G271" s="39"/>
      <c r="I271" s="67" t="s">
        <v>99</v>
      </c>
      <c r="J271" s="67" t="s">
        <v>99</v>
      </c>
      <c r="K271" s="67" t="s">
        <v>99</v>
      </c>
      <c r="L271" s="63" t="s">
        <v>23</v>
      </c>
      <c r="M271" s="67" t="s">
        <v>99</v>
      </c>
      <c r="N271" s="67" t="s">
        <v>99</v>
      </c>
      <c r="O271" s="56" t="s">
        <v>23</v>
      </c>
      <c r="P271" s="67" t="s">
        <v>99</v>
      </c>
      <c r="Q271" s="67" t="s">
        <v>99</v>
      </c>
      <c r="R271" s="67" t="s">
        <v>99</v>
      </c>
      <c r="S271" s="67" t="s">
        <v>99</v>
      </c>
      <c r="T271" s="67" t="s">
        <v>99</v>
      </c>
      <c r="U271" s="67" t="s">
        <v>99</v>
      </c>
      <c r="V271" s="67" t="s">
        <v>99</v>
      </c>
      <c r="W271" s="67" t="s">
        <v>99</v>
      </c>
      <c r="X271" s="67" t="s">
        <v>99</v>
      </c>
      <c r="Y271" s="56" t="s">
        <v>23</v>
      </c>
      <c r="Z271" s="67" t="s">
        <v>99</v>
      </c>
      <c r="AA271" s="67" t="s">
        <v>99</v>
      </c>
      <c r="AB271" s="67" t="s">
        <v>99</v>
      </c>
      <c r="AC271" s="63" t="s">
        <v>23</v>
      </c>
      <c r="AD271" s="67" t="s">
        <v>99</v>
      </c>
      <c r="AE271" s="67" t="s">
        <v>99</v>
      </c>
      <c r="AF271" s="67" t="s">
        <v>99</v>
      </c>
      <c r="AG271" s="67" t="s">
        <v>23</v>
      </c>
      <c r="AH271" s="67" t="s">
        <v>99</v>
      </c>
      <c r="AI271" s="67" t="s">
        <v>99</v>
      </c>
      <c r="AJ271" s="67" t="s">
        <v>99</v>
      </c>
      <c r="AK271" s="63" t="s">
        <v>23</v>
      </c>
      <c r="AL271" s="67" t="s">
        <v>99</v>
      </c>
      <c r="AM271" s="67" t="s">
        <v>99</v>
      </c>
      <c r="AN271" s="67" t="s">
        <v>99</v>
      </c>
      <c r="AO271" s="67" t="s">
        <v>99</v>
      </c>
      <c r="AP271" s="67" t="s">
        <v>99</v>
      </c>
      <c r="AQ271" s="67" t="s">
        <v>23</v>
      </c>
      <c r="AR271" s="67" t="s">
        <v>99</v>
      </c>
      <c r="AS271" s="67" t="s">
        <v>99</v>
      </c>
      <c r="AT271" s="67" t="s">
        <v>99</v>
      </c>
      <c r="AU271" s="67" t="s">
        <v>99</v>
      </c>
      <c r="AV271" s="67" t="s">
        <v>99</v>
      </c>
      <c r="AW271" s="67" t="s">
        <v>99</v>
      </c>
      <c r="AX271" s="67" t="s">
        <v>99</v>
      </c>
      <c r="AY271" s="67" t="s">
        <v>99</v>
      </c>
      <c r="AZ271" s="67" t="s">
        <v>99</v>
      </c>
      <c r="BA271" s="67" t="s">
        <v>99</v>
      </c>
      <c r="BB271" s="67" t="s">
        <v>99</v>
      </c>
      <c r="BC271" s="67" t="s">
        <v>99</v>
      </c>
      <c r="BD271" s="67" t="s">
        <v>99</v>
      </c>
      <c r="BE271" s="67" t="s">
        <v>99</v>
      </c>
      <c r="BF271" s="67" t="s">
        <v>99</v>
      </c>
      <c r="BG271" s="67" t="s">
        <v>99</v>
      </c>
      <c r="BH271" s="67" t="s">
        <v>99</v>
      </c>
      <c r="BI271" s="67" t="s">
        <v>99</v>
      </c>
      <c r="BJ271" s="67" t="s">
        <v>99</v>
      </c>
      <c r="BK271" s="67" t="s">
        <v>99</v>
      </c>
      <c r="BL271" s="67" t="s">
        <v>99</v>
      </c>
      <c r="BM271" s="67" t="s">
        <v>99</v>
      </c>
      <c r="BN271" s="67" t="s">
        <v>99</v>
      </c>
      <c r="BO271" s="67" t="s">
        <v>99</v>
      </c>
      <c r="BP271" s="68" t="s">
        <v>99</v>
      </c>
    </row>
    <row r="272" spans="2:68">
      <c r="B272" s="58">
        <v>9</v>
      </c>
      <c r="C272" s="59">
        <v>39</v>
      </c>
      <c r="D272" s="59" t="s">
        <v>98</v>
      </c>
      <c r="E272" s="60">
        <f>'[1]Master File'!B271</f>
        <v>46285</v>
      </c>
      <c r="F272" s="61" t="str">
        <f>'[1]Master File'!C271</f>
        <v>Explorer 5PM</v>
      </c>
      <c r="G272" s="39"/>
      <c r="I272" s="67" t="s">
        <v>99</v>
      </c>
      <c r="J272" s="67" t="s">
        <v>99</v>
      </c>
      <c r="K272" s="67" t="s">
        <v>99</v>
      </c>
      <c r="L272" s="63" t="s">
        <v>23</v>
      </c>
      <c r="M272" s="67" t="s">
        <v>99</v>
      </c>
      <c r="N272" s="67" t="s">
        <v>99</v>
      </c>
      <c r="O272" s="56" t="s">
        <v>23</v>
      </c>
      <c r="P272" s="67" t="s">
        <v>99</v>
      </c>
      <c r="Q272" s="67" t="s">
        <v>99</v>
      </c>
      <c r="R272" s="67" t="s">
        <v>99</v>
      </c>
      <c r="S272" s="67" t="s">
        <v>99</v>
      </c>
      <c r="T272" s="67" t="s">
        <v>99</v>
      </c>
      <c r="U272" s="67" t="s">
        <v>99</v>
      </c>
      <c r="V272" s="67" t="s">
        <v>99</v>
      </c>
      <c r="W272" s="67" t="s">
        <v>99</v>
      </c>
      <c r="X272" s="67" t="s">
        <v>99</v>
      </c>
      <c r="Y272" s="56" t="s">
        <v>23</v>
      </c>
      <c r="Z272" s="67" t="s">
        <v>99</v>
      </c>
      <c r="AA272" s="67" t="s">
        <v>99</v>
      </c>
      <c r="AB272" s="67" t="s">
        <v>99</v>
      </c>
      <c r="AC272" s="63" t="s">
        <v>23</v>
      </c>
      <c r="AD272" s="67" t="s">
        <v>99</v>
      </c>
      <c r="AE272" s="67" t="s">
        <v>99</v>
      </c>
      <c r="AF272" s="67" t="s">
        <v>99</v>
      </c>
      <c r="AG272" s="67" t="s">
        <v>23</v>
      </c>
      <c r="AH272" s="67" t="s">
        <v>99</v>
      </c>
      <c r="AI272" s="67" t="s">
        <v>99</v>
      </c>
      <c r="AJ272" s="67" t="s">
        <v>99</v>
      </c>
      <c r="AK272" s="63" t="s">
        <v>23</v>
      </c>
      <c r="AL272" s="67" t="s">
        <v>99</v>
      </c>
      <c r="AM272" s="67" t="s">
        <v>99</v>
      </c>
      <c r="AN272" s="67" t="s">
        <v>99</v>
      </c>
      <c r="AO272" s="67" t="s">
        <v>99</v>
      </c>
      <c r="AP272" s="67" t="s">
        <v>99</v>
      </c>
      <c r="AQ272" s="67" t="s">
        <v>23</v>
      </c>
      <c r="AR272" s="67" t="s">
        <v>99</v>
      </c>
      <c r="AS272" s="67" t="s">
        <v>99</v>
      </c>
      <c r="AT272" s="67" t="s">
        <v>99</v>
      </c>
      <c r="AU272" s="67" t="s">
        <v>99</v>
      </c>
      <c r="AV272" s="67" t="s">
        <v>99</v>
      </c>
      <c r="AW272" s="67" t="s">
        <v>99</v>
      </c>
      <c r="AX272" s="67" t="s">
        <v>99</v>
      </c>
      <c r="AY272" s="67" t="s">
        <v>99</v>
      </c>
      <c r="AZ272" s="67" t="s">
        <v>99</v>
      </c>
      <c r="BA272" s="67" t="s">
        <v>99</v>
      </c>
      <c r="BB272" s="67" t="s">
        <v>99</v>
      </c>
      <c r="BC272" s="67" t="s">
        <v>99</v>
      </c>
      <c r="BD272" s="67" t="s">
        <v>99</v>
      </c>
      <c r="BE272" s="67" t="s">
        <v>99</v>
      </c>
      <c r="BF272" s="67" t="s">
        <v>99</v>
      </c>
      <c r="BG272" s="67" t="s">
        <v>99</v>
      </c>
      <c r="BH272" s="67" t="s">
        <v>99</v>
      </c>
      <c r="BI272" s="67" t="s">
        <v>99</v>
      </c>
      <c r="BJ272" s="67" t="s">
        <v>99</v>
      </c>
      <c r="BK272" s="67" t="s">
        <v>99</v>
      </c>
      <c r="BL272" s="67" t="s">
        <v>99</v>
      </c>
      <c r="BM272" s="67" t="s">
        <v>99</v>
      </c>
      <c r="BN272" s="67" t="s">
        <v>99</v>
      </c>
      <c r="BO272" s="67" t="s">
        <v>99</v>
      </c>
      <c r="BP272" s="68" t="s">
        <v>99</v>
      </c>
    </row>
    <row r="273" spans="2:68">
      <c r="B273" s="58">
        <v>9</v>
      </c>
      <c r="C273" s="59">
        <v>39</v>
      </c>
      <c r="D273" s="59" t="s">
        <v>100</v>
      </c>
      <c r="E273" s="60">
        <f>'[1]Master File'!B272</f>
        <v>46286</v>
      </c>
      <c r="F273" s="61" t="str">
        <f>'[1]Master File'!C272</f>
        <v>Lodge 5PM</v>
      </c>
      <c r="G273" s="39"/>
      <c r="I273" s="56" t="s">
        <v>99</v>
      </c>
      <c r="J273" s="56" t="s">
        <v>99</v>
      </c>
      <c r="K273" s="56" t="s">
        <v>99</v>
      </c>
      <c r="L273" s="63" t="s">
        <v>23</v>
      </c>
      <c r="M273" s="56" t="s">
        <v>99</v>
      </c>
      <c r="N273" s="56" t="s">
        <v>99</v>
      </c>
      <c r="O273" s="56" t="s">
        <v>99</v>
      </c>
      <c r="P273" s="56" t="s">
        <v>99</v>
      </c>
      <c r="Q273" s="56" t="s">
        <v>99</v>
      </c>
      <c r="R273" s="56" t="s">
        <v>99</v>
      </c>
      <c r="S273" s="56" t="s">
        <v>99</v>
      </c>
      <c r="T273" s="56" t="s">
        <v>99</v>
      </c>
      <c r="U273" s="56" t="s">
        <v>99</v>
      </c>
      <c r="V273" s="56" t="s">
        <v>99</v>
      </c>
      <c r="W273" s="56" t="s">
        <v>99</v>
      </c>
      <c r="X273" s="56" t="s">
        <v>99</v>
      </c>
      <c r="Y273" s="56" t="s">
        <v>23</v>
      </c>
      <c r="Z273" s="56" t="s">
        <v>99</v>
      </c>
      <c r="AA273" s="56" t="s">
        <v>99</v>
      </c>
      <c r="AB273" s="56" t="s">
        <v>23</v>
      </c>
      <c r="AC273" s="56" t="s">
        <v>99</v>
      </c>
      <c r="AD273" s="56" t="s">
        <v>99</v>
      </c>
      <c r="AE273" s="56" t="s">
        <v>99</v>
      </c>
      <c r="AF273" s="56" t="s">
        <v>99</v>
      </c>
      <c r="AG273" s="56" t="s">
        <v>23</v>
      </c>
      <c r="AH273" s="56" t="s">
        <v>99</v>
      </c>
      <c r="AI273" s="56" t="s">
        <v>99</v>
      </c>
      <c r="AJ273" s="56" t="s">
        <v>99</v>
      </c>
      <c r="AK273" s="63" t="s">
        <v>23</v>
      </c>
      <c r="AL273" s="56" t="s">
        <v>99</v>
      </c>
      <c r="AM273" s="56" t="s">
        <v>99</v>
      </c>
      <c r="AN273" s="56" t="s">
        <v>99</v>
      </c>
      <c r="AO273" s="56" t="s">
        <v>99</v>
      </c>
      <c r="AP273" s="56" t="s">
        <v>99</v>
      </c>
      <c r="AQ273" s="56" t="s">
        <v>99</v>
      </c>
      <c r="AR273" s="56" t="s">
        <v>99</v>
      </c>
      <c r="AS273" s="56" t="s">
        <v>99</v>
      </c>
      <c r="AT273" s="56" t="s">
        <v>99</v>
      </c>
      <c r="AU273" s="56" t="s">
        <v>99</v>
      </c>
      <c r="AV273" s="56" t="s">
        <v>99</v>
      </c>
      <c r="AW273" s="56" t="s">
        <v>99</v>
      </c>
      <c r="AX273" s="56" t="s">
        <v>99</v>
      </c>
      <c r="AY273" s="56" t="s">
        <v>99</v>
      </c>
      <c r="AZ273" s="56" t="s">
        <v>99</v>
      </c>
      <c r="BA273" s="56" t="s">
        <v>99</v>
      </c>
      <c r="BB273" s="56" t="s">
        <v>99</v>
      </c>
      <c r="BC273" s="56" t="s">
        <v>99</v>
      </c>
      <c r="BD273" s="56" t="s">
        <v>99</v>
      </c>
      <c r="BE273" s="56" t="s">
        <v>99</v>
      </c>
      <c r="BF273" s="56" t="s">
        <v>99</v>
      </c>
      <c r="BG273" s="56" t="s">
        <v>99</v>
      </c>
      <c r="BH273" s="56" t="s">
        <v>99</v>
      </c>
      <c r="BI273" s="56" t="s">
        <v>99</v>
      </c>
      <c r="BJ273" s="56" t="s">
        <v>99</v>
      </c>
      <c r="BK273" s="56" t="s">
        <v>99</v>
      </c>
      <c r="BL273" s="56" t="s">
        <v>99</v>
      </c>
      <c r="BM273" s="56" t="s">
        <v>99</v>
      </c>
      <c r="BN273" s="56" t="s">
        <v>99</v>
      </c>
      <c r="BO273" s="56" t="s">
        <v>99</v>
      </c>
      <c r="BP273" s="62" t="s">
        <v>99</v>
      </c>
    </row>
    <row r="274" spans="2:68">
      <c r="B274" s="58">
        <v>9</v>
      </c>
      <c r="C274" s="59">
        <v>39</v>
      </c>
      <c r="D274" s="59" t="s">
        <v>101</v>
      </c>
      <c r="E274" s="60">
        <f>'[1]Master File'!B273</f>
        <v>46287</v>
      </c>
      <c r="F274" s="61" t="str">
        <f>'[1]Master File'!C273</f>
        <v>Closed</v>
      </c>
      <c r="G274" s="39"/>
      <c r="I274" s="56" t="s">
        <v>99</v>
      </c>
      <c r="J274" s="56" t="s">
        <v>99</v>
      </c>
      <c r="K274" s="56" t="s">
        <v>99</v>
      </c>
      <c r="L274" s="63" t="s">
        <v>23</v>
      </c>
      <c r="M274" s="56" t="s">
        <v>99</v>
      </c>
      <c r="N274" s="56" t="s">
        <v>99</v>
      </c>
      <c r="O274" s="56" t="s">
        <v>99</v>
      </c>
      <c r="P274" s="56" t="s">
        <v>99</v>
      </c>
      <c r="Q274" s="56" t="s">
        <v>99</v>
      </c>
      <c r="R274" s="56" t="s">
        <v>99</v>
      </c>
      <c r="S274" s="56" t="s">
        <v>99</v>
      </c>
      <c r="T274" s="56" t="s">
        <v>99</v>
      </c>
      <c r="U274" s="56" t="s">
        <v>99</v>
      </c>
      <c r="V274" s="56" t="s">
        <v>99</v>
      </c>
      <c r="W274" s="56" t="s">
        <v>99</v>
      </c>
      <c r="X274" s="56" t="s">
        <v>99</v>
      </c>
      <c r="Y274" s="56" t="s">
        <v>23</v>
      </c>
      <c r="Z274" s="56" t="s">
        <v>99</v>
      </c>
      <c r="AA274" s="56" t="s">
        <v>99</v>
      </c>
      <c r="AB274" s="56" t="s">
        <v>23</v>
      </c>
      <c r="AC274" s="56" t="s">
        <v>23</v>
      </c>
      <c r="AD274" s="56" t="s">
        <v>99</v>
      </c>
      <c r="AE274" s="56" t="s">
        <v>99</v>
      </c>
      <c r="AF274" s="56" t="s">
        <v>99</v>
      </c>
      <c r="AG274" s="56" t="s">
        <v>23</v>
      </c>
      <c r="AH274" s="56" t="s">
        <v>99</v>
      </c>
      <c r="AI274" s="56" t="s">
        <v>99</v>
      </c>
      <c r="AJ274" s="56" t="s">
        <v>99</v>
      </c>
      <c r="AK274" s="63" t="s">
        <v>23</v>
      </c>
      <c r="AL274" s="56" t="s">
        <v>99</v>
      </c>
      <c r="AM274" s="56" t="s">
        <v>99</v>
      </c>
      <c r="AN274" s="56" t="s">
        <v>99</v>
      </c>
      <c r="AO274" s="56" t="s">
        <v>99</v>
      </c>
      <c r="AP274" s="56" t="s">
        <v>99</v>
      </c>
      <c r="AQ274" s="56" t="s">
        <v>99</v>
      </c>
      <c r="AR274" s="56" t="s">
        <v>99</v>
      </c>
      <c r="AS274" s="56" t="s">
        <v>99</v>
      </c>
      <c r="AT274" s="56" t="s">
        <v>99</v>
      </c>
      <c r="AU274" s="56" t="s">
        <v>99</v>
      </c>
      <c r="AV274" s="56" t="s">
        <v>99</v>
      </c>
      <c r="AW274" s="56" t="s">
        <v>99</v>
      </c>
      <c r="AX274" s="56" t="s">
        <v>99</v>
      </c>
      <c r="AY274" s="56" t="s">
        <v>99</v>
      </c>
      <c r="AZ274" s="56" t="s">
        <v>99</v>
      </c>
      <c r="BA274" s="56" t="s">
        <v>99</v>
      </c>
      <c r="BB274" s="56" t="s">
        <v>99</v>
      </c>
      <c r="BC274" s="56" t="s">
        <v>99</v>
      </c>
      <c r="BD274" s="56" t="s">
        <v>99</v>
      </c>
      <c r="BE274" s="56" t="s">
        <v>99</v>
      </c>
      <c r="BF274" s="56" t="s">
        <v>99</v>
      </c>
      <c r="BG274" s="56" t="s">
        <v>99</v>
      </c>
      <c r="BH274" s="56" t="s">
        <v>99</v>
      </c>
      <c r="BI274" s="56" t="s">
        <v>99</v>
      </c>
      <c r="BJ274" s="56" t="s">
        <v>99</v>
      </c>
      <c r="BK274" s="56" t="s">
        <v>99</v>
      </c>
      <c r="BL274" s="56" t="s">
        <v>99</v>
      </c>
      <c r="BM274" s="56" t="s">
        <v>99</v>
      </c>
      <c r="BN274" s="56" t="s">
        <v>99</v>
      </c>
      <c r="BO274" s="56" t="s">
        <v>99</v>
      </c>
      <c r="BP274" s="62" t="s">
        <v>99</v>
      </c>
    </row>
    <row r="275" spans="2:68">
      <c r="B275" s="58">
        <v>9</v>
      </c>
      <c r="C275" s="59">
        <v>39</v>
      </c>
      <c r="D275" s="59" t="s">
        <v>102</v>
      </c>
      <c r="E275" s="60">
        <f>'[1]Master File'!B274</f>
        <v>46288</v>
      </c>
      <c r="F275" s="61" t="str">
        <f>'[1]Master File'!C274</f>
        <v>Closed</v>
      </c>
      <c r="G275" s="39"/>
      <c r="I275" s="56" t="s">
        <v>99</v>
      </c>
      <c r="J275" s="56" t="s">
        <v>99</v>
      </c>
      <c r="K275" s="56" t="s">
        <v>99</v>
      </c>
      <c r="L275" s="63" t="s">
        <v>23</v>
      </c>
      <c r="M275" s="56" t="s">
        <v>99</v>
      </c>
      <c r="N275" s="56" t="s">
        <v>99</v>
      </c>
      <c r="O275" s="56" t="s">
        <v>99</v>
      </c>
      <c r="P275" s="56" t="s">
        <v>99</v>
      </c>
      <c r="Q275" s="56" t="s">
        <v>99</v>
      </c>
      <c r="R275" s="56" t="s">
        <v>99</v>
      </c>
      <c r="S275" s="56" t="s">
        <v>99</v>
      </c>
      <c r="T275" s="56" t="s">
        <v>99</v>
      </c>
      <c r="U275" s="56" t="s">
        <v>99</v>
      </c>
      <c r="V275" s="56" t="s">
        <v>99</v>
      </c>
      <c r="W275" s="56" t="s">
        <v>99</v>
      </c>
      <c r="X275" s="56" t="s">
        <v>99</v>
      </c>
      <c r="Y275" s="56" t="s">
        <v>23</v>
      </c>
      <c r="Z275" s="56" t="s">
        <v>99</v>
      </c>
      <c r="AA275" s="56" t="s">
        <v>99</v>
      </c>
      <c r="AB275" s="56" t="s">
        <v>23</v>
      </c>
      <c r="AC275" s="56" t="s">
        <v>23</v>
      </c>
      <c r="AD275" s="56" t="s">
        <v>99</v>
      </c>
      <c r="AE275" s="56" t="s">
        <v>99</v>
      </c>
      <c r="AF275" s="56" t="s">
        <v>99</v>
      </c>
      <c r="AG275" s="56" t="s">
        <v>23</v>
      </c>
      <c r="AH275" s="56" t="s">
        <v>99</v>
      </c>
      <c r="AI275" s="56" t="s">
        <v>99</v>
      </c>
      <c r="AJ275" s="56" t="s">
        <v>99</v>
      </c>
      <c r="AK275" s="63" t="s">
        <v>23</v>
      </c>
      <c r="AL275" s="56" t="s">
        <v>99</v>
      </c>
      <c r="AM275" s="56" t="s">
        <v>99</v>
      </c>
      <c r="AN275" s="56" t="s">
        <v>99</v>
      </c>
      <c r="AO275" s="56" t="s">
        <v>99</v>
      </c>
      <c r="AP275" s="56" t="s">
        <v>99</v>
      </c>
      <c r="AQ275" s="56" t="s">
        <v>99</v>
      </c>
      <c r="AR275" s="56" t="s">
        <v>99</v>
      </c>
      <c r="AS275" s="56" t="s">
        <v>99</v>
      </c>
      <c r="AT275" s="56" t="s">
        <v>99</v>
      </c>
      <c r="AU275" s="56" t="s">
        <v>99</v>
      </c>
      <c r="AV275" s="56" t="s">
        <v>99</v>
      </c>
      <c r="AW275" s="56" t="s">
        <v>99</v>
      </c>
      <c r="AX275" s="56" t="s">
        <v>99</v>
      </c>
      <c r="AY275" s="56" t="s">
        <v>99</v>
      </c>
      <c r="AZ275" s="56" t="s">
        <v>99</v>
      </c>
      <c r="BA275" s="56" t="s">
        <v>99</v>
      </c>
      <c r="BB275" s="56" t="s">
        <v>99</v>
      </c>
      <c r="BC275" s="56" t="s">
        <v>99</v>
      </c>
      <c r="BD275" s="56" t="s">
        <v>99</v>
      </c>
      <c r="BE275" s="56" t="s">
        <v>99</v>
      </c>
      <c r="BF275" s="56" t="s">
        <v>99</v>
      </c>
      <c r="BG275" s="56" t="s">
        <v>99</v>
      </c>
      <c r="BH275" s="56" t="s">
        <v>99</v>
      </c>
      <c r="BI275" s="56" t="s">
        <v>99</v>
      </c>
      <c r="BJ275" s="56" t="s">
        <v>99</v>
      </c>
      <c r="BK275" s="56" t="s">
        <v>99</v>
      </c>
      <c r="BL275" s="56" t="s">
        <v>99</v>
      </c>
      <c r="BM275" s="56" t="s">
        <v>99</v>
      </c>
      <c r="BN275" s="56" t="s">
        <v>99</v>
      </c>
      <c r="BO275" s="56" t="s">
        <v>99</v>
      </c>
      <c r="BP275" s="62" t="s">
        <v>99</v>
      </c>
    </row>
    <row r="276" spans="2:68">
      <c r="B276" s="58">
        <v>9</v>
      </c>
      <c r="C276" s="59">
        <v>39</v>
      </c>
      <c r="D276" s="59" t="s">
        <v>103</v>
      </c>
      <c r="E276" s="60">
        <f>'[1]Master File'!B275</f>
        <v>46289</v>
      </c>
      <c r="F276" s="61" t="str">
        <f>'[1]Master File'!C275</f>
        <v>Lodge 5PM</v>
      </c>
      <c r="G276" s="39"/>
      <c r="I276" s="56" t="s">
        <v>99</v>
      </c>
      <c r="J276" s="56" t="s">
        <v>99</v>
      </c>
      <c r="K276" s="56" t="s">
        <v>99</v>
      </c>
      <c r="L276" s="63" t="s">
        <v>23</v>
      </c>
      <c r="M276" s="56" t="s">
        <v>99</v>
      </c>
      <c r="N276" s="56" t="s">
        <v>99</v>
      </c>
      <c r="O276" s="56" t="s">
        <v>99</v>
      </c>
      <c r="P276" s="56" t="s">
        <v>99</v>
      </c>
      <c r="Q276" s="56" t="s">
        <v>99</v>
      </c>
      <c r="R276" s="56" t="s">
        <v>99</v>
      </c>
      <c r="S276" s="56" t="s">
        <v>99</v>
      </c>
      <c r="T276" s="56" t="s">
        <v>99</v>
      </c>
      <c r="U276" s="56" t="s">
        <v>99</v>
      </c>
      <c r="V276" s="56" t="s">
        <v>99</v>
      </c>
      <c r="W276" s="56" t="s">
        <v>99</v>
      </c>
      <c r="X276" s="56" t="s">
        <v>99</v>
      </c>
      <c r="Y276" s="56" t="s">
        <v>23</v>
      </c>
      <c r="Z276" s="56" t="s">
        <v>99</v>
      </c>
      <c r="AA276" s="56" t="s">
        <v>99</v>
      </c>
      <c r="AB276" s="56" t="s">
        <v>23</v>
      </c>
      <c r="AC276" s="56" t="s">
        <v>23</v>
      </c>
      <c r="AD276" s="56" t="s">
        <v>99</v>
      </c>
      <c r="AE276" s="56" t="s">
        <v>99</v>
      </c>
      <c r="AF276" s="56" t="s">
        <v>99</v>
      </c>
      <c r="AG276" s="56" t="s">
        <v>23</v>
      </c>
      <c r="AH276" s="56" t="s">
        <v>99</v>
      </c>
      <c r="AI276" s="56" t="s">
        <v>99</v>
      </c>
      <c r="AJ276" s="56" t="s">
        <v>99</v>
      </c>
      <c r="AK276" s="63" t="s">
        <v>23</v>
      </c>
      <c r="AL276" s="56" t="s">
        <v>99</v>
      </c>
      <c r="AM276" s="56" t="s">
        <v>99</v>
      </c>
      <c r="AN276" s="56" t="s">
        <v>99</v>
      </c>
      <c r="AO276" s="56" t="s">
        <v>99</v>
      </c>
      <c r="AP276" s="56" t="s">
        <v>99</v>
      </c>
      <c r="AQ276" s="56" t="s">
        <v>99</v>
      </c>
      <c r="AR276" s="56" t="s">
        <v>99</v>
      </c>
      <c r="AS276" s="56" t="s">
        <v>99</v>
      </c>
      <c r="AT276" s="56" t="s">
        <v>99</v>
      </c>
      <c r="AU276" s="56" t="s">
        <v>99</v>
      </c>
      <c r="AV276" s="56" t="s">
        <v>99</v>
      </c>
      <c r="AW276" s="56" t="s">
        <v>99</v>
      </c>
      <c r="AX276" s="56" t="s">
        <v>99</v>
      </c>
      <c r="AY276" s="56" t="s">
        <v>99</v>
      </c>
      <c r="AZ276" s="56" t="s">
        <v>99</v>
      </c>
      <c r="BA276" s="56" t="s">
        <v>99</v>
      </c>
      <c r="BB276" s="56" t="s">
        <v>99</v>
      </c>
      <c r="BC276" s="56" t="s">
        <v>99</v>
      </c>
      <c r="BD276" s="56" t="s">
        <v>99</v>
      </c>
      <c r="BE276" s="56" t="s">
        <v>99</v>
      </c>
      <c r="BF276" s="56" t="s">
        <v>99</v>
      </c>
      <c r="BG276" s="56" t="s">
        <v>99</v>
      </c>
      <c r="BH276" s="56" t="s">
        <v>99</v>
      </c>
      <c r="BI276" s="56" t="s">
        <v>99</v>
      </c>
      <c r="BJ276" s="56" t="s">
        <v>99</v>
      </c>
      <c r="BK276" s="56" t="s">
        <v>99</v>
      </c>
      <c r="BL276" s="56" t="s">
        <v>99</v>
      </c>
      <c r="BM276" s="56" t="s">
        <v>99</v>
      </c>
      <c r="BN276" s="56" t="s">
        <v>99</v>
      </c>
      <c r="BO276" s="56" t="s">
        <v>99</v>
      </c>
      <c r="BP276" s="62" t="s">
        <v>99</v>
      </c>
    </row>
    <row r="277" spans="2:68">
      <c r="B277" s="58">
        <v>9</v>
      </c>
      <c r="C277" s="59">
        <v>39</v>
      </c>
      <c r="D277" s="59" t="s">
        <v>104</v>
      </c>
      <c r="E277" s="60">
        <f>'[1]Master File'!B276</f>
        <v>46290</v>
      </c>
      <c r="F277" s="61" t="str">
        <f>'[1]Master File'!C276</f>
        <v>Lodge 5PM</v>
      </c>
      <c r="G277" s="39"/>
      <c r="I277" s="56" t="s">
        <v>99</v>
      </c>
      <c r="J277" s="56" t="s">
        <v>99</v>
      </c>
      <c r="K277" s="56" t="s">
        <v>99</v>
      </c>
      <c r="L277" s="63" t="s">
        <v>23</v>
      </c>
      <c r="M277" s="56" t="s">
        <v>99</v>
      </c>
      <c r="N277" s="56" t="s">
        <v>99</v>
      </c>
      <c r="O277" s="56" t="s">
        <v>99</v>
      </c>
      <c r="P277" s="56" t="s">
        <v>99</v>
      </c>
      <c r="Q277" s="56" t="s">
        <v>99</v>
      </c>
      <c r="R277" s="56" t="s">
        <v>99</v>
      </c>
      <c r="S277" s="56" t="s">
        <v>99</v>
      </c>
      <c r="T277" s="56" t="s">
        <v>99</v>
      </c>
      <c r="U277" s="56" t="s">
        <v>99</v>
      </c>
      <c r="V277" s="56" t="s">
        <v>99</v>
      </c>
      <c r="W277" s="56" t="s">
        <v>99</v>
      </c>
      <c r="X277" s="56" t="s">
        <v>99</v>
      </c>
      <c r="Y277" s="56" t="s">
        <v>23</v>
      </c>
      <c r="Z277" s="56" t="s">
        <v>99</v>
      </c>
      <c r="AA277" s="56" t="s">
        <v>99</v>
      </c>
      <c r="AB277" s="56" t="s">
        <v>23</v>
      </c>
      <c r="AC277" s="56" t="s">
        <v>23</v>
      </c>
      <c r="AD277" s="56" t="s">
        <v>99</v>
      </c>
      <c r="AE277" s="56" t="s">
        <v>99</v>
      </c>
      <c r="AF277" s="56" t="s">
        <v>99</v>
      </c>
      <c r="AG277" s="56" t="s">
        <v>23</v>
      </c>
      <c r="AH277" s="56" t="s">
        <v>99</v>
      </c>
      <c r="AI277" s="56" t="s">
        <v>99</v>
      </c>
      <c r="AJ277" s="56" t="s">
        <v>99</v>
      </c>
      <c r="AK277" s="63" t="s">
        <v>23</v>
      </c>
      <c r="AL277" s="56" t="s">
        <v>99</v>
      </c>
      <c r="AM277" s="56" t="s">
        <v>99</v>
      </c>
      <c r="AN277" s="56" t="s">
        <v>99</v>
      </c>
      <c r="AO277" s="56" t="s">
        <v>99</v>
      </c>
      <c r="AP277" s="56" t="s">
        <v>99</v>
      </c>
      <c r="AQ277" s="56" t="s">
        <v>99</v>
      </c>
      <c r="AR277" s="56" t="s">
        <v>99</v>
      </c>
      <c r="AS277" s="56" t="s">
        <v>99</v>
      </c>
      <c r="AT277" s="56" t="s">
        <v>99</v>
      </c>
      <c r="AU277" s="56" t="s">
        <v>99</v>
      </c>
      <c r="AV277" s="56" t="s">
        <v>99</v>
      </c>
      <c r="AW277" s="56" t="s">
        <v>99</v>
      </c>
      <c r="AX277" s="56" t="s">
        <v>99</v>
      </c>
      <c r="AY277" s="56" t="s">
        <v>99</v>
      </c>
      <c r="AZ277" s="56" t="s">
        <v>99</v>
      </c>
      <c r="BA277" s="56" t="s">
        <v>99</v>
      </c>
      <c r="BB277" s="56" t="s">
        <v>99</v>
      </c>
      <c r="BC277" s="56" t="s">
        <v>99</v>
      </c>
      <c r="BD277" s="56" t="s">
        <v>99</v>
      </c>
      <c r="BE277" s="56" t="s">
        <v>99</v>
      </c>
      <c r="BF277" s="56" t="s">
        <v>99</v>
      </c>
      <c r="BG277" s="56" t="s">
        <v>99</v>
      </c>
      <c r="BH277" s="56" t="s">
        <v>99</v>
      </c>
      <c r="BI277" s="56" t="s">
        <v>99</v>
      </c>
      <c r="BJ277" s="56" t="s">
        <v>99</v>
      </c>
      <c r="BK277" s="56" t="s">
        <v>99</v>
      </c>
      <c r="BL277" s="56" t="s">
        <v>99</v>
      </c>
      <c r="BM277" s="56" t="s">
        <v>99</v>
      </c>
      <c r="BN277" s="56" t="s">
        <v>99</v>
      </c>
      <c r="BO277" s="56" t="s">
        <v>99</v>
      </c>
      <c r="BP277" s="62" t="s">
        <v>99</v>
      </c>
    </row>
    <row r="278" spans="2:68">
      <c r="B278" s="58">
        <v>9</v>
      </c>
      <c r="C278" s="59">
        <v>39</v>
      </c>
      <c r="D278" s="59" t="s">
        <v>105</v>
      </c>
      <c r="E278" s="60">
        <f>'[1]Master File'!B277</f>
        <v>46291</v>
      </c>
      <c r="F278" s="61" t="str">
        <f>'[1]Master File'!C277</f>
        <v>Explorer 5PM</v>
      </c>
      <c r="G278" s="39"/>
      <c r="I278" s="67" t="s">
        <v>99</v>
      </c>
      <c r="J278" s="67" t="s">
        <v>99</v>
      </c>
      <c r="K278" s="67" t="s">
        <v>99</v>
      </c>
      <c r="L278" s="63" t="s">
        <v>23</v>
      </c>
      <c r="M278" s="67" t="s">
        <v>99</v>
      </c>
      <c r="N278" s="67" t="s">
        <v>99</v>
      </c>
      <c r="O278" s="67" t="s">
        <v>99</v>
      </c>
      <c r="P278" s="67" t="s">
        <v>99</v>
      </c>
      <c r="Q278" s="67" t="s">
        <v>99</v>
      </c>
      <c r="R278" s="67" t="s">
        <v>99</v>
      </c>
      <c r="S278" s="67" t="s">
        <v>99</v>
      </c>
      <c r="T278" s="67" t="s">
        <v>99</v>
      </c>
      <c r="U278" s="67" t="s">
        <v>99</v>
      </c>
      <c r="V278" s="67" t="s">
        <v>99</v>
      </c>
      <c r="W278" s="67" t="s">
        <v>99</v>
      </c>
      <c r="X278" s="67" t="s">
        <v>99</v>
      </c>
      <c r="Y278" s="56" t="s">
        <v>23</v>
      </c>
      <c r="Z278" s="67" t="s">
        <v>99</v>
      </c>
      <c r="AA278" s="67" t="s">
        <v>99</v>
      </c>
      <c r="AB278" s="67" t="s">
        <v>99</v>
      </c>
      <c r="AC278" s="63" t="s">
        <v>23</v>
      </c>
      <c r="AD278" s="67" t="s">
        <v>99</v>
      </c>
      <c r="AE278" s="67" t="s">
        <v>99</v>
      </c>
      <c r="AF278" s="67" t="s">
        <v>99</v>
      </c>
      <c r="AG278" s="67" t="s">
        <v>23</v>
      </c>
      <c r="AH278" s="67" t="s">
        <v>99</v>
      </c>
      <c r="AI278" s="67" t="s">
        <v>99</v>
      </c>
      <c r="AJ278" s="67" t="s">
        <v>99</v>
      </c>
      <c r="AK278" s="63" t="s">
        <v>23</v>
      </c>
      <c r="AL278" s="67" t="s">
        <v>99</v>
      </c>
      <c r="AM278" s="67" t="s">
        <v>99</v>
      </c>
      <c r="AN278" s="67" t="s">
        <v>99</v>
      </c>
      <c r="AO278" s="67" t="s">
        <v>99</v>
      </c>
      <c r="AP278" s="67" t="s">
        <v>99</v>
      </c>
      <c r="AQ278" s="67" t="s">
        <v>23</v>
      </c>
      <c r="AR278" s="67" t="s">
        <v>99</v>
      </c>
      <c r="AS278" s="67" t="s">
        <v>99</v>
      </c>
      <c r="AT278" s="67" t="s">
        <v>99</v>
      </c>
      <c r="AU278" s="67" t="s">
        <v>99</v>
      </c>
      <c r="AV278" s="67" t="s">
        <v>99</v>
      </c>
      <c r="AW278" s="67" t="s">
        <v>99</v>
      </c>
      <c r="AX278" s="67" t="s">
        <v>99</v>
      </c>
      <c r="AY278" s="67" t="s">
        <v>99</v>
      </c>
      <c r="AZ278" s="67" t="s">
        <v>99</v>
      </c>
      <c r="BA278" s="67" t="s">
        <v>99</v>
      </c>
      <c r="BB278" s="67" t="s">
        <v>99</v>
      </c>
      <c r="BC278" s="67" t="s">
        <v>99</v>
      </c>
      <c r="BD278" s="67" t="s">
        <v>99</v>
      </c>
      <c r="BE278" s="67" t="s">
        <v>99</v>
      </c>
      <c r="BF278" s="67" t="s">
        <v>99</v>
      </c>
      <c r="BG278" s="67" t="s">
        <v>99</v>
      </c>
      <c r="BH278" s="67" t="s">
        <v>99</v>
      </c>
      <c r="BI278" s="67" t="s">
        <v>99</v>
      </c>
      <c r="BJ278" s="67" t="s">
        <v>99</v>
      </c>
      <c r="BK278" s="67" t="s">
        <v>99</v>
      </c>
      <c r="BL278" s="67" t="s">
        <v>99</v>
      </c>
      <c r="BM278" s="67" t="s">
        <v>99</v>
      </c>
      <c r="BN278" s="67" t="s">
        <v>99</v>
      </c>
      <c r="BO278" s="67" t="s">
        <v>99</v>
      </c>
      <c r="BP278" s="68" t="s">
        <v>99</v>
      </c>
    </row>
    <row r="279" spans="2:68">
      <c r="B279" s="58">
        <v>10</v>
      </c>
      <c r="C279" s="59">
        <v>40</v>
      </c>
      <c r="D279" s="59" t="s">
        <v>98</v>
      </c>
      <c r="E279" s="60">
        <f>'[1]Master File'!B278</f>
        <v>46292</v>
      </c>
      <c r="F279" s="61" t="str">
        <f>'[1]Master File'!C278</f>
        <v>Explorer 5PM</v>
      </c>
      <c r="G279" s="39"/>
      <c r="I279" s="67" t="s">
        <v>99</v>
      </c>
      <c r="J279" s="67" t="s">
        <v>99</v>
      </c>
      <c r="K279" s="67" t="s">
        <v>99</v>
      </c>
      <c r="L279" s="63" t="s">
        <v>23</v>
      </c>
      <c r="M279" s="67" t="s">
        <v>99</v>
      </c>
      <c r="N279" s="67" t="s">
        <v>99</v>
      </c>
      <c r="O279" s="67" t="s">
        <v>99</v>
      </c>
      <c r="P279" s="67" t="s">
        <v>99</v>
      </c>
      <c r="Q279" s="67" t="s">
        <v>99</v>
      </c>
      <c r="R279" s="67" t="s">
        <v>99</v>
      </c>
      <c r="S279" s="67" t="s">
        <v>99</v>
      </c>
      <c r="T279" s="67" t="s">
        <v>99</v>
      </c>
      <c r="U279" s="67" t="s">
        <v>99</v>
      </c>
      <c r="V279" s="67" t="s">
        <v>99</v>
      </c>
      <c r="W279" s="67" t="s">
        <v>99</v>
      </c>
      <c r="X279" s="67" t="s">
        <v>99</v>
      </c>
      <c r="Y279" s="56" t="s">
        <v>23</v>
      </c>
      <c r="Z279" s="67" t="s">
        <v>99</v>
      </c>
      <c r="AA279" s="67" t="s">
        <v>99</v>
      </c>
      <c r="AB279" s="67" t="s">
        <v>99</v>
      </c>
      <c r="AC279" s="63" t="s">
        <v>23</v>
      </c>
      <c r="AD279" s="67" t="s">
        <v>99</v>
      </c>
      <c r="AE279" s="67" t="s">
        <v>99</v>
      </c>
      <c r="AF279" s="67" t="s">
        <v>99</v>
      </c>
      <c r="AG279" s="67" t="s">
        <v>23</v>
      </c>
      <c r="AH279" s="67" t="s">
        <v>99</v>
      </c>
      <c r="AI279" s="67" t="s">
        <v>99</v>
      </c>
      <c r="AJ279" s="67" t="s">
        <v>99</v>
      </c>
      <c r="AK279" s="63" t="s">
        <v>23</v>
      </c>
      <c r="AL279" s="67" t="s">
        <v>99</v>
      </c>
      <c r="AM279" s="67" t="s">
        <v>99</v>
      </c>
      <c r="AN279" s="67" t="s">
        <v>99</v>
      </c>
      <c r="AO279" s="67" t="s">
        <v>99</v>
      </c>
      <c r="AP279" s="67" t="s">
        <v>99</v>
      </c>
      <c r="AQ279" s="67" t="s">
        <v>23</v>
      </c>
      <c r="AR279" s="67" t="s">
        <v>99</v>
      </c>
      <c r="AS279" s="67" t="s">
        <v>99</v>
      </c>
      <c r="AT279" s="67" t="s">
        <v>99</v>
      </c>
      <c r="AU279" s="67" t="s">
        <v>99</v>
      </c>
      <c r="AV279" s="67" t="s">
        <v>99</v>
      </c>
      <c r="AW279" s="67" t="s">
        <v>99</v>
      </c>
      <c r="AX279" s="67" t="s">
        <v>99</v>
      </c>
      <c r="AY279" s="67" t="s">
        <v>99</v>
      </c>
      <c r="AZ279" s="67" t="s">
        <v>99</v>
      </c>
      <c r="BA279" s="67" t="s">
        <v>99</v>
      </c>
      <c r="BB279" s="67" t="s">
        <v>99</v>
      </c>
      <c r="BC279" s="67" t="s">
        <v>99</v>
      </c>
      <c r="BD279" s="67" t="s">
        <v>99</v>
      </c>
      <c r="BE279" s="67" t="s">
        <v>99</v>
      </c>
      <c r="BF279" s="67" t="s">
        <v>99</v>
      </c>
      <c r="BG279" s="67" t="s">
        <v>99</v>
      </c>
      <c r="BH279" s="67" t="s">
        <v>99</v>
      </c>
      <c r="BI279" s="67" t="s">
        <v>99</v>
      </c>
      <c r="BJ279" s="67" t="s">
        <v>99</v>
      </c>
      <c r="BK279" s="67" t="s">
        <v>99</v>
      </c>
      <c r="BL279" s="67" t="s">
        <v>99</v>
      </c>
      <c r="BM279" s="67" t="s">
        <v>99</v>
      </c>
      <c r="BN279" s="67" t="s">
        <v>99</v>
      </c>
      <c r="BO279" s="67" t="s">
        <v>99</v>
      </c>
      <c r="BP279" s="68" t="s">
        <v>99</v>
      </c>
    </row>
    <row r="280" spans="2:68">
      <c r="B280" s="58">
        <v>10</v>
      </c>
      <c r="C280" s="59">
        <v>40</v>
      </c>
      <c r="D280" s="59" t="s">
        <v>100</v>
      </c>
      <c r="E280" s="60">
        <f>'[1]Master File'!B279</f>
        <v>46293</v>
      </c>
      <c r="F280" s="61" t="str">
        <f>'[1]Master File'!C279</f>
        <v>Lodge 5PM</v>
      </c>
      <c r="G280" s="39"/>
      <c r="I280" s="56" t="s">
        <v>99</v>
      </c>
      <c r="J280" s="56" t="s">
        <v>99</v>
      </c>
      <c r="K280" s="56" t="s">
        <v>99</v>
      </c>
      <c r="L280" s="63" t="s">
        <v>23</v>
      </c>
      <c r="M280" s="56" t="s">
        <v>99</v>
      </c>
      <c r="N280" s="56" t="s">
        <v>99</v>
      </c>
      <c r="O280" s="56" t="s">
        <v>99</v>
      </c>
      <c r="P280" s="56" t="s">
        <v>99</v>
      </c>
      <c r="Q280" s="56" t="s">
        <v>99</v>
      </c>
      <c r="R280" s="56" t="s">
        <v>99</v>
      </c>
      <c r="S280" s="56" t="s">
        <v>99</v>
      </c>
      <c r="T280" s="56" t="s">
        <v>99</v>
      </c>
      <c r="U280" s="56" t="s">
        <v>99</v>
      </c>
      <c r="V280" s="56" t="s">
        <v>99</v>
      </c>
      <c r="W280" s="56" t="s">
        <v>99</v>
      </c>
      <c r="X280" s="56" t="s">
        <v>99</v>
      </c>
      <c r="Y280" s="56" t="s">
        <v>23</v>
      </c>
      <c r="Z280" s="56" t="s">
        <v>99</v>
      </c>
      <c r="AA280" s="56" t="s">
        <v>99</v>
      </c>
      <c r="AB280" s="56" t="s">
        <v>23</v>
      </c>
      <c r="AC280" s="56" t="s">
        <v>99</v>
      </c>
      <c r="AD280" s="56" t="s">
        <v>99</v>
      </c>
      <c r="AE280" s="56" t="s">
        <v>99</v>
      </c>
      <c r="AF280" s="56" t="s">
        <v>99</v>
      </c>
      <c r="AG280" s="56" t="s">
        <v>23</v>
      </c>
      <c r="AH280" s="56" t="s">
        <v>99</v>
      </c>
      <c r="AI280" s="56" t="s">
        <v>99</v>
      </c>
      <c r="AJ280" s="56" t="s">
        <v>99</v>
      </c>
      <c r="AK280" s="63" t="s">
        <v>23</v>
      </c>
      <c r="AL280" s="56" t="s">
        <v>99</v>
      </c>
      <c r="AM280" s="56" t="s">
        <v>99</v>
      </c>
      <c r="AN280" s="56" t="s">
        <v>99</v>
      </c>
      <c r="AO280" s="56" t="s">
        <v>99</v>
      </c>
      <c r="AP280" s="56" t="s">
        <v>99</v>
      </c>
      <c r="AQ280" s="56" t="s">
        <v>99</v>
      </c>
      <c r="AR280" s="56" t="s">
        <v>99</v>
      </c>
      <c r="AS280" s="56" t="s">
        <v>99</v>
      </c>
      <c r="AT280" s="56" t="s">
        <v>99</v>
      </c>
      <c r="AU280" s="56" t="s">
        <v>99</v>
      </c>
      <c r="AV280" s="56" t="s">
        <v>99</v>
      </c>
      <c r="AW280" s="56" t="s">
        <v>99</v>
      </c>
      <c r="AX280" s="56" t="s">
        <v>99</v>
      </c>
      <c r="AY280" s="56" t="s">
        <v>99</v>
      </c>
      <c r="AZ280" s="56" t="s">
        <v>99</v>
      </c>
      <c r="BA280" s="56" t="s">
        <v>99</v>
      </c>
      <c r="BB280" s="56" t="s">
        <v>99</v>
      </c>
      <c r="BC280" s="56" t="s">
        <v>99</v>
      </c>
      <c r="BD280" s="56" t="s">
        <v>99</v>
      </c>
      <c r="BE280" s="56" t="s">
        <v>99</v>
      </c>
      <c r="BF280" s="56" t="s">
        <v>99</v>
      </c>
      <c r="BG280" s="56" t="s">
        <v>99</v>
      </c>
      <c r="BH280" s="56" t="s">
        <v>99</v>
      </c>
      <c r="BI280" s="56" t="s">
        <v>99</v>
      </c>
      <c r="BJ280" s="56" t="s">
        <v>99</v>
      </c>
      <c r="BK280" s="56" t="s">
        <v>99</v>
      </c>
      <c r="BL280" s="56" t="s">
        <v>99</v>
      </c>
      <c r="BM280" s="56" t="s">
        <v>99</v>
      </c>
      <c r="BN280" s="56" t="s">
        <v>99</v>
      </c>
      <c r="BO280" s="56" t="s">
        <v>99</v>
      </c>
      <c r="BP280" s="62" t="s">
        <v>99</v>
      </c>
    </row>
    <row r="281" spans="2:68">
      <c r="B281" s="58">
        <v>10</v>
      </c>
      <c r="C281" s="59">
        <v>40</v>
      </c>
      <c r="D281" s="59" t="s">
        <v>101</v>
      </c>
      <c r="E281" s="60">
        <f>'[1]Master File'!B280</f>
        <v>46294</v>
      </c>
      <c r="F281" s="61" t="str">
        <f>'[1]Master File'!C280</f>
        <v>Closed</v>
      </c>
      <c r="G281" s="39"/>
      <c r="I281" s="56" t="s">
        <v>99</v>
      </c>
      <c r="J281" s="56" t="s">
        <v>99</v>
      </c>
      <c r="K281" s="56" t="s">
        <v>99</v>
      </c>
      <c r="L281" s="63" t="s">
        <v>23</v>
      </c>
      <c r="M281" s="56" t="s">
        <v>99</v>
      </c>
      <c r="N281" s="56" t="s">
        <v>99</v>
      </c>
      <c r="O281" s="56" t="s">
        <v>99</v>
      </c>
      <c r="P281" s="56" t="s">
        <v>99</v>
      </c>
      <c r="Q281" s="56" t="s">
        <v>99</v>
      </c>
      <c r="R281" s="56" t="s">
        <v>99</v>
      </c>
      <c r="S281" s="56" t="s">
        <v>99</v>
      </c>
      <c r="T281" s="56" t="s">
        <v>99</v>
      </c>
      <c r="U281" s="56" t="s">
        <v>99</v>
      </c>
      <c r="V281" s="56" t="s">
        <v>99</v>
      </c>
      <c r="W281" s="56" t="s">
        <v>99</v>
      </c>
      <c r="X281" s="56" t="s">
        <v>99</v>
      </c>
      <c r="Y281" s="56" t="s">
        <v>23</v>
      </c>
      <c r="Z281" s="56" t="s">
        <v>99</v>
      </c>
      <c r="AA281" s="56" t="s">
        <v>99</v>
      </c>
      <c r="AB281" s="56" t="s">
        <v>23</v>
      </c>
      <c r="AC281" s="56" t="s">
        <v>23</v>
      </c>
      <c r="AD281" s="56" t="s">
        <v>99</v>
      </c>
      <c r="AE281" s="56" t="s">
        <v>99</v>
      </c>
      <c r="AF281" s="56" t="s">
        <v>99</v>
      </c>
      <c r="AG281" s="56" t="s">
        <v>23</v>
      </c>
      <c r="AH281" s="56" t="s">
        <v>99</v>
      </c>
      <c r="AI281" s="56" t="s">
        <v>99</v>
      </c>
      <c r="AJ281" s="56" t="s">
        <v>99</v>
      </c>
      <c r="AK281" s="63" t="s">
        <v>23</v>
      </c>
      <c r="AL281" s="56" t="s">
        <v>99</v>
      </c>
      <c r="AM281" s="56" t="s">
        <v>99</v>
      </c>
      <c r="AN281" s="56" t="s">
        <v>99</v>
      </c>
      <c r="AO281" s="56" t="s">
        <v>99</v>
      </c>
      <c r="AP281" s="56" t="s">
        <v>99</v>
      </c>
      <c r="AQ281" s="56" t="s">
        <v>99</v>
      </c>
      <c r="AR281" s="56" t="s">
        <v>99</v>
      </c>
      <c r="AS281" s="56" t="s">
        <v>99</v>
      </c>
      <c r="AT281" s="56" t="s">
        <v>99</v>
      </c>
      <c r="AU281" s="56" t="s">
        <v>99</v>
      </c>
      <c r="AV281" s="56" t="s">
        <v>99</v>
      </c>
      <c r="AW281" s="56" t="s">
        <v>99</v>
      </c>
      <c r="AX281" s="56" t="s">
        <v>99</v>
      </c>
      <c r="AY281" s="56" t="s">
        <v>99</v>
      </c>
      <c r="AZ281" s="56" t="s">
        <v>99</v>
      </c>
      <c r="BA281" s="56" t="s">
        <v>99</v>
      </c>
      <c r="BB281" s="56" t="s">
        <v>99</v>
      </c>
      <c r="BC281" s="56" t="s">
        <v>99</v>
      </c>
      <c r="BD281" s="56" t="s">
        <v>99</v>
      </c>
      <c r="BE281" s="56" t="s">
        <v>99</v>
      </c>
      <c r="BF281" s="56" t="s">
        <v>99</v>
      </c>
      <c r="BG281" s="56" t="s">
        <v>99</v>
      </c>
      <c r="BH281" s="56" t="s">
        <v>99</v>
      </c>
      <c r="BI281" s="56" t="s">
        <v>99</v>
      </c>
      <c r="BJ281" s="56" t="s">
        <v>99</v>
      </c>
      <c r="BK281" s="56" t="s">
        <v>99</v>
      </c>
      <c r="BL281" s="56" t="s">
        <v>99</v>
      </c>
      <c r="BM281" s="56" t="s">
        <v>99</v>
      </c>
      <c r="BN281" s="56" t="s">
        <v>99</v>
      </c>
      <c r="BO281" s="56" t="s">
        <v>99</v>
      </c>
      <c r="BP281" s="62" t="s">
        <v>99</v>
      </c>
    </row>
    <row r="282" spans="2:68">
      <c r="B282" s="58">
        <v>10</v>
      </c>
      <c r="C282" s="59">
        <v>40</v>
      </c>
      <c r="D282" s="59" t="s">
        <v>102</v>
      </c>
      <c r="E282" s="60">
        <f>'[1]Master File'!B281</f>
        <v>46295</v>
      </c>
      <c r="F282" s="61" t="str">
        <f>'[1]Master File'!C281</f>
        <v>Closed</v>
      </c>
      <c r="G282" s="39"/>
      <c r="I282" s="56" t="s">
        <v>99</v>
      </c>
      <c r="J282" s="56" t="s">
        <v>99</v>
      </c>
      <c r="K282" s="56" t="s">
        <v>99</v>
      </c>
      <c r="L282" s="63" t="s">
        <v>23</v>
      </c>
      <c r="M282" s="56" t="s">
        <v>99</v>
      </c>
      <c r="N282" s="56" t="s">
        <v>99</v>
      </c>
      <c r="O282" s="56" t="s">
        <v>99</v>
      </c>
      <c r="P282" s="56" t="s">
        <v>99</v>
      </c>
      <c r="Q282" s="56" t="s">
        <v>99</v>
      </c>
      <c r="R282" s="56" t="s">
        <v>99</v>
      </c>
      <c r="S282" s="56" t="s">
        <v>99</v>
      </c>
      <c r="T282" s="56" t="s">
        <v>99</v>
      </c>
      <c r="U282" s="56" t="s">
        <v>99</v>
      </c>
      <c r="V282" s="56" t="s">
        <v>99</v>
      </c>
      <c r="W282" s="56" t="s">
        <v>99</v>
      </c>
      <c r="X282" s="56" t="s">
        <v>99</v>
      </c>
      <c r="Y282" s="56" t="s">
        <v>23</v>
      </c>
      <c r="Z282" s="56" t="s">
        <v>99</v>
      </c>
      <c r="AA282" s="56" t="s">
        <v>99</v>
      </c>
      <c r="AB282" s="56" t="s">
        <v>23</v>
      </c>
      <c r="AC282" s="56" t="s">
        <v>23</v>
      </c>
      <c r="AD282" s="56" t="s">
        <v>99</v>
      </c>
      <c r="AE282" s="56" t="s">
        <v>99</v>
      </c>
      <c r="AF282" s="56" t="s">
        <v>99</v>
      </c>
      <c r="AG282" s="56" t="s">
        <v>23</v>
      </c>
      <c r="AH282" s="56" t="s">
        <v>99</v>
      </c>
      <c r="AI282" s="56" t="s">
        <v>99</v>
      </c>
      <c r="AJ282" s="56" t="s">
        <v>99</v>
      </c>
      <c r="AK282" s="63" t="s">
        <v>23</v>
      </c>
      <c r="AL282" s="56" t="s">
        <v>99</v>
      </c>
      <c r="AM282" s="56" t="s">
        <v>99</v>
      </c>
      <c r="AN282" s="56" t="s">
        <v>99</v>
      </c>
      <c r="AO282" s="56" t="s">
        <v>99</v>
      </c>
      <c r="AP282" s="56" t="s">
        <v>99</v>
      </c>
      <c r="AQ282" s="56" t="s">
        <v>99</v>
      </c>
      <c r="AR282" s="56" t="s">
        <v>99</v>
      </c>
      <c r="AS282" s="56" t="s">
        <v>99</v>
      </c>
      <c r="AT282" s="56" t="s">
        <v>99</v>
      </c>
      <c r="AU282" s="56" t="s">
        <v>99</v>
      </c>
      <c r="AV282" s="56" t="s">
        <v>99</v>
      </c>
      <c r="AW282" s="56" t="s">
        <v>99</v>
      </c>
      <c r="AX282" s="56" t="s">
        <v>99</v>
      </c>
      <c r="AY282" s="56" t="s">
        <v>99</v>
      </c>
      <c r="AZ282" s="56" t="s">
        <v>99</v>
      </c>
      <c r="BA282" s="56" t="s">
        <v>99</v>
      </c>
      <c r="BB282" s="56" t="s">
        <v>99</v>
      </c>
      <c r="BC282" s="56" t="s">
        <v>99</v>
      </c>
      <c r="BD282" s="56" t="s">
        <v>99</v>
      </c>
      <c r="BE282" s="56" t="s">
        <v>99</v>
      </c>
      <c r="BF282" s="56" t="s">
        <v>99</v>
      </c>
      <c r="BG282" s="56" t="s">
        <v>99</v>
      </c>
      <c r="BH282" s="56" t="s">
        <v>99</v>
      </c>
      <c r="BI282" s="56" t="s">
        <v>99</v>
      </c>
      <c r="BJ282" s="56" t="s">
        <v>99</v>
      </c>
      <c r="BK282" s="56" t="s">
        <v>99</v>
      </c>
      <c r="BL282" s="56" t="s">
        <v>99</v>
      </c>
      <c r="BM282" s="56" t="s">
        <v>99</v>
      </c>
      <c r="BN282" s="56" t="s">
        <v>99</v>
      </c>
      <c r="BO282" s="56" t="s">
        <v>99</v>
      </c>
      <c r="BP282" s="62" t="s">
        <v>99</v>
      </c>
    </row>
    <row r="283" spans="2:68">
      <c r="B283" s="58">
        <v>10</v>
      </c>
      <c r="C283" s="59">
        <v>40</v>
      </c>
      <c r="D283" s="59" t="s">
        <v>103</v>
      </c>
      <c r="E283" s="60">
        <f>'[1]Master File'!B282</f>
        <v>46296</v>
      </c>
      <c r="F283" s="61" t="str">
        <f>'[1]Master File'!C282</f>
        <v>Lodge 5PM</v>
      </c>
      <c r="G283" s="39"/>
      <c r="I283" s="56" t="s">
        <v>99</v>
      </c>
      <c r="J283" s="56" t="s">
        <v>99</v>
      </c>
      <c r="K283" s="56" t="s">
        <v>99</v>
      </c>
      <c r="L283" s="63" t="s">
        <v>23</v>
      </c>
      <c r="M283" s="56" t="s">
        <v>99</v>
      </c>
      <c r="N283" s="56" t="s">
        <v>99</v>
      </c>
      <c r="O283" s="56" t="s">
        <v>99</v>
      </c>
      <c r="P283" s="56" t="s">
        <v>99</v>
      </c>
      <c r="Q283" s="56" t="s">
        <v>99</v>
      </c>
      <c r="R283" s="56" t="s">
        <v>99</v>
      </c>
      <c r="S283" s="56" t="s">
        <v>99</v>
      </c>
      <c r="T283" s="56" t="s">
        <v>99</v>
      </c>
      <c r="U283" s="56" t="s">
        <v>99</v>
      </c>
      <c r="V283" s="56" t="s">
        <v>99</v>
      </c>
      <c r="W283" s="56" t="s">
        <v>99</v>
      </c>
      <c r="X283" s="56" t="s">
        <v>99</v>
      </c>
      <c r="Y283" s="56" t="s">
        <v>23</v>
      </c>
      <c r="Z283" s="56" t="s">
        <v>99</v>
      </c>
      <c r="AA283" s="56" t="s">
        <v>99</v>
      </c>
      <c r="AB283" s="56" t="s">
        <v>23</v>
      </c>
      <c r="AC283" s="56" t="s">
        <v>23</v>
      </c>
      <c r="AD283" s="56" t="s">
        <v>99</v>
      </c>
      <c r="AE283" s="56" t="s">
        <v>99</v>
      </c>
      <c r="AF283" s="56" t="s">
        <v>99</v>
      </c>
      <c r="AG283" s="56" t="s">
        <v>23</v>
      </c>
      <c r="AH283" s="56" t="s">
        <v>99</v>
      </c>
      <c r="AI283" s="56" t="s">
        <v>99</v>
      </c>
      <c r="AJ283" s="56" t="s">
        <v>99</v>
      </c>
      <c r="AK283" s="63" t="s">
        <v>23</v>
      </c>
      <c r="AL283" s="56" t="s">
        <v>99</v>
      </c>
      <c r="AM283" s="56" t="s">
        <v>99</v>
      </c>
      <c r="AN283" s="56" t="s">
        <v>99</v>
      </c>
      <c r="AO283" s="56" t="s">
        <v>99</v>
      </c>
      <c r="AP283" s="56" t="s">
        <v>99</v>
      </c>
      <c r="AQ283" s="56" t="s">
        <v>99</v>
      </c>
      <c r="AR283" s="56" t="s">
        <v>99</v>
      </c>
      <c r="AS283" s="56" t="s">
        <v>99</v>
      </c>
      <c r="AT283" s="56" t="s">
        <v>99</v>
      </c>
      <c r="AU283" s="56" t="s">
        <v>99</v>
      </c>
      <c r="AV283" s="56" t="s">
        <v>99</v>
      </c>
      <c r="AW283" s="56" t="s">
        <v>99</v>
      </c>
      <c r="AX283" s="56" t="s">
        <v>99</v>
      </c>
      <c r="AY283" s="56" t="s">
        <v>99</v>
      </c>
      <c r="AZ283" s="56" t="s">
        <v>99</v>
      </c>
      <c r="BA283" s="56" t="s">
        <v>99</v>
      </c>
      <c r="BB283" s="56" t="s">
        <v>99</v>
      </c>
      <c r="BC283" s="56" t="s">
        <v>99</v>
      </c>
      <c r="BD283" s="56" t="s">
        <v>99</v>
      </c>
      <c r="BE283" s="56" t="s">
        <v>99</v>
      </c>
      <c r="BF283" s="56" t="s">
        <v>99</v>
      </c>
      <c r="BG283" s="56" t="s">
        <v>99</v>
      </c>
      <c r="BH283" s="56" t="s">
        <v>99</v>
      </c>
      <c r="BI283" s="56" t="s">
        <v>99</v>
      </c>
      <c r="BJ283" s="56" t="s">
        <v>99</v>
      </c>
      <c r="BK283" s="56" t="s">
        <v>99</v>
      </c>
      <c r="BL283" s="56" t="s">
        <v>99</v>
      </c>
      <c r="BM283" s="56" t="s">
        <v>99</v>
      </c>
      <c r="BN283" s="56" t="s">
        <v>99</v>
      </c>
      <c r="BO283" s="56" t="s">
        <v>99</v>
      </c>
      <c r="BP283" s="62" t="s">
        <v>99</v>
      </c>
    </row>
    <row r="284" spans="2:68">
      <c r="B284" s="58">
        <v>10</v>
      </c>
      <c r="C284" s="59">
        <v>40</v>
      </c>
      <c r="D284" s="59" t="s">
        <v>104</v>
      </c>
      <c r="E284" s="60">
        <f>'[1]Master File'!B283</f>
        <v>46297</v>
      </c>
      <c r="F284" s="61" t="str">
        <f>'[1]Master File'!C283</f>
        <v>Lodge 5PM</v>
      </c>
      <c r="G284" s="39"/>
      <c r="I284" s="56" t="s">
        <v>99</v>
      </c>
      <c r="J284" s="56" t="s">
        <v>99</v>
      </c>
      <c r="K284" s="56" t="s">
        <v>99</v>
      </c>
      <c r="L284" s="63" t="s">
        <v>23</v>
      </c>
      <c r="M284" s="56" t="s">
        <v>99</v>
      </c>
      <c r="N284" s="56" t="s">
        <v>99</v>
      </c>
      <c r="O284" s="56" t="s">
        <v>99</v>
      </c>
      <c r="P284" s="56" t="s">
        <v>99</v>
      </c>
      <c r="Q284" s="56" t="s">
        <v>99</v>
      </c>
      <c r="R284" s="56" t="s">
        <v>99</v>
      </c>
      <c r="S284" s="56" t="s">
        <v>99</v>
      </c>
      <c r="T284" s="56" t="s">
        <v>99</v>
      </c>
      <c r="U284" s="56" t="s">
        <v>99</v>
      </c>
      <c r="V284" s="56" t="s">
        <v>99</v>
      </c>
      <c r="W284" s="56" t="s">
        <v>99</v>
      </c>
      <c r="X284" s="56" t="s">
        <v>99</v>
      </c>
      <c r="Y284" s="56" t="s">
        <v>23</v>
      </c>
      <c r="Z284" s="56" t="s">
        <v>99</v>
      </c>
      <c r="AA284" s="56" t="s">
        <v>99</v>
      </c>
      <c r="AB284" s="56" t="s">
        <v>23</v>
      </c>
      <c r="AC284" s="56" t="s">
        <v>23</v>
      </c>
      <c r="AD284" s="56" t="s">
        <v>99</v>
      </c>
      <c r="AE284" s="56" t="s">
        <v>99</v>
      </c>
      <c r="AF284" s="56" t="s">
        <v>99</v>
      </c>
      <c r="AG284" s="56" t="s">
        <v>23</v>
      </c>
      <c r="AH284" s="56" t="s">
        <v>99</v>
      </c>
      <c r="AI284" s="56" t="s">
        <v>99</v>
      </c>
      <c r="AJ284" s="56" t="s">
        <v>99</v>
      </c>
      <c r="AK284" s="63" t="s">
        <v>23</v>
      </c>
      <c r="AL284" s="56" t="s">
        <v>99</v>
      </c>
      <c r="AM284" s="56" t="s">
        <v>99</v>
      </c>
      <c r="AN284" s="56" t="s">
        <v>99</v>
      </c>
      <c r="AO284" s="56" t="s">
        <v>99</v>
      </c>
      <c r="AP284" s="56" t="s">
        <v>99</v>
      </c>
      <c r="AQ284" s="56" t="s">
        <v>99</v>
      </c>
      <c r="AR284" s="56" t="s">
        <v>99</v>
      </c>
      <c r="AS284" s="56" t="s">
        <v>99</v>
      </c>
      <c r="AT284" s="56" t="s">
        <v>99</v>
      </c>
      <c r="AU284" s="56" t="s">
        <v>99</v>
      </c>
      <c r="AV284" s="56" t="s">
        <v>99</v>
      </c>
      <c r="AW284" s="56" t="s">
        <v>99</v>
      </c>
      <c r="AX284" s="56" t="s">
        <v>99</v>
      </c>
      <c r="AY284" s="56" t="s">
        <v>99</v>
      </c>
      <c r="AZ284" s="56" t="s">
        <v>99</v>
      </c>
      <c r="BA284" s="56" t="s">
        <v>99</v>
      </c>
      <c r="BB284" s="56" t="s">
        <v>99</v>
      </c>
      <c r="BC284" s="56" t="s">
        <v>99</v>
      </c>
      <c r="BD284" s="56" t="s">
        <v>99</v>
      </c>
      <c r="BE284" s="56" t="s">
        <v>99</v>
      </c>
      <c r="BF284" s="56" t="s">
        <v>99</v>
      </c>
      <c r="BG284" s="56" t="s">
        <v>99</v>
      </c>
      <c r="BH284" s="56" t="s">
        <v>99</v>
      </c>
      <c r="BI284" s="56" t="s">
        <v>99</v>
      </c>
      <c r="BJ284" s="56" t="s">
        <v>99</v>
      </c>
      <c r="BK284" s="56" t="s">
        <v>99</v>
      </c>
      <c r="BL284" s="56" t="s">
        <v>99</v>
      </c>
      <c r="BM284" s="56" t="s">
        <v>99</v>
      </c>
      <c r="BN284" s="56" t="s">
        <v>99</v>
      </c>
      <c r="BO284" s="56" t="s">
        <v>99</v>
      </c>
      <c r="BP284" s="62" t="s">
        <v>99</v>
      </c>
    </row>
    <row r="285" spans="2:68">
      <c r="B285" s="58">
        <v>10</v>
      </c>
      <c r="C285" s="59">
        <v>40</v>
      </c>
      <c r="D285" s="59" t="s">
        <v>105</v>
      </c>
      <c r="E285" s="60">
        <f>'[1]Master File'!B284</f>
        <v>46298</v>
      </c>
      <c r="F285" s="61" t="str">
        <f>'[1]Master File'!C284</f>
        <v>Explorer 5PM</v>
      </c>
      <c r="G285" s="39"/>
      <c r="I285" s="67" t="s">
        <v>99</v>
      </c>
      <c r="J285" s="67" t="s">
        <v>99</v>
      </c>
      <c r="K285" s="67" t="s">
        <v>99</v>
      </c>
      <c r="L285" s="63" t="s">
        <v>23</v>
      </c>
      <c r="M285" s="67" t="s">
        <v>99</v>
      </c>
      <c r="N285" s="67" t="s">
        <v>99</v>
      </c>
      <c r="O285" s="67" t="s">
        <v>99</v>
      </c>
      <c r="P285" s="67" t="s">
        <v>99</v>
      </c>
      <c r="Q285" s="67" t="s">
        <v>99</v>
      </c>
      <c r="R285" s="67" t="s">
        <v>99</v>
      </c>
      <c r="S285" s="67" t="s">
        <v>99</v>
      </c>
      <c r="T285" s="67" t="s">
        <v>99</v>
      </c>
      <c r="U285" s="67" t="s">
        <v>99</v>
      </c>
      <c r="V285" s="67" t="s">
        <v>99</v>
      </c>
      <c r="W285" s="67" t="s">
        <v>99</v>
      </c>
      <c r="X285" s="67" t="s">
        <v>99</v>
      </c>
      <c r="Y285" s="56" t="s">
        <v>23</v>
      </c>
      <c r="Z285" s="67" t="s">
        <v>99</v>
      </c>
      <c r="AA285" s="67" t="s">
        <v>99</v>
      </c>
      <c r="AB285" s="67" t="s">
        <v>99</v>
      </c>
      <c r="AC285" s="63" t="s">
        <v>23</v>
      </c>
      <c r="AD285" s="67" t="s">
        <v>99</v>
      </c>
      <c r="AE285" s="67" t="s">
        <v>99</v>
      </c>
      <c r="AF285" s="67" t="s">
        <v>99</v>
      </c>
      <c r="AG285" s="67" t="s">
        <v>23</v>
      </c>
      <c r="AH285" s="67" t="s">
        <v>99</v>
      </c>
      <c r="AI285" s="67" t="s">
        <v>99</v>
      </c>
      <c r="AJ285" s="67" t="s">
        <v>99</v>
      </c>
      <c r="AK285" s="63" t="s">
        <v>23</v>
      </c>
      <c r="AL285" s="67" t="s">
        <v>99</v>
      </c>
      <c r="AM285" s="67" t="s">
        <v>99</v>
      </c>
      <c r="AN285" s="67" t="s">
        <v>99</v>
      </c>
      <c r="AO285" s="67" t="s">
        <v>99</v>
      </c>
      <c r="AP285" s="67" t="s">
        <v>99</v>
      </c>
      <c r="AQ285" s="67" t="s">
        <v>23</v>
      </c>
      <c r="AR285" s="67" t="s">
        <v>99</v>
      </c>
      <c r="AS285" s="67" t="s">
        <v>99</v>
      </c>
      <c r="AT285" s="67" t="s">
        <v>99</v>
      </c>
      <c r="AU285" s="67" t="s">
        <v>99</v>
      </c>
      <c r="AV285" s="67" t="s">
        <v>99</v>
      </c>
      <c r="AW285" s="67" t="s">
        <v>99</v>
      </c>
      <c r="AX285" s="67" t="s">
        <v>99</v>
      </c>
      <c r="AY285" s="67" t="s">
        <v>99</v>
      </c>
      <c r="AZ285" s="67" t="s">
        <v>99</v>
      </c>
      <c r="BA285" s="67" t="s">
        <v>99</v>
      </c>
      <c r="BB285" s="67" t="s">
        <v>99</v>
      </c>
      <c r="BC285" s="67" t="s">
        <v>99</v>
      </c>
      <c r="BD285" s="67" t="s">
        <v>99</v>
      </c>
      <c r="BE285" s="67" t="s">
        <v>99</v>
      </c>
      <c r="BF285" s="67" t="s">
        <v>99</v>
      </c>
      <c r="BG285" s="67" t="s">
        <v>99</v>
      </c>
      <c r="BH285" s="67" t="s">
        <v>99</v>
      </c>
      <c r="BI285" s="67" t="s">
        <v>99</v>
      </c>
      <c r="BJ285" s="67" t="s">
        <v>99</v>
      </c>
      <c r="BK285" s="67" t="s">
        <v>99</v>
      </c>
      <c r="BL285" s="67" t="s">
        <v>99</v>
      </c>
      <c r="BM285" s="67" t="s">
        <v>99</v>
      </c>
      <c r="BN285" s="67" t="s">
        <v>99</v>
      </c>
      <c r="BO285" s="67" t="s">
        <v>99</v>
      </c>
      <c r="BP285" s="68" t="s">
        <v>99</v>
      </c>
    </row>
    <row r="286" spans="2:68">
      <c r="B286" s="58">
        <v>10</v>
      </c>
      <c r="C286" s="59">
        <v>41</v>
      </c>
      <c r="D286" s="59" t="s">
        <v>98</v>
      </c>
      <c r="E286" s="60">
        <f>'[1]Master File'!B285</f>
        <v>46299</v>
      </c>
      <c r="F286" s="61" t="str">
        <f>'[1]Master File'!C285</f>
        <v>Explorer 5PM</v>
      </c>
      <c r="G286" s="39"/>
      <c r="I286" s="67" t="s">
        <v>99</v>
      </c>
      <c r="J286" s="67" t="s">
        <v>99</v>
      </c>
      <c r="K286" s="67" t="s">
        <v>99</v>
      </c>
      <c r="L286" s="63" t="s">
        <v>23</v>
      </c>
      <c r="M286" s="67" t="s">
        <v>99</v>
      </c>
      <c r="N286" s="67" t="s">
        <v>99</v>
      </c>
      <c r="O286" s="67" t="s">
        <v>99</v>
      </c>
      <c r="P286" s="67" t="s">
        <v>99</v>
      </c>
      <c r="Q286" s="67" t="s">
        <v>99</v>
      </c>
      <c r="R286" s="67" t="s">
        <v>99</v>
      </c>
      <c r="S286" s="67" t="s">
        <v>99</v>
      </c>
      <c r="T286" s="67" t="s">
        <v>99</v>
      </c>
      <c r="U286" s="67" t="s">
        <v>99</v>
      </c>
      <c r="V286" s="67" t="s">
        <v>99</v>
      </c>
      <c r="W286" s="67" t="s">
        <v>99</v>
      </c>
      <c r="X286" s="67" t="s">
        <v>99</v>
      </c>
      <c r="Y286" s="56" t="s">
        <v>23</v>
      </c>
      <c r="Z286" s="67" t="s">
        <v>99</v>
      </c>
      <c r="AA286" s="67" t="s">
        <v>99</v>
      </c>
      <c r="AB286" s="67" t="s">
        <v>99</v>
      </c>
      <c r="AC286" s="63" t="s">
        <v>23</v>
      </c>
      <c r="AD286" s="67" t="s">
        <v>99</v>
      </c>
      <c r="AE286" s="67" t="s">
        <v>99</v>
      </c>
      <c r="AF286" s="67" t="s">
        <v>99</v>
      </c>
      <c r="AG286" s="67" t="s">
        <v>23</v>
      </c>
      <c r="AH286" s="67" t="s">
        <v>99</v>
      </c>
      <c r="AI286" s="67" t="s">
        <v>99</v>
      </c>
      <c r="AJ286" s="67" t="s">
        <v>99</v>
      </c>
      <c r="AK286" s="63" t="s">
        <v>23</v>
      </c>
      <c r="AL286" s="67" t="s">
        <v>99</v>
      </c>
      <c r="AM286" s="67" t="s">
        <v>99</v>
      </c>
      <c r="AN286" s="67" t="s">
        <v>99</v>
      </c>
      <c r="AO286" s="67" t="s">
        <v>99</v>
      </c>
      <c r="AP286" s="67" t="s">
        <v>99</v>
      </c>
      <c r="AQ286" s="67" t="s">
        <v>23</v>
      </c>
      <c r="AR286" s="67" t="s">
        <v>99</v>
      </c>
      <c r="AS286" s="67" t="s">
        <v>99</v>
      </c>
      <c r="AT286" s="67" t="s">
        <v>99</v>
      </c>
      <c r="AU286" s="67" t="s">
        <v>99</v>
      </c>
      <c r="AV286" s="67" t="s">
        <v>99</v>
      </c>
      <c r="AW286" s="67" t="s">
        <v>99</v>
      </c>
      <c r="AX286" s="67" t="s">
        <v>99</v>
      </c>
      <c r="AY286" s="67" t="s">
        <v>99</v>
      </c>
      <c r="AZ286" s="67" t="s">
        <v>99</v>
      </c>
      <c r="BA286" s="67" t="s">
        <v>99</v>
      </c>
      <c r="BB286" s="67" t="s">
        <v>99</v>
      </c>
      <c r="BC286" s="67" t="s">
        <v>99</v>
      </c>
      <c r="BD286" s="67" t="s">
        <v>99</v>
      </c>
      <c r="BE286" s="67" t="s">
        <v>99</v>
      </c>
      <c r="BF286" s="67" t="s">
        <v>99</v>
      </c>
      <c r="BG286" s="67" t="s">
        <v>99</v>
      </c>
      <c r="BH286" s="67" t="s">
        <v>99</v>
      </c>
      <c r="BI286" s="67" t="s">
        <v>99</v>
      </c>
      <c r="BJ286" s="67" t="s">
        <v>99</v>
      </c>
      <c r="BK286" s="67" t="s">
        <v>99</v>
      </c>
      <c r="BL286" s="67" t="s">
        <v>99</v>
      </c>
      <c r="BM286" s="67" t="s">
        <v>99</v>
      </c>
      <c r="BN286" s="67" t="s">
        <v>99</v>
      </c>
      <c r="BO286" s="67" t="s">
        <v>99</v>
      </c>
      <c r="BP286" s="68" t="s">
        <v>99</v>
      </c>
    </row>
    <row r="287" spans="2:68">
      <c r="B287" s="58">
        <v>10</v>
      </c>
      <c r="C287" s="59">
        <v>41</v>
      </c>
      <c r="D287" s="59" t="s">
        <v>100</v>
      </c>
      <c r="E287" s="60">
        <f>'[1]Master File'!B286</f>
        <v>46300</v>
      </c>
      <c r="F287" s="61" t="str">
        <f>'[1]Master File'!C286</f>
        <v>Lodge 5PM</v>
      </c>
      <c r="G287" s="39"/>
      <c r="I287" s="56" t="s">
        <v>99</v>
      </c>
      <c r="J287" s="56" t="s">
        <v>99</v>
      </c>
      <c r="K287" s="56" t="s">
        <v>99</v>
      </c>
      <c r="L287" s="63" t="s">
        <v>23</v>
      </c>
      <c r="M287" s="56" t="s">
        <v>99</v>
      </c>
      <c r="N287" s="56" t="s">
        <v>99</v>
      </c>
      <c r="O287" s="56" t="s">
        <v>99</v>
      </c>
      <c r="P287" s="56" t="s">
        <v>99</v>
      </c>
      <c r="Q287" s="56" t="s">
        <v>99</v>
      </c>
      <c r="R287" s="56" t="s">
        <v>99</v>
      </c>
      <c r="S287" s="56" t="s">
        <v>99</v>
      </c>
      <c r="T287" s="56" t="s">
        <v>99</v>
      </c>
      <c r="U287" s="56" t="s">
        <v>99</v>
      </c>
      <c r="V287" s="56" t="s">
        <v>99</v>
      </c>
      <c r="W287" s="56" t="s">
        <v>99</v>
      </c>
      <c r="X287" s="56" t="s">
        <v>99</v>
      </c>
      <c r="Y287" s="56" t="s">
        <v>23</v>
      </c>
      <c r="Z287" s="56" t="s">
        <v>99</v>
      </c>
      <c r="AA287" s="56" t="s">
        <v>99</v>
      </c>
      <c r="AB287" s="56" t="s">
        <v>23</v>
      </c>
      <c r="AC287" s="56" t="s">
        <v>99</v>
      </c>
      <c r="AD287" s="56" t="s">
        <v>99</v>
      </c>
      <c r="AE287" s="56" t="s">
        <v>99</v>
      </c>
      <c r="AF287" s="56" t="s">
        <v>99</v>
      </c>
      <c r="AG287" s="56" t="s">
        <v>23</v>
      </c>
      <c r="AH287" s="56" t="s">
        <v>99</v>
      </c>
      <c r="AI287" s="56" t="s">
        <v>99</v>
      </c>
      <c r="AJ287" s="56" t="s">
        <v>99</v>
      </c>
      <c r="AK287" s="63" t="s">
        <v>23</v>
      </c>
      <c r="AL287" s="56" t="s">
        <v>99</v>
      </c>
      <c r="AM287" s="56" t="s">
        <v>99</v>
      </c>
      <c r="AN287" s="56" t="s">
        <v>99</v>
      </c>
      <c r="AO287" s="56" t="s">
        <v>99</v>
      </c>
      <c r="AP287" s="56" t="s">
        <v>99</v>
      </c>
      <c r="AQ287" s="56" t="s">
        <v>99</v>
      </c>
      <c r="AR287" s="56" t="s">
        <v>99</v>
      </c>
      <c r="AS287" s="56" t="s">
        <v>99</v>
      </c>
      <c r="AT287" s="56" t="s">
        <v>99</v>
      </c>
      <c r="AU287" s="56" t="s">
        <v>99</v>
      </c>
      <c r="AV287" s="56" t="s">
        <v>99</v>
      </c>
      <c r="AW287" s="56" t="s">
        <v>99</v>
      </c>
      <c r="AX287" s="56" t="s">
        <v>99</v>
      </c>
      <c r="AY287" s="56" t="s">
        <v>99</v>
      </c>
      <c r="AZ287" s="56" t="s">
        <v>99</v>
      </c>
      <c r="BA287" s="56" t="s">
        <v>99</v>
      </c>
      <c r="BB287" s="56" t="s">
        <v>99</v>
      </c>
      <c r="BC287" s="56" t="s">
        <v>99</v>
      </c>
      <c r="BD287" s="56" t="s">
        <v>99</v>
      </c>
      <c r="BE287" s="56" t="s">
        <v>99</v>
      </c>
      <c r="BF287" s="56" t="s">
        <v>99</v>
      </c>
      <c r="BG287" s="56" t="s">
        <v>99</v>
      </c>
      <c r="BH287" s="56" t="s">
        <v>99</v>
      </c>
      <c r="BI287" s="56" t="s">
        <v>99</v>
      </c>
      <c r="BJ287" s="56" t="s">
        <v>99</v>
      </c>
      <c r="BK287" s="56" t="s">
        <v>99</v>
      </c>
      <c r="BL287" s="56" t="s">
        <v>99</v>
      </c>
      <c r="BM287" s="56" t="s">
        <v>99</v>
      </c>
      <c r="BN287" s="56" t="s">
        <v>99</v>
      </c>
      <c r="BO287" s="56" t="s">
        <v>99</v>
      </c>
      <c r="BP287" s="62" t="s">
        <v>99</v>
      </c>
    </row>
    <row r="288" spans="2:68">
      <c r="B288" s="58">
        <v>10</v>
      </c>
      <c r="C288" s="59">
        <v>41</v>
      </c>
      <c r="D288" s="59" t="s">
        <v>101</v>
      </c>
      <c r="E288" s="60">
        <f>'[1]Master File'!B287</f>
        <v>46301</v>
      </c>
      <c r="F288" s="61" t="str">
        <f>'[1]Master File'!C287</f>
        <v>Closed</v>
      </c>
      <c r="G288" s="39"/>
      <c r="I288" s="56" t="s">
        <v>99</v>
      </c>
      <c r="J288" s="56" t="s">
        <v>99</v>
      </c>
      <c r="K288" s="56" t="s">
        <v>99</v>
      </c>
      <c r="L288" s="56" t="s">
        <v>23</v>
      </c>
      <c r="M288" s="56" t="s">
        <v>99</v>
      </c>
      <c r="N288" s="56" t="s">
        <v>99</v>
      </c>
      <c r="O288" s="56" t="s">
        <v>99</v>
      </c>
      <c r="P288" s="56" t="s">
        <v>99</v>
      </c>
      <c r="Q288" s="56" t="s">
        <v>99</v>
      </c>
      <c r="R288" s="56" t="s">
        <v>99</v>
      </c>
      <c r="S288" s="56" t="s">
        <v>99</v>
      </c>
      <c r="T288" s="56" t="s">
        <v>99</v>
      </c>
      <c r="U288" s="56" t="s">
        <v>99</v>
      </c>
      <c r="V288" s="56" t="s">
        <v>99</v>
      </c>
      <c r="W288" s="56" t="s">
        <v>99</v>
      </c>
      <c r="X288" s="56" t="s">
        <v>99</v>
      </c>
      <c r="Y288" s="56" t="s">
        <v>23</v>
      </c>
      <c r="Z288" s="56" t="s">
        <v>99</v>
      </c>
      <c r="AA288" s="56" t="s">
        <v>99</v>
      </c>
      <c r="AB288" s="56" t="s">
        <v>23</v>
      </c>
      <c r="AC288" s="56" t="s">
        <v>23</v>
      </c>
      <c r="AD288" s="56" t="s">
        <v>99</v>
      </c>
      <c r="AE288" s="56" t="s">
        <v>99</v>
      </c>
      <c r="AF288" s="56" t="s">
        <v>99</v>
      </c>
      <c r="AG288" s="56" t="s">
        <v>23</v>
      </c>
      <c r="AH288" s="56" t="s">
        <v>99</v>
      </c>
      <c r="AI288" s="56" t="s">
        <v>99</v>
      </c>
      <c r="AJ288" s="56" t="s">
        <v>99</v>
      </c>
      <c r="AK288" s="63" t="s">
        <v>23</v>
      </c>
      <c r="AL288" s="56" t="s">
        <v>99</v>
      </c>
      <c r="AM288" s="56" t="s">
        <v>99</v>
      </c>
      <c r="AN288" s="56" t="s">
        <v>99</v>
      </c>
      <c r="AO288" s="56" t="s">
        <v>99</v>
      </c>
      <c r="AP288" s="56" t="s">
        <v>99</v>
      </c>
      <c r="AQ288" s="56" t="s">
        <v>99</v>
      </c>
      <c r="AR288" s="56" t="s">
        <v>99</v>
      </c>
      <c r="AS288" s="56" t="s">
        <v>99</v>
      </c>
      <c r="AT288" s="56" t="s">
        <v>99</v>
      </c>
      <c r="AU288" s="56" t="s">
        <v>99</v>
      </c>
      <c r="AV288" s="56" t="s">
        <v>99</v>
      </c>
      <c r="AW288" s="56" t="s">
        <v>99</v>
      </c>
      <c r="AX288" s="56" t="s">
        <v>99</v>
      </c>
      <c r="AY288" s="56" t="s">
        <v>99</v>
      </c>
      <c r="AZ288" s="56" t="s">
        <v>99</v>
      </c>
      <c r="BA288" s="56" t="s">
        <v>99</v>
      </c>
      <c r="BB288" s="56" t="s">
        <v>99</v>
      </c>
      <c r="BC288" s="56" t="s">
        <v>99</v>
      </c>
      <c r="BD288" s="56" t="s">
        <v>99</v>
      </c>
      <c r="BE288" s="56" t="s">
        <v>99</v>
      </c>
      <c r="BF288" s="56" t="s">
        <v>99</v>
      </c>
      <c r="BG288" s="56" t="s">
        <v>99</v>
      </c>
      <c r="BH288" s="56" t="s">
        <v>99</v>
      </c>
      <c r="BI288" s="56" t="s">
        <v>99</v>
      </c>
      <c r="BJ288" s="56" t="s">
        <v>99</v>
      </c>
      <c r="BK288" s="56" t="s">
        <v>99</v>
      </c>
      <c r="BL288" s="56" t="s">
        <v>99</v>
      </c>
      <c r="BM288" s="56" t="s">
        <v>99</v>
      </c>
      <c r="BN288" s="56" t="s">
        <v>99</v>
      </c>
      <c r="BO288" s="56" t="s">
        <v>99</v>
      </c>
      <c r="BP288" s="62" t="s">
        <v>99</v>
      </c>
    </row>
    <row r="289" spans="2:68">
      <c r="B289" s="58">
        <v>10</v>
      </c>
      <c r="C289" s="59">
        <v>41</v>
      </c>
      <c r="D289" s="59" t="s">
        <v>102</v>
      </c>
      <c r="E289" s="60">
        <f>'[1]Master File'!B288</f>
        <v>46302</v>
      </c>
      <c r="F289" s="61" t="str">
        <f>'[1]Master File'!C288</f>
        <v>Closed</v>
      </c>
      <c r="G289" s="39"/>
      <c r="I289" s="56" t="s">
        <v>99</v>
      </c>
      <c r="J289" s="56" t="s">
        <v>99</v>
      </c>
      <c r="K289" s="56" t="s">
        <v>99</v>
      </c>
      <c r="L289" s="56" t="s">
        <v>23</v>
      </c>
      <c r="M289" s="56" t="s">
        <v>99</v>
      </c>
      <c r="N289" s="56" t="s">
        <v>99</v>
      </c>
      <c r="O289" s="56" t="s">
        <v>99</v>
      </c>
      <c r="P289" s="56" t="s">
        <v>99</v>
      </c>
      <c r="Q289" s="56" t="s">
        <v>99</v>
      </c>
      <c r="R289" s="56" t="s">
        <v>99</v>
      </c>
      <c r="S289" s="56" t="s">
        <v>99</v>
      </c>
      <c r="T289" s="56" t="s">
        <v>99</v>
      </c>
      <c r="U289" s="56" t="s">
        <v>99</v>
      </c>
      <c r="V289" s="56" t="s">
        <v>99</v>
      </c>
      <c r="W289" s="56" t="s">
        <v>99</v>
      </c>
      <c r="X289" s="56" t="s">
        <v>99</v>
      </c>
      <c r="Y289" s="56" t="s">
        <v>23</v>
      </c>
      <c r="Z289" s="56" t="s">
        <v>99</v>
      </c>
      <c r="AA289" s="56" t="s">
        <v>99</v>
      </c>
      <c r="AB289" s="56" t="s">
        <v>23</v>
      </c>
      <c r="AC289" s="56" t="s">
        <v>23</v>
      </c>
      <c r="AD289" s="56" t="s">
        <v>99</v>
      </c>
      <c r="AE289" s="56" t="s">
        <v>99</v>
      </c>
      <c r="AF289" s="56" t="s">
        <v>99</v>
      </c>
      <c r="AG289" s="56" t="s">
        <v>23</v>
      </c>
      <c r="AH289" s="56" t="s">
        <v>99</v>
      </c>
      <c r="AI289" s="56" t="s">
        <v>99</v>
      </c>
      <c r="AJ289" s="56" t="s">
        <v>99</v>
      </c>
      <c r="AK289" s="63" t="s">
        <v>23</v>
      </c>
      <c r="AL289" s="56" t="s">
        <v>99</v>
      </c>
      <c r="AM289" s="56" t="s">
        <v>99</v>
      </c>
      <c r="AN289" s="56" t="s">
        <v>99</v>
      </c>
      <c r="AO289" s="56" t="s">
        <v>99</v>
      </c>
      <c r="AP289" s="56" t="s">
        <v>99</v>
      </c>
      <c r="AQ289" s="56" t="s">
        <v>99</v>
      </c>
      <c r="AR289" s="56" t="s">
        <v>99</v>
      </c>
      <c r="AS289" s="56" t="s">
        <v>99</v>
      </c>
      <c r="AT289" s="56" t="s">
        <v>99</v>
      </c>
      <c r="AU289" s="56" t="s">
        <v>99</v>
      </c>
      <c r="AV289" s="56" t="s">
        <v>99</v>
      </c>
      <c r="AW289" s="56" t="s">
        <v>99</v>
      </c>
      <c r="AX289" s="56" t="s">
        <v>99</v>
      </c>
      <c r="AY289" s="56" t="s">
        <v>99</v>
      </c>
      <c r="AZ289" s="56" t="s">
        <v>99</v>
      </c>
      <c r="BA289" s="56" t="s">
        <v>99</v>
      </c>
      <c r="BB289" s="56" t="s">
        <v>99</v>
      </c>
      <c r="BC289" s="56" t="s">
        <v>99</v>
      </c>
      <c r="BD289" s="56" t="s">
        <v>99</v>
      </c>
      <c r="BE289" s="56" t="s">
        <v>99</v>
      </c>
      <c r="BF289" s="56" t="s">
        <v>99</v>
      </c>
      <c r="BG289" s="56" t="s">
        <v>99</v>
      </c>
      <c r="BH289" s="56" t="s">
        <v>99</v>
      </c>
      <c r="BI289" s="56" t="s">
        <v>99</v>
      </c>
      <c r="BJ289" s="56" t="s">
        <v>99</v>
      </c>
      <c r="BK289" s="56" t="s">
        <v>99</v>
      </c>
      <c r="BL289" s="56" t="s">
        <v>99</v>
      </c>
      <c r="BM289" s="56" t="s">
        <v>99</v>
      </c>
      <c r="BN289" s="56" t="s">
        <v>99</v>
      </c>
      <c r="BO289" s="56" t="s">
        <v>99</v>
      </c>
      <c r="BP289" s="62" t="s">
        <v>99</v>
      </c>
    </row>
    <row r="290" spans="2:68">
      <c r="B290" s="58">
        <v>10</v>
      </c>
      <c r="C290" s="59">
        <v>41</v>
      </c>
      <c r="D290" s="59" t="s">
        <v>103</v>
      </c>
      <c r="E290" s="60">
        <f>'[1]Master File'!B289</f>
        <v>46303</v>
      </c>
      <c r="F290" s="61" t="str">
        <f>'[1]Master File'!C289</f>
        <v>Lodge 5PM</v>
      </c>
      <c r="G290" s="39"/>
      <c r="I290" s="56" t="s">
        <v>99</v>
      </c>
      <c r="J290" s="56" t="s">
        <v>99</v>
      </c>
      <c r="K290" s="56" t="s">
        <v>99</v>
      </c>
      <c r="L290" s="56" t="s">
        <v>23</v>
      </c>
      <c r="M290" s="56" t="s">
        <v>99</v>
      </c>
      <c r="N290" s="56" t="s">
        <v>99</v>
      </c>
      <c r="O290" s="56" t="s">
        <v>99</v>
      </c>
      <c r="P290" s="56" t="s">
        <v>99</v>
      </c>
      <c r="Q290" s="56" t="s">
        <v>99</v>
      </c>
      <c r="R290" s="56" t="s">
        <v>99</v>
      </c>
      <c r="S290" s="56" t="s">
        <v>99</v>
      </c>
      <c r="T290" s="56" t="s">
        <v>99</v>
      </c>
      <c r="U290" s="56" t="s">
        <v>99</v>
      </c>
      <c r="V290" s="56" t="s">
        <v>99</v>
      </c>
      <c r="W290" s="56" t="s">
        <v>99</v>
      </c>
      <c r="X290" s="56" t="s">
        <v>99</v>
      </c>
      <c r="Y290" s="56" t="s">
        <v>23</v>
      </c>
      <c r="Z290" s="56" t="s">
        <v>99</v>
      </c>
      <c r="AA290" s="56" t="s">
        <v>99</v>
      </c>
      <c r="AB290" s="56" t="s">
        <v>23</v>
      </c>
      <c r="AC290" s="56" t="s">
        <v>23</v>
      </c>
      <c r="AD290" s="56" t="s">
        <v>99</v>
      </c>
      <c r="AE290" s="56" t="s">
        <v>99</v>
      </c>
      <c r="AF290" s="56" t="s">
        <v>99</v>
      </c>
      <c r="AG290" s="56" t="s">
        <v>23</v>
      </c>
      <c r="AH290" s="56" t="s">
        <v>99</v>
      </c>
      <c r="AI290" s="56" t="s">
        <v>99</v>
      </c>
      <c r="AJ290" s="56" t="s">
        <v>99</v>
      </c>
      <c r="AK290" s="63" t="s">
        <v>23</v>
      </c>
      <c r="AL290" s="56" t="s">
        <v>99</v>
      </c>
      <c r="AM290" s="56" t="s">
        <v>99</v>
      </c>
      <c r="AN290" s="56" t="s">
        <v>99</v>
      </c>
      <c r="AO290" s="56" t="s">
        <v>99</v>
      </c>
      <c r="AP290" s="56" t="s">
        <v>99</v>
      </c>
      <c r="AQ290" s="56" t="s">
        <v>99</v>
      </c>
      <c r="AR290" s="56" t="s">
        <v>99</v>
      </c>
      <c r="AS290" s="56" t="s">
        <v>99</v>
      </c>
      <c r="AT290" s="56" t="s">
        <v>99</v>
      </c>
      <c r="AU290" s="56" t="s">
        <v>99</v>
      </c>
      <c r="AV290" s="56" t="s">
        <v>99</v>
      </c>
      <c r="AW290" s="56" t="s">
        <v>99</v>
      </c>
      <c r="AX290" s="56" t="s">
        <v>99</v>
      </c>
      <c r="AY290" s="56" t="s">
        <v>99</v>
      </c>
      <c r="AZ290" s="56" t="s">
        <v>99</v>
      </c>
      <c r="BA290" s="56" t="s">
        <v>99</v>
      </c>
      <c r="BB290" s="56" t="s">
        <v>99</v>
      </c>
      <c r="BC290" s="56" t="s">
        <v>99</v>
      </c>
      <c r="BD290" s="56" t="s">
        <v>99</v>
      </c>
      <c r="BE290" s="56" t="s">
        <v>99</v>
      </c>
      <c r="BF290" s="56" t="s">
        <v>99</v>
      </c>
      <c r="BG290" s="56" t="s">
        <v>99</v>
      </c>
      <c r="BH290" s="56" t="s">
        <v>99</v>
      </c>
      <c r="BI290" s="56" t="s">
        <v>99</v>
      </c>
      <c r="BJ290" s="56" t="s">
        <v>99</v>
      </c>
      <c r="BK290" s="56" t="s">
        <v>99</v>
      </c>
      <c r="BL290" s="56" t="s">
        <v>99</v>
      </c>
      <c r="BM290" s="56" t="s">
        <v>99</v>
      </c>
      <c r="BN290" s="56" t="s">
        <v>99</v>
      </c>
      <c r="BO290" s="56" t="s">
        <v>99</v>
      </c>
      <c r="BP290" s="62" t="s">
        <v>99</v>
      </c>
    </row>
    <row r="291" spans="2:68">
      <c r="B291" s="58">
        <v>10</v>
      </c>
      <c r="C291" s="59">
        <v>41</v>
      </c>
      <c r="D291" s="59" t="s">
        <v>104</v>
      </c>
      <c r="E291" s="60">
        <f>'[1]Master File'!B290</f>
        <v>46304</v>
      </c>
      <c r="F291" s="61" t="str">
        <f>'[1]Master File'!C290</f>
        <v>Lodge 5PM</v>
      </c>
      <c r="G291" s="39"/>
      <c r="I291" s="56" t="s">
        <v>99</v>
      </c>
      <c r="J291" s="56" t="s">
        <v>99</v>
      </c>
      <c r="K291" s="56" t="s">
        <v>99</v>
      </c>
      <c r="L291" s="56" t="s">
        <v>23</v>
      </c>
      <c r="M291" s="56" t="s">
        <v>99</v>
      </c>
      <c r="N291" s="56" t="s">
        <v>99</v>
      </c>
      <c r="O291" s="56" t="s">
        <v>99</v>
      </c>
      <c r="P291" s="56" t="s">
        <v>99</v>
      </c>
      <c r="Q291" s="56" t="s">
        <v>99</v>
      </c>
      <c r="R291" s="56" t="s">
        <v>99</v>
      </c>
      <c r="S291" s="56" t="s">
        <v>99</v>
      </c>
      <c r="T291" s="56" t="s">
        <v>99</v>
      </c>
      <c r="U291" s="56" t="s">
        <v>99</v>
      </c>
      <c r="V291" s="56" t="s">
        <v>99</v>
      </c>
      <c r="W291" s="56" t="s">
        <v>99</v>
      </c>
      <c r="X291" s="56" t="s">
        <v>99</v>
      </c>
      <c r="Y291" s="56" t="s">
        <v>23</v>
      </c>
      <c r="Z291" s="56" t="s">
        <v>99</v>
      </c>
      <c r="AA291" s="56" t="s">
        <v>99</v>
      </c>
      <c r="AB291" s="56" t="s">
        <v>23</v>
      </c>
      <c r="AC291" s="56" t="s">
        <v>23</v>
      </c>
      <c r="AD291" s="56" t="s">
        <v>99</v>
      </c>
      <c r="AE291" s="56" t="s">
        <v>99</v>
      </c>
      <c r="AF291" s="56" t="s">
        <v>99</v>
      </c>
      <c r="AG291" s="56" t="s">
        <v>23</v>
      </c>
      <c r="AH291" s="56" t="s">
        <v>99</v>
      </c>
      <c r="AI291" s="56" t="s">
        <v>99</v>
      </c>
      <c r="AJ291" s="56" t="s">
        <v>99</v>
      </c>
      <c r="AK291" s="63" t="s">
        <v>23</v>
      </c>
      <c r="AL291" s="56" t="s">
        <v>99</v>
      </c>
      <c r="AM291" s="56" t="s">
        <v>99</v>
      </c>
      <c r="AN291" s="56" t="s">
        <v>99</v>
      </c>
      <c r="AO291" s="56" t="s">
        <v>99</v>
      </c>
      <c r="AP291" s="56" t="s">
        <v>99</v>
      </c>
      <c r="AQ291" s="56" t="s">
        <v>99</v>
      </c>
      <c r="AR291" s="56" t="s">
        <v>99</v>
      </c>
      <c r="AS291" s="56" t="s">
        <v>99</v>
      </c>
      <c r="AT291" s="56" t="s">
        <v>99</v>
      </c>
      <c r="AU291" s="56" t="s">
        <v>99</v>
      </c>
      <c r="AV291" s="56" t="s">
        <v>99</v>
      </c>
      <c r="AW291" s="56" t="s">
        <v>99</v>
      </c>
      <c r="AX291" s="56" t="s">
        <v>99</v>
      </c>
      <c r="AY291" s="56" t="s">
        <v>99</v>
      </c>
      <c r="AZ291" s="56" t="s">
        <v>99</v>
      </c>
      <c r="BA291" s="56" t="s">
        <v>99</v>
      </c>
      <c r="BB291" s="56" t="s">
        <v>99</v>
      </c>
      <c r="BC291" s="56" t="s">
        <v>99</v>
      </c>
      <c r="BD291" s="56" t="s">
        <v>99</v>
      </c>
      <c r="BE291" s="56" t="s">
        <v>99</v>
      </c>
      <c r="BF291" s="56" t="s">
        <v>99</v>
      </c>
      <c r="BG291" s="56" t="s">
        <v>99</v>
      </c>
      <c r="BH291" s="56" t="s">
        <v>99</v>
      </c>
      <c r="BI291" s="56" t="s">
        <v>99</v>
      </c>
      <c r="BJ291" s="56" t="s">
        <v>99</v>
      </c>
      <c r="BK291" s="56" t="s">
        <v>99</v>
      </c>
      <c r="BL291" s="56" t="s">
        <v>99</v>
      </c>
      <c r="BM291" s="56" t="s">
        <v>99</v>
      </c>
      <c r="BN291" s="56" t="s">
        <v>99</v>
      </c>
      <c r="BO291" s="56" t="s">
        <v>99</v>
      </c>
      <c r="BP291" s="62" t="s">
        <v>99</v>
      </c>
    </row>
    <row r="292" spans="2:68">
      <c r="B292" s="58">
        <v>10</v>
      </c>
      <c r="C292" s="59">
        <v>41</v>
      </c>
      <c r="D292" s="59" t="s">
        <v>105</v>
      </c>
      <c r="E292" s="60">
        <f>'[1]Master File'!B291</f>
        <v>46305</v>
      </c>
      <c r="F292" s="61" t="str">
        <f>'[1]Master File'!C291</f>
        <v>Explorer 5PM</v>
      </c>
      <c r="G292" s="39"/>
      <c r="I292" s="67" t="s">
        <v>99</v>
      </c>
      <c r="J292" s="67" t="s">
        <v>99</v>
      </c>
      <c r="K292" s="67" t="s">
        <v>99</v>
      </c>
      <c r="L292" s="67" t="s">
        <v>23</v>
      </c>
      <c r="M292" s="67" t="s">
        <v>99</v>
      </c>
      <c r="N292" s="67" t="s">
        <v>99</v>
      </c>
      <c r="O292" s="67" t="s">
        <v>99</v>
      </c>
      <c r="P292" s="67" t="s">
        <v>99</v>
      </c>
      <c r="Q292" s="67" t="s">
        <v>99</v>
      </c>
      <c r="R292" s="67" t="s">
        <v>99</v>
      </c>
      <c r="S292" s="67" t="s">
        <v>99</v>
      </c>
      <c r="T292" s="67" t="s">
        <v>99</v>
      </c>
      <c r="U292" s="67" t="s">
        <v>99</v>
      </c>
      <c r="V292" s="67" t="s">
        <v>99</v>
      </c>
      <c r="W292" s="67" t="s">
        <v>99</v>
      </c>
      <c r="X292" s="67" t="s">
        <v>99</v>
      </c>
      <c r="Y292" s="56" t="s">
        <v>23</v>
      </c>
      <c r="Z292" s="67" t="s">
        <v>99</v>
      </c>
      <c r="AA292" s="67" t="s">
        <v>99</v>
      </c>
      <c r="AB292" s="67" t="s">
        <v>99</v>
      </c>
      <c r="AC292" s="63" t="s">
        <v>23</v>
      </c>
      <c r="AD292" s="67" t="s">
        <v>99</v>
      </c>
      <c r="AE292" s="67" t="s">
        <v>99</v>
      </c>
      <c r="AF292" s="67" t="s">
        <v>99</v>
      </c>
      <c r="AG292" s="67" t="s">
        <v>23</v>
      </c>
      <c r="AH292" s="67" t="s">
        <v>99</v>
      </c>
      <c r="AI292" s="67" t="s">
        <v>99</v>
      </c>
      <c r="AJ292" s="67" t="s">
        <v>99</v>
      </c>
      <c r="AK292" s="63" t="s">
        <v>23</v>
      </c>
      <c r="AL292" s="67" t="s">
        <v>99</v>
      </c>
      <c r="AM292" s="67" t="s">
        <v>99</v>
      </c>
      <c r="AN292" s="67" t="s">
        <v>99</v>
      </c>
      <c r="AO292" s="67" t="s">
        <v>99</v>
      </c>
      <c r="AP292" s="67" t="s">
        <v>99</v>
      </c>
      <c r="AQ292" s="67" t="s">
        <v>23</v>
      </c>
      <c r="AR292" s="67" t="s">
        <v>99</v>
      </c>
      <c r="AS292" s="67" t="s">
        <v>99</v>
      </c>
      <c r="AT292" s="67" t="s">
        <v>99</v>
      </c>
      <c r="AU292" s="67" t="s">
        <v>99</v>
      </c>
      <c r="AV292" s="67" t="s">
        <v>99</v>
      </c>
      <c r="AW292" s="67" t="s">
        <v>99</v>
      </c>
      <c r="AX292" s="67" t="s">
        <v>99</v>
      </c>
      <c r="AY292" s="67" t="s">
        <v>99</v>
      </c>
      <c r="AZ292" s="67" t="s">
        <v>99</v>
      </c>
      <c r="BA292" s="67" t="s">
        <v>99</v>
      </c>
      <c r="BB292" s="67" t="s">
        <v>99</v>
      </c>
      <c r="BC292" s="67" t="s">
        <v>99</v>
      </c>
      <c r="BD292" s="67" t="s">
        <v>99</v>
      </c>
      <c r="BE292" s="67" t="s">
        <v>99</v>
      </c>
      <c r="BF292" s="67" t="s">
        <v>99</v>
      </c>
      <c r="BG292" s="67" t="s">
        <v>99</v>
      </c>
      <c r="BH292" s="67" t="s">
        <v>99</v>
      </c>
      <c r="BI292" s="67" t="s">
        <v>99</v>
      </c>
      <c r="BJ292" s="67" t="s">
        <v>99</v>
      </c>
      <c r="BK292" s="67" t="s">
        <v>99</v>
      </c>
      <c r="BL292" s="67" t="s">
        <v>99</v>
      </c>
      <c r="BM292" s="67" t="s">
        <v>99</v>
      </c>
      <c r="BN292" s="67" t="s">
        <v>99</v>
      </c>
      <c r="BO292" s="67" t="s">
        <v>99</v>
      </c>
      <c r="BP292" s="68" t="s">
        <v>99</v>
      </c>
    </row>
    <row r="293" spans="2:68">
      <c r="B293" s="58">
        <v>10</v>
      </c>
      <c r="C293" s="59">
        <v>42</v>
      </c>
      <c r="D293" s="59" t="s">
        <v>98</v>
      </c>
      <c r="E293" s="60">
        <f>'[1]Master File'!B292</f>
        <v>46306</v>
      </c>
      <c r="F293" s="61" t="str">
        <f>'[1]Master File'!C292</f>
        <v>Explorer 5PM</v>
      </c>
      <c r="G293" s="39"/>
      <c r="I293" s="67" t="s">
        <v>99</v>
      </c>
      <c r="J293" s="67" t="s">
        <v>99</v>
      </c>
      <c r="K293" s="67" t="s">
        <v>99</v>
      </c>
      <c r="L293" s="67" t="s">
        <v>23</v>
      </c>
      <c r="M293" s="67" t="s">
        <v>99</v>
      </c>
      <c r="N293" s="67" t="s">
        <v>99</v>
      </c>
      <c r="O293" s="67" t="s">
        <v>99</v>
      </c>
      <c r="P293" s="67" t="s">
        <v>99</v>
      </c>
      <c r="Q293" s="67" t="s">
        <v>99</v>
      </c>
      <c r="R293" s="67" t="s">
        <v>99</v>
      </c>
      <c r="S293" s="67" t="s">
        <v>99</v>
      </c>
      <c r="T293" s="67" t="s">
        <v>99</v>
      </c>
      <c r="U293" s="67" t="s">
        <v>99</v>
      </c>
      <c r="V293" s="67" t="s">
        <v>99</v>
      </c>
      <c r="W293" s="67" t="s">
        <v>99</v>
      </c>
      <c r="X293" s="67" t="s">
        <v>99</v>
      </c>
      <c r="Y293" s="56" t="s">
        <v>23</v>
      </c>
      <c r="Z293" s="67" t="s">
        <v>99</v>
      </c>
      <c r="AA293" s="67" t="s">
        <v>99</v>
      </c>
      <c r="AB293" s="67" t="s">
        <v>99</v>
      </c>
      <c r="AC293" s="63" t="s">
        <v>23</v>
      </c>
      <c r="AD293" s="67" t="s">
        <v>99</v>
      </c>
      <c r="AE293" s="67" t="s">
        <v>99</v>
      </c>
      <c r="AF293" s="67" t="s">
        <v>99</v>
      </c>
      <c r="AG293" s="67" t="s">
        <v>23</v>
      </c>
      <c r="AH293" s="67" t="s">
        <v>99</v>
      </c>
      <c r="AI293" s="67" t="s">
        <v>99</v>
      </c>
      <c r="AJ293" s="67" t="s">
        <v>99</v>
      </c>
      <c r="AK293" s="63" t="s">
        <v>23</v>
      </c>
      <c r="AL293" s="67" t="s">
        <v>99</v>
      </c>
      <c r="AM293" s="67" t="s">
        <v>99</v>
      </c>
      <c r="AN293" s="67" t="s">
        <v>99</v>
      </c>
      <c r="AO293" s="67" t="s">
        <v>99</v>
      </c>
      <c r="AP293" s="67" t="s">
        <v>99</v>
      </c>
      <c r="AQ293" s="67" t="s">
        <v>23</v>
      </c>
      <c r="AR293" s="67" t="s">
        <v>99</v>
      </c>
      <c r="AS293" s="67" t="s">
        <v>99</v>
      </c>
      <c r="AT293" s="67" t="s">
        <v>99</v>
      </c>
      <c r="AU293" s="67" t="s">
        <v>99</v>
      </c>
      <c r="AV293" s="67" t="s">
        <v>99</v>
      </c>
      <c r="AW293" s="67" t="s">
        <v>99</v>
      </c>
      <c r="AX293" s="67" t="s">
        <v>99</v>
      </c>
      <c r="AY293" s="67" t="s">
        <v>99</v>
      </c>
      <c r="AZ293" s="67" t="s">
        <v>99</v>
      </c>
      <c r="BA293" s="67" t="s">
        <v>99</v>
      </c>
      <c r="BB293" s="67" t="s">
        <v>99</v>
      </c>
      <c r="BC293" s="67" t="s">
        <v>99</v>
      </c>
      <c r="BD293" s="67" t="s">
        <v>99</v>
      </c>
      <c r="BE293" s="67" t="s">
        <v>99</v>
      </c>
      <c r="BF293" s="67" t="s">
        <v>99</v>
      </c>
      <c r="BG293" s="67" t="s">
        <v>99</v>
      </c>
      <c r="BH293" s="67" t="s">
        <v>99</v>
      </c>
      <c r="BI293" s="67" t="s">
        <v>99</v>
      </c>
      <c r="BJ293" s="67" t="s">
        <v>99</v>
      </c>
      <c r="BK293" s="67" t="s">
        <v>99</v>
      </c>
      <c r="BL293" s="67" t="s">
        <v>99</v>
      </c>
      <c r="BM293" s="67" t="s">
        <v>99</v>
      </c>
      <c r="BN293" s="67" t="s">
        <v>99</v>
      </c>
      <c r="BO293" s="67" t="s">
        <v>99</v>
      </c>
      <c r="BP293" s="68" t="s">
        <v>99</v>
      </c>
    </row>
    <row r="294" spans="2:68">
      <c r="B294" s="58">
        <v>10</v>
      </c>
      <c r="C294" s="59">
        <v>42</v>
      </c>
      <c r="D294" s="59" t="s">
        <v>100</v>
      </c>
      <c r="E294" s="60">
        <f>'[1]Master File'!B293</f>
        <v>46307</v>
      </c>
      <c r="F294" s="61" t="str">
        <f>'[1]Master File'!C293</f>
        <v>Lodge 5PM</v>
      </c>
      <c r="G294" s="39"/>
      <c r="I294" s="56" t="s">
        <v>99</v>
      </c>
      <c r="J294" s="56" t="s">
        <v>99</v>
      </c>
      <c r="K294" s="56" t="s">
        <v>99</v>
      </c>
      <c r="L294" s="56" t="s">
        <v>23</v>
      </c>
      <c r="M294" s="56" t="s">
        <v>99</v>
      </c>
      <c r="N294" s="56" t="s">
        <v>99</v>
      </c>
      <c r="O294" s="56" t="s">
        <v>99</v>
      </c>
      <c r="P294" s="56" t="s">
        <v>99</v>
      </c>
      <c r="Q294" s="56" t="s">
        <v>99</v>
      </c>
      <c r="R294" s="56" t="s">
        <v>99</v>
      </c>
      <c r="S294" s="56" t="s">
        <v>99</v>
      </c>
      <c r="T294" s="56" t="s">
        <v>99</v>
      </c>
      <c r="U294" s="56" t="s">
        <v>99</v>
      </c>
      <c r="V294" s="56" t="s">
        <v>99</v>
      </c>
      <c r="W294" s="56" t="s">
        <v>99</v>
      </c>
      <c r="X294" s="56" t="s">
        <v>99</v>
      </c>
      <c r="Y294" s="56" t="s">
        <v>23</v>
      </c>
      <c r="Z294" s="56" t="s">
        <v>99</v>
      </c>
      <c r="AA294" s="56" t="s">
        <v>99</v>
      </c>
      <c r="AB294" s="56" t="s">
        <v>23</v>
      </c>
      <c r="AC294" s="56" t="s">
        <v>99</v>
      </c>
      <c r="AD294" s="56" t="s">
        <v>99</v>
      </c>
      <c r="AE294" s="56" t="s">
        <v>99</v>
      </c>
      <c r="AF294" s="56" t="s">
        <v>99</v>
      </c>
      <c r="AG294" s="56" t="s">
        <v>23</v>
      </c>
      <c r="AH294" s="56" t="s">
        <v>99</v>
      </c>
      <c r="AI294" s="56" t="s">
        <v>99</v>
      </c>
      <c r="AJ294" s="56" t="s">
        <v>99</v>
      </c>
      <c r="AK294" s="63" t="s">
        <v>23</v>
      </c>
      <c r="AL294" s="56" t="s">
        <v>99</v>
      </c>
      <c r="AM294" s="56" t="s">
        <v>99</v>
      </c>
      <c r="AN294" s="56" t="s">
        <v>99</v>
      </c>
      <c r="AO294" s="56" t="s">
        <v>99</v>
      </c>
      <c r="AP294" s="56" t="s">
        <v>99</v>
      </c>
      <c r="AQ294" s="56" t="s">
        <v>99</v>
      </c>
      <c r="AR294" s="56" t="s">
        <v>99</v>
      </c>
      <c r="AS294" s="56" t="s">
        <v>99</v>
      </c>
      <c r="AT294" s="56" t="s">
        <v>99</v>
      </c>
      <c r="AU294" s="56" t="s">
        <v>99</v>
      </c>
      <c r="AV294" s="56" t="s">
        <v>99</v>
      </c>
      <c r="AW294" s="56" t="s">
        <v>99</v>
      </c>
      <c r="AX294" s="56" t="s">
        <v>99</v>
      </c>
      <c r="AY294" s="56" t="s">
        <v>99</v>
      </c>
      <c r="AZ294" s="56" t="s">
        <v>99</v>
      </c>
      <c r="BA294" s="56" t="s">
        <v>99</v>
      </c>
      <c r="BB294" s="56" t="s">
        <v>99</v>
      </c>
      <c r="BC294" s="56" t="s">
        <v>99</v>
      </c>
      <c r="BD294" s="56" t="s">
        <v>99</v>
      </c>
      <c r="BE294" s="56" t="s">
        <v>99</v>
      </c>
      <c r="BF294" s="56" t="s">
        <v>99</v>
      </c>
      <c r="BG294" s="56" t="s">
        <v>99</v>
      </c>
      <c r="BH294" s="56" t="s">
        <v>99</v>
      </c>
      <c r="BI294" s="56" t="s">
        <v>99</v>
      </c>
      <c r="BJ294" s="56" t="s">
        <v>99</v>
      </c>
      <c r="BK294" s="56" t="s">
        <v>99</v>
      </c>
      <c r="BL294" s="56" t="s">
        <v>99</v>
      </c>
      <c r="BM294" s="56" t="s">
        <v>99</v>
      </c>
      <c r="BN294" s="56" t="s">
        <v>99</v>
      </c>
      <c r="BO294" s="56" t="s">
        <v>99</v>
      </c>
      <c r="BP294" s="62" t="s">
        <v>99</v>
      </c>
    </row>
    <row r="295" spans="2:68">
      <c r="B295" s="58">
        <v>10</v>
      </c>
      <c r="C295" s="59">
        <v>42</v>
      </c>
      <c r="D295" s="59" t="s">
        <v>101</v>
      </c>
      <c r="E295" s="60">
        <f>'[1]Master File'!B294</f>
        <v>46308</v>
      </c>
      <c r="F295" s="61" t="str">
        <f>'[1]Master File'!C294</f>
        <v>Closed</v>
      </c>
      <c r="G295" s="39"/>
      <c r="I295" s="56" t="s">
        <v>99</v>
      </c>
      <c r="J295" s="56" t="s">
        <v>99</v>
      </c>
      <c r="K295" s="56" t="s">
        <v>99</v>
      </c>
      <c r="L295" s="56" t="s">
        <v>23</v>
      </c>
      <c r="M295" s="56" t="s">
        <v>99</v>
      </c>
      <c r="N295" s="56" t="s">
        <v>99</v>
      </c>
      <c r="O295" s="56" t="s">
        <v>99</v>
      </c>
      <c r="P295" s="56" t="s">
        <v>99</v>
      </c>
      <c r="Q295" s="56" t="s">
        <v>99</v>
      </c>
      <c r="R295" s="56" t="s">
        <v>99</v>
      </c>
      <c r="S295" s="56" t="s">
        <v>99</v>
      </c>
      <c r="T295" s="56" t="s">
        <v>99</v>
      </c>
      <c r="U295" s="56" t="s">
        <v>99</v>
      </c>
      <c r="V295" s="56" t="s">
        <v>99</v>
      </c>
      <c r="W295" s="56" t="s">
        <v>99</v>
      </c>
      <c r="X295" s="56" t="s">
        <v>99</v>
      </c>
      <c r="Y295" s="56" t="s">
        <v>23</v>
      </c>
      <c r="Z295" s="56" t="s">
        <v>99</v>
      </c>
      <c r="AA295" s="56" t="s">
        <v>99</v>
      </c>
      <c r="AB295" s="56" t="s">
        <v>23</v>
      </c>
      <c r="AC295" s="56" t="s">
        <v>23</v>
      </c>
      <c r="AD295" s="56" t="s">
        <v>99</v>
      </c>
      <c r="AE295" s="56" t="s">
        <v>99</v>
      </c>
      <c r="AF295" s="56" t="s">
        <v>99</v>
      </c>
      <c r="AG295" s="56" t="s">
        <v>23</v>
      </c>
      <c r="AH295" s="56" t="s">
        <v>99</v>
      </c>
      <c r="AI295" s="56" t="s">
        <v>99</v>
      </c>
      <c r="AJ295" s="56" t="s">
        <v>99</v>
      </c>
      <c r="AK295" s="63" t="s">
        <v>23</v>
      </c>
      <c r="AL295" s="56" t="s">
        <v>99</v>
      </c>
      <c r="AM295" s="56" t="s">
        <v>99</v>
      </c>
      <c r="AN295" s="56" t="s">
        <v>99</v>
      </c>
      <c r="AO295" s="56" t="s">
        <v>99</v>
      </c>
      <c r="AP295" s="56" t="s">
        <v>99</v>
      </c>
      <c r="AQ295" s="56" t="s">
        <v>99</v>
      </c>
      <c r="AR295" s="56" t="s">
        <v>99</v>
      </c>
      <c r="AS295" s="56" t="s">
        <v>99</v>
      </c>
      <c r="AT295" s="56" t="s">
        <v>99</v>
      </c>
      <c r="AU295" s="56" t="s">
        <v>99</v>
      </c>
      <c r="AV295" s="56" t="s">
        <v>99</v>
      </c>
      <c r="AW295" s="56" t="s">
        <v>99</v>
      </c>
      <c r="AX295" s="56" t="s">
        <v>99</v>
      </c>
      <c r="AY295" s="56" t="s">
        <v>99</v>
      </c>
      <c r="AZ295" s="56" t="s">
        <v>99</v>
      </c>
      <c r="BA295" s="56" t="s">
        <v>99</v>
      </c>
      <c r="BB295" s="56" t="s">
        <v>99</v>
      </c>
      <c r="BC295" s="56" t="s">
        <v>99</v>
      </c>
      <c r="BD295" s="56" t="s">
        <v>99</v>
      </c>
      <c r="BE295" s="56" t="s">
        <v>99</v>
      </c>
      <c r="BF295" s="56" t="s">
        <v>99</v>
      </c>
      <c r="BG295" s="56" t="s">
        <v>99</v>
      </c>
      <c r="BH295" s="56" t="s">
        <v>99</v>
      </c>
      <c r="BI295" s="56" t="s">
        <v>99</v>
      </c>
      <c r="BJ295" s="56" t="s">
        <v>99</v>
      </c>
      <c r="BK295" s="56" t="s">
        <v>99</v>
      </c>
      <c r="BL295" s="56" t="s">
        <v>99</v>
      </c>
      <c r="BM295" s="56" t="s">
        <v>99</v>
      </c>
      <c r="BN295" s="56" t="s">
        <v>99</v>
      </c>
      <c r="BO295" s="56" t="s">
        <v>99</v>
      </c>
      <c r="BP295" s="62" t="s">
        <v>99</v>
      </c>
    </row>
    <row r="296" spans="2:68">
      <c r="B296" s="58">
        <v>10</v>
      </c>
      <c r="C296" s="59">
        <v>42</v>
      </c>
      <c r="D296" s="59" t="s">
        <v>102</v>
      </c>
      <c r="E296" s="60">
        <f>'[1]Master File'!B295</f>
        <v>46309</v>
      </c>
      <c r="F296" s="61" t="str">
        <f>'[1]Master File'!C295</f>
        <v>Closed</v>
      </c>
      <c r="G296" s="39"/>
      <c r="I296" s="56" t="s">
        <v>99</v>
      </c>
      <c r="J296" s="56" t="s">
        <v>99</v>
      </c>
      <c r="K296" s="56" t="s">
        <v>99</v>
      </c>
      <c r="L296" s="56" t="s">
        <v>23</v>
      </c>
      <c r="M296" s="56" t="s">
        <v>99</v>
      </c>
      <c r="N296" s="56" t="s">
        <v>99</v>
      </c>
      <c r="O296" s="56" t="s">
        <v>99</v>
      </c>
      <c r="P296" s="56" t="s">
        <v>99</v>
      </c>
      <c r="Q296" s="56" t="s">
        <v>99</v>
      </c>
      <c r="R296" s="56" t="s">
        <v>99</v>
      </c>
      <c r="S296" s="56" t="s">
        <v>99</v>
      </c>
      <c r="T296" s="56" t="s">
        <v>99</v>
      </c>
      <c r="U296" s="56" t="s">
        <v>99</v>
      </c>
      <c r="V296" s="56" t="s">
        <v>99</v>
      </c>
      <c r="W296" s="56" t="s">
        <v>99</v>
      </c>
      <c r="X296" s="56" t="s">
        <v>99</v>
      </c>
      <c r="Y296" s="56" t="s">
        <v>23</v>
      </c>
      <c r="Z296" s="56" t="s">
        <v>99</v>
      </c>
      <c r="AA296" s="56" t="s">
        <v>99</v>
      </c>
      <c r="AB296" s="56" t="s">
        <v>23</v>
      </c>
      <c r="AC296" s="56" t="s">
        <v>23</v>
      </c>
      <c r="AD296" s="56" t="s">
        <v>99</v>
      </c>
      <c r="AE296" s="56" t="s">
        <v>99</v>
      </c>
      <c r="AF296" s="56" t="s">
        <v>99</v>
      </c>
      <c r="AG296" s="56" t="s">
        <v>23</v>
      </c>
      <c r="AH296" s="56" t="s">
        <v>99</v>
      </c>
      <c r="AI296" s="56" t="s">
        <v>99</v>
      </c>
      <c r="AJ296" s="56" t="s">
        <v>99</v>
      </c>
      <c r="AK296" s="63" t="s">
        <v>23</v>
      </c>
      <c r="AL296" s="56" t="s">
        <v>99</v>
      </c>
      <c r="AM296" s="56" t="s">
        <v>99</v>
      </c>
      <c r="AN296" s="56" t="s">
        <v>99</v>
      </c>
      <c r="AO296" s="56" t="s">
        <v>99</v>
      </c>
      <c r="AP296" s="56" t="s">
        <v>99</v>
      </c>
      <c r="AQ296" s="56" t="s">
        <v>99</v>
      </c>
      <c r="AR296" s="56" t="s">
        <v>99</v>
      </c>
      <c r="AS296" s="56" t="s">
        <v>99</v>
      </c>
      <c r="AT296" s="56" t="s">
        <v>99</v>
      </c>
      <c r="AU296" s="56" t="s">
        <v>99</v>
      </c>
      <c r="AV296" s="56" t="s">
        <v>99</v>
      </c>
      <c r="AW296" s="56" t="s">
        <v>99</v>
      </c>
      <c r="AX296" s="56" t="s">
        <v>99</v>
      </c>
      <c r="AY296" s="56" t="s">
        <v>99</v>
      </c>
      <c r="AZ296" s="56" t="s">
        <v>99</v>
      </c>
      <c r="BA296" s="56" t="s">
        <v>99</v>
      </c>
      <c r="BB296" s="56" t="s">
        <v>99</v>
      </c>
      <c r="BC296" s="56" t="s">
        <v>99</v>
      </c>
      <c r="BD296" s="56" t="s">
        <v>99</v>
      </c>
      <c r="BE296" s="56" t="s">
        <v>99</v>
      </c>
      <c r="BF296" s="56" t="s">
        <v>99</v>
      </c>
      <c r="BG296" s="56" t="s">
        <v>99</v>
      </c>
      <c r="BH296" s="56" t="s">
        <v>99</v>
      </c>
      <c r="BI296" s="56" t="s">
        <v>99</v>
      </c>
      <c r="BJ296" s="56" t="s">
        <v>99</v>
      </c>
      <c r="BK296" s="56" t="s">
        <v>99</v>
      </c>
      <c r="BL296" s="56" t="s">
        <v>99</v>
      </c>
      <c r="BM296" s="56" t="s">
        <v>99</v>
      </c>
      <c r="BN296" s="56" t="s">
        <v>99</v>
      </c>
      <c r="BO296" s="56" t="s">
        <v>99</v>
      </c>
      <c r="BP296" s="62" t="s">
        <v>99</v>
      </c>
    </row>
    <row r="297" spans="2:68">
      <c r="B297" s="58">
        <v>10</v>
      </c>
      <c r="C297" s="59">
        <v>42</v>
      </c>
      <c r="D297" s="59" t="s">
        <v>103</v>
      </c>
      <c r="E297" s="60">
        <f>'[1]Master File'!B296</f>
        <v>46310</v>
      </c>
      <c r="F297" s="61" t="str">
        <f>'[1]Master File'!C296</f>
        <v>Lodge 5PM</v>
      </c>
      <c r="G297" s="39"/>
      <c r="I297" s="56" t="s">
        <v>99</v>
      </c>
      <c r="J297" s="56" t="s">
        <v>99</v>
      </c>
      <c r="K297" s="56" t="s">
        <v>99</v>
      </c>
      <c r="L297" s="56" t="s">
        <v>23</v>
      </c>
      <c r="M297" s="56" t="s">
        <v>99</v>
      </c>
      <c r="N297" s="56" t="s">
        <v>99</v>
      </c>
      <c r="O297" s="56" t="s">
        <v>99</v>
      </c>
      <c r="P297" s="56" t="s">
        <v>99</v>
      </c>
      <c r="Q297" s="56" t="s">
        <v>99</v>
      </c>
      <c r="R297" s="56" t="s">
        <v>99</v>
      </c>
      <c r="S297" s="56" t="s">
        <v>99</v>
      </c>
      <c r="T297" s="56" t="s">
        <v>99</v>
      </c>
      <c r="U297" s="56" t="s">
        <v>99</v>
      </c>
      <c r="V297" s="56" t="s">
        <v>99</v>
      </c>
      <c r="W297" s="56" t="s">
        <v>99</v>
      </c>
      <c r="X297" s="56" t="s">
        <v>99</v>
      </c>
      <c r="Y297" s="56" t="s">
        <v>23</v>
      </c>
      <c r="Z297" s="56" t="s">
        <v>99</v>
      </c>
      <c r="AA297" s="56" t="s">
        <v>99</v>
      </c>
      <c r="AB297" s="56" t="s">
        <v>23</v>
      </c>
      <c r="AC297" s="56" t="s">
        <v>23</v>
      </c>
      <c r="AD297" s="56" t="s">
        <v>99</v>
      </c>
      <c r="AE297" s="56" t="s">
        <v>99</v>
      </c>
      <c r="AF297" s="56" t="s">
        <v>99</v>
      </c>
      <c r="AG297" s="56" t="s">
        <v>23</v>
      </c>
      <c r="AH297" s="56" t="s">
        <v>99</v>
      </c>
      <c r="AI297" s="56" t="s">
        <v>99</v>
      </c>
      <c r="AJ297" s="56" t="s">
        <v>99</v>
      </c>
      <c r="AK297" s="63" t="s">
        <v>23</v>
      </c>
      <c r="AL297" s="56" t="s">
        <v>99</v>
      </c>
      <c r="AM297" s="56" t="s">
        <v>99</v>
      </c>
      <c r="AN297" s="56" t="s">
        <v>99</v>
      </c>
      <c r="AO297" s="56" t="s">
        <v>99</v>
      </c>
      <c r="AP297" s="56" t="s">
        <v>99</v>
      </c>
      <c r="AQ297" s="56" t="s">
        <v>99</v>
      </c>
      <c r="AR297" s="56" t="s">
        <v>99</v>
      </c>
      <c r="AS297" s="56" t="s">
        <v>99</v>
      </c>
      <c r="AT297" s="56" t="s">
        <v>99</v>
      </c>
      <c r="AU297" s="56" t="s">
        <v>99</v>
      </c>
      <c r="AV297" s="56" t="s">
        <v>99</v>
      </c>
      <c r="AW297" s="56" t="s">
        <v>99</v>
      </c>
      <c r="AX297" s="56" t="s">
        <v>99</v>
      </c>
      <c r="AY297" s="56" t="s">
        <v>99</v>
      </c>
      <c r="AZ297" s="56" t="s">
        <v>99</v>
      </c>
      <c r="BA297" s="56" t="s">
        <v>99</v>
      </c>
      <c r="BB297" s="56" t="s">
        <v>99</v>
      </c>
      <c r="BC297" s="56" t="s">
        <v>99</v>
      </c>
      <c r="BD297" s="56" t="s">
        <v>99</v>
      </c>
      <c r="BE297" s="56" t="s">
        <v>99</v>
      </c>
      <c r="BF297" s="56" t="s">
        <v>99</v>
      </c>
      <c r="BG297" s="56" t="s">
        <v>99</v>
      </c>
      <c r="BH297" s="56" t="s">
        <v>99</v>
      </c>
      <c r="BI297" s="56" t="s">
        <v>99</v>
      </c>
      <c r="BJ297" s="56" t="s">
        <v>99</v>
      </c>
      <c r="BK297" s="56" t="s">
        <v>99</v>
      </c>
      <c r="BL297" s="56" t="s">
        <v>99</v>
      </c>
      <c r="BM297" s="56" t="s">
        <v>99</v>
      </c>
      <c r="BN297" s="56" t="s">
        <v>99</v>
      </c>
      <c r="BO297" s="56" t="s">
        <v>99</v>
      </c>
      <c r="BP297" s="62" t="s">
        <v>99</v>
      </c>
    </row>
    <row r="298" spans="2:68">
      <c r="B298" s="58">
        <v>10</v>
      </c>
      <c r="C298" s="59">
        <v>42</v>
      </c>
      <c r="D298" s="59" t="s">
        <v>104</v>
      </c>
      <c r="E298" s="60">
        <f>'[1]Master File'!B297</f>
        <v>46311</v>
      </c>
      <c r="F298" s="61" t="str">
        <f>'[1]Master File'!C297</f>
        <v>Lodge 5PM</v>
      </c>
      <c r="G298" s="39"/>
      <c r="I298" s="56" t="s">
        <v>99</v>
      </c>
      <c r="J298" s="56" t="s">
        <v>99</v>
      </c>
      <c r="K298" s="56" t="s">
        <v>99</v>
      </c>
      <c r="L298" s="56" t="s">
        <v>23</v>
      </c>
      <c r="M298" s="56" t="s">
        <v>99</v>
      </c>
      <c r="N298" s="56" t="s">
        <v>99</v>
      </c>
      <c r="O298" s="56" t="s">
        <v>99</v>
      </c>
      <c r="P298" s="56" t="s">
        <v>99</v>
      </c>
      <c r="Q298" s="56" t="s">
        <v>99</v>
      </c>
      <c r="R298" s="56" t="s">
        <v>99</v>
      </c>
      <c r="S298" s="56" t="s">
        <v>99</v>
      </c>
      <c r="T298" s="56" t="s">
        <v>99</v>
      </c>
      <c r="U298" s="56" t="s">
        <v>99</v>
      </c>
      <c r="V298" s="56" t="s">
        <v>99</v>
      </c>
      <c r="W298" s="56" t="s">
        <v>99</v>
      </c>
      <c r="X298" s="56" t="s">
        <v>99</v>
      </c>
      <c r="Y298" s="56" t="s">
        <v>23</v>
      </c>
      <c r="Z298" s="56" t="s">
        <v>99</v>
      </c>
      <c r="AA298" s="56" t="s">
        <v>99</v>
      </c>
      <c r="AB298" s="56" t="s">
        <v>23</v>
      </c>
      <c r="AC298" s="56" t="s">
        <v>23</v>
      </c>
      <c r="AD298" s="56" t="s">
        <v>99</v>
      </c>
      <c r="AE298" s="56" t="s">
        <v>99</v>
      </c>
      <c r="AF298" s="56" t="s">
        <v>99</v>
      </c>
      <c r="AG298" s="56" t="s">
        <v>23</v>
      </c>
      <c r="AH298" s="56" t="s">
        <v>99</v>
      </c>
      <c r="AI298" s="56" t="s">
        <v>99</v>
      </c>
      <c r="AJ298" s="56" t="s">
        <v>99</v>
      </c>
      <c r="AK298" s="63" t="s">
        <v>23</v>
      </c>
      <c r="AL298" s="56" t="s">
        <v>99</v>
      </c>
      <c r="AM298" s="56" t="s">
        <v>99</v>
      </c>
      <c r="AN298" s="56" t="s">
        <v>99</v>
      </c>
      <c r="AO298" s="56" t="s">
        <v>99</v>
      </c>
      <c r="AP298" s="56" t="s">
        <v>99</v>
      </c>
      <c r="AQ298" s="56" t="s">
        <v>99</v>
      </c>
      <c r="AR298" s="56" t="s">
        <v>99</v>
      </c>
      <c r="AS298" s="56" t="s">
        <v>99</v>
      </c>
      <c r="AT298" s="56" t="s">
        <v>99</v>
      </c>
      <c r="AU298" s="56" t="s">
        <v>99</v>
      </c>
      <c r="AV298" s="56" t="s">
        <v>99</v>
      </c>
      <c r="AW298" s="56" t="s">
        <v>99</v>
      </c>
      <c r="AX298" s="56" t="s">
        <v>99</v>
      </c>
      <c r="AY298" s="56" t="s">
        <v>99</v>
      </c>
      <c r="AZ298" s="56" t="s">
        <v>99</v>
      </c>
      <c r="BA298" s="56" t="s">
        <v>99</v>
      </c>
      <c r="BB298" s="56" t="s">
        <v>99</v>
      </c>
      <c r="BC298" s="56" t="s">
        <v>99</v>
      </c>
      <c r="BD298" s="56" t="s">
        <v>99</v>
      </c>
      <c r="BE298" s="56" t="s">
        <v>99</v>
      </c>
      <c r="BF298" s="56" t="s">
        <v>99</v>
      </c>
      <c r="BG298" s="56" t="s">
        <v>99</v>
      </c>
      <c r="BH298" s="56" t="s">
        <v>99</v>
      </c>
      <c r="BI298" s="56" t="s">
        <v>99</v>
      </c>
      <c r="BJ298" s="56" t="s">
        <v>99</v>
      </c>
      <c r="BK298" s="56" t="s">
        <v>99</v>
      </c>
      <c r="BL298" s="56" t="s">
        <v>99</v>
      </c>
      <c r="BM298" s="56" t="s">
        <v>99</v>
      </c>
      <c r="BN298" s="56" t="s">
        <v>99</v>
      </c>
      <c r="BO298" s="56" t="s">
        <v>99</v>
      </c>
      <c r="BP298" s="62" t="s">
        <v>99</v>
      </c>
    </row>
    <row r="299" spans="2:68">
      <c r="B299" s="58">
        <v>10</v>
      </c>
      <c r="C299" s="59">
        <v>42</v>
      </c>
      <c r="D299" s="59" t="s">
        <v>105</v>
      </c>
      <c r="E299" s="60">
        <f>'[1]Master File'!B298</f>
        <v>46312</v>
      </c>
      <c r="F299" s="61" t="str">
        <f>'[1]Master File'!C298</f>
        <v>Explorer 5PM</v>
      </c>
      <c r="G299" s="39"/>
      <c r="I299" s="67" t="s">
        <v>99</v>
      </c>
      <c r="J299" s="67" t="s">
        <v>99</v>
      </c>
      <c r="K299" s="67" t="s">
        <v>99</v>
      </c>
      <c r="L299" s="67" t="s">
        <v>23</v>
      </c>
      <c r="M299" s="67" t="s">
        <v>99</v>
      </c>
      <c r="N299" s="67" t="s">
        <v>99</v>
      </c>
      <c r="O299" s="67" t="s">
        <v>99</v>
      </c>
      <c r="P299" s="67" t="s">
        <v>99</v>
      </c>
      <c r="Q299" s="67" t="s">
        <v>99</v>
      </c>
      <c r="R299" s="67" t="s">
        <v>99</v>
      </c>
      <c r="S299" s="67" t="s">
        <v>99</v>
      </c>
      <c r="T299" s="67" t="s">
        <v>99</v>
      </c>
      <c r="U299" s="67" t="s">
        <v>99</v>
      </c>
      <c r="V299" s="67" t="s">
        <v>99</v>
      </c>
      <c r="W299" s="67" t="s">
        <v>99</v>
      </c>
      <c r="X299" s="67" t="s">
        <v>99</v>
      </c>
      <c r="Y299" s="56" t="s">
        <v>23</v>
      </c>
      <c r="Z299" s="67" t="s">
        <v>99</v>
      </c>
      <c r="AA299" s="67" t="s">
        <v>99</v>
      </c>
      <c r="AB299" s="67" t="s">
        <v>99</v>
      </c>
      <c r="AC299" s="63" t="s">
        <v>23</v>
      </c>
      <c r="AD299" s="67" t="s">
        <v>99</v>
      </c>
      <c r="AE299" s="67" t="s">
        <v>99</v>
      </c>
      <c r="AF299" s="67" t="s">
        <v>99</v>
      </c>
      <c r="AG299" s="67" t="s">
        <v>23</v>
      </c>
      <c r="AH299" s="67" t="s">
        <v>99</v>
      </c>
      <c r="AI299" s="67" t="s">
        <v>99</v>
      </c>
      <c r="AJ299" s="67" t="s">
        <v>99</v>
      </c>
      <c r="AK299" s="63" t="s">
        <v>23</v>
      </c>
      <c r="AL299" s="67" t="s">
        <v>99</v>
      </c>
      <c r="AM299" s="67" t="s">
        <v>99</v>
      </c>
      <c r="AN299" s="67" t="s">
        <v>99</v>
      </c>
      <c r="AO299" s="67" t="s">
        <v>99</v>
      </c>
      <c r="AP299" s="67" t="s">
        <v>99</v>
      </c>
      <c r="AQ299" s="67" t="s">
        <v>23</v>
      </c>
      <c r="AR299" s="67" t="s">
        <v>99</v>
      </c>
      <c r="AS299" s="67" t="s">
        <v>99</v>
      </c>
      <c r="AT299" s="67" t="s">
        <v>99</v>
      </c>
      <c r="AU299" s="67" t="s">
        <v>99</v>
      </c>
      <c r="AV299" s="67" t="s">
        <v>99</v>
      </c>
      <c r="AW299" s="67" t="s">
        <v>99</v>
      </c>
      <c r="AX299" s="67" t="s">
        <v>99</v>
      </c>
      <c r="AY299" s="67" t="s">
        <v>99</v>
      </c>
      <c r="AZ299" s="67" t="s">
        <v>99</v>
      </c>
      <c r="BA299" s="67" t="s">
        <v>99</v>
      </c>
      <c r="BB299" s="67" t="s">
        <v>99</v>
      </c>
      <c r="BC299" s="67" t="s">
        <v>99</v>
      </c>
      <c r="BD299" s="67" t="s">
        <v>99</v>
      </c>
      <c r="BE299" s="67" t="s">
        <v>99</v>
      </c>
      <c r="BF299" s="67" t="s">
        <v>99</v>
      </c>
      <c r="BG299" s="67" t="s">
        <v>99</v>
      </c>
      <c r="BH299" s="67" t="s">
        <v>99</v>
      </c>
      <c r="BI299" s="67" t="s">
        <v>99</v>
      </c>
      <c r="BJ299" s="67" t="s">
        <v>99</v>
      </c>
      <c r="BK299" s="67" t="s">
        <v>99</v>
      </c>
      <c r="BL299" s="67" t="s">
        <v>99</v>
      </c>
      <c r="BM299" s="67" t="s">
        <v>99</v>
      </c>
      <c r="BN299" s="67" t="s">
        <v>99</v>
      </c>
      <c r="BO299" s="67" t="s">
        <v>99</v>
      </c>
      <c r="BP299" s="68" t="s">
        <v>99</v>
      </c>
    </row>
    <row r="300" spans="2:68">
      <c r="B300" s="58">
        <v>10</v>
      </c>
      <c r="C300" s="59">
        <v>43</v>
      </c>
      <c r="D300" s="59" t="s">
        <v>98</v>
      </c>
      <c r="E300" s="60">
        <f>'[1]Master File'!B299</f>
        <v>46313</v>
      </c>
      <c r="F300" s="61" t="str">
        <f>'[1]Master File'!C299</f>
        <v>Explorer 5PM</v>
      </c>
      <c r="G300" s="39"/>
      <c r="I300" s="67" t="s">
        <v>99</v>
      </c>
      <c r="J300" s="67" t="s">
        <v>99</v>
      </c>
      <c r="K300" s="67" t="s">
        <v>99</v>
      </c>
      <c r="L300" s="67" t="s">
        <v>23</v>
      </c>
      <c r="M300" s="67" t="s">
        <v>99</v>
      </c>
      <c r="N300" s="67" t="s">
        <v>99</v>
      </c>
      <c r="O300" s="67" t="s">
        <v>99</v>
      </c>
      <c r="P300" s="67" t="s">
        <v>99</v>
      </c>
      <c r="Q300" s="67" t="s">
        <v>99</v>
      </c>
      <c r="R300" s="67" t="s">
        <v>99</v>
      </c>
      <c r="S300" s="67" t="s">
        <v>99</v>
      </c>
      <c r="T300" s="67" t="s">
        <v>99</v>
      </c>
      <c r="U300" s="67" t="s">
        <v>99</v>
      </c>
      <c r="V300" s="67" t="s">
        <v>99</v>
      </c>
      <c r="W300" s="67" t="s">
        <v>99</v>
      </c>
      <c r="X300" s="67" t="s">
        <v>99</v>
      </c>
      <c r="Y300" s="56" t="s">
        <v>23</v>
      </c>
      <c r="Z300" s="67" t="s">
        <v>99</v>
      </c>
      <c r="AA300" s="67" t="s">
        <v>99</v>
      </c>
      <c r="AB300" s="67" t="s">
        <v>99</v>
      </c>
      <c r="AC300" s="63" t="s">
        <v>23</v>
      </c>
      <c r="AD300" s="67" t="s">
        <v>99</v>
      </c>
      <c r="AE300" s="67" t="s">
        <v>99</v>
      </c>
      <c r="AF300" s="67" t="s">
        <v>99</v>
      </c>
      <c r="AG300" s="67" t="s">
        <v>23</v>
      </c>
      <c r="AH300" s="67" t="s">
        <v>99</v>
      </c>
      <c r="AI300" s="67" t="s">
        <v>99</v>
      </c>
      <c r="AJ300" s="67" t="s">
        <v>99</v>
      </c>
      <c r="AK300" s="63" t="s">
        <v>23</v>
      </c>
      <c r="AL300" s="67" t="s">
        <v>99</v>
      </c>
      <c r="AM300" s="67" t="s">
        <v>99</v>
      </c>
      <c r="AN300" s="67" t="s">
        <v>99</v>
      </c>
      <c r="AO300" s="67" t="s">
        <v>99</v>
      </c>
      <c r="AP300" s="67" t="s">
        <v>99</v>
      </c>
      <c r="AQ300" s="67" t="s">
        <v>23</v>
      </c>
      <c r="AR300" s="67" t="s">
        <v>99</v>
      </c>
      <c r="AS300" s="67" t="s">
        <v>99</v>
      </c>
      <c r="AT300" s="67" t="s">
        <v>99</v>
      </c>
      <c r="AU300" s="67" t="s">
        <v>99</v>
      </c>
      <c r="AV300" s="67" t="s">
        <v>99</v>
      </c>
      <c r="AW300" s="67" t="s">
        <v>99</v>
      </c>
      <c r="AX300" s="67" t="s">
        <v>99</v>
      </c>
      <c r="AY300" s="67" t="s">
        <v>99</v>
      </c>
      <c r="AZ300" s="67" t="s">
        <v>99</v>
      </c>
      <c r="BA300" s="67" t="s">
        <v>99</v>
      </c>
      <c r="BB300" s="67" t="s">
        <v>99</v>
      </c>
      <c r="BC300" s="67" t="s">
        <v>99</v>
      </c>
      <c r="BD300" s="67" t="s">
        <v>99</v>
      </c>
      <c r="BE300" s="67" t="s">
        <v>99</v>
      </c>
      <c r="BF300" s="67" t="s">
        <v>99</v>
      </c>
      <c r="BG300" s="67" t="s">
        <v>99</v>
      </c>
      <c r="BH300" s="67" t="s">
        <v>99</v>
      </c>
      <c r="BI300" s="67" t="s">
        <v>99</v>
      </c>
      <c r="BJ300" s="67" t="s">
        <v>99</v>
      </c>
      <c r="BK300" s="67" t="s">
        <v>99</v>
      </c>
      <c r="BL300" s="67" t="s">
        <v>99</v>
      </c>
      <c r="BM300" s="67" t="s">
        <v>99</v>
      </c>
      <c r="BN300" s="67" t="s">
        <v>99</v>
      </c>
      <c r="BO300" s="67" t="s">
        <v>99</v>
      </c>
      <c r="BP300" s="68" t="s">
        <v>99</v>
      </c>
    </row>
    <row r="301" spans="2:68">
      <c r="B301" s="58">
        <v>10</v>
      </c>
      <c r="C301" s="59">
        <v>43</v>
      </c>
      <c r="D301" s="59" t="s">
        <v>100</v>
      </c>
      <c r="E301" s="60">
        <f>'[1]Master File'!B300</f>
        <v>46314</v>
      </c>
      <c r="F301" s="61" t="str">
        <f>'[1]Master File'!C300</f>
        <v>Explorer 5PM</v>
      </c>
      <c r="G301" s="39"/>
      <c r="I301" s="56" t="s">
        <v>99</v>
      </c>
      <c r="J301" s="56" t="s">
        <v>99</v>
      </c>
      <c r="K301" s="56" t="s">
        <v>99</v>
      </c>
      <c r="L301" s="56" t="s">
        <v>23</v>
      </c>
      <c r="M301" s="56" t="s">
        <v>99</v>
      </c>
      <c r="N301" s="56" t="s">
        <v>99</v>
      </c>
      <c r="O301" s="56" t="s">
        <v>99</v>
      </c>
      <c r="P301" s="56" t="s">
        <v>99</v>
      </c>
      <c r="Q301" s="56" t="s">
        <v>99</v>
      </c>
      <c r="R301" s="56" t="s">
        <v>99</v>
      </c>
      <c r="S301" s="56" t="s">
        <v>99</v>
      </c>
      <c r="T301" s="56" t="s">
        <v>99</v>
      </c>
      <c r="U301" s="56" t="s">
        <v>99</v>
      </c>
      <c r="V301" s="56" t="s">
        <v>99</v>
      </c>
      <c r="W301" s="56" t="s">
        <v>99</v>
      </c>
      <c r="X301" s="56" t="s">
        <v>99</v>
      </c>
      <c r="Y301" s="56" t="s">
        <v>23</v>
      </c>
      <c r="Z301" s="56" t="s">
        <v>99</v>
      </c>
      <c r="AA301" s="56" t="s">
        <v>99</v>
      </c>
      <c r="AB301" s="56" t="s">
        <v>99</v>
      </c>
      <c r="AC301" s="56" t="s">
        <v>99</v>
      </c>
      <c r="AD301" s="56" t="s">
        <v>99</v>
      </c>
      <c r="AE301" s="56" t="s">
        <v>99</v>
      </c>
      <c r="AF301" s="56" t="s">
        <v>99</v>
      </c>
      <c r="AG301" s="56" t="s">
        <v>23</v>
      </c>
      <c r="AH301" s="56" t="s">
        <v>99</v>
      </c>
      <c r="AI301" s="56" t="s">
        <v>99</v>
      </c>
      <c r="AJ301" s="56" t="s">
        <v>99</v>
      </c>
      <c r="AK301" s="63" t="s">
        <v>23</v>
      </c>
      <c r="AL301" s="56" t="s">
        <v>99</v>
      </c>
      <c r="AM301" s="56" t="s">
        <v>99</v>
      </c>
      <c r="AN301" s="56" t="s">
        <v>99</v>
      </c>
      <c r="AO301" s="56" t="s">
        <v>99</v>
      </c>
      <c r="AP301" s="56" t="s">
        <v>99</v>
      </c>
      <c r="AQ301" s="56" t="s">
        <v>99</v>
      </c>
      <c r="AR301" s="56" t="s">
        <v>99</v>
      </c>
      <c r="AS301" s="56" t="s">
        <v>99</v>
      </c>
      <c r="AT301" s="56" t="s">
        <v>99</v>
      </c>
      <c r="AU301" s="56" t="s">
        <v>99</v>
      </c>
      <c r="AV301" s="56" t="s">
        <v>99</v>
      </c>
      <c r="AW301" s="56" t="s">
        <v>99</v>
      </c>
      <c r="AX301" s="56" t="s">
        <v>99</v>
      </c>
      <c r="AY301" s="56" t="s">
        <v>99</v>
      </c>
      <c r="AZ301" s="56" t="s">
        <v>99</v>
      </c>
      <c r="BA301" s="56" t="s">
        <v>99</v>
      </c>
      <c r="BB301" s="56" t="s">
        <v>99</v>
      </c>
      <c r="BC301" s="56" t="s">
        <v>99</v>
      </c>
      <c r="BD301" s="56" t="s">
        <v>99</v>
      </c>
      <c r="BE301" s="56" t="s">
        <v>99</v>
      </c>
      <c r="BF301" s="56" t="s">
        <v>99</v>
      </c>
      <c r="BG301" s="56" t="s">
        <v>99</v>
      </c>
      <c r="BH301" s="56" t="s">
        <v>99</v>
      </c>
      <c r="BI301" s="56" t="s">
        <v>99</v>
      </c>
      <c r="BJ301" s="56" t="s">
        <v>99</v>
      </c>
      <c r="BK301" s="56" t="s">
        <v>99</v>
      </c>
      <c r="BL301" s="56" t="s">
        <v>99</v>
      </c>
      <c r="BM301" s="56" t="s">
        <v>99</v>
      </c>
      <c r="BN301" s="56" t="s">
        <v>99</v>
      </c>
      <c r="BO301" s="56" t="s">
        <v>99</v>
      </c>
      <c r="BP301" s="62" t="s">
        <v>99</v>
      </c>
    </row>
    <row r="302" spans="2:68">
      <c r="B302" s="58">
        <v>10</v>
      </c>
      <c r="C302" s="59">
        <v>43</v>
      </c>
      <c r="D302" s="59" t="s">
        <v>101</v>
      </c>
      <c r="E302" s="60">
        <f>'[1]Master File'!B301</f>
        <v>46315</v>
      </c>
      <c r="F302" s="61" t="str">
        <f>'[1]Master File'!C301</f>
        <v>Explorer 5PM</v>
      </c>
      <c r="G302" s="39"/>
      <c r="I302" s="56" t="s">
        <v>99</v>
      </c>
      <c r="J302" s="56" t="s">
        <v>99</v>
      </c>
      <c r="K302" s="56" t="s">
        <v>99</v>
      </c>
      <c r="L302" s="56" t="s">
        <v>23</v>
      </c>
      <c r="M302" s="56" t="s">
        <v>99</v>
      </c>
      <c r="N302" s="56" t="s">
        <v>99</v>
      </c>
      <c r="O302" s="56" t="s">
        <v>99</v>
      </c>
      <c r="P302" s="56" t="s">
        <v>99</v>
      </c>
      <c r="Q302" s="56" t="s">
        <v>99</v>
      </c>
      <c r="R302" s="56" t="s">
        <v>99</v>
      </c>
      <c r="S302" s="56" t="s">
        <v>99</v>
      </c>
      <c r="T302" s="56" t="s">
        <v>99</v>
      </c>
      <c r="U302" s="56" t="s">
        <v>99</v>
      </c>
      <c r="V302" s="56" t="s">
        <v>99</v>
      </c>
      <c r="W302" s="56" t="s">
        <v>99</v>
      </c>
      <c r="X302" s="56" t="s">
        <v>99</v>
      </c>
      <c r="Y302" s="56" t="s">
        <v>23</v>
      </c>
      <c r="Z302" s="56" t="s">
        <v>99</v>
      </c>
      <c r="AA302" s="56" t="s">
        <v>99</v>
      </c>
      <c r="AB302" s="56" t="s">
        <v>99</v>
      </c>
      <c r="AC302" s="56" t="s">
        <v>23</v>
      </c>
      <c r="AD302" s="56" t="s">
        <v>99</v>
      </c>
      <c r="AE302" s="56" t="s">
        <v>99</v>
      </c>
      <c r="AF302" s="56" t="s">
        <v>99</v>
      </c>
      <c r="AG302" s="56" t="s">
        <v>23</v>
      </c>
      <c r="AH302" s="56" t="s">
        <v>99</v>
      </c>
      <c r="AI302" s="56" t="s">
        <v>99</v>
      </c>
      <c r="AJ302" s="56" t="s">
        <v>99</v>
      </c>
      <c r="AK302" s="63" t="s">
        <v>23</v>
      </c>
      <c r="AL302" s="56" t="s">
        <v>99</v>
      </c>
      <c r="AM302" s="56" t="s">
        <v>99</v>
      </c>
      <c r="AN302" s="56" t="s">
        <v>99</v>
      </c>
      <c r="AO302" s="56" t="s">
        <v>99</v>
      </c>
      <c r="AP302" s="56" t="s">
        <v>99</v>
      </c>
      <c r="AQ302" s="56" t="s">
        <v>99</v>
      </c>
      <c r="AR302" s="56" t="s">
        <v>99</v>
      </c>
      <c r="AS302" s="56" t="s">
        <v>99</v>
      </c>
      <c r="AT302" s="56" t="s">
        <v>99</v>
      </c>
      <c r="AU302" s="56" t="s">
        <v>99</v>
      </c>
      <c r="AV302" s="56" t="s">
        <v>99</v>
      </c>
      <c r="AW302" s="56" t="s">
        <v>99</v>
      </c>
      <c r="AX302" s="56" t="s">
        <v>99</v>
      </c>
      <c r="AY302" s="56" t="s">
        <v>99</v>
      </c>
      <c r="AZ302" s="56" t="s">
        <v>99</v>
      </c>
      <c r="BA302" s="56" t="s">
        <v>99</v>
      </c>
      <c r="BB302" s="56" t="s">
        <v>99</v>
      </c>
      <c r="BC302" s="56" t="s">
        <v>99</v>
      </c>
      <c r="BD302" s="56" t="s">
        <v>99</v>
      </c>
      <c r="BE302" s="56" t="s">
        <v>99</v>
      </c>
      <c r="BF302" s="56" t="s">
        <v>99</v>
      </c>
      <c r="BG302" s="56" t="s">
        <v>99</v>
      </c>
      <c r="BH302" s="56" t="s">
        <v>99</v>
      </c>
      <c r="BI302" s="56" t="s">
        <v>99</v>
      </c>
      <c r="BJ302" s="56" t="s">
        <v>99</v>
      </c>
      <c r="BK302" s="56" t="s">
        <v>99</v>
      </c>
      <c r="BL302" s="56" t="s">
        <v>99</v>
      </c>
      <c r="BM302" s="56" t="s">
        <v>99</v>
      </c>
      <c r="BN302" s="56" t="s">
        <v>99</v>
      </c>
      <c r="BO302" s="56" t="s">
        <v>99</v>
      </c>
      <c r="BP302" s="62" t="s">
        <v>99</v>
      </c>
    </row>
    <row r="303" spans="2:68">
      <c r="B303" s="58">
        <v>10</v>
      </c>
      <c r="C303" s="59">
        <v>43</v>
      </c>
      <c r="D303" s="59" t="s">
        <v>102</v>
      </c>
      <c r="E303" s="60">
        <f>'[1]Master File'!B302</f>
        <v>46316</v>
      </c>
      <c r="F303" s="61" t="str">
        <f>'[1]Master File'!C302</f>
        <v>Explorer 5PM</v>
      </c>
      <c r="G303" s="39"/>
      <c r="I303" s="56" t="s">
        <v>99</v>
      </c>
      <c r="J303" s="56" t="s">
        <v>99</v>
      </c>
      <c r="K303" s="56" t="s">
        <v>99</v>
      </c>
      <c r="L303" s="56" t="s">
        <v>23</v>
      </c>
      <c r="M303" s="56" t="s">
        <v>99</v>
      </c>
      <c r="N303" s="56" t="s">
        <v>99</v>
      </c>
      <c r="O303" s="56" t="s">
        <v>99</v>
      </c>
      <c r="P303" s="56" t="s">
        <v>99</v>
      </c>
      <c r="Q303" s="56" t="s">
        <v>99</v>
      </c>
      <c r="R303" s="56" t="s">
        <v>99</v>
      </c>
      <c r="S303" s="56" t="s">
        <v>99</v>
      </c>
      <c r="T303" s="56" t="s">
        <v>99</v>
      </c>
      <c r="U303" s="56" t="s">
        <v>99</v>
      </c>
      <c r="V303" s="56" t="s">
        <v>99</v>
      </c>
      <c r="W303" s="56" t="s">
        <v>99</v>
      </c>
      <c r="X303" s="56" t="s">
        <v>99</v>
      </c>
      <c r="Y303" s="56" t="s">
        <v>23</v>
      </c>
      <c r="Z303" s="56" t="s">
        <v>99</v>
      </c>
      <c r="AA303" s="56" t="s">
        <v>99</v>
      </c>
      <c r="AB303" s="56" t="s">
        <v>99</v>
      </c>
      <c r="AC303" s="56" t="s">
        <v>23</v>
      </c>
      <c r="AD303" s="56" t="s">
        <v>99</v>
      </c>
      <c r="AE303" s="56" t="s">
        <v>99</v>
      </c>
      <c r="AF303" s="56" t="s">
        <v>99</v>
      </c>
      <c r="AG303" s="56" t="s">
        <v>23</v>
      </c>
      <c r="AH303" s="56" t="s">
        <v>99</v>
      </c>
      <c r="AI303" s="56" t="s">
        <v>99</v>
      </c>
      <c r="AJ303" s="56" t="s">
        <v>99</v>
      </c>
      <c r="AK303" s="63" t="s">
        <v>23</v>
      </c>
      <c r="AL303" s="56" t="s">
        <v>99</v>
      </c>
      <c r="AM303" s="56" t="s">
        <v>99</v>
      </c>
      <c r="AN303" s="56" t="s">
        <v>99</v>
      </c>
      <c r="AO303" s="56" t="s">
        <v>99</v>
      </c>
      <c r="AP303" s="56" t="s">
        <v>99</v>
      </c>
      <c r="AQ303" s="56" t="s">
        <v>99</v>
      </c>
      <c r="AR303" s="56" t="s">
        <v>99</v>
      </c>
      <c r="AS303" s="56" t="s">
        <v>99</v>
      </c>
      <c r="AT303" s="56" t="s">
        <v>99</v>
      </c>
      <c r="AU303" s="56" t="s">
        <v>99</v>
      </c>
      <c r="AV303" s="56" t="s">
        <v>99</v>
      </c>
      <c r="AW303" s="56" t="s">
        <v>99</v>
      </c>
      <c r="AX303" s="56" t="s">
        <v>99</v>
      </c>
      <c r="AY303" s="56" t="s">
        <v>99</v>
      </c>
      <c r="AZ303" s="56" t="s">
        <v>99</v>
      </c>
      <c r="BA303" s="56" t="s">
        <v>99</v>
      </c>
      <c r="BB303" s="56" t="s">
        <v>99</v>
      </c>
      <c r="BC303" s="56" t="s">
        <v>99</v>
      </c>
      <c r="BD303" s="56" t="s">
        <v>99</v>
      </c>
      <c r="BE303" s="56" t="s">
        <v>99</v>
      </c>
      <c r="BF303" s="56" t="s">
        <v>99</v>
      </c>
      <c r="BG303" s="56" t="s">
        <v>99</v>
      </c>
      <c r="BH303" s="56" t="s">
        <v>99</v>
      </c>
      <c r="BI303" s="56" t="s">
        <v>99</v>
      </c>
      <c r="BJ303" s="56" t="s">
        <v>99</v>
      </c>
      <c r="BK303" s="56" t="s">
        <v>99</v>
      </c>
      <c r="BL303" s="56" t="s">
        <v>99</v>
      </c>
      <c r="BM303" s="56" t="s">
        <v>99</v>
      </c>
      <c r="BN303" s="56" t="s">
        <v>99</v>
      </c>
      <c r="BO303" s="56" t="s">
        <v>99</v>
      </c>
      <c r="BP303" s="62" t="s">
        <v>99</v>
      </c>
    </row>
    <row r="304" spans="2:68">
      <c r="B304" s="58">
        <v>10</v>
      </c>
      <c r="C304" s="59">
        <v>43</v>
      </c>
      <c r="D304" s="59" t="s">
        <v>103</v>
      </c>
      <c r="E304" s="60">
        <f>'[1]Master File'!B303</f>
        <v>46317</v>
      </c>
      <c r="F304" s="61" t="str">
        <f>'[1]Master File'!C303</f>
        <v>Explorer 5PM</v>
      </c>
      <c r="G304" s="39"/>
      <c r="I304" s="56" t="s">
        <v>99</v>
      </c>
      <c r="J304" s="56" t="s">
        <v>99</v>
      </c>
      <c r="K304" s="56" t="s">
        <v>99</v>
      </c>
      <c r="L304" s="56" t="s">
        <v>23</v>
      </c>
      <c r="M304" s="56" t="s">
        <v>99</v>
      </c>
      <c r="N304" s="56" t="s">
        <v>99</v>
      </c>
      <c r="O304" s="56" t="s">
        <v>99</v>
      </c>
      <c r="P304" s="56" t="s">
        <v>99</v>
      </c>
      <c r="Q304" s="56" t="s">
        <v>99</v>
      </c>
      <c r="R304" s="56" t="s">
        <v>99</v>
      </c>
      <c r="S304" s="56" t="s">
        <v>99</v>
      </c>
      <c r="T304" s="56" t="s">
        <v>99</v>
      </c>
      <c r="U304" s="56" t="s">
        <v>99</v>
      </c>
      <c r="V304" s="56" t="s">
        <v>99</v>
      </c>
      <c r="W304" s="56" t="s">
        <v>99</v>
      </c>
      <c r="X304" s="56" t="s">
        <v>99</v>
      </c>
      <c r="Y304" s="56" t="s">
        <v>23</v>
      </c>
      <c r="Z304" s="56" t="s">
        <v>99</v>
      </c>
      <c r="AA304" s="56" t="s">
        <v>99</v>
      </c>
      <c r="AB304" s="56" t="s">
        <v>99</v>
      </c>
      <c r="AC304" s="56" t="s">
        <v>23</v>
      </c>
      <c r="AD304" s="56" t="s">
        <v>99</v>
      </c>
      <c r="AE304" s="56" t="s">
        <v>99</v>
      </c>
      <c r="AF304" s="56" t="s">
        <v>99</v>
      </c>
      <c r="AG304" s="56" t="s">
        <v>23</v>
      </c>
      <c r="AH304" s="56" t="s">
        <v>99</v>
      </c>
      <c r="AI304" s="56" t="s">
        <v>99</v>
      </c>
      <c r="AJ304" s="56" t="s">
        <v>99</v>
      </c>
      <c r="AK304" s="63" t="s">
        <v>23</v>
      </c>
      <c r="AL304" s="56" t="s">
        <v>99</v>
      </c>
      <c r="AM304" s="56" t="s">
        <v>99</v>
      </c>
      <c r="AN304" s="56" t="s">
        <v>99</v>
      </c>
      <c r="AO304" s="56" t="s">
        <v>99</v>
      </c>
      <c r="AP304" s="56" t="s">
        <v>99</v>
      </c>
      <c r="AQ304" s="56" t="s">
        <v>99</v>
      </c>
      <c r="AR304" s="56" t="s">
        <v>99</v>
      </c>
      <c r="AS304" s="56" t="s">
        <v>99</v>
      </c>
      <c r="AT304" s="56" t="s">
        <v>99</v>
      </c>
      <c r="AU304" s="56" t="s">
        <v>99</v>
      </c>
      <c r="AV304" s="56" t="s">
        <v>99</v>
      </c>
      <c r="AW304" s="56" t="s">
        <v>99</v>
      </c>
      <c r="AX304" s="56" t="s">
        <v>99</v>
      </c>
      <c r="AY304" s="56" t="s">
        <v>99</v>
      </c>
      <c r="AZ304" s="56" t="s">
        <v>99</v>
      </c>
      <c r="BA304" s="56" t="s">
        <v>99</v>
      </c>
      <c r="BB304" s="56" t="s">
        <v>99</v>
      </c>
      <c r="BC304" s="56" t="s">
        <v>99</v>
      </c>
      <c r="BD304" s="56" t="s">
        <v>99</v>
      </c>
      <c r="BE304" s="56" t="s">
        <v>99</v>
      </c>
      <c r="BF304" s="56" t="s">
        <v>99</v>
      </c>
      <c r="BG304" s="56" t="s">
        <v>99</v>
      </c>
      <c r="BH304" s="56" t="s">
        <v>99</v>
      </c>
      <c r="BI304" s="56" t="s">
        <v>99</v>
      </c>
      <c r="BJ304" s="56" t="s">
        <v>99</v>
      </c>
      <c r="BK304" s="56" t="s">
        <v>99</v>
      </c>
      <c r="BL304" s="56" t="s">
        <v>99</v>
      </c>
      <c r="BM304" s="56" t="s">
        <v>99</v>
      </c>
      <c r="BN304" s="56" t="s">
        <v>99</v>
      </c>
      <c r="BO304" s="56" t="s">
        <v>99</v>
      </c>
      <c r="BP304" s="62" t="s">
        <v>99</v>
      </c>
    </row>
    <row r="305" spans="2:68">
      <c r="B305" s="58">
        <v>10</v>
      </c>
      <c r="C305" s="59">
        <v>43</v>
      </c>
      <c r="D305" s="59" t="s">
        <v>104</v>
      </c>
      <c r="E305" s="60">
        <f>'[1]Master File'!B304</f>
        <v>46318</v>
      </c>
      <c r="F305" s="61" t="str">
        <f>'[1]Master File'!C304</f>
        <v>Explorer + 7pm</v>
      </c>
      <c r="G305" s="39"/>
      <c r="I305" s="56" t="s">
        <v>99</v>
      </c>
      <c r="J305" s="56" t="s">
        <v>99</v>
      </c>
      <c r="K305" s="56" t="s">
        <v>99</v>
      </c>
      <c r="L305" s="56" t="s">
        <v>23</v>
      </c>
      <c r="M305" s="56" t="s">
        <v>99</v>
      </c>
      <c r="N305" s="56" t="s">
        <v>99</v>
      </c>
      <c r="O305" s="56" t="s">
        <v>99</v>
      </c>
      <c r="P305" s="56" t="s">
        <v>99</v>
      </c>
      <c r="Q305" s="56" t="s">
        <v>99</v>
      </c>
      <c r="R305" s="56" t="s">
        <v>99</v>
      </c>
      <c r="S305" s="56" t="s">
        <v>99</v>
      </c>
      <c r="T305" s="56" t="s">
        <v>99</v>
      </c>
      <c r="U305" s="56" t="s">
        <v>99</v>
      </c>
      <c r="V305" s="56" t="s">
        <v>99</v>
      </c>
      <c r="W305" s="56" t="s">
        <v>99</v>
      </c>
      <c r="X305" s="56" t="s">
        <v>99</v>
      </c>
      <c r="Y305" s="56" t="s">
        <v>23</v>
      </c>
      <c r="Z305" s="56" t="s">
        <v>99</v>
      </c>
      <c r="AA305" s="56" t="s">
        <v>99</v>
      </c>
      <c r="AB305" s="56" t="s">
        <v>99</v>
      </c>
      <c r="AC305" s="56" t="s">
        <v>23</v>
      </c>
      <c r="AD305" s="56" t="s">
        <v>99</v>
      </c>
      <c r="AE305" s="56" t="s">
        <v>99</v>
      </c>
      <c r="AF305" s="56" t="s">
        <v>99</v>
      </c>
      <c r="AG305" s="56" t="s">
        <v>23</v>
      </c>
      <c r="AH305" s="56" t="s">
        <v>99</v>
      </c>
      <c r="AI305" s="56" t="s">
        <v>99</v>
      </c>
      <c r="AJ305" s="56" t="s">
        <v>99</v>
      </c>
      <c r="AK305" s="63" t="s">
        <v>23</v>
      </c>
      <c r="AL305" s="56" t="s">
        <v>99</v>
      </c>
      <c r="AM305" s="56" t="s">
        <v>99</v>
      </c>
      <c r="AN305" s="56" t="s">
        <v>99</v>
      </c>
      <c r="AO305" s="56" t="s">
        <v>99</v>
      </c>
      <c r="AP305" s="56" t="s">
        <v>99</v>
      </c>
      <c r="AQ305" s="56" t="s">
        <v>99</v>
      </c>
      <c r="AR305" s="56" t="s">
        <v>99</v>
      </c>
      <c r="AS305" s="56" t="s">
        <v>99</v>
      </c>
      <c r="AT305" s="56" t="s">
        <v>99</v>
      </c>
      <c r="AU305" s="56" t="s">
        <v>99</v>
      </c>
      <c r="AV305" s="56" t="s">
        <v>99</v>
      </c>
      <c r="AW305" s="56" t="s">
        <v>99</v>
      </c>
      <c r="AX305" s="56" t="s">
        <v>99</v>
      </c>
      <c r="AY305" s="56" t="s">
        <v>99</v>
      </c>
      <c r="AZ305" s="56" t="s">
        <v>99</v>
      </c>
      <c r="BA305" s="56" t="s">
        <v>99</v>
      </c>
      <c r="BB305" s="56" t="s">
        <v>99</v>
      </c>
      <c r="BC305" s="56" t="s">
        <v>99</v>
      </c>
      <c r="BD305" s="56" t="s">
        <v>99</v>
      </c>
      <c r="BE305" s="56" t="s">
        <v>99</v>
      </c>
      <c r="BF305" s="56" t="s">
        <v>99</v>
      </c>
      <c r="BG305" s="56" t="s">
        <v>99</v>
      </c>
      <c r="BH305" s="56" t="s">
        <v>99</v>
      </c>
      <c r="BI305" s="56" t="s">
        <v>99</v>
      </c>
      <c r="BJ305" s="56" t="s">
        <v>99</v>
      </c>
      <c r="BK305" s="56" t="s">
        <v>99</v>
      </c>
      <c r="BL305" s="56" t="s">
        <v>99</v>
      </c>
      <c r="BM305" s="56" t="s">
        <v>99</v>
      </c>
      <c r="BN305" s="56" t="s">
        <v>99</v>
      </c>
      <c r="BO305" s="56" t="s">
        <v>99</v>
      </c>
      <c r="BP305" s="62" t="s">
        <v>99</v>
      </c>
    </row>
    <row r="306" spans="2:68">
      <c r="B306" s="58">
        <v>10</v>
      </c>
      <c r="C306" s="59">
        <v>43</v>
      </c>
      <c r="D306" s="59" t="s">
        <v>105</v>
      </c>
      <c r="E306" s="60">
        <f>'[1]Master File'!B305</f>
        <v>46319</v>
      </c>
      <c r="F306" s="61" t="str">
        <f>'[1]Master File'!C305</f>
        <v>Explorer + 7pm</v>
      </c>
      <c r="G306" s="39"/>
      <c r="I306" s="67" t="s">
        <v>99</v>
      </c>
      <c r="J306" s="67" t="s">
        <v>99</v>
      </c>
      <c r="K306" s="67" t="s">
        <v>99</v>
      </c>
      <c r="L306" s="67" t="s">
        <v>23</v>
      </c>
      <c r="M306" s="67" t="s">
        <v>99</v>
      </c>
      <c r="N306" s="67" t="s">
        <v>99</v>
      </c>
      <c r="O306" s="67" t="s">
        <v>99</v>
      </c>
      <c r="P306" s="67" t="s">
        <v>99</v>
      </c>
      <c r="Q306" s="67" t="s">
        <v>99</v>
      </c>
      <c r="R306" s="67" t="s">
        <v>99</v>
      </c>
      <c r="S306" s="67" t="s">
        <v>99</v>
      </c>
      <c r="T306" s="67" t="s">
        <v>99</v>
      </c>
      <c r="U306" s="67" t="s">
        <v>99</v>
      </c>
      <c r="V306" s="67" t="s">
        <v>99</v>
      </c>
      <c r="W306" s="67" t="s">
        <v>99</v>
      </c>
      <c r="X306" s="67" t="s">
        <v>99</v>
      </c>
      <c r="Y306" s="56" t="s">
        <v>23</v>
      </c>
      <c r="Z306" s="67" t="s">
        <v>99</v>
      </c>
      <c r="AA306" s="67" t="s">
        <v>99</v>
      </c>
      <c r="AB306" s="67" t="s">
        <v>99</v>
      </c>
      <c r="AC306" s="63" t="s">
        <v>23</v>
      </c>
      <c r="AD306" s="67" t="s">
        <v>99</v>
      </c>
      <c r="AE306" s="67" t="s">
        <v>99</v>
      </c>
      <c r="AF306" s="67" t="s">
        <v>99</v>
      </c>
      <c r="AG306" s="67" t="s">
        <v>23</v>
      </c>
      <c r="AH306" s="67" t="s">
        <v>99</v>
      </c>
      <c r="AI306" s="67" t="s">
        <v>99</v>
      </c>
      <c r="AJ306" s="67" t="s">
        <v>99</v>
      </c>
      <c r="AK306" s="63" t="s">
        <v>23</v>
      </c>
      <c r="AL306" s="67" t="s">
        <v>99</v>
      </c>
      <c r="AM306" s="67" t="s">
        <v>99</v>
      </c>
      <c r="AN306" s="67" t="s">
        <v>99</v>
      </c>
      <c r="AO306" s="67" t="s">
        <v>99</v>
      </c>
      <c r="AP306" s="67" t="s">
        <v>99</v>
      </c>
      <c r="AQ306" s="67" t="s">
        <v>23</v>
      </c>
      <c r="AR306" s="67" t="s">
        <v>99</v>
      </c>
      <c r="AS306" s="67" t="s">
        <v>99</v>
      </c>
      <c r="AT306" s="67" t="s">
        <v>99</v>
      </c>
      <c r="AU306" s="67" t="s">
        <v>99</v>
      </c>
      <c r="AV306" s="67" t="s">
        <v>99</v>
      </c>
      <c r="AW306" s="67" t="s">
        <v>99</v>
      </c>
      <c r="AX306" s="67" t="s">
        <v>99</v>
      </c>
      <c r="AY306" s="67" t="s">
        <v>99</v>
      </c>
      <c r="AZ306" s="67" t="s">
        <v>99</v>
      </c>
      <c r="BA306" s="67" t="s">
        <v>99</v>
      </c>
      <c r="BB306" s="67" t="s">
        <v>99</v>
      </c>
      <c r="BC306" s="67" t="s">
        <v>99</v>
      </c>
      <c r="BD306" s="67" t="s">
        <v>99</v>
      </c>
      <c r="BE306" s="67" t="s">
        <v>99</v>
      </c>
      <c r="BF306" s="67" t="s">
        <v>99</v>
      </c>
      <c r="BG306" s="67" t="s">
        <v>99</v>
      </c>
      <c r="BH306" s="67" t="s">
        <v>99</v>
      </c>
      <c r="BI306" s="67" t="s">
        <v>99</v>
      </c>
      <c r="BJ306" s="67" t="s">
        <v>99</v>
      </c>
      <c r="BK306" s="67" t="s">
        <v>99</v>
      </c>
      <c r="BL306" s="67" t="s">
        <v>99</v>
      </c>
      <c r="BM306" s="67" t="s">
        <v>99</v>
      </c>
      <c r="BN306" s="67" t="s">
        <v>99</v>
      </c>
      <c r="BO306" s="67" t="s">
        <v>99</v>
      </c>
      <c r="BP306" s="68" t="s">
        <v>99</v>
      </c>
    </row>
    <row r="307" spans="2:68">
      <c r="B307" s="58">
        <v>10</v>
      </c>
      <c r="C307" s="59">
        <v>44</v>
      </c>
      <c r="D307" s="59" t="s">
        <v>98</v>
      </c>
      <c r="E307" s="60">
        <f>'[1]Master File'!B306</f>
        <v>46320</v>
      </c>
      <c r="F307" s="61" t="str">
        <f>'[1]Master File'!C306</f>
        <v>Explorer + 7pm</v>
      </c>
      <c r="G307" s="39"/>
      <c r="I307" s="67" t="s">
        <v>99</v>
      </c>
      <c r="J307" s="67" t="s">
        <v>99</v>
      </c>
      <c r="K307" s="67" t="s">
        <v>99</v>
      </c>
      <c r="L307" s="67" t="s">
        <v>23</v>
      </c>
      <c r="M307" s="67" t="s">
        <v>99</v>
      </c>
      <c r="N307" s="67" t="s">
        <v>99</v>
      </c>
      <c r="O307" s="67" t="s">
        <v>99</v>
      </c>
      <c r="P307" s="67" t="s">
        <v>99</v>
      </c>
      <c r="Q307" s="67" t="s">
        <v>99</v>
      </c>
      <c r="R307" s="67" t="s">
        <v>99</v>
      </c>
      <c r="S307" s="67" t="s">
        <v>99</v>
      </c>
      <c r="T307" s="67" t="s">
        <v>99</v>
      </c>
      <c r="U307" s="67" t="s">
        <v>99</v>
      </c>
      <c r="V307" s="67" t="s">
        <v>99</v>
      </c>
      <c r="W307" s="67" t="s">
        <v>99</v>
      </c>
      <c r="X307" s="67" t="s">
        <v>99</v>
      </c>
      <c r="Y307" s="56" t="s">
        <v>23</v>
      </c>
      <c r="Z307" s="67" t="s">
        <v>99</v>
      </c>
      <c r="AA307" s="67" t="s">
        <v>99</v>
      </c>
      <c r="AB307" s="67" t="s">
        <v>99</v>
      </c>
      <c r="AC307" s="63" t="s">
        <v>23</v>
      </c>
      <c r="AD307" s="67" t="s">
        <v>99</v>
      </c>
      <c r="AE307" s="67" t="s">
        <v>99</v>
      </c>
      <c r="AF307" s="67" t="s">
        <v>99</v>
      </c>
      <c r="AG307" s="67" t="s">
        <v>23</v>
      </c>
      <c r="AH307" s="67" t="s">
        <v>99</v>
      </c>
      <c r="AI307" s="67" t="s">
        <v>99</v>
      </c>
      <c r="AJ307" s="67" t="s">
        <v>99</v>
      </c>
      <c r="AK307" s="63" t="s">
        <v>23</v>
      </c>
      <c r="AL307" s="67" t="s">
        <v>99</v>
      </c>
      <c r="AM307" s="67" t="s">
        <v>99</v>
      </c>
      <c r="AN307" s="67" t="s">
        <v>99</v>
      </c>
      <c r="AO307" s="67" t="s">
        <v>99</v>
      </c>
      <c r="AP307" s="67" t="s">
        <v>99</v>
      </c>
      <c r="AQ307" s="67" t="s">
        <v>23</v>
      </c>
      <c r="AR307" s="67" t="s">
        <v>99</v>
      </c>
      <c r="AS307" s="67" t="s">
        <v>99</v>
      </c>
      <c r="AT307" s="67" t="s">
        <v>99</v>
      </c>
      <c r="AU307" s="67" t="s">
        <v>99</v>
      </c>
      <c r="AV307" s="67" t="s">
        <v>99</v>
      </c>
      <c r="AW307" s="67" t="s">
        <v>99</v>
      </c>
      <c r="AX307" s="67" t="s">
        <v>99</v>
      </c>
      <c r="AY307" s="67" t="s">
        <v>99</v>
      </c>
      <c r="AZ307" s="67" t="s">
        <v>99</v>
      </c>
      <c r="BA307" s="67" t="s">
        <v>99</v>
      </c>
      <c r="BB307" s="67" t="s">
        <v>99</v>
      </c>
      <c r="BC307" s="67" t="s">
        <v>99</v>
      </c>
      <c r="BD307" s="67" t="s">
        <v>99</v>
      </c>
      <c r="BE307" s="67" t="s">
        <v>99</v>
      </c>
      <c r="BF307" s="67" t="s">
        <v>99</v>
      </c>
      <c r="BG307" s="67" t="s">
        <v>99</v>
      </c>
      <c r="BH307" s="67" t="s">
        <v>99</v>
      </c>
      <c r="BI307" s="67" t="s">
        <v>99</v>
      </c>
      <c r="BJ307" s="67" t="s">
        <v>99</v>
      </c>
      <c r="BK307" s="67" t="s">
        <v>99</v>
      </c>
      <c r="BL307" s="67" t="s">
        <v>99</v>
      </c>
      <c r="BM307" s="67" t="s">
        <v>99</v>
      </c>
      <c r="BN307" s="67" t="s">
        <v>99</v>
      </c>
      <c r="BO307" s="67" t="s">
        <v>99</v>
      </c>
      <c r="BP307" s="68" t="s">
        <v>99</v>
      </c>
    </row>
    <row r="308" spans="2:68">
      <c r="B308" s="58">
        <v>10</v>
      </c>
      <c r="C308" s="59">
        <v>44</v>
      </c>
      <c r="D308" s="59" t="s">
        <v>100</v>
      </c>
      <c r="E308" s="60">
        <f>'[1]Master File'!B307</f>
        <v>46321</v>
      </c>
      <c r="F308" s="61" t="str">
        <f>'[1]Master File'!C307</f>
        <v>Explorer + 7pm</v>
      </c>
      <c r="G308" s="39"/>
      <c r="I308" s="56" t="s">
        <v>99</v>
      </c>
      <c r="J308" s="56" t="s">
        <v>99</v>
      </c>
      <c r="K308" s="56" t="s">
        <v>99</v>
      </c>
      <c r="L308" s="56" t="s">
        <v>23</v>
      </c>
      <c r="M308" s="56" t="s">
        <v>99</v>
      </c>
      <c r="N308" s="56" t="s">
        <v>99</v>
      </c>
      <c r="O308" s="56" t="s">
        <v>99</v>
      </c>
      <c r="P308" s="56" t="s">
        <v>99</v>
      </c>
      <c r="Q308" s="56" t="s">
        <v>99</v>
      </c>
      <c r="R308" s="56" t="s">
        <v>99</v>
      </c>
      <c r="S308" s="56" t="s">
        <v>99</v>
      </c>
      <c r="T308" s="56" t="s">
        <v>99</v>
      </c>
      <c r="U308" s="56" t="s">
        <v>99</v>
      </c>
      <c r="V308" s="56" t="s">
        <v>99</v>
      </c>
      <c r="W308" s="56" t="s">
        <v>99</v>
      </c>
      <c r="X308" s="56" t="s">
        <v>99</v>
      </c>
      <c r="Y308" s="56" t="s">
        <v>23</v>
      </c>
      <c r="Z308" s="56" t="s">
        <v>99</v>
      </c>
      <c r="AA308" s="56" t="s">
        <v>99</v>
      </c>
      <c r="AB308" s="56" t="s">
        <v>99</v>
      </c>
      <c r="AC308" s="56" t="s">
        <v>99</v>
      </c>
      <c r="AD308" s="56" t="s">
        <v>99</v>
      </c>
      <c r="AE308" s="56" t="s">
        <v>99</v>
      </c>
      <c r="AF308" s="56" t="s">
        <v>99</v>
      </c>
      <c r="AG308" s="56" t="s">
        <v>23</v>
      </c>
      <c r="AH308" s="56" t="s">
        <v>99</v>
      </c>
      <c r="AI308" s="56" t="s">
        <v>99</v>
      </c>
      <c r="AJ308" s="56" t="s">
        <v>99</v>
      </c>
      <c r="AK308" s="63" t="s">
        <v>23</v>
      </c>
      <c r="AL308" s="56" t="s">
        <v>99</v>
      </c>
      <c r="AM308" s="56" t="s">
        <v>99</v>
      </c>
      <c r="AN308" s="56" t="s">
        <v>99</v>
      </c>
      <c r="AO308" s="56" t="s">
        <v>99</v>
      </c>
      <c r="AP308" s="56" t="s">
        <v>99</v>
      </c>
      <c r="AQ308" s="56" t="s">
        <v>99</v>
      </c>
      <c r="AR308" s="56" t="s">
        <v>99</v>
      </c>
      <c r="AS308" s="56" t="s">
        <v>99</v>
      </c>
      <c r="AT308" s="56" t="s">
        <v>99</v>
      </c>
      <c r="AU308" s="56" t="s">
        <v>99</v>
      </c>
      <c r="AV308" s="56" t="s">
        <v>99</v>
      </c>
      <c r="AW308" s="56" t="s">
        <v>99</v>
      </c>
      <c r="AX308" s="56" t="s">
        <v>99</v>
      </c>
      <c r="AY308" s="56" t="s">
        <v>99</v>
      </c>
      <c r="AZ308" s="56" t="s">
        <v>99</v>
      </c>
      <c r="BA308" s="56" t="s">
        <v>99</v>
      </c>
      <c r="BB308" s="56" t="s">
        <v>99</v>
      </c>
      <c r="BC308" s="56" t="s">
        <v>99</v>
      </c>
      <c r="BD308" s="56" t="s">
        <v>99</v>
      </c>
      <c r="BE308" s="56" t="s">
        <v>99</v>
      </c>
      <c r="BF308" s="56" t="s">
        <v>99</v>
      </c>
      <c r="BG308" s="56" t="s">
        <v>99</v>
      </c>
      <c r="BH308" s="56" t="s">
        <v>99</v>
      </c>
      <c r="BI308" s="56" t="s">
        <v>99</v>
      </c>
      <c r="BJ308" s="56" t="s">
        <v>99</v>
      </c>
      <c r="BK308" s="56" t="s">
        <v>99</v>
      </c>
      <c r="BL308" s="56" t="s">
        <v>99</v>
      </c>
      <c r="BM308" s="56" t="s">
        <v>99</v>
      </c>
      <c r="BN308" s="56" t="s">
        <v>99</v>
      </c>
      <c r="BO308" s="56" t="s">
        <v>99</v>
      </c>
      <c r="BP308" s="62" t="s">
        <v>99</v>
      </c>
    </row>
    <row r="309" spans="2:68">
      <c r="B309" s="58">
        <v>10</v>
      </c>
      <c r="C309" s="59">
        <v>44</v>
      </c>
      <c r="D309" s="59" t="s">
        <v>101</v>
      </c>
      <c r="E309" s="60">
        <f>'[1]Master File'!B308</f>
        <v>46322</v>
      </c>
      <c r="F309" s="61" t="str">
        <f>'[1]Master File'!C308</f>
        <v>Explorer + 7pm</v>
      </c>
      <c r="G309" s="39"/>
      <c r="I309" s="56" t="s">
        <v>99</v>
      </c>
      <c r="J309" s="56" t="s">
        <v>99</v>
      </c>
      <c r="K309" s="56" t="s">
        <v>99</v>
      </c>
      <c r="L309" s="56" t="s">
        <v>23</v>
      </c>
      <c r="M309" s="56" t="s">
        <v>99</v>
      </c>
      <c r="N309" s="56" t="s">
        <v>99</v>
      </c>
      <c r="O309" s="56" t="s">
        <v>99</v>
      </c>
      <c r="P309" s="56" t="s">
        <v>99</v>
      </c>
      <c r="Q309" s="56" t="s">
        <v>99</v>
      </c>
      <c r="R309" s="56" t="s">
        <v>99</v>
      </c>
      <c r="S309" s="56" t="s">
        <v>99</v>
      </c>
      <c r="T309" s="56" t="s">
        <v>99</v>
      </c>
      <c r="U309" s="56" t="s">
        <v>99</v>
      </c>
      <c r="V309" s="56" t="s">
        <v>99</v>
      </c>
      <c r="W309" s="56" t="s">
        <v>99</v>
      </c>
      <c r="X309" s="56" t="s">
        <v>99</v>
      </c>
      <c r="Y309" s="56" t="s">
        <v>23</v>
      </c>
      <c r="Z309" s="56" t="s">
        <v>99</v>
      </c>
      <c r="AA309" s="56" t="s">
        <v>99</v>
      </c>
      <c r="AB309" s="56" t="s">
        <v>99</v>
      </c>
      <c r="AC309" s="56" t="s">
        <v>23</v>
      </c>
      <c r="AD309" s="56" t="s">
        <v>99</v>
      </c>
      <c r="AE309" s="56" t="s">
        <v>99</v>
      </c>
      <c r="AF309" s="56" t="s">
        <v>99</v>
      </c>
      <c r="AG309" s="56" t="s">
        <v>23</v>
      </c>
      <c r="AH309" s="56" t="s">
        <v>99</v>
      </c>
      <c r="AI309" s="56" t="s">
        <v>99</v>
      </c>
      <c r="AJ309" s="56" t="s">
        <v>99</v>
      </c>
      <c r="AK309" s="63" t="s">
        <v>23</v>
      </c>
      <c r="AL309" s="56" t="s">
        <v>99</v>
      </c>
      <c r="AM309" s="56" t="s">
        <v>99</v>
      </c>
      <c r="AN309" s="56" t="s">
        <v>99</v>
      </c>
      <c r="AO309" s="56" t="s">
        <v>99</v>
      </c>
      <c r="AP309" s="56" t="s">
        <v>99</v>
      </c>
      <c r="AQ309" s="56" t="s">
        <v>99</v>
      </c>
      <c r="AR309" s="56" t="s">
        <v>99</v>
      </c>
      <c r="AS309" s="56" t="s">
        <v>99</v>
      </c>
      <c r="AT309" s="56" t="s">
        <v>99</v>
      </c>
      <c r="AU309" s="56" t="s">
        <v>99</v>
      </c>
      <c r="AV309" s="56" t="s">
        <v>99</v>
      </c>
      <c r="AW309" s="56" t="s">
        <v>99</v>
      </c>
      <c r="AX309" s="56" t="s">
        <v>99</v>
      </c>
      <c r="AY309" s="56" t="s">
        <v>99</v>
      </c>
      <c r="AZ309" s="56" t="s">
        <v>99</v>
      </c>
      <c r="BA309" s="56" t="s">
        <v>99</v>
      </c>
      <c r="BB309" s="56" t="s">
        <v>99</v>
      </c>
      <c r="BC309" s="56" t="s">
        <v>99</v>
      </c>
      <c r="BD309" s="56" t="s">
        <v>99</v>
      </c>
      <c r="BE309" s="56" t="s">
        <v>99</v>
      </c>
      <c r="BF309" s="56" t="s">
        <v>99</v>
      </c>
      <c r="BG309" s="56" t="s">
        <v>99</v>
      </c>
      <c r="BH309" s="56" t="s">
        <v>99</v>
      </c>
      <c r="BI309" s="56" t="s">
        <v>99</v>
      </c>
      <c r="BJ309" s="56" t="s">
        <v>99</v>
      </c>
      <c r="BK309" s="56" t="s">
        <v>99</v>
      </c>
      <c r="BL309" s="56" t="s">
        <v>99</v>
      </c>
      <c r="BM309" s="56" t="s">
        <v>99</v>
      </c>
      <c r="BN309" s="56" t="s">
        <v>99</v>
      </c>
      <c r="BO309" s="56" t="s">
        <v>99</v>
      </c>
      <c r="BP309" s="62" t="s">
        <v>99</v>
      </c>
    </row>
    <row r="310" spans="2:68">
      <c r="B310" s="58">
        <v>10</v>
      </c>
      <c r="C310" s="59">
        <v>44</v>
      </c>
      <c r="D310" s="59" t="s">
        <v>102</v>
      </c>
      <c r="E310" s="60">
        <f>'[1]Master File'!B309</f>
        <v>46323</v>
      </c>
      <c r="F310" s="61" t="str">
        <f>'[1]Master File'!C309</f>
        <v>Explorer + 7pm</v>
      </c>
      <c r="G310" s="39"/>
      <c r="I310" s="56" t="s">
        <v>99</v>
      </c>
      <c r="J310" s="56" t="s">
        <v>99</v>
      </c>
      <c r="K310" s="56" t="s">
        <v>99</v>
      </c>
      <c r="L310" s="56" t="s">
        <v>23</v>
      </c>
      <c r="M310" s="56" t="s">
        <v>99</v>
      </c>
      <c r="N310" s="56" t="s">
        <v>99</v>
      </c>
      <c r="O310" s="56" t="s">
        <v>99</v>
      </c>
      <c r="P310" s="56" t="s">
        <v>99</v>
      </c>
      <c r="Q310" s="56" t="s">
        <v>99</v>
      </c>
      <c r="R310" s="56" t="s">
        <v>99</v>
      </c>
      <c r="S310" s="56" t="s">
        <v>99</v>
      </c>
      <c r="T310" s="56" t="s">
        <v>99</v>
      </c>
      <c r="U310" s="56" t="s">
        <v>99</v>
      </c>
      <c r="V310" s="56" t="s">
        <v>99</v>
      </c>
      <c r="W310" s="56" t="s">
        <v>99</v>
      </c>
      <c r="X310" s="56" t="s">
        <v>99</v>
      </c>
      <c r="Y310" s="56" t="s">
        <v>23</v>
      </c>
      <c r="Z310" s="56" t="s">
        <v>99</v>
      </c>
      <c r="AA310" s="56" t="s">
        <v>99</v>
      </c>
      <c r="AB310" s="56" t="s">
        <v>99</v>
      </c>
      <c r="AC310" s="56" t="s">
        <v>23</v>
      </c>
      <c r="AD310" s="56" t="s">
        <v>99</v>
      </c>
      <c r="AE310" s="56" t="s">
        <v>99</v>
      </c>
      <c r="AF310" s="56" t="s">
        <v>99</v>
      </c>
      <c r="AG310" s="56" t="s">
        <v>23</v>
      </c>
      <c r="AH310" s="56" t="s">
        <v>99</v>
      </c>
      <c r="AI310" s="56" t="s">
        <v>99</v>
      </c>
      <c r="AJ310" s="56" t="s">
        <v>99</v>
      </c>
      <c r="AK310" s="63" t="s">
        <v>23</v>
      </c>
      <c r="AL310" s="56" t="s">
        <v>99</v>
      </c>
      <c r="AM310" s="56" t="s">
        <v>99</v>
      </c>
      <c r="AN310" s="56" t="s">
        <v>99</v>
      </c>
      <c r="AO310" s="56" t="s">
        <v>99</v>
      </c>
      <c r="AP310" s="56" t="s">
        <v>99</v>
      </c>
      <c r="AQ310" s="56" t="s">
        <v>99</v>
      </c>
      <c r="AR310" s="56" t="s">
        <v>99</v>
      </c>
      <c r="AS310" s="56" t="s">
        <v>99</v>
      </c>
      <c r="AT310" s="56" t="s">
        <v>99</v>
      </c>
      <c r="AU310" s="56" t="s">
        <v>99</v>
      </c>
      <c r="AV310" s="56" t="s">
        <v>99</v>
      </c>
      <c r="AW310" s="56" t="s">
        <v>99</v>
      </c>
      <c r="AX310" s="56" t="s">
        <v>99</v>
      </c>
      <c r="AY310" s="56" t="s">
        <v>99</v>
      </c>
      <c r="AZ310" s="56" t="s">
        <v>99</v>
      </c>
      <c r="BA310" s="56" t="s">
        <v>99</v>
      </c>
      <c r="BB310" s="56" t="s">
        <v>99</v>
      </c>
      <c r="BC310" s="56" t="s">
        <v>99</v>
      </c>
      <c r="BD310" s="56" t="s">
        <v>99</v>
      </c>
      <c r="BE310" s="56" t="s">
        <v>99</v>
      </c>
      <c r="BF310" s="56" t="s">
        <v>99</v>
      </c>
      <c r="BG310" s="56" t="s">
        <v>99</v>
      </c>
      <c r="BH310" s="56" t="s">
        <v>99</v>
      </c>
      <c r="BI310" s="56" t="s">
        <v>99</v>
      </c>
      <c r="BJ310" s="56" t="s">
        <v>99</v>
      </c>
      <c r="BK310" s="56" t="s">
        <v>99</v>
      </c>
      <c r="BL310" s="56" t="s">
        <v>99</v>
      </c>
      <c r="BM310" s="56" t="s">
        <v>99</v>
      </c>
      <c r="BN310" s="56" t="s">
        <v>99</v>
      </c>
      <c r="BO310" s="56" t="s">
        <v>99</v>
      </c>
      <c r="BP310" s="62" t="s">
        <v>99</v>
      </c>
    </row>
    <row r="311" spans="2:68">
      <c r="B311" s="58">
        <v>10</v>
      </c>
      <c r="C311" s="59">
        <v>44</v>
      </c>
      <c r="D311" s="59" t="s">
        <v>103</v>
      </c>
      <c r="E311" s="60">
        <f>'[1]Master File'!B310</f>
        <v>46324</v>
      </c>
      <c r="F311" s="61" t="str">
        <f>'[1]Master File'!C310</f>
        <v>Explorer + 7pm</v>
      </c>
      <c r="G311" s="39"/>
      <c r="I311" s="56" t="s">
        <v>99</v>
      </c>
      <c r="J311" s="56" t="s">
        <v>99</v>
      </c>
      <c r="K311" s="56" t="s">
        <v>99</v>
      </c>
      <c r="L311" s="56" t="s">
        <v>23</v>
      </c>
      <c r="M311" s="56" t="s">
        <v>99</v>
      </c>
      <c r="N311" s="56" t="s">
        <v>99</v>
      </c>
      <c r="O311" s="56" t="s">
        <v>99</v>
      </c>
      <c r="P311" s="56" t="s">
        <v>99</v>
      </c>
      <c r="Q311" s="56" t="s">
        <v>99</v>
      </c>
      <c r="R311" s="56" t="s">
        <v>99</v>
      </c>
      <c r="S311" s="56" t="s">
        <v>99</v>
      </c>
      <c r="T311" s="56" t="s">
        <v>99</v>
      </c>
      <c r="U311" s="56" t="s">
        <v>99</v>
      </c>
      <c r="V311" s="56" t="s">
        <v>99</v>
      </c>
      <c r="W311" s="56" t="s">
        <v>99</v>
      </c>
      <c r="X311" s="56" t="s">
        <v>99</v>
      </c>
      <c r="Y311" s="56" t="s">
        <v>23</v>
      </c>
      <c r="Z311" s="56" t="s">
        <v>99</v>
      </c>
      <c r="AA311" s="56" t="s">
        <v>99</v>
      </c>
      <c r="AB311" s="56" t="s">
        <v>99</v>
      </c>
      <c r="AC311" s="56" t="s">
        <v>23</v>
      </c>
      <c r="AD311" s="56" t="s">
        <v>99</v>
      </c>
      <c r="AE311" s="56" t="s">
        <v>99</v>
      </c>
      <c r="AF311" s="56" t="s">
        <v>99</v>
      </c>
      <c r="AG311" s="56" t="s">
        <v>23</v>
      </c>
      <c r="AH311" s="56" t="s">
        <v>99</v>
      </c>
      <c r="AI311" s="56" t="s">
        <v>99</v>
      </c>
      <c r="AJ311" s="56" t="s">
        <v>99</v>
      </c>
      <c r="AK311" s="63" t="s">
        <v>23</v>
      </c>
      <c r="AL311" s="56" t="s">
        <v>99</v>
      </c>
      <c r="AM311" s="56" t="s">
        <v>99</v>
      </c>
      <c r="AN311" s="56" t="s">
        <v>99</v>
      </c>
      <c r="AO311" s="56" t="s">
        <v>99</v>
      </c>
      <c r="AP311" s="56" t="s">
        <v>99</v>
      </c>
      <c r="AQ311" s="56" t="s">
        <v>99</v>
      </c>
      <c r="AR311" s="56" t="s">
        <v>99</v>
      </c>
      <c r="AS311" s="56" t="s">
        <v>99</v>
      </c>
      <c r="AT311" s="56" t="s">
        <v>99</v>
      </c>
      <c r="AU311" s="56" t="s">
        <v>99</v>
      </c>
      <c r="AV311" s="56" t="s">
        <v>99</v>
      </c>
      <c r="AW311" s="56" t="s">
        <v>99</v>
      </c>
      <c r="AX311" s="56" t="s">
        <v>99</v>
      </c>
      <c r="AY311" s="56" t="s">
        <v>99</v>
      </c>
      <c r="AZ311" s="56" t="s">
        <v>99</v>
      </c>
      <c r="BA311" s="56" t="s">
        <v>99</v>
      </c>
      <c r="BB311" s="56" t="s">
        <v>99</v>
      </c>
      <c r="BC311" s="56" t="s">
        <v>99</v>
      </c>
      <c r="BD311" s="56" t="s">
        <v>99</v>
      </c>
      <c r="BE311" s="56" t="s">
        <v>99</v>
      </c>
      <c r="BF311" s="56" t="s">
        <v>99</v>
      </c>
      <c r="BG311" s="56" t="s">
        <v>99</v>
      </c>
      <c r="BH311" s="56" t="s">
        <v>99</v>
      </c>
      <c r="BI311" s="56" t="s">
        <v>99</v>
      </c>
      <c r="BJ311" s="56" t="s">
        <v>99</v>
      </c>
      <c r="BK311" s="56" t="s">
        <v>99</v>
      </c>
      <c r="BL311" s="56" t="s">
        <v>99</v>
      </c>
      <c r="BM311" s="56" t="s">
        <v>99</v>
      </c>
      <c r="BN311" s="56" t="s">
        <v>99</v>
      </c>
      <c r="BO311" s="56" t="s">
        <v>99</v>
      </c>
      <c r="BP311" s="62" t="s">
        <v>99</v>
      </c>
    </row>
    <row r="312" spans="2:68">
      <c r="B312" s="58">
        <v>10</v>
      </c>
      <c r="C312" s="59">
        <v>44</v>
      </c>
      <c r="D312" s="59" t="s">
        <v>104</v>
      </c>
      <c r="E312" s="60">
        <f>'[1]Master File'!B311</f>
        <v>46325</v>
      </c>
      <c r="F312" s="61" t="str">
        <f>'[1]Master File'!C311</f>
        <v>Explorer + 7pm</v>
      </c>
      <c r="G312" s="39"/>
      <c r="I312" s="56" t="s">
        <v>99</v>
      </c>
      <c r="J312" s="56" t="s">
        <v>99</v>
      </c>
      <c r="K312" s="56" t="s">
        <v>99</v>
      </c>
      <c r="L312" s="56" t="s">
        <v>23</v>
      </c>
      <c r="M312" s="56" t="s">
        <v>99</v>
      </c>
      <c r="N312" s="56" t="s">
        <v>99</v>
      </c>
      <c r="O312" s="56" t="s">
        <v>99</v>
      </c>
      <c r="P312" s="56" t="s">
        <v>99</v>
      </c>
      <c r="Q312" s="56" t="s">
        <v>99</v>
      </c>
      <c r="R312" s="56" t="s">
        <v>99</v>
      </c>
      <c r="S312" s="56" t="s">
        <v>99</v>
      </c>
      <c r="T312" s="56" t="s">
        <v>99</v>
      </c>
      <c r="U312" s="56" t="s">
        <v>99</v>
      </c>
      <c r="V312" s="56" t="s">
        <v>99</v>
      </c>
      <c r="W312" s="56" t="s">
        <v>99</v>
      </c>
      <c r="X312" s="56" t="s">
        <v>99</v>
      </c>
      <c r="Y312" s="56" t="s">
        <v>23</v>
      </c>
      <c r="Z312" s="56" t="s">
        <v>99</v>
      </c>
      <c r="AA312" s="56" t="s">
        <v>99</v>
      </c>
      <c r="AB312" s="56" t="s">
        <v>99</v>
      </c>
      <c r="AC312" s="56" t="s">
        <v>23</v>
      </c>
      <c r="AD312" s="56" t="s">
        <v>99</v>
      </c>
      <c r="AE312" s="56" t="s">
        <v>99</v>
      </c>
      <c r="AF312" s="56" t="s">
        <v>99</v>
      </c>
      <c r="AG312" s="56" t="s">
        <v>23</v>
      </c>
      <c r="AH312" s="56" t="s">
        <v>99</v>
      </c>
      <c r="AI312" s="56" t="s">
        <v>99</v>
      </c>
      <c r="AJ312" s="56" t="s">
        <v>99</v>
      </c>
      <c r="AK312" s="63" t="s">
        <v>23</v>
      </c>
      <c r="AL312" s="56" t="s">
        <v>99</v>
      </c>
      <c r="AM312" s="56" t="s">
        <v>99</v>
      </c>
      <c r="AN312" s="56" t="s">
        <v>99</v>
      </c>
      <c r="AO312" s="56" t="s">
        <v>99</v>
      </c>
      <c r="AP312" s="56" t="s">
        <v>99</v>
      </c>
      <c r="AQ312" s="56" t="s">
        <v>99</v>
      </c>
      <c r="AR312" s="56" t="s">
        <v>99</v>
      </c>
      <c r="AS312" s="56" t="s">
        <v>99</v>
      </c>
      <c r="AT312" s="56" t="s">
        <v>99</v>
      </c>
      <c r="AU312" s="56" t="s">
        <v>99</v>
      </c>
      <c r="AV312" s="56" t="s">
        <v>99</v>
      </c>
      <c r="AW312" s="56" t="s">
        <v>99</v>
      </c>
      <c r="AX312" s="56" t="s">
        <v>99</v>
      </c>
      <c r="AY312" s="56" t="s">
        <v>99</v>
      </c>
      <c r="AZ312" s="56" t="s">
        <v>99</v>
      </c>
      <c r="BA312" s="56" t="s">
        <v>99</v>
      </c>
      <c r="BB312" s="56" t="s">
        <v>99</v>
      </c>
      <c r="BC312" s="56" t="s">
        <v>99</v>
      </c>
      <c r="BD312" s="56" t="s">
        <v>99</v>
      </c>
      <c r="BE312" s="56" t="s">
        <v>99</v>
      </c>
      <c r="BF312" s="56" t="s">
        <v>99</v>
      </c>
      <c r="BG312" s="56" t="s">
        <v>99</v>
      </c>
      <c r="BH312" s="56" t="s">
        <v>99</v>
      </c>
      <c r="BI312" s="56" t="s">
        <v>99</v>
      </c>
      <c r="BJ312" s="56" t="s">
        <v>99</v>
      </c>
      <c r="BK312" s="56" t="s">
        <v>99</v>
      </c>
      <c r="BL312" s="56" t="s">
        <v>99</v>
      </c>
      <c r="BM312" s="56" t="s">
        <v>99</v>
      </c>
      <c r="BN312" s="56" t="s">
        <v>99</v>
      </c>
      <c r="BO312" s="56" t="s">
        <v>99</v>
      </c>
      <c r="BP312" s="62" t="s">
        <v>99</v>
      </c>
    </row>
    <row r="313" spans="2:68">
      <c r="B313" s="58">
        <v>10</v>
      </c>
      <c r="C313" s="59">
        <v>44</v>
      </c>
      <c r="D313" s="59" t="s">
        <v>105</v>
      </c>
      <c r="E313" s="60">
        <f>'[1]Master File'!B312</f>
        <v>46326</v>
      </c>
      <c r="F313" s="61" t="str">
        <f>'[1]Master File'!C312</f>
        <v>Explorer + 7pm</v>
      </c>
      <c r="G313" s="39"/>
      <c r="I313" s="67" t="s">
        <v>99</v>
      </c>
      <c r="J313" s="67" t="s">
        <v>99</v>
      </c>
      <c r="K313" s="67" t="s">
        <v>99</v>
      </c>
      <c r="L313" s="67" t="s">
        <v>23</v>
      </c>
      <c r="M313" s="67" t="s">
        <v>99</v>
      </c>
      <c r="N313" s="67" t="s">
        <v>99</v>
      </c>
      <c r="O313" s="67" t="s">
        <v>99</v>
      </c>
      <c r="P313" s="67" t="s">
        <v>99</v>
      </c>
      <c r="Q313" s="67" t="s">
        <v>99</v>
      </c>
      <c r="R313" s="67" t="s">
        <v>99</v>
      </c>
      <c r="S313" s="67" t="s">
        <v>99</v>
      </c>
      <c r="T313" s="67" t="s">
        <v>99</v>
      </c>
      <c r="U313" s="67" t="s">
        <v>99</v>
      </c>
      <c r="V313" s="67" t="s">
        <v>99</v>
      </c>
      <c r="W313" s="67" t="s">
        <v>99</v>
      </c>
      <c r="X313" s="67" t="s">
        <v>99</v>
      </c>
      <c r="Y313" s="56" t="s">
        <v>23</v>
      </c>
      <c r="Z313" s="67" t="s">
        <v>99</v>
      </c>
      <c r="AA313" s="67" t="s">
        <v>99</v>
      </c>
      <c r="AB313" s="67" t="s">
        <v>99</v>
      </c>
      <c r="AC313" s="63" t="s">
        <v>23</v>
      </c>
      <c r="AD313" s="67" t="s">
        <v>99</v>
      </c>
      <c r="AE313" s="67" t="s">
        <v>99</v>
      </c>
      <c r="AF313" s="67" t="s">
        <v>99</v>
      </c>
      <c r="AG313" s="67" t="s">
        <v>23</v>
      </c>
      <c r="AH313" s="67" t="s">
        <v>99</v>
      </c>
      <c r="AI313" s="67" t="s">
        <v>99</v>
      </c>
      <c r="AJ313" s="67" t="s">
        <v>99</v>
      </c>
      <c r="AK313" s="63" t="s">
        <v>23</v>
      </c>
      <c r="AL313" s="67" t="s">
        <v>99</v>
      </c>
      <c r="AM313" s="67" t="s">
        <v>99</v>
      </c>
      <c r="AN313" s="67" t="s">
        <v>99</v>
      </c>
      <c r="AO313" s="67" t="s">
        <v>99</v>
      </c>
      <c r="AP313" s="67" t="s">
        <v>99</v>
      </c>
      <c r="AQ313" s="67" t="s">
        <v>23</v>
      </c>
      <c r="AR313" s="67" t="s">
        <v>99</v>
      </c>
      <c r="AS313" s="67" t="s">
        <v>99</v>
      </c>
      <c r="AT313" s="67" t="s">
        <v>99</v>
      </c>
      <c r="AU313" s="67" t="s">
        <v>99</v>
      </c>
      <c r="AV313" s="67" t="s">
        <v>99</v>
      </c>
      <c r="AW313" s="67" t="s">
        <v>99</v>
      </c>
      <c r="AX313" s="67" t="s">
        <v>99</v>
      </c>
      <c r="AY313" s="67" t="s">
        <v>99</v>
      </c>
      <c r="AZ313" s="67" t="s">
        <v>99</v>
      </c>
      <c r="BA313" s="67" t="s">
        <v>99</v>
      </c>
      <c r="BB313" s="67" t="s">
        <v>99</v>
      </c>
      <c r="BC313" s="67" t="s">
        <v>99</v>
      </c>
      <c r="BD313" s="67" t="s">
        <v>99</v>
      </c>
      <c r="BE313" s="67" t="s">
        <v>99</v>
      </c>
      <c r="BF313" s="67" t="s">
        <v>99</v>
      </c>
      <c r="BG313" s="67" t="s">
        <v>99</v>
      </c>
      <c r="BH313" s="67" t="s">
        <v>99</v>
      </c>
      <c r="BI313" s="67" t="s">
        <v>99</v>
      </c>
      <c r="BJ313" s="67" t="s">
        <v>99</v>
      </c>
      <c r="BK313" s="67" t="s">
        <v>99</v>
      </c>
      <c r="BL313" s="67" t="s">
        <v>99</v>
      </c>
      <c r="BM313" s="67" t="s">
        <v>99</v>
      </c>
      <c r="BN313" s="67" t="s">
        <v>99</v>
      </c>
      <c r="BO313" s="67" t="s">
        <v>99</v>
      </c>
      <c r="BP313" s="68" t="s">
        <v>99</v>
      </c>
    </row>
    <row r="314" spans="2:68">
      <c r="B314" s="58">
        <v>11</v>
      </c>
      <c r="C314" s="59">
        <v>45</v>
      </c>
      <c r="D314" s="59" t="s">
        <v>98</v>
      </c>
      <c r="E314" s="60">
        <f>'[1]Master File'!B313</f>
        <v>46327</v>
      </c>
      <c r="F314" s="61" t="str">
        <f>'[1]Master File'!C313</f>
        <v>Explorer + 7pm</v>
      </c>
      <c r="G314" s="39"/>
      <c r="I314" s="67" t="s">
        <v>99</v>
      </c>
      <c r="J314" s="67" t="s">
        <v>99</v>
      </c>
      <c r="K314" s="67" t="s">
        <v>99</v>
      </c>
      <c r="L314" s="67" t="s">
        <v>23</v>
      </c>
      <c r="M314" s="67" t="s">
        <v>99</v>
      </c>
      <c r="N314" s="67" t="s">
        <v>99</v>
      </c>
      <c r="O314" s="67" t="s">
        <v>99</v>
      </c>
      <c r="P314" s="67" t="s">
        <v>99</v>
      </c>
      <c r="Q314" s="67" t="s">
        <v>99</v>
      </c>
      <c r="R314" s="67" t="s">
        <v>99</v>
      </c>
      <c r="S314" s="67" t="s">
        <v>99</v>
      </c>
      <c r="T314" s="67" t="s">
        <v>99</v>
      </c>
      <c r="U314" s="67" t="s">
        <v>99</v>
      </c>
      <c r="V314" s="67" t="s">
        <v>99</v>
      </c>
      <c r="W314" s="67" t="s">
        <v>99</v>
      </c>
      <c r="X314" s="67" t="s">
        <v>99</v>
      </c>
      <c r="Y314" s="56" t="s">
        <v>23</v>
      </c>
      <c r="Z314" s="67" t="s">
        <v>99</v>
      </c>
      <c r="AA314" s="67" t="s">
        <v>99</v>
      </c>
      <c r="AB314" s="67" t="s">
        <v>99</v>
      </c>
      <c r="AC314" s="63" t="s">
        <v>23</v>
      </c>
      <c r="AD314" s="67" t="s">
        <v>99</v>
      </c>
      <c r="AE314" s="67" t="s">
        <v>99</v>
      </c>
      <c r="AF314" s="67" t="s">
        <v>99</v>
      </c>
      <c r="AG314" s="67" t="s">
        <v>23</v>
      </c>
      <c r="AH314" s="67" t="s">
        <v>99</v>
      </c>
      <c r="AI314" s="67" t="s">
        <v>99</v>
      </c>
      <c r="AJ314" s="67" t="s">
        <v>99</v>
      </c>
      <c r="AK314" s="63" t="s">
        <v>23</v>
      </c>
      <c r="AL314" s="67" t="s">
        <v>99</v>
      </c>
      <c r="AM314" s="67" t="s">
        <v>99</v>
      </c>
      <c r="AN314" s="67" t="s">
        <v>99</v>
      </c>
      <c r="AO314" s="67" t="s">
        <v>99</v>
      </c>
      <c r="AP314" s="67" t="s">
        <v>99</v>
      </c>
      <c r="AQ314" s="67" t="s">
        <v>23</v>
      </c>
      <c r="AR314" s="67" t="s">
        <v>99</v>
      </c>
      <c r="AS314" s="67" t="s">
        <v>99</v>
      </c>
      <c r="AT314" s="67" t="s">
        <v>99</v>
      </c>
      <c r="AU314" s="67" t="s">
        <v>99</v>
      </c>
      <c r="AV314" s="67" t="s">
        <v>99</v>
      </c>
      <c r="AW314" s="67" t="s">
        <v>99</v>
      </c>
      <c r="AX314" s="67" t="s">
        <v>99</v>
      </c>
      <c r="AY314" s="67" t="s">
        <v>99</v>
      </c>
      <c r="AZ314" s="67" t="s">
        <v>99</v>
      </c>
      <c r="BA314" s="67" t="s">
        <v>99</v>
      </c>
      <c r="BB314" s="67" t="s">
        <v>99</v>
      </c>
      <c r="BC314" s="67" t="s">
        <v>99</v>
      </c>
      <c r="BD314" s="67" t="s">
        <v>99</v>
      </c>
      <c r="BE314" s="67" t="s">
        <v>99</v>
      </c>
      <c r="BF314" s="67" t="s">
        <v>99</v>
      </c>
      <c r="BG314" s="67" t="s">
        <v>99</v>
      </c>
      <c r="BH314" s="67" t="s">
        <v>99</v>
      </c>
      <c r="BI314" s="67" t="s">
        <v>99</v>
      </c>
      <c r="BJ314" s="67" t="s">
        <v>99</v>
      </c>
      <c r="BK314" s="67" t="s">
        <v>99</v>
      </c>
      <c r="BL314" s="67" t="s">
        <v>99</v>
      </c>
      <c r="BM314" s="67" t="s">
        <v>99</v>
      </c>
      <c r="BN314" s="67" t="s">
        <v>99</v>
      </c>
      <c r="BO314" s="67" t="s">
        <v>99</v>
      </c>
      <c r="BP314" s="68" t="s">
        <v>99</v>
      </c>
    </row>
    <row r="315" spans="2:68">
      <c r="B315" s="58">
        <v>11</v>
      </c>
      <c r="C315" s="59">
        <v>45</v>
      </c>
      <c r="D315" s="59" t="s">
        <v>100</v>
      </c>
      <c r="E315" s="60">
        <f>'[1]Master File'!B314</f>
        <v>46328</v>
      </c>
      <c r="F315" s="61" t="str">
        <f>'[1]Master File'!C314</f>
        <v>Closed</v>
      </c>
      <c r="G315" s="39"/>
      <c r="I315" s="56" t="s">
        <v>99</v>
      </c>
      <c r="J315" s="56" t="s">
        <v>99</v>
      </c>
      <c r="K315" s="56" t="s">
        <v>99</v>
      </c>
      <c r="L315" s="56" t="s">
        <v>23</v>
      </c>
      <c r="M315" s="56" t="s">
        <v>99</v>
      </c>
      <c r="N315" s="56" t="s">
        <v>99</v>
      </c>
      <c r="O315" s="56" t="s">
        <v>99</v>
      </c>
      <c r="P315" s="56" t="s">
        <v>99</v>
      </c>
      <c r="Q315" s="56" t="s">
        <v>99</v>
      </c>
      <c r="R315" s="56" t="s">
        <v>99</v>
      </c>
      <c r="S315" s="56" t="s">
        <v>99</v>
      </c>
      <c r="T315" s="56" t="s">
        <v>99</v>
      </c>
      <c r="U315" s="56" t="s">
        <v>99</v>
      </c>
      <c r="V315" s="56" t="s">
        <v>99</v>
      </c>
      <c r="W315" s="56" t="s">
        <v>99</v>
      </c>
      <c r="X315" s="56" t="s">
        <v>99</v>
      </c>
      <c r="Y315" s="56" t="s">
        <v>23</v>
      </c>
      <c r="Z315" s="56" t="s">
        <v>99</v>
      </c>
      <c r="AA315" s="56" t="s">
        <v>99</v>
      </c>
      <c r="AB315" s="56" t="s">
        <v>23</v>
      </c>
      <c r="AC315" s="56" t="s">
        <v>23</v>
      </c>
      <c r="AD315" s="56" t="s">
        <v>99</v>
      </c>
      <c r="AE315" s="56" t="s">
        <v>99</v>
      </c>
      <c r="AF315" s="56" t="s">
        <v>99</v>
      </c>
      <c r="AG315" s="56" t="s">
        <v>23</v>
      </c>
      <c r="AH315" s="56" t="s">
        <v>99</v>
      </c>
      <c r="AI315" s="56" t="s">
        <v>99</v>
      </c>
      <c r="AJ315" s="56" t="s">
        <v>99</v>
      </c>
      <c r="AK315" s="63" t="s">
        <v>23</v>
      </c>
      <c r="AL315" s="56" t="s">
        <v>99</v>
      </c>
      <c r="AM315" s="56" t="s">
        <v>99</v>
      </c>
      <c r="AN315" s="56" t="s">
        <v>99</v>
      </c>
      <c r="AO315" s="56" t="s">
        <v>99</v>
      </c>
      <c r="AP315" s="56" t="s">
        <v>99</v>
      </c>
      <c r="AQ315" s="56" t="s">
        <v>99</v>
      </c>
      <c r="AR315" s="56" t="s">
        <v>99</v>
      </c>
      <c r="AS315" s="56" t="s">
        <v>99</v>
      </c>
      <c r="AT315" s="56" t="s">
        <v>99</v>
      </c>
      <c r="AU315" s="56" t="s">
        <v>99</v>
      </c>
      <c r="AV315" s="56" t="s">
        <v>99</v>
      </c>
      <c r="AW315" s="56" t="s">
        <v>99</v>
      </c>
      <c r="AX315" s="56" t="s">
        <v>99</v>
      </c>
      <c r="AY315" s="56" t="s">
        <v>99</v>
      </c>
      <c r="AZ315" s="56" t="s">
        <v>99</v>
      </c>
      <c r="BA315" s="56" t="s">
        <v>99</v>
      </c>
      <c r="BB315" s="56" t="s">
        <v>99</v>
      </c>
      <c r="BC315" s="56" t="s">
        <v>99</v>
      </c>
      <c r="BD315" s="56" t="s">
        <v>99</v>
      </c>
      <c r="BE315" s="56" t="s">
        <v>99</v>
      </c>
      <c r="BF315" s="56" t="s">
        <v>99</v>
      </c>
      <c r="BG315" s="56" t="s">
        <v>99</v>
      </c>
      <c r="BH315" s="56" t="s">
        <v>99</v>
      </c>
      <c r="BI315" s="56" t="s">
        <v>99</v>
      </c>
      <c r="BJ315" s="56" t="s">
        <v>99</v>
      </c>
      <c r="BK315" s="56" t="s">
        <v>99</v>
      </c>
      <c r="BL315" s="56" t="s">
        <v>99</v>
      </c>
      <c r="BM315" s="56" t="s">
        <v>99</v>
      </c>
      <c r="BN315" s="56" t="s">
        <v>99</v>
      </c>
      <c r="BO315" s="56" t="s">
        <v>99</v>
      </c>
      <c r="BP315" s="62" t="s">
        <v>99</v>
      </c>
    </row>
    <row r="316" spans="2:68">
      <c r="B316" s="58">
        <v>11</v>
      </c>
      <c r="C316" s="59">
        <v>45</v>
      </c>
      <c r="D316" s="59" t="s">
        <v>101</v>
      </c>
      <c r="E316" s="60">
        <f>'[1]Master File'!B315</f>
        <v>46329</v>
      </c>
      <c r="F316" s="61" t="str">
        <f>'[1]Master File'!C315</f>
        <v>Closed</v>
      </c>
      <c r="G316" s="39"/>
      <c r="I316" s="56" t="s">
        <v>99</v>
      </c>
      <c r="J316" s="56" t="s">
        <v>99</v>
      </c>
      <c r="K316" s="56" t="s">
        <v>99</v>
      </c>
      <c r="L316" s="56" t="s">
        <v>23</v>
      </c>
      <c r="M316" s="56" t="s">
        <v>99</v>
      </c>
      <c r="N316" s="56" t="s">
        <v>99</v>
      </c>
      <c r="O316" s="56" t="s">
        <v>99</v>
      </c>
      <c r="P316" s="56" t="s">
        <v>99</v>
      </c>
      <c r="Q316" s="56" t="s">
        <v>99</v>
      </c>
      <c r="R316" s="56" t="s">
        <v>99</v>
      </c>
      <c r="S316" s="56" t="s">
        <v>99</v>
      </c>
      <c r="T316" s="56" t="s">
        <v>99</v>
      </c>
      <c r="U316" s="56" t="s">
        <v>99</v>
      </c>
      <c r="V316" s="56" t="s">
        <v>99</v>
      </c>
      <c r="W316" s="56" t="s">
        <v>99</v>
      </c>
      <c r="X316" s="56" t="s">
        <v>99</v>
      </c>
      <c r="Y316" s="56" t="s">
        <v>23</v>
      </c>
      <c r="Z316" s="56" t="s">
        <v>99</v>
      </c>
      <c r="AA316" s="56" t="s">
        <v>99</v>
      </c>
      <c r="AB316" s="56" t="s">
        <v>23</v>
      </c>
      <c r="AC316" s="56" t="s">
        <v>23</v>
      </c>
      <c r="AD316" s="56" t="s">
        <v>99</v>
      </c>
      <c r="AE316" s="56" t="s">
        <v>99</v>
      </c>
      <c r="AF316" s="56" t="s">
        <v>99</v>
      </c>
      <c r="AG316" s="56" t="s">
        <v>23</v>
      </c>
      <c r="AH316" s="56" t="s">
        <v>99</v>
      </c>
      <c r="AI316" s="56" t="s">
        <v>99</v>
      </c>
      <c r="AJ316" s="56" t="s">
        <v>99</v>
      </c>
      <c r="AK316" s="63" t="s">
        <v>23</v>
      </c>
      <c r="AL316" s="56" t="s">
        <v>99</v>
      </c>
      <c r="AM316" s="56" t="s">
        <v>99</v>
      </c>
      <c r="AN316" s="56" t="s">
        <v>99</v>
      </c>
      <c r="AO316" s="56" t="s">
        <v>99</v>
      </c>
      <c r="AP316" s="56" t="s">
        <v>99</v>
      </c>
      <c r="AQ316" s="56" t="s">
        <v>99</v>
      </c>
      <c r="AR316" s="56" t="s">
        <v>99</v>
      </c>
      <c r="AS316" s="56" t="s">
        <v>99</v>
      </c>
      <c r="AT316" s="56" t="s">
        <v>99</v>
      </c>
      <c r="AU316" s="56" t="s">
        <v>99</v>
      </c>
      <c r="AV316" s="56" t="s">
        <v>99</v>
      </c>
      <c r="AW316" s="56" t="s">
        <v>99</v>
      </c>
      <c r="AX316" s="56" t="s">
        <v>99</v>
      </c>
      <c r="AY316" s="56" t="s">
        <v>99</v>
      </c>
      <c r="AZ316" s="56" t="s">
        <v>99</v>
      </c>
      <c r="BA316" s="56" t="s">
        <v>99</v>
      </c>
      <c r="BB316" s="56" t="s">
        <v>99</v>
      </c>
      <c r="BC316" s="56" t="s">
        <v>99</v>
      </c>
      <c r="BD316" s="56" t="s">
        <v>99</v>
      </c>
      <c r="BE316" s="56" t="s">
        <v>99</v>
      </c>
      <c r="BF316" s="56" t="s">
        <v>99</v>
      </c>
      <c r="BG316" s="56" t="s">
        <v>99</v>
      </c>
      <c r="BH316" s="56" t="s">
        <v>99</v>
      </c>
      <c r="BI316" s="56" t="s">
        <v>99</v>
      </c>
      <c r="BJ316" s="56" t="s">
        <v>99</v>
      </c>
      <c r="BK316" s="56" t="s">
        <v>99</v>
      </c>
      <c r="BL316" s="56" t="s">
        <v>99</v>
      </c>
      <c r="BM316" s="56" t="s">
        <v>99</v>
      </c>
      <c r="BN316" s="56" t="s">
        <v>99</v>
      </c>
      <c r="BO316" s="56" t="s">
        <v>99</v>
      </c>
      <c r="BP316" s="62" t="s">
        <v>99</v>
      </c>
    </row>
    <row r="317" spans="2:68">
      <c r="B317" s="58">
        <v>11</v>
      </c>
      <c r="C317" s="59">
        <v>45</v>
      </c>
      <c r="D317" s="59" t="s">
        <v>102</v>
      </c>
      <c r="E317" s="60">
        <f>'[1]Master File'!B316</f>
        <v>46330</v>
      </c>
      <c r="F317" s="61" t="str">
        <f>'[1]Master File'!C316</f>
        <v>Closed</v>
      </c>
      <c r="G317" s="39"/>
      <c r="I317" s="56" t="s">
        <v>99</v>
      </c>
      <c r="J317" s="56" t="s">
        <v>99</v>
      </c>
      <c r="K317" s="56" t="s">
        <v>99</v>
      </c>
      <c r="L317" s="56" t="s">
        <v>23</v>
      </c>
      <c r="M317" s="56" t="s">
        <v>99</v>
      </c>
      <c r="N317" s="56" t="s">
        <v>99</v>
      </c>
      <c r="O317" s="56" t="s">
        <v>99</v>
      </c>
      <c r="P317" s="56" t="s">
        <v>99</v>
      </c>
      <c r="Q317" s="56" t="s">
        <v>99</v>
      </c>
      <c r="R317" s="56" t="s">
        <v>99</v>
      </c>
      <c r="S317" s="56" t="s">
        <v>99</v>
      </c>
      <c r="T317" s="56" t="s">
        <v>99</v>
      </c>
      <c r="U317" s="56" t="s">
        <v>99</v>
      </c>
      <c r="V317" s="56" t="s">
        <v>99</v>
      </c>
      <c r="W317" s="56" t="s">
        <v>99</v>
      </c>
      <c r="X317" s="56" t="s">
        <v>99</v>
      </c>
      <c r="Y317" s="56" t="s">
        <v>23</v>
      </c>
      <c r="Z317" s="56" t="s">
        <v>99</v>
      </c>
      <c r="AA317" s="56" t="s">
        <v>99</v>
      </c>
      <c r="AB317" s="56" t="s">
        <v>23</v>
      </c>
      <c r="AC317" s="56" t="s">
        <v>23</v>
      </c>
      <c r="AD317" s="56" t="s">
        <v>99</v>
      </c>
      <c r="AE317" s="56" t="s">
        <v>99</v>
      </c>
      <c r="AF317" s="56" t="s">
        <v>99</v>
      </c>
      <c r="AG317" s="56" t="s">
        <v>23</v>
      </c>
      <c r="AH317" s="56" t="s">
        <v>99</v>
      </c>
      <c r="AI317" s="56" t="s">
        <v>99</v>
      </c>
      <c r="AJ317" s="56" t="s">
        <v>99</v>
      </c>
      <c r="AK317" s="63" t="s">
        <v>23</v>
      </c>
      <c r="AL317" s="56" t="s">
        <v>99</v>
      </c>
      <c r="AM317" s="56" t="s">
        <v>99</v>
      </c>
      <c r="AN317" s="56" t="s">
        <v>99</v>
      </c>
      <c r="AO317" s="56" t="s">
        <v>99</v>
      </c>
      <c r="AP317" s="56" t="s">
        <v>99</v>
      </c>
      <c r="AQ317" s="56" t="s">
        <v>99</v>
      </c>
      <c r="AR317" s="56" t="s">
        <v>99</v>
      </c>
      <c r="AS317" s="56" t="s">
        <v>99</v>
      </c>
      <c r="AT317" s="56" t="s">
        <v>99</v>
      </c>
      <c r="AU317" s="56" t="s">
        <v>99</v>
      </c>
      <c r="AV317" s="56" t="s">
        <v>99</v>
      </c>
      <c r="AW317" s="56" t="s">
        <v>99</v>
      </c>
      <c r="AX317" s="56" t="s">
        <v>99</v>
      </c>
      <c r="AY317" s="56" t="s">
        <v>99</v>
      </c>
      <c r="AZ317" s="56" t="s">
        <v>99</v>
      </c>
      <c r="BA317" s="56" t="s">
        <v>99</v>
      </c>
      <c r="BB317" s="56" t="s">
        <v>99</v>
      </c>
      <c r="BC317" s="56" t="s">
        <v>99</v>
      </c>
      <c r="BD317" s="56" t="s">
        <v>99</v>
      </c>
      <c r="BE317" s="56" t="s">
        <v>99</v>
      </c>
      <c r="BF317" s="56" t="s">
        <v>99</v>
      </c>
      <c r="BG317" s="56" t="s">
        <v>99</v>
      </c>
      <c r="BH317" s="56" t="s">
        <v>99</v>
      </c>
      <c r="BI317" s="56" t="s">
        <v>99</v>
      </c>
      <c r="BJ317" s="56" t="s">
        <v>99</v>
      </c>
      <c r="BK317" s="56" t="s">
        <v>99</v>
      </c>
      <c r="BL317" s="56" t="s">
        <v>99</v>
      </c>
      <c r="BM317" s="56" t="s">
        <v>99</v>
      </c>
      <c r="BN317" s="56" t="s">
        <v>99</v>
      </c>
      <c r="BO317" s="56" t="s">
        <v>99</v>
      </c>
      <c r="BP317" s="62" t="s">
        <v>99</v>
      </c>
    </row>
    <row r="318" spans="2:68">
      <c r="B318" s="58">
        <v>11</v>
      </c>
      <c r="C318" s="59">
        <v>45</v>
      </c>
      <c r="D318" s="59" t="s">
        <v>103</v>
      </c>
      <c r="E318" s="60">
        <f>'[1]Master File'!B317</f>
        <v>46331</v>
      </c>
      <c r="F318" s="61" t="str">
        <f>'[1]Master File'!C317</f>
        <v>Closed</v>
      </c>
      <c r="G318" s="39"/>
      <c r="I318" s="56" t="s">
        <v>99</v>
      </c>
      <c r="J318" s="56" t="s">
        <v>99</v>
      </c>
      <c r="K318" s="56" t="s">
        <v>99</v>
      </c>
      <c r="L318" s="56" t="s">
        <v>23</v>
      </c>
      <c r="M318" s="56" t="s">
        <v>99</v>
      </c>
      <c r="N318" s="56" t="s">
        <v>99</v>
      </c>
      <c r="O318" s="56" t="s">
        <v>99</v>
      </c>
      <c r="P318" s="56" t="s">
        <v>99</v>
      </c>
      <c r="Q318" s="56" t="s">
        <v>99</v>
      </c>
      <c r="R318" s="56" t="s">
        <v>99</v>
      </c>
      <c r="S318" s="56" t="s">
        <v>99</v>
      </c>
      <c r="T318" s="56" t="s">
        <v>99</v>
      </c>
      <c r="U318" s="56" t="s">
        <v>99</v>
      </c>
      <c r="V318" s="56" t="s">
        <v>99</v>
      </c>
      <c r="W318" s="56" t="s">
        <v>99</v>
      </c>
      <c r="X318" s="56" t="s">
        <v>99</v>
      </c>
      <c r="Y318" s="56" t="s">
        <v>23</v>
      </c>
      <c r="Z318" s="56" t="s">
        <v>99</v>
      </c>
      <c r="AA318" s="56" t="s">
        <v>99</v>
      </c>
      <c r="AB318" s="56" t="s">
        <v>23</v>
      </c>
      <c r="AC318" s="56" t="s">
        <v>23</v>
      </c>
      <c r="AD318" s="56" t="s">
        <v>99</v>
      </c>
      <c r="AE318" s="56" t="s">
        <v>99</v>
      </c>
      <c r="AF318" s="56" t="s">
        <v>99</v>
      </c>
      <c r="AG318" s="56" t="s">
        <v>23</v>
      </c>
      <c r="AH318" s="56" t="s">
        <v>99</v>
      </c>
      <c r="AI318" s="56" t="s">
        <v>99</v>
      </c>
      <c r="AJ318" s="56" t="s">
        <v>99</v>
      </c>
      <c r="AK318" s="63" t="s">
        <v>23</v>
      </c>
      <c r="AL318" s="56" t="s">
        <v>99</v>
      </c>
      <c r="AM318" s="56" t="s">
        <v>99</v>
      </c>
      <c r="AN318" s="56" t="s">
        <v>99</v>
      </c>
      <c r="AO318" s="56" t="s">
        <v>99</v>
      </c>
      <c r="AP318" s="56" t="s">
        <v>99</v>
      </c>
      <c r="AQ318" s="56" t="s">
        <v>99</v>
      </c>
      <c r="AR318" s="56" t="s">
        <v>99</v>
      </c>
      <c r="AS318" s="56" t="s">
        <v>99</v>
      </c>
      <c r="AT318" s="56" t="s">
        <v>99</v>
      </c>
      <c r="AU318" s="56" t="s">
        <v>99</v>
      </c>
      <c r="AV318" s="56" t="s">
        <v>99</v>
      </c>
      <c r="AW318" s="56" t="s">
        <v>99</v>
      </c>
      <c r="AX318" s="56" t="s">
        <v>99</v>
      </c>
      <c r="AY318" s="56" t="s">
        <v>99</v>
      </c>
      <c r="AZ318" s="56" t="s">
        <v>99</v>
      </c>
      <c r="BA318" s="56" t="s">
        <v>99</v>
      </c>
      <c r="BB318" s="56" t="s">
        <v>99</v>
      </c>
      <c r="BC318" s="56" t="s">
        <v>99</v>
      </c>
      <c r="BD318" s="56" t="s">
        <v>99</v>
      </c>
      <c r="BE318" s="56" t="s">
        <v>99</v>
      </c>
      <c r="BF318" s="56" t="s">
        <v>99</v>
      </c>
      <c r="BG318" s="56" t="s">
        <v>99</v>
      </c>
      <c r="BH318" s="56" t="s">
        <v>99</v>
      </c>
      <c r="BI318" s="56" t="s">
        <v>99</v>
      </c>
      <c r="BJ318" s="56" t="s">
        <v>99</v>
      </c>
      <c r="BK318" s="56" t="s">
        <v>99</v>
      </c>
      <c r="BL318" s="56" t="s">
        <v>99</v>
      </c>
      <c r="BM318" s="56" t="s">
        <v>99</v>
      </c>
      <c r="BN318" s="56" t="s">
        <v>99</v>
      </c>
      <c r="BO318" s="56" t="s">
        <v>99</v>
      </c>
      <c r="BP318" s="62" t="s">
        <v>99</v>
      </c>
    </row>
    <row r="319" spans="2:68">
      <c r="B319" s="58">
        <v>11</v>
      </c>
      <c r="C319" s="59">
        <v>45</v>
      </c>
      <c r="D319" s="59" t="s">
        <v>104</v>
      </c>
      <c r="E319" s="60">
        <f>'[1]Master File'!B318</f>
        <v>46332</v>
      </c>
      <c r="F319" s="61" t="str">
        <f>'[1]Master File'!C318</f>
        <v>Closed</v>
      </c>
      <c r="G319" s="39"/>
      <c r="I319" s="56" t="s">
        <v>99</v>
      </c>
      <c r="J319" s="56" t="s">
        <v>99</v>
      </c>
      <c r="K319" s="56" t="s">
        <v>99</v>
      </c>
      <c r="L319" s="56" t="s">
        <v>23</v>
      </c>
      <c r="M319" s="56" t="s">
        <v>99</v>
      </c>
      <c r="N319" s="56" t="s">
        <v>99</v>
      </c>
      <c r="O319" s="56" t="s">
        <v>99</v>
      </c>
      <c r="P319" s="56" t="s">
        <v>99</v>
      </c>
      <c r="Q319" s="56" t="s">
        <v>99</v>
      </c>
      <c r="R319" s="56" t="s">
        <v>99</v>
      </c>
      <c r="S319" s="56" t="s">
        <v>99</v>
      </c>
      <c r="T319" s="56" t="s">
        <v>99</v>
      </c>
      <c r="U319" s="56" t="s">
        <v>99</v>
      </c>
      <c r="V319" s="56" t="s">
        <v>99</v>
      </c>
      <c r="W319" s="56" t="s">
        <v>99</v>
      </c>
      <c r="X319" s="56" t="s">
        <v>99</v>
      </c>
      <c r="Y319" s="56" t="s">
        <v>23</v>
      </c>
      <c r="Z319" s="56" t="s">
        <v>99</v>
      </c>
      <c r="AA319" s="56" t="s">
        <v>99</v>
      </c>
      <c r="AB319" s="56" t="s">
        <v>23</v>
      </c>
      <c r="AC319" s="56" t="s">
        <v>23</v>
      </c>
      <c r="AD319" s="56" t="s">
        <v>99</v>
      </c>
      <c r="AE319" s="56" t="s">
        <v>99</v>
      </c>
      <c r="AF319" s="56" t="s">
        <v>99</v>
      </c>
      <c r="AG319" s="56" t="s">
        <v>23</v>
      </c>
      <c r="AH319" s="56" t="s">
        <v>99</v>
      </c>
      <c r="AI319" s="56" t="s">
        <v>99</v>
      </c>
      <c r="AJ319" s="56" t="s">
        <v>99</v>
      </c>
      <c r="AK319" s="63" t="s">
        <v>23</v>
      </c>
      <c r="AL319" s="56" t="s">
        <v>99</v>
      </c>
      <c r="AM319" s="56" t="s">
        <v>99</v>
      </c>
      <c r="AN319" s="56" t="s">
        <v>99</v>
      </c>
      <c r="AO319" s="56" t="s">
        <v>99</v>
      </c>
      <c r="AP319" s="56" t="s">
        <v>99</v>
      </c>
      <c r="AQ319" s="56" t="s">
        <v>99</v>
      </c>
      <c r="AR319" s="56" t="s">
        <v>99</v>
      </c>
      <c r="AS319" s="56" t="s">
        <v>99</v>
      </c>
      <c r="AT319" s="56" t="s">
        <v>99</v>
      </c>
      <c r="AU319" s="56" t="s">
        <v>99</v>
      </c>
      <c r="AV319" s="56" t="s">
        <v>99</v>
      </c>
      <c r="AW319" s="56" t="s">
        <v>99</v>
      </c>
      <c r="AX319" s="56" t="s">
        <v>99</v>
      </c>
      <c r="AY319" s="56" t="s">
        <v>99</v>
      </c>
      <c r="AZ319" s="56" t="s">
        <v>99</v>
      </c>
      <c r="BA319" s="56" t="s">
        <v>99</v>
      </c>
      <c r="BB319" s="56" t="s">
        <v>99</v>
      </c>
      <c r="BC319" s="56" t="s">
        <v>99</v>
      </c>
      <c r="BD319" s="56" t="s">
        <v>99</v>
      </c>
      <c r="BE319" s="56" t="s">
        <v>99</v>
      </c>
      <c r="BF319" s="56" t="s">
        <v>99</v>
      </c>
      <c r="BG319" s="56" t="s">
        <v>99</v>
      </c>
      <c r="BH319" s="56" t="s">
        <v>99</v>
      </c>
      <c r="BI319" s="56" t="s">
        <v>99</v>
      </c>
      <c r="BJ319" s="56" t="s">
        <v>99</v>
      </c>
      <c r="BK319" s="56" t="s">
        <v>99</v>
      </c>
      <c r="BL319" s="56" t="s">
        <v>99</v>
      </c>
      <c r="BM319" s="56" t="s">
        <v>99</v>
      </c>
      <c r="BN319" s="56" t="s">
        <v>99</v>
      </c>
      <c r="BO319" s="56" t="s">
        <v>99</v>
      </c>
      <c r="BP319" s="62" t="s">
        <v>99</v>
      </c>
    </row>
    <row r="320" spans="2:68">
      <c r="B320" s="58">
        <v>11</v>
      </c>
      <c r="C320" s="59">
        <v>45</v>
      </c>
      <c r="D320" s="59" t="s">
        <v>105</v>
      </c>
      <c r="E320" s="60">
        <f>'[1]Master File'!B319</f>
        <v>46333</v>
      </c>
      <c r="F320" s="61" t="str">
        <f>'[1]Master File'!C319</f>
        <v>Explorer 5PM</v>
      </c>
      <c r="G320" s="39"/>
      <c r="I320" s="67" t="s">
        <v>99</v>
      </c>
      <c r="J320" s="67" t="s">
        <v>99</v>
      </c>
      <c r="K320" s="67" t="s">
        <v>99</v>
      </c>
      <c r="L320" s="67" t="s">
        <v>23</v>
      </c>
      <c r="M320" s="67" t="s">
        <v>99</v>
      </c>
      <c r="N320" s="67" t="s">
        <v>99</v>
      </c>
      <c r="O320" s="67" t="s">
        <v>99</v>
      </c>
      <c r="P320" s="67" t="s">
        <v>99</v>
      </c>
      <c r="Q320" s="67" t="s">
        <v>99</v>
      </c>
      <c r="R320" s="67" t="s">
        <v>99</v>
      </c>
      <c r="S320" s="67" t="s">
        <v>99</v>
      </c>
      <c r="T320" s="67" t="s">
        <v>99</v>
      </c>
      <c r="U320" s="67" t="s">
        <v>99</v>
      </c>
      <c r="V320" s="67" t="s">
        <v>99</v>
      </c>
      <c r="W320" s="67" t="s">
        <v>99</v>
      </c>
      <c r="X320" s="67" t="s">
        <v>99</v>
      </c>
      <c r="Y320" s="56" t="s">
        <v>23</v>
      </c>
      <c r="Z320" s="67" t="s">
        <v>99</v>
      </c>
      <c r="AA320" s="67" t="s">
        <v>99</v>
      </c>
      <c r="AB320" s="67" t="s">
        <v>23</v>
      </c>
      <c r="AC320" s="67" t="s">
        <v>23</v>
      </c>
      <c r="AD320" s="67" t="s">
        <v>99</v>
      </c>
      <c r="AE320" s="67" t="s">
        <v>99</v>
      </c>
      <c r="AF320" s="67" t="s">
        <v>99</v>
      </c>
      <c r="AG320" s="67" t="s">
        <v>23</v>
      </c>
      <c r="AH320" s="67" t="s">
        <v>99</v>
      </c>
      <c r="AI320" s="67" t="s">
        <v>99</v>
      </c>
      <c r="AJ320" s="67" t="s">
        <v>99</v>
      </c>
      <c r="AK320" s="63" t="s">
        <v>23</v>
      </c>
      <c r="AL320" s="67" t="s">
        <v>99</v>
      </c>
      <c r="AM320" s="67" t="s">
        <v>99</v>
      </c>
      <c r="AN320" s="67" t="s">
        <v>99</v>
      </c>
      <c r="AO320" s="67" t="s">
        <v>99</v>
      </c>
      <c r="AP320" s="67" t="s">
        <v>99</v>
      </c>
      <c r="AQ320" s="67" t="s">
        <v>23</v>
      </c>
      <c r="AR320" s="67" t="s">
        <v>99</v>
      </c>
      <c r="AS320" s="67" t="s">
        <v>99</v>
      </c>
      <c r="AT320" s="67" t="s">
        <v>99</v>
      </c>
      <c r="AU320" s="67" t="s">
        <v>99</v>
      </c>
      <c r="AV320" s="67" t="s">
        <v>99</v>
      </c>
      <c r="AW320" s="67" t="s">
        <v>99</v>
      </c>
      <c r="AX320" s="67" t="s">
        <v>99</v>
      </c>
      <c r="AY320" s="67" t="s">
        <v>99</v>
      </c>
      <c r="AZ320" s="67" t="s">
        <v>99</v>
      </c>
      <c r="BA320" s="67" t="s">
        <v>99</v>
      </c>
      <c r="BB320" s="67" t="s">
        <v>99</v>
      </c>
      <c r="BC320" s="67" t="s">
        <v>99</v>
      </c>
      <c r="BD320" s="67" t="s">
        <v>99</v>
      </c>
      <c r="BE320" s="67" t="s">
        <v>99</v>
      </c>
      <c r="BF320" s="67" t="s">
        <v>99</v>
      </c>
      <c r="BG320" s="67" t="s">
        <v>99</v>
      </c>
      <c r="BH320" s="67" t="s">
        <v>99</v>
      </c>
      <c r="BI320" s="67" t="s">
        <v>99</v>
      </c>
      <c r="BJ320" s="67" t="s">
        <v>99</v>
      </c>
      <c r="BK320" s="67" t="s">
        <v>99</v>
      </c>
      <c r="BL320" s="67" t="s">
        <v>99</v>
      </c>
      <c r="BM320" s="67" t="s">
        <v>99</v>
      </c>
      <c r="BN320" s="67" t="s">
        <v>99</v>
      </c>
      <c r="BO320" s="67" t="s">
        <v>99</v>
      </c>
      <c r="BP320" s="68" t="s">
        <v>99</v>
      </c>
    </row>
    <row r="321" spans="2:68">
      <c r="B321" s="58">
        <v>11</v>
      </c>
      <c r="C321" s="59">
        <v>46</v>
      </c>
      <c r="D321" s="59" t="s">
        <v>98</v>
      </c>
      <c r="E321" s="60">
        <f>'[1]Master File'!B320</f>
        <v>46334</v>
      </c>
      <c r="F321" s="61" t="str">
        <f>'[1]Master File'!C320</f>
        <v>Explorer 5PM</v>
      </c>
      <c r="G321" s="39"/>
      <c r="I321" s="67" t="s">
        <v>99</v>
      </c>
      <c r="J321" s="67" t="s">
        <v>99</v>
      </c>
      <c r="K321" s="67" t="s">
        <v>99</v>
      </c>
      <c r="L321" s="67" t="s">
        <v>23</v>
      </c>
      <c r="M321" s="67" t="s">
        <v>99</v>
      </c>
      <c r="N321" s="67" t="s">
        <v>99</v>
      </c>
      <c r="O321" s="67" t="s">
        <v>99</v>
      </c>
      <c r="P321" s="67" t="s">
        <v>99</v>
      </c>
      <c r="Q321" s="67" t="s">
        <v>99</v>
      </c>
      <c r="R321" s="67" t="s">
        <v>99</v>
      </c>
      <c r="S321" s="67" t="s">
        <v>99</v>
      </c>
      <c r="T321" s="67" t="s">
        <v>99</v>
      </c>
      <c r="U321" s="67" t="s">
        <v>99</v>
      </c>
      <c r="V321" s="67" t="s">
        <v>99</v>
      </c>
      <c r="W321" s="67" t="s">
        <v>99</v>
      </c>
      <c r="X321" s="67" t="s">
        <v>99</v>
      </c>
      <c r="Y321" s="56" t="s">
        <v>23</v>
      </c>
      <c r="Z321" s="67" t="s">
        <v>99</v>
      </c>
      <c r="AA321" s="67" t="s">
        <v>99</v>
      </c>
      <c r="AB321" s="67" t="s">
        <v>23</v>
      </c>
      <c r="AC321" s="67" t="s">
        <v>23</v>
      </c>
      <c r="AD321" s="67" t="s">
        <v>99</v>
      </c>
      <c r="AE321" s="67" t="s">
        <v>99</v>
      </c>
      <c r="AF321" s="67" t="s">
        <v>99</v>
      </c>
      <c r="AG321" s="67" t="s">
        <v>23</v>
      </c>
      <c r="AH321" s="67" t="s">
        <v>99</v>
      </c>
      <c r="AI321" s="67" t="s">
        <v>99</v>
      </c>
      <c r="AJ321" s="67" t="s">
        <v>99</v>
      </c>
      <c r="AK321" s="63" t="s">
        <v>23</v>
      </c>
      <c r="AL321" s="67" t="s">
        <v>99</v>
      </c>
      <c r="AM321" s="67" t="s">
        <v>99</v>
      </c>
      <c r="AN321" s="67" t="s">
        <v>99</v>
      </c>
      <c r="AO321" s="67" t="s">
        <v>99</v>
      </c>
      <c r="AP321" s="67" t="s">
        <v>99</v>
      </c>
      <c r="AQ321" s="67" t="s">
        <v>23</v>
      </c>
      <c r="AR321" s="67" t="s">
        <v>99</v>
      </c>
      <c r="AS321" s="67" t="s">
        <v>99</v>
      </c>
      <c r="AT321" s="67" t="s">
        <v>99</v>
      </c>
      <c r="AU321" s="67" t="s">
        <v>99</v>
      </c>
      <c r="AV321" s="67" t="s">
        <v>99</v>
      </c>
      <c r="AW321" s="67" t="s">
        <v>99</v>
      </c>
      <c r="AX321" s="67" t="s">
        <v>99</v>
      </c>
      <c r="AY321" s="67" t="s">
        <v>99</v>
      </c>
      <c r="AZ321" s="67" t="s">
        <v>99</v>
      </c>
      <c r="BA321" s="67" t="s">
        <v>99</v>
      </c>
      <c r="BB321" s="67" t="s">
        <v>99</v>
      </c>
      <c r="BC321" s="67" t="s">
        <v>99</v>
      </c>
      <c r="BD321" s="67" t="s">
        <v>99</v>
      </c>
      <c r="BE321" s="67" t="s">
        <v>99</v>
      </c>
      <c r="BF321" s="67" t="s">
        <v>99</v>
      </c>
      <c r="BG321" s="67" t="s">
        <v>99</v>
      </c>
      <c r="BH321" s="67" t="s">
        <v>99</v>
      </c>
      <c r="BI321" s="67" t="s">
        <v>99</v>
      </c>
      <c r="BJ321" s="67" t="s">
        <v>99</v>
      </c>
      <c r="BK321" s="67" t="s">
        <v>99</v>
      </c>
      <c r="BL321" s="67" t="s">
        <v>99</v>
      </c>
      <c r="BM321" s="67" t="s">
        <v>99</v>
      </c>
      <c r="BN321" s="67" t="s">
        <v>99</v>
      </c>
      <c r="BO321" s="67" t="s">
        <v>99</v>
      </c>
      <c r="BP321" s="68" t="s">
        <v>99</v>
      </c>
    </row>
    <row r="322" spans="2:68">
      <c r="B322" s="58">
        <v>11</v>
      </c>
      <c r="C322" s="59">
        <v>46</v>
      </c>
      <c r="D322" s="59" t="s">
        <v>100</v>
      </c>
      <c r="E322" s="60">
        <f>'[1]Master File'!B321</f>
        <v>46335</v>
      </c>
      <c r="F322" s="61" t="str">
        <f>'[1]Master File'!C321</f>
        <v>Closed</v>
      </c>
      <c r="G322" s="39"/>
      <c r="I322" s="56" t="s">
        <v>99</v>
      </c>
      <c r="J322" s="56" t="s">
        <v>99</v>
      </c>
      <c r="K322" s="56" t="s">
        <v>99</v>
      </c>
      <c r="L322" s="56" t="s">
        <v>23</v>
      </c>
      <c r="M322" s="56" t="s">
        <v>99</v>
      </c>
      <c r="N322" s="56" t="s">
        <v>99</v>
      </c>
      <c r="O322" s="56" t="s">
        <v>99</v>
      </c>
      <c r="P322" s="56" t="s">
        <v>99</v>
      </c>
      <c r="Q322" s="56" t="s">
        <v>99</v>
      </c>
      <c r="R322" s="56" t="s">
        <v>99</v>
      </c>
      <c r="S322" s="56" t="s">
        <v>99</v>
      </c>
      <c r="T322" s="56" t="s">
        <v>99</v>
      </c>
      <c r="U322" s="56" t="s">
        <v>99</v>
      </c>
      <c r="V322" s="56" t="s">
        <v>99</v>
      </c>
      <c r="W322" s="56" t="s">
        <v>99</v>
      </c>
      <c r="X322" s="56" t="s">
        <v>99</v>
      </c>
      <c r="Y322" s="56" t="s">
        <v>23</v>
      </c>
      <c r="Z322" s="56" t="s">
        <v>99</v>
      </c>
      <c r="AA322" s="56" t="s">
        <v>99</v>
      </c>
      <c r="AB322" s="56" t="s">
        <v>23</v>
      </c>
      <c r="AC322" s="56" t="s">
        <v>23</v>
      </c>
      <c r="AD322" s="56" t="s">
        <v>99</v>
      </c>
      <c r="AE322" s="56" t="s">
        <v>99</v>
      </c>
      <c r="AF322" s="56" t="s">
        <v>99</v>
      </c>
      <c r="AG322" s="56" t="s">
        <v>23</v>
      </c>
      <c r="AH322" s="56" t="s">
        <v>99</v>
      </c>
      <c r="AI322" s="56" t="s">
        <v>99</v>
      </c>
      <c r="AJ322" s="56" t="s">
        <v>99</v>
      </c>
      <c r="AK322" s="63" t="s">
        <v>23</v>
      </c>
      <c r="AL322" s="56" t="s">
        <v>99</v>
      </c>
      <c r="AM322" s="56" t="s">
        <v>99</v>
      </c>
      <c r="AN322" s="56" t="s">
        <v>99</v>
      </c>
      <c r="AO322" s="56" t="s">
        <v>99</v>
      </c>
      <c r="AP322" s="56" t="s">
        <v>99</v>
      </c>
      <c r="AQ322" s="56" t="s">
        <v>99</v>
      </c>
      <c r="AR322" s="56" t="s">
        <v>99</v>
      </c>
      <c r="AS322" s="56" t="s">
        <v>99</v>
      </c>
      <c r="AT322" s="56" t="s">
        <v>99</v>
      </c>
      <c r="AU322" s="56" t="s">
        <v>99</v>
      </c>
      <c r="AV322" s="56" t="s">
        <v>99</v>
      </c>
      <c r="AW322" s="56" t="s">
        <v>99</v>
      </c>
      <c r="AX322" s="56" t="s">
        <v>99</v>
      </c>
      <c r="AY322" s="56" t="s">
        <v>99</v>
      </c>
      <c r="AZ322" s="56" t="s">
        <v>99</v>
      </c>
      <c r="BA322" s="56" t="s">
        <v>99</v>
      </c>
      <c r="BB322" s="56" t="s">
        <v>99</v>
      </c>
      <c r="BC322" s="56" t="s">
        <v>99</v>
      </c>
      <c r="BD322" s="56" t="s">
        <v>99</v>
      </c>
      <c r="BE322" s="56" t="s">
        <v>99</v>
      </c>
      <c r="BF322" s="56" t="s">
        <v>99</v>
      </c>
      <c r="BG322" s="56" t="s">
        <v>99</v>
      </c>
      <c r="BH322" s="56" t="s">
        <v>99</v>
      </c>
      <c r="BI322" s="56" t="s">
        <v>99</v>
      </c>
      <c r="BJ322" s="56" t="s">
        <v>99</v>
      </c>
      <c r="BK322" s="56" t="s">
        <v>99</v>
      </c>
      <c r="BL322" s="56" t="s">
        <v>99</v>
      </c>
      <c r="BM322" s="56" t="s">
        <v>99</v>
      </c>
      <c r="BN322" s="56" t="s">
        <v>99</v>
      </c>
      <c r="BO322" s="56" t="s">
        <v>99</v>
      </c>
      <c r="BP322" s="62" t="s">
        <v>99</v>
      </c>
    </row>
    <row r="323" spans="2:68">
      <c r="B323" s="58">
        <v>11</v>
      </c>
      <c r="C323" s="59">
        <v>46</v>
      </c>
      <c r="D323" s="59" t="s">
        <v>101</v>
      </c>
      <c r="E323" s="60">
        <f>'[1]Master File'!B322</f>
        <v>46336</v>
      </c>
      <c r="F323" s="61" t="str">
        <f>'[1]Master File'!C322</f>
        <v>Closed</v>
      </c>
      <c r="G323" s="39"/>
      <c r="I323" s="56" t="s">
        <v>99</v>
      </c>
      <c r="J323" s="56" t="s">
        <v>99</v>
      </c>
      <c r="K323" s="56" t="s">
        <v>99</v>
      </c>
      <c r="L323" s="56" t="s">
        <v>23</v>
      </c>
      <c r="M323" s="56" t="s">
        <v>99</v>
      </c>
      <c r="N323" s="56" t="s">
        <v>99</v>
      </c>
      <c r="O323" s="56" t="s">
        <v>99</v>
      </c>
      <c r="P323" s="56" t="s">
        <v>99</v>
      </c>
      <c r="Q323" s="56" t="s">
        <v>99</v>
      </c>
      <c r="R323" s="56" t="s">
        <v>99</v>
      </c>
      <c r="S323" s="56" t="s">
        <v>99</v>
      </c>
      <c r="T323" s="56" t="s">
        <v>99</v>
      </c>
      <c r="U323" s="56" t="s">
        <v>99</v>
      </c>
      <c r="V323" s="56" t="s">
        <v>99</v>
      </c>
      <c r="W323" s="56" t="s">
        <v>99</v>
      </c>
      <c r="X323" s="56" t="s">
        <v>99</v>
      </c>
      <c r="Y323" s="56" t="s">
        <v>23</v>
      </c>
      <c r="Z323" s="56" t="s">
        <v>99</v>
      </c>
      <c r="AA323" s="56" t="s">
        <v>99</v>
      </c>
      <c r="AB323" s="56" t="s">
        <v>23</v>
      </c>
      <c r="AC323" s="56" t="s">
        <v>23</v>
      </c>
      <c r="AD323" s="56" t="s">
        <v>99</v>
      </c>
      <c r="AE323" s="56" t="s">
        <v>99</v>
      </c>
      <c r="AF323" s="56" t="s">
        <v>99</v>
      </c>
      <c r="AG323" s="56" t="s">
        <v>23</v>
      </c>
      <c r="AH323" s="56" t="s">
        <v>99</v>
      </c>
      <c r="AI323" s="56" t="s">
        <v>99</v>
      </c>
      <c r="AJ323" s="56" t="s">
        <v>99</v>
      </c>
      <c r="AK323" s="63" t="s">
        <v>23</v>
      </c>
      <c r="AL323" s="56" t="s">
        <v>99</v>
      </c>
      <c r="AM323" s="56" t="s">
        <v>99</v>
      </c>
      <c r="AN323" s="56" t="s">
        <v>99</v>
      </c>
      <c r="AO323" s="56" t="s">
        <v>99</v>
      </c>
      <c r="AP323" s="56" t="s">
        <v>99</v>
      </c>
      <c r="AQ323" s="56" t="s">
        <v>99</v>
      </c>
      <c r="AR323" s="56" t="s">
        <v>99</v>
      </c>
      <c r="AS323" s="56" t="s">
        <v>99</v>
      </c>
      <c r="AT323" s="56" t="s">
        <v>99</v>
      </c>
      <c r="AU323" s="56" t="s">
        <v>99</v>
      </c>
      <c r="AV323" s="56" t="s">
        <v>99</v>
      </c>
      <c r="AW323" s="56" t="s">
        <v>99</v>
      </c>
      <c r="AX323" s="56" t="s">
        <v>99</v>
      </c>
      <c r="AY323" s="56" t="s">
        <v>99</v>
      </c>
      <c r="AZ323" s="56" t="s">
        <v>99</v>
      </c>
      <c r="BA323" s="56" t="s">
        <v>99</v>
      </c>
      <c r="BB323" s="56" t="s">
        <v>99</v>
      </c>
      <c r="BC323" s="56" t="s">
        <v>99</v>
      </c>
      <c r="BD323" s="56" t="s">
        <v>99</v>
      </c>
      <c r="BE323" s="56" t="s">
        <v>99</v>
      </c>
      <c r="BF323" s="56" t="s">
        <v>99</v>
      </c>
      <c r="BG323" s="56" t="s">
        <v>99</v>
      </c>
      <c r="BH323" s="56" t="s">
        <v>99</v>
      </c>
      <c r="BI323" s="56" t="s">
        <v>99</v>
      </c>
      <c r="BJ323" s="56" t="s">
        <v>99</v>
      </c>
      <c r="BK323" s="56" t="s">
        <v>99</v>
      </c>
      <c r="BL323" s="56" t="s">
        <v>99</v>
      </c>
      <c r="BM323" s="56" t="s">
        <v>99</v>
      </c>
      <c r="BN323" s="56" t="s">
        <v>99</v>
      </c>
      <c r="BO323" s="56" t="s">
        <v>99</v>
      </c>
      <c r="BP323" s="62" t="s">
        <v>99</v>
      </c>
    </row>
    <row r="324" spans="2:68">
      <c r="B324" s="58">
        <v>11</v>
      </c>
      <c r="C324" s="59">
        <v>46</v>
      </c>
      <c r="D324" s="59" t="s">
        <v>102</v>
      </c>
      <c r="E324" s="60">
        <f>'[1]Master File'!B323</f>
        <v>46337</v>
      </c>
      <c r="F324" s="61" t="str">
        <f>'[1]Master File'!C323</f>
        <v>Closed</v>
      </c>
      <c r="G324" s="39"/>
      <c r="I324" s="56" t="s">
        <v>99</v>
      </c>
      <c r="J324" s="56" t="s">
        <v>99</v>
      </c>
      <c r="K324" s="56" t="s">
        <v>99</v>
      </c>
      <c r="L324" s="56" t="s">
        <v>23</v>
      </c>
      <c r="M324" s="56" t="s">
        <v>99</v>
      </c>
      <c r="N324" s="56" t="s">
        <v>99</v>
      </c>
      <c r="O324" s="56" t="s">
        <v>99</v>
      </c>
      <c r="P324" s="56" t="s">
        <v>99</v>
      </c>
      <c r="Q324" s="56" t="s">
        <v>99</v>
      </c>
      <c r="R324" s="56" t="s">
        <v>99</v>
      </c>
      <c r="S324" s="56" t="s">
        <v>99</v>
      </c>
      <c r="T324" s="56" t="s">
        <v>99</v>
      </c>
      <c r="U324" s="56" t="s">
        <v>99</v>
      </c>
      <c r="V324" s="56" t="s">
        <v>99</v>
      </c>
      <c r="W324" s="56" t="s">
        <v>99</v>
      </c>
      <c r="X324" s="56" t="s">
        <v>99</v>
      </c>
      <c r="Y324" s="56" t="s">
        <v>23</v>
      </c>
      <c r="Z324" s="56" t="s">
        <v>99</v>
      </c>
      <c r="AA324" s="56" t="s">
        <v>99</v>
      </c>
      <c r="AB324" s="56" t="s">
        <v>23</v>
      </c>
      <c r="AC324" s="56" t="s">
        <v>23</v>
      </c>
      <c r="AD324" s="56" t="s">
        <v>99</v>
      </c>
      <c r="AE324" s="56" t="s">
        <v>99</v>
      </c>
      <c r="AF324" s="56" t="s">
        <v>99</v>
      </c>
      <c r="AG324" s="56" t="s">
        <v>23</v>
      </c>
      <c r="AH324" s="56" t="s">
        <v>99</v>
      </c>
      <c r="AI324" s="56" t="s">
        <v>99</v>
      </c>
      <c r="AJ324" s="56" t="s">
        <v>99</v>
      </c>
      <c r="AK324" s="63" t="s">
        <v>23</v>
      </c>
      <c r="AL324" s="56" t="s">
        <v>99</v>
      </c>
      <c r="AM324" s="56" t="s">
        <v>99</v>
      </c>
      <c r="AN324" s="56" t="s">
        <v>99</v>
      </c>
      <c r="AO324" s="56" t="s">
        <v>99</v>
      </c>
      <c r="AP324" s="56" t="s">
        <v>99</v>
      </c>
      <c r="AQ324" s="56" t="s">
        <v>99</v>
      </c>
      <c r="AR324" s="56" t="s">
        <v>99</v>
      </c>
      <c r="AS324" s="56" t="s">
        <v>99</v>
      </c>
      <c r="AT324" s="56" t="s">
        <v>99</v>
      </c>
      <c r="AU324" s="56" t="s">
        <v>99</v>
      </c>
      <c r="AV324" s="56" t="s">
        <v>99</v>
      </c>
      <c r="AW324" s="56" t="s">
        <v>99</v>
      </c>
      <c r="AX324" s="56" t="s">
        <v>99</v>
      </c>
      <c r="AY324" s="56" t="s">
        <v>99</v>
      </c>
      <c r="AZ324" s="56" t="s">
        <v>99</v>
      </c>
      <c r="BA324" s="56" t="s">
        <v>99</v>
      </c>
      <c r="BB324" s="56" t="s">
        <v>99</v>
      </c>
      <c r="BC324" s="56" t="s">
        <v>99</v>
      </c>
      <c r="BD324" s="56" t="s">
        <v>99</v>
      </c>
      <c r="BE324" s="56" t="s">
        <v>99</v>
      </c>
      <c r="BF324" s="56" t="s">
        <v>99</v>
      </c>
      <c r="BG324" s="56" t="s">
        <v>99</v>
      </c>
      <c r="BH324" s="56" t="s">
        <v>99</v>
      </c>
      <c r="BI324" s="56" t="s">
        <v>99</v>
      </c>
      <c r="BJ324" s="56" t="s">
        <v>99</v>
      </c>
      <c r="BK324" s="56" t="s">
        <v>99</v>
      </c>
      <c r="BL324" s="56" t="s">
        <v>99</v>
      </c>
      <c r="BM324" s="56" t="s">
        <v>99</v>
      </c>
      <c r="BN324" s="56" t="s">
        <v>99</v>
      </c>
      <c r="BO324" s="56" t="s">
        <v>99</v>
      </c>
      <c r="BP324" s="62" t="s">
        <v>99</v>
      </c>
    </row>
    <row r="325" spans="2:68">
      <c r="B325" s="58">
        <v>11</v>
      </c>
      <c r="C325" s="59">
        <v>46</v>
      </c>
      <c r="D325" s="59" t="s">
        <v>103</v>
      </c>
      <c r="E325" s="60">
        <f>'[1]Master File'!B324</f>
        <v>46338</v>
      </c>
      <c r="F325" s="61" t="str">
        <f>'[1]Master File'!C324</f>
        <v>Closed</v>
      </c>
      <c r="G325" s="39"/>
      <c r="I325" s="56" t="s">
        <v>99</v>
      </c>
      <c r="J325" s="56" t="s">
        <v>99</v>
      </c>
      <c r="K325" s="56" t="s">
        <v>99</v>
      </c>
      <c r="L325" s="56" t="s">
        <v>23</v>
      </c>
      <c r="M325" s="56" t="s">
        <v>99</v>
      </c>
      <c r="N325" s="56" t="s">
        <v>99</v>
      </c>
      <c r="O325" s="56" t="s">
        <v>99</v>
      </c>
      <c r="P325" s="56" t="s">
        <v>99</v>
      </c>
      <c r="Q325" s="56" t="s">
        <v>99</v>
      </c>
      <c r="R325" s="56" t="s">
        <v>99</v>
      </c>
      <c r="S325" s="56" t="s">
        <v>99</v>
      </c>
      <c r="T325" s="56" t="s">
        <v>99</v>
      </c>
      <c r="U325" s="56" t="s">
        <v>99</v>
      </c>
      <c r="V325" s="56" t="s">
        <v>99</v>
      </c>
      <c r="W325" s="56" t="s">
        <v>99</v>
      </c>
      <c r="X325" s="56" t="s">
        <v>99</v>
      </c>
      <c r="Y325" s="56" t="s">
        <v>23</v>
      </c>
      <c r="Z325" s="56" t="s">
        <v>99</v>
      </c>
      <c r="AA325" s="56" t="s">
        <v>99</v>
      </c>
      <c r="AB325" s="56" t="s">
        <v>23</v>
      </c>
      <c r="AC325" s="56" t="s">
        <v>23</v>
      </c>
      <c r="AD325" s="56" t="s">
        <v>99</v>
      </c>
      <c r="AE325" s="56" t="s">
        <v>99</v>
      </c>
      <c r="AF325" s="56" t="s">
        <v>99</v>
      </c>
      <c r="AG325" s="56" t="s">
        <v>23</v>
      </c>
      <c r="AH325" s="56" t="s">
        <v>99</v>
      </c>
      <c r="AI325" s="56" t="s">
        <v>99</v>
      </c>
      <c r="AJ325" s="56" t="s">
        <v>99</v>
      </c>
      <c r="AK325" s="63" t="s">
        <v>23</v>
      </c>
      <c r="AL325" s="56" t="s">
        <v>99</v>
      </c>
      <c r="AM325" s="56" t="s">
        <v>99</v>
      </c>
      <c r="AN325" s="56" t="s">
        <v>99</v>
      </c>
      <c r="AO325" s="56" t="s">
        <v>99</v>
      </c>
      <c r="AP325" s="56" t="s">
        <v>99</v>
      </c>
      <c r="AQ325" s="56" t="s">
        <v>99</v>
      </c>
      <c r="AR325" s="56" t="s">
        <v>99</v>
      </c>
      <c r="AS325" s="56" t="s">
        <v>99</v>
      </c>
      <c r="AT325" s="56" t="s">
        <v>99</v>
      </c>
      <c r="AU325" s="56" t="s">
        <v>99</v>
      </c>
      <c r="AV325" s="56" t="s">
        <v>99</v>
      </c>
      <c r="AW325" s="56" t="s">
        <v>99</v>
      </c>
      <c r="AX325" s="56" t="s">
        <v>99</v>
      </c>
      <c r="AY325" s="56" t="s">
        <v>99</v>
      </c>
      <c r="AZ325" s="56" t="s">
        <v>99</v>
      </c>
      <c r="BA325" s="56" t="s">
        <v>99</v>
      </c>
      <c r="BB325" s="56" t="s">
        <v>99</v>
      </c>
      <c r="BC325" s="56" t="s">
        <v>99</v>
      </c>
      <c r="BD325" s="56" t="s">
        <v>99</v>
      </c>
      <c r="BE325" s="56" t="s">
        <v>99</v>
      </c>
      <c r="BF325" s="56" t="s">
        <v>99</v>
      </c>
      <c r="BG325" s="56" t="s">
        <v>99</v>
      </c>
      <c r="BH325" s="56" t="s">
        <v>99</v>
      </c>
      <c r="BI325" s="56" t="s">
        <v>99</v>
      </c>
      <c r="BJ325" s="56" t="s">
        <v>99</v>
      </c>
      <c r="BK325" s="56" t="s">
        <v>99</v>
      </c>
      <c r="BL325" s="56" t="s">
        <v>99</v>
      </c>
      <c r="BM325" s="56" t="s">
        <v>99</v>
      </c>
      <c r="BN325" s="56" t="s">
        <v>99</v>
      </c>
      <c r="BO325" s="56" t="s">
        <v>99</v>
      </c>
      <c r="BP325" s="62" t="s">
        <v>99</v>
      </c>
    </row>
    <row r="326" spans="2:68">
      <c r="B326" s="58">
        <v>11</v>
      </c>
      <c r="C326" s="59">
        <v>46</v>
      </c>
      <c r="D326" s="59" t="s">
        <v>104</v>
      </c>
      <c r="E326" s="60">
        <f>'[1]Master File'!B325</f>
        <v>46339</v>
      </c>
      <c r="F326" s="61" t="str">
        <f>'[1]Master File'!C325</f>
        <v>Closed</v>
      </c>
      <c r="G326" s="39"/>
      <c r="I326" s="56" t="s">
        <v>99</v>
      </c>
      <c r="J326" s="56" t="s">
        <v>99</v>
      </c>
      <c r="K326" s="56" t="s">
        <v>99</v>
      </c>
      <c r="L326" s="56" t="s">
        <v>23</v>
      </c>
      <c r="M326" s="56" t="s">
        <v>99</v>
      </c>
      <c r="N326" s="56" t="s">
        <v>99</v>
      </c>
      <c r="O326" s="56" t="s">
        <v>99</v>
      </c>
      <c r="P326" s="56" t="s">
        <v>99</v>
      </c>
      <c r="Q326" s="56" t="s">
        <v>99</v>
      </c>
      <c r="R326" s="56" t="s">
        <v>99</v>
      </c>
      <c r="S326" s="56" t="s">
        <v>99</v>
      </c>
      <c r="T326" s="56" t="s">
        <v>99</v>
      </c>
      <c r="U326" s="56" t="s">
        <v>99</v>
      </c>
      <c r="V326" s="56" t="s">
        <v>99</v>
      </c>
      <c r="W326" s="56" t="s">
        <v>99</v>
      </c>
      <c r="X326" s="56" t="s">
        <v>99</v>
      </c>
      <c r="Y326" s="56" t="s">
        <v>23</v>
      </c>
      <c r="Z326" s="56" t="s">
        <v>99</v>
      </c>
      <c r="AA326" s="56" t="s">
        <v>99</v>
      </c>
      <c r="AB326" s="56" t="s">
        <v>23</v>
      </c>
      <c r="AC326" s="56" t="s">
        <v>23</v>
      </c>
      <c r="AD326" s="56" t="s">
        <v>99</v>
      </c>
      <c r="AE326" s="56" t="s">
        <v>99</v>
      </c>
      <c r="AF326" s="56" t="s">
        <v>99</v>
      </c>
      <c r="AG326" s="56" t="s">
        <v>23</v>
      </c>
      <c r="AH326" s="56" t="s">
        <v>99</v>
      </c>
      <c r="AI326" s="56" t="s">
        <v>99</v>
      </c>
      <c r="AJ326" s="56" t="s">
        <v>99</v>
      </c>
      <c r="AK326" s="63" t="s">
        <v>23</v>
      </c>
      <c r="AL326" s="56" t="s">
        <v>99</v>
      </c>
      <c r="AM326" s="56" t="s">
        <v>99</v>
      </c>
      <c r="AN326" s="56" t="s">
        <v>99</v>
      </c>
      <c r="AO326" s="56" t="s">
        <v>99</v>
      </c>
      <c r="AP326" s="56" t="s">
        <v>99</v>
      </c>
      <c r="AQ326" s="56" t="s">
        <v>99</v>
      </c>
      <c r="AR326" s="56" t="s">
        <v>99</v>
      </c>
      <c r="AS326" s="56" t="s">
        <v>99</v>
      </c>
      <c r="AT326" s="56" t="s">
        <v>99</v>
      </c>
      <c r="AU326" s="56" t="s">
        <v>99</v>
      </c>
      <c r="AV326" s="56" t="s">
        <v>99</v>
      </c>
      <c r="AW326" s="56" t="s">
        <v>99</v>
      </c>
      <c r="AX326" s="56" t="s">
        <v>99</v>
      </c>
      <c r="AY326" s="56" t="s">
        <v>99</v>
      </c>
      <c r="AZ326" s="56" t="s">
        <v>99</v>
      </c>
      <c r="BA326" s="56" t="s">
        <v>99</v>
      </c>
      <c r="BB326" s="56" t="s">
        <v>99</v>
      </c>
      <c r="BC326" s="56" t="s">
        <v>99</v>
      </c>
      <c r="BD326" s="56" t="s">
        <v>99</v>
      </c>
      <c r="BE326" s="56" t="s">
        <v>99</v>
      </c>
      <c r="BF326" s="56" t="s">
        <v>99</v>
      </c>
      <c r="BG326" s="56" t="s">
        <v>99</v>
      </c>
      <c r="BH326" s="56" t="s">
        <v>99</v>
      </c>
      <c r="BI326" s="56" t="s">
        <v>99</v>
      </c>
      <c r="BJ326" s="56" t="s">
        <v>99</v>
      </c>
      <c r="BK326" s="56" t="s">
        <v>99</v>
      </c>
      <c r="BL326" s="56" t="s">
        <v>99</v>
      </c>
      <c r="BM326" s="56" t="s">
        <v>99</v>
      </c>
      <c r="BN326" s="56" t="s">
        <v>99</v>
      </c>
      <c r="BO326" s="56" t="s">
        <v>99</v>
      </c>
      <c r="BP326" s="62" t="s">
        <v>99</v>
      </c>
    </row>
    <row r="327" spans="2:68">
      <c r="B327" s="58">
        <v>11</v>
      </c>
      <c r="C327" s="59">
        <v>46</v>
      </c>
      <c r="D327" s="59" t="s">
        <v>105</v>
      </c>
      <c r="E327" s="60">
        <f>'[1]Master File'!B326</f>
        <v>46340</v>
      </c>
      <c r="F327" s="61" t="str">
        <f>'[1]Master File'!C326</f>
        <v>Explorer 5PM</v>
      </c>
      <c r="G327" s="39"/>
      <c r="I327" s="67" t="s">
        <v>99</v>
      </c>
      <c r="J327" s="67" t="s">
        <v>99</v>
      </c>
      <c r="K327" s="67" t="s">
        <v>99</v>
      </c>
      <c r="L327" s="67" t="s">
        <v>23</v>
      </c>
      <c r="M327" s="67" t="s">
        <v>99</v>
      </c>
      <c r="N327" s="67" t="s">
        <v>99</v>
      </c>
      <c r="O327" s="67" t="s">
        <v>99</v>
      </c>
      <c r="P327" s="67" t="s">
        <v>99</v>
      </c>
      <c r="Q327" s="67" t="s">
        <v>99</v>
      </c>
      <c r="R327" s="67" t="s">
        <v>99</v>
      </c>
      <c r="S327" s="67" t="s">
        <v>99</v>
      </c>
      <c r="T327" s="67" t="s">
        <v>99</v>
      </c>
      <c r="U327" s="67" t="s">
        <v>99</v>
      </c>
      <c r="V327" s="67" t="s">
        <v>99</v>
      </c>
      <c r="W327" s="67" t="s">
        <v>99</v>
      </c>
      <c r="X327" s="67" t="s">
        <v>99</v>
      </c>
      <c r="Y327" s="56" t="s">
        <v>23</v>
      </c>
      <c r="Z327" s="67" t="s">
        <v>99</v>
      </c>
      <c r="AA327" s="67" t="s">
        <v>99</v>
      </c>
      <c r="AB327" s="67" t="s">
        <v>23</v>
      </c>
      <c r="AC327" s="67" t="s">
        <v>23</v>
      </c>
      <c r="AD327" s="67" t="s">
        <v>99</v>
      </c>
      <c r="AE327" s="67" t="s">
        <v>99</v>
      </c>
      <c r="AF327" s="67" t="s">
        <v>99</v>
      </c>
      <c r="AG327" s="67" t="s">
        <v>23</v>
      </c>
      <c r="AH327" s="67" t="s">
        <v>99</v>
      </c>
      <c r="AI327" s="67" t="s">
        <v>99</v>
      </c>
      <c r="AJ327" s="67" t="s">
        <v>99</v>
      </c>
      <c r="AK327" s="63" t="s">
        <v>23</v>
      </c>
      <c r="AL327" s="67" t="s">
        <v>99</v>
      </c>
      <c r="AM327" s="67" t="s">
        <v>99</v>
      </c>
      <c r="AN327" s="67" t="s">
        <v>99</v>
      </c>
      <c r="AO327" s="67" t="s">
        <v>99</v>
      </c>
      <c r="AP327" s="67" t="s">
        <v>99</v>
      </c>
      <c r="AQ327" s="67" t="s">
        <v>23</v>
      </c>
      <c r="AR327" s="67" t="s">
        <v>99</v>
      </c>
      <c r="AS327" s="67" t="s">
        <v>99</v>
      </c>
      <c r="AT327" s="67" t="s">
        <v>99</v>
      </c>
      <c r="AU327" s="67" t="s">
        <v>99</v>
      </c>
      <c r="AV327" s="67" t="s">
        <v>99</v>
      </c>
      <c r="AW327" s="67" t="s">
        <v>99</v>
      </c>
      <c r="AX327" s="67" t="s">
        <v>99</v>
      </c>
      <c r="AY327" s="67" t="s">
        <v>99</v>
      </c>
      <c r="AZ327" s="67" t="s">
        <v>99</v>
      </c>
      <c r="BA327" s="67" t="s">
        <v>99</v>
      </c>
      <c r="BB327" s="67" t="s">
        <v>99</v>
      </c>
      <c r="BC327" s="67" t="s">
        <v>99</v>
      </c>
      <c r="BD327" s="67" t="s">
        <v>99</v>
      </c>
      <c r="BE327" s="67" t="s">
        <v>99</v>
      </c>
      <c r="BF327" s="67" t="s">
        <v>99</v>
      </c>
      <c r="BG327" s="67" t="s">
        <v>99</v>
      </c>
      <c r="BH327" s="67" t="s">
        <v>99</v>
      </c>
      <c r="BI327" s="67" t="s">
        <v>99</v>
      </c>
      <c r="BJ327" s="67" t="s">
        <v>99</v>
      </c>
      <c r="BK327" s="67" t="s">
        <v>99</v>
      </c>
      <c r="BL327" s="67" t="s">
        <v>99</v>
      </c>
      <c r="BM327" s="67" t="s">
        <v>99</v>
      </c>
      <c r="BN327" s="67" t="s">
        <v>99</v>
      </c>
      <c r="BO327" s="67" t="s">
        <v>99</v>
      </c>
      <c r="BP327" s="68" t="s">
        <v>99</v>
      </c>
    </row>
    <row r="328" spans="2:68">
      <c r="B328" s="58">
        <v>11</v>
      </c>
      <c r="C328" s="59">
        <v>47</v>
      </c>
      <c r="D328" s="59" t="s">
        <v>98</v>
      </c>
      <c r="E328" s="60">
        <f>'[1]Master File'!B327</f>
        <v>46341</v>
      </c>
      <c r="F328" s="61" t="str">
        <f>'[1]Master File'!C327</f>
        <v>Explorer 5PM</v>
      </c>
      <c r="G328" s="39"/>
      <c r="I328" s="67" t="s">
        <v>99</v>
      </c>
      <c r="J328" s="67" t="s">
        <v>99</v>
      </c>
      <c r="K328" s="67" t="s">
        <v>99</v>
      </c>
      <c r="L328" s="67" t="s">
        <v>23</v>
      </c>
      <c r="M328" s="67" t="s">
        <v>99</v>
      </c>
      <c r="N328" s="67" t="s">
        <v>99</v>
      </c>
      <c r="O328" s="67" t="s">
        <v>99</v>
      </c>
      <c r="P328" s="67" t="s">
        <v>99</v>
      </c>
      <c r="Q328" s="67" t="s">
        <v>99</v>
      </c>
      <c r="R328" s="67" t="s">
        <v>99</v>
      </c>
      <c r="S328" s="67" t="s">
        <v>99</v>
      </c>
      <c r="T328" s="67" t="s">
        <v>99</v>
      </c>
      <c r="U328" s="67" t="s">
        <v>99</v>
      </c>
      <c r="V328" s="67" t="s">
        <v>99</v>
      </c>
      <c r="W328" s="67" t="s">
        <v>99</v>
      </c>
      <c r="X328" s="67" t="s">
        <v>99</v>
      </c>
      <c r="Y328" s="56" t="s">
        <v>23</v>
      </c>
      <c r="Z328" s="67" t="s">
        <v>99</v>
      </c>
      <c r="AA328" s="67" t="s">
        <v>99</v>
      </c>
      <c r="AB328" s="67" t="s">
        <v>23</v>
      </c>
      <c r="AC328" s="67" t="s">
        <v>23</v>
      </c>
      <c r="AD328" s="67" t="s">
        <v>99</v>
      </c>
      <c r="AE328" s="67" t="s">
        <v>99</v>
      </c>
      <c r="AF328" s="67" t="s">
        <v>99</v>
      </c>
      <c r="AG328" s="67" t="s">
        <v>23</v>
      </c>
      <c r="AH328" s="67" t="s">
        <v>99</v>
      </c>
      <c r="AI328" s="67" t="s">
        <v>99</v>
      </c>
      <c r="AJ328" s="67" t="s">
        <v>99</v>
      </c>
      <c r="AK328" s="63" t="s">
        <v>23</v>
      </c>
      <c r="AL328" s="67" t="s">
        <v>99</v>
      </c>
      <c r="AM328" s="67" t="s">
        <v>99</v>
      </c>
      <c r="AN328" s="67" t="s">
        <v>99</v>
      </c>
      <c r="AO328" s="67" t="s">
        <v>99</v>
      </c>
      <c r="AP328" s="67" t="s">
        <v>99</v>
      </c>
      <c r="AQ328" s="67" t="s">
        <v>23</v>
      </c>
      <c r="AR328" s="67" t="s">
        <v>99</v>
      </c>
      <c r="AS328" s="67" t="s">
        <v>99</v>
      </c>
      <c r="AT328" s="67" t="s">
        <v>99</v>
      </c>
      <c r="AU328" s="67" t="s">
        <v>99</v>
      </c>
      <c r="AV328" s="67" t="s">
        <v>99</v>
      </c>
      <c r="AW328" s="67" t="s">
        <v>99</v>
      </c>
      <c r="AX328" s="67" t="s">
        <v>99</v>
      </c>
      <c r="AY328" s="67" t="s">
        <v>99</v>
      </c>
      <c r="AZ328" s="67" t="s">
        <v>99</v>
      </c>
      <c r="BA328" s="67" t="s">
        <v>99</v>
      </c>
      <c r="BB328" s="67" t="s">
        <v>99</v>
      </c>
      <c r="BC328" s="67" t="s">
        <v>99</v>
      </c>
      <c r="BD328" s="67" t="s">
        <v>99</v>
      </c>
      <c r="BE328" s="67" t="s">
        <v>99</v>
      </c>
      <c r="BF328" s="67" t="s">
        <v>99</v>
      </c>
      <c r="BG328" s="67" t="s">
        <v>99</v>
      </c>
      <c r="BH328" s="67" t="s">
        <v>99</v>
      </c>
      <c r="BI328" s="67" t="s">
        <v>99</v>
      </c>
      <c r="BJ328" s="67" t="s">
        <v>99</v>
      </c>
      <c r="BK328" s="67" t="s">
        <v>99</v>
      </c>
      <c r="BL328" s="67" t="s">
        <v>99</v>
      </c>
      <c r="BM328" s="67" t="s">
        <v>99</v>
      </c>
      <c r="BN328" s="67" t="s">
        <v>99</v>
      </c>
      <c r="BO328" s="67" t="s">
        <v>99</v>
      </c>
      <c r="BP328" s="68" t="s">
        <v>99</v>
      </c>
    </row>
    <row r="329" spans="2:68">
      <c r="B329" s="58">
        <v>11</v>
      </c>
      <c r="C329" s="59">
        <v>47</v>
      </c>
      <c r="D329" s="59" t="s">
        <v>100</v>
      </c>
      <c r="E329" s="60">
        <f>'[1]Master File'!B328</f>
        <v>46342</v>
      </c>
      <c r="F329" s="61" t="str">
        <f>'[1]Master File'!C328</f>
        <v>Closed</v>
      </c>
      <c r="G329" s="39"/>
      <c r="I329" s="56" t="s">
        <v>99</v>
      </c>
      <c r="J329" s="56" t="s">
        <v>99</v>
      </c>
      <c r="K329" s="56" t="s">
        <v>99</v>
      </c>
      <c r="L329" s="56" t="s">
        <v>23</v>
      </c>
      <c r="M329" s="56" t="s">
        <v>99</v>
      </c>
      <c r="N329" s="56" t="s">
        <v>99</v>
      </c>
      <c r="O329" s="56" t="s">
        <v>99</v>
      </c>
      <c r="P329" s="56" t="s">
        <v>99</v>
      </c>
      <c r="Q329" s="56" t="s">
        <v>99</v>
      </c>
      <c r="R329" s="56" t="s">
        <v>99</v>
      </c>
      <c r="S329" s="56" t="s">
        <v>99</v>
      </c>
      <c r="T329" s="56" t="s">
        <v>99</v>
      </c>
      <c r="U329" s="56" t="s">
        <v>99</v>
      </c>
      <c r="V329" s="56" t="s">
        <v>99</v>
      </c>
      <c r="W329" s="56" t="s">
        <v>99</v>
      </c>
      <c r="X329" s="56" t="s">
        <v>99</v>
      </c>
      <c r="Y329" s="56" t="s">
        <v>23</v>
      </c>
      <c r="Z329" s="56" t="s">
        <v>99</v>
      </c>
      <c r="AA329" s="56" t="s">
        <v>99</v>
      </c>
      <c r="AB329" s="56" t="s">
        <v>23</v>
      </c>
      <c r="AC329" s="56" t="s">
        <v>23</v>
      </c>
      <c r="AD329" s="56" t="s">
        <v>99</v>
      </c>
      <c r="AE329" s="56" t="s">
        <v>99</v>
      </c>
      <c r="AF329" s="56" t="s">
        <v>99</v>
      </c>
      <c r="AG329" s="56" t="s">
        <v>23</v>
      </c>
      <c r="AH329" s="56" t="s">
        <v>99</v>
      </c>
      <c r="AI329" s="56" t="s">
        <v>99</v>
      </c>
      <c r="AJ329" s="56" t="s">
        <v>99</v>
      </c>
      <c r="AK329" s="63" t="s">
        <v>23</v>
      </c>
      <c r="AL329" s="56" t="s">
        <v>99</v>
      </c>
      <c r="AM329" s="56" t="s">
        <v>99</v>
      </c>
      <c r="AN329" s="56" t="s">
        <v>99</v>
      </c>
      <c r="AO329" s="56" t="s">
        <v>99</v>
      </c>
      <c r="AP329" s="56" t="s">
        <v>99</v>
      </c>
      <c r="AQ329" s="56" t="s">
        <v>99</v>
      </c>
      <c r="AR329" s="56" t="s">
        <v>99</v>
      </c>
      <c r="AS329" s="56" t="s">
        <v>99</v>
      </c>
      <c r="AT329" s="56" t="s">
        <v>99</v>
      </c>
      <c r="AU329" s="56" t="s">
        <v>99</v>
      </c>
      <c r="AV329" s="56" t="s">
        <v>99</v>
      </c>
      <c r="AW329" s="56" t="s">
        <v>99</v>
      </c>
      <c r="AX329" s="56" t="s">
        <v>99</v>
      </c>
      <c r="AY329" s="56" t="s">
        <v>99</v>
      </c>
      <c r="AZ329" s="56" t="s">
        <v>99</v>
      </c>
      <c r="BA329" s="56" t="s">
        <v>99</v>
      </c>
      <c r="BB329" s="56" t="s">
        <v>99</v>
      </c>
      <c r="BC329" s="56" t="s">
        <v>99</v>
      </c>
      <c r="BD329" s="56" t="s">
        <v>99</v>
      </c>
      <c r="BE329" s="56" t="s">
        <v>99</v>
      </c>
      <c r="BF329" s="56" t="s">
        <v>99</v>
      </c>
      <c r="BG329" s="56" t="s">
        <v>99</v>
      </c>
      <c r="BH329" s="56" t="s">
        <v>99</v>
      </c>
      <c r="BI329" s="56" t="s">
        <v>99</v>
      </c>
      <c r="BJ329" s="56" t="s">
        <v>99</v>
      </c>
      <c r="BK329" s="56" t="s">
        <v>99</v>
      </c>
      <c r="BL329" s="56" t="s">
        <v>99</v>
      </c>
      <c r="BM329" s="56" t="s">
        <v>99</v>
      </c>
      <c r="BN329" s="56" t="s">
        <v>99</v>
      </c>
      <c r="BO329" s="56" t="s">
        <v>99</v>
      </c>
      <c r="BP329" s="62" t="s">
        <v>99</v>
      </c>
    </row>
    <row r="330" spans="2:68">
      <c r="B330" s="58">
        <v>11</v>
      </c>
      <c r="C330" s="59">
        <v>47</v>
      </c>
      <c r="D330" s="59" t="s">
        <v>101</v>
      </c>
      <c r="E330" s="60">
        <f>'[1]Master File'!B329</f>
        <v>46343</v>
      </c>
      <c r="F330" s="61" t="str">
        <f>'[1]Master File'!C329</f>
        <v>Closed</v>
      </c>
      <c r="G330" s="39"/>
      <c r="I330" s="56" t="s">
        <v>99</v>
      </c>
      <c r="J330" s="56" t="s">
        <v>99</v>
      </c>
      <c r="K330" s="56" t="s">
        <v>99</v>
      </c>
      <c r="L330" s="56" t="s">
        <v>23</v>
      </c>
      <c r="M330" s="56" t="s">
        <v>99</v>
      </c>
      <c r="N330" s="56" t="s">
        <v>99</v>
      </c>
      <c r="O330" s="56" t="s">
        <v>99</v>
      </c>
      <c r="P330" s="56" t="s">
        <v>99</v>
      </c>
      <c r="Q330" s="56" t="s">
        <v>99</v>
      </c>
      <c r="R330" s="56" t="s">
        <v>99</v>
      </c>
      <c r="S330" s="56" t="s">
        <v>99</v>
      </c>
      <c r="T330" s="56" t="s">
        <v>99</v>
      </c>
      <c r="U330" s="56" t="s">
        <v>99</v>
      </c>
      <c r="V330" s="56" t="s">
        <v>99</v>
      </c>
      <c r="W330" s="56" t="s">
        <v>99</v>
      </c>
      <c r="X330" s="56" t="s">
        <v>99</v>
      </c>
      <c r="Y330" s="56" t="s">
        <v>23</v>
      </c>
      <c r="Z330" s="56" t="s">
        <v>99</v>
      </c>
      <c r="AA330" s="56" t="s">
        <v>99</v>
      </c>
      <c r="AB330" s="56" t="s">
        <v>23</v>
      </c>
      <c r="AC330" s="56" t="s">
        <v>23</v>
      </c>
      <c r="AD330" s="56" t="s">
        <v>99</v>
      </c>
      <c r="AE330" s="56" t="s">
        <v>99</v>
      </c>
      <c r="AF330" s="56" t="s">
        <v>99</v>
      </c>
      <c r="AG330" s="56" t="s">
        <v>23</v>
      </c>
      <c r="AH330" s="56" t="s">
        <v>99</v>
      </c>
      <c r="AI330" s="56" t="s">
        <v>99</v>
      </c>
      <c r="AJ330" s="56" t="s">
        <v>99</v>
      </c>
      <c r="AK330" s="63" t="s">
        <v>23</v>
      </c>
      <c r="AL330" s="56" t="s">
        <v>99</v>
      </c>
      <c r="AM330" s="56" t="s">
        <v>99</v>
      </c>
      <c r="AN330" s="56" t="s">
        <v>99</v>
      </c>
      <c r="AO330" s="56" t="s">
        <v>99</v>
      </c>
      <c r="AP330" s="56" t="s">
        <v>99</v>
      </c>
      <c r="AQ330" s="56" t="s">
        <v>99</v>
      </c>
      <c r="AR330" s="56" t="s">
        <v>99</v>
      </c>
      <c r="AS330" s="56" t="s">
        <v>99</v>
      </c>
      <c r="AT330" s="56" t="s">
        <v>99</v>
      </c>
      <c r="AU330" s="56" t="s">
        <v>99</v>
      </c>
      <c r="AV330" s="56" t="s">
        <v>99</v>
      </c>
      <c r="AW330" s="56" t="s">
        <v>99</v>
      </c>
      <c r="AX330" s="56" t="s">
        <v>99</v>
      </c>
      <c r="AY330" s="56" t="s">
        <v>99</v>
      </c>
      <c r="AZ330" s="56" t="s">
        <v>99</v>
      </c>
      <c r="BA330" s="56" t="s">
        <v>99</v>
      </c>
      <c r="BB330" s="56" t="s">
        <v>99</v>
      </c>
      <c r="BC330" s="56" t="s">
        <v>99</v>
      </c>
      <c r="BD330" s="56" t="s">
        <v>99</v>
      </c>
      <c r="BE330" s="56" t="s">
        <v>99</v>
      </c>
      <c r="BF330" s="56" t="s">
        <v>99</v>
      </c>
      <c r="BG330" s="56" t="s">
        <v>99</v>
      </c>
      <c r="BH330" s="56" t="s">
        <v>99</v>
      </c>
      <c r="BI330" s="56" t="s">
        <v>99</v>
      </c>
      <c r="BJ330" s="56" t="s">
        <v>99</v>
      </c>
      <c r="BK330" s="56" t="s">
        <v>99</v>
      </c>
      <c r="BL330" s="56" t="s">
        <v>99</v>
      </c>
      <c r="BM330" s="56" t="s">
        <v>99</v>
      </c>
      <c r="BN330" s="56" t="s">
        <v>99</v>
      </c>
      <c r="BO330" s="56" t="s">
        <v>99</v>
      </c>
      <c r="BP330" s="62" t="s">
        <v>99</v>
      </c>
    </row>
    <row r="331" spans="2:68">
      <c r="B331" s="58">
        <v>11</v>
      </c>
      <c r="C331" s="59">
        <v>47</v>
      </c>
      <c r="D331" s="59" t="s">
        <v>102</v>
      </c>
      <c r="E331" s="60">
        <f>'[1]Master File'!B330</f>
        <v>46344</v>
      </c>
      <c r="F331" s="61" t="str">
        <f>'[1]Master File'!C330</f>
        <v>Closed</v>
      </c>
      <c r="G331" s="39"/>
      <c r="I331" s="56" t="s">
        <v>99</v>
      </c>
      <c r="J331" s="56" t="s">
        <v>99</v>
      </c>
      <c r="K331" s="56" t="s">
        <v>99</v>
      </c>
      <c r="L331" s="56" t="s">
        <v>23</v>
      </c>
      <c r="M331" s="56" t="s">
        <v>99</v>
      </c>
      <c r="N331" s="56" t="s">
        <v>99</v>
      </c>
      <c r="O331" s="56" t="s">
        <v>99</v>
      </c>
      <c r="P331" s="56" t="s">
        <v>99</v>
      </c>
      <c r="Q331" s="56" t="s">
        <v>99</v>
      </c>
      <c r="R331" s="56" t="s">
        <v>99</v>
      </c>
      <c r="S331" s="56" t="s">
        <v>99</v>
      </c>
      <c r="T331" s="56" t="s">
        <v>99</v>
      </c>
      <c r="U331" s="56" t="s">
        <v>99</v>
      </c>
      <c r="V331" s="56" t="s">
        <v>99</v>
      </c>
      <c r="W331" s="56" t="s">
        <v>99</v>
      </c>
      <c r="X331" s="56" t="s">
        <v>99</v>
      </c>
      <c r="Y331" s="56" t="s">
        <v>23</v>
      </c>
      <c r="Z331" s="56" t="s">
        <v>99</v>
      </c>
      <c r="AA331" s="56" t="s">
        <v>99</v>
      </c>
      <c r="AB331" s="56" t="s">
        <v>23</v>
      </c>
      <c r="AC331" s="56" t="s">
        <v>23</v>
      </c>
      <c r="AD331" s="56" t="s">
        <v>99</v>
      </c>
      <c r="AE331" s="56" t="s">
        <v>99</v>
      </c>
      <c r="AF331" s="56" t="s">
        <v>99</v>
      </c>
      <c r="AG331" s="56" t="s">
        <v>23</v>
      </c>
      <c r="AH331" s="56" t="s">
        <v>99</v>
      </c>
      <c r="AI331" s="56" t="s">
        <v>99</v>
      </c>
      <c r="AJ331" s="56" t="s">
        <v>99</v>
      </c>
      <c r="AK331" s="63" t="s">
        <v>23</v>
      </c>
      <c r="AL331" s="56" t="s">
        <v>99</v>
      </c>
      <c r="AM331" s="56" t="s">
        <v>99</v>
      </c>
      <c r="AN331" s="56" t="s">
        <v>99</v>
      </c>
      <c r="AO331" s="56" t="s">
        <v>99</v>
      </c>
      <c r="AP331" s="56" t="s">
        <v>99</v>
      </c>
      <c r="AQ331" s="56" t="s">
        <v>99</v>
      </c>
      <c r="AR331" s="56" t="s">
        <v>99</v>
      </c>
      <c r="AS331" s="56" t="s">
        <v>99</v>
      </c>
      <c r="AT331" s="56" t="s">
        <v>99</v>
      </c>
      <c r="AU331" s="56" t="s">
        <v>99</v>
      </c>
      <c r="AV331" s="56" t="s">
        <v>99</v>
      </c>
      <c r="AW331" s="56" t="s">
        <v>99</v>
      </c>
      <c r="AX331" s="56" t="s">
        <v>99</v>
      </c>
      <c r="AY331" s="56" t="s">
        <v>99</v>
      </c>
      <c r="AZ331" s="56" t="s">
        <v>99</v>
      </c>
      <c r="BA331" s="56" t="s">
        <v>99</v>
      </c>
      <c r="BB331" s="56" t="s">
        <v>99</v>
      </c>
      <c r="BC331" s="56" t="s">
        <v>99</v>
      </c>
      <c r="BD331" s="56" t="s">
        <v>99</v>
      </c>
      <c r="BE331" s="56" t="s">
        <v>99</v>
      </c>
      <c r="BF331" s="56" t="s">
        <v>99</v>
      </c>
      <c r="BG331" s="56" t="s">
        <v>99</v>
      </c>
      <c r="BH331" s="56" t="s">
        <v>99</v>
      </c>
      <c r="BI331" s="56" t="s">
        <v>99</v>
      </c>
      <c r="BJ331" s="56" t="s">
        <v>99</v>
      </c>
      <c r="BK331" s="56" t="s">
        <v>99</v>
      </c>
      <c r="BL331" s="56" t="s">
        <v>99</v>
      </c>
      <c r="BM331" s="56" t="s">
        <v>99</v>
      </c>
      <c r="BN331" s="56" t="s">
        <v>99</v>
      </c>
      <c r="BO331" s="56" t="s">
        <v>99</v>
      </c>
      <c r="BP331" s="62" t="s">
        <v>99</v>
      </c>
    </row>
    <row r="332" spans="2:68">
      <c r="B332" s="58">
        <v>11</v>
      </c>
      <c r="C332" s="59">
        <v>47</v>
      </c>
      <c r="D332" s="59" t="s">
        <v>103</v>
      </c>
      <c r="E332" s="60">
        <f>'[1]Master File'!B331</f>
        <v>46345</v>
      </c>
      <c r="F332" s="61" t="str">
        <f>'[1]Master File'!C331</f>
        <v>Closed</v>
      </c>
      <c r="G332" s="39"/>
      <c r="I332" s="56" t="s">
        <v>99</v>
      </c>
      <c r="J332" s="56" t="s">
        <v>99</v>
      </c>
      <c r="K332" s="56" t="s">
        <v>99</v>
      </c>
      <c r="L332" s="56" t="s">
        <v>23</v>
      </c>
      <c r="M332" s="56" t="s">
        <v>99</v>
      </c>
      <c r="N332" s="56" t="s">
        <v>99</v>
      </c>
      <c r="O332" s="56" t="s">
        <v>99</v>
      </c>
      <c r="P332" s="56" t="s">
        <v>99</v>
      </c>
      <c r="Q332" s="56" t="s">
        <v>99</v>
      </c>
      <c r="R332" s="56" t="s">
        <v>99</v>
      </c>
      <c r="S332" s="56" t="s">
        <v>99</v>
      </c>
      <c r="T332" s="56" t="s">
        <v>99</v>
      </c>
      <c r="U332" s="56" t="s">
        <v>99</v>
      </c>
      <c r="V332" s="56" t="s">
        <v>99</v>
      </c>
      <c r="W332" s="56" t="s">
        <v>99</v>
      </c>
      <c r="X332" s="56" t="s">
        <v>99</v>
      </c>
      <c r="Y332" s="56" t="s">
        <v>23</v>
      </c>
      <c r="Z332" s="56" t="s">
        <v>99</v>
      </c>
      <c r="AA332" s="56" t="s">
        <v>99</v>
      </c>
      <c r="AB332" s="56" t="s">
        <v>23</v>
      </c>
      <c r="AC332" s="56" t="s">
        <v>23</v>
      </c>
      <c r="AD332" s="56" t="s">
        <v>99</v>
      </c>
      <c r="AE332" s="56" t="s">
        <v>99</v>
      </c>
      <c r="AF332" s="56" t="s">
        <v>99</v>
      </c>
      <c r="AG332" s="56" t="s">
        <v>23</v>
      </c>
      <c r="AH332" s="56" t="s">
        <v>99</v>
      </c>
      <c r="AI332" s="56" t="s">
        <v>99</v>
      </c>
      <c r="AJ332" s="56" t="s">
        <v>99</v>
      </c>
      <c r="AK332" s="56" t="s">
        <v>23</v>
      </c>
      <c r="AL332" s="56" t="s">
        <v>99</v>
      </c>
      <c r="AM332" s="56" t="s">
        <v>99</v>
      </c>
      <c r="AN332" s="56" t="s">
        <v>99</v>
      </c>
      <c r="AO332" s="56" t="s">
        <v>99</v>
      </c>
      <c r="AP332" s="56" t="s">
        <v>99</v>
      </c>
      <c r="AQ332" s="56" t="s">
        <v>99</v>
      </c>
      <c r="AR332" s="56" t="s">
        <v>99</v>
      </c>
      <c r="AS332" s="56" t="s">
        <v>99</v>
      </c>
      <c r="AT332" s="56" t="s">
        <v>99</v>
      </c>
      <c r="AU332" s="56" t="s">
        <v>99</v>
      </c>
      <c r="AV332" s="56" t="s">
        <v>99</v>
      </c>
      <c r="AW332" s="56" t="s">
        <v>99</v>
      </c>
      <c r="AX332" s="56" t="s">
        <v>99</v>
      </c>
      <c r="AY332" s="56" t="s">
        <v>99</v>
      </c>
      <c r="AZ332" s="56" t="s">
        <v>99</v>
      </c>
      <c r="BA332" s="56" t="s">
        <v>99</v>
      </c>
      <c r="BB332" s="56" t="s">
        <v>99</v>
      </c>
      <c r="BC332" s="56" t="s">
        <v>99</v>
      </c>
      <c r="BD332" s="56" t="s">
        <v>99</v>
      </c>
      <c r="BE332" s="56" t="s">
        <v>99</v>
      </c>
      <c r="BF332" s="56" t="s">
        <v>99</v>
      </c>
      <c r="BG332" s="56" t="s">
        <v>99</v>
      </c>
      <c r="BH332" s="56" t="s">
        <v>99</v>
      </c>
      <c r="BI332" s="56" t="s">
        <v>99</v>
      </c>
      <c r="BJ332" s="56" t="s">
        <v>99</v>
      </c>
      <c r="BK332" s="56" t="s">
        <v>99</v>
      </c>
      <c r="BL332" s="56" t="s">
        <v>99</v>
      </c>
      <c r="BM332" s="56" t="s">
        <v>99</v>
      </c>
      <c r="BN332" s="56" t="s">
        <v>99</v>
      </c>
      <c r="BO332" s="56" t="s">
        <v>99</v>
      </c>
      <c r="BP332" s="62" t="s">
        <v>99</v>
      </c>
    </row>
    <row r="333" spans="2:68">
      <c r="B333" s="58">
        <v>11</v>
      </c>
      <c r="C333" s="59">
        <v>47</v>
      </c>
      <c r="D333" s="59" t="s">
        <v>104</v>
      </c>
      <c r="E333" s="60">
        <f>'[1]Master File'!B332</f>
        <v>46346</v>
      </c>
      <c r="F333" s="61" t="str">
        <f>'[1]Master File'!C332</f>
        <v>Closed</v>
      </c>
      <c r="G333" s="39"/>
      <c r="I333" s="56" t="s">
        <v>99</v>
      </c>
      <c r="J333" s="56" t="s">
        <v>99</v>
      </c>
      <c r="K333" s="56" t="s">
        <v>99</v>
      </c>
      <c r="L333" s="56" t="s">
        <v>23</v>
      </c>
      <c r="M333" s="56" t="s">
        <v>99</v>
      </c>
      <c r="N333" s="56" t="s">
        <v>99</v>
      </c>
      <c r="O333" s="56" t="s">
        <v>99</v>
      </c>
      <c r="P333" s="56" t="s">
        <v>99</v>
      </c>
      <c r="Q333" s="56" t="s">
        <v>99</v>
      </c>
      <c r="R333" s="56" t="s">
        <v>99</v>
      </c>
      <c r="S333" s="56" t="s">
        <v>99</v>
      </c>
      <c r="T333" s="56" t="s">
        <v>99</v>
      </c>
      <c r="U333" s="56" t="s">
        <v>99</v>
      </c>
      <c r="V333" s="56" t="s">
        <v>99</v>
      </c>
      <c r="W333" s="56" t="s">
        <v>99</v>
      </c>
      <c r="X333" s="56" t="s">
        <v>99</v>
      </c>
      <c r="Y333" s="56" t="s">
        <v>23</v>
      </c>
      <c r="Z333" s="56" t="s">
        <v>99</v>
      </c>
      <c r="AA333" s="56" t="s">
        <v>99</v>
      </c>
      <c r="AB333" s="56" t="s">
        <v>23</v>
      </c>
      <c r="AC333" s="56" t="s">
        <v>23</v>
      </c>
      <c r="AD333" s="56" t="s">
        <v>99</v>
      </c>
      <c r="AE333" s="56" t="s">
        <v>99</v>
      </c>
      <c r="AF333" s="56" t="s">
        <v>99</v>
      </c>
      <c r="AG333" s="56" t="s">
        <v>23</v>
      </c>
      <c r="AH333" s="56" t="s">
        <v>99</v>
      </c>
      <c r="AI333" s="56" t="s">
        <v>99</v>
      </c>
      <c r="AJ333" s="56" t="s">
        <v>99</v>
      </c>
      <c r="AK333" s="56" t="s">
        <v>23</v>
      </c>
      <c r="AL333" s="56" t="s">
        <v>99</v>
      </c>
      <c r="AM333" s="56" t="s">
        <v>99</v>
      </c>
      <c r="AN333" s="56" t="s">
        <v>99</v>
      </c>
      <c r="AO333" s="56" t="s">
        <v>99</v>
      </c>
      <c r="AP333" s="56" t="s">
        <v>99</v>
      </c>
      <c r="AQ333" s="56" t="s">
        <v>99</v>
      </c>
      <c r="AR333" s="56" t="s">
        <v>99</v>
      </c>
      <c r="AS333" s="56" t="s">
        <v>99</v>
      </c>
      <c r="AT333" s="56" t="s">
        <v>99</v>
      </c>
      <c r="AU333" s="56" t="s">
        <v>99</v>
      </c>
      <c r="AV333" s="56" t="s">
        <v>99</v>
      </c>
      <c r="AW333" s="56" t="s">
        <v>99</v>
      </c>
      <c r="AX333" s="56" t="s">
        <v>99</v>
      </c>
      <c r="AY333" s="56" t="s">
        <v>99</v>
      </c>
      <c r="AZ333" s="56" t="s">
        <v>99</v>
      </c>
      <c r="BA333" s="56" t="s">
        <v>99</v>
      </c>
      <c r="BB333" s="56" t="s">
        <v>99</v>
      </c>
      <c r="BC333" s="56" t="s">
        <v>99</v>
      </c>
      <c r="BD333" s="56" t="s">
        <v>99</v>
      </c>
      <c r="BE333" s="56" t="s">
        <v>99</v>
      </c>
      <c r="BF333" s="56" t="s">
        <v>99</v>
      </c>
      <c r="BG333" s="56" t="s">
        <v>99</v>
      </c>
      <c r="BH333" s="56" t="s">
        <v>99</v>
      </c>
      <c r="BI333" s="56" t="s">
        <v>99</v>
      </c>
      <c r="BJ333" s="56" t="s">
        <v>99</v>
      </c>
      <c r="BK333" s="56" t="s">
        <v>99</v>
      </c>
      <c r="BL333" s="56" t="s">
        <v>99</v>
      </c>
      <c r="BM333" s="56" t="s">
        <v>99</v>
      </c>
      <c r="BN333" s="56" t="s">
        <v>99</v>
      </c>
      <c r="BO333" s="56" t="s">
        <v>99</v>
      </c>
      <c r="BP333" s="62" t="s">
        <v>99</v>
      </c>
    </row>
    <row r="334" spans="2:68">
      <c r="B334" s="58">
        <v>11</v>
      </c>
      <c r="C334" s="59">
        <v>47</v>
      </c>
      <c r="D334" s="59" t="s">
        <v>105</v>
      </c>
      <c r="E334" s="60">
        <f>'[1]Master File'!B333</f>
        <v>46347</v>
      </c>
      <c r="F334" s="61" t="str">
        <f>'[1]Master File'!C333</f>
        <v>WT Off-Peak</v>
      </c>
      <c r="G334" s="39"/>
      <c r="I334" s="67" t="s">
        <v>99</v>
      </c>
      <c r="J334" s="67" t="s">
        <v>99</v>
      </c>
      <c r="K334" s="67" t="s">
        <v>99</v>
      </c>
      <c r="L334" s="67" t="s">
        <v>23</v>
      </c>
      <c r="M334" s="67" t="s">
        <v>99</v>
      </c>
      <c r="N334" s="67" t="s">
        <v>99</v>
      </c>
      <c r="O334" s="67" t="s">
        <v>99</v>
      </c>
      <c r="P334" s="67" t="s">
        <v>99</v>
      </c>
      <c r="Q334" s="67" t="s">
        <v>99</v>
      </c>
      <c r="R334" s="67" t="s">
        <v>99</v>
      </c>
      <c r="S334" s="67" t="s">
        <v>99</v>
      </c>
      <c r="T334" s="67" t="s">
        <v>99</v>
      </c>
      <c r="U334" s="67" t="s">
        <v>99</v>
      </c>
      <c r="V334" s="67" t="s">
        <v>99</v>
      </c>
      <c r="W334" s="67" t="s">
        <v>99</v>
      </c>
      <c r="X334" s="67" t="s">
        <v>99</v>
      </c>
      <c r="Y334" s="56" t="s">
        <v>23</v>
      </c>
      <c r="Z334" s="67" t="s">
        <v>99</v>
      </c>
      <c r="AA334" s="67" t="s">
        <v>99</v>
      </c>
      <c r="AB334" s="67" t="s">
        <v>23</v>
      </c>
      <c r="AC334" s="67" t="s">
        <v>23</v>
      </c>
      <c r="AD334" s="67" t="s">
        <v>99</v>
      </c>
      <c r="AE334" s="67" t="s">
        <v>99</v>
      </c>
      <c r="AF334" s="67" t="s">
        <v>99</v>
      </c>
      <c r="AG334" s="67" t="s">
        <v>23</v>
      </c>
      <c r="AH334" s="67" t="s">
        <v>99</v>
      </c>
      <c r="AI334" s="67" t="s">
        <v>99</v>
      </c>
      <c r="AJ334" s="67" t="s">
        <v>99</v>
      </c>
      <c r="AK334" s="67" t="s">
        <v>23</v>
      </c>
      <c r="AL334" s="67" t="s">
        <v>99</v>
      </c>
      <c r="AM334" s="67" t="s">
        <v>99</v>
      </c>
      <c r="AN334" s="67" t="s">
        <v>99</v>
      </c>
      <c r="AO334" s="67" t="s">
        <v>99</v>
      </c>
      <c r="AP334" s="67" t="s">
        <v>99</v>
      </c>
      <c r="AQ334" s="67" t="s">
        <v>23</v>
      </c>
      <c r="AR334" s="67" t="s">
        <v>99</v>
      </c>
      <c r="AS334" s="67" t="s">
        <v>99</v>
      </c>
      <c r="AT334" s="67" t="s">
        <v>99</v>
      </c>
      <c r="AU334" s="67" t="s">
        <v>99</v>
      </c>
      <c r="AV334" s="67" t="s">
        <v>99</v>
      </c>
      <c r="AW334" s="67" t="s">
        <v>99</v>
      </c>
      <c r="AX334" s="67" t="s">
        <v>99</v>
      </c>
      <c r="AY334" s="67" t="s">
        <v>99</v>
      </c>
      <c r="AZ334" s="67" t="s">
        <v>99</v>
      </c>
      <c r="BA334" s="67" t="s">
        <v>99</v>
      </c>
      <c r="BB334" s="67" t="s">
        <v>99</v>
      </c>
      <c r="BC334" s="67" t="s">
        <v>99</v>
      </c>
      <c r="BD334" s="67" t="s">
        <v>99</v>
      </c>
      <c r="BE334" s="67" t="s">
        <v>99</v>
      </c>
      <c r="BF334" s="67" t="s">
        <v>99</v>
      </c>
      <c r="BG334" s="67" t="s">
        <v>99</v>
      </c>
      <c r="BH334" s="67" t="s">
        <v>99</v>
      </c>
      <c r="BI334" s="67" t="s">
        <v>99</v>
      </c>
      <c r="BJ334" s="67" t="s">
        <v>99</v>
      </c>
      <c r="BK334" s="67" t="s">
        <v>99</v>
      </c>
      <c r="BL334" s="67" t="s">
        <v>99</v>
      </c>
      <c r="BM334" s="67" t="s">
        <v>99</v>
      </c>
      <c r="BN334" s="67" t="s">
        <v>99</v>
      </c>
      <c r="BO334" s="67" t="s">
        <v>99</v>
      </c>
      <c r="BP334" s="68" t="s">
        <v>99</v>
      </c>
    </row>
    <row r="335" spans="2:68">
      <c r="B335" s="58">
        <v>11</v>
      </c>
      <c r="C335" s="59">
        <v>48</v>
      </c>
      <c r="D335" s="59" t="s">
        <v>98</v>
      </c>
      <c r="E335" s="60">
        <f>'[1]Master File'!B334</f>
        <v>46348</v>
      </c>
      <c r="F335" s="61" t="str">
        <f>'[1]Master File'!C334</f>
        <v>WT Off-Peak</v>
      </c>
      <c r="G335" s="39"/>
      <c r="I335" s="67" t="s">
        <v>99</v>
      </c>
      <c r="J335" s="67" t="s">
        <v>99</v>
      </c>
      <c r="K335" s="67" t="s">
        <v>99</v>
      </c>
      <c r="L335" s="67" t="s">
        <v>23</v>
      </c>
      <c r="M335" s="67" t="s">
        <v>99</v>
      </c>
      <c r="N335" s="67" t="s">
        <v>99</v>
      </c>
      <c r="O335" s="67" t="s">
        <v>99</v>
      </c>
      <c r="P335" s="67" t="s">
        <v>99</v>
      </c>
      <c r="Q335" s="67" t="s">
        <v>99</v>
      </c>
      <c r="R335" s="67" t="s">
        <v>99</v>
      </c>
      <c r="S335" s="67" t="s">
        <v>99</v>
      </c>
      <c r="T335" s="67" t="s">
        <v>99</v>
      </c>
      <c r="U335" s="67" t="s">
        <v>99</v>
      </c>
      <c r="V335" s="67" t="s">
        <v>99</v>
      </c>
      <c r="W335" s="67" t="s">
        <v>99</v>
      </c>
      <c r="X335" s="67" t="s">
        <v>99</v>
      </c>
      <c r="Y335" s="56" t="s">
        <v>23</v>
      </c>
      <c r="Z335" s="67" t="s">
        <v>99</v>
      </c>
      <c r="AA335" s="67" t="s">
        <v>99</v>
      </c>
      <c r="AB335" s="67" t="s">
        <v>23</v>
      </c>
      <c r="AC335" s="67" t="s">
        <v>23</v>
      </c>
      <c r="AD335" s="67" t="s">
        <v>99</v>
      </c>
      <c r="AE335" s="67" t="s">
        <v>99</v>
      </c>
      <c r="AF335" s="67" t="s">
        <v>99</v>
      </c>
      <c r="AG335" s="67" t="s">
        <v>23</v>
      </c>
      <c r="AH335" s="67" t="s">
        <v>99</v>
      </c>
      <c r="AI335" s="67" t="s">
        <v>99</v>
      </c>
      <c r="AJ335" s="67" t="s">
        <v>99</v>
      </c>
      <c r="AK335" s="67" t="s">
        <v>23</v>
      </c>
      <c r="AL335" s="67" t="s">
        <v>99</v>
      </c>
      <c r="AM335" s="67" t="s">
        <v>99</v>
      </c>
      <c r="AN335" s="67" t="s">
        <v>99</v>
      </c>
      <c r="AO335" s="67" t="s">
        <v>99</v>
      </c>
      <c r="AP335" s="67" t="s">
        <v>99</v>
      </c>
      <c r="AQ335" s="67" t="s">
        <v>23</v>
      </c>
      <c r="AR335" s="67" t="s">
        <v>99</v>
      </c>
      <c r="AS335" s="67" t="s">
        <v>99</v>
      </c>
      <c r="AT335" s="67" t="s">
        <v>99</v>
      </c>
      <c r="AU335" s="67" t="s">
        <v>99</v>
      </c>
      <c r="AV335" s="67" t="s">
        <v>99</v>
      </c>
      <c r="AW335" s="67" t="s">
        <v>99</v>
      </c>
      <c r="AX335" s="67" t="s">
        <v>99</v>
      </c>
      <c r="AY335" s="67" t="s">
        <v>99</v>
      </c>
      <c r="AZ335" s="67" t="s">
        <v>99</v>
      </c>
      <c r="BA335" s="67" t="s">
        <v>99</v>
      </c>
      <c r="BB335" s="67" t="s">
        <v>99</v>
      </c>
      <c r="BC335" s="67" t="s">
        <v>99</v>
      </c>
      <c r="BD335" s="67" t="s">
        <v>99</v>
      </c>
      <c r="BE335" s="67" t="s">
        <v>99</v>
      </c>
      <c r="BF335" s="67" t="s">
        <v>99</v>
      </c>
      <c r="BG335" s="67" t="s">
        <v>99</v>
      </c>
      <c r="BH335" s="67" t="s">
        <v>99</v>
      </c>
      <c r="BI335" s="67" t="s">
        <v>99</v>
      </c>
      <c r="BJ335" s="67" t="s">
        <v>99</v>
      </c>
      <c r="BK335" s="67" t="s">
        <v>99</v>
      </c>
      <c r="BL335" s="67" t="s">
        <v>99</v>
      </c>
      <c r="BM335" s="67" t="s">
        <v>99</v>
      </c>
      <c r="BN335" s="67" t="s">
        <v>99</v>
      </c>
      <c r="BO335" s="67" t="s">
        <v>99</v>
      </c>
      <c r="BP335" s="68" t="s">
        <v>99</v>
      </c>
    </row>
    <row r="336" spans="2:68">
      <c r="B336" s="58">
        <v>11</v>
      </c>
      <c r="C336" s="59">
        <v>48</v>
      </c>
      <c r="D336" s="59" t="s">
        <v>100</v>
      </c>
      <c r="E336" s="60">
        <f>'[1]Master File'!B335</f>
        <v>46349</v>
      </c>
      <c r="F336" s="61" t="str">
        <f>'[1]Master File'!C335</f>
        <v>Closed</v>
      </c>
      <c r="G336" s="39"/>
      <c r="I336" s="56" t="s">
        <v>99</v>
      </c>
      <c r="J336" s="56" t="s">
        <v>99</v>
      </c>
      <c r="K336" s="56" t="s">
        <v>99</v>
      </c>
      <c r="L336" s="56" t="s">
        <v>23</v>
      </c>
      <c r="M336" s="56" t="s">
        <v>99</v>
      </c>
      <c r="N336" s="56" t="s">
        <v>99</v>
      </c>
      <c r="O336" s="56" t="s">
        <v>99</v>
      </c>
      <c r="P336" s="56" t="s">
        <v>99</v>
      </c>
      <c r="Q336" s="56" t="s">
        <v>99</v>
      </c>
      <c r="R336" s="56" t="s">
        <v>99</v>
      </c>
      <c r="S336" s="56" t="s">
        <v>99</v>
      </c>
      <c r="T336" s="56" t="s">
        <v>99</v>
      </c>
      <c r="U336" s="56" t="s">
        <v>99</v>
      </c>
      <c r="V336" s="56" t="s">
        <v>99</v>
      </c>
      <c r="W336" s="56" t="s">
        <v>99</v>
      </c>
      <c r="X336" s="56" t="s">
        <v>99</v>
      </c>
      <c r="Y336" s="56" t="s">
        <v>23</v>
      </c>
      <c r="Z336" s="56" t="s">
        <v>99</v>
      </c>
      <c r="AA336" s="56" t="s">
        <v>99</v>
      </c>
      <c r="AB336" s="56" t="s">
        <v>23</v>
      </c>
      <c r="AC336" s="56" t="s">
        <v>23</v>
      </c>
      <c r="AD336" s="56" t="s">
        <v>99</v>
      </c>
      <c r="AE336" s="56" t="s">
        <v>99</v>
      </c>
      <c r="AF336" s="56" t="s">
        <v>99</v>
      </c>
      <c r="AG336" s="56" t="s">
        <v>23</v>
      </c>
      <c r="AH336" s="56" t="s">
        <v>99</v>
      </c>
      <c r="AI336" s="56" t="s">
        <v>99</v>
      </c>
      <c r="AJ336" s="56" t="s">
        <v>99</v>
      </c>
      <c r="AK336" s="56" t="s">
        <v>23</v>
      </c>
      <c r="AL336" s="56" t="s">
        <v>99</v>
      </c>
      <c r="AM336" s="56" t="s">
        <v>99</v>
      </c>
      <c r="AN336" s="56" t="s">
        <v>99</v>
      </c>
      <c r="AO336" s="56" t="s">
        <v>99</v>
      </c>
      <c r="AP336" s="56" t="s">
        <v>99</v>
      </c>
      <c r="AQ336" s="56" t="s">
        <v>99</v>
      </c>
      <c r="AR336" s="56" t="s">
        <v>99</v>
      </c>
      <c r="AS336" s="56" t="s">
        <v>99</v>
      </c>
      <c r="AT336" s="56" t="s">
        <v>99</v>
      </c>
      <c r="AU336" s="56" t="s">
        <v>99</v>
      </c>
      <c r="AV336" s="56" t="s">
        <v>99</v>
      </c>
      <c r="AW336" s="56" t="s">
        <v>99</v>
      </c>
      <c r="AX336" s="56" t="s">
        <v>99</v>
      </c>
      <c r="AY336" s="56" t="s">
        <v>99</v>
      </c>
      <c r="AZ336" s="56" t="s">
        <v>99</v>
      </c>
      <c r="BA336" s="56" t="s">
        <v>99</v>
      </c>
      <c r="BB336" s="56" t="s">
        <v>99</v>
      </c>
      <c r="BC336" s="56" t="s">
        <v>99</v>
      </c>
      <c r="BD336" s="56" t="s">
        <v>99</v>
      </c>
      <c r="BE336" s="56" t="s">
        <v>99</v>
      </c>
      <c r="BF336" s="56" t="s">
        <v>99</v>
      </c>
      <c r="BG336" s="56" t="s">
        <v>99</v>
      </c>
      <c r="BH336" s="56" t="s">
        <v>99</v>
      </c>
      <c r="BI336" s="56" t="s">
        <v>99</v>
      </c>
      <c r="BJ336" s="56" t="s">
        <v>99</v>
      </c>
      <c r="BK336" s="56" t="s">
        <v>99</v>
      </c>
      <c r="BL336" s="56" t="s">
        <v>99</v>
      </c>
      <c r="BM336" s="56" t="s">
        <v>99</v>
      </c>
      <c r="BN336" s="56" t="s">
        <v>99</v>
      </c>
      <c r="BO336" s="56" t="s">
        <v>99</v>
      </c>
      <c r="BP336" s="62" t="s">
        <v>99</v>
      </c>
    </row>
    <row r="337" spans="2:68">
      <c r="B337" s="58">
        <v>11</v>
      </c>
      <c r="C337" s="59">
        <v>48</v>
      </c>
      <c r="D337" s="59" t="s">
        <v>101</v>
      </c>
      <c r="E337" s="60">
        <f>'[1]Master File'!B336</f>
        <v>46350</v>
      </c>
      <c r="F337" s="61" t="str">
        <f>'[1]Master File'!C336</f>
        <v>Closed</v>
      </c>
      <c r="G337" s="39"/>
      <c r="I337" s="56" t="s">
        <v>99</v>
      </c>
      <c r="J337" s="56" t="s">
        <v>99</v>
      </c>
      <c r="K337" s="56" t="s">
        <v>99</v>
      </c>
      <c r="L337" s="56" t="s">
        <v>23</v>
      </c>
      <c r="M337" s="56" t="s">
        <v>99</v>
      </c>
      <c r="N337" s="56" t="s">
        <v>99</v>
      </c>
      <c r="O337" s="56" t="s">
        <v>99</v>
      </c>
      <c r="P337" s="56" t="s">
        <v>99</v>
      </c>
      <c r="Q337" s="56" t="s">
        <v>99</v>
      </c>
      <c r="R337" s="56" t="s">
        <v>99</v>
      </c>
      <c r="S337" s="56" t="s">
        <v>99</v>
      </c>
      <c r="T337" s="56" t="s">
        <v>99</v>
      </c>
      <c r="U337" s="56" t="s">
        <v>99</v>
      </c>
      <c r="V337" s="56" t="s">
        <v>99</v>
      </c>
      <c r="W337" s="56" t="s">
        <v>99</v>
      </c>
      <c r="X337" s="56" t="s">
        <v>99</v>
      </c>
      <c r="Y337" s="56" t="s">
        <v>23</v>
      </c>
      <c r="Z337" s="56" t="s">
        <v>99</v>
      </c>
      <c r="AA337" s="56" t="s">
        <v>99</v>
      </c>
      <c r="AB337" s="56" t="s">
        <v>23</v>
      </c>
      <c r="AC337" s="56" t="s">
        <v>23</v>
      </c>
      <c r="AD337" s="56" t="s">
        <v>99</v>
      </c>
      <c r="AE337" s="56" t="s">
        <v>99</v>
      </c>
      <c r="AF337" s="56" t="s">
        <v>99</v>
      </c>
      <c r="AG337" s="56" t="s">
        <v>23</v>
      </c>
      <c r="AH337" s="56" t="s">
        <v>99</v>
      </c>
      <c r="AI337" s="56" t="s">
        <v>99</v>
      </c>
      <c r="AJ337" s="56" t="s">
        <v>99</v>
      </c>
      <c r="AK337" s="56" t="s">
        <v>23</v>
      </c>
      <c r="AL337" s="56" t="s">
        <v>99</v>
      </c>
      <c r="AM337" s="56" t="s">
        <v>99</v>
      </c>
      <c r="AN337" s="56" t="s">
        <v>99</v>
      </c>
      <c r="AO337" s="56" t="s">
        <v>99</v>
      </c>
      <c r="AP337" s="56" t="s">
        <v>99</v>
      </c>
      <c r="AQ337" s="56" t="s">
        <v>99</v>
      </c>
      <c r="AR337" s="56" t="s">
        <v>99</v>
      </c>
      <c r="AS337" s="56" t="s">
        <v>99</v>
      </c>
      <c r="AT337" s="56" t="s">
        <v>99</v>
      </c>
      <c r="AU337" s="56" t="s">
        <v>99</v>
      </c>
      <c r="AV337" s="56" t="s">
        <v>99</v>
      </c>
      <c r="AW337" s="56" t="s">
        <v>99</v>
      </c>
      <c r="AX337" s="56" t="s">
        <v>99</v>
      </c>
      <c r="AY337" s="56" t="s">
        <v>99</v>
      </c>
      <c r="AZ337" s="56" t="s">
        <v>99</v>
      </c>
      <c r="BA337" s="56" t="s">
        <v>99</v>
      </c>
      <c r="BB337" s="56" t="s">
        <v>99</v>
      </c>
      <c r="BC337" s="56" t="s">
        <v>99</v>
      </c>
      <c r="BD337" s="56" t="s">
        <v>99</v>
      </c>
      <c r="BE337" s="56" t="s">
        <v>99</v>
      </c>
      <c r="BF337" s="56" t="s">
        <v>99</v>
      </c>
      <c r="BG337" s="56" t="s">
        <v>99</v>
      </c>
      <c r="BH337" s="56" t="s">
        <v>99</v>
      </c>
      <c r="BI337" s="56" t="s">
        <v>99</v>
      </c>
      <c r="BJ337" s="56" t="s">
        <v>99</v>
      </c>
      <c r="BK337" s="56" t="s">
        <v>99</v>
      </c>
      <c r="BL337" s="56" t="s">
        <v>99</v>
      </c>
      <c r="BM337" s="56" t="s">
        <v>99</v>
      </c>
      <c r="BN337" s="56" t="s">
        <v>99</v>
      </c>
      <c r="BO337" s="56" t="s">
        <v>99</v>
      </c>
      <c r="BP337" s="62" t="s">
        <v>99</v>
      </c>
    </row>
    <row r="338" spans="2:68">
      <c r="B338" s="58">
        <v>11</v>
      </c>
      <c r="C338" s="59">
        <v>48</v>
      </c>
      <c r="D338" s="59" t="s">
        <v>102</v>
      </c>
      <c r="E338" s="60">
        <f>'[1]Master File'!B337</f>
        <v>46351</v>
      </c>
      <c r="F338" s="61" t="str">
        <f>'[1]Master File'!C337</f>
        <v>Closed</v>
      </c>
      <c r="G338" s="39"/>
      <c r="I338" s="56" t="s">
        <v>99</v>
      </c>
      <c r="J338" s="56" t="s">
        <v>99</v>
      </c>
      <c r="K338" s="56" t="s">
        <v>99</v>
      </c>
      <c r="L338" s="56" t="s">
        <v>23</v>
      </c>
      <c r="M338" s="56" t="s">
        <v>99</v>
      </c>
      <c r="N338" s="56" t="s">
        <v>99</v>
      </c>
      <c r="O338" s="56" t="s">
        <v>99</v>
      </c>
      <c r="P338" s="56" t="s">
        <v>99</v>
      </c>
      <c r="Q338" s="56" t="s">
        <v>99</v>
      </c>
      <c r="R338" s="56" t="s">
        <v>99</v>
      </c>
      <c r="S338" s="56" t="s">
        <v>99</v>
      </c>
      <c r="T338" s="56" t="s">
        <v>99</v>
      </c>
      <c r="U338" s="56" t="s">
        <v>99</v>
      </c>
      <c r="V338" s="56" t="s">
        <v>99</v>
      </c>
      <c r="W338" s="56" t="s">
        <v>99</v>
      </c>
      <c r="X338" s="56" t="s">
        <v>99</v>
      </c>
      <c r="Y338" s="56" t="s">
        <v>23</v>
      </c>
      <c r="Z338" s="56" t="s">
        <v>99</v>
      </c>
      <c r="AA338" s="56" t="s">
        <v>99</v>
      </c>
      <c r="AB338" s="56" t="s">
        <v>23</v>
      </c>
      <c r="AC338" s="56" t="s">
        <v>23</v>
      </c>
      <c r="AD338" s="56" t="s">
        <v>99</v>
      </c>
      <c r="AE338" s="56" t="s">
        <v>99</v>
      </c>
      <c r="AF338" s="56" t="s">
        <v>99</v>
      </c>
      <c r="AG338" s="56" t="s">
        <v>23</v>
      </c>
      <c r="AH338" s="56" t="s">
        <v>99</v>
      </c>
      <c r="AI338" s="56" t="s">
        <v>99</v>
      </c>
      <c r="AJ338" s="56" t="s">
        <v>99</v>
      </c>
      <c r="AK338" s="56" t="s">
        <v>23</v>
      </c>
      <c r="AL338" s="56" t="s">
        <v>99</v>
      </c>
      <c r="AM338" s="56" t="s">
        <v>99</v>
      </c>
      <c r="AN338" s="56" t="s">
        <v>99</v>
      </c>
      <c r="AO338" s="56" t="s">
        <v>99</v>
      </c>
      <c r="AP338" s="56" t="s">
        <v>99</v>
      </c>
      <c r="AQ338" s="56" t="s">
        <v>99</v>
      </c>
      <c r="AR338" s="56" t="s">
        <v>99</v>
      </c>
      <c r="AS338" s="56" t="s">
        <v>99</v>
      </c>
      <c r="AT338" s="56" t="s">
        <v>99</v>
      </c>
      <c r="AU338" s="56" t="s">
        <v>99</v>
      </c>
      <c r="AV338" s="56" t="s">
        <v>99</v>
      </c>
      <c r="AW338" s="56" t="s">
        <v>99</v>
      </c>
      <c r="AX338" s="56" t="s">
        <v>99</v>
      </c>
      <c r="AY338" s="56" t="s">
        <v>99</v>
      </c>
      <c r="AZ338" s="56" t="s">
        <v>99</v>
      </c>
      <c r="BA338" s="56" t="s">
        <v>99</v>
      </c>
      <c r="BB338" s="56" t="s">
        <v>99</v>
      </c>
      <c r="BC338" s="56" t="s">
        <v>99</v>
      </c>
      <c r="BD338" s="56" t="s">
        <v>99</v>
      </c>
      <c r="BE338" s="56" t="s">
        <v>99</v>
      </c>
      <c r="BF338" s="56" t="s">
        <v>99</v>
      </c>
      <c r="BG338" s="56" t="s">
        <v>99</v>
      </c>
      <c r="BH338" s="56" t="s">
        <v>99</v>
      </c>
      <c r="BI338" s="56" t="s">
        <v>99</v>
      </c>
      <c r="BJ338" s="56" t="s">
        <v>99</v>
      </c>
      <c r="BK338" s="56" t="s">
        <v>99</v>
      </c>
      <c r="BL338" s="56" t="s">
        <v>99</v>
      </c>
      <c r="BM338" s="56" t="s">
        <v>99</v>
      </c>
      <c r="BN338" s="56" t="s">
        <v>99</v>
      </c>
      <c r="BO338" s="56" t="s">
        <v>99</v>
      </c>
      <c r="BP338" s="62" t="s">
        <v>99</v>
      </c>
    </row>
    <row r="339" spans="2:68">
      <c r="B339" s="58">
        <v>11</v>
      </c>
      <c r="C339" s="59">
        <v>48</v>
      </c>
      <c r="D339" s="59" t="s">
        <v>103</v>
      </c>
      <c r="E339" s="60">
        <f>'[1]Master File'!B338</f>
        <v>46352</v>
      </c>
      <c r="F339" s="61" t="str">
        <f>'[1]Master File'!C338</f>
        <v>Closed</v>
      </c>
      <c r="G339" s="39"/>
      <c r="I339" s="56" t="s">
        <v>99</v>
      </c>
      <c r="J339" s="56" t="s">
        <v>99</v>
      </c>
      <c r="K339" s="56" t="s">
        <v>99</v>
      </c>
      <c r="L339" s="56" t="s">
        <v>23</v>
      </c>
      <c r="M339" s="56" t="s">
        <v>99</v>
      </c>
      <c r="N339" s="56" t="s">
        <v>99</v>
      </c>
      <c r="O339" s="56" t="s">
        <v>99</v>
      </c>
      <c r="P339" s="56" t="s">
        <v>99</v>
      </c>
      <c r="Q339" s="56" t="s">
        <v>99</v>
      </c>
      <c r="R339" s="56" t="s">
        <v>99</v>
      </c>
      <c r="S339" s="56" t="s">
        <v>99</v>
      </c>
      <c r="T339" s="56" t="s">
        <v>99</v>
      </c>
      <c r="U339" s="56" t="s">
        <v>99</v>
      </c>
      <c r="V339" s="56" t="s">
        <v>99</v>
      </c>
      <c r="W339" s="56" t="s">
        <v>99</v>
      </c>
      <c r="X339" s="56" t="s">
        <v>99</v>
      </c>
      <c r="Y339" s="56" t="s">
        <v>23</v>
      </c>
      <c r="Z339" s="56" t="s">
        <v>99</v>
      </c>
      <c r="AA339" s="56" t="s">
        <v>99</v>
      </c>
      <c r="AB339" s="56" t="s">
        <v>23</v>
      </c>
      <c r="AC339" s="56" t="s">
        <v>23</v>
      </c>
      <c r="AD339" s="56" t="s">
        <v>99</v>
      </c>
      <c r="AE339" s="56" t="s">
        <v>99</v>
      </c>
      <c r="AF339" s="56" t="s">
        <v>99</v>
      </c>
      <c r="AG339" s="56" t="s">
        <v>23</v>
      </c>
      <c r="AH339" s="56" t="s">
        <v>99</v>
      </c>
      <c r="AI339" s="56" t="s">
        <v>99</v>
      </c>
      <c r="AJ339" s="56" t="s">
        <v>99</v>
      </c>
      <c r="AK339" s="56" t="s">
        <v>23</v>
      </c>
      <c r="AL339" s="56" t="s">
        <v>99</v>
      </c>
      <c r="AM339" s="56" t="s">
        <v>99</v>
      </c>
      <c r="AN339" s="56" t="s">
        <v>99</v>
      </c>
      <c r="AO339" s="56" t="s">
        <v>99</v>
      </c>
      <c r="AP339" s="56" t="s">
        <v>99</v>
      </c>
      <c r="AQ339" s="56" t="s">
        <v>99</v>
      </c>
      <c r="AR339" s="56" t="s">
        <v>99</v>
      </c>
      <c r="AS339" s="56" t="s">
        <v>99</v>
      </c>
      <c r="AT339" s="56" t="s">
        <v>99</v>
      </c>
      <c r="AU339" s="56" t="s">
        <v>99</v>
      </c>
      <c r="AV339" s="56" t="s">
        <v>99</v>
      </c>
      <c r="AW339" s="56" t="s">
        <v>99</v>
      </c>
      <c r="AX339" s="56" t="s">
        <v>99</v>
      </c>
      <c r="AY339" s="56" t="s">
        <v>99</v>
      </c>
      <c r="AZ339" s="56" t="s">
        <v>99</v>
      </c>
      <c r="BA339" s="56" t="s">
        <v>99</v>
      </c>
      <c r="BB339" s="56" t="s">
        <v>99</v>
      </c>
      <c r="BC339" s="56" t="s">
        <v>99</v>
      </c>
      <c r="BD339" s="56" t="s">
        <v>99</v>
      </c>
      <c r="BE339" s="56" t="s">
        <v>99</v>
      </c>
      <c r="BF339" s="56" t="s">
        <v>99</v>
      </c>
      <c r="BG339" s="56" t="s">
        <v>99</v>
      </c>
      <c r="BH339" s="56" t="s">
        <v>99</v>
      </c>
      <c r="BI339" s="56" t="s">
        <v>99</v>
      </c>
      <c r="BJ339" s="56" t="s">
        <v>99</v>
      </c>
      <c r="BK339" s="56" t="s">
        <v>99</v>
      </c>
      <c r="BL339" s="56" t="s">
        <v>99</v>
      </c>
      <c r="BM339" s="56" t="s">
        <v>99</v>
      </c>
      <c r="BN339" s="56" t="s">
        <v>99</v>
      </c>
      <c r="BO339" s="56" t="s">
        <v>99</v>
      </c>
      <c r="BP339" s="62" t="s">
        <v>99</v>
      </c>
    </row>
    <row r="340" spans="2:68">
      <c r="B340" s="58">
        <v>11</v>
      </c>
      <c r="C340" s="59">
        <v>48</v>
      </c>
      <c r="D340" s="59" t="s">
        <v>104</v>
      </c>
      <c r="E340" s="60">
        <f>'[1]Master File'!B339</f>
        <v>46353</v>
      </c>
      <c r="F340" s="61" t="str">
        <f>'[1]Master File'!C339</f>
        <v>Closed</v>
      </c>
      <c r="G340" s="39"/>
      <c r="I340" s="56" t="s">
        <v>99</v>
      </c>
      <c r="J340" s="56" t="s">
        <v>99</v>
      </c>
      <c r="K340" s="56" t="s">
        <v>99</v>
      </c>
      <c r="L340" s="56" t="s">
        <v>23</v>
      </c>
      <c r="M340" s="56" t="s">
        <v>99</v>
      </c>
      <c r="N340" s="56" t="s">
        <v>99</v>
      </c>
      <c r="O340" s="56" t="s">
        <v>99</v>
      </c>
      <c r="P340" s="56" t="s">
        <v>99</v>
      </c>
      <c r="Q340" s="56" t="s">
        <v>99</v>
      </c>
      <c r="R340" s="56" t="s">
        <v>99</v>
      </c>
      <c r="S340" s="56" t="s">
        <v>99</v>
      </c>
      <c r="T340" s="56" t="s">
        <v>99</v>
      </c>
      <c r="U340" s="56" t="s">
        <v>99</v>
      </c>
      <c r="V340" s="56" t="s">
        <v>99</v>
      </c>
      <c r="W340" s="56" t="s">
        <v>99</v>
      </c>
      <c r="X340" s="56" t="s">
        <v>99</v>
      </c>
      <c r="Y340" s="56" t="s">
        <v>23</v>
      </c>
      <c r="Z340" s="56" t="s">
        <v>99</v>
      </c>
      <c r="AA340" s="56" t="s">
        <v>99</v>
      </c>
      <c r="AB340" s="56" t="s">
        <v>23</v>
      </c>
      <c r="AC340" s="56" t="s">
        <v>23</v>
      </c>
      <c r="AD340" s="56" t="s">
        <v>99</v>
      </c>
      <c r="AE340" s="56" t="s">
        <v>99</v>
      </c>
      <c r="AF340" s="56" t="s">
        <v>99</v>
      </c>
      <c r="AG340" s="56" t="s">
        <v>23</v>
      </c>
      <c r="AH340" s="56" t="s">
        <v>99</v>
      </c>
      <c r="AI340" s="56" t="s">
        <v>99</v>
      </c>
      <c r="AJ340" s="56" t="s">
        <v>99</v>
      </c>
      <c r="AK340" s="56" t="s">
        <v>23</v>
      </c>
      <c r="AL340" s="56" t="s">
        <v>99</v>
      </c>
      <c r="AM340" s="56" t="s">
        <v>99</v>
      </c>
      <c r="AN340" s="56" t="s">
        <v>99</v>
      </c>
      <c r="AO340" s="56" t="s">
        <v>99</v>
      </c>
      <c r="AP340" s="56" t="s">
        <v>99</v>
      </c>
      <c r="AQ340" s="56" t="s">
        <v>99</v>
      </c>
      <c r="AR340" s="56" t="s">
        <v>99</v>
      </c>
      <c r="AS340" s="56" t="s">
        <v>99</v>
      </c>
      <c r="AT340" s="56" t="s">
        <v>99</v>
      </c>
      <c r="AU340" s="56" t="s">
        <v>99</v>
      </c>
      <c r="AV340" s="56" t="s">
        <v>99</v>
      </c>
      <c r="AW340" s="56" t="s">
        <v>99</v>
      </c>
      <c r="AX340" s="56" t="s">
        <v>99</v>
      </c>
      <c r="AY340" s="56" t="s">
        <v>99</v>
      </c>
      <c r="AZ340" s="56" t="s">
        <v>99</v>
      </c>
      <c r="BA340" s="56" t="s">
        <v>99</v>
      </c>
      <c r="BB340" s="56" t="s">
        <v>99</v>
      </c>
      <c r="BC340" s="56" t="s">
        <v>99</v>
      </c>
      <c r="BD340" s="56" t="s">
        <v>99</v>
      </c>
      <c r="BE340" s="56" t="s">
        <v>99</v>
      </c>
      <c r="BF340" s="56" t="s">
        <v>99</v>
      </c>
      <c r="BG340" s="56" t="s">
        <v>99</v>
      </c>
      <c r="BH340" s="56" t="s">
        <v>99</v>
      </c>
      <c r="BI340" s="56" t="s">
        <v>99</v>
      </c>
      <c r="BJ340" s="56" t="s">
        <v>99</v>
      </c>
      <c r="BK340" s="56" t="s">
        <v>99</v>
      </c>
      <c r="BL340" s="56" t="s">
        <v>99</v>
      </c>
      <c r="BM340" s="56" t="s">
        <v>99</v>
      </c>
      <c r="BN340" s="56" t="s">
        <v>99</v>
      </c>
      <c r="BO340" s="56" t="s">
        <v>99</v>
      </c>
      <c r="BP340" s="62" t="s">
        <v>99</v>
      </c>
    </row>
    <row r="341" spans="2:68">
      <c r="B341" s="58">
        <v>11</v>
      </c>
      <c r="C341" s="59">
        <v>48</v>
      </c>
      <c r="D341" s="59" t="s">
        <v>105</v>
      </c>
      <c r="E341" s="60">
        <f>'[1]Master File'!B340</f>
        <v>46354</v>
      </c>
      <c r="F341" s="61" t="str">
        <f>'[1]Master File'!C340</f>
        <v>WT Peak</v>
      </c>
      <c r="G341" s="39"/>
      <c r="I341" s="67" t="s">
        <v>99</v>
      </c>
      <c r="J341" s="67" t="s">
        <v>99</v>
      </c>
      <c r="K341" s="67" t="s">
        <v>99</v>
      </c>
      <c r="L341" s="67" t="s">
        <v>23</v>
      </c>
      <c r="M341" s="67" t="s">
        <v>99</v>
      </c>
      <c r="N341" s="67" t="s">
        <v>99</v>
      </c>
      <c r="O341" s="67" t="s">
        <v>99</v>
      </c>
      <c r="P341" s="67" t="s">
        <v>99</v>
      </c>
      <c r="Q341" s="67" t="s">
        <v>99</v>
      </c>
      <c r="R341" s="67" t="s">
        <v>99</v>
      </c>
      <c r="S341" s="67" t="s">
        <v>99</v>
      </c>
      <c r="T341" s="67" t="s">
        <v>99</v>
      </c>
      <c r="U341" s="67" t="s">
        <v>99</v>
      </c>
      <c r="V341" s="67" t="s">
        <v>99</v>
      </c>
      <c r="W341" s="67" t="s">
        <v>99</v>
      </c>
      <c r="X341" s="67" t="s">
        <v>99</v>
      </c>
      <c r="Y341" s="56" t="s">
        <v>23</v>
      </c>
      <c r="Z341" s="67" t="s">
        <v>99</v>
      </c>
      <c r="AA341" s="67" t="s">
        <v>99</v>
      </c>
      <c r="AB341" s="67" t="s">
        <v>23</v>
      </c>
      <c r="AC341" s="67" t="s">
        <v>23</v>
      </c>
      <c r="AD341" s="67" t="s">
        <v>99</v>
      </c>
      <c r="AE341" s="67" t="s">
        <v>99</v>
      </c>
      <c r="AF341" s="67" t="s">
        <v>99</v>
      </c>
      <c r="AG341" s="67" t="s">
        <v>23</v>
      </c>
      <c r="AH341" s="67" t="s">
        <v>99</v>
      </c>
      <c r="AI341" s="67" t="s">
        <v>99</v>
      </c>
      <c r="AJ341" s="67" t="s">
        <v>99</v>
      </c>
      <c r="AK341" s="67" t="s">
        <v>23</v>
      </c>
      <c r="AL341" s="67" t="s">
        <v>99</v>
      </c>
      <c r="AM341" s="67" t="s">
        <v>99</v>
      </c>
      <c r="AN341" s="67" t="s">
        <v>99</v>
      </c>
      <c r="AO341" s="67" t="s">
        <v>99</v>
      </c>
      <c r="AP341" s="67" t="s">
        <v>99</v>
      </c>
      <c r="AQ341" s="67" t="s">
        <v>23</v>
      </c>
      <c r="AR341" s="67" t="s">
        <v>99</v>
      </c>
      <c r="AS341" s="67" t="s">
        <v>99</v>
      </c>
      <c r="AT341" s="67" t="s">
        <v>99</v>
      </c>
      <c r="AU341" s="67" t="s">
        <v>99</v>
      </c>
      <c r="AV341" s="67" t="s">
        <v>99</v>
      </c>
      <c r="AW341" s="67" t="s">
        <v>99</v>
      </c>
      <c r="AX341" s="67" t="s">
        <v>99</v>
      </c>
      <c r="AY341" s="67" t="s">
        <v>99</v>
      </c>
      <c r="AZ341" s="67" t="s">
        <v>99</v>
      </c>
      <c r="BA341" s="67" t="s">
        <v>99</v>
      </c>
      <c r="BB341" s="67" t="s">
        <v>99</v>
      </c>
      <c r="BC341" s="67" t="s">
        <v>99</v>
      </c>
      <c r="BD341" s="67" t="s">
        <v>99</v>
      </c>
      <c r="BE341" s="67" t="s">
        <v>99</v>
      </c>
      <c r="BF341" s="67" t="s">
        <v>99</v>
      </c>
      <c r="BG341" s="67" t="s">
        <v>99</v>
      </c>
      <c r="BH341" s="67" t="s">
        <v>99</v>
      </c>
      <c r="BI341" s="67" t="s">
        <v>99</v>
      </c>
      <c r="BJ341" s="67" t="s">
        <v>99</v>
      </c>
      <c r="BK341" s="67" t="s">
        <v>99</v>
      </c>
      <c r="BL341" s="67" t="s">
        <v>99</v>
      </c>
      <c r="BM341" s="67" t="s">
        <v>99</v>
      </c>
      <c r="BN341" s="67" t="s">
        <v>99</v>
      </c>
      <c r="BO341" s="67" t="s">
        <v>99</v>
      </c>
      <c r="BP341" s="68" t="s">
        <v>99</v>
      </c>
    </row>
    <row r="342" spans="2:68">
      <c r="B342" s="58">
        <v>12</v>
      </c>
      <c r="C342" s="59">
        <v>49</v>
      </c>
      <c r="D342" s="59" t="s">
        <v>98</v>
      </c>
      <c r="E342" s="60">
        <f>'[1]Master File'!B341</f>
        <v>46355</v>
      </c>
      <c r="F342" s="61" t="str">
        <f>'[1]Master File'!C341</f>
        <v>WT Peak</v>
      </c>
      <c r="G342" s="39"/>
      <c r="I342" s="67" t="s">
        <v>99</v>
      </c>
      <c r="J342" s="67" t="s">
        <v>99</v>
      </c>
      <c r="K342" s="67" t="s">
        <v>99</v>
      </c>
      <c r="L342" s="67" t="s">
        <v>23</v>
      </c>
      <c r="M342" s="67" t="s">
        <v>99</v>
      </c>
      <c r="N342" s="67" t="s">
        <v>99</v>
      </c>
      <c r="O342" s="67" t="s">
        <v>99</v>
      </c>
      <c r="P342" s="67" t="s">
        <v>99</v>
      </c>
      <c r="Q342" s="67" t="s">
        <v>99</v>
      </c>
      <c r="R342" s="67" t="s">
        <v>99</v>
      </c>
      <c r="S342" s="67" t="s">
        <v>99</v>
      </c>
      <c r="T342" s="67" t="s">
        <v>99</v>
      </c>
      <c r="U342" s="67" t="s">
        <v>99</v>
      </c>
      <c r="V342" s="67" t="s">
        <v>99</v>
      </c>
      <c r="W342" s="67" t="s">
        <v>99</v>
      </c>
      <c r="X342" s="67" t="s">
        <v>99</v>
      </c>
      <c r="Y342" s="56" t="s">
        <v>23</v>
      </c>
      <c r="Z342" s="67" t="s">
        <v>99</v>
      </c>
      <c r="AA342" s="67" t="s">
        <v>99</v>
      </c>
      <c r="AB342" s="67" t="s">
        <v>23</v>
      </c>
      <c r="AC342" s="67" t="s">
        <v>23</v>
      </c>
      <c r="AD342" s="67" t="s">
        <v>99</v>
      </c>
      <c r="AE342" s="67" t="s">
        <v>99</v>
      </c>
      <c r="AF342" s="67" t="s">
        <v>99</v>
      </c>
      <c r="AG342" s="67" t="s">
        <v>23</v>
      </c>
      <c r="AH342" s="67" t="s">
        <v>99</v>
      </c>
      <c r="AI342" s="67" t="s">
        <v>99</v>
      </c>
      <c r="AJ342" s="67" t="s">
        <v>99</v>
      </c>
      <c r="AK342" s="67" t="s">
        <v>23</v>
      </c>
      <c r="AL342" s="67" t="s">
        <v>99</v>
      </c>
      <c r="AM342" s="67" t="s">
        <v>99</v>
      </c>
      <c r="AN342" s="67" t="s">
        <v>99</v>
      </c>
      <c r="AO342" s="67" t="s">
        <v>99</v>
      </c>
      <c r="AP342" s="67" t="s">
        <v>99</v>
      </c>
      <c r="AQ342" s="67" t="s">
        <v>23</v>
      </c>
      <c r="AR342" s="67" t="s">
        <v>99</v>
      </c>
      <c r="AS342" s="67" t="s">
        <v>99</v>
      </c>
      <c r="AT342" s="67" t="s">
        <v>99</v>
      </c>
      <c r="AU342" s="67" t="s">
        <v>99</v>
      </c>
      <c r="AV342" s="67" t="s">
        <v>99</v>
      </c>
      <c r="AW342" s="67" t="s">
        <v>99</v>
      </c>
      <c r="AX342" s="67" t="s">
        <v>99</v>
      </c>
      <c r="AY342" s="67" t="s">
        <v>99</v>
      </c>
      <c r="AZ342" s="67" t="s">
        <v>99</v>
      </c>
      <c r="BA342" s="67" t="s">
        <v>99</v>
      </c>
      <c r="BB342" s="67" t="s">
        <v>99</v>
      </c>
      <c r="BC342" s="67" t="s">
        <v>99</v>
      </c>
      <c r="BD342" s="67" t="s">
        <v>99</v>
      </c>
      <c r="BE342" s="67" t="s">
        <v>99</v>
      </c>
      <c r="BF342" s="67" t="s">
        <v>99</v>
      </c>
      <c r="BG342" s="67" t="s">
        <v>99</v>
      </c>
      <c r="BH342" s="67" t="s">
        <v>99</v>
      </c>
      <c r="BI342" s="67" t="s">
        <v>99</v>
      </c>
      <c r="BJ342" s="67" t="s">
        <v>99</v>
      </c>
      <c r="BK342" s="67" t="s">
        <v>99</v>
      </c>
      <c r="BL342" s="67" t="s">
        <v>99</v>
      </c>
      <c r="BM342" s="67" t="s">
        <v>99</v>
      </c>
      <c r="BN342" s="67" t="s">
        <v>99</v>
      </c>
      <c r="BO342" s="67" t="s">
        <v>99</v>
      </c>
      <c r="BP342" s="68" t="s">
        <v>99</v>
      </c>
    </row>
    <row r="343" spans="2:68">
      <c r="B343" s="58">
        <v>12</v>
      </c>
      <c r="C343" s="59">
        <v>49</v>
      </c>
      <c r="D343" s="59" t="s">
        <v>100</v>
      </c>
      <c r="E343" s="60">
        <f>'[1]Master File'!B342</f>
        <v>46356</v>
      </c>
      <c r="F343" s="61" t="str">
        <f>'[1]Master File'!C342</f>
        <v>Closed</v>
      </c>
      <c r="G343" s="39"/>
      <c r="I343" s="56" t="s">
        <v>99</v>
      </c>
      <c r="J343" s="56" t="s">
        <v>99</v>
      </c>
      <c r="K343" s="56" t="s">
        <v>99</v>
      </c>
      <c r="L343" s="56" t="s">
        <v>23</v>
      </c>
      <c r="M343" s="56" t="s">
        <v>99</v>
      </c>
      <c r="N343" s="56" t="s">
        <v>99</v>
      </c>
      <c r="O343" s="56" t="s">
        <v>99</v>
      </c>
      <c r="P343" s="56" t="s">
        <v>99</v>
      </c>
      <c r="Q343" s="56" t="s">
        <v>99</v>
      </c>
      <c r="R343" s="56" t="s">
        <v>99</v>
      </c>
      <c r="S343" s="56" t="s">
        <v>99</v>
      </c>
      <c r="T343" s="56" t="s">
        <v>99</v>
      </c>
      <c r="U343" s="56" t="s">
        <v>99</v>
      </c>
      <c r="V343" s="56" t="s">
        <v>99</v>
      </c>
      <c r="W343" s="56" t="s">
        <v>99</v>
      </c>
      <c r="X343" s="56" t="s">
        <v>99</v>
      </c>
      <c r="Y343" s="56" t="s">
        <v>23</v>
      </c>
      <c r="Z343" s="56" t="s">
        <v>99</v>
      </c>
      <c r="AA343" s="56" t="s">
        <v>99</v>
      </c>
      <c r="AB343" s="56" t="s">
        <v>23</v>
      </c>
      <c r="AC343" s="56" t="s">
        <v>23</v>
      </c>
      <c r="AD343" s="56" t="s">
        <v>99</v>
      </c>
      <c r="AE343" s="56" t="s">
        <v>99</v>
      </c>
      <c r="AF343" s="56" t="s">
        <v>99</v>
      </c>
      <c r="AG343" s="56" t="s">
        <v>23</v>
      </c>
      <c r="AH343" s="56" t="s">
        <v>99</v>
      </c>
      <c r="AI343" s="56" t="s">
        <v>99</v>
      </c>
      <c r="AJ343" s="56" t="s">
        <v>99</v>
      </c>
      <c r="AK343" s="56" t="s">
        <v>23</v>
      </c>
      <c r="AL343" s="56" t="s">
        <v>99</v>
      </c>
      <c r="AM343" s="56" t="s">
        <v>99</v>
      </c>
      <c r="AN343" s="56" t="s">
        <v>99</v>
      </c>
      <c r="AO343" s="56" t="s">
        <v>99</v>
      </c>
      <c r="AP343" s="56" t="s">
        <v>99</v>
      </c>
      <c r="AQ343" s="56" t="s">
        <v>99</v>
      </c>
      <c r="AR343" s="56" t="s">
        <v>99</v>
      </c>
      <c r="AS343" s="56" t="s">
        <v>99</v>
      </c>
      <c r="AT343" s="56" t="s">
        <v>99</v>
      </c>
      <c r="AU343" s="56" t="s">
        <v>99</v>
      </c>
      <c r="AV343" s="56" t="s">
        <v>99</v>
      </c>
      <c r="AW343" s="56" t="s">
        <v>99</v>
      </c>
      <c r="AX343" s="56" t="s">
        <v>99</v>
      </c>
      <c r="AY343" s="56" t="s">
        <v>99</v>
      </c>
      <c r="AZ343" s="56" t="s">
        <v>99</v>
      </c>
      <c r="BA343" s="56" t="s">
        <v>99</v>
      </c>
      <c r="BB343" s="56" t="s">
        <v>99</v>
      </c>
      <c r="BC343" s="56" t="s">
        <v>99</v>
      </c>
      <c r="BD343" s="56" t="s">
        <v>99</v>
      </c>
      <c r="BE343" s="56" t="s">
        <v>99</v>
      </c>
      <c r="BF343" s="56" t="s">
        <v>99</v>
      </c>
      <c r="BG343" s="56" t="s">
        <v>99</v>
      </c>
      <c r="BH343" s="56" t="s">
        <v>99</v>
      </c>
      <c r="BI343" s="56" t="s">
        <v>99</v>
      </c>
      <c r="BJ343" s="56" t="s">
        <v>99</v>
      </c>
      <c r="BK343" s="56" t="s">
        <v>99</v>
      </c>
      <c r="BL343" s="56" t="s">
        <v>99</v>
      </c>
      <c r="BM343" s="56" t="s">
        <v>99</v>
      </c>
      <c r="BN343" s="56" t="s">
        <v>99</v>
      </c>
      <c r="BO343" s="56" t="s">
        <v>99</v>
      </c>
      <c r="BP343" s="62" t="s">
        <v>99</v>
      </c>
    </row>
    <row r="344" spans="2:68">
      <c r="B344" s="58">
        <v>12</v>
      </c>
      <c r="C344" s="59">
        <v>49</v>
      </c>
      <c r="D344" s="59" t="s">
        <v>101</v>
      </c>
      <c r="E344" s="60">
        <f>'[1]Master File'!B343</f>
        <v>46357</v>
      </c>
      <c r="F344" s="61" t="str">
        <f>'[1]Master File'!C343</f>
        <v>Closed</v>
      </c>
      <c r="G344" s="39"/>
      <c r="I344" s="56" t="s">
        <v>99</v>
      </c>
      <c r="J344" s="56" t="s">
        <v>99</v>
      </c>
      <c r="K344" s="56" t="s">
        <v>99</v>
      </c>
      <c r="L344" s="56" t="s">
        <v>23</v>
      </c>
      <c r="M344" s="56" t="s">
        <v>99</v>
      </c>
      <c r="N344" s="56" t="s">
        <v>99</v>
      </c>
      <c r="O344" s="56" t="s">
        <v>99</v>
      </c>
      <c r="P344" s="56" t="s">
        <v>99</v>
      </c>
      <c r="Q344" s="56" t="s">
        <v>99</v>
      </c>
      <c r="R344" s="56" t="s">
        <v>99</v>
      </c>
      <c r="S344" s="56" t="s">
        <v>99</v>
      </c>
      <c r="T344" s="56" t="s">
        <v>99</v>
      </c>
      <c r="U344" s="56" t="s">
        <v>99</v>
      </c>
      <c r="V344" s="56" t="s">
        <v>99</v>
      </c>
      <c r="W344" s="56" t="s">
        <v>99</v>
      </c>
      <c r="X344" s="56" t="s">
        <v>99</v>
      </c>
      <c r="Y344" s="56" t="s">
        <v>23</v>
      </c>
      <c r="Z344" s="56" t="s">
        <v>99</v>
      </c>
      <c r="AA344" s="56" t="s">
        <v>99</v>
      </c>
      <c r="AB344" s="56" t="s">
        <v>23</v>
      </c>
      <c r="AC344" s="56" t="s">
        <v>23</v>
      </c>
      <c r="AD344" s="56" t="s">
        <v>99</v>
      </c>
      <c r="AE344" s="56" t="s">
        <v>99</v>
      </c>
      <c r="AF344" s="56" t="s">
        <v>99</v>
      </c>
      <c r="AG344" s="56" t="s">
        <v>23</v>
      </c>
      <c r="AH344" s="56" t="s">
        <v>99</v>
      </c>
      <c r="AI344" s="56" t="s">
        <v>99</v>
      </c>
      <c r="AJ344" s="56" t="s">
        <v>99</v>
      </c>
      <c r="AK344" s="56" t="s">
        <v>23</v>
      </c>
      <c r="AL344" s="56" t="s">
        <v>99</v>
      </c>
      <c r="AM344" s="56" t="s">
        <v>99</v>
      </c>
      <c r="AN344" s="56" t="s">
        <v>99</v>
      </c>
      <c r="AO344" s="56" t="s">
        <v>99</v>
      </c>
      <c r="AP344" s="56" t="s">
        <v>99</v>
      </c>
      <c r="AQ344" s="56" t="s">
        <v>99</v>
      </c>
      <c r="AR344" s="56" t="s">
        <v>99</v>
      </c>
      <c r="AS344" s="56" t="s">
        <v>99</v>
      </c>
      <c r="AT344" s="56" t="s">
        <v>99</v>
      </c>
      <c r="AU344" s="56" t="s">
        <v>99</v>
      </c>
      <c r="AV344" s="56" t="s">
        <v>99</v>
      </c>
      <c r="AW344" s="56" t="s">
        <v>99</v>
      </c>
      <c r="AX344" s="56" t="s">
        <v>99</v>
      </c>
      <c r="AY344" s="56" t="s">
        <v>99</v>
      </c>
      <c r="AZ344" s="56" t="s">
        <v>99</v>
      </c>
      <c r="BA344" s="56" t="s">
        <v>99</v>
      </c>
      <c r="BB344" s="56" t="s">
        <v>99</v>
      </c>
      <c r="BC344" s="56" t="s">
        <v>99</v>
      </c>
      <c r="BD344" s="56" t="s">
        <v>99</v>
      </c>
      <c r="BE344" s="56" t="s">
        <v>99</v>
      </c>
      <c r="BF344" s="56" t="s">
        <v>99</v>
      </c>
      <c r="BG344" s="56" t="s">
        <v>99</v>
      </c>
      <c r="BH344" s="56" t="s">
        <v>99</v>
      </c>
      <c r="BI344" s="56" t="s">
        <v>99</v>
      </c>
      <c r="BJ344" s="56" t="s">
        <v>99</v>
      </c>
      <c r="BK344" s="56" t="s">
        <v>99</v>
      </c>
      <c r="BL344" s="56" t="s">
        <v>99</v>
      </c>
      <c r="BM344" s="56" t="s">
        <v>99</v>
      </c>
      <c r="BN344" s="56" t="s">
        <v>99</v>
      </c>
      <c r="BO344" s="56" t="s">
        <v>99</v>
      </c>
      <c r="BP344" s="62" t="s">
        <v>99</v>
      </c>
    </row>
    <row r="345" spans="2:68">
      <c r="B345" s="58">
        <v>12</v>
      </c>
      <c r="C345" s="59">
        <v>49</v>
      </c>
      <c r="D345" s="59" t="s">
        <v>102</v>
      </c>
      <c r="E345" s="60">
        <f>'[1]Master File'!B344</f>
        <v>46358</v>
      </c>
      <c r="F345" s="61" t="str">
        <f>'[1]Master File'!C344</f>
        <v>Closed</v>
      </c>
      <c r="G345" s="39"/>
      <c r="I345" s="56" t="s">
        <v>99</v>
      </c>
      <c r="J345" s="56" t="s">
        <v>99</v>
      </c>
      <c r="K345" s="56" t="s">
        <v>99</v>
      </c>
      <c r="L345" s="56" t="s">
        <v>23</v>
      </c>
      <c r="M345" s="56" t="s">
        <v>99</v>
      </c>
      <c r="N345" s="56" t="s">
        <v>99</v>
      </c>
      <c r="O345" s="56" t="s">
        <v>99</v>
      </c>
      <c r="P345" s="56" t="s">
        <v>99</v>
      </c>
      <c r="Q345" s="56" t="s">
        <v>99</v>
      </c>
      <c r="R345" s="56" t="s">
        <v>99</v>
      </c>
      <c r="S345" s="56" t="s">
        <v>99</v>
      </c>
      <c r="T345" s="56" t="s">
        <v>99</v>
      </c>
      <c r="U345" s="56" t="s">
        <v>99</v>
      </c>
      <c r="V345" s="56" t="s">
        <v>99</v>
      </c>
      <c r="W345" s="56" t="s">
        <v>99</v>
      </c>
      <c r="X345" s="56" t="s">
        <v>99</v>
      </c>
      <c r="Y345" s="56" t="s">
        <v>23</v>
      </c>
      <c r="Z345" s="56" t="s">
        <v>99</v>
      </c>
      <c r="AA345" s="56" t="s">
        <v>99</v>
      </c>
      <c r="AB345" s="56" t="s">
        <v>23</v>
      </c>
      <c r="AC345" s="56" t="s">
        <v>23</v>
      </c>
      <c r="AD345" s="56" t="s">
        <v>99</v>
      </c>
      <c r="AE345" s="56" t="s">
        <v>99</v>
      </c>
      <c r="AF345" s="56" t="s">
        <v>99</v>
      </c>
      <c r="AG345" s="56" t="s">
        <v>23</v>
      </c>
      <c r="AH345" s="56" t="s">
        <v>99</v>
      </c>
      <c r="AI345" s="56" t="s">
        <v>99</v>
      </c>
      <c r="AJ345" s="56" t="s">
        <v>99</v>
      </c>
      <c r="AK345" s="56" t="s">
        <v>23</v>
      </c>
      <c r="AL345" s="56" t="s">
        <v>99</v>
      </c>
      <c r="AM345" s="56" t="s">
        <v>99</v>
      </c>
      <c r="AN345" s="56" t="s">
        <v>99</v>
      </c>
      <c r="AO345" s="56" t="s">
        <v>99</v>
      </c>
      <c r="AP345" s="56" t="s">
        <v>99</v>
      </c>
      <c r="AQ345" s="56" t="s">
        <v>99</v>
      </c>
      <c r="AR345" s="56" t="s">
        <v>99</v>
      </c>
      <c r="AS345" s="56" t="s">
        <v>99</v>
      </c>
      <c r="AT345" s="56" t="s">
        <v>99</v>
      </c>
      <c r="AU345" s="56" t="s">
        <v>99</v>
      </c>
      <c r="AV345" s="56" t="s">
        <v>99</v>
      </c>
      <c r="AW345" s="56" t="s">
        <v>99</v>
      </c>
      <c r="AX345" s="56" t="s">
        <v>99</v>
      </c>
      <c r="AY345" s="56" t="s">
        <v>99</v>
      </c>
      <c r="AZ345" s="56" t="s">
        <v>99</v>
      </c>
      <c r="BA345" s="56" t="s">
        <v>99</v>
      </c>
      <c r="BB345" s="56" t="s">
        <v>99</v>
      </c>
      <c r="BC345" s="56" t="s">
        <v>99</v>
      </c>
      <c r="BD345" s="56" t="s">
        <v>99</v>
      </c>
      <c r="BE345" s="56" t="s">
        <v>99</v>
      </c>
      <c r="BF345" s="56" t="s">
        <v>99</v>
      </c>
      <c r="BG345" s="56" t="s">
        <v>99</v>
      </c>
      <c r="BH345" s="56" t="s">
        <v>99</v>
      </c>
      <c r="BI345" s="56" t="s">
        <v>99</v>
      </c>
      <c r="BJ345" s="56" t="s">
        <v>99</v>
      </c>
      <c r="BK345" s="56" t="s">
        <v>99</v>
      </c>
      <c r="BL345" s="56" t="s">
        <v>99</v>
      </c>
      <c r="BM345" s="56" t="s">
        <v>99</v>
      </c>
      <c r="BN345" s="56" t="s">
        <v>99</v>
      </c>
      <c r="BO345" s="56" t="s">
        <v>99</v>
      </c>
      <c r="BP345" s="62" t="s">
        <v>99</v>
      </c>
    </row>
    <row r="346" spans="2:68">
      <c r="B346" s="58">
        <v>12</v>
      </c>
      <c r="C346" s="59">
        <v>49</v>
      </c>
      <c r="D346" s="59" t="s">
        <v>103</v>
      </c>
      <c r="E346" s="60">
        <f>'[1]Master File'!B345</f>
        <v>46359</v>
      </c>
      <c r="F346" s="61" t="str">
        <f>'[1]Master File'!C345</f>
        <v>Closed</v>
      </c>
      <c r="G346" s="39"/>
      <c r="I346" s="56" t="s">
        <v>99</v>
      </c>
      <c r="J346" s="56" t="s">
        <v>99</v>
      </c>
      <c r="K346" s="56" t="s">
        <v>99</v>
      </c>
      <c r="L346" s="56" t="s">
        <v>23</v>
      </c>
      <c r="M346" s="56" t="s">
        <v>99</v>
      </c>
      <c r="N346" s="56" t="s">
        <v>99</v>
      </c>
      <c r="O346" s="56" t="s">
        <v>99</v>
      </c>
      <c r="P346" s="56" t="s">
        <v>99</v>
      </c>
      <c r="Q346" s="56" t="s">
        <v>99</v>
      </c>
      <c r="R346" s="56" t="s">
        <v>99</v>
      </c>
      <c r="S346" s="56" t="s">
        <v>99</v>
      </c>
      <c r="T346" s="56" t="s">
        <v>99</v>
      </c>
      <c r="U346" s="56" t="s">
        <v>99</v>
      </c>
      <c r="V346" s="56" t="s">
        <v>99</v>
      </c>
      <c r="W346" s="56" t="s">
        <v>99</v>
      </c>
      <c r="X346" s="56" t="s">
        <v>99</v>
      </c>
      <c r="Y346" s="56" t="s">
        <v>23</v>
      </c>
      <c r="Z346" s="56" t="s">
        <v>99</v>
      </c>
      <c r="AA346" s="56" t="s">
        <v>99</v>
      </c>
      <c r="AB346" s="56" t="s">
        <v>23</v>
      </c>
      <c r="AC346" s="56" t="s">
        <v>23</v>
      </c>
      <c r="AD346" s="56" t="s">
        <v>99</v>
      </c>
      <c r="AE346" s="56" t="s">
        <v>99</v>
      </c>
      <c r="AF346" s="56" t="s">
        <v>99</v>
      </c>
      <c r="AG346" s="56" t="s">
        <v>23</v>
      </c>
      <c r="AH346" s="56" t="s">
        <v>99</v>
      </c>
      <c r="AI346" s="56" t="s">
        <v>99</v>
      </c>
      <c r="AJ346" s="56" t="s">
        <v>99</v>
      </c>
      <c r="AK346" s="56" t="s">
        <v>23</v>
      </c>
      <c r="AL346" s="56" t="s">
        <v>99</v>
      </c>
      <c r="AM346" s="56" t="s">
        <v>99</v>
      </c>
      <c r="AN346" s="56" t="s">
        <v>99</v>
      </c>
      <c r="AO346" s="56" t="s">
        <v>99</v>
      </c>
      <c r="AP346" s="56" t="s">
        <v>99</v>
      </c>
      <c r="AQ346" s="56" t="s">
        <v>99</v>
      </c>
      <c r="AR346" s="56" t="s">
        <v>99</v>
      </c>
      <c r="AS346" s="56" t="s">
        <v>99</v>
      </c>
      <c r="AT346" s="56" t="s">
        <v>99</v>
      </c>
      <c r="AU346" s="56" t="s">
        <v>99</v>
      </c>
      <c r="AV346" s="56" t="s">
        <v>99</v>
      </c>
      <c r="AW346" s="56" t="s">
        <v>99</v>
      </c>
      <c r="AX346" s="56" t="s">
        <v>99</v>
      </c>
      <c r="AY346" s="56" t="s">
        <v>99</v>
      </c>
      <c r="AZ346" s="56" t="s">
        <v>99</v>
      </c>
      <c r="BA346" s="56" t="s">
        <v>99</v>
      </c>
      <c r="BB346" s="56" t="s">
        <v>99</v>
      </c>
      <c r="BC346" s="56" t="s">
        <v>99</v>
      </c>
      <c r="BD346" s="56" t="s">
        <v>99</v>
      </c>
      <c r="BE346" s="56" t="s">
        <v>99</v>
      </c>
      <c r="BF346" s="56" t="s">
        <v>99</v>
      </c>
      <c r="BG346" s="56" t="s">
        <v>99</v>
      </c>
      <c r="BH346" s="56" t="s">
        <v>99</v>
      </c>
      <c r="BI346" s="56" t="s">
        <v>99</v>
      </c>
      <c r="BJ346" s="56" t="s">
        <v>99</v>
      </c>
      <c r="BK346" s="56" t="s">
        <v>99</v>
      </c>
      <c r="BL346" s="56" t="s">
        <v>99</v>
      </c>
      <c r="BM346" s="56" t="s">
        <v>99</v>
      </c>
      <c r="BN346" s="56" t="s">
        <v>99</v>
      </c>
      <c r="BO346" s="56" t="s">
        <v>99</v>
      </c>
      <c r="BP346" s="62" t="s">
        <v>99</v>
      </c>
    </row>
    <row r="347" spans="2:68">
      <c r="B347" s="58">
        <v>12</v>
      </c>
      <c r="C347" s="59">
        <v>49</v>
      </c>
      <c r="D347" s="59" t="s">
        <v>104</v>
      </c>
      <c r="E347" s="60">
        <f>'[1]Master File'!B346</f>
        <v>46360</v>
      </c>
      <c r="F347" s="61" t="str">
        <f>'[1]Master File'!C346</f>
        <v>Closed</v>
      </c>
      <c r="G347" s="39"/>
      <c r="I347" s="56" t="s">
        <v>99</v>
      </c>
      <c r="J347" s="56" t="s">
        <v>99</v>
      </c>
      <c r="K347" s="56" t="s">
        <v>99</v>
      </c>
      <c r="L347" s="56" t="s">
        <v>23</v>
      </c>
      <c r="M347" s="56" t="s">
        <v>99</v>
      </c>
      <c r="N347" s="56" t="s">
        <v>99</v>
      </c>
      <c r="O347" s="56" t="s">
        <v>99</v>
      </c>
      <c r="P347" s="56" t="s">
        <v>99</v>
      </c>
      <c r="Q347" s="56" t="s">
        <v>99</v>
      </c>
      <c r="R347" s="56" t="s">
        <v>99</v>
      </c>
      <c r="S347" s="56" t="s">
        <v>99</v>
      </c>
      <c r="T347" s="56" t="s">
        <v>99</v>
      </c>
      <c r="U347" s="56" t="s">
        <v>99</v>
      </c>
      <c r="V347" s="56" t="s">
        <v>99</v>
      </c>
      <c r="W347" s="56" t="s">
        <v>99</v>
      </c>
      <c r="X347" s="56" t="s">
        <v>99</v>
      </c>
      <c r="Y347" s="56" t="s">
        <v>23</v>
      </c>
      <c r="Z347" s="56" t="s">
        <v>99</v>
      </c>
      <c r="AA347" s="56" t="s">
        <v>99</v>
      </c>
      <c r="AB347" s="56" t="s">
        <v>23</v>
      </c>
      <c r="AC347" s="56" t="s">
        <v>23</v>
      </c>
      <c r="AD347" s="56" t="s">
        <v>99</v>
      </c>
      <c r="AE347" s="56" t="s">
        <v>99</v>
      </c>
      <c r="AF347" s="56" t="s">
        <v>99</v>
      </c>
      <c r="AG347" s="56" t="s">
        <v>23</v>
      </c>
      <c r="AH347" s="56" t="s">
        <v>99</v>
      </c>
      <c r="AI347" s="56" t="s">
        <v>99</v>
      </c>
      <c r="AJ347" s="56" t="s">
        <v>99</v>
      </c>
      <c r="AK347" s="56" t="s">
        <v>23</v>
      </c>
      <c r="AL347" s="56" t="s">
        <v>99</v>
      </c>
      <c r="AM347" s="56" t="s">
        <v>99</v>
      </c>
      <c r="AN347" s="56" t="s">
        <v>99</v>
      </c>
      <c r="AO347" s="56" t="s">
        <v>99</v>
      </c>
      <c r="AP347" s="56" t="s">
        <v>99</v>
      </c>
      <c r="AQ347" s="56" t="s">
        <v>99</v>
      </c>
      <c r="AR347" s="56" t="s">
        <v>99</v>
      </c>
      <c r="AS347" s="56" t="s">
        <v>99</v>
      </c>
      <c r="AT347" s="56" t="s">
        <v>99</v>
      </c>
      <c r="AU347" s="56" t="s">
        <v>99</v>
      </c>
      <c r="AV347" s="56" t="s">
        <v>99</v>
      </c>
      <c r="AW347" s="56" t="s">
        <v>99</v>
      </c>
      <c r="AX347" s="56" t="s">
        <v>99</v>
      </c>
      <c r="AY347" s="56" t="s">
        <v>99</v>
      </c>
      <c r="AZ347" s="56" t="s">
        <v>99</v>
      </c>
      <c r="BA347" s="56" t="s">
        <v>99</v>
      </c>
      <c r="BB347" s="56" t="s">
        <v>99</v>
      </c>
      <c r="BC347" s="56" t="s">
        <v>99</v>
      </c>
      <c r="BD347" s="56" t="s">
        <v>99</v>
      </c>
      <c r="BE347" s="56" t="s">
        <v>99</v>
      </c>
      <c r="BF347" s="56" t="s">
        <v>99</v>
      </c>
      <c r="BG347" s="56" t="s">
        <v>99</v>
      </c>
      <c r="BH347" s="56" t="s">
        <v>99</v>
      </c>
      <c r="BI347" s="56" t="s">
        <v>99</v>
      </c>
      <c r="BJ347" s="56" t="s">
        <v>99</v>
      </c>
      <c r="BK347" s="56" t="s">
        <v>99</v>
      </c>
      <c r="BL347" s="56" t="s">
        <v>99</v>
      </c>
      <c r="BM347" s="56" t="s">
        <v>99</v>
      </c>
      <c r="BN347" s="56" t="s">
        <v>99</v>
      </c>
      <c r="BO347" s="56" t="s">
        <v>99</v>
      </c>
      <c r="BP347" s="62" t="s">
        <v>99</v>
      </c>
    </row>
    <row r="348" spans="2:68">
      <c r="B348" s="58">
        <v>12</v>
      </c>
      <c r="C348" s="59">
        <v>49</v>
      </c>
      <c r="D348" s="59" t="s">
        <v>105</v>
      </c>
      <c r="E348" s="60">
        <f>'[1]Master File'!B347</f>
        <v>46361</v>
      </c>
      <c r="F348" s="61" t="str">
        <f>'[1]Master File'!C347</f>
        <v>WT Peak</v>
      </c>
      <c r="G348" s="39"/>
      <c r="I348" s="67" t="s">
        <v>99</v>
      </c>
      <c r="J348" s="67" t="s">
        <v>99</v>
      </c>
      <c r="K348" s="67" t="s">
        <v>99</v>
      </c>
      <c r="L348" s="67" t="s">
        <v>23</v>
      </c>
      <c r="M348" s="67" t="s">
        <v>99</v>
      </c>
      <c r="N348" s="67" t="s">
        <v>99</v>
      </c>
      <c r="O348" s="67" t="s">
        <v>99</v>
      </c>
      <c r="P348" s="67" t="s">
        <v>99</v>
      </c>
      <c r="Q348" s="67" t="s">
        <v>99</v>
      </c>
      <c r="R348" s="67" t="s">
        <v>99</v>
      </c>
      <c r="S348" s="67" t="s">
        <v>99</v>
      </c>
      <c r="T348" s="67" t="s">
        <v>99</v>
      </c>
      <c r="U348" s="67" t="s">
        <v>99</v>
      </c>
      <c r="V348" s="67" t="s">
        <v>99</v>
      </c>
      <c r="W348" s="67" t="s">
        <v>99</v>
      </c>
      <c r="X348" s="67" t="s">
        <v>99</v>
      </c>
      <c r="Y348" s="56" t="s">
        <v>23</v>
      </c>
      <c r="Z348" s="67" t="s">
        <v>99</v>
      </c>
      <c r="AA348" s="67" t="s">
        <v>99</v>
      </c>
      <c r="AB348" s="67" t="s">
        <v>23</v>
      </c>
      <c r="AC348" s="67" t="s">
        <v>23</v>
      </c>
      <c r="AD348" s="67" t="s">
        <v>99</v>
      </c>
      <c r="AE348" s="67" t="s">
        <v>99</v>
      </c>
      <c r="AF348" s="67" t="s">
        <v>99</v>
      </c>
      <c r="AG348" s="67" t="s">
        <v>23</v>
      </c>
      <c r="AH348" s="67" t="s">
        <v>99</v>
      </c>
      <c r="AI348" s="67" t="s">
        <v>99</v>
      </c>
      <c r="AJ348" s="67" t="s">
        <v>99</v>
      </c>
      <c r="AK348" s="67" t="s">
        <v>23</v>
      </c>
      <c r="AL348" s="67" t="s">
        <v>99</v>
      </c>
      <c r="AM348" s="67" t="s">
        <v>99</v>
      </c>
      <c r="AN348" s="67" t="s">
        <v>99</v>
      </c>
      <c r="AO348" s="67" t="s">
        <v>99</v>
      </c>
      <c r="AP348" s="67" t="s">
        <v>99</v>
      </c>
      <c r="AQ348" s="67" t="s">
        <v>23</v>
      </c>
      <c r="AR348" s="67" t="s">
        <v>99</v>
      </c>
      <c r="AS348" s="67" t="s">
        <v>99</v>
      </c>
      <c r="AT348" s="67" t="s">
        <v>99</v>
      </c>
      <c r="AU348" s="67" t="s">
        <v>99</v>
      </c>
      <c r="AV348" s="67" t="s">
        <v>99</v>
      </c>
      <c r="AW348" s="67" t="s">
        <v>99</v>
      </c>
      <c r="AX348" s="67" t="s">
        <v>99</v>
      </c>
      <c r="AY348" s="67" t="s">
        <v>99</v>
      </c>
      <c r="AZ348" s="67" t="s">
        <v>99</v>
      </c>
      <c r="BA348" s="67" t="s">
        <v>99</v>
      </c>
      <c r="BB348" s="67" t="s">
        <v>99</v>
      </c>
      <c r="BC348" s="67" t="s">
        <v>99</v>
      </c>
      <c r="BD348" s="67" t="s">
        <v>99</v>
      </c>
      <c r="BE348" s="67" t="s">
        <v>99</v>
      </c>
      <c r="BF348" s="67" t="s">
        <v>99</v>
      </c>
      <c r="BG348" s="67" t="s">
        <v>99</v>
      </c>
      <c r="BH348" s="67" t="s">
        <v>99</v>
      </c>
      <c r="BI348" s="67" t="s">
        <v>99</v>
      </c>
      <c r="BJ348" s="67" t="s">
        <v>99</v>
      </c>
      <c r="BK348" s="67" t="s">
        <v>99</v>
      </c>
      <c r="BL348" s="67" t="s">
        <v>99</v>
      </c>
      <c r="BM348" s="67" t="s">
        <v>99</v>
      </c>
      <c r="BN348" s="67" t="s">
        <v>99</v>
      </c>
      <c r="BO348" s="67" t="s">
        <v>99</v>
      </c>
      <c r="BP348" s="68" t="s">
        <v>99</v>
      </c>
    </row>
    <row r="349" spans="2:68">
      <c r="B349" s="58">
        <v>12</v>
      </c>
      <c r="C349" s="59">
        <v>50</v>
      </c>
      <c r="D349" s="59" t="s">
        <v>98</v>
      </c>
      <c r="E349" s="60">
        <f>'[1]Master File'!B348</f>
        <v>46362</v>
      </c>
      <c r="F349" s="61" t="str">
        <f>'[1]Master File'!C348</f>
        <v>WT Peak</v>
      </c>
      <c r="G349" s="39"/>
      <c r="I349" s="67" t="s">
        <v>99</v>
      </c>
      <c r="J349" s="67" t="s">
        <v>99</v>
      </c>
      <c r="K349" s="67" t="s">
        <v>99</v>
      </c>
      <c r="L349" s="67" t="s">
        <v>23</v>
      </c>
      <c r="M349" s="67" t="s">
        <v>99</v>
      </c>
      <c r="N349" s="67" t="s">
        <v>99</v>
      </c>
      <c r="O349" s="67" t="s">
        <v>99</v>
      </c>
      <c r="P349" s="67" t="s">
        <v>99</v>
      </c>
      <c r="Q349" s="67" t="s">
        <v>99</v>
      </c>
      <c r="R349" s="67" t="s">
        <v>99</v>
      </c>
      <c r="S349" s="67" t="s">
        <v>99</v>
      </c>
      <c r="T349" s="67" t="s">
        <v>99</v>
      </c>
      <c r="U349" s="67" t="s">
        <v>99</v>
      </c>
      <c r="V349" s="67" t="s">
        <v>99</v>
      </c>
      <c r="W349" s="67" t="s">
        <v>99</v>
      </c>
      <c r="X349" s="67" t="s">
        <v>99</v>
      </c>
      <c r="Y349" s="56" t="s">
        <v>23</v>
      </c>
      <c r="Z349" s="67" t="s">
        <v>99</v>
      </c>
      <c r="AA349" s="67" t="s">
        <v>99</v>
      </c>
      <c r="AB349" s="67" t="s">
        <v>23</v>
      </c>
      <c r="AC349" s="67" t="s">
        <v>23</v>
      </c>
      <c r="AD349" s="67" t="s">
        <v>99</v>
      </c>
      <c r="AE349" s="67" t="s">
        <v>99</v>
      </c>
      <c r="AF349" s="67" t="s">
        <v>99</v>
      </c>
      <c r="AG349" s="67" t="s">
        <v>23</v>
      </c>
      <c r="AH349" s="67" t="s">
        <v>99</v>
      </c>
      <c r="AI349" s="67" t="s">
        <v>99</v>
      </c>
      <c r="AJ349" s="67" t="s">
        <v>99</v>
      </c>
      <c r="AK349" s="67" t="s">
        <v>23</v>
      </c>
      <c r="AL349" s="67" t="s">
        <v>99</v>
      </c>
      <c r="AM349" s="67" t="s">
        <v>99</v>
      </c>
      <c r="AN349" s="67" t="s">
        <v>99</v>
      </c>
      <c r="AO349" s="67" t="s">
        <v>99</v>
      </c>
      <c r="AP349" s="67" t="s">
        <v>99</v>
      </c>
      <c r="AQ349" s="67" t="s">
        <v>23</v>
      </c>
      <c r="AR349" s="67" t="s">
        <v>99</v>
      </c>
      <c r="AS349" s="67" t="s">
        <v>99</v>
      </c>
      <c r="AT349" s="67" t="s">
        <v>99</v>
      </c>
      <c r="AU349" s="67" t="s">
        <v>99</v>
      </c>
      <c r="AV349" s="67" t="s">
        <v>99</v>
      </c>
      <c r="AW349" s="67" t="s">
        <v>99</v>
      </c>
      <c r="AX349" s="67" t="s">
        <v>99</v>
      </c>
      <c r="AY349" s="67" t="s">
        <v>99</v>
      </c>
      <c r="AZ349" s="67" t="s">
        <v>99</v>
      </c>
      <c r="BA349" s="67" t="s">
        <v>99</v>
      </c>
      <c r="BB349" s="67" t="s">
        <v>99</v>
      </c>
      <c r="BC349" s="67" t="s">
        <v>99</v>
      </c>
      <c r="BD349" s="67" t="s">
        <v>99</v>
      </c>
      <c r="BE349" s="67" t="s">
        <v>99</v>
      </c>
      <c r="BF349" s="67" t="s">
        <v>99</v>
      </c>
      <c r="BG349" s="67" t="s">
        <v>99</v>
      </c>
      <c r="BH349" s="67" t="s">
        <v>99</v>
      </c>
      <c r="BI349" s="67" t="s">
        <v>99</v>
      </c>
      <c r="BJ349" s="67" t="s">
        <v>99</v>
      </c>
      <c r="BK349" s="67" t="s">
        <v>99</v>
      </c>
      <c r="BL349" s="67" t="s">
        <v>99</v>
      </c>
      <c r="BM349" s="67" t="s">
        <v>99</v>
      </c>
      <c r="BN349" s="67" t="s">
        <v>99</v>
      </c>
      <c r="BO349" s="67" t="s">
        <v>99</v>
      </c>
      <c r="BP349" s="68" t="s">
        <v>99</v>
      </c>
    </row>
    <row r="350" spans="2:68">
      <c r="B350" s="58">
        <v>12</v>
      </c>
      <c r="C350" s="59">
        <v>50</v>
      </c>
      <c r="D350" s="59" t="s">
        <v>100</v>
      </c>
      <c r="E350" s="60">
        <f>'[1]Master File'!B349</f>
        <v>46363</v>
      </c>
      <c r="F350" s="61" t="str">
        <f>'[1]Master File'!C349</f>
        <v>Closed</v>
      </c>
      <c r="G350" s="39"/>
      <c r="I350" s="56" t="s">
        <v>99</v>
      </c>
      <c r="J350" s="56" t="s">
        <v>99</v>
      </c>
      <c r="K350" s="56" t="s">
        <v>99</v>
      </c>
      <c r="L350" s="56" t="s">
        <v>23</v>
      </c>
      <c r="M350" s="56" t="s">
        <v>99</v>
      </c>
      <c r="N350" s="56" t="s">
        <v>99</v>
      </c>
      <c r="O350" s="56" t="s">
        <v>99</v>
      </c>
      <c r="P350" s="56" t="s">
        <v>99</v>
      </c>
      <c r="Q350" s="56" t="s">
        <v>99</v>
      </c>
      <c r="R350" s="56" t="s">
        <v>99</v>
      </c>
      <c r="S350" s="56" t="s">
        <v>99</v>
      </c>
      <c r="T350" s="56" t="s">
        <v>99</v>
      </c>
      <c r="U350" s="56" t="s">
        <v>99</v>
      </c>
      <c r="V350" s="56" t="s">
        <v>99</v>
      </c>
      <c r="W350" s="56" t="s">
        <v>99</v>
      </c>
      <c r="X350" s="56" t="s">
        <v>99</v>
      </c>
      <c r="Y350" s="56" t="s">
        <v>23</v>
      </c>
      <c r="Z350" s="56" t="s">
        <v>99</v>
      </c>
      <c r="AA350" s="56" t="s">
        <v>99</v>
      </c>
      <c r="AB350" s="56" t="s">
        <v>23</v>
      </c>
      <c r="AC350" s="56" t="s">
        <v>23</v>
      </c>
      <c r="AD350" s="56" t="s">
        <v>99</v>
      </c>
      <c r="AE350" s="56" t="s">
        <v>99</v>
      </c>
      <c r="AF350" s="56" t="s">
        <v>99</v>
      </c>
      <c r="AG350" s="56" t="s">
        <v>23</v>
      </c>
      <c r="AH350" s="56" t="s">
        <v>99</v>
      </c>
      <c r="AI350" s="56" t="s">
        <v>99</v>
      </c>
      <c r="AJ350" s="56" t="s">
        <v>99</v>
      </c>
      <c r="AK350" s="56" t="s">
        <v>23</v>
      </c>
      <c r="AL350" s="56" t="s">
        <v>99</v>
      </c>
      <c r="AM350" s="56" t="s">
        <v>99</v>
      </c>
      <c r="AN350" s="56" t="s">
        <v>99</v>
      </c>
      <c r="AO350" s="56" t="s">
        <v>99</v>
      </c>
      <c r="AP350" s="56" t="s">
        <v>99</v>
      </c>
      <c r="AQ350" s="56" t="s">
        <v>99</v>
      </c>
      <c r="AR350" s="56" t="s">
        <v>99</v>
      </c>
      <c r="AS350" s="56" t="s">
        <v>99</v>
      </c>
      <c r="AT350" s="56" t="s">
        <v>99</v>
      </c>
      <c r="AU350" s="56" t="s">
        <v>99</v>
      </c>
      <c r="AV350" s="56" t="s">
        <v>99</v>
      </c>
      <c r="AW350" s="56" t="s">
        <v>99</v>
      </c>
      <c r="AX350" s="56" t="s">
        <v>99</v>
      </c>
      <c r="AY350" s="56" t="s">
        <v>99</v>
      </c>
      <c r="AZ350" s="56" t="s">
        <v>99</v>
      </c>
      <c r="BA350" s="56" t="s">
        <v>99</v>
      </c>
      <c r="BB350" s="56" t="s">
        <v>99</v>
      </c>
      <c r="BC350" s="56" t="s">
        <v>99</v>
      </c>
      <c r="BD350" s="56" t="s">
        <v>99</v>
      </c>
      <c r="BE350" s="56" t="s">
        <v>99</v>
      </c>
      <c r="BF350" s="56" t="s">
        <v>99</v>
      </c>
      <c r="BG350" s="56" t="s">
        <v>99</v>
      </c>
      <c r="BH350" s="56" t="s">
        <v>99</v>
      </c>
      <c r="BI350" s="56" t="s">
        <v>99</v>
      </c>
      <c r="BJ350" s="56" t="s">
        <v>99</v>
      </c>
      <c r="BK350" s="56" t="s">
        <v>99</v>
      </c>
      <c r="BL350" s="56" t="s">
        <v>99</v>
      </c>
      <c r="BM350" s="56" t="s">
        <v>99</v>
      </c>
      <c r="BN350" s="56" t="s">
        <v>99</v>
      </c>
      <c r="BO350" s="56" t="s">
        <v>99</v>
      </c>
      <c r="BP350" s="62" t="s">
        <v>99</v>
      </c>
    </row>
    <row r="351" spans="2:68">
      <c r="B351" s="58">
        <v>12</v>
      </c>
      <c r="C351" s="59">
        <v>50</v>
      </c>
      <c r="D351" s="59" t="s">
        <v>101</v>
      </c>
      <c r="E351" s="60">
        <f>'[1]Master File'!B350</f>
        <v>46364</v>
      </c>
      <c r="F351" s="61" t="str">
        <f>'[1]Master File'!C350</f>
        <v>Closed</v>
      </c>
      <c r="G351" s="39"/>
      <c r="I351" s="56" t="s">
        <v>99</v>
      </c>
      <c r="J351" s="56" t="s">
        <v>99</v>
      </c>
      <c r="K351" s="56" t="s">
        <v>99</v>
      </c>
      <c r="L351" s="56" t="s">
        <v>23</v>
      </c>
      <c r="M351" s="56" t="s">
        <v>99</v>
      </c>
      <c r="N351" s="56" t="s">
        <v>99</v>
      </c>
      <c r="O351" s="56" t="s">
        <v>99</v>
      </c>
      <c r="P351" s="56" t="s">
        <v>99</v>
      </c>
      <c r="Q351" s="56" t="s">
        <v>99</v>
      </c>
      <c r="R351" s="56" t="s">
        <v>99</v>
      </c>
      <c r="S351" s="56" t="s">
        <v>99</v>
      </c>
      <c r="T351" s="56" t="s">
        <v>99</v>
      </c>
      <c r="U351" s="56" t="s">
        <v>99</v>
      </c>
      <c r="V351" s="56" t="s">
        <v>99</v>
      </c>
      <c r="W351" s="56" t="s">
        <v>99</v>
      </c>
      <c r="X351" s="56" t="s">
        <v>99</v>
      </c>
      <c r="Y351" s="56" t="s">
        <v>23</v>
      </c>
      <c r="Z351" s="56" t="s">
        <v>99</v>
      </c>
      <c r="AA351" s="56" t="s">
        <v>99</v>
      </c>
      <c r="AB351" s="56" t="s">
        <v>23</v>
      </c>
      <c r="AC351" s="56" t="s">
        <v>23</v>
      </c>
      <c r="AD351" s="56" t="s">
        <v>99</v>
      </c>
      <c r="AE351" s="56" t="s">
        <v>99</v>
      </c>
      <c r="AF351" s="56" t="s">
        <v>99</v>
      </c>
      <c r="AG351" s="56" t="s">
        <v>23</v>
      </c>
      <c r="AH351" s="56" t="s">
        <v>99</v>
      </c>
      <c r="AI351" s="56" t="s">
        <v>99</v>
      </c>
      <c r="AJ351" s="56" t="s">
        <v>99</v>
      </c>
      <c r="AK351" s="56" t="s">
        <v>23</v>
      </c>
      <c r="AL351" s="56" t="s">
        <v>99</v>
      </c>
      <c r="AM351" s="56" t="s">
        <v>99</v>
      </c>
      <c r="AN351" s="56" t="s">
        <v>99</v>
      </c>
      <c r="AO351" s="56" t="s">
        <v>99</v>
      </c>
      <c r="AP351" s="56" t="s">
        <v>99</v>
      </c>
      <c r="AQ351" s="56" t="s">
        <v>99</v>
      </c>
      <c r="AR351" s="56" t="s">
        <v>99</v>
      </c>
      <c r="AS351" s="56" t="s">
        <v>99</v>
      </c>
      <c r="AT351" s="56" t="s">
        <v>99</v>
      </c>
      <c r="AU351" s="56" t="s">
        <v>99</v>
      </c>
      <c r="AV351" s="56" t="s">
        <v>99</v>
      </c>
      <c r="AW351" s="56" t="s">
        <v>99</v>
      </c>
      <c r="AX351" s="56" t="s">
        <v>99</v>
      </c>
      <c r="AY351" s="56" t="s">
        <v>99</v>
      </c>
      <c r="AZ351" s="56" t="s">
        <v>99</v>
      </c>
      <c r="BA351" s="56" t="s">
        <v>99</v>
      </c>
      <c r="BB351" s="56" t="s">
        <v>99</v>
      </c>
      <c r="BC351" s="56" t="s">
        <v>99</v>
      </c>
      <c r="BD351" s="56" t="s">
        <v>99</v>
      </c>
      <c r="BE351" s="56" t="s">
        <v>99</v>
      </c>
      <c r="BF351" s="56" t="s">
        <v>99</v>
      </c>
      <c r="BG351" s="56" t="s">
        <v>99</v>
      </c>
      <c r="BH351" s="56" t="s">
        <v>99</v>
      </c>
      <c r="BI351" s="56" t="s">
        <v>99</v>
      </c>
      <c r="BJ351" s="56" t="s">
        <v>99</v>
      </c>
      <c r="BK351" s="56" t="s">
        <v>99</v>
      </c>
      <c r="BL351" s="56" t="s">
        <v>99</v>
      </c>
      <c r="BM351" s="56" t="s">
        <v>99</v>
      </c>
      <c r="BN351" s="56" t="s">
        <v>99</v>
      </c>
      <c r="BO351" s="56" t="s">
        <v>99</v>
      </c>
      <c r="BP351" s="62" t="s">
        <v>99</v>
      </c>
    </row>
    <row r="352" spans="2:68">
      <c r="B352" s="58">
        <v>12</v>
      </c>
      <c r="C352" s="59">
        <v>50</v>
      </c>
      <c r="D352" s="59" t="s">
        <v>102</v>
      </c>
      <c r="E352" s="60">
        <f>'[1]Master File'!B351</f>
        <v>46365</v>
      </c>
      <c r="F352" s="61" t="str">
        <f>'[1]Master File'!C351</f>
        <v>Closed</v>
      </c>
      <c r="G352" s="39"/>
      <c r="I352" s="56" t="s">
        <v>99</v>
      </c>
      <c r="J352" s="56" t="s">
        <v>99</v>
      </c>
      <c r="K352" s="56" t="s">
        <v>99</v>
      </c>
      <c r="L352" s="56" t="s">
        <v>23</v>
      </c>
      <c r="M352" s="56" t="s">
        <v>99</v>
      </c>
      <c r="N352" s="56" t="s">
        <v>99</v>
      </c>
      <c r="O352" s="56" t="s">
        <v>99</v>
      </c>
      <c r="P352" s="56" t="s">
        <v>99</v>
      </c>
      <c r="Q352" s="56" t="s">
        <v>99</v>
      </c>
      <c r="R352" s="56" t="s">
        <v>99</v>
      </c>
      <c r="S352" s="56" t="s">
        <v>99</v>
      </c>
      <c r="T352" s="56" t="s">
        <v>99</v>
      </c>
      <c r="U352" s="56" t="s">
        <v>99</v>
      </c>
      <c r="V352" s="56" t="s">
        <v>99</v>
      </c>
      <c r="W352" s="56" t="s">
        <v>99</v>
      </c>
      <c r="X352" s="56" t="s">
        <v>99</v>
      </c>
      <c r="Y352" s="56" t="s">
        <v>23</v>
      </c>
      <c r="Z352" s="56" t="s">
        <v>99</v>
      </c>
      <c r="AA352" s="56" t="s">
        <v>99</v>
      </c>
      <c r="AB352" s="56" t="s">
        <v>23</v>
      </c>
      <c r="AC352" s="56" t="s">
        <v>23</v>
      </c>
      <c r="AD352" s="56" t="s">
        <v>99</v>
      </c>
      <c r="AE352" s="56" t="s">
        <v>99</v>
      </c>
      <c r="AF352" s="56" t="s">
        <v>99</v>
      </c>
      <c r="AG352" s="56" t="s">
        <v>23</v>
      </c>
      <c r="AH352" s="56" t="s">
        <v>99</v>
      </c>
      <c r="AI352" s="56" t="s">
        <v>99</v>
      </c>
      <c r="AJ352" s="56" t="s">
        <v>99</v>
      </c>
      <c r="AK352" s="56" t="s">
        <v>23</v>
      </c>
      <c r="AL352" s="56" t="s">
        <v>99</v>
      </c>
      <c r="AM352" s="56" t="s">
        <v>99</v>
      </c>
      <c r="AN352" s="56" t="s">
        <v>99</v>
      </c>
      <c r="AO352" s="56" t="s">
        <v>99</v>
      </c>
      <c r="AP352" s="56" t="s">
        <v>99</v>
      </c>
      <c r="AQ352" s="56" t="s">
        <v>99</v>
      </c>
      <c r="AR352" s="56" t="s">
        <v>99</v>
      </c>
      <c r="AS352" s="56" t="s">
        <v>99</v>
      </c>
      <c r="AT352" s="56" t="s">
        <v>99</v>
      </c>
      <c r="AU352" s="56" t="s">
        <v>99</v>
      </c>
      <c r="AV352" s="56" t="s">
        <v>99</v>
      </c>
      <c r="AW352" s="56" t="s">
        <v>99</v>
      </c>
      <c r="AX352" s="56" t="s">
        <v>99</v>
      </c>
      <c r="AY352" s="56" t="s">
        <v>99</v>
      </c>
      <c r="AZ352" s="56" t="s">
        <v>99</v>
      </c>
      <c r="BA352" s="56" t="s">
        <v>99</v>
      </c>
      <c r="BB352" s="56" t="s">
        <v>99</v>
      </c>
      <c r="BC352" s="56" t="s">
        <v>99</v>
      </c>
      <c r="BD352" s="56" t="s">
        <v>99</v>
      </c>
      <c r="BE352" s="56" t="s">
        <v>99</v>
      </c>
      <c r="BF352" s="56" t="s">
        <v>99</v>
      </c>
      <c r="BG352" s="56" t="s">
        <v>99</v>
      </c>
      <c r="BH352" s="56" t="s">
        <v>99</v>
      </c>
      <c r="BI352" s="56" t="s">
        <v>99</v>
      </c>
      <c r="BJ352" s="56" t="s">
        <v>99</v>
      </c>
      <c r="BK352" s="56" t="s">
        <v>99</v>
      </c>
      <c r="BL352" s="56" t="s">
        <v>99</v>
      </c>
      <c r="BM352" s="56" t="s">
        <v>99</v>
      </c>
      <c r="BN352" s="56" t="s">
        <v>99</v>
      </c>
      <c r="BO352" s="56" t="s">
        <v>99</v>
      </c>
      <c r="BP352" s="62" t="s">
        <v>99</v>
      </c>
    </row>
    <row r="353" spans="2:68">
      <c r="B353" s="58">
        <v>12</v>
      </c>
      <c r="C353" s="59">
        <v>50</v>
      </c>
      <c r="D353" s="59" t="s">
        <v>103</v>
      </c>
      <c r="E353" s="60">
        <f>'[1]Master File'!B352</f>
        <v>46366</v>
      </c>
      <c r="F353" s="61" t="str">
        <f>'[1]Master File'!C352</f>
        <v>Closed</v>
      </c>
      <c r="G353" s="39"/>
      <c r="I353" s="56" t="s">
        <v>99</v>
      </c>
      <c r="J353" s="56" t="s">
        <v>99</v>
      </c>
      <c r="K353" s="56" t="s">
        <v>99</v>
      </c>
      <c r="L353" s="56" t="s">
        <v>23</v>
      </c>
      <c r="M353" s="56" t="s">
        <v>99</v>
      </c>
      <c r="N353" s="56" t="s">
        <v>99</v>
      </c>
      <c r="O353" s="56" t="s">
        <v>99</v>
      </c>
      <c r="P353" s="56" t="s">
        <v>99</v>
      </c>
      <c r="Q353" s="56" t="s">
        <v>99</v>
      </c>
      <c r="R353" s="56" t="s">
        <v>99</v>
      </c>
      <c r="S353" s="56" t="s">
        <v>99</v>
      </c>
      <c r="T353" s="56" t="s">
        <v>99</v>
      </c>
      <c r="U353" s="56" t="s">
        <v>99</v>
      </c>
      <c r="V353" s="56" t="s">
        <v>99</v>
      </c>
      <c r="W353" s="56" t="s">
        <v>99</v>
      </c>
      <c r="X353" s="56" t="s">
        <v>99</v>
      </c>
      <c r="Y353" s="56" t="s">
        <v>23</v>
      </c>
      <c r="Z353" s="56" t="s">
        <v>99</v>
      </c>
      <c r="AA353" s="56" t="s">
        <v>99</v>
      </c>
      <c r="AB353" s="56" t="s">
        <v>23</v>
      </c>
      <c r="AC353" s="56" t="s">
        <v>23</v>
      </c>
      <c r="AD353" s="56" t="s">
        <v>99</v>
      </c>
      <c r="AE353" s="56" t="s">
        <v>99</v>
      </c>
      <c r="AF353" s="56" t="s">
        <v>99</v>
      </c>
      <c r="AG353" s="56" t="s">
        <v>23</v>
      </c>
      <c r="AH353" s="56" t="s">
        <v>99</v>
      </c>
      <c r="AI353" s="56" t="s">
        <v>99</v>
      </c>
      <c r="AJ353" s="56" t="s">
        <v>99</v>
      </c>
      <c r="AK353" s="56" t="s">
        <v>23</v>
      </c>
      <c r="AL353" s="56" t="s">
        <v>99</v>
      </c>
      <c r="AM353" s="56" t="s">
        <v>99</v>
      </c>
      <c r="AN353" s="56" t="s">
        <v>99</v>
      </c>
      <c r="AO353" s="56" t="s">
        <v>99</v>
      </c>
      <c r="AP353" s="56" t="s">
        <v>99</v>
      </c>
      <c r="AQ353" s="56" t="s">
        <v>99</v>
      </c>
      <c r="AR353" s="56" t="s">
        <v>99</v>
      </c>
      <c r="AS353" s="56" t="s">
        <v>99</v>
      </c>
      <c r="AT353" s="56" t="s">
        <v>99</v>
      </c>
      <c r="AU353" s="56" t="s">
        <v>99</v>
      </c>
      <c r="AV353" s="56" t="s">
        <v>99</v>
      </c>
      <c r="AW353" s="56" t="s">
        <v>99</v>
      </c>
      <c r="AX353" s="56" t="s">
        <v>99</v>
      </c>
      <c r="AY353" s="56" t="s">
        <v>99</v>
      </c>
      <c r="AZ353" s="56" t="s">
        <v>99</v>
      </c>
      <c r="BA353" s="56" t="s">
        <v>99</v>
      </c>
      <c r="BB353" s="56" t="s">
        <v>99</v>
      </c>
      <c r="BC353" s="56" t="s">
        <v>99</v>
      </c>
      <c r="BD353" s="56" t="s">
        <v>99</v>
      </c>
      <c r="BE353" s="56" t="s">
        <v>99</v>
      </c>
      <c r="BF353" s="56" t="s">
        <v>99</v>
      </c>
      <c r="BG353" s="56" t="s">
        <v>99</v>
      </c>
      <c r="BH353" s="56" t="s">
        <v>99</v>
      </c>
      <c r="BI353" s="56" t="s">
        <v>99</v>
      </c>
      <c r="BJ353" s="56" t="s">
        <v>99</v>
      </c>
      <c r="BK353" s="56" t="s">
        <v>99</v>
      </c>
      <c r="BL353" s="56" t="s">
        <v>99</v>
      </c>
      <c r="BM353" s="56" t="s">
        <v>99</v>
      </c>
      <c r="BN353" s="56" t="s">
        <v>99</v>
      </c>
      <c r="BO353" s="56" t="s">
        <v>99</v>
      </c>
      <c r="BP353" s="62" t="s">
        <v>99</v>
      </c>
    </row>
    <row r="354" spans="2:68">
      <c r="B354" s="58">
        <v>12</v>
      </c>
      <c r="C354" s="59">
        <v>50</v>
      </c>
      <c r="D354" s="59" t="s">
        <v>104</v>
      </c>
      <c r="E354" s="60">
        <f>'[1]Master File'!B353</f>
        <v>46367</v>
      </c>
      <c r="F354" s="61" t="str">
        <f>'[1]Master File'!C353</f>
        <v>WT Off-Peak</v>
      </c>
      <c r="G354" s="39"/>
      <c r="I354" s="56" t="s">
        <v>99</v>
      </c>
      <c r="J354" s="56" t="s">
        <v>99</v>
      </c>
      <c r="K354" s="56" t="s">
        <v>99</v>
      </c>
      <c r="L354" s="56" t="s">
        <v>23</v>
      </c>
      <c r="M354" s="56" t="s">
        <v>99</v>
      </c>
      <c r="N354" s="56" t="s">
        <v>99</v>
      </c>
      <c r="O354" s="56" t="s">
        <v>99</v>
      </c>
      <c r="P354" s="56" t="s">
        <v>99</v>
      </c>
      <c r="Q354" s="56" t="s">
        <v>99</v>
      </c>
      <c r="R354" s="56" t="s">
        <v>99</v>
      </c>
      <c r="S354" s="56" t="s">
        <v>99</v>
      </c>
      <c r="T354" s="56" t="s">
        <v>99</v>
      </c>
      <c r="U354" s="56" t="s">
        <v>99</v>
      </c>
      <c r="V354" s="56" t="s">
        <v>99</v>
      </c>
      <c r="W354" s="56" t="s">
        <v>99</v>
      </c>
      <c r="X354" s="56" t="s">
        <v>99</v>
      </c>
      <c r="Y354" s="56" t="s">
        <v>23</v>
      </c>
      <c r="Z354" s="56" t="s">
        <v>99</v>
      </c>
      <c r="AA354" s="56" t="s">
        <v>99</v>
      </c>
      <c r="AB354" s="56" t="s">
        <v>23</v>
      </c>
      <c r="AC354" s="56" t="s">
        <v>23</v>
      </c>
      <c r="AD354" s="56" t="s">
        <v>99</v>
      </c>
      <c r="AE354" s="56" t="s">
        <v>99</v>
      </c>
      <c r="AF354" s="56" t="s">
        <v>99</v>
      </c>
      <c r="AG354" s="56" t="s">
        <v>23</v>
      </c>
      <c r="AH354" s="56" t="s">
        <v>99</v>
      </c>
      <c r="AI354" s="56" t="s">
        <v>99</v>
      </c>
      <c r="AJ354" s="56" t="s">
        <v>99</v>
      </c>
      <c r="AK354" s="56" t="s">
        <v>23</v>
      </c>
      <c r="AL354" s="56" t="s">
        <v>99</v>
      </c>
      <c r="AM354" s="56" t="s">
        <v>99</v>
      </c>
      <c r="AN354" s="56" t="s">
        <v>99</v>
      </c>
      <c r="AO354" s="56" t="s">
        <v>99</v>
      </c>
      <c r="AP354" s="56" t="s">
        <v>99</v>
      </c>
      <c r="AQ354" s="56" t="s">
        <v>99</v>
      </c>
      <c r="AR354" s="56" t="s">
        <v>99</v>
      </c>
      <c r="AS354" s="56" t="s">
        <v>99</v>
      </c>
      <c r="AT354" s="56" t="s">
        <v>99</v>
      </c>
      <c r="AU354" s="56" t="s">
        <v>99</v>
      </c>
      <c r="AV354" s="56" t="s">
        <v>99</v>
      </c>
      <c r="AW354" s="56" t="s">
        <v>99</v>
      </c>
      <c r="AX354" s="56" t="s">
        <v>99</v>
      </c>
      <c r="AY354" s="56" t="s">
        <v>99</v>
      </c>
      <c r="AZ354" s="56" t="s">
        <v>99</v>
      </c>
      <c r="BA354" s="56" t="s">
        <v>99</v>
      </c>
      <c r="BB354" s="56" t="s">
        <v>99</v>
      </c>
      <c r="BC354" s="56" t="s">
        <v>99</v>
      </c>
      <c r="BD354" s="56" t="s">
        <v>99</v>
      </c>
      <c r="BE354" s="56" t="s">
        <v>99</v>
      </c>
      <c r="BF354" s="56" t="s">
        <v>99</v>
      </c>
      <c r="BG354" s="56" t="s">
        <v>99</v>
      </c>
      <c r="BH354" s="56" t="s">
        <v>99</v>
      </c>
      <c r="BI354" s="56" t="s">
        <v>99</v>
      </c>
      <c r="BJ354" s="56" t="s">
        <v>99</v>
      </c>
      <c r="BK354" s="56" t="s">
        <v>99</v>
      </c>
      <c r="BL354" s="56" t="s">
        <v>99</v>
      </c>
      <c r="BM354" s="56" t="s">
        <v>99</v>
      </c>
      <c r="BN354" s="56" t="s">
        <v>99</v>
      </c>
      <c r="BO354" s="56" t="s">
        <v>99</v>
      </c>
      <c r="BP354" s="62" t="s">
        <v>99</v>
      </c>
    </row>
    <row r="355" spans="2:68">
      <c r="B355" s="58">
        <v>12</v>
      </c>
      <c r="C355" s="59">
        <v>50</v>
      </c>
      <c r="D355" s="59" t="s">
        <v>105</v>
      </c>
      <c r="E355" s="60">
        <f>'[1]Master File'!B354</f>
        <v>46368</v>
      </c>
      <c r="F355" s="61" t="str">
        <f>'[1]Master File'!C354</f>
        <v>WT Peak</v>
      </c>
      <c r="G355" s="39"/>
      <c r="I355" s="67" t="s">
        <v>99</v>
      </c>
      <c r="J355" s="67" t="s">
        <v>99</v>
      </c>
      <c r="K355" s="67" t="s">
        <v>99</v>
      </c>
      <c r="L355" s="67" t="s">
        <v>23</v>
      </c>
      <c r="M355" s="67" t="s">
        <v>99</v>
      </c>
      <c r="N355" s="67" t="s">
        <v>99</v>
      </c>
      <c r="O355" s="67" t="s">
        <v>99</v>
      </c>
      <c r="P355" s="67" t="s">
        <v>99</v>
      </c>
      <c r="Q355" s="67" t="s">
        <v>99</v>
      </c>
      <c r="R355" s="67" t="s">
        <v>99</v>
      </c>
      <c r="S355" s="67" t="s">
        <v>99</v>
      </c>
      <c r="T355" s="67" t="s">
        <v>99</v>
      </c>
      <c r="U355" s="67" t="s">
        <v>99</v>
      </c>
      <c r="V355" s="67" t="s">
        <v>99</v>
      </c>
      <c r="W355" s="67" t="s">
        <v>99</v>
      </c>
      <c r="X355" s="67" t="s">
        <v>99</v>
      </c>
      <c r="Y355" s="56" t="s">
        <v>23</v>
      </c>
      <c r="Z355" s="67" t="s">
        <v>99</v>
      </c>
      <c r="AA355" s="67" t="s">
        <v>99</v>
      </c>
      <c r="AB355" s="67" t="s">
        <v>23</v>
      </c>
      <c r="AC355" s="67" t="s">
        <v>23</v>
      </c>
      <c r="AD355" s="67" t="s">
        <v>99</v>
      </c>
      <c r="AE355" s="67" t="s">
        <v>99</v>
      </c>
      <c r="AF355" s="67" t="s">
        <v>99</v>
      </c>
      <c r="AG355" s="67" t="s">
        <v>23</v>
      </c>
      <c r="AH355" s="67" t="s">
        <v>99</v>
      </c>
      <c r="AI355" s="67" t="s">
        <v>99</v>
      </c>
      <c r="AJ355" s="67" t="s">
        <v>99</v>
      </c>
      <c r="AK355" s="67" t="s">
        <v>23</v>
      </c>
      <c r="AL355" s="67" t="s">
        <v>99</v>
      </c>
      <c r="AM355" s="67" t="s">
        <v>99</v>
      </c>
      <c r="AN355" s="67" t="s">
        <v>99</v>
      </c>
      <c r="AO355" s="67" t="s">
        <v>99</v>
      </c>
      <c r="AP355" s="67" t="s">
        <v>99</v>
      </c>
      <c r="AQ355" s="67" t="s">
        <v>23</v>
      </c>
      <c r="AR355" s="67" t="s">
        <v>99</v>
      </c>
      <c r="AS355" s="67" t="s">
        <v>99</v>
      </c>
      <c r="AT355" s="67" t="s">
        <v>99</v>
      </c>
      <c r="AU355" s="67" t="s">
        <v>99</v>
      </c>
      <c r="AV355" s="67" t="s">
        <v>99</v>
      </c>
      <c r="AW355" s="67" t="s">
        <v>99</v>
      </c>
      <c r="AX355" s="67" t="s">
        <v>99</v>
      </c>
      <c r="AY355" s="67" t="s">
        <v>99</v>
      </c>
      <c r="AZ355" s="67" t="s">
        <v>99</v>
      </c>
      <c r="BA355" s="67" t="s">
        <v>99</v>
      </c>
      <c r="BB355" s="67" t="s">
        <v>99</v>
      </c>
      <c r="BC355" s="67" t="s">
        <v>99</v>
      </c>
      <c r="BD355" s="67" t="s">
        <v>99</v>
      </c>
      <c r="BE355" s="67" t="s">
        <v>99</v>
      </c>
      <c r="BF355" s="67" t="s">
        <v>99</v>
      </c>
      <c r="BG355" s="67" t="s">
        <v>99</v>
      </c>
      <c r="BH355" s="67" t="s">
        <v>99</v>
      </c>
      <c r="BI355" s="67" t="s">
        <v>99</v>
      </c>
      <c r="BJ355" s="67" t="s">
        <v>99</v>
      </c>
      <c r="BK355" s="67" t="s">
        <v>99</v>
      </c>
      <c r="BL355" s="67" t="s">
        <v>99</v>
      </c>
      <c r="BM355" s="67" t="s">
        <v>99</v>
      </c>
      <c r="BN355" s="67" t="s">
        <v>99</v>
      </c>
      <c r="BO355" s="67" t="s">
        <v>99</v>
      </c>
      <c r="BP355" s="68" t="s">
        <v>99</v>
      </c>
    </row>
    <row r="356" spans="2:68">
      <c r="B356" s="58">
        <v>12</v>
      </c>
      <c r="C356" s="59">
        <v>51</v>
      </c>
      <c r="D356" s="59" t="s">
        <v>98</v>
      </c>
      <c r="E356" s="60">
        <f>'[1]Master File'!B355</f>
        <v>46369</v>
      </c>
      <c r="F356" s="61" t="str">
        <f>'[1]Master File'!C355</f>
        <v>WT Peak</v>
      </c>
      <c r="G356" s="39"/>
      <c r="I356" s="67" t="s">
        <v>99</v>
      </c>
      <c r="J356" s="67" t="s">
        <v>99</v>
      </c>
      <c r="K356" s="67" t="s">
        <v>99</v>
      </c>
      <c r="L356" s="67" t="s">
        <v>23</v>
      </c>
      <c r="M356" s="67" t="s">
        <v>99</v>
      </c>
      <c r="N356" s="67" t="s">
        <v>99</v>
      </c>
      <c r="O356" s="67" t="s">
        <v>99</v>
      </c>
      <c r="P356" s="67" t="s">
        <v>99</v>
      </c>
      <c r="Q356" s="67" t="s">
        <v>99</v>
      </c>
      <c r="R356" s="67" t="s">
        <v>99</v>
      </c>
      <c r="S356" s="67" t="s">
        <v>99</v>
      </c>
      <c r="T356" s="67" t="s">
        <v>99</v>
      </c>
      <c r="U356" s="67" t="s">
        <v>99</v>
      </c>
      <c r="V356" s="67" t="s">
        <v>99</v>
      </c>
      <c r="W356" s="67" t="s">
        <v>99</v>
      </c>
      <c r="X356" s="67" t="s">
        <v>99</v>
      </c>
      <c r="Y356" s="56" t="s">
        <v>23</v>
      </c>
      <c r="Z356" s="67" t="s">
        <v>99</v>
      </c>
      <c r="AA356" s="67" t="s">
        <v>99</v>
      </c>
      <c r="AB356" s="67" t="s">
        <v>23</v>
      </c>
      <c r="AC356" s="67" t="s">
        <v>23</v>
      </c>
      <c r="AD356" s="67" t="s">
        <v>99</v>
      </c>
      <c r="AE356" s="67" t="s">
        <v>99</v>
      </c>
      <c r="AF356" s="67" t="s">
        <v>99</v>
      </c>
      <c r="AG356" s="67" t="s">
        <v>23</v>
      </c>
      <c r="AH356" s="67" t="s">
        <v>99</v>
      </c>
      <c r="AI356" s="67" t="s">
        <v>99</v>
      </c>
      <c r="AJ356" s="67" t="s">
        <v>99</v>
      </c>
      <c r="AK356" s="67" t="s">
        <v>23</v>
      </c>
      <c r="AL356" s="67" t="s">
        <v>99</v>
      </c>
      <c r="AM356" s="67" t="s">
        <v>99</v>
      </c>
      <c r="AN356" s="67" t="s">
        <v>99</v>
      </c>
      <c r="AO356" s="67" t="s">
        <v>99</v>
      </c>
      <c r="AP356" s="67" t="s">
        <v>99</v>
      </c>
      <c r="AQ356" s="67" t="s">
        <v>23</v>
      </c>
      <c r="AR356" s="67" t="s">
        <v>99</v>
      </c>
      <c r="AS356" s="67" t="s">
        <v>99</v>
      </c>
      <c r="AT356" s="67" t="s">
        <v>99</v>
      </c>
      <c r="AU356" s="67" t="s">
        <v>99</v>
      </c>
      <c r="AV356" s="67" t="s">
        <v>99</v>
      </c>
      <c r="AW356" s="67" t="s">
        <v>99</v>
      </c>
      <c r="AX356" s="67" t="s">
        <v>99</v>
      </c>
      <c r="AY356" s="67" t="s">
        <v>99</v>
      </c>
      <c r="AZ356" s="67" t="s">
        <v>99</v>
      </c>
      <c r="BA356" s="67" t="s">
        <v>99</v>
      </c>
      <c r="BB356" s="67" t="s">
        <v>99</v>
      </c>
      <c r="BC356" s="67" t="s">
        <v>99</v>
      </c>
      <c r="BD356" s="67" t="s">
        <v>99</v>
      </c>
      <c r="BE356" s="67" t="s">
        <v>99</v>
      </c>
      <c r="BF356" s="67" t="s">
        <v>99</v>
      </c>
      <c r="BG356" s="67" t="s">
        <v>99</v>
      </c>
      <c r="BH356" s="67" t="s">
        <v>99</v>
      </c>
      <c r="BI356" s="67" t="s">
        <v>99</v>
      </c>
      <c r="BJ356" s="67" t="s">
        <v>99</v>
      </c>
      <c r="BK356" s="67" t="s">
        <v>99</v>
      </c>
      <c r="BL356" s="67" t="s">
        <v>99</v>
      </c>
      <c r="BM356" s="67" t="s">
        <v>99</v>
      </c>
      <c r="BN356" s="67" t="s">
        <v>99</v>
      </c>
      <c r="BO356" s="67" t="s">
        <v>99</v>
      </c>
      <c r="BP356" s="68" t="s">
        <v>99</v>
      </c>
    </row>
    <row r="357" spans="2:68">
      <c r="B357" s="58">
        <v>12</v>
      </c>
      <c r="C357" s="59">
        <v>51</v>
      </c>
      <c r="D357" s="59" t="s">
        <v>100</v>
      </c>
      <c r="E357" s="60">
        <f>'[1]Master File'!B356</f>
        <v>46370</v>
      </c>
      <c r="F357" s="61" t="str">
        <f>'[1]Master File'!C356</f>
        <v>WT Off-Peak</v>
      </c>
      <c r="G357" s="39"/>
      <c r="I357" s="56" t="s">
        <v>99</v>
      </c>
      <c r="J357" s="56" t="s">
        <v>99</v>
      </c>
      <c r="K357" s="56" t="s">
        <v>99</v>
      </c>
      <c r="L357" s="56" t="s">
        <v>23</v>
      </c>
      <c r="M357" s="56" t="s">
        <v>99</v>
      </c>
      <c r="N357" s="56" t="s">
        <v>99</v>
      </c>
      <c r="O357" s="56" t="s">
        <v>99</v>
      </c>
      <c r="P357" s="56" t="s">
        <v>99</v>
      </c>
      <c r="Q357" s="56" t="s">
        <v>99</v>
      </c>
      <c r="R357" s="56" t="s">
        <v>99</v>
      </c>
      <c r="S357" s="56" t="s">
        <v>99</v>
      </c>
      <c r="T357" s="56" t="s">
        <v>99</v>
      </c>
      <c r="U357" s="56" t="s">
        <v>99</v>
      </c>
      <c r="V357" s="56" t="s">
        <v>99</v>
      </c>
      <c r="W357" s="56" t="s">
        <v>99</v>
      </c>
      <c r="X357" s="56" t="s">
        <v>99</v>
      </c>
      <c r="Y357" s="56" t="s">
        <v>23</v>
      </c>
      <c r="Z357" s="56" t="s">
        <v>99</v>
      </c>
      <c r="AA357" s="56" t="s">
        <v>99</v>
      </c>
      <c r="AB357" s="56" t="s">
        <v>23</v>
      </c>
      <c r="AC357" s="56" t="s">
        <v>23</v>
      </c>
      <c r="AD357" s="56" t="s">
        <v>99</v>
      </c>
      <c r="AE357" s="56" t="s">
        <v>99</v>
      </c>
      <c r="AF357" s="56" t="s">
        <v>99</v>
      </c>
      <c r="AG357" s="56" t="s">
        <v>23</v>
      </c>
      <c r="AH357" s="56" t="s">
        <v>99</v>
      </c>
      <c r="AI357" s="56" t="s">
        <v>99</v>
      </c>
      <c r="AJ357" s="56" t="s">
        <v>99</v>
      </c>
      <c r="AK357" s="56" t="s">
        <v>23</v>
      </c>
      <c r="AL357" s="56" t="s">
        <v>99</v>
      </c>
      <c r="AM357" s="56" t="s">
        <v>99</v>
      </c>
      <c r="AN357" s="56" t="s">
        <v>99</v>
      </c>
      <c r="AO357" s="56" t="s">
        <v>99</v>
      </c>
      <c r="AP357" s="56" t="s">
        <v>99</v>
      </c>
      <c r="AQ357" s="56" t="s">
        <v>99</v>
      </c>
      <c r="AR357" s="56" t="s">
        <v>99</v>
      </c>
      <c r="AS357" s="56" t="s">
        <v>99</v>
      </c>
      <c r="AT357" s="56" t="s">
        <v>99</v>
      </c>
      <c r="AU357" s="56" t="s">
        <v>99</v>
      </c>
      <c r="AV357" s="56" t="s">
        <v>99</v>
      </c>
      <c r="AW357" s="56" t="s">
        <v>99</v>
      </c>
      <c r="AX357" s="56" t="s">
        <v>99</v>
      </c>
      <c r="AY357" s="56" t="s">
        <v>99</v>
      </c>
      <c r="AZ357" s="56" t="s">
        <v>99</v>
      </c>
      <c r="BA357" s="56" t="s">
        <v>99</v>
      </c>
      <c r="BB357" s="56" t="s">
        <v>99</v>
      </c>
      <c r="BC357" s="56" t="s">
        <v>99</v>
      </c>
      <c r="BD357" s="56" t="s">
        <v>99</v>
      </c>
      <c r="BE357" s="56" t="s">
        <v>99</v>
      </c>
      <c r="BF357" s="56" t="s">
        <v>99</v>
      </c>
      <c r="BG357" s="56" t="s">
        <v>99</v>
      </c>
      <c r="BH357" s="56" t="s">
        <v>99</v>
      </c>
      <c r="BI357" s="56" t="s">
        <v>99</v>
      </c>
      <c r="BJ357" s="56" t="s">
        <v>99</v>
      </c>
      <c r="BK357" s="56" t="s">
        <v>99</v>
      </c>
      <c r="BL357" s="56" t="s">
        <v>99</v>
      </c>
      <c r="BM357" s="56" t="s">
        <v>99</v>
      </c>
      <c r="BN357" s="56" t="s">
        <v>99</v>
      </c>
      <c r="BO357" s="56" t="s">
        <v>99</v>
      </c>
      <c r="BP357" s="62" t="s">
        <v>99</v>
      </c>
    </row>
    <row r="358" spans="2:68">
      <c r="B358" s="58">
        <v>12</v>
      </c>
      <c r="C358" s="59">
        <v>51</v>
      </c>
      <c r="D358" s="59" t="s">
        <v>101</v>
      </c>
      <c r="E358" s="60">
        <f>'[1]Master File'!B357</f>
        <v>46371</v>
      </c>
      <c r="F358" s="61" t="str">
        <f>'[1]Master File'!C357</f>
        <v>WT Off-Peak</v>
      </c>
      <c r="G358" s="39"/>
      <c r="I358" s="56" t="s">
        <v>99</v>
      </c>
      <c r="J358" s="56" t="s">
        <v>99</v>
      </c>
      <c r="K358" s="56" t="s">
        <v>99</v>
      </c>
      <c r="L358" s="56" t="s">
        <v>23</v>
      </c>
      <c r="M358" s="56" t="s">
        <v>99</v>
      </c>
      <c r="N358" s="56" t="s">
        <v>99</v>
      </c>
      <c r="O358" s="56" t="s">
        <v>99</v>
      </c>
      <c r="P358" s="56" t="s">
        <v>99</v>
      </c>
      <c r="Q358" s="56" t="s">
        <v>99</v>
      </c>
      <c r="R358" s="56" t="s">
        <v>99</v>
      </c>
      <c r="S358" s="56" t="s">
        <v>99</v>
      </c>
      <c r="T358" s="56" t="s">
        <v>99</v>
      </c>
      <c r="U358" s="56" t="s">
        <v>99</v>
      </c>
      <c r="V358" s="56" t="s">
        <v>99</v>
      </c>
      <c r="W358" s="56" t="s">
        <v>99</v>
      </c>
      <c r="X358" s="56" t="s">
        <v>99</v>
      </c>
      <c r="Y358" s="56" t="s">
        <v>23</v>
      </c>
      <c r="Z358" s="56" t="s">
        <v>99</v>
      </c>
      <c r="AA358" s="56" t="s">
        <v>99</v>
      </c>
      <c r="AB358" s="56" t="s">
        <v>23</v>
      </c>
      <c r="AC358" s="56" t="s">
        <v>23</v>
      </c>
      <c r="AD358" s="56" t="s">
        <v>99</v>
      </c>
      <c r="AE358" s="56" t="s">
        <v>99</v>
      </c>
      <c r="AF358" s="56" t="s">
        <v>99</v>
      </c>
      <c r="AG358" s="56" t="s">
        <v>23</v>
      </c>
      <c r="AH358" s="56" t="s">
        <v>99</v>
      </c>
      <c r="AI358" s="56" t="s">
        <v>99</v>
      </c>
      <c r="AJ358" s="56" t="s">
        <v>99</v>
      </c>
      <c r="AK358" s="56" t="s">
        <v>23</v>
      </c>
      <c r="AL358" s="56" t="s">
        <v>99</v>
      </c>
      <c r="AM358" s="56" t="s">
        <v>99</v>
      </c>
      <c r="AN358" s="56" t="s">
        <v>99</v>
      </c>
      <c r="AO358" s="56" t="s">
        <v>99</v>
      </c>
      <c r="AP358" s="56" t="s">
        <v>99</v>
      </c>
      <c r="AQ358" s="56" t="s">
        <v>99</v>
      </c>
      <c r="AR358" s="56" t="s">
        <v>99</v>
      </c>
      <c r="AS358" s="56" t="s">
        <v>99</v>
      </c>
      <c r="AT358" s="56" t="s">
        <v>99</v>
      </c>
      <c r="AU358" s="56" t="s">
        <v>99</v>
      </c>
      <c r="AV358" s="56" t="s">
        <v>99</v>
      </c>
      <c r="AW358" s="56" t="s">
        <v>99</v>
      </c>
      <c r="AX358" s="56" t="s">
        <v>99</v>
      </c>
      <c r="AY358" s="56" t="s">
        <v>99</v>
      </c>
      <c r="AZ358" s="56" t="s">
        <v>99</v>
      </c>
      <c r="BA358" s="56" t="s">
        <v>99</v>
      </c>
      <c r="BB358" s="56" t="s">
        <v>99</v>
      </c>
      <c r="BC358" s="56" t="s">
        <v>99</v>
      </c>
      <c r="BD358" s="56" t="s">
        <v>99</v>
      </c>
      <c r="BE358" s="56" t="s">
        <v>99</v>
      </c>
      <c r="BF358" s="56" t="s">
        <v>99</v>
      </c>
      <c r="BG358" s="56" t="s">
        <v>99</v>
      </c>
      <c r="BH358" s="56" t="s">
        <v>99</v>
      </c>
      <c r="BI358" s="56" t="s">
        <v>99</v>
      </c>
      <c r="BJ358" s="56" t="s">
        <v>99</v>
      </c>
      <c r="BK358" s="56" t="s">
        <v>99</v>
      </c>
      <c r="BL358" s="56" t="s">
        <v>99</v>
      </c>
      <c r="BM358" s="56" t="s">
        <v>99</v>
      </c>
      <c r="BN358" s="56" t="s">
        <v>99</v>
      </c>
      <c r="BO358" s="56" t="s">
        <v>99</v>
      </c>
      <c r="BP358" s="62" t="s">
        <v>99</v>
      </c>
    </row>
    <row r="359" spans="2:68">
      <c r="B359" s="58">
        <v>12</v>
      </c>
      <c r="C359" s="59">
        <v>51</v>
      </c>
      <c r="D359" s="59" t="s">
        <v>102</v>
      </c>
      <c r="E359" s="60">
        <f>'[1]Master File'!B358</f>
        <v>46372</v>
      </c>
      <c r="F359" s="61" t="str">
        <f>'[1]Master File'!C358</f>
        <v>WT Off-Peak</v>
      </c>
      <c r="G359" s="39"/>
      <c r="I359" s="56" t="s">
        <v>99</v>
      </c>
      <c r="J359" s="56" t="s">
        <v>99</v>
      </c>
      <c r="K359" s="56" t="s">
        <v>99</v>
      </c>
      <c r="L359" s="56" t="s">
        <v>23</v>
      </c>
      <c r="M359" s="56" t="s">
        <v>99</v>
      </c>
      <c r="N359" s="56" t="s">
        <v>99</v>
      </c>
      <c r="O359" s="56" t="s">
        <v>99</v>
      </c>
      <c r="P359" s="56" t="s">
        <v>99</v>
      </c>
      <c r="Q359" s="56" t="s">
        <v>99</v>
      </c>
      <c r="R359" s="56" t="s">
        <v>99</v>
      </c>
      <c r="S359" s="56" t="s">
        <v>99</v>
      </c>
      <c r="T359" s="56" t="s">
        <v>99</v>
      </c>
      <c r="U359" s="56" t="s">
        <v>99</v>
      </c>
      <c r="V359" s="56" t="s">
        <v>99</v>
      </c>
      <c r="W359" s="56" t="s">
        <v>99</v>
      </c>
      <c r="X359" s="56" t="s">
        <v>99</v>
      </c>
      <c r="Y359" s="56" t="s">
        <v>23</v>
      </c>
      <c r="Z359" s="56" t="s">
        <v>99</v>
      </c>
      <c r="AA359" s="56" t="s">
        <v>99</v>
      </c>
      <c r="AB359" s="56" t="s">
        <v>23</v>
      </c>
      <c r="AC359" s="56" t="s">
        <v>23</v>
      </c>
      <c r="AD359" s="56" t="s">
        <v>99</v>
      </c>
      <c r="AE359" s="56" t="s">
        <v>99</v>
      </c>
      <c r="AF359" s="56" t="s">
        <v>99</v>
      </c>
      <c r="AG359" s="56" t="s">
        <v>23</v>
      </c>
      <c r="AH359" s="56" t="s">
        <v>99</v>
      </c>
      <c r="AI359" s="56" t="s">
        <v>99</v>
      </c>
      <c r="AJ359" s="56" t="s">
        <v>99</v>
      </c>
      <c r="AK359" s="56" t="s">
        <v>23</v>
      </c>
      <c r="AL359" s="56" t="s">
        <v>99</v>
      </c>
      <c r="AM359" s="56" t="s">
        <v>99</v>
      </c>
      <c r="AN359" s="56" t="s">
        <v>99</v>
      </c>
      <c r="AO359" s="56" t="s">
        <v>99</v>
      </c>
      <c r="AP359" s="56" t="s">
        <v>99</v>
      </c>
      <c r="AQ359" s="56" t="s">
        <v>99</v>
      </c>
      <c r="AR359" s="56" t="s">
        <v>99</v>
      </c>
      <c r="AS359" s="56" t="s">
        <v>99</v>
      </c>
      <c r="AT359" s="56" t="s">
        <v>99</v>
      </c>
      <c r="AU359" s="56" t="s">
        <v>99</v>
      </c>
      <c r="AV359" s="56" t="s">
        <v>99</v>
      </c>
      <c r="AW359" s="56" t="s">
        <v>99</v>
      </c>
      <c r="AX359" s="56" t="s">
        <v>99</v>
      </c>
      <c r="AY359" s="56" t="s">
        <v>99</v>
      </c>
      <c r="AZ359" s="56" t="s">
        <v>99</v>
      </c>
      <c r="BA359" s="56" t="s">
        <v>99</v>
      </c>
      <c r="BB359" s="56" t="s">
        <v>99</v>
      </c>
      <c r="BC359" s="56" t="s">
        <v>99</v>
      </c>
      <c r="BD359" s="56" t="s">
        <v>99</v>
      </c>
      <c r="BE359" s="56" t="s">
        <v>99</v>
      </c>
      <c r="BF359" s="56" t="s">
        <v>99</v>
      </c>
      <c r="BG359" s="56" t="s">
        <v>99</v>
      </c>
      <c r="BH359" s="56" t="s">
        <v>99</v>
      </c>
      <c r="BI359" s="56" t="s">
        <v>99</v>
      </c>
      <c r="BJ359" s="56" t="s">
        <v>99</v>
      </c>
      <c r="BK359" s="56" t="s">
        <v>99</v>
      </c>
      <c r="BL359" s="56" t="s">
        <v>99</v>
      </c>
      <c r="BM359" s="56" t="s">
        <v>99</v>
      </c>
      <c r="BN359" s="56" t="s">
        <v>99</v>
      </c>
      <c r="BO359" s="56" t="s">
        <v>99</v>
      </c>
      <c r="BP359" s="62" t="s">
        <v>99</v>
      </c>
    </row>
    <row r="360" spans="2:68">
      <c r="B360" s="58">
        <v>12</v>
      </c>
      <c r="C360" s="59">
        <v>51</v>
      </c>
      <c r="D360" s="59" t="s">
        <v>103</v>
      </c>
      <c r="E360" s="60">
        <f>'[1]Master File'!B359</f>
        <v>46373</v>
      </c>
      <c r="F360" s="61" t="str">
        <f>'[1]Master File'!C359</f>
        <v>WT Off-Peak</v>
      </c>
      <c r="G360" s="39"/>
      <c r="I360" s="56" t="s">
        <v>99</v>
      </c>
      <c r="J360" s="56" t="s">
        <v>99</v>
      </c>
      <c r="K360" s="56" t="s">
        <v>99</v>
      </c>
      <c r="L360" s="56" t="s">
        <v>23</v>
      </c>
      <c r="M360" s="56" t="s">
        <v>99</v>
      </c>
      <c r="N360" s="56" t="s">
        <v>99</v>
      </c>
      <c r="O360" s="56" t="s">
        <v>99</v>
      </c>
      <c r="P360" s="56" t="s">
        <v>99</v>
      </c>
      <c r="Q360" s="56" t="s">
        <v>99</v>
      </c>
      <c r="R360" s="56" t="s">
        <v>99</v>
      </c>
      <c r="S360" s="56" t="s">
        <v>99</v>
      </c>
      <c r="T360" s="56" t="s">
        <v>99</v>
      </c>
      <c r="U360" s="56" t="s">
        <v>99</v>
      </c>
      <c r="V360" s="56" t="s">
        <v>99</v>
      </c>
      <c r="W360" s="56" t="s">
        <v>99</v>
      </c>
      <c r="X360" s="56" t="s">
        <v>99</v>
      </c>
      <c r="Y360" s="56" t="s">
        <v>23</v>
      </c>
      <c r="Z360" s="56" t="s">
        <v>99</v>
      </c>
      <c r="AA360" s="56" t="s">
        <v>99</v>
      </c>
      <c r="AB360" s="56" t="s">
        <v>23</v>
      </c>
      <c r="AC360" s="56" t="s">
        <v>23</v>
      </c>
      <c r="AD360" s="56" t="s">
        <v>99</v>
      </c>
      <c r="AE360" s="56" t="s">
        <v>99</v>
      </c>
      <c r="AF360" s="56" t="s">
        <v>99</v>
      </c>
      <c r="AG360" s="56" t="s">
        <v>23</v>
      </c>
      <c r="AH360" s="56" t="s">
        <v>99</v>
      </c>
      <c r="AI360" s="56" t="s">
        <v>99</v>
      </c>
      <c r="AJ360" s="56" t="s">
        <v>99</v>
      </c>
      <c r="AK360" s="56" t="s">
        <v>23</v>
      </c>
      <c r="AL360" s="56" t="s">
        <v>99</v>
      </c>
      <c r="AM360" s="56" t="s">
        <v>99</v>
      </c>
      <c r="AN360" s="56" t="s">
        <v>99</v>
      </c>
      <c r="AO360" s="56" t="s">
        <v>99</v>
      </c>
      <c r="AP360" s="56" t="s">
        <v>99</v>
      </c>
      <c r="AQ360" s="56" t="s">
        <v>99</v>
      </c>
      <c r="AR360" s="56" t="s">
        <v>99</v>
      </c>
      <c r="AS360" s="56" t="s">
        <v>99</v>
      </c>
      <c r="AT360" s="56" t="s">
        <v>99</v>
      </c>
      <c r="AU360" s="56" t="s">
        <v>99</v>
      </c>
      <c r="AV360" s="56" t="s">
        <v>99</v>
      </c>
      <c r="AW360" s="56" t="s">
        <v>99</v>
      </c>
      <c r="AX360" s="56" t="s">
        <v>99</v>
      </c>
      <c r="AY360" s="56" t="s">
        <v>99</v>
      </c>
      <c r="AZ360" s="56" t="s">
        <v>99</v>
      </c>
      <c r="BA360" s="56" t="s">
        <v>99</v>
      </c>
      <c r="BB360" s="56" t="s">
        <v>99</v>
      </c>
      <c r="BC360" s="56" t="s">
        <v>99</v>
      </c>
      <c r="BD360" s="56" t="s">
        <v>99</v>
      </c>
      <c r="BE360" s="56" t="s">
        <v>99</v>
      </c>
      <c r="BF360" s="56" t="s">
        <v>99</v>
      </c>
      <c r="BG360" s="56" t="s">
        <v>99</v>
      </c>
      <c r="BH360" s="56" t="s">
        <v>99</v>
      </c>
      <c r="BI360" s="56" t="s">
        <v>99</v>
      </c>
      <c r="BJ360" s="56" t="s">
        <v>99</v>
      </c>
      <c r="BK360" s="56" t="s">
        <v>99</v>
      </c>
      <c r="BL360" s="56" t="s">
        <v>99</v>
      </c>
      <c r="BM360" s="56" t="s">
        <v>99</v>
      </c>
      <c r="BN360" s="56" t="s">
        <v>99</v>
      </c>
      <c r="BO360" s="56" t="s">
        <v>99</v>
      </c>
      <c r="BP360" s="62" t="s">
        <v>99</v>
      </c>
    </row>
    <row r="361" spans="2:68">
      <c r="B361" s="58">
        <v>12</v>
      </c>
      <c r="C361" s="59">
        <v>51</v>
      </c>
      <c r="D361" s="59" t="s">
        <v>104</v>
      </c>
      <c r="E361" s="60">
        <f>'[1]Master File'!B360</f>
        <v>46374</v>
      </c>
      <c r="F361" s="61" t="str">
        <f>'[1]Master File'!C360</f>
        <v>WT Off-Peak</v>
      </c>
      <c r="G361" s="39"/>
      <c r="I361" s="56" t="s">
        <v>99</v>
      </c>
      <c r="J361" s="56" t="s">
        <v>99</v>
      </c>
      <c r="K361" s="56" t="s">
        <v>99</v>
      </c>
      <c r="L361" s="56" t="s">
        <v>23</v>
      </c>
      <c r="M361" s="56" t="s">
        <v>99</v>
      </c>
      <c r="N361" s="56" t="s">
        <v>99</v>
      </c>
      <c r="O361" s="56" t="s">
        <v>99</v>
      </c>
      <c r="P361" s="56" t="s">
        <v>99</v>
      </c>
      <c r="Q361" s="56" t="s">
        <v>99</v>
      </c>
      <c r="R361" s="56" t="s">
        <v>99</v>
      </c>
      <c r="S361" s="56" t="s">
        <v>99</v>
      </c>
      <c r="T361" s="56" t="s">
        <v>99</v>
      </c>
      <c r="U361" s="56" t="s">
        <v>99</v>
      </c>
      <c r="V361" s="56" t="s">
        <v>99</v>
      </c>
      <c r="W361" s="56" t="s">
        <v>99</v>
      </c>
      <c r="X361" s="56" t="s">
        <v>99</v>
      </c>
      <c r="Y361" s="56" t="s">
        <v>23</v>
      </c>
      <c r="Z361" s="56" t="s">
        <v>99</v>
      </c>
      <c r="AA361" s="56" t="s">
        <v>99</v>
      </c>
      <c r="AB361" s="56" t="s">
        <v>23</v>
      </c>
      <c r="AC361" s="56" t="s">
        <v>23</v>
      </c>
      <c r="AD361" s="56" t="s">
        <v>99</v>
      </c>
      <c r="AE361" s="56" t="s">
        <v>99</v>
      </c>
      <c r="AF361" s="56" t="s">
        <v>99</v>
      </c>
      <c r="AG361" s="56" t="s">
        <v>23</v>
      </c>
      <c r="AH361" s="56" t="s">
        <v>99</v>
      </c>
      <c r="AI361" s="56" t="s">
        <v>99</v>
      </c>
      <c r="AJ361" s="56" t="s">
        <v>99</v>
      </c>
      <c r="AK361" s="56" t="s">
        <v>23</v>
      </c>
      <c r="AL361" s="56" t="s">
        <v>99</v>
      </c>
      <c r="AM361" s="56" t="s">
        <v>99</v>
      </c>
      <c r="AN361" s="56" t="s">
        <v>99</v>
      </c>
      <c r="AO361" s="56" t="s">
        <v>99</v>
      </c>
      <c r="AP361" s="56" t="s">
        <v>99</v>
      </c>
      <c r="AQ361" s="56" t="s">
        <v>99</v>
      </c>
      <c r="AR361" s="56" t="s">
        <v>99</v>
      </c>
      <c r="AS361" s="56" t="s">
        <v>99</v>
      </c>
      <c r="AT361" s="56" t="s">
        <v>99</v>
      </c>
      <c r="AU361" s="56" t="s">
        <v>99</v>
      </c>
      <c r="AV361" s="56" t="s">
        <v>99</v>
      </c>
      <c r="AW361" s="56" t="s">
        <v>99</v>
      </c>
      <c r="AX361" s="56" t="s">
        <v>99</v>
      </c>
      <c r="AY361" s="56" t="s">
        <v>99</v>
      </c>
      <c r="AZ361" s="56" t="s">
        <v>99</v>
      </c>
      <c r="BA361" s="56" t="s">
        <v>99</v>
      </c>
      <c r="BB361" s="56" t="s">
        <v>99</v>
      </c>
      <c r="BC361" s="56" t="s">
        <v>99</v>
      </c>
      <c r="BD361" s="56" t="s">
        <v>99</v>
      </c>
      <c r="BE361" s="56" t="s">
        <v>99</v>
      </c>
      <c r="BF361" s="56" t="s">
        <v>99</v>
      </c>
      <c r="BG361" s="56" t="s">
        <v>99</v>
      </c>
      <c r="BH361" s="56" t="s">
        <v>99</v>
      </c>
      <c r="BI361" s="56" t="s">
        <v>99</v>
      </c>
      <c r="BJ361" s="56" t="s">
        <v>99</v>
      </c>
      <c r="BK361" s="56" t="s">
        <v>99</v>
      </c>
      <c r="BL361" s="56" t="s">
        <v>99</v>
      </c>
      <c r="BM361" s="56" t="s">
        <v>99</v>
      </c>
      <c r="BN361" s="56" t="s">
        <v>99</v>
      </c>
      <c r="BO361" s="56" t="s">
        <v>99</v>
      </c>
      <c r="BP361" s="62" t="s">
        <v>99</v>
      </c>
    </row>
    <row r="362" spans="2:68">
      <c r="B362" s="58">
        <v>12</v>
      </c>
      <c r="C362" s="59">
        <v>51</v>
      </c>
      <c r="D362" s="59" t="s">
        <v>105</v>
      </c>
      <c r="E362" s="60">
        <f>'[1]Master File'!B361</f>
        <v>46375</v>
      </c>
      <c r="F362" s="61" t="str">
        <f>'[1]Master File'!C361</f>
        <v>WT Peak</v>
      </c>
      <c r="G362" s="39"/>
      <c r="I362" s="67" t="s">
        <v>99</v>
      </c>
      <c r="J362" s="67" t="s">
        <v>99</v>
      </c>
      <c r="K362" s="67" t="s">
        <v>99</v>
      </c>
      <c r="L362" s="67" t="s">
        <v>23</v>
      </c>
      <c r="M362" s="67" t="s">
        <v>99</v>
      </c>
      <c r="N362" s="67" t="s">
        <v>99</v>
      </c>
      <c r="O362" s="67" t="s">
        <v>99</v>
      </c>
      <c r="P362" s="67" t="s">
        <v>99</v>
      </c>
      <c r="Q362" s="67" t="s">
        <v>99</v>
      </c>
      <c r="R362" s="67" t="s">
        <v>99</v>
      </c>
      <c r="S362" s="67" t="s">
        <v>99</v>
      </c>
      <c r="T362" s="67" t="s">
        <v>99</v>
      </c>
      <c r="U362" s="67" t="s">
        <v>99</v>
      </c>
      <c r="V362" s="67" t="s">
        <v>99</v>
      </c>
      <c r="W362" s="67" t="s">
        <v>99</v>
      </c>
      <c r="X362" s="67" t="s">
        <v>99</v>
      </c>
      <c r="Y362" s="56" t="s">
        <v>23</v>
      </c>
      <c r="Z362" s="67" t="s">
        <v>99</v>
      </c>
      <c r="AA362" s="67" t="s">
        <v>99</v>
      </c>
      <c r="AB362" s="67" t="s">
        <v>23</v>
      </c>
      <c r="AC362" s="67" t="s">
        <v>23</v>
      </c>
      <c r="AD362" s="67" t="s">
        <v>99</v>
      </c>
      <c r="AE362" s="67" t="s">
        <v>99</v>
      </c>
      <c r="AF362" s="67" t="s">
        <v>99</v>
      </c>
      <c r="AG362" s="67" t="s">
        <v>23</v>
      </c>
      <c r="AH362" s="67" t="s">
        <v>99</v>
      </c>
      <c r="AI362" s="67" t="s">
        <v>99</v>
      </c>
      <c r="AJ362" s="67" t="s">
        <v>99</v>
      </c>
      <c r="AK362" s="67" t="s">
        <v>23</v>
      </c>
      <c r="AL362" s="67" t="s">
        <v>99</v>
      </c>
      <c r="AM362" s="67" t="s">
        <v>99</v>
      </c>
      <c r="AN362" s="67" t="s">
        <v>99</v>
      </c>
      <c r="AO362" s="67" t="s">
        <v>99</v>
      </c>
      <c r="AP362" s="67" t="s">
        <v>99</v>
      </c>
      <c r="AQ362" s="67" t="s">
        <v>23</v>
      </c>
      <c r="AR362" s="67" t="s">
        <v>99</v>
      </c>
      <c r="AS362" s="67" t="s">
        <v>99</v>
      </c>
      <c r="AT362" s="67" t="s">
        <v>99</v>
      </c>
      <c r="AU362" s="67" t="s">
        <v>99</v>
      </c>
      <c r="AV362" s="67" t="s">
        <v>99</v>
      </c>
      <c r="AW362" s="67" t="s">
        <v>99</v>
      </c>
      <c r="AX362" s="67" t="s">
        <v>99</v>
      </c>
      <c r="AY362" s="67" t="s">
        <v>99</v>
      </c>
      <c r="AZ362" s="67" t="s">
        <v>99</v>
      </c>
      <c r="BA362" s="67" t="s">
        <v>99</v>
      </c>
      <c r="BB362" s="67" t="s">
        <v>99</v>
      </c>
      <c r="BC362" s="67" t="s">
        <v>99</v>
      </c>
      <c r="BD362" s="67" t="s">
        <v>99</v>
      </c>
      <c r="BE362" s="67" t="s">
        <v>99</v>
      </c>
      <c r="BF362" s="67" t="s">
        <v>99</v>
      </c>
      <c r="BG362" s="67" t="s">
        <v>99</v>
      </c>
      <c r="BH362" s="67" t="s">
        <v>99</v>
      </c>
      <c r="BI362" s="67" t="s">
        <v>99</v>
      </c>
      <c r="BJ362" s="67" t="s">
        <v>99</v>
      </c>
      <c r="BK362" s="67" t="s">
        <v>99</v>
      </c>
      <c r="BL362" s="67" t="s">
        <v>99</v>
      </c>
      <c r="BM362" s="67" t="s">
        <v>99</v>
      </c>
      <c r="BN362" s="67" t="s">
        <v>99</v>
      </c>
      <c r="BO362" s="67" t="s">
        <v>99</v>
      </c>
      <c r="BP362" s="68" t="s">
        <v>99</v>
      </c>
    </row>
    <row r="363" spans="2:68">
      <c r="B363" s="58">
        <v>12</v>
      </c>
      <c r="C363" s="59">
        <v>52</v>
      </c>
      <c r="D363" s="59" t="s">
        <v>98</v>
      </c>
      <c r="E363" s="60">
        <f>'[1]Master File'!B362</f>
        <v>46376</v>
      </c>
      <c r="F363" s="61" t="str">
        <f>'[1]Master File'!C362</f>
        <v>WT Peak</v>
      </c>
      <c r="G363" s="39"/>
      <c r="I363" s="67" t="s">
        <v>99</v>
      </c>
      <c r="J363" s="67" t="s">
        <v>99</v>
      </c>
      <c r="K363" s="67" t="s">
        <v>99</v>
      </c>
      <c r="L363" s="67" t="s">
        <v>23</v>
      </c>
      <c r="M363" s="67" t="s">
        <v>99</v>
      </c>
      <c r="N363" s="67" t="s">
        <v>99</v>
      </c>
      <c r="O363" s="67" t="s">
        <v>99</v>
      </c>
      <c r="P363" s="67" t="s">
        <v>99</v>
      </c>
      <c r="Q363" s="67" t="s">
        <v>99</v>
      </c>
      <c r="R363" s="67" t="s">
        <v>99</v>
      </c>
      <c r="S363" s="67" t="s">
        <v>99</v>
      </c>
      <c r="T363" s="67" t="s">
        <v>99</v>
      </c>
      <c r="U363" s="67" t="s">
        <v>99</v>
      </c>
      <c r="V363" s="67" t="s">
        <v>99</v>
      </c>
      <c r="W363" s="67" t="s">
        <v>99</v>
      </c>
      <c r="X363" s="67" t="s">
        <v>99</v>
      </c>
      <c r="Y363" s="56" t="s">
        <v>23</v>
      </c>
      <c r="Z363" s="67" t="s">
        <v>99</v>
      </c>
      <c r="AA363" s="67" t="s">
        <v>99</v>
      </c>
      <c r="AB363" s="67" t="s">
        <v>23</v>
      </c>
      <c r="AC363" s="67" t="s">
        <v>23</v>
      </c>
      <c r="AD363" s="67" t="s">
        <v>99</v>
      </c>
      <c r="AE363" s="67" t="s">
        <v>99</v>
      </c>
      <c r="AF363" s="67" t="s">
        <v>99</v>
      </c>
      <c r="AG363" s="67" t="s">
        <v>23</v>
      </c>
      <c r="AH363" s="67" t="s">
        <v>99</v>
      </c>
      <c r="AI363" s="67" t="s">
        <v>99</v>
      </c>
      <c r="AJ363" s="67" t="s">
        <v>99</v>
      </c>
      <c r="AK363" s="67" t="s">
        <v>23</v>
      </c>
      <c r="AL363" s="67" t="s">
        <v>99</v>
      </c>
      <c r="AM363" s="67" t="s">
        <v>99</v>
      </c>
      <c r="AN363" s="67" t="s">
        <v>99</v>
      </c>
      <c r="AO363" s="67" t="s">
        <v>99</v>
      </c>
      <c r="AP363" s="67" t="s">
        <v>99</v>
      </c>
      <c r="AQ363" s="67" t="s">
        <v>23</v>
      </c>
      <c r="AR363" s="67" t="s">
        <v>99</v>
      </c>
      <c r="AS363" s="67" t="s">
        <v>99</v>
      </c>
      <c r="AT363" s="67" t="s">
        <v>99</v>
      </c>
      <c r="AU363" s="67" t="s">
        <v>99</v>
      </c>
      <c r="AV363" s="67" t="s">
        <v>99</v>
      </c>
      <c r="AW363" s="67" t="s">
        <v>99</v>
      </c>
      <c r="AX363" s="67" t="s">
        <v>99</v>
      </c>
      <c r="AY363" s="67" t="s">
        <v>99</v>
      </c>
      <c r="AZ363" s="67" t="s">
        <v>99</v>
      </c>
      <c r="BA363" s="67" t="s">
        <v>99</v>
      </c>
      <c r="BB363" s="67" t="s">
        <v>99</v>
      </c>
      <c r="BC363" s="67" t="s">
        <v>99</v>
      </c>
      <c r="BD363" s="67" t="s">
        <v>99</v>
      </c>
      <c r="BE363" s="67" t="s">
        <v>99</v>
      </c>
      <c r="BF363" s="67" t="s">
        <v>99</v>
      </c>
      <c r="BG363" s="67" t="s">
        <v>99</v>
      </c>
      <c r="BH363" s="67" t="s">
        <v>99</v>
      </c>
      <c r="BI363" s="67" t="s">
        <v>99</v>
      </c>
      <c r="BJ363" s="67" t="s">
        <v>99</v>
      </c>
      <c r="BK363" s="67" t="s">
        <v>99</v>
      </c>
      <c r="BL363" s="67" t="s">
        <v>99</v>
      </c>
      <c r="BM363" s="67" t="s">
        <v>99</v>
      </c>
      <c r="BN363" s="67" t="s">
        <v>99</v>
      </c>
      <c r="BO363" s="67" t="s">
        <v>99</v>
      </c>
      <c r="BP363" s="68" t="s">
        <v>99</v>
      </c>
    </row>
    <row r="364" spans="2:68">
      <c r="B364" s="58">
        <v>12</v>
      </c>
      <c r="C364" s="59">
        <v>52</v>
      </c>
      <c r="D364" s="59" t="s">
        <v>100</v>
      </c>
      <c r="E364" s="60">
        <f>'[1]Master File'!B363</f>
        <v>46377</v>
      </c>
      <c r="F364" s="61" t="str">
        <f>'[1]Master File'!C363</f>
        <v>WT Peak</v>
      </c>
      <c r="G364" s="39"/>
      <c r="I364" s="56" t="s">
        <v>99</v>
      </c>
      <c r="J364" s="56" t="s">
        <v>99</v>
      </c>
      <c r="K364" s="56" t="s">
        <v>99</v>
      </c>
      <c r="L364" s="56" t="s">
        <v>23</v>
      </c>
      <c r="M364" s="56" t="s">
        <v>99</v>
      </c>
      <c r="N364" s="56" t="s">
        <v>99</v>
      </c>
      <c r="O364" s="56" t="s">
        <v>99</v>
      </c>
      <c r="P364" s="56" t="s">
        <v>99</v>
      </c>
      <c r="Q364" s="56" t="s">
        <v>99</v>
      </c>
      <c r="R364" s="56" t="s">
        <v>99</v>
      </c>
      <c r="S364" s="56" t="s">
        <v>99</v>
      </c>
      <c r="T364" s="56" t="s">
        <v>99</v>
      </c>
      <c r="U364" s="56" t="s">
        <v>99</v>
      </c>
      <c r="V364" s="56" t="s">
        <v>99</v>
      </c>
      <c r="W364" s="56" t="s">
        <v>99</v>
      </c>
      <c r="X364" s="56" t="s">
        <v>99</v>
      </c>
      <c r="Y364" s="56" t="s">
        <v>23</v>
      </c>
      <c r="Z364" s="56" t="s">
        <v>99</v>
      </c>
      <c r="AA364" s="56" t="s">
        <v>99</v>
      </c>
      <c r="AB364" s="56" t="s">
        <v>23</v>
      </c>
      <c r="AC364" s="56" t="s">
        <v>23</v>
      </c>
      <c r="AD364" s="56" t="s">
        <v>99</v>
      </c>
      <c r="AE364" s="56" t="s">
        <v>99</v>
      </c>
      <c r="AF364" s="56" t="s">
        <v>99</v>
      </c>
      <c r="AG364" s="56" t="s">
        <v>23</v>
      </c>
      <c r="AH364" s="56" t="s">
        <v>99</v>
      </c>
      <c r="AI364" s="56" t="s">
        <v>99</v>
      </c>
      <c r="AJ364" s="56" t="s">
        <v>99</v>
      </c>
      <c r="AK364" s="56" t="s">
        <v>23</v>
      </c>
      <c r="AL364" s="56" t="s">
        <v>99</v>
      </c>
      <c r="AM364" s="56" t="s">
        <v>99</v>
      </c>
      <c r="AN364" s="56" t="s">
        <v>99</v>
      </c>
      <c r="AO364" s="56" t="s">
        <v>99</v>
      </c>
      <c r="AP364" s="56" t="s">
        <v>99</v>
      </c>
      <c r="AQ364" s="56" t="s">
        <v>99</v>
      </c>
      <c r="AR364" s="56" t="s">
        <v>99</v>
      </c>
      <c r="AS364" s="56" t="s">
        <v>99</v>
      </c>
      <c r="AT364" s="56" t="s">
        <v>99</v>
      </c>
      <c r="AU364" s="56" t="s">
        <v>99</v>
      </c>
      <c r="AV364" s="56" t="s">
        <v>99</v>
      </c>
      <c r="AW364" s="56" t="s">
        <v>99</v>
      </c>
      <c r="AX364" s="56" t="s">
        <v>99</v>
      </c>
      <c r="AY364" s="56" t="s">
        <v>99</v>
      </c>
      <c r="AZ364" s="56" t="s">
        <v>99</v>
      </c>
      <c r="BA364" s="56" t="s">
        <v>99</v>
      </c>
      <c r="BB364" s="56" t="s">
        <v>99</v>
      </c>
      <c r="BC364" s="56" t="s">
        <v>99</v>
      </c>
      <c r="BD364" s="56" t="s">
        <v>99</v>
      </c>
      <c r="BE364" s="56" t="s">
        <v>99</v>
      </c>
      <c r="BF364" s="56" t="s">
        <v>99</v>
      </c>
      <c r="BG364" s="56" t="s">
        <v>99</v>
      </c>
      <c r="BH364" s="56" t="s">
        <v>99</v>
      </c>
      <c r="BI364" s="56" t="s">
        <v>99</v>
      </c>
      <c r="BJ364" s="56" t="s">
        <v>99</v>
      </c>
      <c r="BK364" s="56" t="s">
        <v>99</v>
      </c>
      <c r="BL364" s="56" t="s">
        <v>99</v>
      </c>
      <c r="BM364" s="56" t="s">
        <v>99</v>
      </c>
      <c r="BN364" s="56" t="s">
        <v>99</v>
      </c>
      <c r="BO364" s="56" t="s">
        <v>99</v>
      </c>
      <c r="BP364" s="62" t="s">
        <v>99</v>
      </c>
    </row>
    <row r="365" spans="2:68">
      <c r="B365" s="58">
        <v>12</v>
      </c>
      <c r="C365" s="59">
        <v>52</v>
      </c>
      <c r="D365" s="59" t="s">
        <v>101</v>
      </c>
      <c r="E365" s="60">
        <f>'[1]Master File'!B364</f>
        <v>46378</v>
      </c>
      <c r="F365" s="61" t="str">
        <f>'[1]Master File'!C364</f>
        <v>WT Peak</v>
      </c>
      <c r="G365" s="39"/>
      <c r="I365" s="56" t="s">
        <v>99</v>
      </c>
      <c r="J365" s="56" t="s">
        <v>99</v>
      </c>
      <c r="K365" s="56" t="s">
        <v>99</v>
      </c>
      <c r="L365" s="56" t="s">
        <v>23</v>
      </c>
      <c r="M365" s="56" t="s">
        <v>99</v>
      </c>
      <c r="N365" s="56" t="s">
        <v>99</v>
      </c>
      <c r="O365" s="56" t="s">
        <v>99</v>
      </c>
      <c r="P365" s="56" t="s">
        <v>99</v>
      </c>
      <c r="Q365" s="56" t="s">
        <v>99</v>
      </c>
      <c r="R365" s="56" t="s">
        <v>99</v>
      </c>
      <c r="S365" s="56" t="s">
        <v>99</v>
      </c>
      <c r="T365" s="56" t="s">
        <v>99</v>
      </c>
      <c r="U365" s="56" t="s">
        <v>99</v>
      </c>
      <c r="V365" s="56" t="s">
        <v>99</v>
      </c>
      <c r="W365" s="56" t="s">
        <v>99</v>
      </c>
      <c r="X365" s="56" t="s">
        <v>99</v>
      </c>
      <c r="Y365" s="56" t="s">
        <v>23</v>
      </c>
      <c r="Z365" s="56" t="s">
        <v>99</v>
      </c>
      <c r="AA365" s="56" t="s">
        <v>99</v>
      </c>
      <c r="AB365" s="56" t="s">
        <v>23</v>
      </c>
      <c r="AC365" s="56" t="s">
        <v>23</v>
      </c>
      <c r="AD365" s="56" t="s">
        <v>99</v>
      </c>
      <c r="AE365" s="56" t="s">
        <v>99</v>
      </c>
      <c r="AF365" s="56" t="s">
        <v>99</v>
      </c>
      <c r="AG365" s="56" t="s">
        <v>23</v>
      </c>
      <c r="AH365" s="56" t="s">
        <v>99</v>
      </c>
      <c r="AI365" s="56" t="s">
        <v>99</v>
      </c>
      <c r="AJ365" s="56" t="s">
        <v>99</v>
      </c>
      <c r="AK365" s="56" t="s">
        <v>23</v>
      </c>
      <c r="AL365" s="56" t="s">
        <v>99</v>
      </c>
      <c r="AM365" s="56" t="s">
        <v>99</v>
      </c>
      <c r="AN365" s="56" t="s">
        <v>99</v>
      </c>
      <c r="AO365" s="56" t="s">
        <v>99</v>
      </c>
      <c r="AP365" s="56" t="s">
        <v>99</v>
      </c>
      <c r="AQ365" s="56" t="s">
        <v>99</v>
      </c>
      <c r="AR365" s="56" t="s">
        <v>99</v>
      </c>
      <c r="AS365" s="56" t="s">
        <v>99</v>
      </c>
      <c r="AT365" s="56" t="s">
        <v>99</v>
      </c>
      <c r="AU365" s="56" t="s">
        <v>99</v>
      </c>
      <c r="AV365" s="56" t="s">
        <v>99</v>
      </c>
      <c r="AW365" s="56" t="s">
        <v>99</v>
      </c>
      <c r="AX365" s="56" t="s">
        <v>99</v>
      </c>
      <c r="AY365" s="56" t="s">
        <v>99</v>
      </c>
      <c r="AZ365" s="56" t="s">
        <v>99</v>
      </c>
      <c r="BA365" s="56" t="s">
        <v>99</v>
      </c>
      <c r="BB365" s="56" t="s">
        <v>99</v>
      </c>
      <c r="BC365" s="56" t="s">
        <v>99</v>
      </c>
      <c r="BD365" s="56" t="s">
        <v>99</v>
      </c>
      <c r="BE365" s="56" t="s">
        <v>99</v>
      </c>
      <c r="BF365" s="56" t="s">
        <v>99</v>
      </c>
      <c r="BG365" s="56" t="s">
        <v>99</v>
      </c>
      <c r="BH365" s="56" t="s">
        <v>99</v>
      </c>
      <c r="BI365" s="56" t="s">
        <v>99</v>
      </c>
      <c r="BJ365" s="56" t="s">
        <v>99</v>
      </c>
      <c r="BK365" s="56" t="s">
        <v>99</v>
      </c>
      <c r="BL365" s="56" t="s">
        <v>99</v>
      </c>
      <c r="BM365" s="56" t="s">
        <v>99</v>
      </c>
      <c r="BN365" s="56" t="s">
        <v>99</v>
      </c>
      <c r="BO365" s="56" t="s">
        <v>99</v>
      </c>
      <c r="BP365" s="62" t="s">
        <v>99</v>
      </c>
    </row>
    <row r="366" spans="2:68">
      <c r="B366" s="58">
        <v>12</v>
      </c>
      <c r="C366" s="59">
        <v>52</v>
      </c>
      <c r="D366" s="59" t="s">
        <v>102</v>
      </c>
      <c r="E366" s="60">
        <f>'[1]Master File'!B365</f>
        <v>46379</v>
      </c>
      <c r="F366" s="61" t="str">
        <f>'[1]Master File'!C365</f>
        <v>WT Peak</v>
      </c>
      <c r="G366" s="39"/>
      <c r="I366" s="56" t="s">
        <v>99</v>
      </c>
      <c r="J366" s="56" t="s">
        <v>99</v>
      </c>
      <c r="K366" s="56" t="s">
        <v>99</v>
      </c>
      <c r="L366" s="56" t="s">
        <v>23</v>
      </c>
      <c r="M366" s="56" t="s">
        <v>99</v>
      </c>
      <c r="N366" s="56" t="s">
        <v>99</v>
      </c>
      <c r="O366" s="56" t="s">
        <v>99</v>
      </c>
      <c r="P366" s="56" t="s">
        <v>99</v>
      </c>
      <c r="Q366" s="56" t="s">
        <v>99</v>
      </c>
      <c r="R366" s="56" t="s">
        <v>99</v>
      </c>
      <c r="S366" s="56" t="s">
        <v>99</v>
      </c>
      <c r="T366" s="56" t="s">
        <v>99</v>
      </c>
      <c r="U366" s="56" t="s">
        <v>99</v>
      </c>
      <c r="V366" s="56" t="s">
        <v>99</v>
      </c>
      <c r="W366" s="56" t="s">
        <v>99</v>
      </c>
      <c r="X366" s="56" t="s">
        <v>99</v>
      </c>
      <c r="Y366" s="56" t="s">
        <v>23</v>
      </c>
      <c r="Z366" s="56" t="s">
        <v>99</v>
      </c>
      <c r="AA366" s="56" t="s">
        <v>99</v>
      </c>
      <c r="AB366" s="56" t="s">
        <v>23</v>
      </c>
      <c r="AC366" s="56" t="s">
        <v>23</v>
      </c>
      <c r="AD366" s="56" t="s">
        <v>99</v>
      </c>
      <c r="AE366" s="56" t="s">
        <v>99</v>
      </c>
      <c r="AF366" s="56" t="s">
        <v>99</v>
      </c>
      <c r="AG366" s="56" t="s">
        <v>23</v>
      </c>
      <c r="AH366" s="56" t="s">
        <v>99</v>
      </c>
      <c r="AI366" s="56" t="s">
        <v>99</v>
      </c>
      <c r="AJ366" s="56" t="s">
        <v>99</v>
      </c>
      <c r="AK366" s="56" t="s">
        <v>23</v>
      </c>
      <c r="AL366" s="56" t="s">
        <v>99</v>
      </c>
      <c r="AM366" s="56" t="s">
        <v>99</v>
      </c>
      <c r="AN366" s="56" t="s">
        <v>99</v>
      </c>
      <c r="AO366" s="56" t="s">
        <v>99</v>
      </c>
      <c r="AP366" s="56" t="s">
        <v>99</v>
      </c>
      <c r="AQ366" s="56" t="s">
        <v>99</v>
      </c>
      <c r="AR366" s="56" t="s">
        <v>99</v>
      </c>
      <c r="AS366" s="56" t="s">
        <v>99</v>
      </c>
      <c r="AT366" s="56" t="s">
        <v>99</v>
      </c>
      <c r="AU366" s="56" t="s">
        <v>99</v>
      </c>
      <c r="AV366" s="56" t="s">
        <v>99</v>
      </c>
      <c r="AW366" s="56" t="s">
        <v>99</v>
      </c>
      <c r="AX366" s="56" t="s">
        <v>99</v>
      </c>
      <c r="AY366" s="56" t="s">
        <v>99</v>
      </c>
      <c r="AZ366" s="56" t="s">
        <v>99</v>
      </c>
      <c r="BA366" s="56" t="s">
        <v>99</v>
      </c>
      <c r="BB366" s="56" t="s">
        <v>99</v>
      </c>
      <c r="BC366" s="56" t="s">
        <v>99</v>
      </c>
      <c r="BD366" s="56" t="s">
        <v>99</v>
      </c>
      <c r="BE366" s="56" t="s">
        <v>99</v>
      </c>
      <c r="BF366" s="56" t="s">
        <v>99</v>
      </c>
      <c r="BG366" s="56" t="s">
        <v>99</v>
      </c>
      <c r="BH366" s="56" t="s">
        <v>99</v>
      </c>
      <c r="BI366" s="56" t="s">
        <v>99</v>
      </c>
      <c r="BJ366" s="56" t="s">
        <v>99</v>
      </c>
      <c r="BK366" s="56" t="s">
        <v>99</v>
      </c>
      <c r="BL366" s="56" t="s">
        <v>99</v>
      </c>
      <c r="BM366" s="56" t="s">
        <v>99</v>
      </c>
      <c r="BN366" s="56" t="s">
        <v>99</v>
      </c>
      <c r="BO366" s="56" t="s">
        <v>99</v>
      </c>
      <c r="BP366" s="62" t="s">
        <v>99</v>
      </c>
    </row>
    <row r="367" spans="2:68">
      <c r="B367" s="58">
        <v>12</v>
      </c>
      <c r="C367" s="59">
        <v>52</v>
      </c>
      <c r="D367" s="59" t="s">
        <v>103</v>
      </c>
      <c r="E367" s="60">
        <f>'[1]Master File'!B366</f>
        <v>46380</v>
      </c>
      <c r="F367" s="61" t="str">
        <f>'[1]Master File'!C366</f>
        <v>WT Peak</v>
      </c>
      <c r="G367" s="39"/>
      <c r="I367" s="56" t="s">
        <v>99</v>
      </c>
      <c r="J367" s="56" t="s">
        <v>99</v>
      </c>
      <c r="K367" s="56" t="s">
        <v>99</v>
      </c>
      <c r="L367" s="56" t="s">
        <v>23</v>
      </c>
      <c r="M367" s="56" t="s">
        <v>99</v>
      </c>
      <c r="N367" s="56" t="s">
        <v>99</v>
      </c>
      <c r="O367" s="56" t="s">
        <v>99</v>
      </c>
      <c r="P367" s="56" t="s">
        <v>99</v>
      </c>
      <c r="Q367" s="56" t="s">
        <v>99</v>
      </c>
      <c r="R367" s="56" t="s">
        <v>99</v>
      </c>
      <c r="S367" s="56" t="s">
        <v>99</v>
      </c>
      <c r="T367" s="56" t="s">
        <v>99</v>
      </c>
      <c r="U367" s="56" t="s">
        <v>99</v>
      </c>
      <c r="V367" s="56" t="s">
        <v>99</v>
      </c>
      <c r="W367" s="56" t="s">
        <v>99</v>
      </c>
      <c r="X367" s="56" t="s">
        <v>99</v>
      </c>
      <c r="Y367" s="56" t="s">
        <v>23</v>
      </c>
      <c r="Z367" s="56" t="s">
        <v>99</v>
      </c>
      <c r="AA367" s="56" t="s">
        <v>99</v>
      </c>
      <c r="AB367" s="56" t="s">
        <v>23</v>
      </c>
      <c r="AC367" s="56" t="s">
        <v>23</v>
      </c>
      <c r="AD367" s="56" t="s">
        <v>99</v>
      </c>
      <c r="AE367" s="56" t="s">
        <v>99</v>
      </c>
      <c r="AF367" s="56" t="s">
        <v>99</v>
      </c>
      <c r="AG367" s="56" t="s">
        <v>23</v>
      </c>
      <c r="AH367" s="56" t="s">
        <v>99</v>
      </c>
      <c r="AI367" s="56" t="s">
        <v>99</v>
      </c>
      <c r="AJ367" s="56" t="s">
        <v>99</v>
      </c>
      <c r="AK367" s="56" t="s">
        <v>23</v>
      </c>
      <c r="AL367" s="56" t="s">
        <v>99</v>
      </c>
      <c r="AM367" s="56" t="s">
        <v>99</v>
      </c>
      <c r="AN367" s="56" t="s">
        <v>99</v>
      </c>
      <c r="AO367" s="56" t="s">
        <v>99</v>
      </c>
      <c r="AP367" s="56" t="s">
        <v>99</v>
      </c>
      <c r="AQ367" s="56" t="s">
        <v>99</v>
      </c>
      <c r="AR367" s="56" t="s">
        <v>99</v>
      </c>
      <c r="AS367" s="56" t="s">
        <v>99</v>
      </c>
      <c r="AT367" s="56" t="s">
        <v>99</v>
      </c>
      <c r="AU367" s="56" t="s">
        <v>99</v>
      </c>
      <c r="AV367" s="56" t="s">
        <v>99</v>
      </c>
      <c r="AW367" s="56" t="s">
        <v>99</v>
      </c>
      <c r="AX367" s="56" t="s">
        <v>99</v>
      </c>
      <c r="AY367" s="56" t="s">
        <v>99</v>
      </c>
      <c r="AZ367" s="56" t="s">
        <v>99</v>
      </c>
      <c r="BA367" s="56" t="s">
        <v>99</v>
      </c>
      <c r="BB367" s="56" t="s">
        <v>99</v>
      </c>
      <c r="BC367" s="56" t="s">
        <v>99</v>
      </c>
      <c r="BD367" s="56" t="s">
        <v>99</v>
      </c>
      <c r="BE367" s="56" t="s">
        <v>99</v>
      </c>
      <c r="BF367" s="56" t="s">
        <v>99</v>
      </c>
      <c r="BG367" s="56" t="s">
        <v>99</v>
      </c>
      <c r="BH367" s="56" t="s">
        <v>99</v>
      </c>
      <c r="BI367" s="56" t="s">
        <v>99</v>
      </c>
      <c r="BJ367" s="56" t="s">
        <v>99</v>
      </c>
      <c r="BK367" s="56" t="s">
        <v>99</v>
      </c>
      <c r="BL367" s="56" t="s">
        <v>99</v>
      </c>
      <c r="BM367" s="56" t="s">
        <v>99</v>
      </c>
      <c r="BN367" s="56" t="s">
        <v>99</v>
      </c>
      <c r="BO367" s="56" t="s">
        <v>99</v>
      </c>
      <c r="BP367" s="62" t="s">
        <v>99</v>
      </c>
    </row>
    <row r="368" spans="2:68">
      <c r="B368" s="58">
        <v>12</v>
      </c>
      <c r="C368" s="59">
        <v>52</v>
      </c>
      <c r="D368" s="59" t="s">
        <v>104</v>
      </c>
      <c r="E368" s="60">
        <f>'[1]Master File'!B367</f>
        <v>46381</v>
      </c>
      <c r="F368" s="61" t="str">
        <f>'[1]Master File'!C367</f>
        <v>Closed</v>
      </c>
      <c r="G368" s="39"/>
      <c r="I368" s="56" t="s">
        <v>99</v>
      </c>
      <c r="J368" s="56" t="s">
        <v>99</v>
      </c>
      <c r="K368" s="56" t="s">
        <v>99</v>
      </c>
      <c r="L368" s="56" t="s">
        <v>23</v>
      </c>
      <c r="M368" s="56" t="s">
        <v>99</v>
      </c>
      <c r="N368" s="56" t="s">
        <v>99</v>
      </c>
      <c r="O368" s="56" t="s">
        <v>99</v>
      </c>
      <c r="P368" s="56" t="s">
        <v>99</v>
      </c>
      <c r="Q368" s="56" t="s">
        <v>99</v>
      </c>
      <c r="R368" s="56" t="s">
        <v>99</v>
      </c>
      <c r="S368" s="56" t="s">
        <v>99</v>
      </c>
      <c r="T368" s="56" t="s">
        <v>99</v>
      </c>
      <c r="U368" s="56" t="s">
        <v>99</v>
      </c>
      <c r="V368" s="56" t="s">
        <v>99</v>
      </c>
      <c r="W368" s="56" t="s">
        <v>99</v>
      </c>
      <c r="X368" s="56" t="s">
        <v>99</v>
      </c>
      <c r="Y368" s="56" t="s">
        <v>23</v>
      </c>
      <c r="Z368" s="56" t="s">
        <v>23</v>
      </c>
      <c r="AA368" s="56" t="s">
        <v>23</v>
      </c>
      <c r="AB368" s="56" t="s">
        <v>23</v>
      </c>
      <c r="AC368" s="56" t="s">
        <v>23</v>
      </c>
      <c r="AD368" s="56" t="s">
        <v>99</v>
      </c>
      <c r="AE368" s="56" t="s">
        <v>99</v>
      </c>
      <c r="AF368" s="56" t="s">
        <v>99</v>
      </c>
      <c r="AG368" s="56" t="s">
        <v>23</v>
      </c>
      <c r="AH368" s="56" t="s">
        <v>99</v>
      </c>
      <c r="AI368" s="56" t="s">
        <v>99</v>
      </c>
      <c r="AJ368" s="56" t="s">
        <v>99</v>
      </c>
      <c r="AK368" s="56" t="s">
        <v>23</v>
      </c>
      <c r="AL368" s="56" t="s">
        <v>99</v>
      </c>
      <c r="AM368" s="56" t="s">
        <v>99</v>
      </c>
      <c r="AN368" s="56" t="s">
        <v>99</v>
      </c>
      <c r="AO368" s="56" t="s">
        <v>99</v>
      </c>
      <c r="AP368" s="56" t="s">
        <v>99</v>
      </c>
      <c r="AQ368" s="56" t="s">
        <v>99</v>
      </c>
      <c r="AR368" s="56" t="s">
        <v>99</v>
      </c>
      <c r="AS368" s="56" t="s">
        <v>99</v>
      </c>
      <c r="AT368" s="56" t="s">
        <v>99</v>
      </c>
      <c r="AU368" s="56" t="s">
        <v>99</v>
      </c>
      <c r="AV368" s="56" t="s">
        <v>99</v>
      </c>
      <c r="AW368" s="56" t="s">
        <v>99</v>
      </c>
      <c r="AX368" s="56" t="s">
        <v>99</v>
      </c>
      <c r="AY368" s="56" t="s">
        <v>99</v>
      </c>
      <c r="AZ368" s="56" t="s">
        <v>99</v>
      </c>
      <c r="BA368" s="56" t="s">
        <v>99</v>
      </c>
      <c r="BB368" s="56" t="s">
        <v>99</v>
      </c>
      <c r="BC368" s="56" t="s">
        <v>99</v>
      </c>
      <c r="BD368" s="56" t="s">
        <v>99</v>
      </c>
      <c r="BE368" s="56" t="s">
        <v>99</v>
      </c>
      <c r="BF368" s="56" t="s">
        <v>99</v>
      </c>
      <c r="BG368" s="56" t="s">
        <v>99</v>
      </c>
      <c r="BH368" s="56" t="s">
        <v>99</v>
      </c>
      <c r="BI368" s="56" t="s">
        <v>99</v>
      </c>
      <c r="BJ368" s="56" t="s">
        <v>99</v>
      </c>
      <c r="BK368" s="56" t="s">
        <v>99</v>
      </c>
      <c r="BL368" s="56" t="s">
        <v>99</v>
      </c>
      <c r="BM368" s="56" t="s">
        <v>99</v>
      </c>
      <c r="BN368" s="56" t="s">
        <v>99</v>
      </c>
      <c r="BO368" s="56" t="s">
        <v>99</v>
      </c>
      <c r="BP368" s="62" t="s">
        <v>99</v>
      </c>
    </row>
    <row r="369" spans="2:68">
      <c r="B369" s="58">
        <v>12</v>
      </c>
      <c r="C369" s="59">
        <v>52</v>
      </c>
      <c r="D369" s="59" t="s">
        <v>105</v>
      </c>
      <c r="E369" s="60">
        <f>'[1]Master File'!B368</f>
        <v>46382</v>
      </c>
      <c r="F369" s="61" t="str">
        <f>'[1]Master File'!C368</f>
        <v>Closed</v>
      </c>
      <c r="G369" s="39"/>
      <c r="I369" s="67" t="s">
        <v>99</v>
      </c>
      <c r="J369" s="67" t="s">
        <v>99</v>
      </c>
      <c r="K369" s="67" t="s">
        <v>99</v>
      </c>
      <c r="L369" s="67" t="s">
        <v>23</v>
      </c>
      <c r="M369" s="67" t="s">
        <v>99</v>
      </c>
      <c r="N369" s="67" t="s">
        <v>99</v>
      </c>
      <c r="O369" s="67" t="s">
        <v>99</v>
      </c>
      <c r="P369" s="67" t="s">
        <v>99</v>
      </c>
      <c r="Q369" s="67" t="s">
        <v>99</v>
      </c>
      <c r="R369" s="67" t="s">
        <v>99</v>
      </c>
      <c r="S369" s="67" t="s">
        <v>99</v>
      </c>
      <c r="T369" s="67" t="s">
        <v>99</v>
      </c>
      <c r="U369" s="67" t="s">
        <v>99</v>
      </c>
      <c r="V369" s="67" t="s">
        <v>99</v>
      </c>
      <c r="W369" s="67" t="s">
        <v>99</v>
      </c>
      <c r="X369" s="67" t="s">
        <v>99</v>
      </c>
      <c r="Y369" s="56" t="s">
        <v>23</v>
      </c>
      <c r="Z369" s="67" t="s">
        <v>23</v>
      </c>
      <c r="AA369" s="67" t="s">
        <v>23</v>
      </c>
      <c r="AB369" s="67" t="s">
        <v>23</v>
      </c>
      <c r="AC369" s="67" t="s">
        <v>23</v>
      </c>
      <c r="AD369" s="67" t="s">
        <v>99</v>
      </c>
      <c r="AE369" s="67" t="s">
        <v>99</v>
      </c>
      <c r="AF369" s="67" t="s">
        <v>99</v>
      </c>
      <c r="AG369" s="67" t="s">
        <v>23</v>
      </c>
      <c r="AH369" s="67" t="s">
        <v>99</v>
      </c>
      <c r="AI369" s="67" t="s">
        <v>99</v>
      </c>
      <c r="AJ369" s="67" t="s">
        <v>99</v>
      </c>
      <c r="AK369" s="67" t="s">
        <v>23</v>
      </c>
      <c r="AL369" s="67" t="s">
        <v>99</v>
      </c>
      <c r="AM369" s="67" t="s">
        <v>99</v>
      </c>
      <c r="AN369" s="67" t="s">
        <v>99</v>
      </c>
      <c r="AO369" s="67" t="s">
        <v>99</v>
      </c>
      <c r="AP369" s="67" t="s">
        <v>99</v>
      </c>
      <c r="AQ369" s="67" t="s">
        <v>23</v>
      </c>
      <c r="AR369" s="67" t="s">
        <v>99</v>
      </c>
      <c r="AS369" s="67" t="s">
        <v>99</v>
      </c>
      <c r="AT369" s="67" t="s">
        <v>99</v>
      </c>
      <c r="AU369" s="67" t="s">
        <v>99</v>
      </c>
      <c r="AV369" s="67" t="s">
        <v>99</v>
      </c>
      <c r="AW369" s="67" t="s">
        <v>99</v>
      </c>
      <c r="AX369" s="67" t="s">
        <v>99</v>
      </c>
      <c r="AY369" s="67" t="s">
        <v>99</v>
      </c>
      <c r="AZ369" s="67" t="s">
        <v>99</v>
      </c>
      <c r="BA369" s="67" t="s">
        <v>99</v>
      </c>
      <c r="BB369" s="67" t="s">
        <v>99</v>
      </c>
      <c r="BC369" s="67" t="s">
        <v>99</v>
      </c>
      <c r="BD369" s="67" t="s">
        <v>99</v>
      </c>
      <c r="BE369" s="67" t="s">
        <v>99</v>
      </c>
      <c r="BF369" s="67" t="s">
        <v>99</v>
      </c>
      <c r="BG369" s="67" t="s">
        <v>99</v>
      </c>
      <c r="BH369" s="67" t="s">
        <v>99</v>
      </c>
      <c r="BI369" s="67" t="s">
        <v>99</v>
      </c>
      <c r="BJ369" s="67" t="s">
        <v>99</v>
      </c>
      <c r="BK369" s="67" t="s">
        <v>99</v>
      </c>
      <c r="BL369" s="67" t="s">
        <v>99</v>
      </c>
      <c r="BM369" s="67" t="s">
        <v>99</v>
      </c>
      <c r="BN369" s="67" t="s">
        <v>99</v>
      </c>
      <c r="BO369" s="67" t="s">
        <v>99</v>
      </c>
      <c r="BP369" s="68" t="s">
        <v>99</v>
      </c>
    </row>
    <row r="370" spans="2:68" ht="15.75" thickBot="1">
      <c r="I370" s="69"/>
      <c r="AM370" s="69"/>
    </row>
    <row r="371" spans="2:68" s="70" customFormat="1">
      <c r="F371" s="71" t="s">
        <v>106</v>
      </c>
      <c r="I371" s="72">
        <f t="shared" ref="I371:BP371" si="1">COUNTIF(I6:I369,"Open")</f>
        <v>346</v>
      </c>
      <c r="J371" s="73">
        <f t="shared" si="1"/>
        <v>346</v>
      </c>
      <c r="K371" s="73">
        <f t="shared" si="1"/>
        <v>346</v>
      </c>
      <c r="L371" s="73">
        <f t="shared" si="1"/>
        <v>0</v>
      </c>
      <c r="M371" s="73">
        <f t="shared" si="1"/>
        <v>346</v>
      </c>
      <c r="N371" s="73">
        <f t="shared" si="1"/>
        <v>346</v>
      </c>
      <c r="O371" s="73">
        <f t="shared" si="1"/>
        <v>332</v>
      </c>
      <c r="P371" s="73">
        <f t="shared" si="1"/>
        <v>346</v>
      </c>
      <c r="Q371" s="73">
        <f t="shared" si="1"/>
        <v>346</v>
      </c>
      <c r="R371" s="73">
        <f t="shared" si="1"/>
        <v>346</v>
      </c>
      <c r="S371" s="73">
        <f t="shared" si="1"/>
        <v>364</v>
      </c>
      <c r="T371" s="73">
        <f t="shared" si="1"/>
        <v>346</v>
      </c>
      <c r="U371" s="73">
        <f t="shared" si="1"/>
        <v>364</v>
      </c>
      <c r="V371" s="73">
        <f t="shared" si="1"/>
        <v>364</v>
      </c>
      <c r="W371" s="73">
        <f t="shared" si="1"/>
        <v>364</v>
      </c>
      <c r="X371" s="73">
        <f t="shared" si="1"/>
        <v>364</v>
      </c>
      <c r="Y371" s="73">
        <f t="shared" si="1"/>
        <v>25</v>
      </c>
      <c r="Z371" s="73">
        <f t="shared" si="1"/>
        <v>344</v>
      </c>
      <c r="AA371" s="73">
        <f t="shared" si="1"/>
        <v>344</v>
      </c>
      <c r="AB371" s="73">
        <f t="shared" si="1"/>
        <v>125</v>
      </c>
      <c r="AC371" s="73">
        <f t="shared" si="1"/>
        <v>32</v>
      </c>
      <c r="AD371" s="73">
        <f t="shared" si="1"/>
        <v>346</v>
      </c>
      <c r="AE371" s="73">
        <f t="shared" si="1"/>
        <v>364</v>
      </c>
      <c r="AF371" s="73">
        <f t="shared" si="1"/>
        <v>354</v>
      </c>
      <c r="AG371" s="73">
        <f t="shared" si="1"/>
        <v>25</v>
      </c>
      <c r="AH371" s="73">
        <f t="shared" si="1"/>
        <v>346</v>
      </c>
      <c r="AI371" s="73">
        <f t="shared" si="1"/>
        <v>364</v>
      </c>
      <c r="AJ371" s="73">
        <f t="shared" si="1"/>
        <v>364</v>
      </c>
      <c r="AK371" s="73">
        <f t="shared" si="1"/>
        <v>0</v>
      </c>
      <c r="AL371" s="74">
        <f t="shared" si="1"/>
        <v>364</v>
      </c>
      <c r="AM371" s="72">
        <f t="shared" si="1"/>
        <v>346</v>
      </c>
      <c r="AN371" s="73">
        <f t="shared" si="1"/>
        <v>364</v>
      </c>
      <c r="AO371" s="73">
        <f t="shared" si="1"/>
        <v>364</v>
      </c>
      <c r="AP371" s="73">
        <f t="shared" si="1"/>
        <v>346</v>
      </c>
      <c r="AQ371" s="73">
        <f t="shared" si="1"/>
        <v>260</v>
      </c>
      <c r="AR371" s="73">
        <f t="shared" si="1"/>
        <v>364</v>
      </c>
      <c r="AS371" s="73">
        <f t="shared" si="1"/>
        <v>364</v>
      </c>
      <c r="AT371" s="73">
        <f t="shared" si="1"/>
        <v>364</v>
      </c>
      <c r="AU371" s="73">
        <f t="shared" si="1"/>
        <v>364</v>
      </c>
      <c r="AV371" s="73">
        <f t="shared" si="1"/>
        <v>364</v>
      </c>
      <c r="AW371" s="73">
        <f t="shared" si="1"/>
        <v>364</v>
      </c>
      <c r="AX371" s="73">
        <f t="shared" si="1"/>
        <v>364</v>
      </c>
      <c r="AY371" s="73">
        <f t="shared" si="1"/>
        <v>364</v>
      </c>
      <c r="AZ371" s="73">
        <f t="shared" si="1"/>
        <v>364</v>
      </c>
      <c r="BA371" s="73">
        <f t="shared" si="1"/>
        <v>364</v>
      </c>
      <c r="BB371" s="73">
        <f t="shared" si="1"/>
        <v>364</v>
      </c>
      <c r="BC371" s="73">
        <f t="shared" si="1"/>
        <v>364</v>
      </c>
      <c r="BD371" s="73">
        <f t="shared" si="1"/>
        <v>364</v>
      </c>
      <c r="BE371" s="73">
        <f t="shared" si="1"/>
        <v>364</v>
      </c>
      <c r="BF371" s="73">
        <f t="shared" si="1"/>
        <v>364</v>
      </c>
      <c r="BG371" s="73">
        <f t="shared" si="1"/>
        <v>364</v>
      </c>
      <c r="BH371" s="73">
        <f t="shared" si="1"/>
        <v>364</v>
      </c>
      <c r="BI371" s="73">
        <f t="shared" si="1"/>
        <v>364</v>
      </c>
      <c r="BJ371" s="73">
        <f t="shared" si="1"/>
        <v>364</v>
      </c>
      <c r="BK371" s="73">
        <f t="shared" si="1"/>
        <v>364</v>
      </c>
      <c r="BL371" s="73">
        <f t="shared" si="1"/>
        <v>364</v>
      </c>
      <c r="BM371" s="73">
        <f t="shared" si="1"/>
        <v>364</v>
      </c>
      <c r="BN371" s="73">
        <f t="shared" si="1"/>
        <v>364</v>
      </c>
      <c r="BO371" s="73">
        <f t="shared" si="1"/>
        <v>364</v>
      </c>
      <c r="BP371" s="74">
        <f t="shared" si="1"/>
        <v>364</v>
      </c>
    </row>
    <row r="372" spans="2:68" ht="15.75" thickBot="1">
      <c r="F372" s="75" t="s">
        <v>107</v>
      </c>
      <c r="I372" s="76">
        <f t="shared" ref="I372:BP372" si="2">COUNTIF(I6:I369,"Closed")</f>
        <v>18</v>
      </c>
      <c r="J372" s="77">
        <f t="shared" si="2"/>
        <v>18</v>
      </c>
      <c r="K372" s="77">
        <f t="shared" si="2"/>
        <v>18</v>
      </c>
      <c r="L372" s="77">
        <f t="shared" si="2"/>
        <v>364</v>
      </c>
      <c r="M372" s="77">
        <f t="shared" si="2"/>
        <v>18</v>
      </c>
      <c r="N372" s="77">
        <f t="shared" si="2"/>
        <v>18</v>
      </c>
      <c r="O372" s="77">
        <f t="shared" si="2"/>
        <v>32</v>
      </c>
      <c r="P372" s="77">
        <f t="shared" si="2"/>
        <v>18</v>
      </c>
      <c r="Q372" s="77">
        <f t="shared" si="2"/>
        <v>18</v>
      </c>
      <c r="R372" s="77">
        <f t="shared" si="2"/>
        <v>18</v>
      </c>
      <c r="S372" s="77">
        <f t="shared" si="2"/>
        <v>0</v>
      </c>
      <c r="T372" s="77">
        <f t="shared" si="2"/>
        <v>18</v>
      </c>
      <c r="U372" s="77">
        <f t="shared" si="2"/>
        <v>0</v>
      </c>
      <c r="V372" s="77">
        <f t="shared" si="2"/>
        <v>0</v>
      </c>
      <c r="W372" s="77">
        <f t="shared" si="2"/>
        <v>0</v>
      </c>
      <c r="X372" s="77">
        <f t="shared" si="2"/>
        <v>0</v>
      </c>
      <c r="Y372" s="77">
        <f t="shared" si="2"/>
        <v>339</v>
      </c>
      <c r="Z372" s="77">
        <f t="shared" si="2"/>
        <v>20</v>
      </c>
      <c r="AA372" s="77">
        <f t="shared" si="2"/>
        <v>20</v>
      </c>
      <c r="AB372" s="77">
        <f t="shared" si="2"/>
        <v>239</v>
      </c>
      <c r="AC372" s="77">
        <f t="shared" si="2"/>
        <v>332</v>
      </c>
      <c r="AD372" s="77">
        <f t="shared" si="2"/>
        <v>18</v>
      </c>
      <c r="AE372" s="77">
        <f t="shared" si="2"/>
        <v>0</v>
      </c>
      <c r="AF372" s="77">
        <f t="shared" si="2"/>
        <v>10</v>
      </c>
      <c r="AG372" s="77">
        <f t="shared" si="2"/>
        <v>339</v>
      </c>
      <c r="AH372" s="77">
        <f t="shared" si="2"/>
        <v>18</v>
      </c>
      <c r="AI372" s="77">
        <f t="shared" si="2"/>
        <v>0</v>
      </c>
      <c r="AJ372" s="77">
        <f t="shared" si="2"/>
        <v>0</v>
      </c>
      <c r="AK372" s="77">
        <f t="shared" si="2"/>
        <v>364</v>
      </c>
      <c r="AL372" s="78">
        <f t="shared" si="2"/>
        <v>0</v>
      </c>
      <c r="AM372" s="76">
        <f t="shared" si="2"/>
        <v>18</v>
      </c>
      <c r="AN372" s="77">
        <f t="shared" si="2"/>
        <v>0</v>
      </c>
      <c r="AO372" s="77">
        <f t="shared" si="2"/>
        <v>0</v>
      </c>
      <c r="AP372" s="77">
        <f t="shared" si="2"/>
        <v>18</v>
      </c>
      <c r="AQ372" s="77">
        <f t="shared" si="2"/>
        <v>104</v>
      </c>
      <c r="AR372" s="77">
        <f t="shared" si="2"/>
        <v>0</v>
      </c>
      <c r="AS372" s="77">
        <f t="shared" si="2"/>
        <v>0</v>
      </c>
      <c r="AT372" s="77">
        <f t="shared" si="2"/>
        <v>0</v>
      </c>
      <c r="AU372" s="77">
        <f t="shared" si="2"/>
        <v>0</v>
      </c>
      <c r="AV372" s="77">
        <f t="shared" si="2"/>
        <v>0</v>
      </c>
      <c r="AW372" s="77">
        <f t="shared" si="2"/>
        <v>0</v>
      </c>
      <c r="AX372" s="77">
        <f t="shared" si="2"/>
        <v>0</v>
      </c>
      <c r="AY372" s="77">
        <f t="shared" si="2"/>
        <v>0</v>
      </c>
      <c r="AZ372" s="77">
        <f t="shared" si="2"/>
        <v>0</v>
      </c>
      <c r="BA372" s="77">
        <f t="shared" si="2"/>
        <v>0</v>
      </c>
      <c r="BB372" s="77">
        <f t="shared" si="2"/>
        <v>0</v>
      </c>
      <c r="BC372" s="77">
        <f t="shared" si="2"/>
        <v>0</v>
      </c>
      <c r="BD372" s="77">
        <f t="shared" si="2"/>
        <v>0</v>
      </c>
      <c r="BE372" s="77">
        <f t="shared" si="2"/>
        <v>0</v>
      </c>
      <c r="BF372" s="77">
        <f t="shared" si="2"/>
        <v>0</v>
      </c>
      <c r="BG372" s="77">
        <f t="shared" si="2"/>
        <v>0</v>
      </c>
      <c r="BH372" s="77">
        <f t="shared" si="2"/>
        <v>0</v>
      </c>
      <c r="BI372" s="77">
        <f t="shared" si="2"/>
        <v>0</v>
      </c>
      <c r="BJ372" s="77">
        <f t="shared" si="2"/>
        <v>0</v>
      </c>
      <c r="BK372" s="77">
        <f t="shared" si="2"/>
        <v>0</v>
      </c>
      <c r="BL372" s="77">
        <f t="shared" si="2"/>
        <v>0</v>
      </c>
      <c r="BM372" s="77">
        <f t="shared" si="2"/>
        <v>0</v>
      </c>
      <c r="BN372" s="77">
        <f t="shared" si="2"/>
        <v>0</v>
      </c>
      <c r="BO372" s="77">
        <f t="shared" si="2"/>
        <v>0</v>
      </c>
      <c r="BP372" s="78">
        <f t="shared" si="2"/>
        <v>0</v>
      </c>
    </row>
  </sheetData>
  <mergeCells count="1">
    <mergeCell ref="B2:F2"/>
  </mergeCells>
  <conditionalFormatting sqref="I6:BP369">
    <cfRule type="containsText" dxfId="35" priority="41" operator="containsText" text="Closed">
      <formula>NOT(ISERROR(SEARCH("Closed",I6)))</formula>
    </cfRule>
  </conditionalFormatting>
  <conditionalFormatting sqref="J84:Z86 J92:Z93">
    <cfRule type="cellIs" dxfId="34" priority="9" operator="equal">
      <formula>"Closed"</formula>
    </cfRule>
  </conditionalFormatting>
  <conditionalFormatting sqref="AA6:AA55 AA58:AA167 AA170:AA314 AA318:AA365">
    <cfRule type="cellIs" dxfId="33" priority="40" operator="equal">
      <formula>"Closed"</formula>
    </cfRule>
  </conditionalFormatting>
  <conditionalFormatting sqref="AA56:AA57">
    <cfRule type="containsText" dxfId="32" priority="33" operator="containsText" text="Closed">
      <formula>NOT(ISERROR(SEARCH("Closed",AA56)))</formula>
    </cfRule>
  </conditionalFormatting>
  <conditionalFormatting sqref="AA168:AA169 AB168:AB172">
    <cfRule type="containsText" dxfId="31" priority="10" operator="containsText" text="Closed">
      <formula>NOT(ISERROR(SEARCH("Closed",AA168)))</formula>
    </cfRule>
  </conditionalFormatting>
  <conditionalFormatting sqref="AA315:AA317">
    <cfRule type="containsText" dxfId="30" priority="19" operator="containsText" text="Closed">
      <formula>NOT(ISERROR(SEARCH("Closed",AA315)))</formula>
    </cfRule>
  </conditionalFormatting>
  <conditionalFormatting sqref="AB6:AB167">
    <cfRule type="cellIs" dxfId="29" priority="37" operator="equal">
      <formula>"Closed"</formula>
    </cfRule>
  </conditionalFormatting>
  <conditionalFormatting sqref="AB173:AB174 AB180:AB181 AB207:AB365">
    <cfRule type="cellIs" dxfId="28" priority="39" operator="equal">
      <formula>"Closed"</formula>
    </cfRule>
  </conditionalFormatting>
  <conditionalFormatting sqref="AB175:AB179">
    <cfRule type="containsText" dxfId="27" priority="24" operator="containsText" text="Closed">
      <formula>NOT(ISERROR(SEARCH("Closed",AB175)))</formula>
    </cfRule>
  </conditionalFormatting>
  <conditionalFormatting sqref="AB182:AB206">
    <cfRule type="containsText" dxfId="26" priority="25" operator="containsText" text="Closed">
      <formula>NOT(ISERROR(SEARCH("Closed",AB182)))</formula>
    </cfRule>
  </conditionalFormatting>
  <conditionalFormatting sqref="AC42:AC44">
    <cfRule type="containsText" dxfId="25" priority="22" operator="containsText" text="Closed">
      <formula>NOT(ISERROR(SEARCH("Closed",AC42)))</formula>
    </cfRule>
  </conditionalFormatting>
  <conditionalFormatting sqref="AC58:AC59">
    <cfRule type="containsText" dxfId="24" priority="34" operator="containsText" text="Closed">
      <formula>NOT(ISERROR(SEARCH("Closed",AC58)))</formula>
    </cfRule>
  </conditionalFormatting>
  <conditionalFormatting sqref="AC64:AC67">
    <cfRule type="containsText" dxfId="23" priority="35" operator="containsText" text="Closed">
      <formula>NOT(ISERROR(SEARCH("Closed",AC64)))</formula>
    </cfRule>
  </conditionalFormatting>
  <conditionalFormatting sqref="AC71:AC74">
    <cfRule type="containsText" dxfId="22" priority="36" operator="containsText" text="Closed">
      <formula>NOT(ISERROR(SEARCH("Closed",AC71)))</formula>
    </cfRule>
  </conditionalFormatting>
  <conditionalFormatting sqref="AC77:AC79">
    <cfRule type="containsText" dxfId="21" priority="32" operator="containsText" text="Closed">
      <formula>NOT(ISERROR(SEARCH("Closed",AC77)))</formula>
    </cfRule>
  </conditionalFormatting>
  <conditionalFormatting sqref="AC6:AD41 AC45:AD57 AC60:AD63 AC68:AD70 AC75:AD76 AC80:AD321 AC322:AC325 AC326:AD328 AC329:AC334 AD333:AE334 AC335:AD365 AA368:AD369">
    <cfRule type="cellIs" dxfId="20" priority="38" operator="equal">
      <formula>"Closed"</formula>
    </cfRule>
  </conditionalFormatting>
  <conditionalFormatting sqref="AD6:AD55 AD58:AD83">
    <cfRule type="cellIs" dxfId="19" priority="8" operator="equal">
      <formula>"Closed"</formula>
    </cfRule>
  </conditionalFormatting>
  <conditionalFormatting sqref="AD56:AD57">
    <cfRule type="containsText" dxfId="18" priority="7" operator="containsText" text="Closed">
      <formula>NOT(ISERROR(SEARCH("Closed",AD56)))</formula>
    </cfRule>
  </conditionalFormatting>
  <conditionalFormatting sqref="AD322:AD325">
    <cfRule type="containsText" dxfId="17" priority="21" operator="containsText" text="Closed">
      <formula>NOT(ISERROR(SEARCH("Closed",AD322)))</formula>
    </cfRule>
  </conditionalFormatting>
  <conditionalFormatting sqref="AD329:AD332">
    <cfRule type="containsText" dxfId="16" priority="18" operator="containsText" text="Closed">
      <formula>NOT(ISERROR(SEARCH("Closed",AD329)))</formula>
    </cfRule>
  </conditionalFormatting>
  <conditionalFormatting sqref="AF96:AF111">
    <cfRule type="containsText" dxfId="15" priority="13" operator="containsText" text="Closed">
      <formula>NOT(ISERROR(SEARCH("Closed",AF96)))</formula>
    </cfRule>
  </conditionalFormatting>
  <conditionalFormatting sqref="AF138:AF139">
    <cfRule type="containsText" dxfId="14" priority="15" operator="containsText" text="Closed">
      <formula>NOT(ISERROR(SEARCH("Closed",AF138)))</formula>
    </cfRule>
  </conditionalFormatting>
  <conditionalFormatting sqref="AF145:AF146">
    <cfRule type="containsText" dxfId="13" priority="14" operator="containsText" text="Closed">
      <formula>NOT(ISERROR(SEARCH("Closed",AF145)))</formula>
    </cfRule>
  </conditionalFormatting>
  <conditionalFormatting sqref="AF6:AG95 AF112:AG116 AF119:AG123 AF126:AG130">
    <cfRule type="cellIs" dxfId="12" priority="16" operator="equal">
      <formula>"Closed"</formula>
    </cfRule>
  </conditionalFormatting>
  <conditionalFormatting sqref="AF117:AG118">
    <cfRule type="containsText" dxfId="11" priority="12" operator="containsText" text="Closed">
      <formula>NOT(ISERROR(SEARCH("Closed",AF117)))</formula>
    </cfRule>
  </conditionalFormatting>
  <conditionalFormatting sqref="AF124:AG125">
    <cfRule type="containsText" dxfId="10" priority="11" operator="containsText" text="Closed">
      <formula>NOT(ISERROR(SEARCH("Closed",AF124)))</formula>
    </cfRule>
  </conditionalFormatting>
  <conditionalFormatting sqref="AF134:AI137">
    <cfRule type="cellIs" dxfId="9" priority="28" operator="equal">
      <formula>"Closed"</formula>
    </cfRule>
  </conditionalFormatting>
  <conditionalFormatting sqref="AF140:AI144">
    <cfRule type="cellIs" dxfId="8" priority="27" operator="equal">
      <formula>"Closed"</formula>
    </cfRule>
  </conditionalFormatting>
  <conditionalFormatting sqref="AF147:AI151">
    <cfRule type="cellIs" dxfId="7" priority="26" operator="equal">
      <formula>"Closed"</formula>
    </cfRule>
  </conditionalFormatting>
  <conditionalFormatting sqref="AH6:AH55 AH58:AH83">
    <cfRule type="cellIs" dxfId="6" priority="6" operator="equal">
      <formula>"Closed"</formula>
    </cfRule>
  </conditionalFormatting>
  <conditionalFormatting sqref="AH56:AH57">
    <cfRule type="containsText" dxfId="5" priority="5" operator="containsText" text="Closed">
      <formula>NOT(ISERROR(SEARCH("Closed",AH56)))</formula>
    </cfRule>
  </conditionalFormatting>
  <conditionalFormatting sqref="AH252:AI256 AH259:AI263 AI266:AI298 AH266:AH365 AI315:AI365 AH368:AI369">
    <cfRule type="cellIs" dxfId="4" priority="17" operator="equal">
      <formula>"Closed"</formula>
    </cfRule>
  </conditionalFormatting>
  <conditionalFormatting sqref="AM6:AM55 AM58:AM83">
    <cfRule type="cellIs" dxfId="3" priority="4" operator="equal">
      <formula>"Closed"</formula>
    </cfRule>
  </conditionalFormatting>
  <conditionalFormatting sqref="AM56:AM57">
    <cfRule type="containsText" dxfId="2" priority="3" operator="containsText" text="Closed">
      <formula>NOT(ISERROR(SEARCH("Closed",AM56)))</formula>
    </cfRule>
  </conditionalFormatting>
  <conditionalFormatting sqref="AP6:AP55 AP58:AP83">
    <cfRule type="cellIs" dxfId="1" priority="2" operator="equal">
      <formula>"Closed"</formula>
    </cfRule>
  </conditionalFormatting>
  <conditionalFormatting sqref="AP56:AP57">
    <cfRule type="containsText" dxfId="0" priority="1" operator="containsText" text="Closed">
      <formula>NOT(ISERROR(SEARCH("Closed",AP56)))</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Scheduling</vt:lpstr>
      <vt:lpstr>Closed Days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Eesa Gurling</dc:creator>
  <cp:lastModifiedBy>Eesa Gurling</cp:lastModifiedBy>
  <dcterms:created xsi:type="dcterms:W3CDTF">2026-01-26T11:36:38Z</dcterms:created>
  <dcterms:modified xsi:type="dcterms:W3CDTF">2026-03-17T12:06:40Z</dcterms:modified>
</cp:coreProperties>
</file>