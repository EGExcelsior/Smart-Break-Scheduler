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urling\Downloads\break-scheduler\backend\zone-data\"/>
    </mc:Choice>
  </mc:AlternateContent>
  <xr:revisionPtr revIDLastSave="0" documentId="13_ncr:1_{9600665D-2789-4D28-8DD0-643D493D045A}" xr6:coauthVersionLast="47" xr6:coauthVersionMax="47" xr10:uidLastSave="{00000000-0000-0000-0000-000000000000}"/>
  <bookViews>
    <workbookView xWindow="-28920" yWindow="-120" windowWidth="29040" windowHeight="15720" xr2:uid="{327E1585-112A-4C4D-9069-D870CE041F83}"/>
  </bookViews>
  <sheets>
    <sheet name="Scheduling" sheetId="1" r:id="rId1"/>
    <sheet name="Closed Days" sheetId="4" r:id="rId2"/>
  </sheets>
  <externalReferences>
    <externalReference r:id="rId3"/>
    <externalReference r:id="rId4"/>
    <externalReference r:id="rId5"/>
  </externalReferences>
  <definedNames>
    <definedName name="Day_Codes">'[1]Master File'!$E$5:$I$30</definedName>
    <definedName name="Units">'[2]Control Sheet'!$C$5:$F$64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372" i="4" l="1"/>
  <c r="BO372" i="4"/>
  <c r="BN372" i="4"/>
  <c r="BM372" i="4"/>
  <c r="BL372" i="4"/>
  <c r="BK372" i="4"/>
  <c r="BJ372" i="4"/>
  <c r="BI372" i="4"/>
  <c r="BH372" i="4"/>
  <c r="BG372" i="4"/>
  <c r="BF372" i="4"/>
  <c r="BE372" i="4"/>
  <c r="BD372" i="4"/>
  <c r="BC372" i="4"/>
  <c r="BB372" i="4"/>
  <c r="BA372" i="4"/>
  <c r="AZ372" i="4"/>
  <c r="AY372" i="4"/>
  <c r="AX372" i="4"/>
  <c r="AW372" i="4"/>
  <c r="AV372" i="4"/>
  <c r="AU372" i="4"/>
  <c r="AT372" i="4"/>
  <c r="AS372" i="4"/>
  <c r="AR372" i="4"/>
  <c r="AQ372" i="4"/>
  <c r="AP372" i="4"/>
  <c r="AO372" i="4"/>
  <c r="AN372" i="4"/>
  <c r="AM372" i="4"/>
  <c r="AL372" i="4"/>
  <c r="AK372" i="4"/>
  <c r="AJ372" i="4"/>
  <c r="AI372" i="4"/>
  <c r="AH372" i="4"/>
  <c r="AG372" i="4"/>
  <c r="AF372" i="4"/>
  <c r="AE372" i="4"/>
  <c r="AD372" i="4"/>
  <c r="AC372" i="4"/>
  <c r="AB372" i="4"/>
  <c r="AA372" i="4"/>
  <c r="Z372" i="4"/>
  <c r="Y372" i="4"/>
  <c r="X372" i="4"/>
  <c r="W372" i="4"/>
  <c r="V372" i="4"/>
  <c r="U372" i="4"/>
  <c r="T372" i="4"/>
  <c r="S372" i="4"/>
  <c r="R372" i="4"/>
  <c r="Q372" i="4"/>
  <c r="P372" i="4"/>
  <c r="O372" i="4"/>
  <c r="N372" i="4"/>
  <c r="M372" i="4"/>
  <c r="L372" i="4"/>
  <c r="K372" i="4"/>
  <c r="J372" i="4"/>
  <c r="I372" i="4"/>
  <c r="BP371" i="4"/>
  <c r="BO371" i="4"/>
  <c r="BN371" i="4"/>
  <c r="BM371" i="4"/>
  <c r="BL371" i="4"/>
  <c r="BK371" i="4"/>
  <c r="BJ371" i="4"/>
  <c r="BI371" i="4"/>
  <c r="BH371" i="4"/>
  <c r="BG371" i="4"/>
  <c r="BF371" i="4"/>
  <c r="BE371" i="4"/>
  <c r="BD371" i="4"/>
  <c r="BC371" i="4"/>
  <c r="BB371" i="4"/>
  <c r="BA371" i="4"/>
  <c r="AZ371" i="4"/>
  <c r="AY371" i="4"/>
  <c r="AX371" i="4"/>
  <c r="AW371" i="4"/>
  <c r="AV371" i="4"/>
  <c r="AU371" i="4"/>
  <c r="AT371" i="4"/>
  <c r="AS371" i="4"/>
  <c r="AR371" i="4"/>
  <c r="AQ371" i="4"/>
  <c r="AP371" i="4"/>
  <c r="AO371" i="4"/>
  <c r="AN371" i="4"/>
  <c r="AM371" i="4"/>
  <c r="AL371" i="4"/>
  <c r="AK371" i="4"/>
  <c r="AJ371" i="4"/>
  <c r="AI371" i="4"/>
  <c r="AH371" i="4"/>
  <c r="AG371" i="4"/>
  <c r="AF371" i="4"/>
  <c r="AE371" i="4"/>
  <c r="AD371" i="4"/>
  <c r="AC371" i="4"/>
  <c r="AB371" i="4"/>
  <c r="AA371" i="4"/>
  <c r="Z371" i="4"/>
  <c r="Y371" i="4"/>
  <c r="X371" i="4"/>
  <c r="W371" i="4"/>
  <c r="V371" i="4"/>
  <c r="U371" i="4"/>
  <c r="T371" i="4"/>
  <c r="S371" i="4"/>
  <c r="R371" i="4"/>
  <c r="Q371" i="4"/>
  <c r="P371" i="4"/>
  <c r="O371" i="4"/>
  <c r="N371" i="4"/>
  <c r="M371" i="4"/>
  <c r="L371" i="4"/>
  <c r="K371" i="4"/>
  <c r="J371" i="4"/>
  <c r="I371" i="4"/>
  <c r="F369" i="4"/>
  <c r="E369" i="4"/>
  <c r="F368" i="4"/>
  <c r="E368" i="4"/>
  <c r="F367" i="4"/>
  <c r="E367" i="4"/>
  <c r="F366" i="4"/>
  <c r="E366" i="4"/>
  <c r="F365" i="4"/>
  <c r="E365" i="4"/>
  <c r="F364" i="4"/>
  <c r="E364" i="4"/>
  <c r="F363" i="4"/>
  <c r="E363" i="4"/>
  <c r="F362" i="4"/>
  <c r="E362" i="4"/>
  <c r="F361" i="4"/>
  <c r="E361" i="4"/>
  <c r="F360" i="4"/>
  <c r="E360" i="4"/>
  <c r="F359" i="4"/>
  <c r="E359" i="4"/>
  <c r="F358" i="4"/>
  <c r="E358" i="4"/>
  <c r="F357" i="4"/>
  <c r="E357" i="4"/>
  <c r="F356" i="4"/>
  <c r="E356" i="4"/>
  <c r="F355" i="4"/>
  <c r="E355" i="4"/>
  <c r="F354" i="4"/>
  <c r="E354" i="4"/>
  <c r="F353" i="4"/>
  <c r="E353" i="4"/>
  <c r="F352" i="4"/>
  <c r="E352" i="4"/>
  <c r="F351" i="4"/>
  <c r="E351" i="4"/>
  <c r="F350" i="4"/>
  <c r="E350" i="4"/>
  <c r="F349" i="4"/>
  <c r="E349" i="4"/>
  <c r="F348" i="4"/>
  <c r="E348" i="4"/>
  <c r="F347" i="4"/>
  <c r="E347" i="4"/>
  <c r="F346" i="4"/>
  <c r="E346" i="4"/>
  <c r="F345" i="4"/>
  <c r="E345" i="4"/>
  <c r="F344" i="4"/>
  <c r="E344" i="4"/>
  <c r="F343" i="4"/>
  <c r="E343" i="4"/>
  <c r="F342" i="4"/>
  <c r="E342" i="4"/>
  <c r="F341" i="4"/>
  <c r="E341" i="4"/>
  <c r="F340" i="4"/>
  <c r="E340" i="4"/>
  <c r="F339" i="4"/>
  <c r="E339" i="4"/>
  <c r="F338" i="4"/>
  <c r="E338" i="4"/>
  <c r="F337" i="4"/>
  <c r="E337" i="4"/>
  <c r="F336" i="4"/>
  <c r="E336" i="4"/>
  <c r="F335" i="4"/>
  <c r="E335" i="4"/>
  <c r="F334" i="4"/>
  <c r="E334" i="4"/>
  <c r="F333" i="4"/>
  <c r="E333" i="4"/>
  <c r="F332" i="4"/>
  <c r="E332" i="4"/>
  <c r="F331" i="4"/>
  <c r="E331" i="4"/>
  <c r="F330" i="4"/>
  <c r="E330" i="4"/>
  <c r="F329" i="4"/>
  <c r="E329" i="4"/>
  <c r="F328" i="4"/>
  <c r="E328" i="4"/>
  <c r="F327" i="4"/>
  <c r="E327" i="4"/>
  <c r="F326" i="4"/>
  <c r="E326" i="4"/>
  <c r="F325" i="4"/>
  <c r="E325" i="4"/>
  <c r="F324" i="4"/>
  <c r="E324" i="4"/>
  <c r="F323" i="4"/>
  <c r="E323" i="4"/>
  <c r="F322" i="4"/>
  <c r="E322" i="4"/>
  <c r="F321" i="4"/>
  <c r="E321" i="4"/>
  <c r="F320" i="4"/>
  <c r="E320" i="4"/>
  <c r="F319" i="4"/>
  <c r="E319" i="4"/>
  <c r="F318" i="4"/>
  <c r="E318" i="4"/>
  <c r="F317" i="4"/>
  <c r="E317" i="4"/>
  <c r="F316" i="4"/>
  <c r="E316" i="4"/>
  <c r="F315" i="4"/>
  <c r="E315" i="4"/>
  <c r="F314" i="4"/>
  <c r="E314" i="4"/>
  <c r="F313" i="4"/>
  <c r="E313" i="4"/>
  <c r="F312" i="4"/>
  <c r="E312" i="4"/>
  <c r="F311" i="4"/>
  <c r="E311" i="4"/>
  <c r="F310" i="4"/>
  <c r="E310" i="4"/>
  <c r="F309" i="4"/>
  <c r="E309" i="4"/>
  <c r="F308" i="4"/>
  <c r="E308" i="4"/>
  <c r="F307" i="4"/>
  <c r="E307" i="4"/>
  <c r="F306" i="4"/>
  <c r="E306" i="4"/>
  <c r="F305" i="4"/>
  <c r="E305" i="4"/>
  <c r="F304" i="4"/>
  <c r="E304" i="4"/>
  <c r="F303" i="4"/>
  <c r="E303" i="4"/>
  <c r="F302" i="4"/>
  <c r="E302" i="4"/>
  <c r="F301" i="4"/>
  <c r="E301" i="4"/>
  <c r="F300" i="4"/>
  <c r="E300" i="4"/>
  <c r="F299" i="4"/>
  <c r="E299" i="4"/>
  <c r="F298" i="4"/>
  <c r="E298" i="4"/>
  <c r="F297" i="4"/>
  <c r="E297" i="4"/>
  <c r="F296" i="4"/>
  <c r="E296" i="4"/>
  <c r="F295" i="4"/>
  <c r="E295" i="4"/>
  <c r="F294" i="4"/>
  <c r="E294" i="4"/>
  <c r="F293" i="4"/>
  <c r="E293" i="4"/>
  <c r="F292" i="4"/>
  <c r="E292" i="4"/>
  <c r="F291" i="4"/>
  <c r="E291" i="4"/>
  <c r="F290" i="4"/>
  <c r="E290" i="4"/>
  <c r="F289" i="4"/>
  <c r="E289" i="4"/>
  <c r="F288" i="4"/>
  <c r="E288" i="4"/>
  <c r="F287" i="4"/>
  <c r="E287" i="4"/>
  <c r="F286" i="4"/>
  <c r="E286" i="4"/>
  <c r="F285" i="4"/>
  <c r="E285" i="4"/>
  <c r="F284" i="4"/>
  <c r="E284" i="4"/>
  <c r="F283" i="4"/>
  <c r="E283" i="4"/>
  <c r="F282" i="4"/>
  <c r="E282" i="4"/>
  <c r="F281" i="4"/>
  <c r="E281" i="4"/>
  <c r="F280" i="4"/>
  <c r="E280" i="4"/>
  <c r="F279" i="4"/>
  <c r="E279" i="4"/>
  <c r="F278" i="4"/>
  <c r="E278" i="4"/>
  <c r="F277" i="4"/>
  <c r="E277" i="4"/>
  <c r="F276" i="4"/>
  <c r="E276" i="4"/>
  <c r="F275" i="4"/>
  <c r="E275" i="4"/>
  <c r="F274" i="4"/>
  <c r="E274" i="4"/>
  <c r="F273" i="4"/>
  <c r="E273" i="4"/>
  <c r="F272" i="4"/>
  <c r="E272" i="4"/>
  <c r="F271" i="4"/>
  <c r="E271" i="4"/>
  <c r="F270" i="4"/>
  <c r="E270" i="4"/>
  <c r="F269" i="4"/>
  <c r="E269" i="4"/>
  <c r="F268" i="4"/>
  <c r="E268" i="4"/>
  <c r="F267" i="4"/>
  <c r="E267" i="4"/>
  <c r="F266" i="4"/>
  <c r="E266" i="4"/>
  <c r="F265" i="4"/>
  <c r="E265" i="4"/>
  <c r="F264" i="4"/>
  <c r="E264" i="4"/>
  <c r="F263" i="4"/>
  <c r="E263" i="4"/>
  <c r="F262" i="4"/>
  <c r="E262" i="4"/>
  <c r="F261" i="4"/>
  <c r="E261" i="4"/>
  <c r="F260" i="4"/>
  <c r="E260" i="4"/>
  <c r="F259" i="4"/>
  <c r="E259" i="4"/>
  <c r="F258" i="4"/>
  <c r="E258" i="4"/>
  <c r="F257" i="4"/>
  <c r="E257" i="4"/>
  <c r="F256" i="4"/>
  <c r="E256" i="4"/>
  <c r="F255" i="4"/>
  <c r="E255" i="4"/>
  <c r="F254" i="4"/>
  <c r="E254" i="4"/>
  <c r="F253" i="4"/>
  <c r="E253" i="4"/>
  <c r="F252" i="4"/>
  <c r="E252" i="4"/>
  <c r="F251" i="4"/>
  <c r="E251" i="4"/>
  <c r="F250" i="4"/>
  <c r="E250" i="4"/>
  <c r="F249" i="4"/>
  <c r="E249" i="4"/>
  <c r="F248" i="4"/>
  <c r="E248" i="4"/>
  <c r="F247" i="4"/>
  <c r="E247" i="4"/>
  <c r="F246" i="4"/>
  <c r="E246" i="4"/>
  <c r="F245" i="4"/>
  <c r="E245" i="4"/>
  <c r="F244" i="4"/>
  <c r="E244" i="4"/>
  <c r="F243" i="4"/>
  <c r="E243" i="4"/>
  <c r="F242" i="4"/>
  <c r="E242" i="4"/>
  <c r="F241" i="4"/>
  <c r="E241" i="4"/>
  <c r="F240" i="4"/>
  <c r="E240" i="4"/>
  <c r="F239" i="4"/>
  <c r="E239" i="4"/>
  <c r="F238" i="4"/>
  <c r="E238" i="4"/>
  <c r="F237" i="4"/>
  <c r="E237" i="4"/>
  <c r="F236" i="4"/>
  <c r="E236" i="4"/>
  <c r="F235" i="4"/>
  <c r="E235" i="4"/>
  <c r="F234" i="4"/>
  <c r="E234" i="4"/>
  <c r="F233" i="4"/>
  <c r="E233" i="4"/>
  <c r="F232" i="4"/>
  <c r="E232" i="4"/>
  <c r="F231" i="4"/>
  <c r="E231" i="4"/>
  <c r="F230" i="4"/>
  <c r="E230" i="4"/>
  <c r="F229" i="4"/>
  <c r="E229" i="4"/>
  <c r="F228" i="4"/>
  <c r="E228" i="4"/>
  <c r="F227" i="4"/>
  <c r="E227" i="4"/>
  <c r="F226" i="4"/>
  <c r="E226" i="4"/>
  <c r="F225" i="4"/>
  <c r="E225" i="4"/>
  <c r="F224" i="4"/>
  <c r="E224" i="4"/>
  <c r="F223" i="4"/>
  <c r="E223" i="4"/>
  <c r="F222" i="4"/>
  <c r="E222" i="4"/>
  <c r="F221" i="4"/>
  <c r="E221" i="4"/>
  <c r="F220" i="4"/>
  <c r="E220" i="4"/>
  <c r="F219" i="4"/>
  <c r="E219" i="4"/>
  <c r="F218" i="4"/>
  <c r="E218" i="4"/>
  <c r="F217" i="4"/>
  <c r="E217" i="4"/>
  <c r="F216" i="4"/>
  <c r="E216" i="4"/>
  <c r="F215" i="4"/>
  <c r="E215" i="4"/>
  <c r="F214" i="4"/>
  <c r="E214" i="4"/>
  <c r="F213" i="4"/>
  <c r="E213" i="4"/>
  <c r="F212" i="4"/>
  <c r="E212" i="4"/>
  <c r="F211" i="4"/>
  <c r="E211" i="4"/>
  <c r="F210" i="4"/>
  <c r="E210" i="4"/>
  <c r="F209" i="4"/>
  <c r="E209" i="4"/>
  <c r="F208" i="4"/>
  <c r="E208" i="4"/>
  <c r="F207" i="4"/>
  <c r="E207" i="4"/>
  <c r="F206" i="4"/>
  <c r="E206" i="4"/>
  <c r="F205" i="4"/>
  <c r="E205" i="4"/>
  <c r="F204" i="4"/>
  <c r="E204" i="4"/>
  <c r="F203" i="4"/>
  <c r="E203" i="4"/>
  <c r="F202" i="4"/>
  <c r="E202" i="4"/>
  <c r="F201" i="4"/>
  <c r="E201" i="4"/>
  <c r="F200" i="4"/>
  <c r="E200" i="4"/>
  <c r="F199" i="4"/>
  <c r="E199" i="4"/>
  <c r="F198" i="4"/>
  <c r="E198" i="4"/>
  <c r="F197" i="4"/>
  <c r="E197" i="4"/>
  <c r="F196" i="4"/>
  <c r="E196" i="4"/>
  <c r="F195" i="4"/>
  <c r="E195" i="4"/>
  <c r="F194" i="4"/>
  <c r="E194" i="4"/>
  <c r="F193" i="4"/>
  <c r="E193" i="4"/>
  <c r="F192" i="4"/>
  <c r="E192" i="4"/>
  <c r="F191" i="4"/>
  <c r="E191" i="4"/>
  <c r="F190" i="4"/>
  <c r="E190" i="4"/>
  <c r="F189" i="4"/>
  <c r="E189" i="4"/>
  <c r="F188" i="4"/>
  <c r="E188" i="4"/>
  <c r="F187" i="4"/>
  <c r="E187" i="4"/>
  <c r="F186" i="4"/>
  <c r="E186" i="4"/>
  <c r="F185" i="4"/>
  <c r="E185" i="4"/>
  <c r="F184" i="4"/>
  <c r="E184" i="4"/>
  <c r="F183" i="4"/>
  <c r="E183" i="4"/>
  <c r="F182" i="4"/>
  <c r="E182" i="4"/>
  <c r="F181" i="4"/>
  <c r="E181" i="4"/>
  <c r="F180" i="4"/>
  <c r="E180" i="4"/>
  <c r="F179" i="4"/>
  <c r="E179" i="4"/>
  <c r="F178" i="4"/>
  <c r="E178" i="4"/>
  <c r="F177" i="4"/>
  <c r="E177" i="4"/>
  <c r="F176" i="4"/>
  <c r="E176" i="4"/>
  <c r="F175" i="4"/>
  <c r="E175" i="4"/>
  <c r="F174" i="4"/>
  <c r="E174" i="4"/>
  <c r="F173" i="4"/>
  <c r="E173" i="4"/>
  <c r="F172" i="4"/>
  <c r="E172" i="4"/>
  <c r="F171" i="4"/>
  <c r="E171" i="4"/>
  <c r="F170" i="4"/>
  <c r="E170" i="4"/>
  <c r="F169" i="4"/>
  <c r="E169" i="4"/>
  <c r="F168" i="4"/>
  <c r="E168" i="4"/>
  <c r="F167" i="4"/>
  <c r="E167" i="4"/>
  <c r="F166" i="4"/>
  <c r="E166" i="4"/>
  <c r="F165" i="4"/>
  <c r="E165" i="4"/>
  <c r="F164" i="4"/>
  <c r="E164" i="4"/>
  <c r="F163" i="4"/>
  <c r="E163" i="4"/>
  <c r="F162" i="4"/>
  <c r="E162" i="4"/>
  <c r="F161" i="4"/>
  <c r="E161" i="4"/>
  <c r="F160" i="4"/>
  <c r="E160" i="4"/>
  <c r="F159" i="4"/>
  <c r="E159" i="4"/>
  <c r="F158" i="4"/>
  <c r="E158" i="4"/>
  <c r="F157" i="4"/>
  <c r="E157" i="4"/>
  <c r="F156" i="4"/>
  <c r="E156" i="4"/>
  <c r="F155" i="4"/>
  <c r="E155" i="4"/>
  <c r="F154" i="4"/>
  <c r="E154" i="4"/>
  <c r="F153" i="4"/>
  <c r="E153" i="4"/>
  <c r="F152" i="4"/>
  <c r="E152" i="4"/>
  <c r="F151" i="4"/>
  <c r="E151" i="4"/>
  <c r="F150" i="4"/>
  <c r="E150" i="4"/>
  <c r="F149" i="4"/>
  <c r="E149" i="4"/>
  <c r="F148" i="4"/>
  <c r="E148" i="4"/>
  <c r="F147" i="4"/>
  <c r="E147" i="4"/>
  <c r="F146" i="4"/>
  <c r="E146" i="4"/>
  <c r="F145" i="4"/>
  <c r="E145" i="4"/>
  <c r="F144" i="4"/>
  <c r="E144" i="4"/>
  <c r="F143" i="4"/>
  <c r="E143" i="4"/>
  <c r="F142" i="4"/>
  <c r="E142" i="4"/>
  <c r="F141" i="4"/>
  <c r="E141" i="4"/>
  <c r="F140" i="4"/>
  <c r="E140" i="4"/>
  <c r="F139" i="4"/>
  <c r="E139" i="4"/>
  <c r="F138" i="4"/>
  <c r="E138" i="4"/>
  <c r="F137" i="4"/>
  <c r="E137" i="4"/>
  <c r="F136" i="4"/>
  <c r="E136" i="4"/>
  <c r="F135" i="4"/>
  <c r="E135" i="4"/>
  <c r="F134" i="4"/>
  <c r="E134" i="4"/>
  <c r="F133" i="4"/>
  <c r="E133" i="4"/>
  <c r="F132" i="4"/>
  <c r="E132" i="4"/>
  <c r="F131" i="4"/>
  <c r="E131" i="4"/>
  <c r="F130" i="4"/>
  <c r="E130" i="4"/>
  <c r="F129" i="4"/>
  <c r="E129" i="4"/>
  <c r="F128" i="4"/>
  <c r="E128" i="4"/>
  <c r="F127" i="4"/>
  <c r="E127" i="4"/>
  <c r="F126" i="4"/>
  <c r="E126" i="4"/>
  <c r="F125" i="4"/>
  <c r="E125" i="4"/>
  <c r="F124" i="4"/>
  <c r="E124" i="4"/>
  <c r="F123" i="4"/>
  <c r="E123" i="4"/>
  <c r="F122" i="4"/>
  <c r="E122" i="4"/>
  <c r="F121" i="4"/>
  <c r="E121" i="4"/>
  <c r="F120" i="4"/>
  <c r="E120" i="4"/>
  <c r="F119" i="4"/>
  <c r="E119" i="4"/>
  <c r="F118" i="4"/>
  <c r="E118" i="4"/>
  <c r="F117" i="4"/>
  <c r="E117" i="4"/>
  <c r="F116" i="4"/>
  <c r="E116" i="4"/>
  <c r="F115" i="4"/>
  <c r="E115" i="4"/>
  <c r="F114" i="4"/>
  <c r="E114" i="4"/>
  <c r="F113" i="4"/>
  <c r="E113" i="4"/>
  <c r="F112" i="4"/>
  <c r="E112" i="4"/>
  <c r="F111" i="4"/>
  <c r="E111" i="4"/>
  <c r="F110" i="4"/>
  <c r="E110" i="4"/>
  <c r="F109" i="4"/>
  <c r="E109" i="4"/>
  <c r="F108" i="4"/>
  <c r="E108" i="4"/>
  <c r="F107" i="4"/>
  <c r="E107" i="4"/>
  <c r="F106" i="4"/>
  <c r="E106" i="4"/>
  <c r="F105" i="4"/>
  <c r="E105" i="4"/>
  <c r="F104" i="4"/>
  <c r="E104" i="4"/>
  <c r="F103" i="4"/>
  <c r="E103" i="4"/>
  <c r="F102" i="4"/>
  <c r="E102" i="4"/>
  <c r="F101" i="4"/>
  <c r="E101" i="4"/>
  <c r="F100" i="4"/>
  <c r="E100" i="4"/>
  <c r="F99" i="4"/>
  <c r="E99" i="4"/>
  <c r="F98" i="4"/>
  <c r="E98" i="4"/>
  <c r="F97" i="4"/>
  <c r="E97" i="4"/>
  <c r="F96" i="4"/>
  <c r="E96" i="4"/>
  <c r="F95" i="4"/>
  <c r="E95" i="4"/>
  <c r="F94" i="4"/>
  <c r="E94" i="4"/>
  <c r="F93" i="4"/>
  <c r="E93" i="4"/>
  <c r="F92" i="4"/>
  <c r="E92" i="4"/>
  <c r="F91" i="4"/>
  <c r="E91" i="4"/>
  <c r="F90" i="4"/>
  <c r="E90" i="4"/>
  <c r="F89" i="4"/>
  <c r="E89" i="4"/>
  <c r="F88" i="4"/>
  <c r="E88" i="4"/>
  <c r="F87" i="4"/>
  <c r="E87" i="4"/>
  <c r="F86" i="4"/>
  <c r="E86" i="4"/>
  <c r="F85" i="4"/>
  <c r="E85" i="4"/>
  <c r="F84" i="4"/>
  <c r="E84" i="4"/>
  <c r="F83" i="4"/>
  <c r="E83" i="4"/>
  <c r="F82" i="4"/>
  <c r="E82" i="4"/>
  <c r="F81" i="4"/>
  <c r="E81" i="4"/>
  <c r="F80" i="4"/>
  <c r="E80" i="4"/>
  <c r="F79" i="4"/>
  <c r="E79" i="4"/>
  <c r="F78" i="4"/>
  <c r="E78" i="4"/>
  <c r="F77" i="4"/>
  <c r="E77" i="4"/>
  <c r="F76" i="4"/>
  <c r="E76" i="4"/>
  <c r="F75" i="4"/>
  <c r="E75" i="4"/>
  <c r="F74" i="4"/>
  <c r="E74" i="4"/>
  <c r="F73" i="4"/>
  <c r="E73" i="4"/>
  <c r="F72" i="4"/>
  <c r="E72" i="4"/>
  <c r="F71" i="4"/>
  <c r="E71" i="4"/>
  <c r="F70" i="4"/>
  <c r="E70" i="4"/>
  <c r="F69" i="4"/>
  <c r="E69" i="4"/>
  <c r="F68" i="4"/>
  <c r="E68" i="4"/>
  <c r="F67" i="4"/>
  <c r="E67" i="4"/>
  <c r="F66" i="4"/>
  <c r="E66" i="4"/>
  <c r="F65" i="4"/>
  <c r="E65" i="4"/>
  <c r="F64" i="4"/>
  <c r="E64" i="4"/>
  <c r="F63" i="4"/>
  <c r="E63" i="4"/>
  <c r="F62" i="4"/>
  <c r="E62" i="4"/>
  <c r="F61" i="4"/>
  <c r="E61" i="4"/>
  <c r="F60" i="4"/>
  <c r="E60" i="4"/>
  <c r="F59" i="4"/>
  <c r="E59" i="4"/>
  <c r="F58" i="4"/>
  <c r="E58" i="4"/>
  <c r="F57" i="4"/>
  <c r="E57" i="4"/>
  <c r="F56" i="4"/>
  <c r="E56" i="4"/>
  <c r="F55" i="4"/>
  <c r="E55" i="4"/>
  <c r="F54" i="4"/>
  <c r="E54" i="4"/>
  <c r="F53" i="4"/>
  <c r="E53" i="4"/>
  <c r="F52" i="4"/>
  <c r="E52" i="4"/>
  <c r="F51" i="4"/>
  <c r="E51" i="4"/>
  <c r="F50" i="4"/>
  <c r="E50" i="4"/>
  <c r="F49" i="4"/>
  <c r="E49" i="4"/>
  <c r="F48" i="4"/>
  <c r="E48" i="4"/>
  <c r="F47" i="4"/>
  <c r="E47" i="4"/>
  <c r="F46" i="4"/>
  <c r="E46" i="4"/>
  <c r="F45" i="4"/>
  <c r="E45" i="4"/>
  <c r="F44" i="4"/>
  <c r="E44" i="4"/>
  <c r="F43" i="4"/>
  <c r="E43" i="4"/>
  <c r="F42" i="4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BP3" i="4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GQ166" i="1"/>
  <c r="GM166" i="1"/>
  <c r="GN166" i="1" s="1"/>
  <c r="GD166" i="1"/>
  <c r="GE166" i="1" s="1"/>
  <c r="FU166" i="1"/>
  <c r="FL166" i="1"/>
  <c r="FM166" i="1" s="1"/>
  <c r="FC166" i="1"/>
  <c r="FD166" i="1" s="1"/>
  <c r="ET166" i="1"/>
  <c r="EV166" i="1" s="1"/>
  <c r="EK166" i="1"/>
  <c r="EB166" i="1"/>
  <c r="EC166" i="1" s="1"/>
  <c r="DS166" i="1"/>
  <c r="DT166" i="1" s="1"/>
  <c r="DJ166" i="1"/>
  <c r="DA166" i="1"/>
  <c r="F166" i="1"/>
  <c r="E166" i="1"/>
  <c r="D166" i="1"/>
  <c r="GQ165" i="1"/>
  <c r="GM165" i="1"/>
  <c r="GD165" i="1"/>
  <c r="GF165" i="1" s="1"/>
  <c r="FU165" i="1"/>
  <c r="FW165" i="1" s="1"/>
  <c r="FL165" i="1"/>
  <c r="FM165" i="1" s="1"/>
  <c r="FC165" i="1"/>
  <c r="FD165" i="1" s="1"/>
  <c r="ET165" i="1"/>
  <c r="EV165" i="1" s="1"/>
  <c r="EK165" i="1"/>
  <c r="EL165" i="1" s="1"/>
  <c r="EB165" i="1"/>
  <c r="ED165" i="1" s="1"/>
  <c r="DS165" i="1"/>
  <c r="DJ165" i="1"/>
  <c r="DK165" i="1" s="1"/>
  <c r="DA165" i="1"/>
  <c r="F165" i="1"/>
  <c r="E165" i="1"/>
  <c r="D165" i="1"/>
  <c r="GQ164" i="1"/>
  <c r="GM164" i="1"/>
  <c r="GN164" i="1" s="1"/>
  <c r="GD164" i="1"/>
  <c r="FU164" i="1"/>
  <c r="FL164" i="1"/>
  <c r="FM164" i="1" s="1"/>
  <c r="FC164" i="1"/>
  <c r="ET164" i="1"/>
  <c r="EK164" i="1"/>
  <c r="EL164" i="1" s="1"/>
  <c r="EB164" i="1"/>
  <c r="EC164" i="1" s="1"/>
  <c r="DS164" i="1"/>
  <c r="DT164" i="1" s="1"/>
  <c r="DJ164" i="1"/>
  <c r="DK164" i="1" s="1"/>
  <c r="DA164" i="1"/>
  <c r="F164" i="1"/>
  <c r="E164" i="1"/>
  <c r="D164" i="1"/>
  <c r="GQ163" i="1"/>
  <c r="GM163" i="1"/>
  <c r="GD163" i="1"/>
  <c r="FU163" i="1"/>
  <c r="FL163" i="1"/>
  <c r="FM163" i="1" s="1"/>
  <c r="FC163" i="1"/>
  <c r="FD163" i="1" s="1"/>
  <c r="ET163" i="1"/>
  <c r="EK163" i="1"/>
  <c r="EL163" i="1" s="1"/>
  <c r="EB163" i="1"/>
  <c r="EC163" i="1" s="1"/>
  <c r="DS163" i="1"/>
  <c r="DT163" i="1" s="1"/>
  <c r="DJ163" i="1"/>
  <c r="DK163" i="1" s="1"/>
  <c r="DA163" i="1"/>
  <c r="F163" i="1"/>
  <c r="E163" i="1"/>
  <c r="D163" i="1"/>
  <c r="GQ162" i="1"/>
  <c r="GM162" i="1"/>
  <c r="GD162" i="1"/>
  <c r="GF162" i="1" s="1"/>
  <c r="FU162" i="1"/>
  <c r="FW162" i="1" s="1"/>
  <c r="FL162" i="1"/>
  <c r="FC162" i="1"/>
  <c r="FD162" i="1" s="1"/>
  <c r="ET162" i="1"/>
  <c r="EV162" i="1" s="1"/>
  <c r="EK162" i="1"/>
  <c r="EM162" i="1" s="1"/>
  <c r="EB162" i="1"/>
  <c r="ED162" i="1" s="1"/>
  <c r="DS162" i="1"/>
  <c r="DJ162" i="1"/>
  <c r="DL162" i="1" s="1"/>
  <c r="DA162" i="1"/>
  <c r="DC162" i="1" s="1"/>
  <c r="F162" i="1"/>
  <c r="E162" i="1"/>
  <c r="D162" i="1"/>
  <c r="GQ161" i="1"/>
  <c r="GM161" i="1"/>
  <c r="GD161" i="1"/>
  <c r="FU161" i="1"/>
  <c r="FV161" i="1" s="1"/>
  <c r="FL161" i="1"/>
  <c r="FC161" i="1"/>
  <c r="ET161" i="1"/>
  <c r="EV161" i="1" s="1"/>
  <c r="EK161" i="1"/>
  <c r="EB161" i="1"/>
  <c r="DS161" i="1"/>
  <c r="DT161" i="1" s="1"/>
  <c r="DJ161" i="1"/>
  <c r="DL161" i="1" s="1"/>
  <c r="DA161" i="1"/>
  <c r="F161" i="1"/>
  <c r="E161" i="1"/>
  <c r="D161" i="1"/>
  <c r="GQ160" i="1"/>
  <c r="GM160" i="1"/>
  <c r="GN160" i="1" s="1"/>
  <c r="GD160" i="1"/>
  <c r="FU160" i="1"/>
  <c r="FL160" i="1"/>
  <c r="FM160" i="1" s="1"/>
  <c r="FC160" i="1"/>
  <c r="FD160" i="1" s="1"/>
  <c r="ET160" i="1"/>
  <c r="EK160" i="1"/>
  <c r="EB160" i="1"/>
  <c r="EC160" i="1" s="1"/>
  <c r="DS160" i="1"/>
  <c r="DT160" i="1" s="1"/>
  <c r="DJ160" i="1"/>
  <c r="DA160" i="1"/>
  <c r="DB160" i="1" s="1"/>
  <c r="F160" i="1"/>
  <c r="E160" i="1"/>
  <c r="D160" i="1"/>
  <c r="GQ159" i="1"/>
  <c r="GM159" i="1"/>
  <c r="GD159" i="1"/>
  <c r="GF159" i="1" s="1"/>
  <c r="FU159" i="1"/>
  <c r="FW159" i="1" s="1"/>
  <c r="FL159" i="1"/>
  <c r="FC159" i="1"/>
  <c r="ET159" i="1"/>
  <c r="EV159" i="1" s="1"/>
  <c r="EK159" i="1"/>
  <c r="EM159" i="1" s="1"/>
  <c r="EB159" i="1"/>
  <c r="ED159" i="1" s="1"/>
  <c r="DS159" i="1"/>
  <c r="DJ159" i="1"/>
  <c r="DL159" i="1" s="1"/>
  <c r="DA159" i="1"/>
  <c r="F159" i="1"/>
  <c r="E159" i="1"/>
  <c r="D159" i="1"/>
  <c r="GQ158" i="1"/>
  <c r="GM158" i="1"/>
  <c r="GN158" i="1" s="1"/>
  <c r="GD158" i="1"/>
  <c r="GF158" i="1" s="1"/>
  <c r="FU158" i="1"/>
  <c r="FL158" i="1"/>
  <c r="FM158" i="1" s="1"/>
  <c r="FC158" i="1"/>
  <c r="ET158" i="1"/>
  <c r="EK158" i="1"/>
  <c r="EL158" i="1" s="1"/>
  <c r="EB158" i="1"/>
  <c r="EC158" i="1" s="1"/>
  <c r="DS158" i="1"/>
  <c r="DT158" i="1" s="1"/>
  <c r="DJ158" i="1"/>
  <c r="DK158" i="1" s="1"/>
  <c r="DA158" i="1"/>
  <c r="DB158" i="1" s="1"/>
  <c r="F158" i="1"/>
  <c r="E158" i="1"/>
  <c r="D158" i="1"/>
  <c r="GQ157" i="1"/>
  <c r="GM157" i="1"/>
  <c r="GN157" i="1" s="1"/>
  <c r="GD157" i="1"/>
  <c r="GE157" i="1" s="1"/>
  <c r="FU157" i="1"/>
  <c r="FV157" i="1" s="1"/>
  <c r="FL157" i="1"/>
  <c r="FC157" i="1"/>
  <c r="FE157" i="1" s="1"/>
  <c r="ET157" i="1"/>
  <c r="EU157" i="1" s="1"/>
  <c r="EK157" i="1"/>
  <c r="EB157" i="1"/>
  <c r="DS157" i="1"/>
  <c r="DJ157" i="1"/>
  <c r="DA157" i="1"/>
  <c r="DB157" i="1" s="1"/>
  <c r="F157" i="1"/>
  <c r="E157" i="1"/>
  <c r="D157" i="1"/>
  <c r="GQ156" i="1"/>
  <c r="GM156" i="1"/>
  <c r="GD156" i="1"/>
  <c r="FU156" i="1"/>
  <c r="FW156" i="1" s="1"/>
  <c r="FL156" i="1"/>
  <c r="FN156" i="1" s="1"/>
  <c r="FC156" i="1"/>
  <c r="FE156" i="1" s="1"/>
  <c r="ET156" i="1"/>
  <c r="EK156" i="1"/>
  <c r="EB156" i="1"/>
  <c r="EC156" i="1" s="1"/>
  <c r="DS156" i="1"/>
  <c r="DJ156" i="1"/>
  <c r="DK156" i="1" s="1"/>
  <c r="DA156" i="1"/>
  <c r="F156" i="1"/>
  <c r="E156" i="1"/>
  <c r="D156" i="1"/>
  <c r="GQ155" i="1"/>
  <c r="GM155" i="1"/>
  <c r="GD155" i="1"/>
  <c r="FU155" i="1"/>
  <c r="FL155" i="1"/>
  <c r="FC155" i="1"/>
  <c r="ET155" i="1"/>
  <c r="EV155" i="1" s="1"/>
  <c r="EK155" i="1"/>
  <c r="EM155" i="1" s="1"/>
  <c r="EB155" i="1"/>
  <c r="ED155" i="1" s="1"/>
  <c r="DS155" i="1"/>
  <c r="DU155" i="1" s="1"/>
  <c r="DJ155" i="1"/>
  <c r="DA155" i="1"/>
  <c r="DC155" i="1" s="1"/>
  <c r="F155" i="1"/>
  <c r="E155" i="1"/>
  <c r="D155" i="1"/>
  <c r="GQ154" i="1"/>
  <c r="GM154" i="1"/>
  <c r="GN154" i="1" s="1"/>
  <c r="GD154" i="1"/>
  <c r="FU154" i="1"/>
  <c r="FL154" i="1"/>
  <c r="FC154" i="1"/>
  <c r="ET154" i="1"/>
  <c r="EU154" i="1" s="1"/>
  <c r="EK154" i="1"/>
  <c r="EM154" i="1" s="1"/>
  <c r="EB154" i="1"/>
  <c r="DS154" i="1"/>
  <c r="DT154" i="1" s="1"/>
  <c r="DJ154" i="1"/>
  <c r="DL154" i="1" s="1"/>
  <c r="DA154" i="1"/>
  <c r="F154" i="1"/>
  <c r="E154" i="1"/>
  <c r="D154" i="1"/>
  <c r="GQ153" i="1"/>
  <c r="GM153" i="1"/>
  <c r="GO153" i="1" s="1"/>
  <c r="GD153" i="1"/>
  <c r="FU153" i="1"/>
  <c r="FL153" i="1"/>
  <c r="FN153" i="1" s="1"/>
  <c r="FC153" i="1"/>
  <c r="FE153" i="1" s="1"/>
  <c r="ET153" i="1"/>
  <c r="EU153" i="1" s="1"/>
  <c r="EK153" i="1"/>
  <c r="EM153" i="1" s="1"/>
  <c r="EB153" i="1"/>
  <c r="EC153" i="1" s="1"/>
  <c r="DS153" i="1"/>
  <c r="DT153" i="1" s="1"/>
  <c r="DJ153" i="1"/>
  <c r="DK153" i="1" s="1"/>
  <c r="DA153" i="1"/>
  <c r="F153" i="1"/>
  <c r="E153" i="1"/>
  <c r="D153" i="1"/>
  <c r="GQ152" i="1"/>
  <c r="GM152" i="1"/>
  <c r="GO152" i="1" s="1"/>
  <c r="GD152" i="1"/>
  <c r="FU152" i="1"/>
  <c r="FV152" i="1" s="1"/>
  <c r="FL152" i="1"/>
  <c r="FC152" i="1"/>
  <c r="ET152" i="1"/>
  <c r="EK152" i="1"/>
  <c r="EB152" i="1"/>
  <c r="ED152" i="1" s="1"/>
  <c r="DS152" i="1"/>
  <c r="DU152" i="1" s="1"/>
  <c r="DJ152" i="1"/>
  <c r="DK152" i="1" s="1"/>
  <c r="DA152" i="1"/>
  <c r="F152" i="1"/>
  <c r="E152" i="1"/>
  <c r="D152" i="1"/>
  <c r="GQ151" i="1"/>
  <c r="GM151" i="1"/>
  <c r="GD151" i="1"/>
  <c r="GE151" i="1" s="1"/>
  <c r="FU151" i="1"/>
  <c r="FL151" i="1"/>
  <c r="FC151" i="1"/>
  <c r="ET151" i="1"/>
  <c r="EK151" i="1"/>
  <c r="EM151" i="1" s="1"/>
  <c r="EB151" i="1"/>
  <c r="DS151" i="1"/>
  <c r="DT151" i="1" s="1"/>
  <c r="DJ151" i="1"/>
  <c r="DK151" i="1" s="1"/>
  <c r="DA151" i="1"/>
  <c r="F151" i="1"/>
  <c r="E151" i="1"/>
  <c r="D151" i="1"/>
  <c r="GQ150" i="1"/>
  <c r="GM150" i="1"/>
  <c r="GD150" i="1"/>
  <c r="FU150" i="1"/>
  <c r="FL150" i="1"/>
  <c r="FC150" i="1"/>
  <c r="FE150" i="1" s="1"/>
  <c r="ET150" i="1"/>
  <c r="EV150" i="1" s="1"/>
  <c r="EK150" i="1"/>
  <c r="EL150" i="1" s="1"/>
  <c r="EB150" i="1"/>
  <c r="DS150" i="1"/>
  <c r="DJ150" i="1"/>
  <c r="DA150" i="1"/>
  <c r="F150" i="1"/>
  <c r="E150" i="1"/>
  <c r="D150" i="1"/>
  <c r="GQ149" i="1"/>
  <c r="GM149" i="1"/>
  <c r="GO149" i="1" s="1"/>
  <c r="GD149" i="1"/>
  <c r="FU149" i="1"/>
  <c r="FW149" i="1" s="1"/>
  <c r="FL149" i="1"/>
  <c r="FC149" i="1"/>
  <c r="ET149" i="1"/>
  <c r="EV149" i="1" s="1"/>
  <c r="EK149" i="1"/>
  <c r="EM149" i="1" s="1"/>
  <c r="EB149" i="1"/>
  <c r="DS149" i="1"/>
  <c r="DJ149" i="1"/>
  <c r="DA149" i="1"/>
  <c r="DB149" i="1" s="1"/>
  <c r="F149" i="1"/>
  <c r="E149" i="1"/>
  <c r="D149" i="1"/>
  <c r="GQ148" i="1"/>
  <c r="GM148" i="1"/>
  <c r="GO148" i="1" s="1"/>
  <c r="GD148" i="1"/>
  <c r="FU148" i="1"/>
  <c r="FL148" i="1"/>
  <c r="FN148" i="1" s="1"/>
  <c r="FC148" i="1"/>
  <c r="ET148" i="1"/>
  <c r="EK148" i="1"/>
  <c r="EB148" i="1"/>
  <c r="DS148" i="1"/>
  <c r="DU148" i="1" s="1"/>
  <c r="DJ148" i="1"/>
  <c r="DA148" i="1"/>
  <c r="F148" i="1"/>
  <c r="E148" i="1"/>
  <c r="D148" i="1"/>
  <c r="GQ147" i="1"/>
  <c r="GM147" i="1"/>
  <c r="GO147" i="1" s="1"/>
  <c r="GD147" i="1"/>
  <c r="GF147" i="1" s="1"/>
  <c r="FU147" i="1"/>
  <c r="FL147" i="1"/>
  <c r="FN147" i="1" s="1"/>
  <c r="FC147" i="1"/>
  <c r="ET147" i="1"/>
  <c r="EK147" i="1"/>
  <c r="EM147" i="1" s="1"/>
  <c r="EB147" i="1"/>
  <c r="DS147" i="1"/>
  <c r="DJ147" i="1"/>
  <c r="DA147" i="1"/>
  <c r="F147" i="1"/>
  <c r="E147" i="1"/>
  <c r="D147" i="1"/>
  <c r="GQ146" i="1"/>
  <c r="GM146" i="1"/>
  <c r="GO146" i="1" s="1"/>
  <c r="GD146" i="1"/>
  <c r="FU146" i="1"/>
  <c r="FL146" i="1"/>
  <c r="FN146" i="1" s="1"/>
  <c r="FC146" i="1"/>
  <c r="FE146" i="1" s="1"/>
  <c r="ET146" i="1"/>
  <c r="EK146" i="1"/>
  <c r="EM146" i="1" s="1"/>
  <c r="EB146" i="1"/>
  <c r="DS146" i="1"/>
  <c r="DU146" i="1" s="1"/>
  <c r="DJ146" i="1"/>
  <c r="DL146" i="1" s="1"/>
  <c r="DA146" i="1"/>
  <c r="DC146" i="1" s="1"/>
  <c r="F146" i="1"/>
  <c r="E146" i="1"/>
  <c r="D146" i="1"/>
  <c r="GQ145" i="1"/>
  <c r="GM145" i="1"/>
  <c r="GD145" i="1"/>
  <c r="GF145" i="1" s="1"/>
  <c r="FU145" i="1"/>
  <c r="FL145" i="1"/>
  <c r="FC145" i="1"/>
  <c r="ET145" i="1"/>
  <c r="EV145" i="1" s="1"/>
  <c r="EK145" i="1"/>
  <c r="EB145" i="1"/>
  <c r="DS145" i="1"/>
  <c r="DU145" i="1" s="1"/>
  <c r="DJ145" i="1"/>
  <c r="DA145" i="1"/>
  <c r="F145" i="1"/>
  <c r="E145" i="1"/>
  <c r="D145" i="1"/>
  <c r="GQ144" i="1"/>
  <c r="GM144" i="1"/>
  <c r="GO144" i="1" s="1"/>
  <c r="GD144" i="1"/>
  <c r="GF144" i="1" s="1"/>
  <c r="FU144" i="1"/>
  <c r="FW144" i="1" s="1"/>
  <c r="FL144" i="1"/>
  <c r="FN144" i="1" s="1"/>
  <c r="FC144" i="1"/>
  <c r="ET144" i="1"/>
  <c r="EV144" i="1" s="1"/>
  <c r="EK144" i="1"/>
  <c r="EM144" i="1" s="1"/>
  <c r="EB144" i="1"/>
  <c r="ED144" i="1" s="1"/>
  <c r="DS144" i="1"/>
  <c r="DJ144" i="1"/>
  <c r="DL144" i="1" s="1"/>
  <c r="DA144" i="1"/>
  <c r="DC144" i="1" s="1"/>
  <c r="F144" i="1"/>
  <c r="E144" i="1"/>
  <c r="D144" i="1"/>
  <c r="GQ143" i="1"/>
  <c r="GM143" i="1"/>
  <c r="GD143" i="1"/>
  <c r="FU143" i="1"/>
  <c r="FL143" i="1"/>
  <c r="FM143" i="1" s="1"/>
  <c r="FC143" i="1"/>
  <c r="ET143" i="1"/>
  <c r="EU143" i="1" s="1"/>
  <c r="EK143" i="1"/>
  <c r="EL143" i="1" s="1"/>
  <c r="EB143" i="1"/>
  <c r="DS143" i="1"/>
  <c r="DJ143" i="1"/>
  <c r="DA143" i="1"/>
  <c r="DB143" i="1" s="1"/>
  <c r="F143" i="1"/>
  <c r="E143" i="1"/>
  <c r="D143" i="1"/>
  <c r="GQ142" i="1"/>
  <c r="GM142" i="1"/>
  <c r="GN142" i="1" s="1"/>
  <c r="GD142" i="1"/>
  <c r="GE142" i="1" s="1"/>
  <c r="FU142" i="1"/>
  <c r="FV142" i="1" s="1"/>
  <c r="FL142" i="1"/>
  <c r="FC142" i="1"/>
  <c r="FD142" i="1" s="1"/>
  <c r="ET142" i="1"/>
  <c r="EK142" i="1"/>
  <c r="EL142" i="1" s="1"/>
  <c r="EB142" i="1"/>
  <c r="DS142" i="1"/>
  <c r="DJ142" i="1"/>
  <c r="DA142" i="1"/>
  <c r="DB142" i="1" s="1"/>
  <c r="F142" i="1"/>
  <c r="E142" i="1"/>
  <c r="D142" i="1"/>
  <c r="GQ141" i="1"/>
  <c r="GM141" i="1"/>
  <c r="GD141" i="1"/>
  <c r="GF141" i="1" s="1"/>
  <c r="FU141" i="1"/>
  <c r="FW141" i="1" s="1"/>
  <c r="FL141" i="1"/>
  <c r="FC141" i="1"/>
  <c r="FE141" i="1" s="1"/>
  <c r="ET141" i="1"/>
  <c r="EK141" i="1"/>
  <c r="EM141" i="1" s="1"/>
  <c r="EB141" i="1"/>
  <c r="DS141" i="1"/>
  <c r="DU141" i="1" s="1"/>
  <c r="DJ141" i="1"/>
  <c r="DK141" i="1" s="1"/>
  <c r="DA141" i="1"/>
  <c r="F141" i="1"/>
  <c r="E141" i="1"/>
  <c r="D141" i="1"/>
  <c r="GQ140" i="1"/>
  <c r="GM140" i="1"/>
  <c r="GN140" i="1" s="1"/>
  <c r="GD140" i="1"/>
  <c r="GE140" i="1" s="1"/>
  <c r="FU140" i="1"/>
  <c r="FL140" i="1"/>
  <c r="FM140" i="1" s="1"/>
  <c r="FC140" i="1"/>
  <c r="ET140" i="1"/>
  <c r="EV140" i="1" s="1"/>
  <c r="EK140" i="1"/>
  <c r="EM140" i="1" s="1"/>
  <c r="EB140" i="1"/>
  <c r="DS140" i="1"/>
  <c r="DT140" i="1" s="1"/>
  <c r="DJ140" i="1"/>
  <c r="DA140" i="1"/>
  <c r="DC140" i="1" s="1"/>
  <c r="F140" i="1"/>
  <c r="E140" i="1"/>
  <c r="D140" i="1"/>
  <c r="GQ139" i="1"/>
  <c r="GM139" i="1"/>
  <c r="GO139" i="1" s="1"/>
  <c r="GD139" i="1"/>
  <c r="FU139" i="1"/>
  <c r="FW139" i="1" s="1"/>
  <c r="FL139" i="1"/>
  <c r="FM139" i="1" s="1"/>
  <c r="FC139" i="1"/>
  <c r="ET139" i="1"/>
  <c r="EU139" i="1" s="1"/>
  <c r="EK139" i="1"/>
  <c r="EB139" i="1"/>
  <c r="DS139" i="1"/>
  <c r="DJ139" i="1"/>
  <c r="DA139" i="1"/>
  <c r="F139" i="1"/>
  <c r="E139" i="1"/>
  <c r="D139" i="1"/>
  <c r="GQ138" i="1"/>
  <c r="GM138" i="1"/>
  <c r="GO138" i="1" s="1"/>
  <c r="GD138" i="1"/>
  <c r="GF138" i="1" s="1"/>
  <c r="FU138" i="1"/>
  <c r="FW138" i="1" s="1"/>
  <c r="FL138" i="1"/>
  <c r="FN138" i="1" s="1"/>
  <c r="FC138" i="1"/>
  <c r="ET138" i="1"/>
  <c r="EK138" i="1"/>
  <c r="EB138" i="1"/>
  <c r="DS138" i="1"/>
  <c r="DU138" i="1" s="1"/>
  <c r="DJ138" i="1"/>
  <c r="DA138" i="1"/>
  <c r="F138" i="1"/>
  <c r="E138" i="1"/>
  <c r="D138" i="1"/>
  <c r="GQ137" i="1"/>
  <c r="GM137" i="1"/>
  <c r="GO137" i="1" s="1"/>
  <c r="GD137" i="1"/>
  <c r="GF137" i="1" s="1"/>
  <c r="FU137" i="1"/>
  <c r="FV137" i="1" s="1"/>
  <c r="FL137" i="1"/>
  <c r="FM137" i="1" s="1"/>
  <c r="FC137" i="1"/>
  <c r="ET137" i="1"/>
  <c r="EK137" i="1"/>
  <c r="EL137" i="1" s="1"/>
  <c r="EB137" i="1"/>
  <c r="DS137" i="1"/>
  <c r="DU137" i="1" s="1"/>
  <c r="DJ137" i="1"/>
  <c r="DK137" i="1" s="1"/>
  <c r="DA137" i="1"/>
  <c r="DB137" i="1" s="1"/>
  <c r="F137" i="1"/>
  <c r="E137" i="1"/>
  <c r="D137" i="1"/>
  <c r="GQ136" i="1"/>
  <c r="GM136" i="1"/>
  <c r="GD136" i="1"/>
  <c r="GF136" i="1" s="1"/>
  <c r="FU136" i="1"/>
  <c r="FL136" i="1"/>
  <c r="FC136" i="1"/>
  <c r="FE136" i="1" s="1"/>
  <c r="ET136" i="1"/>
  <c r="EK136" i="1"/>
  <c r="EB136" i="1"/>
  <c r="DS136" i="1"/>
  <c r="DU136" i="1" s="1"/>
  <c r="DJ136" i="1"/>
  <c r="DA136" i="1"/>
  <c r="F136" i="1"/>
  <c r="E136" i="1"/>
  <c r="D136" i="1"/>
  <c r="GQ135" i="1"/>
  <c r="GM135" i="1"/>
  <c r="GD135" i="1"/>
  <c r="GE135" i="1" s="1"/>
  <c r="FU135" i="1"/>
  <c r="FL135" i="1"/>
  <c r="FN135" i="1" s="1"/>
  <c r="FC135" i="1"/>
  <c r="ET135" i="1"/>
  <c r="EK135" i="1"/>
  <c r="EB135" i="1"/>
  <c r="DS135" i="1"/>
  <c r="DJ135" i="1"/>
  <c r="DA135" i="1"/>
  <c r="F135" i="1"/>
  <c r="E135" i="1"/>
  <c r="D135" i="1"/>
  <c r="GQ134" i="1"/>
  <c r="GM134" i="1"/>
  <c r="GD134" i="1"/>
  <c r="FU134" i="1"/>
  <c r="FL134" i="1"/>
  <c r="FM134" i="1" s="1"/>
  <c r="FC134" i="1"/>
  <c r="FD134" i="1" s="1"/>
  <c r="ET134" i="1"/>
  <c r="EK134" i="1"/>
  <c r="EM134" i="1" s="1"/>
  <c r="EB134" i="1"/>
  <c r="DS134" i="1"/>
  <c r="DJ134" i="1"/>
  <c r="DA134" i="1"/>
  <c r="F134" i="1"/>
  <c r="E134" i="1"/>
  <c r="D134" i="1"/>
  <c r="GQ133" i="1"/>
  <c r="GM133" i="1"/>
  <c r="GD133" i="1"/>
  <c r="GE133" i="1" s="1"/>
  <c r="FU133" i="1"/>
  <c r="FL133" i="1"/>
  <c r="FC133" i="1"/>
  <c r="ET133" i="1"/>
  <c r="EK133" i="1"/>
  <c r="EM133" i="1" s="1"/>
  <c r="EB133" i="1"/>
  <c r="EC133" i="1" s="1"/>
  <c r="DS133" i="1"/>
  <c r="DJ133" i="1"/>
  <c r="DA133" i="1"/>
  <c r="F133" i="1"/>
  <c r="E133" i="1"/>
  <c r="D133" i="1"/>
  <c r="GQ132" i="1"/>
  <c r="GM132" i="1"/>
  <c r="GD132" i="1"/>
  <c r="FU132" i="1"/>
  <c r="FL132" i="1"/>
  <c r="FN132" i="1" s="1"/>
  <c r="FC132" i="1"/>
  <c r="ET132" i="1"/>
  <c r="EK132" i="1"/>
  <c r="EB132" i="1"/>
  <c r="DS132" i="1"/>
  <c r="DJ132" i="1"/>
  <c r="DL132" i="1" s="1"/>
  <c r="DA132" i="1"/>
  <c r="F132" i="1"/>
  <c r="E132" i="1"/>
  <c r="D132" i="1"/>
  <c r="GQ131" i="1"/>
  <c r="GM131" i="1"/>
  <c r="GO131" i="1" s="1"/>
  <c r="GD131" i="1"/>
  <c r="FU131" i="1"/>
  <c r="FL131" i="1"/>
  <c r="FC131" i="1"/>
  <c r="ET131" i="1"/>
  <c r="EK131" i="1"/>
  <c r="EB131" i="1"/>
  <c r="DS131" i="1"/>
  <c r="DU131" i="1" s="1"/>
  <c r="DJ131" i="1"/>
  <c r="DK131" i="1" s="1"/>
  <c r="DA131" i="1"/>
  <c r="DB131" i="1" s="1"/>
  <c r="F131" i="1"/>
  <c r="E131" i="1"/>
  <c r="D131" i="1"/>
  <c r="GQ130" i="1"/>
  <c r="GM130" i="1"/>
  <c r="GD130" i="1"/>
  <c r="GE130" i="1" s="1"/>
  <c r="FU130" i="1"/>
  <c r="FV130" i="1" s="1"/>
  <c r="FL130" i="1"/>
  <c r="FC130" i="1"/>
  <c r="ET130" i="1"/>
  <c r="EU130" i="1" s="1"/>
  <c r="EK130" i="1"/>
  <c r="EB130" i="1"/>
  <c r="DS130" i="1"/>
  <c r="DU130" i="1" s="1"/>
  <c r="DJ130" i="1"/>
  <c r="DA130" i="1"/>
  <c r="F130" i="1"/>
  <c r="E130" i="1"/>
  <c r="D130" i="1"/>
  <c r="GQ129" i="1"/>
  <c r="GM129" i="1"/>
  <c r="GN129" i="1" s="1"/>
  <c r="GD129" i="1"/>
  <c r="FU129" i="1"/>
  <c r="FL129" i="1"/>
  <c r="FC129" i="1"/>
  <c r="ET129" i="1"/>
  <c r="EK129" i="1"/>
  <c r="EM129" i="1" s="1"/>
  <c r="EB129" i="1"/>
  <c r="EC129" i="1" s="1"/>
  <c r="DS129" i="1"/>
  <c r="DU129" i="1" s="1"/>
  <c r="DJ129" i="1"/>
  <c r="DL129" i="1" s="1"/>
  <c r="DA129" i="1"/>
  <c r="F129" i="1"/>
  <c r="E129" i="1"/>
  <c r="D129" i="1"/>
  <c r="GQ128" i="1"/>
  <c r="GM128" i="1"/>
  <c r="GN128" i="1" s="1"/>
  <c r="GD128" i="1"/>
  <c r="GE128" i="1" s="1"/>
  <c r="FU128" i="1"/>
  <c r="FW128" i="1" s="1"/>
  <c r="FL128" i="1"/>
  <c r="FC128" i="1"/>
  <c r="FE128" i="1" s="1"/>
  <c r="ET128" i="1"/>
  <c r="EK128" i="1"/>
  <c r="EM128" i="1" s="1"/>
  <c r="EB128" i="1"/>
  <c r="DS128" i="1"/>
  <c r="DJ128" i="1"/>
  <c r="DK128" i="1" s="1"/>
  <c r="DA128" i="1"/>
  <c r="F128" i="1"/>
  <c r="E128" i="1"/>
  <c r="D128" i="1"/>
  <c r="GQ127" i="1"/>
  <c r="GM127" i="1"/>
  <c r="GD127" i="1"/>
  <c r="FU127" i="1"/>
  <c r="FW127" i="1" s="1"/>
  <c r="FL127" i="1"/>
  <c r="FC127" i="1"/>
  <c r="FE127" i="1" s="1"/>
  <c r="ET127" i="1"/>
  <c r="EV127" i="1" s="1"/>
  <c r="EK127" i="1"/>
  <c r="EB127" i="1"/>
  <c r="DS127" i="1"/>
  <c r="DJ127" i="1"/>
  <c r="DA127" i="1"/>
  <c r="F127" i="1"/>
  <c r="E127" i="1"/>
  <c r="D127" i="1"/>
  <c r="GQ126" i="1"/>
  <c r="GM126" i="1"/>
  <c r="GN126" i="1" s="1"/>
  <c r="GD126" i="1"/>
  <c r="FU126" i="1"/>
  <c r="FL126" i="1"/>
  <c r="FN126" i="1" s="1"/>
  <c r="FC126" i="1"/>
  <c r="FE126" i="1" s="1"/>
  <c r="ET126" i="1"/>
  <c r="EV126" i="1" s="1"/>
  <c r="EK126" i="1"/>
  <c r="EL126" i="1" s="1"/>
  <c r="EB126" i="1"/>
  <c r="EC126" i="1" s="1"/>
  <c r="DS126" i="1"/>
  <c r="DU126" i="1" s="1"/>
  <c r="DJ126" i="1"/>
  <c r="DL126" i="1" s="1"/>
  <c r="DA126" i="1"/>
  <c r="F126" i="1"/>
  <c r="E126" i="1"/>
  <c r="D126" i="1"/>
  <c r="GQ125" i="1"/>
  <c r="GM125" i="1"/>
  <c r="GD125" i="1"/>
  <c r="FU125" i="1"/>
  <c r="FV125" i="1" s="1"/>
  <c r="FL125" i="1"/>
  <c r="FC125" i="1"/>
  <c r="ET125" i="1"/>
  <c r="EU125" i="1" s="1"/>
  <c r="EK125" i="1"/>
  <c r="EB125" i="1"/>
  <c r="ED125" i="1" s="1"/>
  <c r="DS125" i="1"/>
  <c r="DJ125" i="1"/>
  <c r="DA125" i="1"/>
  <c r="F125" i="1"/>
  <c r="E125" i="1"/>
  <c r="D125" i="1"/>
  <c r="GQ124" i="1"/>
  <c r="GM124" i="1"/>
  <c r="GN124" i="1" s="1"/>
  <c r="GD124" i="1"/>
  <c r="FU124" i="1"/>
  <c r="FL124" i="1"/>
  <c r="FC124" i="1"/>
  <c r="ET124" i="1"/>
  <c r="EK124" i="1"/>
  <c r="EM124" i="1" s="1"/>
  <c r="EB124" i="1"/>
  <c r="EC124" i="1" s="1"/>
  <c r="DS124" i="1"/>
  <c r="DJ124" i="1"/>
  <c r="DA124" i="1"/>
  <c r="DB124" i="1" s="1"/>
  <c r="F124" i="1"/>
  <c r="E124" i="1"/>
  <c r="D124" i="1"/>
  <c r="GQ123" i="1"/>
  <c r="GM123" i="1"/>
  <c r="GD123" i="1"/>
  <c r="GF123" i="1" s="1"/>
  <c r="FU123" i="1"/>
  <c r="FL123" i="1"/>
  <c r="FN123" i="1" s="1"/>
  <c r="FC123" i="1"/>
  <c r="FD123" i="1" s="1"/>
  <c r="ET123" i="1"/>
  <c r="EU123" i="1" s="1"/>
  <c r="EK123" i="1"/>
  <c r="EB123" i="1"/>
  <c r="DS123" i="1"/>
  <c r="DT123" i="1" s="1"/>
  <c r="DJ123" i="1"/>
  <c r="DK123" i="1" s="1"/>
  <c r="DA123" i="1"/>
  <c r="F123" i="1"/>
  <c r="E123" i="1"/>
  <c r="D123" i="1"/>
  <c r="GQ122" i="1"/>
  <c r="GM122" i="1"/>
  <c r="GO122" i="1" s="1"/>
  <c r="GD122" i="1"/>
  <c r="GF122" i="1" s="1"/>
  <c r="FU122" i="1"/>
  <c r="FW122" i="1" s="1"/>
  <c r="FL122" i="1"/>
  <c r="FC122" i="1"/>
  <c r="ET122" i="1"/>
  <c r="EK122" i="1"/>
  <c r="EB122" i="1"/>
  <c r="EC122" i="1" s="1"/>
  <c r="DS122" i="1"/>
  <c r="DJ122" i="1"/>
  <c r="DA122" i="1"/>
  <c r="F122" i="1"/>
  <c r="E122" i="1"/>
  <c r="D122" i="1"/>
  <c r="GQ121" i="1"/>
  <c r="GM121" i="1"/>
  <c r="GD121" i="1"/>
  <c r="GE121" i="1" s="1"/>
  <c r="FU121" i="1"/>
  <c r="FV121" i="1" s="1"/>
  <c r="FL121" i="1"/>
  <c r="FC121" i="1"/>
  <c r="ET121" i="1"/>
  <c r="EK121" i="1"/>
  <c r="EB121" i="1"/>
  <c r="DS121" i="1"/>
  <c r="DT121" i="1" s="1"/>
  <c r="DJ121" i="1"/>
  <c r="DA121" i="1"/>
  <c r="DC121" i="1" s="1"/>
  <c r="F121" i="1"/>
  <c r="E121" i="1"/>
  <c r="D121" i="1"/>
  <c r="GQ120" i="1"/>
  <c r="GM120" i="1"/>
  <c r="GD120" i="1"/>
  <c r="FU120" i="1"/>
  <c r="FL120" i="1"/>
  <c r="FN120" i="1" s="1"/>
  <c r="FC120" i="1"/>
  <c r="ET120" i="1"/>
  <c r="EK120" i="1"/>
  <c r="EM120" i="1" s="1"/>
  <c r="EB120" i="1"/>
  <c r="DS120" i="1"/>
  <c r="DT120" i="1" s="1"/>
  <c r="DJ120" i="1"/>
  <c r="DK120" i="1" s="1"/>
  <c r="DA120" i="1"/>
  <c r="F120" i="1"/>
  <c r="E120" i="1"/>
  <c r="D120" i="1"/>
  <c r="GQ119" i="1"/>
  <c r="GM119" i="1"/>
  <c r="GD119" i="1"/>
  <c r="FU119" i="1"/>
  <c r="FW119" i="1" s="1"/>
  <c r="FL119" i="1"/>
  <c r="FN119" i="1" s="1"/>
  <c r="FC119" i="1"/>
  <c r="ET119" i="1"/>
  <c r="EK119" i="1"/>
  <c r="EB119" i="1"/>
  <c r="DS119" i="1"/>
  <c r="DJ119" i="1"/>
  <c r="DA119" i="1"/>
  <c r="DC119" i="1" s="1"/>
  <c r="F119" i="1"/>
  <c r="E119" i="1"/>
  <c r="D119" i="1"/>
  <c r="GQ118" i="1"/>
  <c r="GM118" i="1"/>
  <c r="GN118" i="1" s="1"/>
  <c r="GD118" i="1"/>
  <c r="FU118" i="1"/>
  <c r="FV118" i="1" s="1"/>
  <c r="FL118" i="1"/>
  <c r="FC118" i="1"/>
  <c r="ET118" i="1"/>
  <c r="EK118" i="1"/>
  <c r="EB118" i="1"/>
  <c r="DS118" i="1"/>
  <c r="DJ118" i="1"/>
  <c r="DK118" i="1" s="1"/>
  <c r="DA118" i="1"/>
  <c r="F118" i="1"/>
  <c r="E118" i="1"/>
  <c r="D118" i="1"/>
  <c r="GQ117" i="1"/>
  <c r="GM117" i="1"/>
  <c r="GD117" i="1"/>
  <c r="FU117" i="1"/>
  <c r="FL117" i="1"/>
  <c r="FC117" i="1"/>
  <c r="ET117" i="1"/>
  <c r="EU117" i="1" s="1"/>
  <c r="EK117" i="1"/>
  <c r="EB117" i="1"/>
  <c r="DS117" i="1"/>
  <c r="DU117" i="1" s="1"/>
  <c r="DJ117" i="1"/>
  <c r="DK117" i="1" s="1"/>
  <c r="DA117" i="1"/>
  <c r="F117" i="1"/>
  <c r="E117" i="1"/>
  <c r="D117" i="1"/>
  <c r="GQ116" i="1"/>
  <c r="GM116" i="1"/>
  <c r="GD116" i="1"/>
  <c r="FU116" i="1"/>
  <c r="FW116" i="1" s="1"/>
  <c r="FL116" i="1"/>
  <c r="FM116" i="1" s="1"/>
  <c r="FC116" i="1"/>
  <c r="ET116" i="1"/>
  <c r="EK116" i="1"/>
  <c r="EM116" i="1" s="1"/>
  <c r="EB116" i="1"/>
  <c r="DS116" i="1"/>
  <c r="DU116" i="1" s="1"/>
  <c r="DJ116" i="1"/>
  <c r="DA116" i="1"/>
  <c r="F116" i="1"/>
  <c r="E116" i="1"/>
  <c r="D116" i="1"/>
  <c r="GQ115" i="1"/>
  <c r="GM115" i="1"/>
  <c r="GN115" i="1" s="1"/>
  <c r="GD115" i="1"/>
  <c r="GE115" i="1" s="1"/>
  <c r="FU115" i="1"/>
  <c r="FV115" i="1" s="1"/>
  <c r="FL115" i="1"/>
  <c r="FM115" i="1" s="1"/>
  <c r="FC115" i="1"/>
  <c r="FD115" i="1" s="1"/>
  <c r="ET115" i="1"/>
  <c r="EK115" i="1"/>
  <c r="EL115" i="1" s="1"/>
  <c r="EB115" i="1"/>
  <c r="EC115" i="1" s="1"/>
  <c r="DS115" i="1"/>
  <c r="DT115" i="1" s="1"/>
  <c r="DJ115" i="1"/>
  <c r="DK115" i="1" s="1"/>
  <c r="DA115" i="1"/>
  <c r="F115" i="1"/>
  <c r="E115" i="1"/>
  <c r="D115" i="1"/>
  <c r="GQ114" i="1"/>
  <c r="GM114" i="1"/>
  <c r="GO114" i="1" s="1"/>
  <c r="GD114" i="1"/>
  <c r="FU114" i="1"/>
  <c r="FV114" i="1" s="1"/>
  <c r="FL114" i="1"/>
  <c r="FM114" i="1" s="1"/>
  <c r="FC114" i="1"/>
  <c r="FE114" i="1" s="1"/>
  <c r="ET114" i="1"/>
  <c r="EK114" i="1"/>
  <c r="EM114" i="1" s="1"/>
  <c r="EB114" i="1"/>
  <c r="EC114" i="1" s="1"/>
  <c r="DS114" i="1"/>
  <c r="DU114" i="1" s="1"/>
  <c r="DJ114" i="1"/>
  <c r="DA114" i="1"/>
  <c r="DC114" i="1" s="1"/>
  <c r="F114" i="1"/>
  <c r="E114" i="1"/>
  <c r="D114" i="1"/>
  <c r="GQ113" i="1"/>
  <c r="GM113" i="1"/>
  <c r="GD113" i="1"/>
  <c r="FU113" i="1"/>
  <c r="FL113" i="1"/>
  <c r="FC113" i="1"/>
  <c r="FE113" i="1" s="1"/>
  <c r="ET113" i="1"/>
  <c r="EK113" i="1"/>
  <c r="EM113" i="1" s="1"/>
  <c r="EB113" i="1"/>
  <c r="EC113" i="1" s="1"/>
  <c r="DS113" i="1"/>
  <c r="DU113" i="1" s="1"/>
  <c r="DJ113" i="1"/>
  <c r="DA113" i="1"/>
  <c r="DC113" i="1" s="1"/>
  <c r="F113" i="1"/>
  <c r="E113" i="1"/>
  <c r="D113" i="1"/>
  <c r="GQ112" i="1"/>
  <c r="GM112" i="1"/>
  <c r="GN112" i="1" s="1"/>
  <c r="GD112" i="1"/>
  <c r="GF112" i="1" s="1"/>
  <c r="FU112" i="1"/>
  <c r="FL112" i="1"/>
  <c r="FM112" i="1" s="1"/>
  <c r="FC112" i="1"/>
  <c r="ET112" i="1"/>
  <c r="EU112" i="1" s="1"/>
  <c r="EK112" i="1"/>
  <c r="EM112" i="1" s="1"/>
  <c r="EB112" i="1"/>
  <c r="DS112" i="1"/>
  <c r="DJ112" i="1"/>
  <c r="DK112" i="1" s="1"/>
  <c r="DA112" i="1"/>
  <c r="DC112" i="1" s="1"/>
  <c r="F112" i="1"/>
  <c r="E112" i="1"/>
  <c r="D112" i="1"/>
  <c r="GQ111" i="1"/>
  <c r="GM111" i="1"/>
  <c r="GD111" i="1"/>
  <c r="FU111" i="1"/>
  <c r="FV111" i="1" s="1"/>
  <c r="FL111" i="1"/>
  <c r="FC111" i="1"/>
  <c r="FD111" i="1" s="1"/>
  <c r="ET111" i="1"/>
  <c r="EK111" i="1"/>
  <c r="EM111" i="1" s="1"/>
  <c r="EB111" i="1"/>
  <c r="DS111" i="1"/>
  <c r="DT111" i="1" s="1"/>
  <c r="DJ111" i="1"/>
  <c r="DL111" i="1" s="1"/>
  <c r="DA111" i="1"/>
  <c r="DC111" i="1" s="1"/>
  <c r="F111" i="1"/>
  <c r="E111" i="1"/>
  <c r="D111" i="1"/>
  <c r="GQ110" i="1"/>
  <c r="GM110" i="1"/>
  <c r="GD110" i="1"/>
  <c r="GE110" i="1" s="1"/>
  <c r="FU110" i="1"/>
  <c r="FV110" i="1" s="1"/>
  <c r="FL110" i="1"/>
  <c r="FC110" i="1"/>
  <c r="FE110" i="1" s="1"/>
  <c r="ET110" i="1"/>
  <c r="EU110" i="1" s="1"/>
  <c r="EK110" i="1"/>
  <c r="EM110" i="1" s="1"/>
  <c r="EB110" i="1"/>
  <c r="EC110" i="1" s="1"/>
  <c r="DS110" i="1"/>
  <c r="DT110" i="1" s="1"/>
  <c r="DJ110" i="1"/>
  <c r="DL110" i="1" s="1"/>
  <c r="DA110" i="1"/>
  <c r="DC110" i="1" s="1"/>
  <c r="F110" i="1"/>
  <c r="E110" i="1"/>
  <c r="D110" i="1"/>
  <c r="GQ109" i="1"/>
  <c r="GM109" i="1"/>
  <c r="GD109" i="1"/>
  <c r="FU109" i="1"/>
  <c r="FL109" i="1"/>
  <c r="FM109" i="1" s="1"/>
  <c r="FC109" i="1"/>
  <c r="ET109" i="1"/>
  <c r="EK109" i="1"/>
  <c r="EL109" i="1" s="1"/>
  <c r="EB109" i="1"/>
  <c r="DS109" i="1"/>
  <c r="DJ109" i="1"/>
  <c r="DA109" i="1"/>
  <c r="DB109" i="1" s="1"/>
  <c r="F109" i="1"/>
  <c r="E109" i="1"/>
  <c r="D109" i="1"/>
  <c r="GQ108" i="1"/>
  <c r="GM108" i="1"/>
  <c r="GO108" i="1" s="1"/>
  <c r="GD108" i="1"/>
  <c r="FU108" i="1"/>
  <c r="FW108" i="1" s="1"/>
  <c r="FL108" i="1"/>
  <c r="FC108" i="1"/>
  <c r="FE108" i="1" s="1"/>
  <c r="ET108" i="1"/>
  <c r="EK108" i="1"/>
  <c r="EM108" i="1" s="1"/>
  <c r="EB108" i="1"/>
  <c r="DS108" i="1"/>
  <c r="DU108" i="1" s="1"/>
  <c r="DJ108" i="1"/>
  <c r="DA108" i="1"/>
  <c r="DC108" i="1" s="1"/>
  <c r="F108" i="1"/>
  <c r="E108" i="1"/>
  <c r="D108" i="1"/>
  <c r="GQ107" i="1"/>
  <c r="GM107" i="1"/>
  <c r="GO107" i="1" s="1"/>
  <c r="GD107" i="1"/>
  <c r="FU107" i="1"/>
  <c r="FW107" i="1" s="1"/>
  <c r="FL107" i="1"/>
  <c r="FN107" i="1" s="1"/>
  <c r="FC107" i="1"/>
  <c r="FE107" i="1" s="1"/>
  <c r="ET107" i="1"/>
  <c r="EK107" i="1"/>
  <c r="EM107" i="1" s="1"/>
  <c r="EB107" i="1"/>
  <c r="DS107" i="1"/>
  <c r="DU107" i="1" s="1"/>
  <c r="DJ107" i="1"/>
  <c r="DL107" i="1" s="1"/>
  <c r="DA107" i="1"/>
  <c r="DC107" i="1" s="1"/>
  <c r="F107" i="1"/>
  <c r="E107" i="1"/>
  <c r="D107" i="1"/>
  <c r="GQ106" i="1"/>
  <c r="GM106" i="1"/>
  <c r="GD106" i="1"/>
  <c r="FU106" i="1"/>
  <c r="FW106" i="1" s="1"/>
  <c r="FL106" i="1"/>
  <c r="FN106" i="1" s="1"/>
  <c r="FC106" i="1"/>
  <c r="FE106" i="1" s="1"/>
  <c r="ET106" i="1"/>
  <c r="EV106" i="1" s="1"/>
  <c r="EK106" i="1"/>
  <c r="EM106" i="1" s="1"/>
  <c r="EB106" i="1"/>
  <c r="ED106" i="1" s="1"/>
  <c r="DS106" i="1"/>
  <c r="DJ106" i="1"/>
  <c r="DL106" i="1" s="1"/>
  <c r="DA106" i="1"/>
  <c r="DB106" i="1" s="1"/>
  <c r="F106" i="1"/>
  <c r="E106" i="1"/>
  <c r="D106" i="1"/>
  <c r="GQ105" i="1"/>
  <c r="GM105" i="1"/>
  <c r="GD105" i="1"/>
  <c r="FU105" i="1"/>
  <c r="FL105" i="1"/>
  <c r="FM105" i="1" s="1"/>
  <c r="FC105" i="1"/>
  <c r="ET105" i="1"/>
  <c r="EK105" i="1"/>
  <c r="EB105" i="1"/>
  <c r="DS105" i="1"/>
  <c r="DJ105" i="1"/>
  <c r="DA105" i="1"/>
  <c r="DB105" i="1" s="1"/>
  <c r="F105" i="1"/>
  <c r="E105" i="1"/>
  <c r="D105" i="1"/>
  <c r="GQ104" i="1"/>
  <c r="GM104" i="1"/>
  <c r="GD104" i="1"/>
  <c r="FU104" i="1"/>
  <c r="FW104" i="1" s="1"/>
  <c r="FL104" i="1"/>
  <c r="FC104" i="1"/>
  <c r="ET104" i="1"/>
  <c r="EK104" i="1"/>
  <c r="EB104" i="1"/>
  <c r="ED104" i="1" s="1"/>
  <c r="DS104" i="1"/>
  <c r="DU104" i="1" s="1"/>
  <c r="DJ104" i="1"/>
  <c r="DA104" i="1"/>
  <c r="F104" i="1"/>
  <c r="E104" i="1"/>
  <c r="D104" i="1"/>
  <c r="GQ103" i="1"/>
  <c r="GM103" i="1"/>
  <c r="GO103" i="1" s="1"/>
  <c r="GD103" i="1"/>
  <c r="FU103" i="1"/>
  <c r="FW103" i="1" s="1"/>
  <c r="FL103" i="1"/>
  <c r="FN103" i="1" s="1"/>
  <c r="FC103" i="1"/>
  <c r="FE103" i="1" s="1"/>
  <c r="ET103" i="1"/>
  <c r="EV103" i="1" s="1"/>
  <c r="EK103" i="1"/>
  <c r="EL103" i="1" s="1"/>
  <c r="EB103" i="1"/>
  <c r="DS103" i="1"/>
  <c r="DU103" i="1" s="1"/>
  <c r="DJ103" i="1"/>
  <c r="DA103" i="1"/>
  <c r="DC103" i="1" s="1"/>
  <c r="F103" i="1"/>
  <c r="E103" i="1"/>
  <c r="D103" i="1"/>
  <c r="GQ102" i="1"/>
  <c r="GM102" i="1"/>
  <c r="GO102" i="1" s="1"/>
  <c r="GD102" i="1"/>
  <c r="FU102" i="1"/>
  <c r="FW102" i="1" s="1"/>
  <c r="FL102" i="1"/>
  <c r="FM102" i="1" s="1"/>
  <c r="FC102" i="1"/>
  <c r="ET102" i="1"/>
  <c r="EK102" i="1"/>
  <c r="EB102" i="1"/>
  <c r="DS102" i="1"/>
  <c r="DU102" i="1" s="1"/>
  <c r="DJ102" i="1"/>
  <c r="DA102" i="1"/>
  <c r="F102" i="1"/>
  <c r="E102" i="1"/>
  <c r="D102" i="1"/>
  <c r="GQ101" i="1"/>
  <c r="GM101" i="1"/>
  <c r="GO101" i="1" s="1"/>
  <c r="GD101" i="1"/>
  <c r="FU101" i="1"/>
  <c r="FL101" i="1"/>
  <c r="FM101" i="1" s="1"/>
  <c r="FC101" i="1"/>
  <c r="FD101" i="1" s="1"/>
  <c r="ET101" i="1"/>
  <c r="EV101" i="1" s="1"/>
  <c r="EK101" i="1"/>
  <c r="EM101" i="1" s="1"/>
  <c r="EB101" i="1"/>
  <c r="EC101" i="1" s="1"/>
  <c r="DS101" i="1"/>
  <c r="DU101" i="1" s="1"/>
  <c r="DJ101" i="1"/>
  <c r="DA101" i="1"/>
  <c r="F101" i="1"/>
  <c r="E101" i="1"/>
  <c r="D101" i="1"/>
  <c r="GQ100" i="1"/>
  <c r="GM100" i="1"/>
  <c r="GO100" i="1" s="1"/>
  <c r="GD100" i="1"/>
  <c r="GF100" i="1" s="1"/>
  <c r="FU100" i="1"/>
  <c r="FL100" i="1"/>
  <c r="FC100" i="1"/>
  <c r="ET100" i="1"/>
  <c r="EV100" i="1" s="1"/>
  <c r="EK100" i="1"/>
  <c r="EB100" i="1"/>
  <c r="DS100" i="1"/>
  <c r="DJ100" i="1"/>
  <c r="DA100" i="1"/>
  <c r="DC100" i="1" s="1"/>
  <c r="F100" i="1"/>
  <c r="E100" i="1"/>
  <c r="D100" i="1"/>
  <c r="GQ99" i="1"/>
  <c r="GM99" i="1"/>
  <c r="GD99" i="1"/>
  <c r="GF99" i="1" s="1"/>
  <c r="FU99" i="1"/>
  <c r="FL99" i="1"/>
  <c r="FM99" i="1" s="1"/>
  <c r="FC99" i="1"/>
  <c r="FE99" i="1" s="1"/>
  <c r="ET99" i="1"/>
  <c r="EK99" i="1"/>
  <c r="EB99" i="1"/>
  <c r="EC99" i="1" s="1"/>
  <c r="DS99" i="1"/>
  <c r="DJ99" i="1"/>
  <c r="DA99" i="1"/>
  <c r="DC99" i="1" s="1"/>
  <c r="F99" i="1"/>
  <c r="E99" i="1"/>
  <c r="D99" i="1"/>
  <c r="GQ98" i="1"/>
  <c r="GM98" i="1"/>
  <c r="GN98" i="1" s="1"/>
  <c r="GD98" i="1"/>
  <c r="FU98" i="1"/>
  <c r="FV98" i="1" s="1"/>
  <c r="FL98" i="1"/>
  <c r="FM98" i="1" s="1"/>
  <c r="FC98" i="1"/>
  <c r="FD98" i="1" s="1"/>
  <c r="ET98" i="1"/>
  <c r="EU98" i="1" s="1"/>
  <c r="EK98" i="1"/>
  <c r="EL98" i="1" s="1"/>
  <c r="EB98" i="1"/>
  <c r="ED98" i="1" s="1"/>
  <c r="DS98" i="1"/>
  <c r="DT98" i="1" s="1"/>
  <c r="DJ98" i="1"/>
  <c r="DA98" i="1"/>
  <c r="DB98" i="1" s="1"/>
  <c r="F98" i="1"/>
  <c r="E98" i="1"/>
  <c r="D98" i="1"/>
  <c r="GQ97" i="1"/>
  <c r="GM97" i="1"/>
  <c r="GO97" i="1" s="1"/>
  <c r="GD97" i="1"/>
  <c r="FU97" i="1"/>
  <c r="FL97" i="1"/>
  <c r="FN97" i="1" s="1"/>
  <c r="FC97" i="1"/>
  <c r="FE97" i="1" s="1"/>
  <c r="ET97" i="1"/>
  <c r="EV97" i="1" s="1"/>
  <c r="EK97" i="1"/>
  <c r="EM97" i="1" s="1"/>
  <c r="EB97" i="1"/>
  <c r="DS97" i="1"/>
  <c r="DU97" i="1" s="1"/>
  <c r="DJ97" i="1"/>
  <c r="DA97" i="1"/>
  <c r="DC97" i="1" s="1"/>
  <c r="F97" i="1"/>
  <c r="E97" i="1"/>
  <c r="D97" i="1"/>
  <c r="GQ96" i="1"/>
  <c r="GM96" i="1"/>
  <c r="GN96" i="1" s="1"/>
  <c r="GD96" i="1"/>
  <c r="FU96" i="1"/>
  <c r="FV96" i="1" s="1"/>
  <c r="FL96" i="1"/>
  <c r="FM96" i="1" s="1"/>
  <c r="FC96" i="1"/>
  <c r="FD96" i="1" s="1"/>
  <c r="ET96" i="1"/>
  <c r="EK96" i="1"/>
  <c r="EL96" i="1" s="1"/>
  <c r="EB96" i="1"/>
  <c r="ED96" i="1" s="1"/>
  <c r="DS96" i="1"/>
  <c r="DT96" i="1" s="1"/>
  <c r="DJ96" i="1"/>
  <c r="DK96" i="1" s="1"/>
  <c r="DA96" i="1"/>
  <c r="DB96" i="1" s="1"/>
  <c r="F96" i="1"/>
  <c r="E96" i="1"/>
  <c r="D96" i="1"/>
  <c r="GQ95" i="1"/>
  <c r="GM95" i="1"/>
  <c r="GN95" i="1" s="1"/>
  <c r="GD95" i="1"/>
  <c r="FU95" i="1"/>
  <c r="FV95" i="1" s="1"/>
  <c r="FL95" i="1"/>
  <c r="FM95" i="1" s="1"/>
  <c r="FC95" i="1"/>
  <c r="FD95" i="1" s="1"/>
  <c r="ET95" i="1"/>
  <c r="EK95" i="1"/>
  <c r="EL95" i="1" s="1"/>
  <c r="EB95" i="1"/>
  <c r="EC95" i="1" s="1"/>
  <c r="DS95" i="1"/>
  <c r="DT95" i="1" s="1"/>
  <c r="DJ95" i="1"/>
  <c r="DA95" i="1"/>
  <c r="DC95" i="1" s="1"/>
  <c r="F95" i="1"/>
  <c r="E95" i="1"/>
  <c r="D95" i="1"/>
  <c r="GQ94" i="1"/>
  <c r="GM94" i="1"/>
  <c r="GN94" i="1" s="1"/>
  <c r="GD94" i="1"/>
  <c r="GE94" i="1" s="1"/>
  <c r="FU94" i="1"/>
  <c r="FV94" i="1" s="1"/>
  <c r="FL94" i="1"/>
  <c r="FM94" i="1" s="1"/>
  <c r="FC94" i="1"/>
  <c r="FD94" i="1" s="1"/>
  <c r="ET94" i="1"/>
  <c r="EU94" i="1" s="1"/>
  <c r="EK94" i="1"/>
  <c r="EB94" i="1"/>
  <c r="DS94" i="1"/>
  <c r="DT94" i="1" s="1"/>
  <c r="DJ94" i="1"/>
  <c r="DK94" i="1" s="1"/>
  <c r="DA94" i="1"/>
  <c r="DC94" i="1" s="1"/>
  <c r="F94" i="1"/>
  <c r="E94" i="1"/>
  <c r="D94" i="1"/>
  <c r="GQ93" i="1"/>
  <c r="GM93" i="1"/>
  <c r="GN93" i="1" s="1"/>
  <c r="GD93" i="1"/>
  <c r="GE93" i="1" s="1"/>
  <c r="FU93" i="1"/>
  <c r="FW93" i="1" s="1"/>
  <c r="FL93" i="1"/>
  <c r="FC93" i="1"/>
  <c r="FD93" i="1" s="1"/>
  <c r="ET93" i="1"/>
  <c r="EU93" i="1" s="1"/>
  <c r="EK93" i="1"/>
  <c r="EB93" i="1"/>
  <c r="EC93" i="1" s="1"/>
  <c r="DS93" i="1"/>
  <c r="DT93" i="1" s="1"/>
  <c r="DJ93" i="1"/>
  <c r="DK93" i="1" s="1"/>
  <c r="DA93" i="1"/>
  <c r="DB93" i="1" s="1"/>
  <c r="F93" i="1"/>
  <c r="E93" i="1"/>
  <c r="D93" i="1"/>
  <c r="GQ92" i="1"/>
  <c r="GM92" i="1"/>
  <c r="GN92" i="1" s="1"/>
  <c r="GD92" i="1"/>
  <c r="GE92" i="1" s="1"/>
  <c r="FU92" i="1"/>
  <c r="FV92" i="1" s="1"/>
  <c r="FL92" i="1"/>
  <c r="FM92" i="1" s="1"/>
  <c r="FC92" i="1"/>
  <c r="FD92" i="1" s="1"/>
  <c r="ET92" i="1"/>
  <c r="EU92" i="1" s="1"/>
  <c r="EK92" i="1"/>
  <c r="EB92" i="1"/>
  <c r="DS92" i="1"/>
  <c r="DT92" i="1" s="1"/>
  <c r="DJ92" i="1"/>
  <c r="DK92" i="1" s="1"/>
  <c r="DA92" i="1"/>
  <c r="DB92" i="1" s="1"/>
  <c r="F92" i="1"/>
  <c r="E92" i="1"/>
  <c r="D92" i="1"/>
  <c r="GQ91" i="1"/>
  <c r="GM91" i="1"/>
  <c r="GN91" i="1" s="1"/>
  <c r="GD91" i="1"/>
  <c r="GE91" i="1" s="1"/>
  <c r="FU91" i="1"/>
  <c r="FV91" i="1" s="1"/>
  <c r="FL91" i="1"/>
  <c r="FM91" i="1" s="1"/>
  <c r="FC91" i="1"/>
  <c r="FD91" i="1" s="1"/>
  <c r="ET91" i="1"/>
  <c r="EU91" i="1" s="1"/>
  <c r="EK91" i="1"/>
  <c r="EB91" i="1"/>
  <c r="EC91" i="1" s="1"/>
  <c r="DS91" i="1"/>
  <c r="DJ91" i="1"/>
  <c r="DK91" i="1" s="1"/>
  <c r="DA91" i="1"/>
  <c r="DB91" i="1" s="1"/>
  <c r="F91" i="1"/>
  <c r="E91" i="1"/>
  <c r="D91" i="1"/>
  <c r="GQ90" i="1"/>
  <c r="GM90" i="1"/>
  <c r="GN90" i="1" s="1"/>
  <c r="GD90" i="1"/>
  <c r="GE90" i="1" s="1"/>
  <c r="FU90" i="1"/>
  <c r="FL90" i="1"/>
  <c r="FM90" i="1" s="1"/>
  <c r="FC90" i="1"/>
  <c r="FD90" i="1" s="1"/>
  <c r="ET90" i="1"/>
  <c r="EU90" i="1" s="1"/>
  <c r="EK90" i="1"/>
  <c r="EB90" i="1"/>
  <c r="EC90" i="1" s="1"/>
  <c r="DS90" i="1"/>
  <c r="DJ90" i="1"/>
  <c r="DK90" i="1" s="1"/>
  <c r="DA90" i="1"/>
  <c r="DB90" i="1" s="1"/>
  <c r="F90" i="1"/>
  <c r="E90" i="1"/>
  <c r="D90" i="1"/>
  <c r="GQ89" i="1"/>
  <c r="GM89" i="1"/>
  <c r="GN89" i="1" s="1"/>
  <c r="GD89" i="1"/>
  <c r="GE89" i="1" s="1"/>
  <c r="FU89" i="1"/>
  <c r="FV89" i="1" s="1"/>
  <c r="FL89" i="1"/>
  <c r="FC89" i="1"/>
  <c r="FD89" i="1" s="1"/>
  <c r="ET89" i="1"/>
  <c r="EU89" i="1" s="1"/>
  <c r="EK89" i="1"/>
  <c r="EB89" i="1"/>
  <c r="EC89" i="1" s="1"/>
  <c r="DS89" i="1"/>
  <c r="DJ89" i="1"/>
  <c r="DK89" i="1" s="1"/>
  <c r="DA89" i="1"/>
  <c r="DB89" i="1" s="1"/>
  <c r="F89" i="1"/>
  <c r="E89" i="1"/>
  <c r="D89" i="1"/>
  <c r="GQ88" i="1"/>
  <c r="GM88" i="1"/>
  <c r="GN88" i="1" s="1"/>
  <c r="GD88" i="1"/>
  <c r="GE88" i="1" s="1"/>
  <c r="FU88" i="1"/>
  <c r="FV88" i="1" s="1"/>
  <c r="FL88" i="1"/>
  <c r="FM88" i="1" s="1"/>
  <c r="FC88" i="1"/>
  <c r="FD88" i="1" s="1"/>
  <c r="ET88" i="1"/>
  <c r="EU88" i="1" s="1"/>
  <c r="EK88" i="1"/>
  <c r="EB88" i="1"/>
  <c r="DS88" i="1"/>
  <c r="DT88" i="1" s="1"/>
  <c r="DJ88" i="1"/>
  <c r="DK88" i="1" s="1"/>
  <c r="DA88" i="1"/>
  <c r="DB88" i="1" s="1"/>
  <c r="F88" i="1"/>
  <c r="E88" i="1"/>
  <c r="D88" i="1"/>
  <c r="GQ87" i="1"/>
  <c r="GM87" i="1"/>
  <c r="GN87" i="1" s="1"/>
  <c r="GD87" i="1"/>
  <c r="GE87" i="1" s="1"/>
  <c r="FU87" i="1"/>
  <c r="FL87" i="1"/>
  <c r="FC87" i="1"/>
  <c r="FD87" i="1" s="1"/>
  <c r="ET87" i="1"/>
  <c r="EU87" i="1" s="1"/>
  <c r="EK87" i="1"/>
  <c r="EB87" i="1"/>
  <c r="DS87" i="1"/>
  <c r="DT87" i="1" s="1"/>
  <c r="DJ87" i="1"/>
  <c r="DA87" i="1"/>
  <c r="DB87" i="1" s="1"/>
  <c r="F87" i="1"/>
  <c r="E87" i="1"/>
  <c r="D87" i="1"/>
  <c r="GQ86" i="1"/>
  <c r="GM86" i="1"/>
  <c r="GN86" i="1" s="1"/>
  <c r="GD86" i="1"/>
  <c r="GE86" i="1" s="1"/>
  <c r="FU86" i="1"/>
  <c r="FL86" i="1"/>
  <c r="FM86" i="1" s="1"/>
  <c r="FC86" i="1"/>
  <c r="FD86" i="1" s="1"/>
  <c r="ET86" i="1"/>
  <c r="EU86" i="1" s="1"/>
  <c r="EK86" i="1"/>
  <c r="EB86" i="1"/>
  <c r="EC86" i="1" s="1"/>
  <c r="DS86" i="1"/>
  <c r="DJ86" i="1"/>
  <c r="DL86" i="1" s="1"/>
  <c r="DA86" i="1"/>
  <c r="DB86" i="1" s="1"/>
  <c r="F86" i="1"/>
  <c r="E86" i="1"/>
  <c r="D86" i="1"/>
  <c r="GQ85" i="1"/>
  <c r="GM85" i="1"/>
  <c r="GN85" i="1" s="1"/>
  <c r="GD85" i="1"/>
  <c r="FU85" i="1"/>
  <c r="FV85" i="1" s="1"/>
  <c r="FL85" i="1"/>
  <c r="FC85" i="1"/>
  <c r="ET85" i="1"/>
  <c r="EU85" i="1" s="1"/>
  <c r="EK85" i="1"/>
  <c r="EL85" i="1" s="1"/>
  <c r="EB85" i="1"/>
  <c r="ED85" i="1" s="1"/>
  <c r="DS85" i="1"/>
  <c r="DJ85" i="1"/>
  <c r="DK85" i="1" s="1"/>
  <c r="DA85" i="1"/>
  <c r="F85" i="1"/>
  <c r="E85" i="1"/>
  <c r="D85" i="1"/>
  <c r="GQ84" i="1"/>
  <c r="GM84" i="1"/>
  <c r="GN84" i="1" s="1"/>
  <c r="GD84" i="1"/>
  <c r="GF84" i="1" s="1"/>
  <c r="FU84" i="1"/>
  <c r="FV84" i="1" s="1"/>
  <c r="FL84" i="1"/>
  <c r="FM84" i="1" s="1"/>
  <c r="FC84" i="1"/>
  <c r="FE84" i="1" s="1"/>
  <c r="ET84" i="1"/>
  <c r="EU84" i="1" s="1"/>
  <c r="EK84" i="1"/>
  <c r="EL84" i="1" s="1"/>
  <c r="EB84" i="1"/>
  <c r="DS84" i="1"/>
  <c r="DT84" i="1" s="1"/>
  <c r="DJ84" i="1"/>
  <c r="DL84" i="1" s="1"/>
  <c r="DA84" i="1"/>
  <c r="F84" i="1"/>
  <c r="E84" i="1"/>
  <c r="D84" i="1"/>
  <c r="GQ83" i="1"/>
  <c r="GM83" i="1"/>
  <c r="GD83" i="1"/>
  <c r="GE83" i="1" s="1"/>
  <c r="FU83" i="1"/>
  <c r="FV83" i="1" s="1"/>
  <c r="FL83" i="1"/>
  <c r="FC83" i="1"/>
  <c r="ET83" i="1"/>
  <c r="EV83" i="1" s="1"/>
  <c r="EK83" i="1"/>
  <c r="EB83" i="1"/>
  <c r="DS83" i="1"/>
  <c r="DT83" i="1" s="1"/>
  <c r="DJ83" i="1"/>
  <c r="DA83" i="1"/>
  <c r="DB83" i="1" s="1"/>
  <c r="F83" i="1"/>
  <c r="E83" i="1"/>
  <c r="D83" i="1"/>
  <c r="GQ82" i="1"/>
  <c r="GM82" i="1"/>
  <c r="GN82" i="1" s="1"/>
  <c r="GD82" i="1"/>
  <c r="GF82" i="1" s="1"/>
  <c r="FU82" i="1"/>
  <c r="FV82" i="1" s="1"/>
  <c r="FL82" i="1"/>
  <c r="FC82" i="1"/>
  <c r="ET82" i="1"/>
  <c r="EK82" i="1"/>
  <c r="EL82" i="1" s="1"/>
  <c r="EB82" i="1"/>
  <c r="DS82" i="1"/>
  <c r="DT82" i="1" s="1"/>
  <c r="DJ82" i="1"/>
  <c r="DA82" i="1"/>
  <c r="F82" i="1"/>
  <c r="E82" i="1"/>
  <c r="D82" i="1"/>
  <c r="GQ81" i="1"/>
  <c r="GM81" i="1"/>
  <c r="GD81" i="1"/>
  <c r="GE81" i="1" s="1"/>
  <c r="FU81" i="1"/>
  <c r="FL81" i="1"/>
  <c r="FC81" i="1"/>
  <c r="FD81" i="1" s="1"/>
  <c r="ET81" i="1"/>
  <c r="EV81" i="1" s="1"/>
  <c r="EK81" i="1"/>
  <c r="EB81" i="1"/>
  <c r="DS81" i="1"/>
  <c r="DJ81" i="1"/>
  <c r="DL81" i="1" s="1"/>
  <c r="DA81" i="1"/>
  <c r="F81" i="1"/>
  <c r="E81" i="1"/>
  <c r="D81" i="1"/>
  <c r="GQ80" i="1"/>
  <c r="GM80" i="1"/>
  <c r="GN80" i="1" s="1"/>
  <c r="GD80" i="1"/>
  <c r="GE80" i="1" s="1"/>
  <c r="FU80" i="1"/>
  <c r="FV80" i="1" s="1"/>
  <c r="FL80" i="1"/>
  <c r="FC80" i="1"/>
  <c r="ET80" i="1"/>
  <c r="EV80" i="1" s="1"/>
  <c r="EK80" i="1"/>
  <c r="EL80" i="1" s="1"/>
  <c r="EB80" i="1"/>
  <c r="EC80" i="1" s="1"/>
  <c r="DS80" i="1"/>
  <c r="DJ80" i="1"/>
  <c r="DK80" i="1" s="1"/>
  <c r="DA80" i="1"/>
  <c r="F80" i="1"/>
  <c r="E80" i="1"/>
  <c r="D80" i="1"/>
  <c r="GQ79" i="1"/>
  <c r="GM79" i="1"/>
  <c r="GD79" i="1"/>
  <c r="GE79" i="1" s="1"/>
  <c r="FU79" i="1"/>
  <c r="FV79" i="1" s="1"/>
  <c r="FL79" i="1"/>
  <c r="FC79" i="1"/>
  <c r="ET79" i="1"/>
  <c r="EV79" i="1" s="1"/>
  <c r="EK79" i="1"/>
  <c r="EL79" i="1" s="1"/>
  <c r="EB79" i="1"/>
  <c r="DS79" i="1"/>
  <c r="DJ79" i="1"/>
  <c r="DK79" i="1" s="1"/>
  <c r="DA79" i="1"/>
  <c r="F79" i="1"/>
  <c r="E79" i="1"/>
  <c r="D79" i="1"/>
  <c r="GQ78" i="1"/>
  <c r="GM78" i="1"/>
  <c r="GD78" i="1"/>
  <c r="GE78" i="1" s="1"/>
  <c r="FU78" i="1"/>
  <c r="FV78" i="1" s="1"/>
  <c r="FL78" i="1"/>
  <c r="FC78" i="1"/>
  <c r="ET78" i="1"/>
  <c r="EV78" i="1" s="1"/>
  <c r="EK78" i="1"/>
  <c r="EB78" i="1"/>
  <c r="DS78" i="1"/>
  <c r="DJ78" i="1"/>
  <c r="DK78" i="1" s="1"/>
  <c r="DA78" i="1"/>
  <c r="DB78" i="1" s="1"/>
  <c r="F78" i="1"/>
  <c r="E78" i="1"/>
  <c r="D78" i="1"/>
  <c r="GQ77" i="1"/>
  <c r="GM77" i="1"/>
  <c r="GD77" i="1"/>
  <c r="GE77" i="1" s="1"/>
  <c r="FU77" i="1"/>
  <c r="FV77" i="1" s="1"/>
  <c r="FL77" i="1"/>
  <c r="FC77" i="1"/>
  <c r="ET77" i="1"/>
  <c r="EU77" i="1" s="1"/>
  <c r="EK77" i="1"/>
  <c r="EB77" i="1"/>
  <c r="DS77" i="1"/>
  <c r="DJ77" i="1"/>
  <c r="DK77" i="1" s="1"/>
  <c r="DA77" i="1"/>
  <c r="DB77" i="1" s="1"/>
  <c r="F77" i="1"/>
  <c r="E77" i="1"/>
  <c r="D77" i="1"/>
  <c r="GQ76" i="1"/>
  <c r="GM76" i="1"/>
  <c r="GD76" i="1"/>
  <c r="FU76" i="1"/>
  <c r="FL76" i="1"/>
  <c r="FC76" i="1"/>
  <c r="ET76" i="1"/>
  <c r="EU76" i="1" s="1"/>
  <c r="EK76" i="1"/>
  <c r="EB76" i="1"/>
  <c r="DS76" i="1"/>
  <c r="DJ76" i="1"/>
  <c r="DA76" i="1"/>
  <c r="F76" i="1"/>
  <c r="E76" i="1"/>
  <c r="D76" i="1"/>
  <c r="GQ75" i="1"/>
  <c r="GM75" i="1"/>
  <c r="GD75" i="1"/>
  <c r="FU75" i="1"/>
  <c r="FL75" i="1"/>
  <c r="FC75" i="1"/>
  <c r="ET75" i="1"/>
  <c r="EK75" i="1"/>
  <c r="EB75" i="1"/>
  <c r="DS75" i="1"/>
  <c r="DJ75" i="1"/>
  <c r="DL75" i="1" s="1"/>
  <c r="DA75" i="1"/>
  <c r="DB75" i="1" s="1"/>
  <c r="F75" i="1"/>
  <c r="E75" i="1"/>
  <c r="D75" i="1"/>
  <c r="GQ74" i="1"/>
  <c r="GM74" i="1"/>
  <c r="GO74" i="1" s="1"/>
  <c r="GD74" i="1"/>
  <c r="FU74" i="1"/>
  <c r="FL74" i="1"/>
  <c r="FC74" i="1"/>
  <c r="ET74" i="1"/>
  <c r="EK74" i="1"/>
  <c r="EL74" i="1" s="1"/>
  <c r="EB74" i="1"/>
  <c r="DS74" i="1"/>
  <c r="DJ74" i="1"/>
  <c r="DA74" i="1"/>
  <c r="DC74" i="1" s="1"/>
  <c r="F74" i="1"/>
  <c r="E74" i="1"/>
  <c r="D74" i="1"/>
  <c r="GQ73" i="1"/>
  <c r="GM73" i="1"/>
  <c r="GO73" i="1" s="1"/>
  <c r="GD73" i="1"/>
  <c r="GE73" i="1" s="1"/>
  <c r="FU73" i="1"/>
  <c r="FL73" i="1"/>
  <c r="FN73" i="1" s="1"/>
  <c r="FC73" i="1"/>
  <c r="ET73" i="1"/>
  <c r="EV73" i="1" s="1"/>
  <c r="EK73" i="1"/>
  <c r="EB73" i="1"/>
  <c r="EC73" i="1" s="1"/>
  <c r="DS73" i="1"/>
  <c r="DU73" i="1" s="1"/>
  <c r="DJ73" i="1"/>
  <c r="DL73" i="1" s="1"/>
  <c r="DA73" i="1"/>
  <c r="DC73" i="1" s="1"/>
  <c r="F73" i="1"/>
  <c r="E73" i="1"/>
  <c r="D73" i="1"/>
  <c r="GQ72" i="1"/>
  <c r="GM72" i="1"/>
  <c r="GD72" i="1"/>
  <c r="GF72" i="1" s="1"/>
  <c r="FU72" i="1"/>
  <c r="FV72" i="1" s="1"/>
  <c r="FL72" i="1"/>
  <c r="FC72" i="1"/>
  <c r="FD72" i="1" s="1"/>
  <c r="ET72" i="1"/>
  <c r="EU72" i="1" s="1"/>
  <c r="EK72" i="1"/>
  <c r="EB72" i="1"/>
  <c r="DS72" i="1"/>
  <c r="DJ72" i="1"/>
  <c r="DK72" i="1" s="1"/>
  <c r="DA72" i="1"/>
  <c r="F72" i="1"/>
  <c r="E72" i="1"/>
  <c r="D72" i="1"/>
  <c r="GQ71" i="1"/>
  <c r="GM71" i="1"/>
  <c r="GO71" i="1" s="1"/>
  <c r="GD71" i="1"/>
  <c r="FU71" i="1"/>
  <c r="FV71" i="1" s="1"/>
  <c r="FL71" i="1"/>
  <c r="FN71" i="1" s="1"/>
  <c r="FC71" i="1"/>
  <c r="ET71" i="1"/>
  <c r="EV71" i="1" s="1"/>
  <c r="EK71" i="1"/>
  <c r="EM71" i="1" s="1"/>
  <c r="EB71" i="1"/>
  <c r="EC71" i="1" s="1"/>
  <c r="DS71" i="1"/>
  <c r="DU71" i="1" s="1"/>
  <c r="DJ71" i="1"/>
  <c r="DA71" i="1"/>
  <c r="F71" i="1"/>
  <c r="E71" i="1"/>
  <c r="D71" i="1"/>
  <c r="GQ70" i="1"/>
  <c r="GM70" i="1"/>
  <c r="GN70" i="1" s="1"/>
  <c r="GD70" i="1"/>
  <c r="GE70" i="1" s="1"/>
  <c r="FU70" i="1"/>
  <c r="FW70" i="1" s="1"/>
  <c r="FL70" i="1"/>
  <c r="FC70" i="1"/>
  <c r="FD70" i="1" s="1"/>
  <c r="ET70" i="1"/>
  <c r="EU70" i="1" s="1"/>
  <c r="EK70" i="1"/>
  <c r="EB70" i="1"/>
  <c r="DS70" i="1"/>
  <c r="DJ70" i="1"/>
  <c r="DA70" i="1"/>
  <c r="F70" i="1"/>
  <c r="E70" i="1"/>
  <c r="D70" i="1"/>
  <c r="GQ69" i="1"/>
  <c r="GM69" i="1"/>
  <c r="GD69" i="1"/>
  <c r="GF69" i="1" s="1"/>
  <c r="FU69" i="1"/>
  <c r="FW69" i="1" s="1"/>
  <c r="FL69" i="1"/>
  <c r="FN69" i="1" s="1"/>
  <c r="FC69" i="1"/>
  <c r="ET69" i="1"/>
  <c r="EV69" i="1" s="1"/>
  <c r="EK69" i="1"/>
  <c r="EL69" i="1" s="1"/>
  <c r="EB69" i="1"/>
  <c r="DS69" i="1"/>
  <c r="DU69" i="1" s="1"/>
  <c r="DJ69" i="1"/>
  <c r="DL69" i="1" s="1"/>
  <c r="DA69" i="1"/>
  <c r="DB69" i="1" s="1"/>
  <c r="F69" i="1"/>
  <c r="E69" i="1"/>
  <c r="D69" i="1"/>
  <c r="GQ68" i="1"/>
  <c r="GM68" i="1"/>
  <c r="GN68" i="1" s="1"/>
  <c r="GD68" i="1"/>
  <c r="GE68" i="1" s="1"/>
  <c r="FU68" i="1"/>
  <c r="FL68" i="1"/>
  <c r="FC68" i="1"/>
  <c r="ET68" i="1"/>
  <c r="EK68" i="1"/>
  <c r="EB68" i="1"/>
  <c r="DS68" i="1"/>
  <c r="DJ68" i="1"/>
  <c r="DL68" i="1" s="1"/>
  <c r="DA68" i="1"/>
  <c r="DC68" i="1" s="1"/>
  <c r="F68" i="1"/>
  <c r="E68" i="1"/>
  <c r="D68" i="1"/>
  <c r="GQ67" i="1"/>
  <c r="GM67" i="1"/>
  <c r="GO67" i="1" s="1"/>
  <c r="GD67" i="1"/>
  <c r="GF67" i="1" s="1"/>
  <c r="FU67" i="1"/>
  <c r="FW67" i="1" s="1"/>
  <c r="FL67" i="1"/>
  <c r="FN67" i="1" s="1"/>
  <c r="FC67" i="1"/>
  <c r="ET67" i="1"/>
  <c r="EU67" i="1" s="1"/>
  <c r="EK67" i="1"/>
  <c r="EL67" i="1" s="1"/>
  <c r="EB67" i="1"/>
  <c r="ED67" i="1" s="1"/>
  <c r="DS67" i="1"/>
  <c r="DU67" i="1" s="1"/>
  <c r="DJ67" i="1"/>
  <c r="DA67" i="1"/>
  <c r="F67" i="1"/>
  <c r="E67" i="1"/>
  <c r="D67" i="1"/>
  <c r="GQ66" i="1"/>
  <c r="GM66" i="1"/>
  <c r="GN66" i="1" s="1"/>
  <c r="GD66" i="1"/>
  <c r="GE66" i="1" s="1"/>
  <c r="FU66" i="1"/>
  <c r="FV66" i="1" s="1"/>
  <c r="FL66" i="1"/>
  <c r="FC66" i="1"/>
  <c r="FE66" i="1" s="1"/>
  <c r="ET66" i="1"/>
  <c r="EU66" i="1" s="1"/>
  <c r="EK66" i="1"/>
  <c r="EB66" i="1"/>
  <c r="ED66" i="1" s="1"/>
  <c r="DS66" i="1"/>
  <c r="DJ66" i="1"/>
  <c r="DL66" i="1" s="1"/>
  <c r="DA66" i="1"/>
  <c r="DC66" i="1" s="1"/>
  <c r="F66" i="1"/>
  <c r="E66" i="1"/>
  <c r="D66" i="1"/>
  <c r="GQ65" i="1"/>
  <c r="GM65" i="1"/>
  <c r="GD65" i="1"/>
  <c r="GF65" i="1" s="1"/>
  <c r="FU65" i="1"/>
  <c r="FL65" i="1"/>
  <c r="FN65" i="1" s="1"/>
  <c r="FC65" i="1"/>
  <c r="ET65" i="1"/>
  <c r="EK65" i="1"/>
  <c r="EM65" i="1" s="1"/>
  <c r="EB65" i="1"/>
  <c r="DS65" i="1"/>
  <c r="DU65" i="1" s="1"/>
  <c r="DJ65" i="1"/>
  <c r="DL65" i="1" s="1"/>
  <c r="DA65" i="1"/>
  <c r="F65" i="1"/>
  <c r="E65" i="1"/>
  <c r="D65" i="1"/>
  <c r="GQ64" i="1"/>
  <c r="GM64" i="1"/>
  <c r="GD64" i="1"/>
  <c r="FU64" i="1"/>
  <c r="FW64" i="1" s="1"/>
  <c r="FL64" i="1"/>
  <c r="FC64" i="1"/>
  <c r="ET64" i="1"/>
  <c r="EV64" i="1" s="1"/>
  <c r="EK64" i="1"/>
  <c r="EB64" i="1"/>
  <c r="ED64" i="1" s="1"/>
  <c r="DS64" i="1"/>
  <c r="DJ64" i="1"/>
  <c r="DA64" i="1"/>
  <c r="DC64" i="1" s="1"/>
  <c r="F64" i="1"/>
  <c r="E64" i="1"/>
  <c r="D64" i="1"/>
  <c r="GQ63" i="1"/>
  <c r="GM63" i="1"/>
  <c r="GO63" i="1" s="1"/>
  <c r="GD63" i="1"/>
  <c r="FU63" i="1"/>
  <c r="FV63" i="1" s="1"/>
  <c r="FL63" i="1"/>
  <c r="FN63" i="1" s="1"/>
  <c r="FC63" i="1"/>
  <c r="ET63" i="1"/>
  <c r="EU63" i="1" s="1"/>
  <c r="EK63" i="1"/>
  <c r="EM63" i="1" s="1"/>
  <c r="EB63" i="1"/>
  <c r="ED63" i="1" s="1"/>
  <c r="DS63" i="1"/>
  <c r="DU63" i="1" s="1"/>
  <c r="DJ63" i="1"/>
  <c r="DL63" i="1" s="1"/>
  <c r="DA63" i="1"/>
  <c r="F63" i="1"/>
  <c r="E63" i="1"/>
  <c r="D63" i="1"/>
  <c r="GQ62" i="1"/>
  <c r="GM62" i="1"/>
  <c r="GO62" i="1" s="1"/>
  <c r="GD62" i="1"/>
  <c r="GF62" i="1" s="1"/>
  <c r="FU62" i="1"/>
  <c r="FL62" i="1"/>
  <c r="FC62" i="1"/>
  <c r="FE62" i="1" s="1"/>
  <c r="ET62" i="1"/>
  <c r="EV62" i="1" s="1"/>
  <c r="EK62" i="1"/>
  <c r="EM62" i="1" s="1"/>
  <c r="EB62" i="1"/>
  <c r="DS62" i="1"/>
  <c r="DU62" i="1" s="1"/>
  <c r="DJ62" i="1"/>
  <c r="DA62" i="1"/>
  <c r="F62" i="1"/>
  <c r="E62" i="1"/>
  <c r="D62" i="1"/>
  <c r="GQ61" i="1"/>
  <c r="GM61" i="1"/>
  <c r="GD61" i="1"/>
  <c r="FU61" i="1"/>
  <c r="FW61" i="1" s="1"/>
  <c r="FL61" i="1"/>
  <c r="FC61" i="1"/>
  <c r="ET61" i="1"/>
  <c r="EK61" i="1"/>
  <c r="EM61" i="1" s="1"/>
  <c r="EB61" i="1"/>
  <c r="DS61" i="1"/>
  <c r="DJ61" i="1"/>
  <c r="DA61" i="1"/>
  <c r="DC61" i="1" s="1"/>
  <c r="F61" i="1"/>
  <c r="E61" i="1"/>
  <c r="D61" i="1"/>
  <c r="GQ60" i="1"/>
  <c r="GM60" i="1"/>
  <c r="GD60" i="1"/>
  <c r="GF60" i="1" s="1"/>
  <c r="FU60" i="1"/>
  <c r="FW60" i="1" s="1"/>
  <c r="FL60" i="1"/>
  <c r="FC60" i="1"/>
  <c r="FE60" i="1" s="1"/>
  <c r="ET60" i="1"/>
  <c r="EV60" i="1" s="1"/>
  <c r="EK60" i="1"/>
  <c r="EL60" i="1" s="1"/>
  <c r="EB60" i="1"/>
  <c r="ED60" i="1" s="1"/>
  <c r="DS60" i="1"/>
  <c r="DJ60" i="1"/>
  <c r="DL60" i="1" s="1"/>
  <c r="DA60" i="1"/>
  <c r="DC60" i="1" s="1"/>
  <c r="F60" i="1"/>
  <c r="E60" i="1"/>
  <c r="D60" i="1"/>
  <c r="GQ59" i="1"/>
  <c r="GM59" i="1"/>
  <c r="GN59" i="1" s="1"/>
  <c r="GD59" i="1"/>
  <c r="FU59" i="1"/>
  <c r="FL59" i="1"/>
  <c r="FC59" i="1"/>
  <c r="ET59" i="1"/>
  <c r="EK59" i="1"/>
  <c r="EB59" i="1"/>
  <c r="ED59" i="1" s="1"/>
  <c r="DS59" i="1"/>
  <c r="DJ59" i="1"/>
  <c r="DA59" i="1"/>
  <c r="DC59" i="1" s="1"/>
  <c r="F59" i="1"/>
  <c r="E59" i="1"/>
  <c r="D59" i="1"/>
  <c r="GQ58" i="1"/>
  <c r="GM58" i="1"/>
  <c r="GD58" i="1"/>
  <c r="FU58" i="1"/>
  <c r="FW58" i="1" s="1"/>
  <c r="FL58" i="1"/>
  <c r="FN58" i="1" s="1"/>
  <c r="FC58" i="1"/>
  <c r="ET58" i="1"/>
  <c r="EU58" i="1" s="1"/>
  <c r="EK58" i="1"/>
  <c r="EM58" i="1" s="1"/>
  <c r="EB58" i="1"/>
  <c r="ED58" i="1" s="1"/>
  <c r="DS58" i="1"/>
  <c r="DJ58" i="1"/>
  <c r="DA58" i="1"/>
  <c r="DC58" i="1" s="1"/>
  <c r="F58" i="1"/>
  <c r="E58" i="1"/>
  <c r="D58" i="1"/>
  <c r="GQ57" i="1"/>
  <c r="GM57" i="1"/>
  <c r="GO57" i="1" s="1"/>
  <c r="GD57" i="1"/>
  <c r="GE57" i="1" s="1"/>
  <c r="FU57" i="1"/>
  <c r="FW57" i="1" s="1"/>
  <c r="FL57" i="1"/>
  <c r="FC57" i="1"/>
  <c r="FE57" i="1" s="1"/>
  <c r="ET57" i="1"/>
  <c r="EK57" i="1"/>
  <c r="EM57" i="1" s="1"/>
  <c r="EB57" i="1"/>
  <c r="DS57" i="1"/>
  <c r="DJ57" i="1"/>
  <c r="DA57" i="1"/>
  <c r="DB57" i="1" s="1"/>
  <c r="F57" i="1"/>
  <c r="E57" i="1"/>
  <c r="D57" i="1"/>
  <c r="GQ56" i="1"/>
  <c r="GM56" i="1"/>
  <c r="GN56" i="1" s="1"/>
  <c r="GD56" i="1"/>
  <c r="FU56" i="1"/>
  <c r="FV56" i="1" s="1"/>
  <c r="FL56" i="1"/>
  <c r="FC56" i="1"/>
  <c r="FE56" i="1" s="1"/>
  <c r="ET56" i="1"/>
  <c r="EK56" i="1"/>
  <c r="EB56" i="1"/>
  <c r="ED56" i="1" s="1"/>
  <c r="DS56" i="1"/>
  <c r="DJ56" i="1"/>
  <c r="DA56" i="1"/>
  <c r="F56" i="1"/>
  <c r="E56" i="1"/>
  <c r="D56" i="1"/>
  <c r="GQ55" i="1"/>
  <c r="GM55" i="1"/>
  <c r="GO55" i="1" s="1"/>
  <c r="GD55" i="1"/>
  <c r="GE55" i="1" s="1"/>
  <c r="FU55" i="1"/>
  <c r="FW55" i="1" s="1"/>
  <c r="FL55" i="1"/>
  <c r="FM55" i="1" s="1"/>
  <c r="FC55" i="1"/>
  <c r="FD55" i="1" s="1"/>
  <c r="ET55" i="1"/>
  <c r="EK55" i="1"/>
  <c r="EB55" i="1"/>
  <c r="EC55" i="1" s="1"/>
  <c r="DS55" i="1"/>
  <c r="DU55" i="1" s="1"/>
  <c r="DJ55" i="1"/>
  <c r="DA55" i="1"/>
  <c r="F55" i="1"/>
  <c r="E55" i="1"/>
  <c r="D55" i="1"/>
  <c r="GQ54" i="1"/>
  <c r="GM54" i="1"/>
  <c r="GN54" i="1" s="1"/>
  <c r="GD54" i="1"/>
  <c r="FU54" i="1"/>
  <c r="FL54" i="1"/>
  <c r="FN54" i="1" s="1"/>
  <c r="FC54" i="1"/>
  <c r="FE54" i="1" s="1"/>
  <c r="ET54" i="1"/>
  <c r="EK54" i="1"/>
  <c r="EB54" i="1"/>
  <c r="ED54" i="1" s="1"/>
  <c r="DS54" i="1"/>
  <c r="DU54" i="1" s="1"/>
  <c r="DJ54" i="1"/>
  <c r="DA54" i="1"/>
  <c r="F54" i="1"/>
  <c r="E54" i="1"/>
  <c r="D54" i="1"/>
  <c r="GQ53" i="1"/>
  <c r="GM53" i="1"/>
  <c r="GO53" i="1" s="1"/>
  <c r="GD53" i="1"/>
  <c r="FU53" i="1"/>
  <c r="FL53" i="1"/>
  <c r="FM53" i="1" s="1"/>
  <c r="FC53" i="1"/>
  <c r="ET53" i="1"/>
  <c r="EK53" i="1"/>
  <c r="EL53" i="1" s="1"/>
  <c r="EB53" i="1"/>
  <c r="DS53" i="1"/>
  <c r="DU53" i="1" s="1"/>
  <c r="DJ53" i="1"/>
  <c r="DK53" i="1" s="1"/>
  <c r="DA53" i="1"/>
  <c r="DC53" i="1" s="1"/>
  <c r="F53" i="1"/>
  <c r="E53" i="1"/>
  <c r="D53" i="1"/>
  <c r="GQ52" i="1"/>
  <c r="GM52" i="1"/>
  <c r="GD52" i="1"/>
  <c r="FU52" i="1"/>
  <c r="FL52" i="1"/>
  <c r="FC52" i="1"/>
  <c r="FD52" i="1" s="1"/>
  <c r="ET52" i="1"/>
  <c r="EV52" i="1" s="1"/>
  <c r="EK52" i="1"/>
  <c r="EB52" i="1"/>
  <c r="DS52" i="1"/>
  <c r="DJ52" i="1"/>
  <c r="DA52" i="1"/>
  <c r="F52" i="1"/>
  <c r="E52" i="1"/>
  <c r="D52" i="1"/>
  <c r="GQ51" i="1"/>
  <c r="GM51" i="1"/>
  <c r="GN51" i="1" s="1"/>
  <c r="GD51" i="1"/>
  <c r="GE51" i="1" s="1"/>
  <c r="FU51" i="1"/>
  <c r="FW51" i="1" s="1"/>
  <c r="FL51" i="1"/>
  <c r="FN51" i="1" s="1"/>
  <c r="FC51" i="1"/>
  <c r="FD51" i="1" s="1"/>
  <c r="ET51" i="1"/>
  <c r="EK51" i="1"/>
  <c r="EM51" i="1" s="1"/>
  <c r="EB51" i="1"/>
  <c r="ED51" i="1" s="1"/>
  <c r="DS51" i="1"/>
  <c r="DT51" i="1" s="1"/>
  <c r="DJ51" i="1"/>
  <c r="DA51" i="1"/>
  <c r="DB51" i="1" s="1"/>
  <c r="F51" i="1"/>
  <c r="E51" i="1"/>
  <c r="D51" i="1"/>
  <c r="GQ50" i="1"/>
  <c r="GM50" i="1"/>
  <c r="GO50" i="1" s="1"/>
  <c r="GD50" i="1"/>
  <c r="GE50" i="1" s="1"/>
  <c r="FU50" i="1"/>
  <c r="FV50" i="1" s="1"/>
  <c r="FL50" i="1"/>
  <c r="FC50" i="1"/>
  <c r="FE50" i="1" s="1"/>
  <c r="ET50" i="1"/>
  <c r="EK50" i="1"/>
  <c r="EM50" i="1" s="1"/>
  <c r="EB50" i="1"/>
  <c r="DS50" i="1"/>
  <c r="DT50" i="1" s="1"/>
  <c r="DJ50" i="1"/>
  <c r="DK50" i="1" s="1"/>
  <c r="DA50" i="1"/>
  <c r="DC50" i="1" s="1"/>
  <c r="F50" i="1"/>
  <c r="E50" i="1"/>
  <c r="D50" i="1"/>
  <c r="GQ49" i="1"/>
  <c r="GM49" i="1"/>
  <c r="GD49" i="1"/>
  <c r="FU49" i="1"/>
  <c r="FW49" i="1" s="1"/>
  <c r="FL49" i="1"/>
  <c r="FC49" i="1"/>
  <c r="FE49" i="1" s="1"/>
  <c r="ET49" i="1"/>
  <c r="EK49" i="1"/>
  <c r="EB49" i="1"/>
  <c r="ED49" i="1" s="1"/>
  <c r="DS49" i="1"/>
  <c r="DJ49" i="1"/>
  <c r="DL49" i="1" s="1"/>
  <c r="DA49" i="1"/>
  <c r="F49" i="1"/>
  <c r="E49" i="1"/>
  <c r="D49" i="1"/>
  <c r="GQ48" i="1"/>
  <c r="GM48" i="1"/>
  <c r="GO48" i="1" s="1"/>
  <c r="GD48" i="1"/>
  <c r="FU48" i="1"/>
  <c r="FW48" i="1" s="1"/>
  <c r="FL48" i="1"/>
  <c r="FN48" i="1" s="1"/>
  <c r="FC48" i="1"/>
  <c r="FE48" i="1" s="1"/>
  <c r="ET48" i="1"/>
  <c r="EV48" i="1" s="1"/>
  <c r="EK48" i="1"/>
  <c r="EM48" i="1" s="1"/>
  <c r="EB48" i="1"/>
  <c r="ED48" i="1" s="1"/>
  <c r="DS48" i="1"/>
  <c r="DU48" i="1" s="1"/>
  <c r="DJ48" i="1"/>
  <c r="DA48" i="1"/>
  <c r="DC48" i="1" s="1"/>
  <c r="F48" i="1"/>
  <c r="E48" i="1"/>
  <c r="D48" i="1"/>
  <c r="GQ47" i="1"/>
  <c r="GM47" i="1"/>
  <c r="GO47" i="1" s="1"/>
  <c r="GD47" i="1"/>
  <c r="FU47" i="1"/>
  <c r="FV47" i="1" s="1"/>
  <c r="FL47" i="1"/>
  <c r="FN47" i="1" s="1"/>
  <c r="FC47" i="1"/>
  <c r="FD47" i="1" s="1"/>
  <c r="ET47" i="1"/>
  <c r="EU47" i="1" s="1"/>
  <c r="EK47" i="1"/>
  <c r="EB47" i="1"/>
  <c r="DS47" i="1"/>
  <c r="DJ47" i="1"/>
  <c r="DA47" i="1"/>
  <c r="DB47" i="1" s="1"/>
  <c r="F47" i="1"/>
  <c r="E47" i="1"/>
  <c r="D47" i="1"/>
  <c r="GQ46" i="1"/>
  <c r="GM46" i="1"/>
  <c r="GO46" i="1" s="1"/>
  <c r="GD46" i="1"/>
  <c r="FU46" i="1"/>
  <c r="FL46" i="1"/>
  <c r="FN46" i="1" s="1"/>
  <c r="FC46" i="1"/>
  <c r="FE46" i="1" s="1"/>
  <c r="ET46" i="1"/>
  <c r="EV46" i="1" s="1"/>
  <c r="EK46" i="1"/>
  <c r="EM46" i="1" s="1"/>
  <c r="EB46" i="1"/>
  <c r="ED46" i="1" s="1"/>
  <c r="DS46" i="1"/>
  <c r="DU46" i="1" s="1"/>
  <c r="DJ46" i="1"/>
  <c r="DA46" i="1"/>
  <c r="DB46" i="1" s="1"/>
  <c r="F46" i="1"/>
  <c r="E46" i="1"/>
  <c r="D46" i="1"/>
  <c r="GQ45" i="1"/>
  <c r="GM45" i="1"/>
  <c r="GD45" i="1"/>
  <c r="GE45" i="1" s="1"/>
  <c r="FU45" i="1"/>
  <c r="FW45" i="1" s="1"/>
  <c r="FL45" i="1"/>
  <c r="FC45" i="1"/>
  <c r="ET45" i="1"/>
  <c r="EK45" i="1"/>
  <c r="EB45" i="1"/>
  <c r="EC45" i="1" s="1"/>
  <c r="DS45" i="1"/>
  <c r="DU45" i="1" s="1"/>
  <c r="DJ45" i="1"/>
  <c r="DL45" i="1" s="1"/>
  <c r="DA45" i="1"/>
  <c r="F45" i="1"/>
  <c r="E45" i="1"/>
  <c r="D45" i="1"/>
  <c r="GQ44" i="1"/>
  <c r="GM44" i="1"/>
  <c r="GD44" i="1"/>
  <c r="FU44" i="1"/>
  <c r="FW44" i="1" s="1"/>
  <c r="FL44" i="1"/>
  <c r="FN44" i="1" s="1"/>
  <c r="FC44" i="1"/>
  <c r="FE44" i="1" s="1"/>
  <c r="ET44" i="1"/>
  <c r="EV44" i="1" s="1"/>
  <c r="EK44" i="1"/>
  <c r="EM44" i="1" s="1"/>
  <c r="EB44" i="1"/>
  <c r="DS44" i="1"/>
  <c r="DU44" i="1" s="1"/>
  <c r="DJ44" i="1"/>
  <c r="DA44" i="1"/>
  <c r="DC44" i="1" s="1"/>
  <c r="F44" i="1"/>
  <c r="E44" i="1"/>
  <c r="D44" i="1"/>
  <c r="GQ43" i="1"/>
  <c r="GM43" i="1"/>
  <c r="GN43" i="1" s="1"/>
  <c r="GD43" i="1"/>
  <c r="FU43" i="1"/>
  <c r="FL43" i="1"/>
  <c r="FC43" i="1"/>
  <c r="ET43" i="1"/>
  <c r="EK43" i="1"/>
  <c r="EM43" i="1" s="1"/>
  <c r="EB43" i="1"/>
  <c r="ED43" i="1" s="1"/>
  <c r="DS43" i="1"/>
  <c r="DJ43" i="1"/>
  <c r="DA43" i="1"/>
  <c r="F43" i="1"/>
  <c r="E43" i="1"/>
  <c r="D43" i="1"/>
  <c r="GQ42" i="1"/>
  <c r="GM42" i="1"/>
  <c r="GO42" i="1" s="1"/>
  <c r="GD42" i="1"/>
  <c r="GE42" i="1" s="1"/>
  <c r="FU42" i="1"/>
  <c r="FV42" i="1" s="1"/>
  <c r="FL42" i="1"/>
  <c r="FM42" i="1" s="1"/>
  <c r="FC42" i="1"/>
  <c r="FD42" i="1" s="1"/>
  <c r="ET42" i="1"/>
  <c r="EK42" i="1"/>
  <c r="EL42" i="1" s="1"/>
  <c r="EB42" i="1"/>
  <c r="EC42" i="1" s="1"/>
  <c r="DS42" i="1"/>
  <c r="DT42" i="1" s="1"/>
  <c r="DJ42" i="1"/>
  <c r="DK42" i="1" s="1"/>
  <c r="DA42" i="1"/>
  <c r="F42" i="1"/>
  <c r="E42" i="1"/>
  <c r="D42" i="1"/>
  <c r="GQ41" i="1"/>
  <c r="GM41" i="1"/>
  <c r="GN41" i="1" s="1"/>
  <c r="GD41" i="1"/>
  <c r="GE41" i="1" s="1"/>
  <c r="FU41" i="1"/>
  <c r="FW41" i="1" s="1"/>
  <c r="FL41" i="1"/>
  <c r="FM41" i="1" s="1"/>
  <c r="FC41" i="1"/>
  <c r="FD41" i="1" s="1"/>
  <c r="ET41" i="1"/>
  <c r="EU41" i="1" s="1"/>
  <c r="EK41" i="1"/>
  <c r="EL41" i="1" s="1"/>
  <c r="EB41" i="1"/>
  <c r="ED41" i="1" s="1"/>
  <c r="DS41" i="1"/>
  <c r="DT41" i="1" s="1"/>
  <c r="DJ41" i="1"/>
  <c r="DK41" i="1" s="1"/>
  <c r="DA41" i="1"/>
  <c r="F41" i="1"/>
  <c r="E41" i="1"/>
  <c r="D41" i="1"/>
  <c r="GQ40" i="1"/>
  <c r="GM40" i="1"/>
  <c r="GD40" i="1"/>
  <c r="GE40" i="1" s="1"/>
  <c r="FU40" i="1"/>
  <c r="FL40" i="1"/>
  <c r="FN40" i="1" s="1"/>
  <c r="FC40" i="1"/>
  <c r="ET40" i="1"/>
  <c r="EK40" i="1"/>
  <c r="EB40" i="1"/>
  <c r="ED40" i="1" s="1"/>
  <c r="DS40" i="1"/>
  <c r="DJ40" i="1"/>
  <c r="DA40" i="1"/>
  <c r="DC40" i="1" s="1"/>
  <c r="F40" i="1"/>
  <c r="E40" i="1"/>
  <c r="D40" i="1"/>
  <c r="GQ39" i="1"/>
  <c r="GM39" i="1"/>
  <c r="GD39" i="1"/>
  <c r="GE39" i="1" s="1"/>
  <c r="FU39" i="1"/>
  <c r="FV39" i="1" s="1"/>
  <c r="FL39" i="1"/>
  <c r="FN39" i="1" s="1"/>
  <c r="FC39" i="1"/>
  <c r="FE39" i="1" s="1"/>
  <c r="ET39" i="1"/>
  <c r="EK39" i="1"/>
  <c r="EB39" i="1"/>
  <c r="DS39" i="1"/>
  <c r="DU39" i="1" s="1"/>
  <c r="DJ39" i="1"/>
  <c r="DL39" i="1" s="1"/>
  <c r="DA39" i="1"/>
  <c r="DC39" i="1" s="1"/>
  <c r="F39" i="1"/>
  <c r="E39" i="1"/>
  <c r="D39" i="1"/>
  <c r="GQ38" i="1"/>
  <c r="GM38" i="1"/>
  <c r="GO38" i="1" s="1"/>
  <c r="GD38" i="1"/>
  <c r="GF38" i="1" s="1"/>
  <c r="FU38" i="1"/>
  <c r="FW38" i="1" s="1"/>
  <c r="FL38" i="1"/>
  <c r="FN38" i="1" s="1"/>
  <c r="FC38" i="1"/>
  <c r="FD38" i="1" s="1"/>
  <c r="ET38" i="1"/>
  <c r="EV38" i="1" s="1"/>
  <c r="EK38" i="1"/>
  <c r="EL38" i="1" s="1"/>
  <c r="EB38" i="1"/>
  <c r="DS38" i="1"/>
  <c r="DU38" i="1" s="1"/>
  <c r="DJ38" i="1"/>
  <c r="DK38" i="1" s="1"/>
  <c r="DA38" i="1"/>
  <c r="DC38" i="1" s="1"/>
  <c r="F38" i="1"/>
  <c r="E38" i="1"/>
  <c r="D38" i="1"/>
  <c r="GQ37" i="1"/>
  <c r="GM37" i="1"/>
  <c r="GD37" i="1"/>
  <c r="GE37" i="1" s="1"/>
  <c r="FU37" i="1"/>
  <c r="FL37" i="1"/>
  <c r="FC37" i="1"/>
  <c r="ET37" i="1"/>
  <c r="EK37" i="1"/>
  <c r="EB37" i="1"/>
  <c r="EC37" i="1" s="1"/>
  <c r="DS37" i="1"/>
  <c r="DT37" i="1" s="1"/>
  <c r="DJ37" i="1"/>
  <c r="DK37" i="1" s="1"/>
  <c r="DA37" i="1"/>
  <c r="DB37" i="1" s="1"/>
  <c r="F37" i="1"/>
  <c r="E37" i="1"/>
  <c r="D37" i="1"/>
  <c r="GQ36" i="1"/>
  <c r="GM36" i="1"/>
  <c r="GD36" i="1"/>
  <c r="GE36" i="1" s="1"/>
  <c r="FU36" i="1"/>
  <c r="FW36" i="1" s="1"/>
  <c r="FL36" i="1"/>
  <c r="FC36" i="1"/>
  <c r="FE36" i="1" s="1"/>
  <c r="ET36" i="1"/>
  <c r="EK36" i="1"/>
  <c r="EM36" i="1" s="1"/>
  <c r="EB36" i="1"/>
  <c r="EC36" i="1" s="1"/>
  <c r="DS36" i="1"/>
  <c r="DT36" i="1" s="1"/>
  <c r="DJ36" i="1"/>
  <c r="DA36" i="1"/>
  <c r="DC36" i="1" s="1"/>
  <c r="F36" i="1"/>
  <c r="E36" i="1"/>
  <c r="D36" i="1"/>
  <c r="GQ35" i="1"/>
  <c r="GM35" i="1"/>
  <c r="GN35" i="1" s="1"/>
  <c r="GD35" i="1"/>
  <c r="FU35" i="1"/>
  <c r="FW35" i="1" s="1"/>
  <c r="FL35" i="1"/>
  <c r="FM35" i="1" s="1"/>
  <c r="FC35" i="1"/>
  <c r="FD35" i="1" s="1"/>
  <c r="ET35" i="1"/>
  <c r="EV35" i="1" s="1"/>
  <c r="EK35" i="1"/>
  <c r="EL35" i="1" s="1"/>
  <c r="EB35" i="1"/>
  <c r="DS35" i="1"/>
  <c r="DJ35" i="1"/>
  <c r="DL35" i="1" s="1"/>
  <c r="DA35" i="1"/>
  <c r="F35" i="1"/>
  <c r="E35" i="1"/>
  <c r="D35" i="1"/>
  <c r="GQ34" i="1"/>
  <c r="GM34" i="1"/>
  <c r="GO34" i="1" s="1"/>
  <c r="GD34" i="1"/>
  <c r="FU34" i="1"/>
  <c r="FW34" i="1" s="1"/>
  <c r="FL34" i="1"/>
  <c r="FN34" i="1" s="1"/>
  <c r="FC34" i="1"/>
  <c r="ET34" i="1"/>
  <c r="EV34" i="1" s="1"/>
  <c r="EK34" i="1"/>
  <c r="EM34" i="1" s="1"/>
  <c r="EB34" i="1"/>
  <c r="DS34" i="1"/>
  <c r="DJ34" i="1"/>
  <c r="DL34" i="1" s="1"/>
  <c r="DA34" i="1"/>
  <c r="DC34" i="1" s="1"/>
  <c r="F34" i="1"/>
  <c r="E34" i="1"/>
  <c r="D34" i="1"/>
  <c r="GQ33" i="1"/>
  <c r="GM33" i="1"/>
  <c r="GD33" i="1"/>
  <c r="GF33" i="1" s="1"/>
  <c r="FU33" i="1"/>
  <c r="FL33" i="1"/>
  <c r="FN33" i="1" s="1"/>
  <c r="FC33" i="1"/>
  <c r="FE33" i="1" s="1"/>
  <c r="ET33" i="1"/>
  <c r="EV33" i="1" s="1"/>
  <c r="EK33" i="1"/>
  <c r="EL33" i="1" s="1"/>
  <c r="EB33" i="1"/>
  <c r="ED33" i="1" s="1"/>
  <c r="DS33" i="1"/>
  <c r="DJ33" i="1"/>
  <c r="DL33" i="1" s="1"/>
  <c r="DA33" i="1"/>
  <c r="DC33" i="1" s="1"/>
  <c r="F33" i="1"/>
  <c r="E33" i="1"/>
  <c r="D33" i="1"/>
  <c r="GQ32" i="1"/>
  <c r="GM32" i="1"/>
  <c r="GN32" i="1" s="1"/>
  <c r="GD32" i="1"/>
  <c r="GF32" i="1" s="1"/>
  <c r="FU32" i="1"/>
  <c r="FL32" i="1"/>
  <c r="FM32" i="1" s="1"/>
  <c r="FC32" i="1"/>
  <c r="FE32" i="1" s="1"/>
  <c r="ET32" i="1"/>
  <c r="EV32" i="1" s="1"/>
  <c r="EK32" i="1"/>
  <c r="EB32" i="1"/>
  <c r="ED32" i="1" s="1"/>
  <c r="DS32" i="1"/>
  <c r="DT32" i="1" s="1"/>
  <c r="DJ32" i="1"/>
  <c r="DA32" i="1"/>
  <c r="DC32" i="1" s="1"/>
  <c r="F32" i="1"/>
  <c r="E32" i="1"/>
  <c r="D32" i="1"/>
  <c r="GQ31" i="1"/>
  <c r="GM31" i="1"/>
  <c r="GD31" i="1"/>
  <c r="GF31" i="1" s="1"/>
  <c r="FU31" i="1"/>
  <c r="FV31" i="1" s="1"/>
  <c r="FL31" i="1"/>
  <c r="FC31" i="1"/>
  <c r="ET31" i="1"/>
  <c r="EU31" i="1" s="1"/>
  <c r="EK31" i="1"/>
  <c r="EB31" i="1"/>
  <c r="DS31" i="1"/>
  <c r="DT31" i="1" s="1"/>
  <c r="DJ31" i="1"/>
  <c r="DA31" i="1"/>
  <c r="DC31" i="1" s="1"/>
  <c r="F31" i="1"/>
  <c r="E31" i="1"/>
  <c r="D31" i="1"/>
  <c r="GQ30" i="1"/>
  <c r="GM30" i="1"/>
  <c r="GD30" i="1"/>
  <c r="FU30" i="1"/>
  <c r="FW30" i="1" s="1"/>
  <c r="FL30" i="1"/>
  <c r="FM30" i="1" s="1"/>
  <c r="FC30" i="1"/>
  <c r="FD30" i="1" s="1"/>
  <c r="ET30" i="1"/>
  <c r="EK30" i="1"/>
  <c r="EL30" i="1" s="1"/>
  <c r="EB30" i="1"/>
  <c r="DS30" i="1"/>
  <c r="DT30" i="1" s="1"/>
  <c r="DJ30" i="1"/>
  <c r="DA30" i="1"/>
  <c r="DB30" i="1" s="1"/>
  <c r="F30" i="1"/>
  <c r="E30" i="1"/>
  <c r="D30" i="1"/>
  <c r="GQ29" i="1"/>
  <c r="GM29" i="1"/>
  <c r="GD29" i="1"/>
  <c r="FU29" i="1"/>
  <c r="FV29" i="1" s="1"/>
  <c r="FL29" i="1"/>
  <c r="FC29" i="1"/>
  <c r="FE29" i="1" s="1"/>
  <c r="ET29" i="1"/>
  <c r="EK29" i="1"/>
  <c r="EL29" i="1" s="1"/>
  <c r="EB29" i="1"/>
  <c r="ED29" i="1" s="1"/>
  <c r="DS29" i="1"/>
  <c r="DJ29" i="1"/>
  <c r="DA29" i="1"/>
  <c r="F29" i="1"/>
  <c r="E29" i="1"/>
  <c r="D29" i="1"/>
  <c r="GQ28" i="1"/>
  <c r="GM28" i="1"/>
  <c r="GO28" i="1" s="1"/>
  <c r="GD28" i="1"/>
  <c r="FU28" i="1"/>
  <c r="FW28" i="1" s="1"/>
  <c r="FL28" i="1"/>
  <c r="FC28" i="1"/>
  <c r="FE28" i="1" s="1"/>
  <c r="ET28" i="1"/>
  <c r="EK28" i="1"/>
  <c r="EB28" i="1"/>
  <c r="DS28" i="1"/>
  <c r="DJ28" i="1"/>
  <c r="DK28" i="1" s="1"/>
  <c r="DA28" i="1"/>
  <c r="F28" i="1"/>
  <c r="E28" i="1"/>
  <c r="D28" i="1"/>
  <c r="GQ27" i="1"/>
  <c r="GM27" i="1"/>
  <c r="GD27" i="1"/>
  <c r="GE27" i="1" s="1"/>
  <c r="FU27" i="1"/>
  <c r="FW27" i="1" s="1"/>
  <c r="FL27" i="1"/>
  <c r="FC27" i="1"/>
  <c r="ET27" i="1"/>
  <c r="EU27" i="1" s="1"/>
  <c r="EK27" i="1"/>
  <c r="EM27" i="1" s="1"/>
  <c r="EB27" i="1"/>
  <c r="ED27" i="1" s="1"/>
  <c r="DS27" i="1"/>
  <c r="DU27" i="1" s="1"/>
  <c r="DJ27" i="1"/>
  <c r="DL27" i="1" s="1"/>
  <c r="DA27" i="1"/>
  <c r="F27" i="1"/>
  <c r="E27" i="1"/>
  <c r="D27" i="1"/>
  <c r="GQ26" i="1"/>
  <c r="GM26" i="1"/>
  <c r="GD26" i="1"/>
  <c r="GE26" i="1" s="1"/>
  <c r="FU26" i="1"/>
  <c r="FV26" i="1" s="1"/>
  <c r="FL26" i="1"/>
  <c r="FN26" i="1" s="1"/>
  <c r="FC26" i="1"/>
  <c r="ET26" i="1"/>
  <c r="EU26" i="1" s="1"/>
  <c r="EK26" i="1"/>
  <c r="EM26" i="1" s="1"/>
  <c r="EB26" i="1"/>
  <c r="ED26" i="1" s="1"/>
  <c r="DS26" i="1"/>
  <c r="DU26" i="1" s="1"/>
  <c r="DJ26" i="1"/>
  <c r="DL26" i="1" s="1"/>
  <c r="DA26" i="1"/>
  <c r="DB26" i="1" s="1"/>
  <c r="F26" i="1"/>
  <c r="E26" i="1"/>
  <c r="D26" i="1"/>
  <c r="GQ25" i="1"/>
  <c r="GM25" i="1"/>
  <c r="GD25" i="1"/>
  <c r="GE25" i="1" s="1"/>
  <c r="FU25" i="1"/>
  <c r="FL25" i="1"/>
  <c r="FN25" i="1" s="1"/>
  <c r="FC25" i="1"/>
  <c r="ET25" i="1"/>
  <c r="EK25" i="1"/>
  <c r="EM25" i="1" s="1"/>
  <c r="EB25" i="1"/>
  <c r="ED25" i="1" s="1"/>
  <c r="DS25" i="1"/>
  <c r="DT25" i="1" s="1"/>
  <c r="DJ25" i="1"/>
  <c r="DK25" i="1" s="1"/>
  <c r="DA25" i="1"/>
  <c r="DB25" i="1" s="1"/>
  <c r="F25" i="1"/>
  <c r="E25" i="1"/>
  <c r="D25" i="1"/>
  <c r="GQ24" i="1"/>
  <c r="GM24" i="1"/>
  <c r="GD24" i="1"/>
  <c r="GF24" i="1" s="1"/>
  <c r="FU24" i="1"/>
  <c r="FV24" i="1" s="1"/>
  <c r="FL24" i="1"/>
  <c r="FC24" i="1"/>
  <c r="ET24" i="1"/>
  <c r="EV24" i="1" s="1"/>
  <c r="EK24" i="1"/>
  <c r="EM24" i="1" s="1"/>
  <c r="EB24" i="1"/>
  <c r="EC24" i="1" s="1"/>
  <c r="DS24" i="1"/>
  <c r="DT24" i="1" s="1"/>
  <c r="DJ24" i="1"/>
  <c r="DA24" i="1"/>
  <c r="DC24" i="1" s="1"/>
  <c r="F24" i="1"/>
  <c r="E24" i="1"/>
  <c r="D24" i="1"/>
  <c r="GQ23" i="1"/>
  <c r="GM23" i="1"/>
  <c r="GN23" i="1" s="1"/>
  <c r="GD23" i="1"/>
  <c r="FU23" i="1"/>
  <c r="FW23" i="1" s="1"/>
  <c r="FL23" i="1"/>
  <c r="FN23" i="1" s="1"/>
  <c r="FC23" i="1"/>
  <c r="FE23" i="1" s="1"/>
  <c r="ET23" i="1"/>
  <c r="EK23" i="1"/>
  <c r="EB23" i="1"/>
  <c r="DS23" i="1"/>
  <c r="DT23" i="1" s="1"/>
  <c r="DJ23" i="1"/>
  <c r="DA23" i="1"/>
  <c r="F23" i="1"/>
  <c r="E23" i="1"/>
  <c r="D23" i="1"/>
  <c r="GQ22" i="1"/>
  <c r="GM22" i="1"/>
  <c r="GN22" i="1" s="1"/>
  <c r="GD22" i="1"/>
  <c r="GE22" i="1" s="1"/>
  <c r="FU22" i="1"/>
  <c r="FW22" i="1" s="1"/>
  <c r="FL22" i="1"/>
  <c r="FN22" i="1" s="1"/>
  <c r="FC22" i="1"/>
  <c r="FD22" i="1" s="1"/>
  <c r="ET22" i="1"/>
  <c r="EK22" i="1"/>
  <c r="EL22" i="1" s="1"/>
  <c r="EB22" i="1"/>
  <c r="EC22" i="1" s="1"/>
  <c r="DS22" i="1"/>
  <c r="DJ22" i="1"/>
  <c r="DK22" i="1" s="1"/>
  <c r="DA22" i="1"/>
  <c r="DC22" i="1" s="1"/>
  <c r="F22" i="1"/>
  <c r="E22" i="1"/>
  <c r="D22" i="1"/>
  <c r="GQ21" i="1"/>
  <c r="GM21" i="1"/>
  <c r="GD21" i="1"/>
  <c r="GE21" i="1" s="1"/>
  <c r="FU21" i="1"/>
  <c r="FV21" i="1" s="1"/>
  <c r="FL21" i="1"/>
  <c r="FM21" i="1" s="1"/>
  <c r="FC21" i="1"/>
  <c r="ET21" i="1"/>
  <c r="EV21" i="1" s="1"/>
  <c r="EK21" i="1"/>
  <c r="EL21" i="1" s="1"/>
  <c r="EB21" i="1"/>
  <c r="ED21" i="1" s="1"/>
  <c r="DS21" i="1"/>
  <c r="DT21" i="1" s="1"/>
  <c r="DJ21" i="1"/>
  <c r="DL21" i="1" s="1"/>
  <c r="DA21" i="1"/>
  <c r="F21" i="1"/>
  <c r="E21" i="1"/>
  <c r="D21" i="1"/>
  <c r="GQ20" i="1"/>
  <c r="GM20" i="1"/>
  <c r="GD20" i="1"/>
  <c r="GE20" i="1" s="1"/>
  <c r="FU20" i="1"/>
  <c r="FW20" i="1" s="1"/>
  <c r="FL20" i="1"/>
  <c r="FM20" i="1" s="1"/>
  <c r="FC20" i="1"/>
  <c r="ET20" i="1"/>
  <c r="EV20" i="1" s="1"/>
  <c r="EK20" i="1"/>
  <c r="EB20" i="1"/>
  <c r="EC20" i="1" s="1"/>
  <c r="DS20" i="1"/>
  <c r="DT20" i="1" s="1"/>
  <c r="DJ20" i="1"/>
  <c r="DA20" i="1"/>
  <c r="DC20" i="1" s="1"/>
  <c r="F20" i="1"/>
  <c r="E20" i="1"/>
  <c r="D20" i="1"/>
  <c r="GQ19" i="1"/>
  <c r="GM19" i="1"/>
  <c r="GN19" i="1" s="1"/>
  <c r="GD19" i="1"/>
  <c r="GF19" i="1" s="1"/>
  <c r="FU19" i="1"/>
  <c r="FW19" i="1" s="1"/>
  <c r="FL19" i="1"/>
  <c r="FN19" i="1" s="1"/>
  <c r="FC19" i="1"/>
  <c r="FD19" i="1" s="1"/>
  <c r="ET19" i="1"/>
  <c r="EU19" i="1" s="1"/>
  <c r="EK19" i="1"/>
  <c r="EM19" i="1" s="1"/>
  <c r="EB19" i="1"/>
  <c r="EC19" i="1" s="1"/>
  <c r="DS19" i="1"/>
  <c r="DT19" i="1" s="1"/>
  <c r="DJ19" i="1"/>
  <c r="DL19" i="1" s="1"/>
  <c r="DA19" i="1"/>
  <c r="DC19" i="1" s="1"/>
  <c r="F19" i="1"/>
  <c r="E19" i="1"/>
  <c r="D19" i="1"/>
  <c r="GQ18" i="1"/>
  <c r="GM18" i="1"/>
  <c r="GO18" i="1" s="1"/>
  <c r="GD18" i="1"/>
  <c r="GF18" i="1" s="1"/>
  <c r="FU18" i="1"/>
  <c r="FL18" i="1"/>
  <c r="FN18" i="1" s="1"/>
  <c r="FC18" i="1"/>
  <c r="FD18" i="1" s="1"/>
  <c r="ET18" i="1"/>
  <c r="EV18" i="1" s="1"/>
  <c r="EK18" i="1"/>
  <c r="EM18" i="1" s="1"/>
  <c r="EB18" i="1"/>
  <c r="DS18" i="1"/>
  <c r="DT18" i="1" s="1"/>
  <c r="DJ18" i="1"/>
  <c r="DL18" i="1" s="1"/>
  <c r="DA18" i="1"/>
  <c r="DC18" i="1" s="1"/>
  <c r="F18" i="1"/>
  <c r="E18" i="1"/>
  <c r="D18" i="1"/>
  <c r="GQ17" i="1"/>
  <c r="GM17" i="1"/>
  <c r="GO17" i="1" s="1"/>
  <c r="GD17" i="1"/>
  <c r="GE17" i="1" s="1"/>
  <c r="FU17" i="1"/>
  <c r="FW17" i="1" s="1"/>
  <c r="FL17" i="1"/>
  <c r="FM17" i="1" s="1"/>
  <c r="FC17" i="1"/>
  <c r="FD17" i="1" s="1"/>
  <c r="ET17" i="1"/>
  <c r="EV17" i="1" s="1"/>
  <c r="EK17" i="1"/>
  <c r="EM17" i="1" s="1"/>
  <c r="EB17" i="1"/>
  <c r="DS17" i="1"/>
  <c r="DT17" i="1" s="1"/>
  <c r="DJ17" i="1"/>
  <c r="DA17" i="1"/>
  <c r="DB17" i="1" s="1"/>
  <c r="F17" i="1"/>
  <c r="E17" i="1"/>
  <c r="D17" i="1"/>
  <c r="GQ16" i="1"/>
  <c r="GM16" i="1"/>
  <c r="GD16" i="1"/>
  <c r="FU16" i="1"/>
  <c r="FW16" i="1" s="1"/>
  <c r="FL16" i="1"/>
  <c r="FM16" i="1" s="1"/>
  <c r="FC16" i="1"/>
  <c r="FE16" i="1" s="1"/>
  <c r="ET16" i="1"/>
  <c r="EU16" i="1" s="1"/>
  <c r="EK16" i="1"/>
  <c r="EB16" i="1"/>
  <c r="ED16" i="1" s="1"/>
  <c r="DS16" i="1"/>
  <c r="DT16" i="1" s="1"/>
  <c r="DJ16" i="1"/>
  <c r="DL16" i="1" s="1"/>
  <c r="DA16" i="1"/>
  <c r="DB16" i="1" s="1"/>
  <c r="F16" i="1"/>
  <c r="E16" i="1"/>
  <c r="D16" i="1"/>
  <c r="GQ15" i="1"/>
  <c r="GM15" i="1"/>
  <c r="GO15" i="1" s="1"/>
  <c r="GD15" i="1"/>
  <c r="GE15" i="1" s="1"/>
  <c r="FU15" i="1"/>
  <c r="FW15" i="1" s="1"/>
  <c r="FL15" i="1"/>
  <c r="FN15" i="1" s="1"/>
  <c r="FC15" i="1"/>
  <c r="ET15" i="1"/>
  <c r="EV15" i="1" s="1"/>
  <c r="EK15" i="1"/>
  <c r="EM15" i="1" s="1"/>
  <c r="EB15" i="1"/>
  <c r="ED15" i="1" s="1"/>
  <c r="DS15" i="1"/>
  <c r="DU15" i="1" s="1"/>
  <c r="DJ15" i="1"/>
  <c r="DL15" i="1" s="1"/>
  <c r="DA15" i="1"/>
  <c r="DB15" i="1" s="1"/>
  <c r="F15" i="1"/>
  <c r="E15" i="1"/>
  <c r="D15" i="1"/>
  <c r="GQ14" i="1"/>
  <c r="GM14" i="1"/>
  <c r="GD14" i="1"/>
  <c r="GF14" i="1" s="1"/>
  <c r="FU14" i="1"/>
  <c r="FV14" i="1" s="1"/>
  <c r="FL14" i="1"/>
  <c r="FM14" i="1" s="1"/>
  <c r="FC14" i="1"/>
  <c r="FD14" i="1" s="1"/>
  <c r="ET14" i="1"/>
  <c r="EU14" i="1" s="1"/>
  <c r="EK14" i="1"/>
  <c r="EL14" i="1" s="1"/>
  <c r="EB14" i="1"/>
  <c r="EC14" i="1" s="1"/>
  <c r="DS14" i="1"/>
  <c r="DT14" i="1" s="1"/>
  <c r="DJ14" i="1"/>
  <c r="DA14" i="1"/>
  <c r="DB14" i="1" s="1"/>
  <c r="F14" i="1"/>
  <c r="E14" i="1"/>
  <c r="D14" i="1"/>
  <c r="GQ13" i="1"/>
  <c r="GM13" i="1"/>
  <c r="GD13" i="1"/>
  <c r="GF13" i="1" s="1"/>
  <c r="FU13" i="1"/>
  <c r="FW13" i="1" s="1"/>
  <c r="FL13" i="1"/>
  <c r="FN13" i="1" s="1"/>
  <c r="FC13" i="1"/>
  <c r="FD13" i="1" s="1"/>
  <c r="ET13" i="1"/>
  <c r="EV13" i="1" s="1"/>
  <c r="EK13" i="1"/>
  <c r="EM13" i="1" s="1"/>
  <c r="EB13" i="1"/>
  <c r="ED13" i="1" s="1"/>
  <c r="DS13" i="1"/>
  <c r="DT13" i="1" s="1"/>
  <c r="DJ13" i="1"/>
  <c r="DK13" i="1" s="1"/>
  <c r="DA13" i="1"/>
  <c r="DB13" i="1" s="1"/>
  <c r="F13" i="1"/>
  <c r="E13" i="1"/>
  <c r="D13" i="1"/>
  <c r="GQ12" i="1"/>
  <c r="GM12" i="1"/>
  <c r="GN12" i="1" s="1"/>
  <c r="GD12" i="1"/>
  <c r="GF12" i="1" s="1"/>
  <c r="FU12" i="1"/>
  <c r="FV12" i="1" s="1"/>
  <c r="FL12" i="1"/>
  <c r="FN12" i="1" s="1"/>
  <c r="FC12" i="1"/>
  <c r="FE12" i="1" s="1"/>
  <c r="ET12" i="1"/>
  <c r="EV12" i="1" s="1"/>
  <c r="EK12" i="1"/>
  <c r="EL12" i="1" s="1"/>
  <c r="EB12" i="1"/>
  <c r="ED12" i="1" s="1"/>
  <c r="DS12" i="1"/>
  <c r="DT12" i="1" s="1"/>
  <c r="DJ12" i="1"/>
  <c r="DA12" i="1"/>
  <c r="DC12" i="1" s="1"/>
  <c r="F12" i="1"/>
  <c r="E12" i="1"/>
  <c r="D12" i="1"/>
  <c r="GQ11" i="1"/>
  <c r="GM11" i="1"/>
  <c r="GD11" i="1"/>
  <c r="GE11" i="1" s="1"/>
  <c r="FU11" i="1"/>
  <c r="FV11" i="1" s="1"/>
  <c r="FL11" i="1"/>
  <c r="FN11" i="1" s="1"/>
  <c r="FC11" i="1"/>
  <c r="ET11" i="1"/>
  <c r="EV11" i="1" s="1"/>
  <c r="EK11" i="1"/>
  <c r="EB11" i="1"/>
  <c r="ED11" i="1" s="1"/>
  <c r="DS11" i="1"/>
  <c r="DU11" i="1" s="1"/>
  <c r="DJ11" i="1"/>
  <c r="DL11" i="1" s="1"/>
  <c r="DA11" i="1"/>
  <c r="DC11" i="1" s="1"/>
  <c r="F11" i="1"/>
  <c r="E11" i="1"/>
  <c r="D11" i="1"/>
  <c r="GQ10" i="1"/>
  <c r="GM10" i="1"/>
  <c r="GO10" i="1" s="1"/>
  <c r="GD10" i="1"/>
  <c r="GF10" i="1" s="1"/>
  <c r="FU10" i="1"/>
  <c r="FW10" i="1" s="1"/>
  <c r="FL10" i="1"/>
  <c r="FN10" i="1" s="1"/>
  <c r="FC10" i="1"/>
  <c r="ET10" i="1"/>
  <c r="EU10" i="1" s="1"/>
  <c r="EK10" i="1"/>
  <c r="EM10" i="1" s="1"/>
  <c r="EB10" i="1"/>
  <c r="DS10" i="1"/>
  <c r="DJ10" i="1"/>
  <c r="DL10" i="1" s="1"/>
  <c r="DA10" i="1"/>
  <c r="DC10" i="1" s="1"/>
  <c r="F10" i="1"/>
  <c r="E10" i="1"/>
  <c r="D10" i="1"/>
  <c r="GQ9" i="1"/>
  <c r="GM9" i="1"/>
  <c r="GN9" i="1" s="1"/>
  <c r="GD9" i="1"/>
  <c r="GE9" i="1" s="1"/>
  <c r="FU9" i="1"/>
  <c r="FW9" i="1" s="1"/>
  <c r="FL9" i="1"/>
  <c r="FN9" i="1" s="1"/>
  <c r="FC9" i="1"/>
  <c r="ET9" i="1"/>
  <c r="EV9" i="1" s="1"/>
  <c r="EK9" i="1"/>
  <c r="EL9" i="1" s="1"/>
  <c r="EB9" i="1"/>
  <c r="ED9" i="1" s="1"/>
  <c r="DS9" i="1"/>
  <c r="DU9" i="1" s="1"/>
  <c r="DJ9" i="1"/>
  <c r="DK9" i="1" s="1"/>
  <c r="DA9" i="1"/>
  <c r="DB9" i="1" s="1"/>
  <c r="F9" i="1"/>
  <c r="E9" i="1"/>
  <c r="D9" i="1"/>
  <c r="GQ8" i="1"/>
  <c r="GM8" i="1"/>
  <c r="GN8" i="1" s="1"/>
  <c r="GD8" i="1"/>
  <c r="GF8" i="1" s="1"/>
  <c r="FU8" i="1"/>
  <c r="FV8" i="1" s="1"/>
  <c r="FL8" i="1"/>
  <c r="FN8" i="1" s="1"/>
  <c r="FC8" i="1"/>
  <c r="FE8" i="1" s="1"/>
  <c r="ET8" i="1"/>
  <c r="EU8" i="1" s="1"/>
  <c r="EK8" i="1"/>
  <c r="EM8" i="1" s="1"/>
  <c r="EB8" i="1"/>
  <c r="ED8" i="1" s="1"/>
  <c r="DS8" i="1"/>
  <c r="DJ8" i="1"/>
  <c r="DL8" i="1" s="1"/>
  <c r="DA8" i="1"/>
  <c r="DB8" i="1" s="1"/>
  <c r="F8" i="1"/>
  <c r="E8" i="1"/>
  <c r="D8" i="1"/>
  <c r="GQ7" i="1"/>
  <c r="GM7" i="1"/>
  <c r="GD7" i="1"/>
  <c r="GE7" i="1" s="1"/>
  <c r="FU7" i="1"/>
  <c r="FV7" i="1" s="1"/>
  <c r="FL7" i="1"/>
  <c r="FN7" i="1" s="1"/>
  <c r="FC7" i="1"/>
  <c r="FD7" i="1" s="1"/>
  <c r="ET7" i="1"/>
  <c r="EV7" i="1" s="1"/>
  <c r="EK7" i="1"/>
  <c r="EL7" i="1" s="1"/>
  <c r="EB7" i="1"/>
  <c r="ED7" i="1" s="1"/>
  <c r="DS7" i="1"/>
  <c r="DJ7" i="1"/>
  <c r="DL7" i="1" s="1"/>
  <c r="DA7" i="1"/>
  <c r="DB7" i="1" s="1"/>
  <c r="F7" i="1"/>
  <c r="E7" i="1"/>
  <c r="D7" i="1"/>
  <c r="GQ6" i="1"/>
  <c r="GM6" i="1"/>
  <c r="GN6" i="1" s="1"/>
  <c r="GD6" i="1"/>
  <c r="GF6" i="1" s="1"/>
  <c r="FU6" i="1"/>
  <c r="FW6" i="1" s="1"/>
  <c r="FL6" i="1"/>
  <c r="FN6" i="1" s="1"/>
  <c r="FC6" i="1"/>
  <c r="FE6" i="1" s="1"/>
  <c r="ET6" i="1"/>
  <c r="EV6" i="1" s="1"/>
  <c r="EK6" i="1"/>
  <c r="EM6" i="1" s="1"/>
  <c r="EB6" i="1"/>
  <c r="ED6" i="1" s="1"/>
  <c r="DS6" i="1"/>
  <c r="DJ6" i="1"/>
  <c r="DL6" i="1" s="1"/>
  <c r="DA6" i="1"/>
  <c r="DB6" i="1" s="1"/>
  <c r="F6" i="1"/>
  <c r="E6" i="1"/>
  <c r="D6" i="1"/>
  <c r="GJ2" i="1"/>
  <c r="GI2" i="1"/>
  <c r="GA2" i="1"/>
  <c r="FZ2" i="1"/>
  <c r="FR2" i="1"/>
  <c r="FQ2" i="1"/>
  <c r="FI2" i="1"/>
  <c r="FH2" i="1"/>
  <c r="EZ2" i="1"/>
  <c r="EY2" i="1"/>
  <c r="EQ2" i="1"/>
  <c r="EP2" i="1"/>
  <c r="EH2" i="1"/>
  <c r="EG2" i="1"/>
  <c r="DY2" i="1"/>
  <c r="DX2" i="1"/>
  <c r="DP2" i="1"/>
  <c r="DO2" i="1"/>
  <c r="DG2" i="1"/>
  <c r="DF2" i="1"/>
  <c r="CX2" i="1"/>
  <c r="CW2" i="1"/>
  <c r="CR2" i="1"/>
  <c r="CQ2" i="1"/>
  <c r="CL2" i="1"/>
  <c r="CK2" i="1"/>
  <c r="CF2" i="1"/>
  <c r="CE2" i="1"/>
  <c r="BZ2" i="1"/>
  <c r="BY2" i="1"/>
  <c r="BT2" i="1"/>
  <c r="BS2" i="1"/>
  <c r="BN2" i="1"/>
  <c r="BM2" i="1"/>
  <c r="BH2" i="1"/>
  <c r="BG2" i="1"/>
  <c r="BB2" i="1"/>
  <c r="BA2" i="1"/>
  <c r="AV2" i="1"/>
  <c r="AU2" i="1"/>
  <c r="AP2" i="1"/>
  <c r="AO2" i="1"/>
  <c r="AJ2" i="1"/>
  <c r="AI2" i="1"/>
  <c r="AD2" i="1"/>
  <c r="AC2" i="1"/>
  <c r="X2" i="1"/>
  <c r="W2" i="1"/>
  <c r="R2" i="1"/>
  <c r="Q2" i="1"/>
  <c r="K2" i="1"/>
  <c r="J2" i="1"/>
  <c r="EM74" i="1" l="1"/>
  <c r="EL120" i="1"/>
  <c r="EM69" i="1"/>
  <c r="DT117" i="1"/>
  <c r="DB33" i="1"/>
  <c r="DT113" i="1"/>
  <c r="FW71" i="1"/>
  <c r="FW121" i="1"/>
  <c r="DB95" i="1"/>
  <c r="EC98" i="1"/>
  <c r="EU81" i="1"/>
  <c r="EC56" i="1"/>
  <c r="GF81" i="1"/>
  <c r="FD110" i="1"/>
  <c r="EM85" i="1"/>
  <c r="FN84" i="1"/>
  <c r="FW84" i="1"/>
  <c r="DL53" i="1"/>
  <c r="EV157" i="1"/>
  <c r="FN112" i="1"/>
  <c r="FN53" i="1"/>
  <c r="GF151" i="1"/>
  <c r="FE111" i="1"/>
  <c r="DT114" i="1"/>
  <c r="DK35" i="1"/>
  <c r="GN53" i="1"/>
  <c r="GF128" i="1"/>
  <c r="GN139" i="1"/>
  <c r="EU140" i="1"/>
  <c r="DC46" i="1"/>
  <c r="DC83" i="1"/>
  <c r="FD84" i="1"/>
  <c r="FN41" i="1"/>
  <c r="DK65" i="1"/>
  <c r="FW111" i="1"/>
  <c r="DU120" i="1"/>
  <c r="DC137" i="1"/>
  <c r="DU31" i="1"/>
  <c r="GE122" i="1"/>
  <c r="ED126" i="1"/>
  <c r="FE134" i="1"/>
  <c r="DT138" i="1"/>
  <c r="DU87" i="1"/>
  <c r="FV55" i="1"/>
  <c r="FW130" i="1"/>
  <c r="ED129" i="1"/>
  <c r="DL137" i="1"/>
  <c r="FV93" i="1"/>
  <c r="EL116" i="1"/>
  <c r="FV128" i="1"/>
  <c r="EM22" i="1"/>
  <c r="FV19" i="1"/>
  <c r="FW26" i="1"/>
  <c r="EV47" i="1"/>
  <c r="FM123" i="1"/>
  <c r="FV18" i="1"/>
  <c r="FW18" i="1"/>
  <c r="GO65" i="1"/>
  <c r="GN65" i="1"/>
  <c r="EM73" i="1"/>
  <c r="EL73" i="1"/>
  <c r="FE81" i="1"/>
  <c r="DU94" i="1"/>
  <c r="FV140" i="1"/>
  <c r="FW140" i="1"/>
  <c r="FE30" i="1"/>
  <c r="FW31" i="1"/>
  <c r="DL82" i="1"/>
  <c r="DK82" i="1"/>
  <c r="GF27" i="1"/>
  <c r="FW46" i="1"/>
  <c r="FV46" i="1"/>
  <c r="DU121" i="1"/>
  <c r="GE123" i="1"/>
  <c r="FD137" i="1"/>
  <c r="FE137" i="1"/>
  <c r="DK154" i="1"/>
  <c r="FW63" i="1"/>
  <c r="GO96" i="1"/>
  <c r="EM80" i="1"/>
  <c r="DT145" i="1"/>
  <c r="EL58" i="1"/>
  <c r="ED71" i="1"/>
  <c r="EL133" i="1"/>
  <c r="ED10" i="1"/>
  <c r="EC10" i="1"/>
  <c r="GN67" i="1"/>
  <c r="DK68" i="1"/>
  <c r="DB81" i="1"/>
  <c r="DC81" i="1"/>
  <c r="DK110" i="1"/>
  <c r="FN155" i="1"/>
  <c r="FM155" i="1"/>
  <c r="EM163" i="1"/>
  <c r="FN88" i="1"/>
  <c r="FD45" i="1"/>
  <c r="FE45" i="1"/>
  <c r="EV130" i="1"/>
  <c r="GN131" i="1"/>
  <c r="DK84" i="1"/>
  <c r="FV86" i="1"/>
  <c r="FW86" i="1"/>
  <c r="GO112" i="1"/>
  <c r="FV116" i="1"/>
  <c r="DC160" i="1"/>
  <c r="FD74" i="1"/>
  <c r="FE74" i="1"/>
  <c r="FM113" i="1"/>
  <c r="FN113" i="1"/>
  <c r="FV150" i="1"/>
  <c r="FW150" i="1"/>
  <c r="DU83" i="1"/>
  <c r="DB32" i="1"/>
  <c r="DU40" i="1"/>
  <c r="DT40" i="1"/>
  <c r="DU111" i="1"/>
  <c r="FM120" i="1"/>
  <c r="EC155" i="1"/>
  <c r="ED157" i="1"/>
  <c r="EC157" i="1"/>
  <c r="DL31" i="1"/>
  <c r="DK31" i="1"/>
  <c r="GE19" i="1"/>
  <c r="EL132" i="1"/>
  <c r="EM132" i="1"/>
  <c r="DK23" i="1"/>
  <c r="DL23" i="1"/>
  <c r="GN45" i="1"/>
  <c r="GO45" i="1"/>
  <c r="FW47" i="1"/>
  <c r="GO84" i="1"/>
  <c r="DK114" i="1"/>
  <c r="DL114" i="1"/>
  <c r="EL140" i="1"/>
  <c r="FW152" i="1"/>
  <c r="DL156" i="1"/>
  <c r="DT44" i="1"/>
  <c r="DC51" i="1"/>
  <c r="EL57" i="1"/>
  <c r="EC85" i="1"/>
  <c r="DC106" i="1"/>
  <c r="DB108" i="1"/>
  <c r="GF130" i="1"/>
  <c r="GF133" i="1"/>
  <c r="EV154" i="1"/>
  <c r="FW137" i="1"/>
  <c r="DK14" i="1"/>
  <c r="DL14" i="1"/>
  <c r="DC57" i="1"/>
  <c r="DL131" i="1"/>
  <c r="DK132" i="1"/>
  <c r="GN73" i="1"/>
  <c r="EL17" i="1"/>
  <c r="EV19" i="1"/>
  <c r="EC33" i="1"/>
  <c r="FV105" i="1"/>
  <c r="FW105" i="1"/>
  <c r="FW113" i="1"/>
  <c r="FV113" i="1"/>
  <c r="GO140" i="1"/>
  <c r="DB155" i="1"/>
  <c r="EC48" i="1"/>
  <c r="DT101" i="1"/>
  <c r="FV153" i="1"/>
  <c r="FW153" i="1"/>
  <c r="EL157" i="1"/>
  <c r="EM157" i="1"/>
  <c r="FD62" i="1"/>
  <c r="GE64" i="1"/>
  <c r="GF64" i="1"/>
  <c r="GE82" i="1"/>
  <c r="EV84" i="1"/>
  <c r="FV108" i="1"/>
  <c r="FV127" i="1"/>
  <c r="EM41" i="1"/>
  <c r="ED84" i="1"/>
  <c r="EC84" i="1"/>
  <c r="FE85" i="1"/>
  <c r="FD85" i="1"/>
  <c r="DL67" i="1"/>
  <c r="DK67" i="1"/>
  <c r="FN80" i="1"/>
  <c r="FM80" i="1"/>
  <c r="DT141" i="1"/>
  <c r="DU156" i="1"/>
  <c r="DT156" i="1"/>
  <c r="DC26" i="1"/>
  <c r="DC63" i="1"/>
  <c r="DB63" i="1"/>
  <c r="DC92" i="1"/>
  <c r="EC92" i="1"/>
  <c r="ED92" i="1"/>
  <c r="FV97" i="1"/>
  <c r="FW97" i="1"/>
  <c r="FD120" i="1"/>
  <c r="FE120" i="1"/>
  <c r="FD131" i="1"/>
  <c r="FE131" i="1"/>
  <c r="EV132" i="1"/>
  <c r="EU132" i="1"/>
  <c r="FV36" i="1"/>
  <c r="DK74" i="1"/>
  <c r="DL74" i="1"/>
  <c r="EU83" i="1"/>
  <c r="GE84" i="1"/>
  <c r="DC88" i="1"/>
  <c r="FN111" i="1"/>
  <c r="FM111" i="1"/>
  <c r="DL141" i="1"/>
  <c r="DU157" i="1"/>
  <c r="DT157" i="1"/>
  <c r="DC67" i="1"/>
  <c r="DB67" i="1"/>
  <c r="EL102" i="1"/>
  <c r="EM102" i="1"/>
  <c r="FV112" i="1"/>
  <c r="FW112" i="1"/>
  <c r="GO145" i="1"/>
  <c r="GN145" i="1"/>
  <c r="FD153" i="1"/>
  <c r="GF71" i="1"/>
  <c r="GE71" i="1"/>
  <c r="DL83" i="1"/>
  <c r="DK83" i="1"/>
  <c r="EL139" i="1"/>
  <c r="EM139" i="1"/>
  <c r="EV27" i="1"/>
  <c r="EV58" i="1"/>
  <c r="EC65" i="1"/>
  <c r="ED65" i="1"/>
  <c r="ED114" i="1"/>
  <c r="ED123" i="1"/>
  <c r="EC123" i="1"/>
  <c r="EL129" i="1"/>
  <c r="DT137" i="1"/>
  <c r="FD141" i="1"/>
  <c r="EU150" i="1"/>
  <c r="GE32" i="1"/>
  <c r="GO40" i="1"/>
  <c r="GN40" i="1"/>
  <c r="FD46" i="1"/>
  <c r="FE47" i="1"/>
  <c r="DC62" i="1"/>
  <c r="DB62" i="1"/>
  <c r="EV67" i="1"/>
  <c r="DK18" i="1"/>
  <c r="GE33" i="1"/>
  <c r="GE53" i="1"/>
  <c r="GF53" i="1"/>
  <c r="EU78" i="1"/>
  <c r="ED108" i="1"/>
  <c r="EC108" i="1"/>
  <c r="EV114" i="1"/>
  <c r="EU114" i="1"/>
  <c r="DT116" i="1"/>
  <c r="GF156" i="1"/>
  <c r="GE156" i="1"/>
  <c r="FE13" i="1"/>
  <c r="EC34" i="1"/>
  <c r="ED34" i="1"/>
  <c r="GF66" i="1"/>
  <c r="DT53" i="1"/>
  <c r="DT130" i="1"/>
  <c r="DK134" i="1"/>
  <c r="DL134" i="1"/>
  <c r="EC13" i="1"/>
  <c r="FW62" i="1"/>
  <c r="FV62" i="1"/>
  <c r="FW11" i="1"/>
  <c r="FE58" i="1"/>
  <c r="FD58" i="1"/>
  <c r="DK17" i="1"/>
  <c r="DL17" i="1"/>
  <c r="EC51" i="1"/>
  <c r="EM55" i="1"/>
  <c r="EL55" i="1"/>
  <c r="EL81" i="1"/>
  <c r="EM81" i="1"/>
  <c r="EM122" i="1"/>
  <c r="EL122" i="1"/>
  <c r="DC132" i="1"/>
  <c r="DB132" i="1"/>
  <c r="DC151" i="1"/>
  <c r="DB151" i="1"/>
  <c r="GF157" i="1"/>
  <c r="EV137" i="1"/>
  <c r="EU137" i="1"/>
  <c r="GO66" i="1"/>
  <c r="ED73" i="1"/>
  <c r="GO82" i="1"/>
  <c r="EV85" i="1"/>
  <c r="ED91" i="1"/>
  <c r="EC82" i="1"/>
  <c r="ED82" i="1"/>
  <c r="ED112" i="1"/>
  <c r="EC112" i="1"/>
  <c r="DC117" i="1"/>
  <c r="DB117" i="1"/>
  <c r="DC41" i="1"/>
  <c r="DB41" i="1"/>
  <c r="EV66" i="1"/>
  <c r="ED153" i="1"/>
  <c r="FM156" i="1"/>
  <c r="EV82" i="1"/>
  <c r="EU82" i="1"/>
  <c r="DL158" i="1"/>
  <c r="DU154" i="1"/>
  <c r="DC157" i="1"/>
  <c r="DC78" i="1"/>
  <c r="FE101" i="1"/>
  <c r="EM103" i="1"/>
  <c r="EC104" i="1"/>
  <c r="FN105" i="1"/>
  <c r="DK111" i="1"/>
  <c r="DB140" i="1"/>
  <c r="FD150" i="1"/>
  <c r="EV153" i="1"/>
  <c r="FW157" i="1"/>
  <c r="DT90" i="1"/>
  <c r="DU90" i="1"/>
  <c r="ED111" i="1"/>
  <c r="EC111" i="1"/>
  <c r="EV22" i="1"/>
  <c r="EU22" i="1"/>
  <c r="DC133" i="1"/>
  <c r="DB133" i="1"/>
  <c r="DT58" i="1"/>
  <c r="DU58" i="1"/>
  <c r="GF85" i="1"/>
  <c r="GE85" i="1"/>
  <c r="EV112" i="1"/>
  <c r="EM11" i="1"/>
  <c r="EL11" i="1"/>
  <c r="FW32" i="1"/>
  <c r="FV32" i="1"/>
  <c r="DL87" i="1"/>
  <c r="DK87" i="1"/>
  <c r="DK73" i="1"/>
  <c r="FD80" i="1"/>
  <c r="FE80" i="1"/>
  <c r="EL65" i="1"/>
  <c r="GO120" i="1"/>
  <c r="GN120" i="1"/>
  <c r="EM40" i="1"/>
  <c r="EL40" i="1"/>
  <c r="DK55" i="1"/>
  <c r="DL55" i="1"/>
  <c r="FW12" i="1"/>
  <c r="FN27" i="1"/>
  <c r="FM27" i="1"/>
  <c r="EM53" i="1"/>
  <c r="DL71" i="1"/>
  <c r="DK71" i="1"/>
  <c r="FV74" i="1"/>
  <c r="FW74" i="1"/>
  <c r="GE10" i="1"/>
  <c r="DK12" i="1"/>
  <c r="DL12" i="1"/>
  <c r="FV13" i="1"/>
  <c r="GF15" i="1"/>
  <c r="GF16" i="1"/>
  <c r="GE16" i="1"/>
  <c r="FM22" i="1"/>
  <c r="FN31" i="1"/>
  <c r="FM31" i="1"/>
  <c r="FV35" i="1"/>
  <c r="EL36" i="1"/>
  <c r="GF41" i="1"/>
  <c r="DB48" i="1"/>
  <c r="FM51" i="1"/>
  <c r="FM60" i="1"/>
  <c r="FN60" i="1"/>
  <c r="DU64" i="1"/>
  <c r="DT64" i="1"/>
  <c r="DK81" i="1"/>
  <c r="GO113" i="1"/>
  <c r="GN113" i="1"/>
  <c r="FV122" i="1"/>
  <c r="DT143" i="1"/>
  <c r="DU143" i="1"/>
  <c r="EL151" i="1"/>
  <c r="EU33" i="1"/>
  <c r="DK34" i="1"/>
  <c r="DB10" i="1"/>
  <c r="DL13" i="1"/>
  <c r="DC15" i="1"/>
  <c r="DC21" i="1"/>
  <c r="DB21" i="1"/>
  <c r="EV26" i="1"/>
  <c r="DU32" i="1"/>
  <c r="ED38" i="1"/>
  <c r="EC38" i="1"/>
  <c r="FW40" i="1"/>
  <c r="FV40" i="1"/>
  <c r="DL41" i="1"/>
  <c r="EM156" i="1"/>
  <c r="EL156" i="1"/>
  <c r="FN157" i="1"/>
  <c r="FM157" i="1"/>
  <c r="DT85" i="1"/>
  <c r="DU85" i="1"/>
  <c r="DK98" i="1"/>
  <c r="DL98" i="1"/>
  <c r="FM104" i="1"/>
  <c r="FN104" i="1"/>
  <c r="EC18" i="1"/>
  <c r="ED18" i="1"/>
  <c r="DU47" i="1"/>
  <c r="DT47" i="1"/>
  <c r="EV68" i="1"/>
  <c r="EU68" i="1"/>
  <c r="EC102" i="1"/>
  <c r="ED102" i="1"/>
  <c r="EV36" i="1"/>
  <c r="EU36" i="1"/>
  <c r="EL108" i="1"/>
  <c r="EL166" i="1"/>
  <c r="EM166" i="1"/>
  <c r="GO35" i="1"/>
  <c r="EM38" i="1"/>
  <c r="GF40" i="1"/>
  <c r="EM67" i="1"/>
  <c r="EC43" i="1"/>
  <c r="EL45" i="1"/>
  <c r="EM45" i="1"/>
  <c r="FD66" i="1"/>
  <c r="DU72" i="1"/>
  <c r="DT72" i="1"/>
  <c r="EM79" i="1"/>
  <c r="GO80" i="1"/>
  <c r="FN82" i="1"/>
  <c r="FM82" i="1"/>
  <c r="DK86" i="1"/>
  <c r="DU89" i="1"/>
  <c r="DT89" i="1"/>
  <c r="FN90" i="1"/>
  <c r="EC96" i="1"/>
  <c r="GE114" i="1"/>
  <c r="GF114" i="1"/>
  <c r="GE125" i="1"/>
  <c r="GF125" i="1"/>
  <c r="GN133" i="1"/>
  <c r="GO133" i="1"/>
  <c r="FE138" i="1"/>
  <c r="FD138" i="1"/>
  <c r="EM20" i="1"/>
  <c r="EL20" i="1"/>
  <c r="DT67" i="1"/>
  <c r="DU86" i="1"/>
  <c r="DT86" i="1"/>
  <c r="EU113" i="1"/>
  <c r="EV113" i="1"/>
  <c r="EM31" i="1"/>
  <c r="EL31" i="1"/>
  <c r="EL101" i="1"/>
  <c r="DT131" i="1"/>
  <c r="FN108" i="1"/>
  <c r="FM108" i="1"/>
  <c r="DK62" i="1"/>
  <c r="DL62" i="1"/>
  <c r="EM104" i="1"/>
  <c r="EL104" i="1"/>
  <c r="FW145" i="1"/>
  <c r="FV145" i="1"/>
  <c r="ED120" i="1"/>
  <c r="EC120" i="1"/>
  <c r="FW123" i="1"/>
  <c r="FV123" i="1"/>
  <c r="DC139" i="1"/>
  <c r="DB139" i="1"/>
  <c r="EC41" i="1"/>
  <c r="GN48" i="1"/>
  <c r="EL78" i="1"/>
  <c r="EM78" i="1"/>
  <c r="EU80" i="1"/>
  <c r="ED81" i="1"/>
  <c r="EC81" i="1"/>
  <c r="FM87" i="1"/>
  <c r="FN87" i="1"/>
  <c r="EV110" i="1"/>
  <c r="GO116" i="1"/>
  <c r="GN116" i="1"/>
  <c r="ED133" i="1"/>
  <c r="EL46" i="1"/>
  <c r="DU51" i="1"/>
  <c r="DT55" i="1"/>
  <c r="DC69" i="1"/>
  <c r="ED113" i="1"/>
  <c r="DC145" i="1"/>
  <c r="DB145" i="1"/>
  <c r="FW151" i="1"/>
  <c r="FV151" i="1"/>
  <c r="GE72" i="1"/>
  <c r="GF74" i="1"/>
  <c r="GE74" i="1"/>
  <c r="FN85" i="1"/>
  <c r="FM85" i="1"/>
  <c r="FE140" i="1"/>
  <c r="FD140" i="1"/>
  <c r="FE68" i="1"/>
  <c r="FD68" i="1"/>
  <c r="FW78" i="1"/>
  <c r="EU79" i="1"/>
  <c r="DC86" i="1"/>
  <c r="EM96" i="1"/>
  <c r="EM137" i="1"/>
  <c r="EC154" i="1"/>
  <c r="ED154" i="1"/>
  <c r="FW134" i="1"/>
  <c r="FV134" i="1"/>
  <c r="GO150" i="1"/>
  <c r="GN150" i="1"/>
  <c r="EC117" i="1"/>
  <c r="ED117" i="1"/>
  <c r="EM125" i="1"/>
  <c r="EL125" i="1"/>
  <c r="EM127" i="1"/>
  <c r="EL127" i="1"/>
  <c r="DK130" i="1"/>
  <c r="DL130" i="1"/>
  <c r="FV132" i="1"/>
  <c r="FW132" i="1"/>
  <c r="EL117" i="1"/>
  <c r="EM117" i="1"/>
  <c r="GE132" i="1"/>
  <c r="GF132" i="1"/>
  <c r="EV133" i="1"/>
  <c r="EU133" i="1"/>
  <c r="DU91" i="1"/>
  <c r="DT91" i="1"/>
  <c r="FV129" i="1"/>
  <c r="FW129" i="1"/>
  <c r="FD133" i="1"/>
  <c r="FE133" i="1"/>
  <c r="FW155" i="1"/>
  <c r="FV155" i="1"/>
  <c r="DB58" i="1"/>
  <c r="EM84" i="1"/>
  <c r="FW85" i="1"/>
  <c r="ED86" i="1"/>
  <c r="DT126" i="1"/>
  <c r="GE137" i="1"/>
  <c r="FD157" i="1"/>
  <c r="DK157" i="1"/>
  <c r="DL157" i="1"/>
  <c r="DK126" i="1"/>
  <c r="FM133" i="1"/>
  <c r="FN133" i="1"/>
  <c r="EM148" i="1"/>
  <c r="EL148" i="1"/>
  <c r="EM165" i="1"/>
  <c r="FD113" i="1"/>
  <c r="FD114" i="1"/>
  <c r="DB119" i="1"/>
  <c r="GN122" i="1"/>
  <c r="DU127" i="1"/>
  <c r="DT127" i="1"/>
  <c r="FN137" i="1"/>
  <c r="EL153" i="1"/>
  <c r="DT155" i="1"/>
  <c r="FE158" i="1"/>
  <c r="FD158" i="1"/>
  <c r="DU128" i="1"/>
  <c r="DT128" i="1"/>
  <c r="DU133" i="1"/>
  <c r="DT133" i="1"/>
  <c r="EL155" i="1"/>
  <c r="GN137" i="1"/>
  <c r="FN140" i="1"/>
  <c r="FD156" i="1"/>
  <c r="DC158" i="1"/>
  <c r="EM164" i="1"/>
  <c r="EC165" i="1"/>
  <c r="DL24" i="1"/>
  <c r="DK24" i="1"/>
  <c r="DU25" i="1"/>
  <c r="EC29" i="1"/>
  <c r="DK29" i="1"/>
  <c r="FV9" i="1"/>
  <c r="FM23" i="1"/>
  <c r="GO37" i="1"/>
  <c r="DL37" i="1"/>
  <c r="ED37" i="1"/>
  <c r="FD54" i="1"/>
  <c r="DK59" i="1"/>
  <c r="FV61" i="1"/>
  <c r="GE113" i="1"/>
  <c r="GF113" i="1"/>
  <c r="DC7" i="1"/>
  <c r="EM7" i="1"/>
  <c r="FW7" i="1"/>
  <c r="EV10" i="1"/>
  <c r="GE12" i="1"/>
  <c r="EL13" i="1"/>
  <c r="EC15" i="1"/>
  <c r="FN16" i="1"/>
  <c r="GO19" i="1"/>
  <c r="EU20" i="1"/>
  <c r="GF20" i="1"/>
  <c r="FN30" i="1"/>
  <c r="EC32" i="1"/>
  <c r="FV34" i="1"/>
  <c r="EL50" i="1"/>
  <c r="EU53" i="1"/>
  <c r="EV53" i="1"/>
  <c r="EU55" i="1"/>
  <c r="EV55" i="1"/>
  <c r="DL59" i="1"/>
  <c r="DL70" i="1"/>
  <c r="FD10" i="1"/>
  <c r="EU11" i="1"/>
  <c r="GN20" i="1"/>
  <c r="GO20" i="1"/>
  <c r="EU21" i="1"/>
  <c r="GO22" i="1"/>
  <c r="FV23" i="1"/>
  <c r="DT28" i="1"/>
  <c r="ED31" i="1"/>
  <c r="EC31" i="1"/>
  <c r="EM32" i="1"/>
  <c r="EL32" i="1"/>
  <c r="GF34" i="1"/>
  <c r="GE34" i="1"/>
  <c r="EM37" i="1"/>
  <c r="DL38" i="1"/>
  <c r="ED39" i="1"/>
  <c r="EC39" i="1"/>
  <c r="GF39" i="1"/>
  <c r="EU40" i="1"/>
  <c r="EV40" i="1"/>
  <c r="ED42" i="1"/>
  <c r="ED44" i="1"/>
  <c r="EC44" i="1"/>
  <c r="EC49" i="1"/>
  <c r="FV51" i="1"/>
  <c r="ED52" i="1"/>
  <c r="EV56" i="1"/>
  <c r="GO56" i="1"/>
  <c r="DU59" i="1"/>
  <c r="FV60" i="1"/>
  <c r="DK61" i="1"/>
  <c r="GN61" i="1"/>
  <c r="GN64" i="1"/>
  <c r="GO64" i="1"/>
  <c r="DK70" i="1"/>
  <c r="EC88" i="1"/>
  <c r="ED88" i="1"/>
  <c r="FN14" i="1"/>
  <c r="EL6" i="1"/>
  <c r="GN11" i="1"/>
  <c r="DB12" i="1"/>
  <c r="FN17" i="1"/>
  <c r="EU12" i="1"/>
  <c r="EM14" i="1"/>
  <c r="DU18" i="1"/>
  <c r="GF26" i="1"/>
  <c r="DC28" i="1"/>
  <c r="DU28" i="1"/>
  <c r="FE35" i="1"/>
  <c r="DT39" i="1"/>
  <c r="GN39" i="1"/>
  <c r="FE40" i="1"/>
  <c r="FD40" i="1"/>
  <c r="DU42" i="1"/>
  <c r="EV42" i="1"/>
  <c r="DC42" i="1"/>
  <c r="GF42" i="1"/>
  <c r="EM42" i="1"/>
  <c r="EV43" i="1"/>
  <c r="DT46" i="1"/>
  <c r="DC47" i="1"/>
  <c r="FM47" i="1"/>
  <c r="EC52" i="1"/>
  <c r="DB54" i="1"/>
  <c r="FM54" i="1"/>
  <c r="GE56" i="1"/>
  <c r="GF56" i="1"/>
  <c r="ED57" i="1"/>
  <c r="EC57" i="1"/>
  <c r="GF57" i="1"/>
  <c r="FM58" i="1"/>
  <c r="DU60" i="1"/>
  <c r="DT60" i="1"/>
  <c r="DT61" i="1"/>
  <c r="GO61" i="1"/>
  <c r="ED62" i="1"/>
  <c r="EC62" i="1"/>
  <c r="DU70" i="1"/>
  <c r="DT70" i="1"/>
  <c r="FD83" i="1"/>
  <c r="FE83" i="1"/>
  <c r="EL59" i="1"/>
  <c r="DT59" i="1"/>
  <c r="EL8" i="1"/>
  <c r="DB20" i="1"/>
  <c r="EM21" i="1"/>
  <c r="GF22" i="1"/>
  <c r="DK27" i="1"/>
  <c r="FN28" i="1"/>
  <c r="FM28" i="1"/>
  <c r="GO29" i="1"/>
  <c r="DK52" i="1"/>
  <c r="DL52" i="1"/>
  <c r="FN56" i="1"/>
  <c r="FM56" i="1"/>
  <c r="EV77" i="1"/>
  <c r="GF77" i="1"/>
  <c r="DL77" i="1"/>
  <c r="FW77" i="1"/>
  <c r="EU107" i="1"/>
  <c r="EV107" i="1"/>
  <c r="EL160" i="1"/>
  <c r="EM160" i="1"/>
  <c r="DC8" i="1"/>
  <c r="FW8" i="1"/>
  <c r="DC9" i="1"/>
  <c r="DB11" i="1"/>
  <c r="GF11" i="1"/>
  <c r="DU17" i="1"/>
  <c r="FE18" i="1"/>
  <c r="DK19" i="1"/>
  <c r="GF21" i="1"/>
  <c r="DB22" i="1"/>
  <c r="ED24" i="1"/>
  <c r="GO24" i="1"/>
  <c r="DU24" i="1"/>
  <c r="FW24" i="1"/>
  <c r="EC25" i="1"/>
  <c r="EC26" i="1"/>
  <c r="DL30" i="1"/>
  <c r="DL36" i="1"/>
  <c r="DK36" i="1"/>
  <c r="FE38" i="1"/>
  <c r="DU52" i="1"/>
  <c r="DK57" i="1"/>
  <c r="DL57" i="1"/>
  <c r="FE69" i="1"/>
  <c r="FD69" i="1"/>
  <c r="DK10" i="1"/>
  <c r="EC16" i="1"/>
  <c r="DL20" i="1"/>
  <c r="GN21" i="1"/>
  <c r="FV28" i="1"/>
  <c r="DK6" i="1"/>
  <c r="GE6" i="1"/>
  <c r="EU7" i="1"/>
  <c r="DK8" i="1"/>
  <c r="GE8" i="1"/>
  <c r="EU9" i="1"/>
  <c r="FE10" i="1"/>
  <c r="DK11" i="1"/>
  <c r="GO11" i="1"/>
  <c r="GE14" i="1"/>
  <c r="FV16" i="1"/>
  <c r="EC17" i="1"/>
  <c r="FM18" i="1"/>
  <c r="GO21" i="1"/>
  <c r="GE24" i="1"/>
  <c r="GE31" i="1"/>
  <c r="GF7" i="1"/>
  <c r="EV8" i="1"/>
  <c r="DL9" i="1"/>
  <c r="GF9" i="1"/>
  <c r="DT10" i="1"/>
  <c r="DU10" i="1"/>
  <c r="FD11" i="1"/>
  <c r="GO12" i="1"/>
  <c r="DC13" i="1"/>
  <c r="EU13" i="1"/>
  <c r="DC14" i="1"/>
  <c r="EL15" i="1"/>
  <c r="EM16" i="1"/>
  <c r="ED17" i="1"/>
  <c r="FV17" i="1"/>
  <c r="DU19" i="1"/>
  <c r="FM19" i="1"/>
  <c r="FE20" i="1"/>
  <c r="DK21" i="1"/>
  <c r="FD21" i="1"/>
  <c r="DL22" i="1"/>
  <c r="FE22" i="1"/>
  <c r="EM23" i="1"/>
  <c r="GE23" i="1"/>
  <c r="EL24" i="1"/>
  <c r="GN26" i="1"/>
  <c r="EC27" i="1"/>
  <c r="FV27" i="1"/>
  <c r="GF28" i="1"/>
  <c r="ED30" i="1"/>
  <c r="GF30" i="1"/>
  <c r="GE30" i="1"/>
  <c r="GN31" i="1"/>
  <c r="GO31" i="1"/>
  <c r="EU32" i="1"/>
  <c r="DT33" i="1"/>
  <c r="DU33" i="1"/>
  <c r="FW33" i="1"/>
  <c r="FV33" i="1"/>
  <c r="DC35" i="1"/>
  <c r="DB35" i="1"/>
  <c r="FN35" i="1"/>
  <c r="DB38" i="1"/>
  <c r="DT38" i="1"/>
  <c r="FW39" i="1"/>
  <c r="EL39" i="1"/>
  <c r="GO39" i="1"/>
  <c r="FV41" i="1"/>
  <c r="FE43" i="1"/>
  <c r="FD43" i="1"/>
  <c r="FD44" i="1"/>
  <c r="EL44" i="1"/>
  <c r="EU48" i="1"/>
  <c r="EM49" i="1"/>
  <c r="EL49" i="1"/>
  <c r="FD50" i="1"/>
  <c r="DB53" i="1"/>
  <c r="DC54" i="1"/>
  <c r="GO54" i="1"/>
  <c r="EV54" i="1"/>
  <c r="FV54" i="1"/>
  <c r="DC55" i="1"/>
  <c r="DB55" i="1"/>
  <c r="DU56" i="1"/>
  <c r="DT56" i="1"/>
  <c r="GE60" i="1"/>
  <c r="FW75" i="1"/>
  <c r="FV75" i="1"/>
  <c r="FN83" i="1"/>
  <c r="FM83" i="1"/>
  <c r="GO25" i="1"/>
  <c r="DL25" i="1"/>
  <c r="FV6" i="1"/>
  <c r="ED14" i="1"/>
  <c r="GF25" i="1"/>
  <c r="FN29" i="1"/>
  <c r="GF45" i="1"/>
  <c r="DU49" i="1"/>
  <c r="DT49" i="1"/>
  <c r="EM59" i="1"/>
  <c r="GF59" i="1"/>
  <c r="FV70" i="1"/>
  <c r="DC6" i="1"/>
  <c r="EM9" i="1"/>
  <c r="GN10" i="1"/>
  <c r="EM12" i="1"/>
  <c r="FW14" i="1"/>
  <c r="DU23" i="1"/>
  <c r="DL28" i="1"/>
  <c r="FM34" i="1"/>
  <c r="EU34" i="1"/>
  <c r="FE41" i="1"/>
  <c r="DK46" i="1"/>
  <c r="DL46" i="1"/>
  <c r="GO52" i="1"/>
  <c r="GO59" i="1"/>
  <c r="GF63" i="1"/>
  <c r="GE63" i="1"/>
  <c r="EV70" i="1"/>
  <c r="GF70" i="1"/>
  <c r="ED70" i="1"/>
  <c r="FE70" i="1"/>
  <c r="GO70" i="1"/>
  <c r="GE13" i="1"/>
  <c r="FV15" i="1"/>
  <c r="FE19" i="1"/>
  <c r="EC23" i="1"/>
  <c r="GE28" i="1"/>
  <c r="EC28" i="1"/>
  <c r="EV29" i="1"/>
  <c r="EU29" i="1"/>
  <c r="EU6" i="1"/>
  <c r="DK7" i="1"/>
  <c r="DK20" i="1"/>
  <c r="ED23" i="1"/>
  <c r="FD29" i="1"/>
  <c r="DU30" i="1"/>
  <c r="DK33" i="1"/>
  <c r="GN34" i="1"/>
  <c r="DU36" i="1"/>
  <c r="EV37" i="1"/>
  <c r="EU37" i="1"/>
  <c r="FM10" i="1"/>
  <c r="DT11" i="1"/>
  <c r="FE11" i="1"/>
  <c r="FD12" i="1"/>
  <c r="GO13" i="1"/>
  <c r="GN14" i="1"/>
  <c r="EL16" i="1"/>
  <c r="ED19" i="1"/>
  <c r="DU20" i="1"/>
  <c r="FE21" i="1"/>
  <c r="DT22" i="1"/>
  <c r="DU22" i="1"/>
  <c r="EL23" i="1"/>
  <c r="GF23" i="1"/>
  <c r="EV25" i="1"/>
  <c r="EU25" i="1"/>
  <c r="GO26" i="1"/>
  <c r="ED28" i="1"/>
  <c r="GN28" i="1"/>
  <c r="DB29" i="1"/>
  <c r="FM29" i="1"/>
  <c r="DK30" i="1"/>
  <c r="FV30" i="1"/>
  <c r="EC30" i="1"/>
  <c r="EL34" i="1"/>
  <c r="ED36" i="1"/>
  <c r="GO36" i="1"/>
  <c r="GF36" i="1"/>
  <c r="FE37" i="1"/>
  <c r="FV38" i="1"/>
  <c r="EM39" i="1"/>
  <c r="DB40" i="1"/>
  <c r="FM40" i="1"/>
  <c r="FE42" i="1"/>
  <c r="DK54" i="1"/>
  <c r="DL54" i="1"/>
  <c r="DK58" i="1"/>
  <c r="DL58" i="1"/>
  <c r="GE58" i="1"/>
  <c r="GF58" i="1"/>
  <c r="FN77" i="1"/>
  <c r="FM77" i="1"/>
  <c r="FM15" i="1"/>
  <c r="FE17" i="1"/>
  <c r="FD6" i="1"/>
  <c r="DT7" i="1"/>
  <c r="GN7" i="1"/>
  <c r="FD8" i="1"/>
  <c r="DT9" i="1"/>
  <c r="EV30" i="1"/>
  <c r="GO30" i="1"/>
  <c r="FN37" i="1"/>
  <c r="DK40" i="1"/>
  <c r="DL40" i="1"/>
  <c r="GO58" i="1"/>
  <c r="GN58" i="1"/>
  <c r="GO76" i="1"/>
  <c r="GN76" i="1"/>
  <c r="GO6" i="1"/>
  <c r="FE7" i="1"/>
  <c r="GO9" i="1"/>
  <c r="FM11" i="1"/>
  <c r="EU15" i="1"/>
  <c r="DC16" i="1"/>
  <c r="EL26" i="1"/>
  <c r="EC11" i="1"/>
  <c r="DU12" i="1"/>
  <c r="DU13" i="1"/>
  <c r="FM13" i="1"/>
  <c r="GN16" i="1"/>
  <c r="DC17" i="1"/>
  <c r="GF17" i="1"/>
  <c r="EL18" i="1"/>
  <c r="EL19" i="1"/>
  <c r="ED20" i="1"/>
  <c r="FN21" i="1"/>
  <c r="ED22" i="1"/>
  <c r="DC23" i="1"/>
  <c r="DB23" i="1"/>
  <c r="EV23" i="1"/>
  <c r="DC25" i="1"/>
  <c r="DK26" i="1"/>
  <c r="EU28" i="1"/>
  <c r="DL29" i="1"/>
  <c r="FW29" i="1"/>
  <c r="EM30" i="1"/>
  <c r="DB31" i="1"/>
  <c r="FN32" i="1"/>
  <c r="EM33" i="1"/>
  <c r="GN33" i="1"/>
  <c r="GO33" i="1"/>
  <c r="DT35" i="1"/>
  <c r="DU35" i="1"/>
  <c r="FW37" i="1"/>
  <c r="FV37" i="1"/>
  <c r="DB39" i="1"/>
  <c r="FD39" i="1"/>
  <c r="FN42" i="1"/>
  <c r="DK43" i="1"/>
  <c r="DL43" i="1"/>
  <c r="FW43" i="1"/>
  <c r="FV43" i="1"/>
  <c r="DC45" i="1"/>
  <c r="DB45" i="1"/>
  <c r="ED47" i="1"/>
  <c r="EC47" i="1"/>
  <c r="GO49" i="1"/>
  <c r="GF49" i="1"/>
  <c r="FN49" i="1"/>
  <c r="FM49" i="1"/>
  <c r="DL50" i="1"/>
  <c r="EU51" i="1"/>
  <c r="EV51" i="1"/>
  <c r="EC54" i="1"/>
  <c r="GN55" i="1"/>
  <c r="EL56" i="1"/>
  <c r="EM56" i="1"/>
  <c r="FD59" i="1"/>
  <c r="EM60" i="1"/>
  <c r="DU68" i="1"/>
  <c r="DT68" i="1"/>
  <c r="DC71" i="1"/>
  <c r="DB71" i="1"/>
  <c r="DL72" i="1"/>
  <c r="FE72" i="1"/>
  <c r="EV72" i="1"/>
  <c r="ED72" i="1"/>
  <c r="GE44" i="1"/>
  <c r="GF44" i="1"/>
  <c r="FW52" i="1"/>
  <c r="EM52" i="1"/>
  <c r="DC52" i="1"/>
  <c r="GE52" i="1"/>
  <c r="GF52" i="1"/>
  <c r="EC61" i="1"/>
  <c r="FM61" i="1"/>
  <c r="DU66" i="1"/>
  <c r="DT66" i="1"/>
  <c r="EC127" i="1"/>
  <c r="ED127" i="1"/>
  <c r="DC129" i="1"/>
  <c r="DB129" i="1"/>
  <c r="DU16" i="1"/>
  <c r="EM29" i="1"/>
  <c r="DB36" i="1"/>
  <c r="FN36" i="1"/>
  <c r="FM36" i="1"/>
  <c r="GO44" i="1"/>
  <c r="GN44" i="1"/>
  <c r="DT45" i="1"/>
  <c r="DU6" i="1"/>
  <c r="DU7" i="1"/>
  <c r="GO7" i="1"/>
  <c r="DU8" i="1"/>
  <c r="GO8" i="1"/>
  <c r="FE9" i="1"/>
  <c r="FN20" i="1"/>
  <c r="DU21" i="1"/>
  <c r="EU23" i="1"/>
  <c r="GO23" i="1"/>
  <c r="EU24" i="1"/>
  <c r="FE25" i="1"/>
  <c r="FD26" i="1"/>
  <c r="FE26" i="1"/>
  <c r="EL27" i="1"/>
  <c r="EV31" i="1"/>
  <c r="DC37" i="1"/>
  <c r="GF43" i="1"/>
  <c r="DC43" i="1"/>
  <c r="FN43" i="1"/>
  <c r="FD49" i="1"/>
  <c r="GN49" i="1"/>
  <c r="FE52" i="1"/>
  <c r="EC60" i="1"/>
  <c r="FD60" i="1"/>
  <c r="DB60" i="1"/>
  <c r="EV63" i="1"/>
  <c r="GO69" i="1"/>
  <c r="GN69" i="1"/>
  <c r="DB76" i="1"/>
  <c r="DC76" i="1"/>
  <c r="ED109" i="1"/>
  <c r="EC109" i="1"/>
  <c r="FV10" i="1"/>
  <c r="FM12" i="1"/>
  <c r="FE14" i="1"/>
  <c r="DK15" i="1"/>
  <c r="EV16" i="1"/>
  <c r="EC6" i="1"/>
  <c r="FM6" i="1"/>
  <c r="EC7" i="1"/>
  <c r="FM7" i="1"/>
  <c r="EC8" i="1"/>
  <c r="FM8" i="1"/>
  <c r="EC9" i="1"/>
  <c r="FM9" i="1"/>
  <c r="EL10" i="1"/>
  <c r="EC12" i="1"/>
  <c r="DU14" i="1"/>
  <c r="FD15" i="1"/>
  <c r="FE15" i="1"/>
  <c r="DK16" i="1"/>
  <c r="FD16" i="1"/>
  <c r="GO16" i="1"/>
  <c r="EU17" i="1"/>
  <c r="GN17" i="1"/>
  <c r="DB18" i="1"/>
  <c r="GE18" i="1"/>
  <c r="FV20" i="1"/>
  <c r="EC21" i="1"/>
  <c r="FW21" i="1"/>
  <c r="FV22" i="1"/>
  <c r="FD23" i="1"/>
  <c r="DB24" i="1"/>
  <c r="FE24" i="1"/>
  <c r="FM25" i="1"/>
  <c r="FM26" i="1"/>
  <c r="GN27" i="1"/>
  <c r="GO27" i="1"/>
  <c r="EV28" i="1"/>
  <c r="DT29" i="1"/>
  <c r="DU29" i="1"/>
  <c r="GF29" i="1"/>
  <c r="EU30" i="1"/>
  <c r="DL32" i="1"/>
  <c r="DK32" i="1"/>
  <c r="DB34" i="1"/>
  <c r="FD34" i="1"/>
  <c r="FE34" i="1"/>
  <c r="EU35" i="1"/>
  <c r="ED35" i="1"/>
  <c r="EC35" i="1"/>
  <c r="GE35" i="1"/>
  <c r="GF37" i="1"/>
  <c r="GN38" i="1"/>
  <c r="FW42" i="1"/>
  <c r="DB44" i="1"/>
  <c r="FM44" i="1"/>
  <c r="FN45" i="1"/>
  <c r="FM45" i="1"/>
  <c r="GN47" i="1"/>
  <c r="DU50" i="1"/>
  <c r="FN52" i="1"/>
  <c r="ED53" i="1"/>
  <c r="EC53" i="1"/>
  <c r="DT57" i="1"/>
  <c r="FM57" i="1"/>
  <c r="GN57" i="1"/>
  <c r="FD57" i="1"/>
  <c r="FE59" i="1"/>
  <c r="FE64" i="1"/>
  <c r="FD64" i="1"/>
  <c r="DC65" i="1"/>
  <c r="DB65" i="1"/>
  <c r="DB79" i="1"/>
  <c r="DC79" i="1"/>
  <c r="FW25" i="1"/>
  <c r="FV25" i="1"/>
  <c r="DT6" i="1"/>
  <c r="DT8" i="1"/>
  <c r="FD9" i="1"/>
  <c r="EV14" i="1"/>
  <c r="GO14" i="1"/>
  <c r="EM28" i="1"/>
  <c r="EL28" i="1"/>
  <c r="DC29" i="1"/>
  <c r="EU39" i="1"/>
  <c r="EV39" i="1"/>
  <c r="DT43" i="1"/>
  <c r="DB43" i="1"/>
  <c r="EL43" i="1"/>
  <c r="FM43" i="1"/>
  <c r="FW53" i="1"/>
  <c r="FV53" i="1"/>
  <c r="GN60" i="1"/>
  <c r="GO60" i="1"/>
  <c r="EL61" i="1"/>
  <c r="DU124" i="1"/>
  <c r="DT124" i="1"/>
  <c r="GE131" i="1"/>
  <c r="GF131" i="1"/>
  <c r="GN15" i="1"/>
  <c r="FM37" i="1"/>
  <c r="ED50" i="1"/>
  <c r="EV50" i="1"/>
  <c r="FW50" i="1"/>
  <c r="EU18" i="1"/>
  <c r="GN18" i="1"/>
  <c r="DB19" i="1"/>
  <c r="FN24" i="1"/>
  <c r="FM24" i="1"/>
  <c r="DC27" i="1"/>
  <c r="DB27" i="1"/>
  <c r="DB28" i="1"/>
  <c r="FD28" i="1"/>
  <c r="GE29" i="1"/>
  <c r="DC30" i="1"/>
  <c r="GF35" i="1"/>
  <c r="EM35" i="1"/>
  <c r="DU37" i="1"/>
  <c r="EU38" i="1"/>
  <c r="FM39" i="1"/>
  <c r="DL42" i="1"/>
  <c r="GO43" i="1"/>
  <c r="FV48" i="1"/>
  <c r="FV49" i="1"/>
  <c r="GF50" i="1"/>
  <c r="FV52" i="1"/>
  <c r="GN52" i="1"/>
  <c r="DB52" i="1"/>
  <c r="FN59" i="1"/>
  <c r="FM59" i="1"/>
  <c r="FN62" i="1"/>
  <c r="FM62" i="1"/>
  <c r="FM70" i="1"/>
  <c r="FN70" i="1"/>
  <c r="DT75" i="1"/>
  <c r="DU75" i="1"/>
  <c r="FV87" i="1"/>
  <c r="FW87" i="1"/>
  <c r="FD33" i="1"/>
  <c r="FN50" i="1"/>
  <c r="FM50" i="1"/>
  <c r="EU60" i="1"/>
  <c r="EU61" i="1"/>
  <c r="EM66" i="1"/>
  <c r="EL66" i="1"/>
  <c r="DC72" i="1"/>
  <c r="DT74" i="1"/>
  <c r="DU74" i="1"/>
  <c r="GE96" i="1"/>
  <c r="GF96" i="1"/>
  <c r="EC103" i="1"/>
  <c r="ED103" i="1"/>
  <c r="GN107" i="1"/>
  <c r="FD107" i="1"/>
  <c r="DT107" i="1"/>
  <c r="EL107" i="1"/>
  <c r="FV107" i="1"/>
  <c r="DB107" i="1"/>
  <c r="FM46" i="1"/>
  <c r="GE48" i="1"/>
  <c r="DB49" i="1"/>
  <c r="EU49" i="1"/>
  <c r="EV49" i="1"/>
  <c r="EU57" i="1"/>
  <c r="FW59" i="1"/>
  <c r="FV59" i="1"/>
  <c r="FE61" i="1"/>
  <c r="FD61" i="1"/>
  <c r="EU65" i="1"/>
  <c r="EV65" i="1"/>
  <c r="GN24" i="1"/>
  <c r="DT26" i="1"/>
  <c r="FD31" i="1"/>
  <c r="GN36" i="1"/>
  <c r="FM38" i="1"/>
  <c r="GO41" i="1"/>
  <c r="DB42" i="1"/>
  <c r="EU42" i="1"/>
  <c r="GE43" i="1"/>
  <c r="FV44" i="1"/>
  <c r="ED45" i="1"/>
  <c r="FV45" i="1"/>
  <c r="EC46" i="1"/>
  <c r="EL48" i="1"/>
  <c r="GF48" i="1"/>
  <c r="DC49" i="1"/>
  <c r="GO51" i="1"/>
  <c r="DL51" i="1"/>
  <c r="EL51" i="1"/>
  <c r="GF51" i="1"/>
  <c r="DT52" i="1"/>
  <c r="FM52" i="1"/>
  <c r="DT54" i="1"/>
  <c r="FN55" i="1"/>
  <c r="FE55" i="1"/>
  <c r="DC56" i="1"/>
  <c r="EV57" i="1"/>
  <c r="EC58" i="1"/>
  <c r="FV58" i="1"/>
  <c r="EL63" i="1"/>
  <c r="GN63" i="1"/>
  <c r="DL64" i="1"/>
  <c r="DK64" i="1"/>
  <c r="FV64" i="1"/>
  <c r="FE67" i="1"/>
  <c r="FD67" i="1"/>
  <c r="FW72" i="1"/>
  <c r="GE76" i="1"/>
  <c r="DT76" i="1"/>
  <c r="DK76" i="1"/>
  <c r="DC77" i="1"/>
  <c r="FD24" i="1"/>
  <c r="EL25" i="1"/>
  <c r="GN29" i="1"/>
  <c r="FE31" i="1"/>
  <c r="FM33" i="1"/>
  <c r="FD36" i="1"/>
  <c r="EL37" i="1"/>
  <c r="EV41" i="1"/>
  <c r="GN42" i="1"/>
  <c r="EU43" i="1"/>
  <c r="EM47" i="1"/>
  <c r="EL47" i="1"/>
  <c r="GF47" i="1"/>
  <c r="FW54" i="1"/>
  <c r="DB56" i="1"/>
  <c r="FD56" i="1"/>
  <c r="EC59" i="1"/>
  <c r="DK60" i="1"/>
  <c r="DB61" i="1"/>
  <c r="DT62" i="1"/>
  <c r="GF76" i="1"/>
  <c r="DL76" i="1"/>
  <c r="GN83" i="1"/>
  <c r="GO83" i="1"/>
  <c r="FD27" i="1"/>
  <c r="DT34" i="1"/>
  <c r="DK44" i="1"/>
  <c r="EU45" i="1"/>
  <c r="GE46" i="1"/>
  <c r="DK47" i="1"/>
  <c r="DK48" i="1"/>
  <c r="FE51" i="1"/>
  <c r="EL52" i="1"/>
  <c r="EM54" i="1"/>
  <c r="EL54" i="1"/>
  <c r="FN57" i="1"/>
  <c r="EU59" i="1"/>
  <c r="DL61" i="1"/>
  <c r="EV61" i="1"/>
  <c r="DU61" i="1"/>
  <c r="EU62" i="1"/>
  <c r="GN62" i="1"/>
  <c r="FE63" i="1"/>
  <c r="FD63" i="1"/>
  <c r="FM68" i="1"/>
  <c r="FN68" i="1"/>
  <c r="GN72" i="1"/>
  <c r="GO72" i="1"/>
  <c r="EV76" i="1"/>
  <c r="GN81" i="1"/>
  <c r="GO81" i="1"/>
  <c r="GN13" i="1"/>
  <c r="DT15" i="1"/>
  <c r="FD20" i="1"/>
  <c r="GN25" i="1"/>
  <c r="DT27" i="1"/>
  <c r="FE27" i="1"/>
  <c r="FD32" i="1"/>
  <c r="GO32" i="1"/>
  <c r="DU34" i="1"/>
  <c r="GN37" i="1"/>
  <c r="GE38" i="1"/>
  <c r="EC40" i="1"/>
  <c r="DU41" i="1"/>
  <c r="DU43" i="1"/>
  <c r="DL44" i="1"/>
  <c r="EV45" i="1"/>
  <c r="EU46" i="1"/>
  <c r="GF46" i="1"/>
  <c r="DL47" i="1"/>
  <c r="DL48" i="1"/>
  <c r="FD48" i="1"/>
  <c r="EU50" i="1"/>
  <c r="GN50" i="1"/>
  <c r="FE53" i="1"/>
  <c r="FD53" i="1"/>
  <c r="ED55" i="1"/>
  <c r="DU57" i="1"/>
  <c r="EV59" i="1"/>
  <c r="ED61" i="1"/>
  <c r="GE61" i="1"/>
  <c r="EU64" i="1"/>
  <c r="GE65" i="1"/>
  <c r="FM66" i="1"/>
  <c r="FN66" i="1"/>
  <c r="FV69" i="1"/>
  <c r="DT71" i="1"/>
  <c r="EU71" i="1"/>
  <c r="EL71" i="1"/>
  <c r="FE76" i="1"/>
  <c r="FD76" i="1"/>
  <c r="EL77" i="1"/>
  <c r="EM77" i="1"/>
  <c r="FN78" i="1"/>
  <c r="FM78" i="1"/>
  <c r="EL93" i="1"/>
  <c r="EM93" i="1"/>
  <c r="EM95" i="1"/>
  <c r="DU95" i="1"/>
  <c r="FN95" i="1"/>
  <c r="DL95" i="1"/>
  <c r="GO95" i="1"/>
  <c r="FE95" i="1"/>
  <c r="GF95" i="1"/>
  <c r="FW95" i="1"/>
  <c r="FD25" i="1"/>
  <c r="GN30" i="1"/>
  <c r="FD37" i="1"/>
  <c r="DK45" i="1"/>
  <c r="GN46" i="1"/>
  <c r="DT48" i="1"/>
  <c r="FM48" i="1"/>
  <c r="EC50" i="1"/>
  <c r="DB50" i="1"/>
  <c r="EU52" i="1"/>
  <c r="GF55" i="1"/>
  <c r="FW56" i="1"/>
  <c r="FV57" i="1"/>
  <c r="DB59" i="1"/>
  <c r="GF61" i="1"/>
  <c r="DK63" i="1"/>
  <c r="EM64" i="1"/>
  <c r="EL64" i="1"/>
  <c r="DK69" i="1"/>
  <c r="EM72" i="1"/>
  <c r="EL72" i="1"/>
  <c r="FN94" i="1"/>
  <c r="FN76" i="1"/>
  <c r="FM76" i="1"/>
  <c r="DL78" i="1"/>
  <c r="DL79" i="1"/>
  <c r="DB80" i="1"/>
  <c r="DC80" i="1"/>
  <c r="FE89" i="1"/>
  <c r="GO89" i="1"/>
  <c r="EV89" i="1"/>
  <c r="GF89" i="1"/>
  <c r="DC89" i="1"/>
  <c r="DL89" i="1"/>
  <c r="ED89" i="1"/>
  <c r="FE93" i="1"/>
  <c r="DL93" i="1"/>
  <c r="GO93" i="1"/>
  <c r="EV93" i="1"/>
  <c r="GF93" i="1"/>
  <c r="DU93" i="1"/>
  <c r="DB74" i="1"/>
  <c r="DK75" i="1"/>
  <c r="GN75" i="1"/>
  <c r="EU75" i="1"/>
  <c r="ED75" i="1"/>
  <c r="EC75" i="1"/>
  <c r="GE75" i="1"/>
  <c r="FV76" i="1"/>
  <c r="FW76" i="1"/>
  <c r="DU79" i="1"/>
  <c r="DT79" i="1"/>
  <c r="GO79" i="1"/>
  <c r="GN79" i="1"/>
  <c r="FV81" i="1"/>
  <c r="FW81" i="1"/>
  <c r="DL88" i="1"/>
  <c r="EL89" i="1"/>
  <c r="EM89" i="1"/>
  <c r="FE91" i="1"/>
  <c r="DL91" i="1"/>
  <c r="GO91" i="1"/>
  <c r="EV91" i="1"/>
  <c r="GF91" i="1"/>
  <c r="FN91" i="1"/>
  <c r="EL91" i="1"/>
  <c r="EM91" i="1"/>
  <c r="FN92" i="1"/>
  <c r="GE104" i="1"/>
  <c r="GF104" i="1"/>
  <c r="FW68" i="1"/>
  <c r="EC69" i="1"/>
  <c r="GN71" i="1"/>
  <c r="DB73" i="1"/>
  <c r="EV75" i="1"/>
  <c r="EL75" i="1"/>
  <c r="GF75" i="1"/>
  <c r="DU77" i="1"/>
  <c r="DT77" i="1"/>
  <c r="GO77" i="1"/>
  <c r="GN77" i="1"/>
  <c r="DT81" i="1"/>
  <c r="DU81" i="1"/>
  <c r="FD82" i="1"/>
  <c r="FE82" i="1"/>
  <c r="FN86" i="1"/>
  <c r="FE87" i="1"/>
  <c r="GO87" i="1"/>
  <c r="EV87" i="1"/>
  <c r="GF87" i="1"/>
  <c r="EC87" i="1"/>
  <c r="ED87" i="1"/>
  <c r="FW88" i="1"/>
  <c r="FM93" i="1"/>
  <c r="FN93" i="1"/>
  <c r="GN100" i="1"/>
  <c r="FV100" i="1"/>
  <c r="DT100" i="1"/>
  <c r="FM100" i="1"/>
  <c r="DB100" i="1"/>
  <c r="FD100" i="1"/>
  <c r="DT103" i="1"/>
  <c r="GN103" i="1"/>
  <c r="FD103" i="1"/>
  <c r="DB103" i="1"/>
  <c r="DK107" i="1"/>
  <c r="FE65" i="1"/>
  <c r="FD65" i="1"/>
  <c r="DK66" i="1"/>
  <c r="FV67" i="1"/>
  <c r="FV68" i="1"/>
  <c r="ED69" i="1"/>
  <c r="GE69" i="1"/>
  <c r="EM70" i="1"/>
  <c r="EL70" i="1"/>
  <c r="FE73" i="1"/>
  <c r="FD73" i="1"/>
  <c r="EM75" i="1"/>
  <c r="GO75" i="1"/>
  <c r="DU80" i="1"/>
  <c r="DT80" i="1"/>
  <c r="DB82" i="1"/>
  <c r="DC82" i="1"/>
  <c r="FV90" i="1"/>
  <c r="FW90" i="1"/>
  <c r="DC93" i="1"/>
  <c r="EC94" i="1"/>
  <c r="ED94" i="1"/>
  <c r="ED95" i="1"/>
  <c r="GO98" i="1"/>
  <c r="DU98" i="1"/>
  <c r="FE98" i="1"/>
  <c r="DC98" i="1"/>
  <c r="FW98" i="1"/>
  <c r="EM98" i="1"/>
  <c r="GE107" i="1"/>
  <c r="GF107" i="1"/>
  <c r="DC109" i="1"/>
  <c r="EM109" i="1"/>
  <c r="DU109" i="1"/>
  <c r="FW109" i="1"/>
  <c r="DL109" i="1"/>
  <c r="FE109" i="1"/>
  <c r="DK39" i="1"/>
  <c r="EU44" i="1"/>
  <c r="GE49" i="1"/>
  <c r="DK51" i="1"/>
  <c r="EU56" i="1"/>
  <c r="GE62" i="1"/>
  <c r="FW66" i="1"/>
  <c r="EC67" i="1"/>
  <c r="ED68" i="1"/>
  <c r="GF68" i="1"/>
  <c r="EV74" i="1"/>
  <c r="DC91" i="1"/>
  <c r="EV98" i="1"/>
  <c r="EL144" i="1"/>
  <c r="GE144" i="1"/>
  <c r="FD144" i="1"/>
  <c r="FV144" i="1"/>
  <c r="DB144" i="1"/>
  <c r="GN144" i="1"/>
  <c r="GE54" i="1"/>
  <c r="DK56" i="1"/>
  <c r="FV65" i="1"/>
  <c r="GE67" i="1"/>
  <c r="EM68" i="1"/>
  <c r="EL68" i="1"/>
  <c r="FE71" i="1"/>
  <c r="FD71" i="1"/>
  <c r="DT73" i="1"/>
  <c r="EU73" i="1"/>
  <c r="FV73" i="1"/>
  <c r="ED74" i="1"/>
  <c r="EC74" i="1"/>
  <c r="FD75" i="1"/>
  <c r="EL76" i="1"/>
  <c r="ED83" i="1"/>
  <c r="EC83" i="1"/>
  <c r="FM89" i="1"/>
  <c r="FN89" i="1"/>
  <c r="EL100" i="1"/>
  <c r="DK105" i="1"/>
  <c r="DL105" i="1"/>
  <c r="EC107" i="1"/>
  <c r="ED107" i="1"/>
  <c r="GE47" i="1"/>
  <c r="DK49" i="1"/>
  <c r="EU54" i="1"/>
  <c r="GF54" i="1"/>
  <c r="DL56" i="1"/>
  <c r="GE59" i="1"/>
  <c r="FN61" i="1"/>
  <c r="EL62" i="1"/>
  <c r="EC63" i="1"/>
  <c r="FM64" i="1"/>
  <c r="FN64" i="1"/>
  <c r="FW65" i="1"/>
  <c r="GO68" i="1"/>
  <c r="EU69" i="1"/>
  <c r="DC70" i="1"/>
  <c r="FM72" i="1"/>
  <c r="FN72" i="1"/>
  <c r="FW73" i="1"/>
  <c r="DC75" i="1"/>
  <c r="FE75" i="1"/>
  <c r="EM76" i="1"/>
  <c r="DB84" i="1"/>
  <c r="DC84" i="1"/>
  <c r="DC87" i="1"/>
  <c r="ED90" i="1"/>
  <c r="EU95" i="1"/>
  <c r="EV95" i="1"/>
  <c r="GE97" i="1"/>
  <c r="GF97" i="1"/>
  <c r="FV103" i="1"/>
  <c r="FE77" i="1"/>
  <c r="FD77" i="1"/>
  <c r="GF78" i="1"/>
  <c r="FE78" i="1"/>
  <c r="FD78" i="1"/>
  <c r="GF79" i="1"/>
  <c r="FE79" i="1"/>
  <c r="FD79" i="1"/>
  <c r="FE88" i="1"/>
  <c r="GO88" i="1"/>
  <c r="EV88" i="1"/>
  <c r="GF88" i="1"/>
  <c r="DU88" i="1"/>
  <c r="FW89" i="1"/>
  <c r="FW91" i="1"/>
  <c r="ED97" i="1"/>
  <c r="EC97" i="1"/>
  <c r="DK99" i="1"/>
  <c r="DL99" i="1"/>
  <c r="FN74" i="1"/>
  <c r="FM74" i="1"/>
  <c r="FN75" i="1"/>
  <c r="FM75" i="1"/>
  <c r="ED79" i="1"/>
  <c r="EC79" i="1"/>
  <c r="EL83" i="1"/>
  <c r="EM83" i="1"/>
  <c r="FE90" i="1"/>
  <c r="DL90" i="1"/>
  <c r="GO90" i="1"/>
  <c r="EV90" i="1"/>
  <c r="GF90" i="1"/>
  <c r="EL92" i="1"/>
  <c r="EM92" i="1"/>
  <c r="FE96" i="1"/>
  <c r="DC96" i="1"/>
  <c r="DL96" i="1"/>
  <c r="GE98" i="1"/>
  <c r="GF98" i="1"/>
  <c r="DK101" i="1"/>
  <c r="DL101" i="1"/>
  <c r="GE103" i="1"/>
  <c r="GF103" i="1"/>
  <c r="DU105" i="1"/>
  <c r="FE105" i="1"/>
  <c r="GO105" i="1"/>
  <c r="EM105" i="1"/>
  <c r="GF105" i="1"/>
  <c r="DC105" i="1"/>
  <c r="DK108" i="1"/>
  <c r="DL108" i="1"/>
  <c r="ED115" i="1"/>
  <c r="GF153" i="1"/>
  <c r="GE153" i="1"/>
  <c r="FM154" i="1"/>
  <c r="FN154" i="1"/>
  <c r="GN159" i="1"/>
  <c r="FV159" i="1"/>
  <c r="EC159" i="1"/>
  <c r="FD159" i="1"/>
  <c r="FM159" i="1"/>
  <c r="DK143" i="1"/>
  <c r="DL143" i="1"/>
  <c r="GN114" i="1"/>
  <c r="GN110" i="1"/>
  <c r="GO110" i="1"/>
  <c r="DC126" i="1"/>
  <c r="DB126" i="1"/>
  <c r="EC64" i="1"/>
  <c r="EC66" i="1"/>
  <c r="EC68" i="1"/>
  <c r="EC70" i="1"/>
  <c r="EC72" i="1"/>
  <c r="GF73" i="1"/>
  <c r="ED77" i="1"/>
  <c r="EC77" i="1"/>
  <c r="FE86" i="1"/>
  <c r="GO86" i="1"/>
  <c r="EV86" i="1"/>
  <c r="GF86" i="1"/>
  <c r="EL90" i="1"/>
  <c r="EM90" i="1"/>
  <c r="FE94" i="1"/>
  <c r="DL94" i="1"/>
  <c r="GO94" i="1"/>
  <c r="EV94" i="1"/>
  <c r="GF94" i="1"/>
  <c r="EM94" i="1"/>
  <c r="FW94" i="1"/>
  <c r="DT97" i="1"/>
  <c r="EU100" i="1"/>
  <c r="DK102" i="1"/>
  <c r="DL102" i="1"/>
  <c r="FN117" i="1"/>
  <c r="FM117" i="1"/>
  <c r="FW126" i="1"/>
  <c r="FV126" i="1"/>
  <c r="EU74" i="1"/>
  <c r="DU76" i="1"/>
  <c r="DU78" i="1"/>
  <c r="DT78" i="1"/>
  <c r="FN79" i="1"/>
  <c r="FM79" i="1"/>
  <c r="DL80" i="1"/>
  <c r="GF80" i="1"/>
  <c r="EL88" i="1"/>
  <c r="EM88" i="1"/>
  <c r="FD97" i="1"/>
  <c r="DB97" i="1"/>
  <c r="GN97" i="1"/>
  <c r="EL97" i="1"/>
  <c r="EL99" i="1"/>
  <c r="DT99" i="1"/>
  <c r="FD99" i="1"/>
  <c r="DB99" i="1"/>
  <c r="FV99" i="1"/>
  <c r="GN99" i="1"/>
  <c r="DU100" i="1"/>
  <c r="FE100" i="1"/>
  <c r="EM100" i="1"/>
  <c r="FW100" i="1"/>
  <c r="DL100" i="1"/>
  <c r="FN109" i="1"/>
  <c r="EL123" i="1"/>
  <c r="EM123" i="1"/>
  <c r="DT63" i="1"/>
  <c r="DB64" i="1"/>
  <c r="DT65" i="1"/>
  <c r="DB66" i="1"/>
  <c r="DB68" i="1"/>
  <c r="DT69" i="1"/>
  <c r="DB70" i="1"/>
  <c r="DB72" i="1"/>
  <c r="GN74" i="1"/>
  <c r="ED78" i="1"/>
  <c r="EC78" i="1"/>
  <c r="EM82" i="1"/>
  <c r="DU82" i="1"/>
  <c r="FW82" i="1"/>
  <c r="EL87" i="1"/>
  <c r="EM87" i="1"/>
  <c r="DC90" i="1"/>
  <c r="FE92" i="1"/>
  <c r="DL92" i="1"/>
  <c r="GO92" i="1"/>
  <c r="EV92" i="1"/>
  <c r="GF92" i="1"/>
  <c r="FW92" i="1"/>
  <c r="FW99" i="1"/>
  <c r="EV99" i="1"/>
  <c r="GO99" i="1"/>
  <c r="EM99" i="1"/>
  <c r="DU99" i="1"/>
  <c r="EU108" i="1"/>
  <c r="EV108" i="1"/>
  <c r="EM115" i="1"/>
  <c r="DU115" i="1"/>
  <c r="FN115" i="1"/>
  <c r="GO115" i="1"/>
  <c r="FM63" i="1"/>
  <c r="FM65" i="1"/>
  <c r="FM67" i="1"/>
  <c r="FM69" i="1"/>
  <c r="FM71" i="1"/>
  <c r="FM73" i="1"/>
  <c r="ED76" i="1"/>
  <c r="EC76" i="1"/>
  <c r="GO78" i="1"/>
  <c r="GN78" i="1"/>
  <c r="FW79" i="1"/>
  <c r="ED80" i="1"/>
  <c r="FN81" i="1"/>
  <c r="FM81" i="1"/>
  <c r="DB85" i="1"/>
  <c r="DC85" i="1"/>
  <c r="EL86" i="1"/>
  <c r="EM86" i="1"/>
  <c r="DU92" i="1"/>
  <c r="ED93" i="1"/>
  <c r="DU96" i="1"/>
  <c r="FW96" i="1"/>
  <c r="FN98" i="1"/>
  <c r="FN99" i="1"/>
  <c r="FN100" i="1"/>
  <c r="DK113" i="1"/>
  <c r="DL113" i="1"/>
  <c r="EC132" i="1"/>
  <c r="ED132" i="1"/>
  <c r="DU118" i="1"/>
  <c r="DC118" i="1"/>
  <c r="FE118" i="1"/>
  <c r="GO127" i="1"/>
  <c r="GN127" i="1"/>
  <c r="EV129" i="1"/>
  <c r="EU129" i="1"/>
  <c r="DK133" i="1"/>
  <c r="DL133" i="1"/>
  <c r="DU84" i="1"/>
  <c r="GF102" i="1"/>
  <c r="ED105" i="1"/>
  <c r="EV115" i="1"/>
  <c r="EU115" i="1"/>
  <c r="DL119" i="1"/>
  <c r="DK119" i="1"/>
  <c r="FW80" i="1"/>
  <c r="FW83" i="1"/>
  <c r="ED99" i="1"/>
  <c r="GE99" i="1"/>
  <c r="FN101" i="1"/>
  <c r="EU103" i="1"/>
  <c r="GN105" i="1"/>
  <c r="FD105" i="1"/>
  <c r="DT105" i="1"/>
  <c r="EC105" i="1"/>
  <c r="FW110" i="1"/>
  <c r="GF110" i="1"/>
  <c r="GF111" i="1"/>
  <c r="GE111" i="1"/>
  <c r="FD112" i="1"/>
  <c r="FE112" i="1"/>
  <c r="GF116" i="1"/>
  <c r="GE116" i="1"/>
  <c r="FE117" i="1"/>
  <c r="FD117" i="1"/>
  <c r="FE121" i="1"/>
  <c r="FD121" i="1"/>
  <c r="EU124" i="1"/>
  <c r="EV124" i="1"/>
  <c r="DL85" i="1"/>
  <c r="DC101" i="1"/>
  <c r="ED101" i="1"/>
  <c r="FW101" i="1"/>
  <c r="DK104" i="1"/>
  <c r="DL104" i="1"/>
  <c r="EL105" i="1"/>
  <c r="GE108" i="1"/>
  <c r="GF108" i="1"/>
  <c r="ED116" i="1"/>
  <c r="EC116" i="1"/>
  <c r="ED119" i="1"/>
  <c r="EM119" i="1"/>
  <c r="FE119" i="1"/>
  <c r="FN124" i="1"/>
  <c r="FM124" i="1"/>
  <c r="GF83" i="1"/>
  <c r="GO85" i="1"/>
  <c r="ED100" i="1"/>
  <c r="GE101" i="1"/>
  <c r="GF101" i="1"/>
  <c r="EV102" i="1"/>
  <c r="EU105" i="1"/>
  <c r="EV105" i="1"/>
  <c r="EU111" i="1"/>
  <c r="EV111" i="1"/>
  <c r="DC115" i="1"/>
  <c r="DB115" i="1"/>
  <c r="FN118" i="1"/>
  <c r="EV122" i="1"/>
  <c r="EU122" i="1"/>
  <c r="EV142" i="1"/>
  <c r="EU142" i="1"/>
  <c r="EC100" i="1"/>
  <c r="DK103" i="1"/>
  <c r="DL103" i="1"/>
  <c r="FM103" i="1"/>
  <c r="GN104" i="1"/>
  <c r="FD104" i="1"/>
  <c r="DT104" i="1"/>
  <c r="DB104" i="1"/>
  <c r="FV104" i="1"/>
  <c r="GE106" i="1"/>
  <c r="GF106" i="1"/>
  <c r="DT112" i="1"/>
  <c r="DU112" i="1"/>
  <c r="DU134" i="1"/>
  <c r="DT134" i="1"/>
  <c r="FN96" i="1"/>
  <c r="DK97" i="1"/>
  <c r="DL97" i="1"/>
  <c r="FM97" i="1"/>
  <c r="DC102" i="1"/>
  <c r="FE102" i="1"/>
  <c r="GN106" i="1"/>
  <c r="FD106" i="1"/>
  <c r="DT106" i="1"/>
  <c r="EL106" i="1"/>
  <c r="FV106" i="1"/>
  <c r="FM107" i="1"/>
  <c r="GF109" i="1"/>
  <c r="GE109" i="1"/>
  <c r="GE112" i="1"/>
  <c r="DL121" i="1"/>
  <c r="DK121" i="1"/>
  <c r="EU96" i="1"/>
  <c r="EV96" i="1"/>
  <c r="EU97" i="1"/>
  <c r="GN101" i="1"/>
  <c r="FV102" i="1"/>
  <c r="GE102" i="1"/>
  <c r="DU106" i="1"/>
  <c r="DK106" i="1"/>
  <c r="FM106" i="1"/>
  <c r="DL112" i="1"/>
  <c r="FM119" i="1"/>
  <c r="FV119" i="1"/>
  <c r="EC119" i="1"/>
  <c r="EU119" i="1"/>
  <c r="FW124" i="1"/>
  <c r="FV124" i="1"/>
  <c r="FD129" i="1"/>
  <c r="FE129" i="1"/>
  <c r="GO130" i="1"/>
  <c r="GN130" i="1"/>
  <c r="GO132" i="1"/>
  <c r="GN132" i="1"/>
  <c r="FV136" i="1"/>
  <c r="DT136" i="1"/>
  <c r="GN136" i="1"/>
  <c r="EL136" i="1"/>
  <c r="EU136" i="1"/>
  <c r="GE136" i="1"/>
  <c r="DU119" i="1"/>
  <c r="DT119" i="1"/>
  <c r="DC122" i="1"/>
  <c r="DB122" i="1"/>
  <c r="EM130" i="1"/>
  <c r="EL130" i="1"/>
  <c r="DK146" i="1"/>
  <c r="DB146" i="1"/>
  <c r="EU146" i="1"/>
  <c r="FM146" i="1"/>
  <c r="EU99" i="1"/>
  <c r="GE100" i="1"/>
  <c r="FV101" i="1"/>
  <c r="DB102" i="1"/>
  <c r="EU102" i="1"/>
  <c r="GN102" i="1"/>
  <c r="GE105" i="1"/>
  <c r="EC106" i="1"/>
  <c r="GN108" i="1"/>
  <c r="FD108" i="1"/>
  <c r="DT108" i="1"/>
  <c r="EU109" i="1"/>
  <c r="EV109" i="1"/>
  <c r="FW115" i="1"/>
  <c r="DB118" i="1"/>
  <c r="FM118" i="1"/>
  <c r="DT118" i="1"/>
  <c r="EU118" i="1"/>
  <c r="GE118" i="1"/>
  <c r="FW118" i="1"/>
  <c r="EL121" i="1"/>
  <c r="EM121" i="1"/>
  <c r="DB94" i="1"/>
  <c r="EL94" i="1"/>
  <c r="GE95" i="1"/>
  <c r="DK100" i="1"/>
  <c r="DB101" i="1"/>
  <c r="FD102" i="1"/>
  <c r="EU104" i="1"/>
  <c r="EV104" i="1"/>
  <c r="FV109" i="1"/>
  <c r="FD109" i="1"/>
  <c r="DT109" i="1"/>
  <c r="DK109" i="1"/>
  <c r="DU110" i="1"/>
  <c r="FM110" i="1"/>
  <c r="FN110" i="1"/>
  <c r="GO111" i="1"/>
  <c r="GN111" i="1"/>
  <c r="GO118" i="1"/>
  <c r="FD119" i="1"/>
  <c r="GF120" i="1"/>
  <c r="GE120" i="1"/>
  <c r="FN121" i="1"/>
  <c r="FM121" i="1"/>
  <c r="EV116" i="1"/>
  <c r="EU116" i="1"/>
  <c r="GE126" i="1"/>
  <c r="GF126" i="1"/>
  <c r="FN127" i="1"/>
  <c r="FM127" i="1"/>
  <c r="DB136" i="1"/>
  <c r="DC136" i="1"/>
  <c r="DK95" i="1"/>
  <c r="DT102" i="1"/>
  <c r="FN102" i="1"/>
  <c r="FE104" i="1"/>
  <c r="GO104" i="1"/>
  <c r="DC104" i="1"/>
  <c r="EU106" i="1"/>
  <c r="GO106" i="1"/>
  <c r="ED110" i="1"/>
  <c r="FW117" i="1"/>
  <c r="FV117" i="1"/>
  <c r="GN125" i="1"/>
  <c r="DK125" i="1"/>
  <c r="EC125" i="1"/>
  <c r="FD125" i="1"/>
  <c r="FM125" i="1"/>
  <c r="EV128" i="1"/>
  <c r="EU128" i="1"/>
  <c r="GO119" i="1"/>
  <c r="GN119" i="1"/>
  <c r="DC120" i="1"/>
  <c r="DB120" i="1"/>
  <c r="GN135" i="1"/>
  <c r="DB135" i="1"/>
  <c r="FD135" i="1"/>
  <c r="DT135" i="1"/>
  <c r="FV135" i="1"/>
  <c r="DC138" i="1"/>
  <c r="DB138" i="1"/>
  <c r="FE115" i="1"/>
  <c r="FN116" i="1"/>
  <c r="GF117" i="1"/>
  <c r="GE117" i="1"/>
  <c r="ED118" i="1"/>
  <c r="EC118" i="1"/>
  <c r="EL119" i="1"/>
  <c r="EM126" i="1"/>
  <c r="EC128" i="1"/>
  <c r="ED128" i="1"/>
  <c r="GF129" i="1"/>
  <c r="GE129" i="1"/>
  <c r="EL131" i="1"/>
  <c r="EM131" i="1"/>
  <c r="DU135" i="1"/>
  <c r="GO135" i="1"/>
  <c r="EM135" i="1"/>
  <c r="GF135" i="1"/>
  <c r="FW135" i="1"/>
  <c r="EC135" i="1"/>
  <c r="ED135" i="1"/>
  <c r="FW143" i="1"/>
  <c r="FV143" i="1"/>
  <c r="DL145" i="1"/>
  <c r="DK145" i="1"/>
  <c r="EU101" i="1"/>
  <c r="GO109" i="1"/>
  <c r="GN109" i="1"/>
  <c r="FN114" i="1"/>
  <c r="DL116" i="1"/>
  <c r="DK116" i="1"/>
  <c r="EM118" i="1"/>
  <c r="EL118" i="1"/>
  <c r="ED121" i="1"/>
  <c r="EC121" i="1"/>
  <c r="DL127" i="1"/>
  <c r="DK127" i="1"/>
  <c r="GF127" i="1"/>
  <c r="GE127" i="1"/>
  <c r="FW131" i="1"/>
  <c r="FN131" i="1"/>
  <c r="DC131" i="1"/>
  <c r="EV131" i="1"/>
  <c r="EU131" i="1"/>
  <c r="FN134" i="1"/>
  <c r="EV141" i="1"/>
  <c r="EU141" i="1"/>
  <c r="EC144" i="1"/>
  <c r="FV166" i="1"/>
  <c r="FW166" i="1"/>
  <c r="FW114" i="1"/>
  <c r="DL122" i="1"/>
  <c r="DK122" i="1"/>
  <c r="FN125" i="1"/>
  <c r="DL125" i="1"/>
  <c r="DC125" i="1"/>
  <c r="DU125" i="1"/>
  <c r="DT125" i="1"/>
  <c r="FW125" i="1"/>
  <c r="FE132" i="1"/>
  <c r="FD132" i="1"/>
  <c r="FE135" i="1"/>
  <c r="FW136" i="1"/>
  <c r="FN136" i="1"/>
  <c r="DL136" i="1"/>
  <c r="GO136" i="1"/>
  <c r="EM136" i="1"/>
  <c r="EV138" i="1"/>
  <c r="EU138" i="1"/>
  <c r="ED148" i="1"/>
  <c r="EC148" i="1"/>
  <c r="FE139" i="1"/>
  <c r="FD139" i="1"/>
  <c r="EV147" i="1"/>
  <c r="EU147" i="1"/>
  <c r="DK135" i="1"/>
  <c r="DL135" i="1"/>
  <c r="GF140" i="1"/>
  <c r="FE142" i="1"/>
  <c r="GO142" i="1"/>
  <c r="FE143" i="1"/>
  <c r="FD143" i="1"/>
  <c r="EM145" i="1"/>
  <c r="EL145" i="1"/>
  <c r="EL152" i="1"/>
  <c r="EM152" i="1"/>
  <c r="EU164" i="1"/>
  <c r="EV164" i="1"/>
  <c r="DC116" i="1"/>
  <c r="FE116" i="1"/>
  <c r="FD116" i="1"/>
  <c r="GF119" i="1"/>
  <c r="FE122" i="1"/>
  <c r="FD122" i="1"/>
  <c r="FN139" i="1"/>
  <c r="DC141" i="1"/>
  <c r="DB141" i="1"/>
  <c r="FM141" i="1"/>
  <c r="FN141" i="1"/>
  <c r="EU144" i="1"/>
  <c r="EL147" i="1"/>
  <c r="GE147" i="1"/>
  <c r="FM147" i="1"/>
  <c r="DB116" i="1"/>
  <c r="GE119" i="1"/>
  <c r="FN122" i="1"/>
  <c r="FM122" i="1"/>
  <c r="DC123" i="1"/>
  <c r="DB123" i="1"/>
  <c r="DL124" i="1"/>
  <c r="DK124" i="1"/>
  <c r="EV125" i="1"/>
  <c r="FD127" i="1"/>
  <c r="FN128" i="1"/>
  <c r="EL128" i="1"/>
  <c r="EC130" i="1"/>
  <c r="ED130" i="1"/>
  <c r="EC134" i="1"/>
  <c r="ED134" i="1"/>
  <c r="GF134" i="1"/>
  <c r="GE134" i="1"/>
  <c r="EM138" i="1"/>
  <c r="EL138" i="1"/>
  <c r="FW142" i="1"/>
  <c r="FN143" i="1"/>
  <c r="FD152" i="1"/>
  <c r="FE152" i="1"/>
  <c r="GO117" i="1"/>
  <c r="GN117" i="1"/>
  <c r="EV118" i="1"/>
  <c r="EV119" i="1"/>
  <c r="DU122" i="1"/>
  <c r="DT122" i="1"/>
  <c r="GF124" i="1"/>
  <c r="GE124" i="1"/>
  <c r="FD126" i="1"/>
  <c r="EL134" i="1"/>
  <c r="GN138" i="1"/>
  <c r="FV138" i="1"/>
  <c r="DT139" i="1"/>
  <c r="DU139" i="1"/>
  <c r="GE143" i="1"/>
  <c r="GF143" i="1"/>
  <c r="FM145" i="1"/>
  <c r="FN145" i="1"/>
  <c r="GO151" i="1"/>
  <c r="GN151" i="1"/>
  <c r="EU163" i="1"/>
  <c r="EV163" i="1"/>
  <c r="GF115" i="1"/>
  <c r="FD124" i="1"/>
  <c r="ED124" i="1"/>
  <c r="DB125" i="1"/>
  <c r="EL135" i="1"/>
  <c r="EC142" i="1"/>
  <c r="ED142" i="1"/>
  <c r="GO143" i="1"/>
  <c r="GN143" i="1"/>
  <c r="DL150" i="1"/>
  <c r="DK150" i="1"/>
  <c r="GO156" i="1"/>
  <c r="GN156" i="1"/>
  <c r="ED164" i="1"/>
  <c r="FN164" i="1"/>
  <c r="DL164" i="1"/>
  <c r="GF164" i="1"/>
  <c r="FD118" i="1"/>
  <c r="FW120" i="1"/>
  <c r="FV120" i="1"/>
  <c r="DC124" i="1"/>
  <c r="EU126" i="1"/>
  <c r="FM126" i="1"/>
  <c r="FV133" i="1"/>
  <c r="FW133" i="1"/>
  <c r="EM142" i="1"/>
  <c r="GE146" i="1"/>
  <c r="GF146" i="1"/>
  <c r="DL147" i="1"/>
  <c r="DK147" i="1"/>
  <c r="FV149" i="1"/>
  <c r="GE149" i="1"/>
  <c r="EL149" i="1"/>
  <c r="FD149" i="1"/>
  <c r="EU149" i="1"/>
  <c r="GN149" i="1"/>
  <c r="DC152" i="1"/>
  <c r="DB152" i="1"/>
  <c r="DC154" i="1"/>
  <c r="DB154" i="1"/>
  <c r="EU158" i="1"/>
  <c r="EV158" i="1"/>
  <c r="DC161" i="1"/>
  <c r="DB161" i="1"/>
  <c r="DC134" i="1"/>
  <c r="DB134" i="1"/>
  <c r="EV135" i="1"/>
  <c r="EU135" i="1"/>
  <c r="EC149" i="1"/>
  <c r="ED149" i="1"/>
  <c r="FE154" i="1"/>
  <c r="FD154" i="1"/>
  <c r="DC163" i="1"/>
  <c r="DB163" i="1"/>
  <c r="EV136" i="1"/>
  <c r="GF139" i="1"/>
  <c r="GE139" i="1"/>
  <c r="FM142" i="1"/>
  <c r="FN142" i="1"/>
  <c r="EM143" i="1"/>
  <c r="DC143" i="1"/>
  <c r="EC147" i="1"/>
  <c r="ED147" i="1"/>
  <c r="DU149" i="1"/>
  <c r="DT149" i="1"/>
  <c r="DC150" i="1"/>
  <c r="DB150" i="1"/>
  <c r="FW154" i="1"/>
  <c r="FV154" i="1"/>
  <c r="DB156" i="1"/>
  <c r="DC156" i="1"/>
  <c r="DL118" i="1"/>
  <c r="GF121" i="1"/>
  <c r="FD128" i="1"/>
  <c r="DT132" i="1"/>
  <c r="DU132" i="1"/>
  <c r="GO134" i="1"/>
  <c r="GN134" i="1"/>
  <c r="FD136" i="1"/>
  <c r="DU150" i="1"/>
  <c r="DT150" i="1"/>
  <c r="EV117" i="1"/>
  <c r="EU120" i="1"/>
  <c r="EV121" i="1"/>
  <c r="GO121" i="1"/>
  <c r="EV123" i="1"/>
  <c r="DB127" i="1"/>
  <c r="EU127" i="1"/>
  <c r="DC128" i="1"/>
  <c r="DB128" i="1"/>
  <c r="FM128" i="1"/>
  <c r="DT129" i="1"/>
  <c r="DB130" i="1"/>
  <c r="FD130" i="1"/>
  <c r="EU134" i="1"/>
  <c r="EV134" i="1"/>
  <c r="DC135" i="1"/>
  <c r="DL142" i="1"/>
  <c r="DK142" i="1"/>
  <c r="GF142" i="1"/>
  <c r="GE148" i="1"/>
  <c r="EU148" i="1"/>
  <c r="FV148" i="1"/>
  <c r="FM148" i="1"/>
  <c r="DC148" i="1"/>
  <c r="DB148" i="1"/>
  <c r="EV151" i="1"/>
  <c r="EU151" i="1"/>
  <c r="DB110" i="1"/>
  <c r="EL110" i="1"/>
  <c r="DB111" i="1"/>
  <c r="EL111" i="1"/>
  <c r="DB112" i="1"/>
  <c r="EL112" i="1"/>
  <c r="DB113" i="1"/>
  <c r="EL113" i="1"/>
  <c r="DB114" i="1"/>
  <c r="EL114" i="1"/>
  <c r="DL117" i="1"/>
  <c r="DB121" i="1"/>
  <c r="EU121" i="1"/>
  <c r="GN121" i="1"/>
  <c r="EL124" i="1"/>
  <c r="DC127" i="1"/>
  <c r="DL128" i="1"/>
  <c r="FN129" i="1"/>
  <c r="GO129" i="1"/>
  <c r="FN130" i="1"/>
  <c r="DC130" i="1"/>
  <c r="FE130" i="1"/>
  <c r="DK138" i="1"/>
  <c r="DL138" i="1"/>
  <c r="DL140" i="1"/>
  <c r="DK140" i="1"/>
  <c r="FV141" i="1"/>
  <c r="GN141" i="1"/>
  <c r="EL141" i="1"/>
  <c r="DU142" i="1"/>
  <c r="DT142" i="1"/>
  <c r="FE151" i="1"/>
  <c r="FD151" i="1"/>
  <c r="DK159" i="1"/>
  <c r="GO155" i="1"/>
  <c r="GN155" i="1"/>
  <c r="FM161" i="1"/>
  <c r="EC161" i="1"/>
  <c r="GN161" i="1"/>
  <c r="FD161" i="1"/>
  <c r="FE155" i="1"/>
  <c r="FD155" i="1"/>
  <c r="EV156" i="1"/>
  <c r="EU156" i="1"/>
  <c r="DU159" i="1"/>
  <c r="DT159" i="1"/>
  <c r="DB166" i="1"/>
  <c r="DC166" i="1"/>
  <c r="DL123" i="1"/>
  <c r="GO123" i="1"/>
  <c r="GN123" i="1"/>
  <c r="GO124" i="1"/>
  <c r="DK129" i="1"/>
  <c r="FM131" i="1"/>
  <c r="DK136" i="1"/>
  <c r="EC137" i="1"/>
  <c r="ED137" i="1"/>
  <c r="FM138" i="1"/>
  <c r="FD147" i="1"/>
  <c r="FE147" i="1"/>
  <c r="FD148" i="1"/>
  <c r="FE148" i="1"/>
  <c r="FM152" i="1"/>
  <c r="FN152" i="1"/>
  <c r="GE154" i="1"/>
  <c r="GF154" i="1"/>
  <c r="DC164" i="1"/>
  <c r="DB164" i="1"/>
  <c r="DL115" i="1"/>
  <c r="EV120" i="1"/>
  <c r="DU123" i="1"/>
  <c r="FE124" i="1"/>
  <c r="GO125" i="1"/>
  <c r="GO128" i="1"/>
  <c r="FM129" i="1"/>
  <c r="FM130" i="1"/>
  <c r="FV131" i="1"/>
  <c r="FM136" i="1"/>
  <c r="EC139" i="1"/>
  <c r="ED139" i="1"/>
  <c r="DU140" i="1"/>
  <c r="GE141" i="1"/>
  <c r="DL148" i="1"/>
  <c r="GF148" i="1"/>
  <c r="GF149" i="1"/>
  <c r="FN149" i="1"/>
  <c r="DC149" i="1"/>
  <c r="EV152" i="1"/>
  <c r="DL152" i="1"/>
  <c r="EL159" i="1"/>
  <c r="GN162" i="1"/>
  <c r="FV162" i="1"/>
  <c r="EC162" i="1"/>
  <c r="DT162" i="1"/>
  <c r="FM162" i="1"/>
  <c r="EL162" i="1"/>
  <c r="FV163" i="1"/>
  <c r="FW163" i="1"/>
  <c r="GF118" i="1"/>
  <c r="DL120" i="1"/>
  <c r="ED122" i="1"/>
  <c r="FE125" i="1"/>
  <c r="GO126" i="1"/>
  <c r="EC131" i="1"/>
  <c r="ED131" i="1"/>
  <c r="FM135" i="1"/>
  <c r="EC141" i="1"/>
  <c r="ED141" i="1"/>
  <c r="DK144" i="1"/>
  <c r="FM144" i="1"/>
  <c r="GE145" i="1"/>
  <c r="EU145" i="1"/>
  <c r="EC146" i="1"/>
  <c r="ED146" i="1"/>
  <c r="DC147" i="1"/>
  <c r="DB147" i="1"/>
  <c r="FW147" i="1"/>
  <c r="FV147" i="1"/>
  <c r="GE152" i="1"/>
  <c r="GF152" i="1"/>
  <c r="GO163" i="1"/>
  <c r="GN163" i="1"/>
  <c r="EC136" i="1"/>
  <c r="ED136" i="1"/>
  <c r="EC138" i="1"/>
  <c r="ED138" i="1"/>
  <c r="GE138" i="1"/>
  <c r="DC142" i="1"/>
  <c r="DU144" i="1"/>
  <c r="DT144" i="1"/>
  <c r="DL153" i="1"/>
  <c r="FE145" i="1"/>
  <c r="FD145" i="1"/>
  <c r="DT148" i="1"/>
  <c r="FW148" i="1"/>
  <c r="ED161" i="1"/>
  <c r="FW161" i="1"/>
  <c r="FN161" i="1"/>
  <c r="FV139" i="1"/>
  <c r="EV139" i="1"/>
  <c r="EC143" i="1"/>
  <c r="ED143" i="1"/>
  <c r="EV146" i="1"/>
  <c r="DT146" i="1"/>
  <c r="FE149" i="1"/>
  <c r="FN151" i="1"/>
  <c r="ED151" i="1"/>
  <c r="DL151" i="1"/>
  <c r="EU152" i="1"/>
  <c r="DT152" i="1"/>
  <c r="EC152" i="1"/>
  <c r="DC153" i="1"/>
  <c r="DB153" i="1"/>
  <c r="GF161" i="1"/>
  <c r="FV164" i="1"/>
  <c r="FW164" i="1"/>
  <c r="DK139" i="1"/>
  <c r="EC140" i="1"/>
  <c r="ED140" i="1"/>
  <c r="EC145" i="1"/>
  <c r="EV148" i="1"/>
  <c r="DK149" i="1"/>
  <c r="FN150" i="1"/>
  <c r="EC150" i="1"/>
  <c r="ED150" i="1"/>
  <c r="GE150" i="1"/>
  <c r="GF150" i="1"/>
  <c r="ED163" i="1"/>
  <c r="FN163" i="1"/>
  <c r="DL163" i="1"/>
  <c r="FE123" i="1"/>
  <c r="FM132" i="1"/>
  <c r="DL139" i="1"/>
  <c r="GO141" i="1"/>
  <c r="EV143" i="1"/>
  <c r="ED145" i="1"/>
  <c r="EL146" i="1"/>
  <c r="GN146" i="1"/>
  <c r="GN147" i="1"/>
  <c r="DL149" i="1"/>
  <c r="EM150" i="1"/>
  <c r="DB159" i="1"/>
  <c r="DC159" i="1"/>
  <c r="ED160" i="1"/>
  <c r="FN160" i="1"/>
  <c r="DL160" i="1"/>
  <c r="EV160" i="1"/>
  <c r="DK148" i="1"/>
  <c r="DU153" i="1"/>
  <c r="DK155" i="1"/>
  <c r="FV156" i="1"/>
  <c r="EL161" i="1"/>
  <c r="EM161" i="1"/>
  <c r="FD146" i="1"/>
  <c r="DL155" i="1"/>
  <c r="FN158" i="1"/>
  <c r="FV158" i="1"/>
  <c r="FW158" i="1"/>
  <c r="EU161" i="1"/>
  <c r="DB165" i="1"/>
  <c r="DC165" i="1"/>
  <c r="ED166" i="1"/>
  <c r="GF166" i="1"/>
  <c r="FN166" i="1"/>
  <c r="DL166" i="1"/>
  <c r="FE164" i="1"/>
  <c r="DL165" i="1"/>
  <c r="FE144" i="1"/>
  <c r="FW146" i="1"/>
  <c r="FV146" i="1"/>
  <c r="GN152" i="1"/>
  <c r="GN153" i="1"/>
  <c r="EL154" i="1"/>
  <c r="GO154" i="1"/>
  <c r="EM158" i="1"/>
  <c r="FV160" i="1"/>
  <c r="FW160" i="1"/>
  <c r="FD164" i="1"/>
  <c r="GN165" i="1"/>
  <c r="FV165" i="1"/>
  <c r="DU165" i="1"/>
  <c r="DT165" i="1"/>
  <c r="DT147" i="1"/>
  <c r="GF155" i="1"/>
  <c r="DU147" i="1"/>
  <c r="FM150" i="1"/>
  <c r="DU151" i="1"/>
  <c r="GE155" i="1"/>
  <c r="ED158" i="1"/>
  <c r="DU160" i="1"/>
  <c r="DU163" i="1"/>
  <c r="DU166" i="1"/>
  <c r="GN148" i="1"/>
  <c r="EC151" i="1"/>
  <c r="EU155" i="1"/>
  <c r="GO158" i="1"/>
  <c r="GE160" i="1"/>
  <c r="GF160" i="1"/>
  <c r="GO161" i="1"/>
  <c r="GE162" i="1"/>
  <c r="GE163" i="1"/>
  <c r="GF163" i="1"/>
  <c r="GO164" i="1"/>
  <c r="ED156" i="1"/>
  <c r="DB162" i="1"/>
  <c r="FM149" i="1"/>
  <c r="FM151" i="1"/>
  <c r="FM153" i="1"/>
  <c r="GO157" i="1"/>
  <c r="FN159" i="1"/>
  <c r="FE159" i="1"/>
  <c r="FN162" i="1"/>
  <c r="DK162" i="1"/>
  <c r="FE162" i="1"/>
  <c r="FN165" i="1"/>
  <c r="FE165" i="1"/>
  <c r="DU158" i="1"/>
  <c r="GE161" i="1"/>
  <c r="EU162" i="1"/>
  <c r="GO162" i="1"/>
  <c r="FE163" i="1"/>
  <c r="DU164" i="1"/>
  <c r="GE159" i="1"/>
  <c r="EU160" i="1"/>
  <c r="GO160" i="1"/>
  <c r="DK161" i="1"/>
  <c r="FE161" i="1"/>
  <c r="DU162" i="1"/>
  <c r="GE165" i="1"/>
  <c r="EU166" i="1"/>
  <c r="GO166" i="1"/>
  <c r="GE158" i="1"/>
  <c r="EU159" i="1"/>
  <c r="GO159" i="1"/>
  <c r="DK160" i="1"/>
  <c r="FE160" i="1"/>
  <c r="DU161" i="1"/>
  <c r="GE164" i="1"/>
  <c r="EU165" i="1"/>
  <c r="GO165" i="1"/>
  <c r="DK166" i="1"/>
  <c r="FE166" i="1"/>
</calcChain>
</file>

<file path=xl/sharedStrings.xml><?xml version="1.0" encoding="utf-8"?>
<sst xmlns="http://schemas.openxmlformats.org/spreadsheetml/2006/main" count="22477" uniqueCount="107">
  <si>
    <t>Unit Name</t>
  </si>
  <si>
    <t>Staffed Position</t>
  </si>
  <si>
    <t>Grade</t>
  </si>
  <si>
    <t>Zone</t>
  </si>
  <si>
    <t>Cost Centre</t>
  </si>
  <si>
    <t>A</t>
  </si>
  <si>
    <t>Total Hours</t>
  </si>
  <si>
    <t>Pre-April Cost</t>
  </si>
  <si>
    <t>Post-April Cost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</si>
  <si>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</si>
  <si>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</si>
  <si>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</si>
  <si>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</si>
  <si>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</si>
  <si>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</si>
  <si>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</si>
  <si>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</si>
  <si>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</si>
  <si>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</si>
  <si>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</si>
  <si>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</si>
  <si>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</si>
  <si>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</si>
  <si>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</si>
  <si>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</si>
  <si>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</si>
  <si>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</si>
  <si>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</si>
  <si>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</si>
  <si>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</si>
  <si>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</si>
  <si>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</si>
  <si>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</si>
  <si>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</si>
  <si>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MAX Employees (live)</t>
  </si>
  <si>
    <t>MAX Employees (broken)</t>
  </si>
  <si>
    <t>Start</t>
  </si>
  <si>
    <t>End</t>
  </si>
  <si>
    <t>Break Length (Min)</t>
  </si>
  <si>
    <t>Staff #</t>
  </si>
  <si>
    <t>FTE</t>
  </si>
  <si>
    <t>Zonal Leads</t>
  </si>
  <si>
    <t>Croc Drop</t>
  </si>
  <si>
    <t>Rides - CrocDropOperator</t>
  </si>
  <si>
    <t>Rides - CrocDropAttendant</t>
  </si>
  <si>
    <t>Dragon's Fury</t>
  </si>
  <si>
    <t>Rides - Dragon'sFuryOperator</t>
  </si>
  <si>
    <t>Rides - Dragon'sFuryAttendant</t>
  </si>
  <si>
    <t>Jungle Rangers</t>
  </si>
  <si>
    <t>Rides - JungleRangersOperator</t>
  </si>
  <si>
    <t>Rides - JungleRangersAttendant</t>
  </si>
  <si>
    <t>Paw Patrol Chase's</t>
  </si>
  <si>
    <t>Rides - Chase's Operator</t>
  </si>
  <si>
    <t>Rides -Chase's Attendant</t>
  </si>
  <si>
    <t>Paw Patrol Skye's</t>
  </si>
  <si>
    <t>Rides - Skye's Operator</t>
  </si>
  <si>
    <t>Rides -Skye's Attendant</t>
  </si>
  <si>
    <t>Paw Patrol Zuma's</t>
  </si>
  <si>
    <t>Rides - Zuma's Operator</t>
  </si>
  <si>
    <t>Paw Patrol Marshall's</t>
  </si>
  <si>
    <t>Rides - Marshall's Operator</t>
  </si>
  <si>
    <t>Rattlesnake</t>
  </si>
  <si>
    <t>Rides - Rattlesnake Operator</t>
  </si>
  <si>
    <t>Rides - Rattlesnake Attendant</t>
  </si>
  <si>
    <t>River Rafts</t>
  </si>
  <si>
    <t>Rides - RiverRaftsOperator</t>
  </si>
  <si>
    <t>Rides - RiverRaftsAttendant</t>
  </si>
  <si>
    <t>Tomb Blaster</t>
  </si>
  <si>
    <t>Rides - Tomb Blaster Operator</t>
  </si>
  <si>
    <t>Rides - Tomb Blaster Attendant</t>
  </si>
  <si>
    <t>Tree Top Hoppers</t>
  </si>
  <si>
    <t>Rides - TreetopHoppersOperator</t>
  </si>
  <si>
    <t>Zufari</t>
  </si>
  <si>
    <t>Rides - Zufari Driver</t>
  </si>
  <si>
    <t>Rides - Zufari Operator</t>
  </si>
  <si>
    <t>Rides - Zufari Attendant</t>
  </si>
  <si>
    <t>Rides - Break Cover Operator</t>
  </si>
  <si>
    <t>Rides - Break Cover Attendant</t>
  </si>
  <si>
    <t>Croc Drop Shop</t>
  </si>
  <si>
    <t>Retail - Host</t>
  </si>
  <si>
    <t>Freestyle &amp; Vending</t>
  </si>
  <si>
    <t>Retail - Senior Host</t>
  </si>
  <si>
    <t>Paw Patrol Shop</t>
  </si>
  <si>
    <t>Zufari Barrow</t>
  </si>
  <si>
    <t>Dragon Treats</t>
  </si>
  <si>
    <t>:</t>
  </si>
  <si>
    <t>Down Time Calendar</t>
  </si>
  <si>
    <t>Period</t>
  </si>
  <si>
    <t>Week</t>
  </si>
  <si>
    <t>Day</t>
  </si>
  <si>
    <t>Date</t>
  </si>
  <si>
    <t>Day Code</t>
  </si>
  <si>
    <t>Sun</t>
  </si>
  <si>
    <t>Open</t>
  </si>
  <si>
    <t>Closed</t>
  </si>
  <si>
    <t>Mon</t>
  </si>
  <si>
    <t>Tue</t>
  </si>
  <si>
    <t>Wed</t>
  </si>
  <si>
    <t>Thu</t>
  </si>
  <si>
    <t>Fri</t>
  </si>
  <si>
    <t>Sat</t>
  </si>
  <si>
    <t>Total Open Days</t>
  </si>
  <si>
    <t>Total Closed Days</t>
  </si>
  <si>
    <t>Odyssey Zonal Leads</t>
  </si>
  <si>
    <t>Odyssey Rides Break Cover</t>
  </si>
  <si>
    <t>Retail - Freestyle &amp; Vending</t>
  </si>
  <si>
    <t>Odyssey Retail Break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</si>
</sst>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£&quot;* #,##0.00_-;\-&quot;£&quot;* #,##0.00_-;_-&quot;£&quot;* &quot;-&quot;??_-;_-@_-"/>
    <numFmt numFmtId="165" formatCode="0.00;\-0.00;&quot;Not Used&quot;"/>
    <numFmt numFmtId="167" formatCode="#,##0_ ;\-#,##0\ "/>
    <numFmt numFmtId="168" formatCode="#,##0.00_ ;\-#,##0.00\ "/>
    <numFmt numFmtId="169" formatCode="0.00;\-0.00;\-"/>
    <numFmt numFmtId="170" formatCode="0;\-0;\-"/>
    <numFmt numFmtId="171" formatCode="#,##0.0"/>
    <numFmt numFmtId="173" formatCode="ddd\ dd\ \-\ mm\ \-\ yy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4"/>
      <color theme="1"/>
      <name val="Aptos"/>
      <family val="2"/>
    </font>
    <font>
      <sz val="11"/>
      <name val="Aptos"/>
      <family val="2"/>
    </font>
    <font>
      <b/>
      <sz val="14"/>
      <color theme="0"/>
      <name val="Aptos"/>
      <family val="2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18" fontId="3" fillId="4" borderId="9" xfId="0" quotePrefix="1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vertical="center"/>
    </xf>
    <xf numFmtId="0" fontId="5" fillId="5" borderId="10" xfId="0" quotePrefix="1" applyFont="1" applyFill="1" applyBorder="1" applyAlignment="1">
      <alignment horizontal="center" vertical="center" wrapText="1"/>
    </xf>
    <xf numFmtId="0" fontId="5" fillId="5" borderId="11" xfId="0" quotePrefix="1" applyFont="1" applyFill="1" applyBorder="1" applyAlignment="1">
      <alignment horizontal="center" vertical="center" wrapText="1"/>
    </xf>
    <xf numFmtId="0" fontId="5" fillId="5" borderId="9" xfId="0" quotePrefix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18" fontId="3" fillId="7" borderId="12" xfId="0" quotePrefix="1" applyNumberFormat="1" applyFont="1" applyFill="1" applyBorder="1" applyAlignment="1">
      <alignment horizontal="center" vertical="center"/>
    </xf>
    <xf numFmtId="0" fontId="3" fillId="7" borderId="13" xfId="0" quotePrefix="1" applyFont="1" applyFill="1" applyBorder="1" applyAlignment="1">
      <alignment horizontal="center" vertical="center"/>
    </xf>
    <xf numFmtId="0" fontId="3" fillId="7" borderId="14" xfId="0" quotePrefix="1" applyFont="1" applyFill="1" applyBorder="1" applyAlignment="1">
      <alignment horizontal="center" vertical="center"/>
    </xf>
    <xf numFmtId="0" fontId="3" fillId="7" borderId="15" xfId="0" quotePrefix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4" fontId="2" fillId="2" borderId="4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20" fontId="0" fillId="3" borderId="16" xfId="0" applyNumberFormat="1" applyFill="1" applyBorder="1" applyAlignment="1">
      <alignment horizontal="center" vertical="center"/>
    </xf>
    <xf numFmtId="20" fontId="0" fillId="3" borderId="17" xfId="0" applyNumberFormat="1" applyFill="1" applyBorder="1" applyAlignment="1">
      <alignment horizontal="center" vertical="center"/>
    </xf>
    <xf numFmtId="3" fontId="0" fillId="3" borderId="17" xfId="0" applyNumberFormat="1" applyFill="1" applyBorder="1" applyAlignment="1">
      <alignment horizontal="center" vertical="center"/>
    </xf>
    <xf numFmtId="167" fontId="0" fillId="3" borderId="17" xfId="0" applyNumberFormat="1" applyFill="1" applyBorder="1" applyAlignment="1">
      <alignment horizontal="center" vertical="center"/>
    </xf>
    <xf numFmtId="168" fontId="0" fillId="3" borderId="18" xfId="0" applyNumberFormat="1" applyFill="1" applyBorder="1" applyAlignment="1">
      <alignment horizontal="center" vertical="center"/>
    </xf>
    <xf numFmtId="169" fontId="2" fillId="8" borderId="4" xfId="1" applyNumberFormat="1" applyFont="1" applyFill="1" applyBorder="1" applyAlignment="1">
      <alignment horizontal="center" vertical="center"/>
    </xf>
    <xf numFmtId="44" fontId="2" fillId="8" borderId="0" xfId="1" applyFont="1" applyFill="1" applyBorder="1" applyAlignment="1">
      <alignment horizontal="center" vertical="center"/>
    </xf>
    <xf numFmtId="44" fontId="2" fillId="8" borderId="5" xfId="1" applyFont="1" applyFill="1" applyBorder="1" applyAlignment="1">
      <alignment horizontal="center" vertical="center"/>
    </xf>
    <xf numFmtId="20" fontId="2" fillId="3" borderId="19" xfId="0" applyNumberFormat="1" applyFont="1" applyFill="1" applyBorder="1" applyAlignment="1">
      <alignment horizontal="center" vertical="center"/>
    </xf>
    <xf numFmtId="20" fontId="2" fillId="3" borderId="20" xfId="0" applyNumberFormat="1" applyFont="1" applyFill="1" applyBorder="1" applyAlignment="1">
      <alignment horizontal="center" vertical="center"/>
    </xf>
    <xf numFmtId="3" fontId="2" fillId="3" borderId="20" xfId="0" applyNumberFormat="1" applyFont="1" applyFill="1" applyBorder="1" applyAlignment="1">
      <alignment horizontal="center" vertical="center"/>
    </xf>
    <xf numFmtId="167" fontId="2" fillId="3" borderId="20" xfId="0" applyNumberFormat="1" applyFont="1" applyFill="1" applyBorder="1" applyAlignment="1">
      <alignment horizontal="center" vertical="center"/>
    </xf>
    <xf numFmtId="168" fontId="2" fillId="3" borderId="21" xfId="0" applyNumberFormat="1" applyFont="1" applyFill="1" applyBorder="1" applyAlignment="1">
      <alignment horizontal="center" vertical="center"/>
    </xf>
    <xf numFmtId="170" fontId="2" fillId="9" borderId="4" xfId="1" applyNumberFormat="1" applyFont="1" applyFill="1" applyBorder="1" applyAlignment="1">
      <alignment horizontal="center" vertical="center"/>
    </xf>
    <xf numFmtId="170" fontId="2" fillId="9" borderId="5" xfId="1" applyNumberFormat="1" applyFont="1" applyFill="1" applyBorder="1" applyAlignment="1">
      <alignment horizontal="center" vertical="center"/>
    </xf>
    <xf numFmtId="3" fontId="0" fillId="3" borderId="18" xfId="0" applyNumberFormat="1" applyFill="1" applyBorder="1" applyAlignment="1">
      <alignment horizontal="center" vertical="center"/>
    </xf>
    <xf numFmtId="171" fontId="0" fillId="3" borderId="18" xfId="0" applyNumberFormat="1" applyFill="1" applyBorder="1" applyAlignment="1">
      <alignment horizontal="center" vertical="center"/>
    </xf>
    <xf numFmtId="4" fontId="0" fillId="3" borderId="18" xfId="0" applyNumberFormat="1" applyFill="1" applyBorder="1" applyAlignment="1">
      <alignment horizontal="center" vertical="center"/>
    </xf>
    <xf numFmtId="21" fontId="0" fillId="3" borderId="16" xfId="0" applyNumberFormat="1" applyFill="1" applyBorder="1" applyAlignment="1">
      <alignment horizontal="center" vertical="center"/>
    </xf>
    <xf numFmtId="170" fontId="2" fillId="9" borderId="8" xfId="1" applyNumberFormat="1" applyFont="1" applyFill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/>
    <xf numFmtId="0" fontId="7" fillId="10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49" fontId="6" fillId="11" borderId="9" xfId="0" applyNumberFormat="1" applyFont="1" applyFill="1" applyBorder="1" applyAlignment="1">
      <alignment horizontal="center" vertical="center" wrapText="1"/>
    </xf>
    <xf numFmtId="49" fontId="6" fillId="11" borderId="10" xfId="0" applyNumberFormat="1" applyFont="1" applyFill="1" applyBorder="1" applyAlignment="1">
      <alignment horizontal="center" vertical="center" wrapText="1"/>
    </xf>
    <xf numFmtId="49" fontId="6" fillId="11" borderId="11" xfId="0" applyNumberFormat="1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0" fontId="9" fillId="11" borderId="7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" fontId="6" fillId="12" borderId="1" xfId="0" applyNumberFormat="1" applyFont="1" applyFill="1" applyBorder="1" applyAlignment="1">
      <alignment horizontal="center" vertical="center"/>
    </xf>
    <xf numFmtId="1" fontId="6" fillId="12" borderId="2" xfId="0" applyNumberFormat="1" applyFont="1" applyFill="1" applyBorder="1" applyAlignment="1">
      <alignment horizontal="center" vertical="center"/>
    </xf>
    <xf numFmtId="173" fontId="6" fillId="12" borderId="2" xfId="0" applyNumberFormat="1" applyFont="1" applyFill="1" applyBorder="1" applyAlignment="1">
      <alignment horizontal="center" vertical="center"/>
    </xf>
    <xf numFmtId="1" fontId="6" fillId="12" borderId="3" xfId="0" applyNumberFormat="1" applyFont="1" applyFill="1" applyBorder="1" applyAlignment="1">
      <alignment horizontal="center" vertical="center"/>
    </xf>
    <xf numFmtId="1" fontId="0" fillId="13" borderId="22" xfId="0" applyNumberFormat="1" applyFill="1" applyBorder="1" applyAlignment="1">
      <alignment horizontal="center"/>
    </xf>
    <xf numFmtId="1" fontId="0" fillId="13" borderId="23" xfId="0" applyNumberFormat="1" applyFill="1" applyBorder="1" applyAlignment="1">
      <alignment horizontal="center"/>
    </xf>
    <xf numFmtId="1" fontId="6" fillId="12" borderId="4" xfId="0" applyNumberFormat="1" applyFont="1" applyFill="1" applyBorder="1" applyAlignment="1">
      <alignment horizontal="center" vertical="center"/>
    </xf>
    <xf numFmtId="1" fontId="6" fillId="12" borderId="0" xfId="0" applyNumberFormat="1" applyFont="1" applyFill="1" applyAlignment="1">
      <alignment horizontal="center" vertical="center"/>
    </xf>
    <xf numFmtId="173" fontId="6" fillId="12" borderId="0" xfId="0" applyNumberFormat="1" applyFont="1" applyFill="1" applyAlignment="1">
      <alignment horizontal="center" vertical="center"/>
    </xf>
    <xf numFmtId="1" fontId="6" fillId="12" borderId="5" xfId="0" applyNumberFormat="1" applyFont="1" applyFill="1" applyBorder="1" applyAlignment="1">
      <alignment horizontal="center" vertical="center"/>
    </xf>
    <xf numFmtId="1" fontId="0" fillId="14" borderId="17" xfId="0" applyNumberFormat="1" applyFill="1" applyBorder="1" applyAlignment="1">
      <alignment horizontal="center"/>
    </xf>
    <xf numFmtId="1" fontId="0" fillId="14" borderId="18" xfId="0" applyNumberFormat="1" applyFill="1" applyBorder="1" applyAlignment="1">
      <alignment horizontal="center"/>
    </xf>
    <xf numFmtId="1" fontId="0" fillId="11" borderId="17" xfId="0" applyNumberFormat="1" applyFill="1" applyBorder="1" applyAlignment="1">
      <alignment horizontal="center"/>
    </xf>
    <xf numFmtId="1" fontId="0" fillId="11" borderId="18" xfId="0" applyNumberFormat="1" applyFill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13" borderId="17" xfId="0" applyNumberFormat="1" applyFill="1" applyBorder="1" applyAlignment="1">
      <alignment horizontal="center"/>
    </xf>
    <xf numFmtId="1" fontId="0" fillId="13" borderId="18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1" fontId="6" fillId="12" borderId="24" xfId="0" applyNumberFormat="1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1" fontId="6" fillId="12" borderId="25" xfId="0" applyNumberFormat="1" applyFont="1" applyFill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/>
    </xf>
    <xf numFmtId="3" fontId="6" fillId="0" borderId="7" xfId="0" applyNumberFormat="1" applyFont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4" fontId="7" fillId="10" borderId="9" xfId="0" applyNumberFormat="1" applyFont="1" applyFill="1" applyBorder="1" applyAlignment="1">
      <alignment horizontal="center"/>
    </xf>
    <xf numFmtId="14" fontId="7" fillId="10" borderId="10" xfId="0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WOA%20-%202026%20Budget%20Resource%20Model%20-%20Left%20Zone.xlsm" TargetMode="External"/><Relationship Id="rId2" Type="http://schemas.openxmlformats.org/officeDocument/2006/relationships/externalLinkPath" Target="file:///C:\Users\egurling\Downloads\CWOA%20-%202026%20Budget%20Resource%20Model%20-%20Left%20Zone.xlsm" TargetMode="External"/><Relationship Id="rId1" Type="http://schemas.openxmlformats.org/officeDocument/2006/relationships/externalLinkPath" Target="/Users/egurling/Downloads/CWOA%20-%202026%20Budget%20Resource%20Model%20-%20Left%20Zone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break-scheduler-v6/break-scheduler/backend/zone-data/Right_Zone.xlsm" TargetMode="External"/><Relationship Id="rId2" Type="http://schemas.openxmlformats.org/officeDocument/2006/relationships/externalLinkPath" Target="file:///C:\Users\egurling\Downloads\break-scheduler-v6\break-scheduler\backend\zone-data\Right_Zone.xlsm" TargetMode="External"/><Relationship Id="rId1" Type="http://schemas.openxmlformats.org/officeDocument/2006/relationships/externalLinkPath" Target="/Users/egurling/Downloads/break-scheduler-v6/break-scheduler/backend/zone-data/Right_Zone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WOA%20-%202026%20Live%20Resource%20Model%20-%20Left%20Zone%20(Odyssey).xlsm" TargetMode="External"/><Relationship Id="rId2" Type="http://schemas.openxmlformats.org/officeDocument/2006/relationships/externalLinkPath" Target="file:///C:\Users\egurling\Downloads\CWOA%20-%202026%20Live%20Resource%20Model%20-%20Left%20Zone%20(Odyssey).xlsm" TargetMode="External"/><Relationship Id="rId1" Type="http://schemas.openxmlformats.org/officeDocument/2006/relationships/externalLinkPath" Target="/Users/egurling/Downloads/CWOA%20-%202026%20Live%20Resource%20Model%20-%20Left%20Zone%20(Odyssey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de Mapping"/>
      <sheetName val="Master File"/>
      <sheetName val="Control Sheet"/>
      <sheetName val="Scheduling"/>
      <sheetName val="Closed Days"/>
      <sheetName val="TimePlan"/>
      <sheetName val="Prep"/>
      <sheetName val="Export"/>
      <sheetName val="Change Log"/>
      <sheetName val="Summary"/>
      <sheetName val="Headcount x Day x Unit"/>
      <sheetName val="Headcount x Day x Function"/>
      <sheetName val="Hours x Day x Unit"/>
      <sheetName val="Basic Cost x Day x Unit"/>
      <sheetName val="Hours Detail by Period"/>
      <sheetName val="Cost Detail by Period"/>
      <sheetName val="Cost Detail by Period x Type"/>
      <sheetName val="Training"/>
      <sheetName val="Finance"/>
      <sheetName val="CWOA - 2026 Budget Resource Mod"/>
    </sheetNames>
    <definedNames>
      <definedName name="Change_Log"/>
    </definedNames>
    <sheetDataSet>
      <sheetData sheetId="0"/>
      <sheetData sheetId="1">
        <row r="5">
          <cell r="E5" t="str">
            <v>A</v>
          </cell>
          <cell r="F5" t="str">
            <v>Lodge 4PM</v>
          </cell>
          <cell r="G5" t="str">
            <v>Lodge 4PM</v>
          </cell>
          <cell r="H5" t="str">
            <v>&lt;3,000 | Lodge Entrance | 4pm Close</v>
          </cell>
          <cell r="I5">
            <v>0</v>
          </cell>
        </row>
        <row r="6">
          <cell r="E6" t="str">
            <v>B</v>
          </cell>
          <cell r="F6" t="str">
            <v>Lodge 5PM</v>
          </cell>
          <cell r="G6" t="str">
            <v>Lodge 5PM</v>
          </cell>
          <cell r="H6" t="str">
            <v>&lt;3,000 | Lodge Entrance | 5pm Close</v>
          </cell>
          <cell r="I6">
            <v>49</v>
          </cell>
        </row>
        <row r="7">
          <cell r="E7" t="str">
            <v>C</v>
          </cell>
          <cell r="F7" t="str">
            <v>Lodge + 5PM</v>
          </cell>
          <cell r="G7" t="str">
            <v>Lodge + 5PM</v>
          </cell>
          <cell r="H7" t="str">
            <v>Up to 4000 | Lodge Entrance | 5pm Close</v>
          </cell>
          <cell r="I7">
            <v>0</v>
          </cell>
        </row>
        <row r="8">
          <cell r="E8" t="str">
            <v>D</v>
          </cell>
          <cell r="F8" t="str">
            <v>Lodge + Sch Exp</v>
          </cell>
          <cell r="G8" t="str">
            <v>Lodge + Sch Exp</v>
          </cell>
          <cell r="H8" t="str">
            <v>4,000-8,000 | Day Guests Lodge; Schools to Explorer Entrance | 5pm Close</v>
          </cell>
          <cell r="I8">
            <v>10</v>
          </cell>
        </row>
        <row r="9">
          <cell r="E9" t="str">
            <v>E</v>
          </cell>
          <cell r="F9" t="str">
            <v>Explorer 5PM</v>
          </cell>
          <cell r="G9" t="str">
            <v>Explorer 5PM</v>
          </cell>
          <cell r="H9" t="str">
            <v>4,000-8,000 | Explorer Entrance | 5pm Close</v>
          </cell>
          <cell r="I9">
            <v>56</v>
          </cell>
        </row>
        <row r="10">
          <cell r="E10" t="str">
            <v>F</v>
          </cell>
          <cell r="F10" t="str">
            <v>Explorer 6PM</v>
          </cell>
          <cell r="G10" t="str">
            <v>Explorer 6PM</v>
          </cell>
          <cell r="H10" t="str">
            <v>4,000-8,000 | Explorer Entrance | 6pm Close</v>
          </cell>
          <cell r="I10">
            <v>42</v>
          </cell>
        </row>
        <row r="11">
          <cell r="E11" t="str">
            <v>G</v>
          </cell>
          <cell r="F11" t="str">
            <v>Explorer + 5PM</v>
          </cell>
          <cell r="G11" t="str">
            <v>Explorer + 5PM</v>
          </cell>
          <cell r="H11" t="str">
            <v>8,000-10,000 | Explorer Entrance | 5pm Close</v>
          </cell>
          <cell r="I11">
            <v>10</v>
          </cell>
        </row>
        <row r="12">
          <cell r="E12" t="str">
            <v>H</v>
          </cell>
          <cell r="F12" t="str">
            <v>Explorer + 6PM</v>
          </cell>
          <cell r="G12" t="str">
            <v>Explorer + 6PM</v>
          </cell>
          <cell r="H12" t="str">
            <v>8,000-10,000 | Explorer Entrance | 6pm Close</v>
          </cell>
          <cell r="I12">
            <v>36</v>
          </cell>
        </row>
        <row r="13">
          <cell r="E13" t="str">
            <v>I</v>
          </cell>
          <cell r="F13" t="str">
            <v>Explorer + 7PM</v>
          </cell>
          <cell r="G13" t="str">
            <v>Explorer + 7PM</v>
          </cell>
          <cell r="H13" t="str">
            <v>8,000-10,000 | Explorer Entrance | 7pm Close</v>
          </cell>
          <cell r="I13">
            <v>10</v>
          </cell>
        </row>
        <row r="14">
          <cell r="E14" t="str">
            <v>J</v>
          </cell>
          <cell r="F14" t="str">
            <v>Zoo</v>
          </cell>
          <cell r="G14" t="str">
            <v>Zoo</v>
          </cell>
          <cell r="H14" t="str">
            <v>Up to 2,000 | Lodge Entrance | 3pm Close</v>
          </cell>
          <cell r="I14">
            <v>29</v>
          </cell>
        </row>
        <row r="15">
          <cell r="E15" t="str">
            <v>K</v>
          </cell>
          <cell r="F15" t="str">
            <v>WT Off-Peak</v>
          </cell>
          <cell r="G15" t="str">
            <v>WT Off-Peak</v>
          </cell>
          <cell r="H15" t="str">
            <v>Up to 1,750 | Lodge Entrance | 3pm Close</v>
          </cell>
          <cell r="I15">
            <v>8</v>
          </cell>
        </row>
        <row r="16">
          <cell r="E16" t="str">
            <v>L</v>
          </cell>
          <cell r="F16" t="str">
            <v>WT Peak</v>
          </cell>
          <cell r="G16" t="str">
            <v>WT Peak</v>
          </cell>
          <cell r="H16" t="str">
            <v>Up to 3,500 | Lodge Entrance | 5pm Close</v>
          </cell>
          <cell r="I16">
            <v>12</v>
          </cell>
        </row>
        <row r="17">
          <cell r="E17" t="str">
            <v>M</v>
          </cell>
          <cell r="F17" t="str">
            <v>WT Peak+</v>
          </cell>
          <cell r="H17" t="str">
            <v>Up to 3,500 | Lodge Entrance | 6:30 pm Close</v>
          </cell>
          <cell r="I17">
            <v>0</v>
          </cell>
        </row>
        <row r="18">
          <cell r="E18" t="str">
            <v>N</v>
          </cell>
          <cell r="F18" t="str">
            <v>WT Post Xmas</v>
          </cell>
          <cell r="G18" t="str">
            <v>WT Post Xmas</v>
          </cell>
          <cell r="H18" t="str">
            <v>Up to 3,000 | Lodge Entrance | 3pm Close</v>
          </cell>
          <cell r="I18">
            <v>4</v>
          </cell>
        </row>
        <row r="19">
          <cell r="E19" t="str">
            <v>O</v>
          </cell>
          <cell r="F19" t="str">
            <v>Closed</v>
          </cell>
          <cell r="G19" t="str">
            <v>Closed</v>
          </cell>
          <cell r="I19">
            <v>98</v>
          </cell>
        </row>
        <row r="20">
          <cell r="E20" t="str">
            <v>P</v>
          </cell>
          <cell r="I20">
            <v>0</v>
          </cell>
        </row>
        <row r="21">
          <cell r="E21" t="str">
            <v>Q</v>
          </cell>
          <cell r="I21">
            <v>0</v>
          </cell>
        </row>
        <row r="22">
          <cell r="E22" t="str">
            <v>R</v>
          </cell>
          <cell r="I22">
            <v>0</v>
          </cell>
        </row>
        <row r="23">
          <cell r="E23" t="str">
            <v>S</v>
          </cell>
          <cell r="I23">
            <v>0</v>
          </cell>
        </row>
        <row r="24">
          <cell r="E24" t="str">
            <v>T</v>
          </cell>
          <cell r="I24">
            <v>0</v>
          </cell>
        </row>
        <row r="25">
          <cell r="E25" t="str">
            <v>U</v>
          </cell>
          <cell r="I25">
            <v>0</v>
          </cell>
        </row>
        <row r="26">
          <cell r="E26" t="str">
            <v>V</v>
          </cell>
          <cell r="I26">
            <v>0</v>
          </cell>
        </row>
        <row r="27">
          <cell r="E27" t="str">
            <v>W</v>
          </cell>
          <cell r="I27">
            <v>0</v>
          </cell>
        </row>
        <row r="28">
          <cell r="E28" t="str">
            <v>X</v>
          </cell>
          <cell r="I28">
            <v>0</v>
          </cell>
        </row>
        <row r="29">
          <cell r="E29" t="str">
            <v>Y</v>
          </cell>
          <cell r="I29">
            <v>0</v>
          </cell>
        </row>
        <row r="30">
          <cell r="E30" t="str">
            <v>Z</v>
          </cell>
          <cell r="I30">
            <v>0</v>
          </cell>
        </row>
      </sheetData>
      <sheetData sheetId="2">
        <row r="5">
          <cell r="D5" t="str">
            <v>Croc Drop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de Mapping"/>
      <sheetName val="Master File"/>
      <sheetName val="Control Sheet"/>
      <sheetName val="Scheduling"/>
      <sheetName val="Closed Days"/>
      <sheetName val="TimePlan"/>
      <sheetName val="Prep"/>
      <sheetName val="Export"/>
      <sheetName val="Change Log"/>
      <sheetName val="Summary"/>
      <sheetName val="Headcount x Day x Unit"/>
      <sheetName val="Headcount x Day x Function"/>
      <sheetName val="Hours x Day x Unit"/>
      <sheetName val="Basic Cost x Day x Unit"/>
      <sheetName val="Hours Detail by Period"/>
      <sheetName val="Cost Detail by Period"/>
      <sheetName val="Cost Detail by Period x Type"/>
      <sheetName val="Training"/>
    </sheetNames>
    <sheetDataSet>
      <sheetData sheetId="0"/>
      <sheetData sheetId="1">
        <row r="5">
          <cell r="B5">
            <v>46019</v>
          </cell>
        </row>
      </sheetData>
      <sheetData sheetId="2">
        <row r="5">
          <cell r="C5">
            <v>1</v>
          </cell>
          <cell r="D5" t="str">
            <v>Croc Drop</v>
          </cell>
          <cell r="E5" t="str">
            <v>C1300-O</v>
          </cell>
          <cell r="F5" t="str">
            <v>Rides</v>
          </cell>
        </row>
        <row r="6">
          <cell r="C6">
            <v>2</v>
          </cell>
          <cell r="D6" t="str">
            <v>Dragon's Fury</v>
          </cell>
          <cell r="E6" t="str">
            <v>C1300-O</v>
          </cell>
          <cell r="F6" t="str">
            <v>Rides</v>
          </cell>
        </row>
        <row r="7">
          <cell r="C7">
            <v>3</v>
          </cell>
          <cell r="D7" t="str">
            <v>Jungle Rangers</v>
          </cell>
          <cell r="E7" t="str">
            <v>C1300-O</v>
          </cell>
          <cell r="F7" t="str">
            <v>Rides</v>
          </cell>
        </row>
        <row r="8">
          <cell r="C8">
            <v>4</v>
          </cell>
          <cell r="D8" t="str">
            <v>Monkey Swinger</v>
          </cell>
          <cell r="E8" t="str">
            <v>C1300-O</v>
          </cell>
          <cell r="F8" t="str">
            <v>Rides</v>
          </cell>
        </row>
        <row r="9">
          <cell r="C9">
            <v>5</v>
          </cell>
          <cell r="D9" t="str">
            <v>Paw Patrol Chase's</v>
          </cell>
          <cell r="E9" t="str">
            <v>C1300-O</v>
          </cell>
          <cell r="F9" t="str">
            <v>Rides</v>
          </cell>
        </row>
        <row r="10">
          <cell r="C10">
            <v>6</v>
          </cell>
          <cell r="D10" t="str">
            <v>Paw Patrol Skye's</v>
          </cell>
          <cell r="E10" t="str">
            <v>C1300-O</v>
          </cell>
          <cell r="F10" t="str">
            <v>Rides</v>
          </cell>
        </row>
        <row r="11">
          <cell r="C11">
            <v>7</v>
          </cell>
          <cell r="D11" t="str">
            <v>Paw Patrol Zuma's</v>
          </cell>
          <cell r="E11" t="str">
            <v>C1300-O</v>
          </cell>
          <cell r="F11" t="str">
            <v>Rides</v>
          </cell>
        </row>
        <row r="12">
          <cell r="C12">
            <v>8</v>
          </cell>
          <cell r="D12" t="str">
            <v>Paw Patrol Marshall's</v>
          </cell>
          <cell r="E12" t="str">
            <v>C1300-O</v>
          </cell>
          <cell r="F12" t="str">
            <v>Rides</v>
          </cell>
        </row>
        <row r="13">
          <cell r="C13">
            <v>9</v>
          </cell>
          <cell r="D13" t="str">
            <v>Rattlesnake</v>
          </cell>
          <cell r="E13" t="str">
            <v>C1300-O</v>
          </cell>
          <cell r="F13" t="str">
            <v>Rides</v>
          </cell>
        </row>
        <row r="14">
          <cell r="C14">
            <v>10</v>
          </cell>
          <cell r="D14" t="str">
            <v>River Rafts</v>
          </cell>
          <cell r="E14" t="str">
            <v>C1300-O</v>
          </cell>
          <cell r="F14" t="str">
            <v>Rides</v>
          </cell>
        </row>
        <row r="15">
          <cell r="C15">
            <v>11</v>
          </cell>
          <cell r="D15" t="str">
            <v>Tomb Blaster</v>
          </cell>
          <cell r="E15" t="str">
            <v>C1300-O</v>
          </cell>
          <cell r="F15" t="str">
            <v>Rides</v>
          </cell>
        </row>
        <row r="16">
          <cell r="C16">
            <v>12</v>
          </cell>
          <cell r="D16" t="str">
            <v>Tree Top Hoppers</v>
          </cell>
          <cell r="E16" t="str">
            <v>C1300-O</v>
          </cell>
          <cell r="F16" t="str">
            <v>Rides</v>
          </cell>
        </row>
        <row r="17">
          <cell r="C17">
            <v>13</v>
          </cell>
          <cell r="D17" t="str">
            <v>Zufari</v>
          </cell>
          <cell r="E17" t="str">
            <v>C1300-O</v>
          </cell>
          <cell r="F17" t="str">
            <v>Rides</v>
          </cell>
        </row>
        <row r="18">
          <cell r="C18">
            <v>14</v>
          </cell>
          <cell r="D18" t="str">
            <v>Rides Break Cover</v>
          </cell>
          <cell r="E18" t="str">
            <v>C1300-O</v>
          </cell>
          <cell r="F18" t="str">
            <v>Rides</v>
          </cell>
        </row>
        <row r="19">
          <cell r="C19">
            <v>15</v>
          </cell>
          <cell r="D19"/>
          <cell r="E19"/>
          <cell r="F19"/>
        </row>
        <row r="20">
          <cell r="C20">
            <v>16</v>
          </cell>
          <cell r="D20" t="str">
            <v>Croc Drop Shop</v>
          </cell>
          <cell r="E20" t="str">
            <v>C1150-O</v>
          </cell>
          <cell r="F20" t="str">
            <v>Retail</v>
          </cell>
        </row>
        <row r="21">
          <cell r="C21">
            <v>17</v>
          </cell>
          <cell r="D21" t="str">
            <v>Freestyle &amp; Vending</v>
          </cell>
          <cell r="E21" t="str">
            <v>C1150-O</v>
          </cell>
          <cell r="F21" t="str">
            <v>Retail</v>
          </cell>
        </row>
        <row r="22">
          <cell r="C22">
            <v>18</v>
          </cell>
          <cell r="D22" t="str">
            <v>Zufari Barrow</v>
          </cell>
          <cell r="E22" t="str">
            <v>C1150-O</v>
          </cell>
          <cell r="F22" t="str">
            <v>Retail</v>
          </cell>
        </row>
        <row r="23">
          <cell r="C23">
            <v>19</v>
          </cell>
          <cell r="D23" t="str">
            <v>Paw Patrol Shop</v>
          </cell>
          <cell r="E23" t="str">
            <v>C1150-O</v>
          </cell>
          <cell r="F23" t="str">
            <v>Retail</v>
          </cell>
        </row>
        <row r="24">
          <cell r="C24">
            <v>20</v>
          </cell>
          <cell r="D24" t="str">
            <v>Dragon Treats</v>
          </cell>
          <cell r="E24" t="str">
            <v>C1150-O</v>
          </cell>
          <cell r="F24" t="str">
            <v>Retail</v>
          </cell>
        </row>
        <row r="25">
          <cell r="C25">
            <v>21</v>
          </cell>
          <cell r="D25" t="str">
            <v>Retail Break Cover</v>
          </cell>
          <cell r="E25" t="str">
            <v>C1150-O</v>
          </cell>
          <cell r="F25" t="str">
            <v>Retail</v>
          </cell>
        </row>
        <row r="26">
          <cell r="C26">
            <v>22</v>
          </cell>
          <cell r="D26"/>
          <cell r="E26"/>
          <cell r="F26"/>
        </row>
        <row r="27">
          <cell r="C27">
            <v>23</v>
          </cell>
          <cell r="D27" t="str">
            <v>Zonal Leads</v>
          </cell>
          <cell r="E27" t="str">
            <v>C1900-O</v>
          </cell>
          <cell r="F27" t="str">
            <v>Zonal Leads</v>
          </cell>
        </row>
        <row r="28">
          <cell r="C28">
            <v>24</v>
          </cell>
          <cell r="D28"/>
          <cell r="E28"/>
          <cell r="F28"/>
        </row>
        <row r="29">
          <cell r="C29">
            <v>25</v>
          </cell>
          <cell r="D29"/>
          <cell r="E29"/>
          <cell r="F29"/>
        </row>
        <row r="30">
          <cell r="C30">
            <v>26</v>
          </cell>
          <cell r="D30"/>
          <cell r="E30"/>
          <cell r="F30"/>
        </row>
        <row r="31">
          <cell r="C31">
            <v>27</v>
          </cell>
          <cell r="D31"/>
          <cell r="E31"/>
          <cell r="F31"/>
        </row>
        <row r="32">
          <cell r="C32">
            <v>28</v>
          </cell>
          <cell r="D32"/>
          <cell r="E32"/>
          <cell r="F32"/>
        </row>
        <row r="33">
          <cell r="C33">
            <v>29</v>
          </cell>
          <cell r="D33"/>
          <cell r="E33"/>
          <cell r="F33"/>
        </row>
        <row r="34">
          <cell r="C34">
            <v>30</v>
          </cell>
          <cell r="D34"/>
          <cell r="E34"/>
          <cell r="F34"/>
        </row>
        <row r="35">
          <cell r="C35">
            <v>31</v>
          </cell>
          <cell r="D35"/>
          <cell r="E35"/>
          <cell r="F35"/>
        </row>
        <row r="36">
          <cell r="C36">
            <v>32</v>
          </cell>
          <cell r="D36"/>
          <cell r="E36"/>
          <cell r="F36"/>
        </row>
        <row r="37">
          <cell r="C37">
            <v>33</v>
          </cell>
          <cell r="D37"/>
          <cell r="E37"/>
          <cell r="F37"/>
        </row>
        <row r="38">
          <cell r="C38">
            <v>34</v>
          </cell>
          <cell r="D38"/>
          <cell r="E38"/>
          <cell r="F38"/>
        </row>
        <row r="39">
          <cell r="C39">
            <v>35</v>
          </cell>
          <cell r="D39"/>
          <cell r="E39"/>
          <cell r="F39"/>
        </row>
        <row r="40">
          <cell r="C40">
            <v>36</v>
          </cell>
          <cell r="D40"/>
          <cell r="E40"/>
          <cell r="F40"/>
        </row>
        <row r="41">
          <cell r="C41">
            <v>37</v>
          </cell>
          <cell r="D41"/>
          <cell r="E41"/>
          <cell r="F41"/>
        </row>
        <row r="42">
          <cell r="C42">
            <v>38</v>
          </cell>
          <cell r="D42"/>
          <cell r="E42"/>
          <cell r="F42"/>
        </row>
        <row r="43">
          <cell r="C43">
            <v>39</v>
          </cell>
          <cell r="D43"/>
          <cell r="E43"/>
          <cell r="F43"/>
        </row>
        <row r="44">
          <cell r="C44">
            <v>40</v>
          </cell>
          <cell r="D44"/>
          <cell r="E44"/>
          <cell r="F44"/>
        </row>
        <row r="45">
          <cell r="C45">
            <v>41</v>
          </cell>
          <cell r="D45"/>
          <cell r="E45"/>
          <cell r="F45"/>
        </row>
        <row r="46">
          <cell r="C46">
            <v>42</v>
          </cell>
          <cell r="D46"/>
          <cell r="E46"/>
          <cell r="F46"/>
        </row>
        <row r="47">
          <cell r="C47">
            <v>43</v>
          </cell>
          <cell r="D47"/>
          <cell r="E47"/>
          <cell r="F47"/>
        </row>
        <row r="48">
          <cell r="C48">
            <v>44</v>
          </cell>
          <cell r="D48"/>
          <cell r="E48"/>
          <cell r="F48"/>
        </row>
        <row r="49">
          <cell r="C49">
            <v>45</v>
          </cell>
          <cell r="D49"/>
          <cell r="E49"/>
          <cell r="F49"/>
        </row>
        <row r="50">
          <cell r="C50">
            <v>46</v>
          </cell>
          <cell r="D50"/>
          <cell r="E50"/>
          <cell r="F50"/>
        </row>
        <row r="51">
          <cell r="C51">
            <v>47</v>
          </cell>
          <cell r="D51"/>
          <cell r="E51"/>
          <cell r="F51"/>
        </row>
        <row r="52">
          <cell r="C52">
            <v>48</v>
          </cell>
          <cell r="D52"/>
          <cell r="E52"/>
          <cell r="F52"/>
        </row>
        <row r="53">
          <cell r="C53">
            <v>49</v>
          </cell>
          <cell r="D53"/>
          <cell r="E53"/>
          <cell r="F53"/>
        </row>
        <row r="54">
          <cell r="C54">
            <v>50</v>
          </cell>
          <cell r="D54"/>
          <cell r="E54"/>
          <cell r="F54"/>
        </row>
        <row r="55">
          <cell r="C55">
            <v>51</v>
          </cell>
          <cell r="D55"/>
          <cell r="E55"/>
          <cell r="F55"/>
        </row>
        <row r="56">
          <cell r="C56">
            <v>52</v>
          </cell>
          <cell r="D56"/>
          <cell r="E56"/>
          <cell r="F56"/>
        </row>
        <row r="57">
          <cell r="C57">
            <v>53</v>
          </cell>
          <cell r="D57"/>
          <cell r="E57"/>
          <cell r="F57"/>
        </row>
        <row r="58">
          <cell r="C58">
            <v>54</v>
          </cell>
          <cell r="D58"/>
          <cell r="E58"/>
          <cell r="F58"/>
        </row>
        <row r="59">
          <cell r="C59">
            <v>55</v>
          </cell>
          <cell r="D59"/>
          <cell r="E59"/>
          <cell r="F59"/>
        </row>
        <row r="60">
          <cell r="C60">
            <v>56</v>
          </cell>
          <cell r="D60"/>
          <cell r="E60"/>
          <cell r="F60"/>
        </row>
        <row r="61">
          <cell r="C61">
            <v>57</v>
          </cell>
          <cell r="D61"/>
          <cell r="E61"/>
          <cell r="F61"/>
        </row>
        <row r="62">
          <cell r="C62">
            <v>58</v>
          </cell>
          <cell r="D62"/>
          <cell r="E62"/>
          <cell r="F62"/>
        </row>
        <row r="63">
          <cell r="C63">
            <v>59</v>
          </cell>
          <cell r="D63"/>
          <cell r="E63"/>
          <cell r="F63"/>
        </row>
        <row r="64">
          <cell r="C64">
            <v>60</v>
          </cell>
          <cell r="D64"/>
          <cell r="E64"/>
          <cell r="F64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de Mapping"/>
      <sheetName val="Master File"/>
      <sheetName val="Control Sheet"/>
      <sheetName val="Scheduling"/>
      <sheetName val="Closed Days"/>
      <sheetName val="TimePlan"/>
      <sheetName val="Prep"/>
      <sheetName val="Export"/>
      <sheetName val="Change Log"/>
      <sheetName val="Summary"/>
      <sheetName val="Headcount x Day x Unit"/>
      <sheetName val="Headcount x Day x Function"/>
      <sheetName val="Hours x Day x Unit"/>
      <sheetName val="Basic Cost x Day x Unit"/>
      <sheetName val="Hours Detail by Period"/>
      <sheetName val="Cost Detail by Period"/>
      <sheetName val="Cost Detail by Period x Type"/>
      <sheetName val="Training"/>
    </sheetNames>
    <definedNames>
      <definedName name="Change_Log"/>
    </definedNames>
    <sheetDataSet>
      <sheetData sheetId="0"/>
      <sheetData sheetId="1">
        <row r="5">
          <cell r="B5">
            <v>46019</v>
          </cell>
          <cell r="C5" t="str">
            <v>WT Post Xmas</v>
          </cell>
        </row>
        <row r="6">
          <cell r="B6">
            <v>46020</v>
          </cell>
          <cell r="C6" t="str">
            <v>WT Post Xmas</v>
          </cell>
        </row>
        <row r="7">
          <cell r="B7">
            <v>46021</v>
          </cell>
          <cell r="C7" t="str">
            <v>WT Post Xmas</v>
          </cell>
        </row>
        <row r="8">
          <cell r="B8">
            <v>46022</v>
          </cell>
          <cell r="C8" t="str">
            <v>WT Post Xmas</v>
          </cell>
        </row>
        <row r="9">
          <cell r="B9">
            <v>46023</v>
          </cell>
          <cell r="C9" t="str">
            <v>Zoo</v>
          </cell>
        </row>
        <row r="10">
          <cell r="B10">
            <v>46024</v>
          </cell>
          <cell r="C10" t="str">
            <v>Zoo</v>
          </cell>
        </row>
        <row r="11">
          <cell r="B11">
            <v>46025</v>
          </cell>
          <cell r="C11" t="str">
            <v>Zoo</v>
          </cell>
        </row>
        <row r="12">
          <cell r="B12">
            <v>46026</v>
          </cell>
          <cell r="C12" t="str">
            <v>Zoo</v>
          </cell>
        </row>
        <row r="13">
          <cell r="B13">
            <v>46027</v>
          </cell>
          <cell r="C13" t="str">
            <v>Closed</v>
          </cell>
        </row>
        <row r="14">
          <cell r="B14">
            <v>46028</v>
          </cell>
          <cell r="C14" t="str">
            <v>Closed</v>
          </cell>
        </row>
        <row r="15">
          <cell r="B15">
            <v>46029</v>
          </cell>
          <cell r="C15" t="str">
            <v>Closed</v>
          </cell>
        </row>
        <row r="16">
          <cell r="B16">
            <v>46030</v>
          </cell>
          <cell r="C16" t="str">
            <v>Closed</v>
          </cell>
        </row>
        <row r="17">
          <cell r="B17">
            <v>46031</v>
          </cell>
          <cell r="C17" t="str">
            <v>Closed</v>
          </cell>
        </row>
        <row r="18">
          <cell r="B18">
            <v>46032</v>
          </cell>
          <cell r="C18" t="str">
            <v>Zoo</v>
          </cell>
        </row>
        <row r="19">
          <cell r="B19">
            <v>46033</v>
          </cell>
          <cell r="C19" t="str">
            <v>Zoo</v>
          </cell>
        </row>
        <row r="20">
          <cell r="B20">
            <v>46034</v>
          </cell>
          <cell r="C20" t="str">
            <v>Closed</v>
          </cell>
        </row>
        <row r="21">
          <cell r="B21">
            <v>46035</v>
          </cell>
          <cell r="C21" t="str">
            <v>Closed</v>
          </cell>
        </row>
        <row r="22">
          <cell r="B22">
            <v>46036</v>
          </cell>
          <cell r="C22" t="str">
            <v>Closed</v>
          </cell>
        </row>
        <row r="23">
          <cell r="B23">
            <v>46037</v>
          </cell>
          <cell r="C23" t="str">
            <v>Closed</v>
          </cell>
        </row>
        <row r="24">
          <cell r="B24">
            <v>46038</v>
          </cell>
          <cell r="C24" t="str">
            <v>Closed</v>
          </cell>
        </row>
        <row r="25">
          <cell r="B25">
            <v>46039</v>
          </cell>
          <cell r="C25" t="str">
            <v>Zoo</v>
          </cell>
        </row>
        <row r="26">
          <cell r="B26">
            <v>46040</v>
          </cell>
          <cell r="C26" t="str">
            <v>Zoo</v>
          </cell>
        </row>
        <row r="27">
          <cell r="B27">
            <v>46041</v>
          </cell>
          <cell r="C27" t="str">
            <v>Closed</v>
          </cell>
        </row>
        <row r="28">
          <cell r="B28">
            <v>46042</v>
          </cell>
          <cell r="C28" t="str">
            <v>Closed</v>
          </cell>
        </row>
        <row r="29">
          <cell r="B29">
            <v>46043</v>
          </cell>
          <cell r="C29" t="str">
            <v>Closed</v>
          </cell>
        </row>
        <row r="30">
          <cell r="B30">
            <v>46044</v>
          </cell>
          <cell r="C30" t="str">
            <v>Closed</v>
          </cell>
        </row>
        <row r="31">
          <cell r="B31">
            <v>46045</v>
          </cell>
          <cell r="C31" t="str">
            <v>Closed</v>
          </cell>
        </row>
        <row r="32">
          <cell r="B32">
            <v>46046</v>
          </cell>
          <cell r="C32" t="str">
            <v>Zoo</v>
          </cell>
        </row>
        <row r="33">
          <cell r="B33">
            <v>46047</v>
          </cell>
          <cell r="C33" t="str">
            <v>Zoo</v>
          </cell>
        </row>
        <row r="34">
          <cell r="B34">
            <v>46048</v>
          </cell>
          <cell r="C34" t="str">
            <v>Closed</v>
          </cell>
        </row>
        <row r="35">
          <cell r="B35">
            <v>46049</v>
          </cell>
          <cell r="C35" t="str">
            <v>Closed</v>
          </cell>
        </row>
        <row r="36">
          <cell r="B36">
            <v>46050</v>
          </cell>
          <cell r="C36" t="str">
            <v>Closed</v>
          </cell>
        </row>
        <row r="37">
          <cell r="B37">
            <v>46051</v>
          </cell>
          <cell r="C37" t="str">
            <v>Closed</v>
          </cell>
        </row>
        <row r="38">
          <cell r="B38">
            <v>46052</v>
          </cell>
          <cell r="C38" t="str">
            <v>Closed</v>
          </cell>
        </row>
        <row r="39">
          <cell r="B39">
            <v>46053</v>
          </cell>
          <cell r="C39" t="str">
            <v>Zoo</v>
          </cell>
        </row>
        <row r="40">
          <cell r="B40">
            <v>46054</v>
          </cell>
          <cell r="C40" t="str">
            <v>Zoo</v>
          </cell>
        </row>
        <row r="41">
          <cell r="B41">
            <v>46055</v>
          </cell>
          <cell r="C41" t="str">
            <v>Closed</v>
          </cell>
        </row>
        <row r="42">
          <cell r="B42">
            <v>46056</v>
          </cell>
          <cell r="C42" t="str">
            <v>Closed</v>
          </cell>
        </row>
        <row r="43">
          <cell r="B43">
            <v>46057</v>
          </cell>
          <cell r="C43" t="str">
            <v>Closed</v>
          </cell>
        </row>
        <row r="44">
          <cell r="B44">
            <v>46058</v>
          </cell>
          <cell r="C44" t="str">
            <v>Closed</v>
          </cell>
        </row>
        <row r="45">
          <cell r="B45">
            <v>46059</v>
          </cell>
          <cell r="C45" t="str">
            <v>Closed</v>
          </cell>
        </row>
        <row r="46">
          <cell r="B46">
            <v>46060</v>
          </cell>
          <cell r="C46" t="str">
            <v>Zoo</v>
          </cell>
        </row>
        <row r="47">
          <cell r="B47">
            <v>46061</v>
          </cell>
          <cell r="C47" t="str">
            <v>Zoo</v>
          </cell>
        </row>
        <row r="48">
          <cell r="B48">
            <v>46062</v>
          </cell>
          <cell r="C48" t="str">
            <v>Closed</v>
          </cell>
        </row>
        <row r="49">
          <cell r="B49">
            <v>46063</v>
          </cell>
          <cell r="C49" t="str">
            <v>Closed</v>
          </cell>
        </row>
        <row r="50">
          <cell r="B50">
            <v>46064</v>
          </cell>
          <cell r="C50" t="str">
            <v>Closed</v>
          </cell>
        </row>
        <row r="51">
          <cell r="B51">
            <v>46065</v>
          </cell>
          <cell r="C51" t="str">
            <v>Closed</v>
          </cell>
        </row>
        <row r="52">
          <cell r="B52">
            <v>46066</v>
          </cell>
          <cell r="C52" t="str">
            <v>Closed</v>
          </cell>
        </row>
        <row r="53">
          <cell r="B53">
            <v>46067</v>
          </cell>
          <cell r="C53" t="str">
            <v>Zoo</v>
          </cell>
        </row>
        <row r="54">
          <cell r="B54">
            <v>46068</v>
          </cell>
          <cell r="C54" t="str">
            <v>Zoo</v>
          </cell>
        </row>
        <row r="55">
          <cell r="B55">
            <v>46069</v>
          </cell>
          <cell r="C55" t="str">
            <v>Zoo</v>
          </cell>
        </row>
        <row r="56">
          <cell r="B56">
            <v>46070</v>
          </cell>
          <cell r="C56" t="str">
            <v>Zoo</v>
          </cell>
        </row>
        <row r="57">
          <cell r="B57">
            <v>46071</v>
          </cell>
          <cell r="C57" t="str">
            <v>Zoo</v>
          </cell>
        </row>
        <row r="58">
          <cell r="B58">
            <v>46072</v>
          </cell>
          <cell r="C58" t="str">
            <v>Zoo</v>
          </cell>
        </row>
        <row r="59">
          <cell r="B59">
            <v>46073</v>
          </cell>
          <cell r="C59" t="str">
            <v>Zoo</v>
          </cell>
        </row>
        <row r="60">
          <cell r="B60">
            <v>46074</v>
          </cell>
          <cell r="C60" t="str">
            <v>Zoo</v>
          </cell>
        </row>
        <row r="61">
          <cell r="B61">
            <v>46075</v>
          </cell>
          <cell r="C61" t="str">
            <v>Zoo</v>
          </cell>
        </row>
        <row r="62">
          <cell r="B62">
            <v>46076</v>
          </cell>
          <cell r="C62" t="str">
            <v>Closed</v>
          </cell>
        </row>
        <row r="63">
          <cell r="B63">
            <v>46077</v>
          </cell>
          <cell r="C63" t="str">
            <v>Closed</v>
          </cell>
        </row>
        <row r="64">
          <cell r="B64">
            <v>46078</v>
          </cell>
          <cell r="C64" t="str">
            <v>Closed</v>
          </cell>
        </row>
        <row r="65">
          <cell r="B65">
            <v>46079</v>
          </cell>
          <cell r="C65" t="str">
            <v>Closed</v>
          </cell>
        </row>
        <row r="66">
          <cell r="B66">
            <v>46080</v>
          </cell>
          <cell r="C66" t="str">
            <v>Closed</v>
          </cell>
        </row>
        <row r="67">
          <cell r="B67">
            <v>46081</v>
          </cell>
          <cell r="C67" t="str">
            <v>Zoo</v>
          </cell>
        </row>
        <row r="68">
          <cell r="B68">
            <v>46082</v>
          </cell>
          <cell r="C68" t="str">
            <v>Zoo</v>
          </cell>
        </row>
        <row r="69">
          <cell r="B69">
            <v>46083</v>
          </cell>
          <cell r="C69" t="str">
            <v>Closed</v>
          </cell>
        </row>
        <row r="70">
          <cell r="B70">
            <v>46084</v>
          </cell>
          <cell r="C70" t="str">
            <v>Closed</v>
          </cell>
        </row>
        <row r="71">
          <cell r="B71">
            <v>46085</v>
          </cell>
          <cell r="C71" t="str">
            <v>Closed</v>
          </cell>
        </row>
        <row r="72">
          <cell r="B72">
            <v>46086</v>
          </cell>
          <cell r="C72" t="str">
            <v>Closed</v>
          </cell>
        </row>
        <row r="73">
          <cell r="B73">
            <v>46087</v>
          </cell>
          <cell r="C73" t="str">
            <v>Closed</v>
          </cell>
        </row>
        <row r="74">
          <cell r="B74">
            <v>46088</v>
          </cell>
          <cell r="C74" t="str">
            <v>Zoo</v>
          </cell>
        </row>
        <row r="75">
          <cell r="B75">
            <v>46089</v>
          </cell>
          <cell r="C75" t="str">
            <v>Zoo</v>
          </cell>
        </row>
        <row r="76">
          <cell r="B76">
            <v>46090</v>
          </cell>
          <cell r="C76" t="str">
            <v>Closed</v>
          </cell>
        </row>
        <row r="77">
          <cell r="B77">
            <v>46091</v>
          </cell>
          <cell r="C77" t="str">
            <v>Closed</v>
          </cell>
        </row>
        <row r="78">
          <cell r="B78">
            <v>46092</v>
          </cell>
          <cell r="C78" t="str">
            <v>Closed</v>
          </cell>
        </row>
        <row r="79">
          <cell r="B79">
            <v>46093</v>
          </cell>
          <cell r="C79" t="str">
            <v>Closed</v>
          </cell>
        </row>
        <row r="80">
          <cell r="B80">
            <v>46094</v>
          </cell>
          <cell r="C80" t="str">
            <v>Closed</v>
          </cell>
        </row>
        <row r="81">
          <cell r="B81">
            <v>46095</v>
          </cell>
          <cell r="C81" t="str">
            <v>Lodge 4PM</v>
          </cell>
        </row>
        <row r="82">
          <cell r="B82">
            <v>46096</v>
          </cell>
          <cell r="C82" t="str">
            <v>Explorer 5PM</v>
          </cell>
        </row>
        <row r="83">
          <cell r="B83">
            <v>46097</v>
          </cell>
          <cell r="C83" t="str">
            <v>Closed</v>
          </cell>
        </row>
        <row r="84">
          <cell r="B84">
            <v>46098</v>
          </cell>
          <cell r="C84" t="str">
            <v>Closed</v>
          </cell>
        </row>
        <row r="85">
          <cell r="B85">
            <v>46099</v>
          </cell>
          <cell r="C85" t="str">
            <v>Closed</v>
          </cell>
        </row>
        <row r="86">
          <cell r="B86">
            <v>46100</v>
          </cell>
          <cell r="C86" t="str">
            <v>Closed</v>
          </cell>
        </row>
        <row r="87">
          <cell r="B87">
            <v>46101</v>
          </cell>
          <cell r="C87" t="str">
            <v>Explorer 5PM</v>
          </cell>
        </row>
        <row r="88">
          <cell r="B88">
            <v>46102</v>
          </cell>
          <cell r="C88" t="str">
            <v>Explorer 5PM</v>
          </cell>
        </row>
        <row r="89">
          <cell r="B89">
            <v>46103</v>
          </cell>
          <cell r="C89" t="str">
            <v>Explorer 5PM</v>
          </cell>
        </row>
        <row r="90">
          <cell r="B90">
            <v>46104</v>
          </cell>
          <cell r="C90" t="str">
            <v>Lodge 5PM</v>
          </cell>
        </row>
        <row r="91">
          <cell r="B91">
            <v>46105</v>
          </cell>
          <cell r="C91" t="str">
            <v>Closed</v>
          </cell>
        </row>
        <row r="92">
          <cell r="B92">
            <v>46106</v>
          </cell>
          <cell r="C92" t="str">
            <v>Closed</v>
          </cell>
        </row>
        <row r="93">
          <cell r="B93">
            <v>46107</v>
          </cell>
          <cell r="C93" t="str">
            <v>Explorer 5PM</v>
          </cell>
        </row>
        <row r="94">
          <cell r="B94">
            <v>46108</v>
          </cell>
          <cell r="C94" t="str">
            <v>Explorer 5PM</v>
          </cell>
        </row>
        <row r="95">
          <cell r="B95">
            <v>46109</v>
          </cell>
          <cell r="C95" t="str">
            <v>Explorer 5PM</v>
          </cell>
        </row>
        <row r="96">
          <cell r="B96">
            <v>46110</v>
          </cell>
          <cell r="C96" t="str">
            <v>Explorer 5PM</v>
          </cell>
        </row>
        <row r="97">
          <cell r="B97">
            <v>46111</v>
          </cell>
          <cell r="C97" t="str">
            <v>Explorer 5PM</v>
          </cell>
        </row>
        <row r="98">
          <cell r="B98">
            <v>46112</v>
          </cell>
          <cell r="C98" t="str">
            <v>Explorer 5PM</v>
          </cell>
        </row>
        <row r="99">
          <cell r="B99">
            <v>46113</v>
          </cell>
          <cell r="C99" t="str">
            <v>Explorer 5PM</v>
          </cell>
        </row>
        <row r="100">
          <cell r="B100">
            <v>46114</v>
          </cell>
          <cell r="C100" t="str">
            <v>Explorer 5PM</v>
          </cell>
        </row>
        <row r="101">
          <cell r="B101">
            <v>46115</v>
          </cell>
          <cell r="C101" t="str">
            <v>Explorer + 6PM</v>
          </cell>
        </row>
        <row r="102">
          <cell r="B102">
            <v>46116</v>
          </cell>
          <cell r="C102" t="str">
            <v>Explorer + 6PM</v>
          </cell>
        </row>
        <row r="103">
          <cell r="B103">
            <v>46117</v>
          </cell>
          <cell r="C103" t="str">
            <v>Explorer 6PM</v>
          </cell>
        </row>
        <row r="104">
          <cell r="B104">
            <v>46118</v>
          </cell>
          <cell r="C104" t="str">
            <v>Explorer 6PM</v>
          </cell>
        </row>
        <row r="105">
          <cell r="B105">
            <v>46119</v>
          </cell>
          <cell r="C105" t="str">
            <v>Explorer 6PM</v>
          </cell>
        </row>
        <row r="106">
          <cell r="B106">
            <v>46120</v>
          </cell>
          <cell r="C106" t="str">
            <v>Explorer + 6PM</v>
          </cell>
        </row>
        <row r="107">
          <cell r="B107">
            <v>46121</v>
          </cell>
          <cell r="C107" t="str">
            <v>Explorer + 6PM</v>
          </cell>
        </row>
        <row r="108">
          <cell r="B108">
            <v>46122</v>
          </cell>
          <cell r="C108" t="str">
            <v>Explorer + 6PM</v>
          </cell>
        </row>
        <row r="109">
          <cell r="B109">
            <v>46123</v>
          </cell>
          <cell r="C109" t="str">
            <v>Explorer + 6PM</v>
          </cell>
        </row>
        <row r="110">
          <cell r="B110">
            <v>46124</v>
          </cell>
          <cell r="C110" t="str">
            <v>Explorer 6PM</v>
          </cell>
        </row>
        <row r="111">
          <cell r="B111">
            <v>46125</v>
          </cell>
          <cell r="C111" t="str">
            <v>Explorer 5PM</v>
          </cell>
        </row>
        <row r="112">
          <cell r="B112">
            <v>46126</v>
          </cell>
          <cell r="C112" t="str">
            <v>Closed</v>
          </cell>
        </row>
        <row r="113">
          <cell r="B113">
            <v>46127</v>
          </cell>
          <cell r="C113" t="str">
            <v>Closed</v>
          </cell>
        </row>
        <row r="114">
          <cell r="B114">
            <v>46128</v>
          </cell>
          <cell r="C114" t="str">
            <v>Lodge 5PM</v>
          </cell>
        </row>
        <row r="115">
          <cell r="B115">
            <v>46129</v>
          </cell>
          <cell r="C115" t="str">
            <v>Lodge 5PM</v>
          </cell>
        </row>
        <row r="116">
          <cell r="B116">
            <v>46130</v>
          </cell>
          <cell r="C116" t="str">
            <v>Explorer 5PM</v>
          </cell>
        </row>
        <row r="117">
          <cell r="B117">
            <v>46131</v>
          </cell>
          <cell r="C117" t="str">
            <v>Explorer 5PM</v>
          </cell>
        </row>
        <row r="118">
          <cell r="B118">
            <v>46132</v>
          </cell>
          <cell r="C118" t="str">
            <v>Explorer 5PM</v>
          </cell>
        </row>
        <row r="119">
          <cell r="B119">
            <v>46133</v>
          </cell>
          <cell r="C119" t="str">
            <v>Closed</v>
          </cell>
        </row>
        <row r="120">
          <cell r="B120">
            <v>46134</v>
          </cell>
          <cell r="C120" t="str">
            <v>Closed</v>
          </cell>
        </row>
        <row r="121">
          <cell r="B121">
            <v>46135</v>
          </cell>
          <cell r="C121" t="str">
            <v>Lodge 5PM</v>
          </cell>
        </row>
        <row r="122">
          <cell r="B122">
            <v>46136</v>
          </cell>
          <cell r="C122" t="str">
            <v>Lodge 5PM</v>
          </cell>
        </row>
        <row r="123">
          <cell r="B123">
            <v>46137</v>
          </cell>
          <cell r="C123" t="str">
            <v>Explorer 5PM</v>
          </cell>
        </row>
        <row r="124">
          <cell r="B124">
            <v>46138</v>
          </cell>
          <cell r="C124" t="str">
            <v>Explorer 5PM</v>
          </cell>
        </row>
        <row r="125">
          <cell r="B125">
            <v>46139</v>
          </cell>
          <cell r="C125" t="str">
            <v>Lodge 5PM</v>
          </cell>
        </row>
        <row r="126">
          <cell r="B126">
            <v>46140</v>
          </cell>
          <cell r="C126" t="str">
            <v>Closed</v>
          </cell>
        </row>
        <row r="127">
          <cell r="B127">
            <v>46141</v>
          </cell>
          <cell r="C127" t="str">
            <v>Closed</v>
          </cell>
        </row>
        <row r="128">
          <cell r="B128">
            <v>46142</v>
          </cell>
          <cell r="C128" t="str">
            <v>Lodge 5PM</v>
          </cell>
        </row>
        <row r="129">
          <cell r="B129">
            <v>46143</v>
          </cell>
          <cell r="C129" t="str">
            <v>Lodge 5PM</v>
          </cell>
        </row>
        <row r="130">
          <cell r="B130">
            <v>46144</v>
          </cell>
          <cell r="C130" t="str">
            <v>Explorer + 6PM</v>
          </cell>
        </row>
        <row r="131">
          <cell r="B131">
            <v>46145</v>
          </cell>
          <cell r="C131" t="str">
            <v>Explorer 6PM</v>
          </cell>
        </row>
        <row r="132">
          <cell r="B132">
            <v>46146</v>
          </cell>
          <cell r="C132" t="str">
            <v>Explorer 6PM</v>
          </cell>
        </row>
        <row r="133">
          <cell r="B133">
            <v>46147</v>
          </cell>
          <cell r="C133" t="str">
            <v>Lodge 5PM</v>
          </cell>
        </row>
        <row r="134">
          <cell r="B134">
            <v>46148</v>
          </cell>
          <cell r="C134" t="str">
            <v>Lodge 5PM</v>
          </cell>
        </row>
        <row r="135">
          <cell r="B135">
            <v>46149</v>
          </cell>
          <cell r="C135" t="str">
            <v>Lodge 5PM</v>
          </cell>
        </row>
        <row r="136">
          <cell r="B136">
            <v>46150</v>
          </cell>
          <cell r="C136" t="str">
            <v>Lodge 5PM</v>
          </cell>
        </row>
        <row r="137">
          <cell r="B137">
            <v>46151</v>
          </cell>
          <cell r="C137" t="str">
            <v>Explorer 5PM</v>
          </cell>
        </row>
        <row r="138">
          <cell r="B138">
            <v>46152</v>
          </cell>
          <cell r="C138" t="str">
            <v>Explorer 5PM</v>
          </cell>
        </row>
        <row r="139">
          <cell r="B139">
            <v>46153</v>
          </cell>
          <cell r="C139" t="str">
            <v>Lodge 5PM</v>
          </cell>
        </row>
        <row r="140">
          <cell r="B140">
            <v>46154</v>
          </cell>
          <cell r="C140" t="str">
            <v>Lodge 5PM</v>
          </cell>
        </row>
        <row r="141">
          <cell r="B141">
            <v>46155</v>
          </cell>
          <cell r="C141" t="str">
            <v>Lodge 5PM</v>
          </cell>
        </row>
        <row r="142">
          <cell r="B142">
            <v>46156</v>
          </cell>
          <cell r="C142" t="str">
            <v>Lodge 5PM</v>
          </cell>
        </row>
        <row r="143">
          <cell r="B143">
            <v>46157</v>
          </cell>
          <cell r="C143" t="str">
            <v>Explorer 5PM</v>
          </cell>
        </row>
        <row r="144">
          <cell r="B144">
            <v>46158</v>
          </cell>
          <cell r="C144" t="str">
            <v>Explorer 5PM</v>
          </cell>
        </row>
        <row r="145">
          <cell r="B145">
            <v>46159</v>
          </cell>
          <cell r="C145" t="str">
            <v>Explorer 5PM</v>
          </cell>
        </row>
        <row r="146">
          <cell r="B146">
            <v>46160</v>
          </cell>
          <cell r="C146" t="str">
            <v>Explorer 5PM</v>
          </cell>
        </row>
        <row r="147">
          <cell r="B147">
            <v>46161</v>
          </cell>
          <cell r="C147" t="str">
            <v>Lodge 5PM</v>
          </cell>
        </row>
        <row r="148">
          <cell r="B148">
            <v>46162</v>
          </cell>
          <cell r="C148" t="str">
            <v>Lodge 5PM</v>
          </cell>
        </row>
        <row r="149">
          <cell r="B149">
            <v>46163</v>
          </cell>
          <cell r="C149" t="str">
            <v>Explorer 5PM</v>
          </cell>
        </row>
        <row r="150">
          <cell r="B150">
            <v>46164</v>
          </cell>
          <cell r="C150" t="str">
            <v>Explorer 6PM</v>
          </cell>
        </row>
        <row r="151">
          <cell r="B151">
            <v>46165</v>
          </cell>
          <cell r="C151" t="str">
            <v>Explorer 6PM</v>
          </cell>
        </row>
        <row r="152">
          <cell r="B152">
            <v>46166</v>
          </cell>
          <cell r="C152" t="str">
            <v>Explorer 6PM</v>
          </cell>
        </row>
        <row r="153">
          <cell r="B153">
            <v>46167</v>
          </cell>
          <cell r="C153" t="str">
            <v>Explorer 6PM</v>
          </cell>
        </row>
        <row r="154">
          <cell r="B154">
            <v>46168</v>
          </cell>
          <cell r="C154" t="str">
            <v>Explorer 6PM</v>
          </cell>
        </row>
        <row r="155">
          <cell r="B155">
            <v>46169</v>
          </cell>
          <cell r="C155" t="str">
            <v>Explorer 6PM</v>
          </cell>
        </row>
        <row r="156">
          <cell r="B156">
            <v>46170</v>
          </cell>
          <cell r="C156" t="str">
            <v>Explorer 6PM</v>
          </cell>
        </row>
        <row r="157">
          <cell r="B157">
            <v>46171</v>
          </cell>
          <cell r="C157" t="str">
            <v>Explorer + 6PM</v>
          </cell>
        </row>
        <row r="158">
          <cell r="B158">
            <v>46172</v>
          </cell>
          <cell r="C158" t="str">
            <v>Explorer + 6PM</v>
          </cell>
        </row>
        <row r="159">
          <cell r="B159">
            <v>46173</v>
          </cell>
          <cell r="C159" t="str">
            <v>Explorer 6PM</v>
          </cell>
        </row>
        <row r="160">
          <cell r="B160">
            <v>46174</v>
          </cell>
          <cell r="C160" t="str">
            <v>Explorer 6PM</v>
          </cell>
        </row>
        <row r="161">
          <cell r="B161">
            <v>46175</v>
          </cell>
          <cell r="C161" t="str">
            <v>Lodge 5PM</v>
          </cell>
        </row>
        <row r="162">
          <cell r="B162">
            <v>46176</v>
          </cell>
          <cell r="C162" t="str">
            <v>Lodge 5PM</v>
          </cell>
        </row>
        <row r="163">
          <cell r="B163">
            <v>46177</v>
          </cell>
          <cell r="C163" t="str">
            <v>Lodge 5PM</v>
          </cell>
        </row>
        <row r="164">
          <cell r="B164">
            <v>46178</v>
          </cell>
          <cell r="C164" t="str">
            <v>Explorer 5PM</v>
          </cell>
        </row>
        <row r="165">
          <cell r="B165">
            <v>46179</v>
          </cell>
          <cell r="C165" t="str">
            <v>Explorer 6PM</v>
          </cell>
        </row>
        <row r="166">
          <cell r="B166">
            <v>46180</v>
          </cell>
          <cell r="C166" t="str">
            <v>Explorer + 6PM</v>
          </cell>
        </row>
        <row r="167">
          <cell r="B167">
            <v>46181</v>
          </cell>
          <cell r="C167" t="str">
            <v>Lodge 5PM</v>
          </cell>
        </row>
        <row r="168">
          <cell r="B168">
            <v>46182</v>
          </cell>
          <cell r="C168" t="str">
            <v>Lodge 5PM</v>
          </cell>
        </row>
        <row r="169">
          <cell r="B169">
            <v>46183</v>
          </cell>
          <cell r="C169" t="str">
            <v>Explorer 5PM</v>
          </cell>
        </row>
        <row r="170">
          <cell r="B170">
            <v>46184</v>
          </cell>
          <cell r="C170" t="str">
            <v>Lodge 5PM</v>
          </cell>
        </row>
        <row r="171">
          <cell r="B171">
            <v>46185</v>
          </cell>
          <cell r="C171" t="str">
            <v>Lodge 5PM</v>
          </cell>
        </row>
        <row r="172">
          <cell r="B172">
            <v>46186</v>
          </cell>
          <cell r="C172" t="str">
            <v>Explorer 6PM</v>
          </cell>
        </row>
        <row r="173">
          <cell r="B173">
            <v>46187</v>
          </cell>
          <cell r="C173" t="str">
            <v>Explorer 6PM</v>
          </cell>
        </row>
        <row r="174">
          <cell r="B174">
            <v>46188</v>
          </cell>
          <cell r="C174" t="str">
            <v>Lodge 5PM</v>
          </cell>
        </row>
        <row r="175">
          <cell r="B175">
            <v>46189</v>
          </cell>
          <cell r="C175" t="str">
            <v>Lodge 5PM</v>
          </cell>
        </row>
        <row r="176">
          <cell r="B176">
            <v>46190</v>
          </cell>
          <cell r="C176" t="str">
            <v>Lodge 5PM</v>
          </cell>
        </row>
        <row r="177">
          <cell r="B177">
            <v>46191</v>
          </cell>
          <cell r="C177" t="str">
            <v>Lodge 5PM</v>
          </cell>
        </row>
        <row r="178">
          <cell r="B178">
            <v>46192</v>
          </cell>
          <cell r="C178" t="str">
            <v>Explorer 5PM</v>
          </cell>
        </row>
        <row r="179">
          <cell r="B179">
            <v>46193</v>
          </cell>
          <cell r="C179" t="str">
            <v>Explorer 6PM</v>
          </cell>
        </row>
        <row r="180">
          <cell r="B180">
            <v>46194</v>
          </cell>
          <cell r="C180" t="str">
            <v>Explorer 6PM</v>
          </cell>
        </row>
        <row r="181">
          <cell r="B181">
            <v>46195</v>
          </cell>
          <cell r="C181" t="str">
            <v>Explorer 5PM</v>
          </cell>
        </row>
        <row r="182">
          <cell r="B182">
            <v>46196</v>
          </cell>
          <cell r="C182" t="str">
            <v>Explorer 5PM</v>
          </cell>
        </row>
        <row r="183">
          <cell r="B183">
            <v>46197</v>
          </cell>
          <cell r="C183" t="str">
            <v>Explorer 5PM</v>
          </cell>
        </row>
        <row r="184">
          <cell r="B184">
            <v>46198</v>
          </cell>
          <cell r="C184" t="str">
            <v>Explorer 5PM</v>
          </cell>
        </row>
        <row r="185">
          <cell r="B185">
            <v>46199</v>
          </cell>
          <cell r="C185" t="str">
            <v>Explorer + 5PM</v>
          </cell>
        </row>
        <row r="186">
          <cell r="B186">
            <v>46200</v>
          </cell>
          <cell r="C186" t="str">
            <v>Explorer 6PM</v>
          </cell>
        </row>
        <row r="187">
          <cell r="B187">
            <v>46201</v>
          </cell>
          <cell r="C187" t="str">
            <v>Explorer 6PM</v>
          </cell>
        </row>
        <row r="188">
          <cell r="B188">
            <v>46202</v>
          </cell>
          <cell r="C188" t="str">
            <v>Lodge + Sch Exp</v>
          </cell>
        </row>
        <row r="189">
          <cell r="B189">
            <v>46203</v>
          </cell>
          <cell r="C189" t="str">
            <v>Lodge + Sch Exp</v>
          </cell>
        </row>
        <row r="190">
          <cell r="B190">
            <v>46204</v>
          </cell>
          <cell r="C190" t="str">
            <v>Lodge + Sch Exp</v>
          </cell>
        </row>
        <row r="191">
          <cell r="B191">
            <v>46205</v>
          </cell>
          <cell r="C191" t="str">
            <v>Lodge + Sch Exp</v>
          </cell>
        </row>
        <row r="192">
          <cell r="B192">
            <v>46206</v>
          </cell>
          <cell r="C192" t="str">
            <v>Lodge + Sch Exp</v>
          </cell>
        </row>
        <row r="193">
          <cell r="B193">
            <v>46207</v>
          </cell>
          <cell r="C193" t="str">
            <v>Explorer 6PM</v>
          </cell>
        </row>
        <row r="194">
          <cell r="B194">
            <v>46208</v>
          </cell>
          <cell r="C194" t="str">
            <v>Explorer 6PM</v>
          </cell>
        </row>
        <row r="195">
          <cell r="B195">
            <v>46209</v>
          </cell>
          <cell r="C195" t="str">
            <v>Lodge + Sch Exp</v>
          </cell>
        </row>
        <row r="196">
          <cell r="B196">
            <v>46210</v>
          </cell>
          <cell r="C196" t="str">
            <v>Lodge + Sch Exp</v>
          </cell>
        </row>
        <row r="197">
          <cell r="B197">
            <v>46211</v>
          </cell>
          <cell r="C197" t="str">
            <v>Lodge + Sch Exp</v>
          </cell>
        </row>
        <row r="198">
          <cell r="B198">
            <v>46212</v>
          </cell>
          <cell r="C198" t="str">
            <v>Lodge + Sch Exp</v>
          </cell>
        </row>
        <row r="199">
          <cell r="B199">
            <v>46213</v>
          </cell>
          <cell r="C199" t="str">
            <v>Lodge + Sch Exp</v>
          </cell>
        </row>
        <row r="200">
          <cell r="B200">
            <v>46214</v>
          </cell>
          <cell r="C200" t="str">
            <v>Explorer 6PM</v>
          </cell>
        </row>
        <row r="201">
          <cell r="B201">
            <v>46215</v>
          </cell>
          <cell r="C201" t="str">
            <v>Explorer 6PM</v>
          </cell>
        </row>
        <row r="202">
          <cell r="B202">
            <v>46216</v>
          </cell>
          <cell r="C202" t="str">
            <v>Explorer 5PM</v>
          </cell>
        </row>
        <row r="203">
          <cell r="B203">
            <v>46217</v>
          </cell>
          <cell r="C203" t="str">
            <v>Explorer 5PM</v>
          </cell>
        </row>
        <row r="204">
          <cell r="B204">
            <v>46218</v>
          </cell>
          <cell r="C204" t="str">
            <v>Explorer 5PM</v>
          </cell>
        </row>
        <row r="205">
          <cell r="B205">
            <v>46219</v>
          </cell>
          <cell r="C205" t="str">
            <v>Explorer + 5PM</v>
          </cell>
        </row>
        <row r="206">
          <cell r="B206">
            <v>46220</v>
          </cell>
          <cell r="C206" t="str">
            <v>Explorer 5PM</v>
          </cell>
        </row>
        <row r="207">
          <cell r="B207">
            <v>46221</v>
          </cell>
          <cell r="C207" t="str">
            <v>Explorer + 6PM</v>
          </cell>
        </row>
        <row r="208">
          <cell r="B208">
            <v>46222</v>
          </cell>
          <cell r="C208" t="str">
            <v>Explorer + 6PM</v>
          </cell>
        </row>
        <row r="209">
          <cell r="B209">
            <v>46223</v>
          </cell>
          <cell r="C209" t="str">
            <v>Explorer + 5PM</v>
          </cell>
        </row>
        <row r="210">
          <cell r="B210">
            <v>46224</v>
          </cell>
          <cell r="C210" t="str">
            <v>Explorer + 5PM</v>
          </cell>
        </row>
        <row r="211">
          <cell r="B211">
            <v>46225</v>
          </cell>
          <cell r="C211" t="str">
            <v>Explorer + 5PM</v>
          </cell>
        </row>
        <row r="212">
          <cell r="B212">
            <v>46226</v>
          </cell>
          <cell r="C212" t="str">
            <v>Explorer + 5PM</v>
          </cell>
        </row>
        <row r="213">
          <cell r="B213">
            <v>46227</v>
          </cell>
          <cell r="C213" t="str">
            <v>Explorer + 5PM</v>
          </cell>
        </row>
        <row r="214">
          <cell r="B214">
            <v>46228</v>
          </cell>
          <cell r="C214" t="str">
            <v>Explorer 6PM</v>
          </cell>
        </row>
        <row r="215">
          <cell r="B215">
            <v>46229</v>
          </cell>
          <cell r="C215" t="str">
            <v>Explorer 6PM</v>
          </cell>
        </row>
        <row r="216">
          <cell r="B216">
            <v>46230</v>
          </cell>
          <cell r="C216" t="str">
            <v>Explorer 6PM</v>
          </cell>
        </row>
        <row r="217">
          <cell r="B217">
            <v>46231</v>
          </cell>
          <cell r="C217" t="str">
            <v>Explorer 6PM</v>
          </cell>
        </row>
        <row r="218">
          <cell r="B218">
            <v>46232</v>
          </cell>
          <cell r="C218" t="str">
            <v>Explorer 6PM</v>
          </cell>
        </row>
        <row r="219">
          <cell r="B219">
            <v>46233</v>
          </cell>
          <cell r="C219" t="str">
            <v>Explorer 6PM</v>
          </cell>
        </row>
        <row r="220">
          <cell r="B220">
            <v>46234</v>
          </cell>
          <cell r="C220" t="str">
            <v>Explorer 6PM</v>
          </cell>
        </row>
        <row r="221">
          <cell r="B221">
            <v>46235</v>
          </cell>
          <cell r="C221" t="str">
            <v>Explorer + 6PM</v>
          </cell>
        </row>
        <row r="222">
          <cell r="B222">
            <v>46236</v>
          </cell>
          <cell r="C222" t="str">
            <v>Explorer 6PM</v>
          </cell>
        </row>
        <row r="223">
          <cell r="B223">
            <v>46237</v>
          </cell>
          <cell r="C223" t="str">
            <v>Explorer 6PM</v>
          </cell>
        </row>
        <row r="224">
          <cell r="B224">
            <v>46238</v>
          </cell>
          <cell r="C224" t="str">
            <v>Explorer 6PM</v>
          </cell>
        </row>
        <row r="225">
          <cell r="B225">
            <v>46239</v>
          </cell>
          <cell r="C225" t="str">
            <v>Explorer + 6PM</v>
          </cell>
        </row>
        <row r="226">
          <cell r="B226">
            <v>46240</v>
          </cell>
          <cell r="C226" t="str">
            <v>Explorer 6PM</v>
          </cell>
        </row>
        <row r="227">
          <cell r="B227">
            <v>46241</v>
          </cell>
          <cell r="C227" t="str">
            <v>Explorer 6PM</v>
          </cell>
        </row>
        <row r="228">
          <cell r="B228">
            <v>46242</v>
          </cell>
          <cell r="C228" t="str">
            <v>Explorer + 6PM</v>
          </cell>
        </row>
        <row r="229">
          <cell r="B229">
            <v>46243</v>
          </cell>
          <cell r="C229" t="str">
            <v>Explorer 6PM</v>
          </cell>
        </row>
        <row r="230">
          <cell r="B230">
            <v>46244</v>
          </cell>
          <cell r="C230" t="str">
            <v>Explorer 6PM</v>
          </cell>
        </row>
        <row r="231">
          <cell r="B231">
            <v>46245</v>
          </cell>
          <cell r="C231" t="str">
            <v>Explorer + 6PM</v>
          </cell>
        </row>
        <row r="232">
          <cell r="B232">
            <v>46246</v>
          </cell>
          <cell r="C232" t="str">
            <v>Explorer + 6PM</v>
          </cell>
        </row>
        <row r="233">
          <cell r="B233">
            <v>46247</v>
          </cell>
          <cell r="C233" t="str">
            <v>Explorer + 6PM</v>
          </cell>
        </row>
        <row r="234">
          <cell r="B234">
            <v>46248</v>
          </cell>
          <cell r="C234" t="str">
            <v>Explorer + 6PM</v>
          </cell>
        </row>
        <row r="235">
          <cell r="B235">
            <v>46249</v>
          </cell>
          <cell r="C235" t="str">
            <v>Explorer + 6PM</v>
          </cell>
        </row>
        <row r="236">
          <cell r="B236">
            <v>46250</v>
          </cell>
          <cell r="C236" t="str">
            <v>Explorer + 6PM</v>
          </cell>
        </row>
        <row r="237">
          <cell r="B237">
            <v>46251</v>
          </cell>
          <cell r="C237" t="str">
            <v>Explorer + 6PM</v>
          </cell>
        </row>
        <row r="238">
          <cell r="B238">
            <v>46252</v>
          </cell>
          <cell r="C238" t="str">
            <v>Explorer + 6PM</v>
          </cell>
        </row>
        <row r="239">
          <cell r="B239">
            <v>46253</v>
          </cell>
          <cell r="C239" t="str">
            <v>Explorer + 6PM</v>
          </cell>
        </row>
        <row r="240">
          <cell r="B240">
            <v>46254</v>
          </cell>
          <cell r="C240" t="str">
            <v>Explorer + 6PM</v>
          </cell>
        </row>
        <row r="241">
          <cell r="B241">
            <v>46255</v>
          </cell>
          <cell r="C241" t="str">
            <v>Explorer + 6PM</v>
          </cell>
        </row>
        <row r="242">
          <cell r="B242">
            <v>46256</v>
          </cell>
          <cell r="C242" t="str">
            <v>Explorer + 6PM</v>
          </cell>
        </row>
        <row r="243">
          <cell r="B243">
            <v>46257</v>
          </cell>
          <cell r="C243" t="str">
            <v>Explorer + 6PM</v>
          </cell>
        </row>
        <row r="244">
          <cell r="B244">
            <v>46258</v>
          </cell>
          <cell r="C244" t="str">
            <v>Explorer + 6PM</v>
          </cell>
        </row>
        <row r="245">
          <cell r="B245">
            <v>46259</v>
          </cell>
          <cell r="C245" t="str">
            <v>Explorer + 6PM</v>
          </cell>
        </row>
        <row r="246">
          <cell r="B246">
            <v>46260</v>
          </cell>
          <cell r="C246" t="str">
            <v>Explorer + 6PM</v>
          </cell>
        </row>
        <row r="247">
          <cell r="B247">
            <v>46261</v>
          </cell>
          <cell r="C247" t="str">
            <v>Explorer + 6PM</v>
          </cell>
        </row>
        <row r="248">
          <cell r="B248">
            <v>46262</v>
          </cell>
          <cell r="C248" t="str">
            <v>Explorer + 6PM</v>
          </cell>
        </row>
        <row r="249">
          <cell r="B249">
            <v>46263</v>
          </cell>
          <cell r="C249" t="str">
            <v>Explorer + 6PM</v>
          </cell>
        </row>
        <row r="250">
          <cell r="B250">
            <v>46264</v>
          </cell>
          <cell r="C250" t="str">
            <v>Explorer + 6PM</v>
          </cell>
        </row>
        <row r="251">
          <cell r="B251">
            <v>46265</v>
          </cell>
          <cell r="C251" t="str">
            <v>Explorer + 6PM</v>
          </cell>
        </row>
        <row r="252">
          <cell r="B252">
            <v>46266</v>
          </cell>
          <cell r="C252" t="str">
            <v>Explorer + 5PM</v>
          </cell>
        </row>
        <row r="253">
          <cell r="B253">
            <v>46267</v>
          </cell>
          <cell r="C253" t="str">
            <v>Explorer + 5PM</v>
          </cell>
        </row>
        <row r="254">
          <cell r="B254">
            <v>46268</v>
          </cell>
          <cell r="C254" t="str">
            <v>Lodge 5PM</v>
          </cell>
        </row>
        <row r="255">
          <cell r="B255">
            <v>46269</v>
          </cell>
          <cell r="C255" t="str">
            <v>Lodge 5PM</v>
          </cell>
        </row>
        <row r="256">
          <cell r="B256">
            <v>46270</v>
          </cell>
          <cell r="C256" t="str">
            <v>Explorer 6PM</v>
          </cell>
        </row>
        <row r="257">
          <cell r="B257">
            <v>46271</v>
          </cell>
          <cell r="C257" t="str">
            <v>Explorer 6PM</v>
          </cell>
        </row>
        <row r="258">
          <cell r="B258">
            <v>46272</v>
          </cell>
          <cell r="C258" t="str">
            <v>Lodge 5PM</v>
          </cell>
        </row>
        <row r="259">
          <cell r="B259">
            <v>46273</v>
          </cell>
          <cell r="C259" t="str">
            <v>Closed</v>
          </cell>
        </row>
        <row r="260">
          <cell r="B260">
            <v>46274</v>
          </cell>
          <cell r="C260" t="str">
            <v>Closed</v>
          </cell>
        </row>
        <row r="261">
          <cell r="B261">
            <v>46275</v>
          </cell>
          <cell r="C261" t="str">
            <v>Lodge 5PM</v>
          </cell>
        </row>
        <row r="262">
          <cell r="B262">
            <v>46276</v>
          </cell>
          <cell r="C262" t="str">
            <v>Lodge 5PM</v>
          </cell>
        </row>
        <row r="263">
          <cell r="B263">
            <v>46277</v>
          </cell>
          <cell r="C263" t="str">
            <v>Explorer 5PM</v>
          </cell>
        </row>
        <row r="264">
          <cell r="B264">
            <v>46278</v>
          </cell>
          <cell r="C264" t="str">
            <v>Explorer 5PM</v>
          </cell>
        </row>
        <row r="265">
          <cell r="B265">
            <v>46279</v>
          </cell>
          <cell r="C265" t="str">
            <v>Lodge 5PM</v>
          </cell>
        </row>
        <row r="266">
          <cell r="B266">
            <v>46280</v>
          </cell>
          <cell r="C266" t="str">
            <v>Closed</v>
          </cell>
        </row>
        <row r="267">
          <cell r="B267">
            <v>46281</v>
          </cell>
          <cell r="C267" t="str">
            <v>Closed</v>
          </cell>
        </row>
        <row r="268">
          <cell r="B268">
            <v>46282</v>
          </cell>
          <cell r="C268" t="str">
            <v>Lodge 5PM</v>
          </cell>
        </row>
        <row r="269">
          <cell r="B269">
            <v>46283</v>
          </cell>
          <cell r="C269" t="str">
            <v>Lodge 5PM</v>
          </cell>
        </row>
        <row r="270">
          <cell r="B270">
            <v>46284</v>
          </cell>
          <cell r="C270" t="str">
            <v>Explorer 5PM</v>
          </cell>
        </row>
        <row r="271">
          <cell r="B271">
            <v>46285</v>
          </cell>
          <cell r="C271" t="str">
            <v>Explorer 5PM</v>
          </cell>
        </row>
        <row r="272">
          <cell r="B272">
            <v>46286</v>
          </cell>
          <cell r="C272" t="str">
            <v>Lodge 5PM</v>
          </cell>
        </row>
        <row r="273">
          <cell r="B273">
            <v>46287</v>
          </cell>
          <cell r="C273" t="str">
            <v>Closed</v>
          </cell>
        </row>
        <row r="274">
          <cell r="B274">
            <v>46288</v>
          </cell>
          <cell r="C274" t="str">
            <v>Closed</v>
          </cell>
        </row>
        <row r="275">
          <cell r="B275">
            <v>46289</v>
          </cell>
          <cell r="C275" t="str">
            <v>Lodge 5PM</v>
          </cell>
        </row>
        <row r="276">
          <cell r="B276">
            <v>46290</v>
          </cell>
          <cell r="C276" t="str">
            <v>Lodge 5PM</v>
          </cell>
        </row>
        <row r="277">
          <cell r="B277">
            <v>46291</v>
          </cell>
          <cell r="C277" t="str">
            <v>Explorer 5PM</v>
          </cell>
        </row>
        <row r="278">
          <cell r="B278">
            <v>46292</v>
          </cell>
          <cell r="C278" t="str">
            <v>Explorer 5PM</v>
          </cell>
        </row>
        <row r="279">
          <cell r="B279">
            <v>46293</v>
          </cell>
          <cell r="C279" t="str">
            <v>Lodge 5PM</v>
          </cell>
        </row>
        <row r="280">
          <cell r="B280">
            <v>46294</v>
          </cell>
          <cell r="C280" t="str">
            <v>Closed</v>
          </cell>
        </row>
        <row r="281">
          <cell r="B281">
            <v>46295</v>
          </cell>
          <cell r="C281" t="str">
            <v>Closed</v>
          </cell>
        </row>
        <row r="282">
          <cell r="B282">
            <v>46296</v>
          </cell>
          <cell r="C282" t="str">
            <v>Lodge 5PM</v>
          </cell>
        </row>
        <row r="283">
          <cell r="B283">
            <v>46297</v>
          </cell>
          <cell r="C283" t="str">
            <v>Lodge 5PM</v>
          </cell>
        </row>
        <row r="284">
          <cell r="B284">
            <v>46298</v>
          </cell>
          <cell r="C284" t="str">
            <v>Explorer 5PM</v>
          </cell>
        </row>
        <row r="285">
          <cell r="B285">
            <v>46299</v>
          </cell>
          <cell r="C285" t="str">
            <v>Explorer 5PM</v>
          </cell>
        </row>
        <row r="286">
          <cell r="B286">
            <v>46300</v>
          </cell>
          <cell r="C286" t="str">
            <v>Lodge 5PM</v>
          </cell>
        </row>
        <row r="287">
          <cell r="B287">
            <v>46301</v>
          </cell>
          <cell r="C287" t="str">
            <v>Closed</v>
          </cell>
        </row>
        <row r="288">
          <cell r="B288">
            <v>46302</v>
          </cell>
          <cell r="C288" t="str">
            <v>Closed</v>
          </cell>
        </row>
        <row r="289">
          <cell r="B289">
            <v>46303</v>
          </cell>
          <cell r="C289" t="str">
            <v>Lodge 5PM</v>
          </cell>
        </row>
        <row r="290">
          <cell r="B290">
            <v>46304</v>
          </cell>
          <cell r="C290" t="str">
            <v>Lodge 5PM</v>
          </cell>
        </row>
        <row r="291">
          <cell r="B291">
            <v>46305</v>
          </cell>
          <cell r="C291" t="str">
            <v>Explorer 5PM</v>
          </cell>
        </row>
        <row r="292">
          <cell r="B292">
            <v>46306</v>
          </cell>
          <cell r="C292" t="str">
            <v>Explorer 5PM</v>
          </cell>
        </row>
        <row r="293">
          <cell r="B293">
            <v>46307</v>
          </cell>
          <cell r="C293" t="str">
            <v>Lodge 5PM</v>
          </cell>
        </row>
        <row r="294">
          <cell r="B294">
            <v>46308</v>
          </cell>
          <cell r="C294" t="str">
            <v>Closed</v>
          </cell>
        </row>
        <row r="295">
          <cell r="B295">
            <v>46309</v>
          </cell>
          <cell r="C295" t="str">
            <v>Closed</v>
          </cell>
        </row>
        <row r="296">
          <cell r="B296">
            <v>46310</v>
          </cell>
          <cell r="C296" t="str">
            <v>Lodge 5PM</v>
          </cell>
        </row>
        <row r="297">
          <cell r="B297">
            <v>46311</v>
          </cell>
          <cell r="C297" t="str">
            <v>Lodge 5PM</v>
          </cell>
        </row>
        <row r="298">
          <cell r="B298">
            <v>46312</v>
          </cell>
          <cell r="C298" t="str">
            <v>Explorer 5PM</v>
          </cell>
        </row>
        <row r="299">
          <cell r="B299">
            <v>46313</v>
          </cell>
          <cell r="C299" t="str">
            <v>Explorer 5PM</v>
          </cell>
        </row>
        <row r="300">
          <cell r="B300">
            <v>46314</v>
          </cell>
          <cell r="C300" t="str">
            <v>Explorer 5PM</v>
          </cell>
        </row>
        <row r="301">
          <cell r="B301">
            <v>46315</v>
          </cell>
          <cell r="C301" t="str">
            <v>Explorer 5PM</v>
          </cell>
        </row>
        <row r="302">
          <cell r="B302">
            <v>46316</v>
          </cell>
          <cell r="C302" t="str">
            <v>Explorer 5PM</v>
          </cell>
        </row>
        <row r="303">
          <cell r="B303">
            <v>46317</v>
          </cell>
          <cell r="C303" t="str">
            <v>Explorer 5PM</v>
          </cell>
        </row>
        <row r="304">
          <cell r="B304">
            <v>46318</v>
          </cell>
          <cell r="C304" t="str">
            <v>Explorer + 7pm</v>
          </cell>
        </row>
        <row r="305">
          <cell r="B305">
            <v>46319</v>
          </cell>
          <cell r="C305" t="str">
            <v>Explorer + 7pm</v>
          </cell>
        </row>
        <row r="306">
          <cell r="B306">
            <v>46320</v>
          </cell>
          <cell r="C306" t="str">
            <v>Explorer + 7pm</v>
          </cell>
        </row>
        <row r="307">
          <cell r="B307">
            <v>46321</v>
          </cell>
          <cell r="C307" t="str">
            <v>Explorer + 7pm</v>
          </cell>
        </row>
        <row r="308">
          <cell r="B308">
            <v>46322</v>
          </cell>
          <cell r="C308" t="str">
            <v>Explorer + 7pm</v>
          </cell>
        </row>
        <row r="309">
          <cell r="B309">
            <v>46323</v>
          </cell>
          <cell r="C309" t="str">
            <v>Explorer + 7pm</v>
          </cell>
        </row>
        <row r="310">
          <cell r="B310">
            <v>46324</v>
          </cell>
          <cell r="C310" t="str">
            <v>Explorer + 7pm</v>
          </cell>
        </row>
        <row r="311">
          <cell r="B311">
            <v>46325</v>
          </cell>
          <cell r="C311" t="str">
            <v>Explorer + 7pm</v>
          </cell>
        </row>
        <row r="312">
          <cell r="B312">
            <v>46326</v>
          </cell>
          <cell r="C312" t="str">
            <v>Explorer + 7pm</v>
          </cell>
        </row>
        <row r="313">
          <cell r="B313">
            <v>46327</v>
          </cell>
          <cell r="C313" t="str">
            <v>Explorer + 7pm</v>
          </cell>
        </row>
        <row r="314">
          <cell r="B314">
            <v>46328</v>
          </cell>
          <cell r="C314" t="str">
            <v>Closed</v>
          </cell>
        </row>
        <row r="315">
          <cell r="B315">
            <v>46329</v>
          </cell>
          <cell r="C315" t="str">
            <v>Closed</v>
          </cell>
        </row>
        <row r="316">
          <cell r="B316">
            <v>46330</v>
          </cell>
          <cell r="C316" t="str">
            <v>Closed</v>
          </cell>
        </row>
        <row r="317">
          <cell r="B317">
            <v>46331</v>
          </cell>
          <cell r="C317" t="str">
            <v>Closed</v>
          </cell>
        </row>
        <row r="318">
          <cell r="B318">
            <v>46332</v>
          </cell>
          <cell r="C318" t="str">
            <v>Closed</v>
          </cell>
        </row>
        <row r="319">
          <cell r="B319">
            <v>46333</v>
          </cell>
          <cell r="C319" t="str">
            <v>Explorer 5PM</v>
          </cell>
        </row>
        <row r="320">
          <cell r="B320">
            <v>46334</v>
          </cell>
          <cell r="C320" t="str">
            <v>Explorer 5PM</v>
          </cell>
        </row>
        <row r="321">
          <cell r="B321">
            <v>46335</v>
          </cell>
          <cell r="C321" t="str">
            <v>Closed</v>
          </cell>
        </row>
        <row r="322">
          <cell r="B322">
            <v>46336</v>
          </cell>
          <cell r="C322" t="str">
            <v>Closed</v>
          </cell>
        </row>
        <row r="323">
          <cell r="B323">
            <v>46337</v>
          </cell>
          <cell r="C323" t="str">
            <v>Closed</v>
          </cell>
        </row>
        <row r="324">
          <cell r="B324">
            <v>46338</v>
          </cell>
          <cell r="C324" t="str">
            <v>Closed</v>
          </cell>
        </row>
        <row r="325">
          <cell r="B325">
            <v>46339</v>
          </cell>
          <cell r="C325" t="str">
            <v>Closed</v>
          </cell>
        </row>
        <row r="326">
          <cell r="B326">
            <v>46340</v>
          </cell>
          <cell r="C326" t="str">
            <v>Explorer 5PM</v>
          </cell>
        </row>
        <row r="327">
          <cell r="B327">
            <v>46341</v>
          </cell>
          <cell r="C327" t="str">
            <v>Explorer 5PM</v>
          </cell>
        </row>
        <row r="328">
          <cell r="B328">
            <v>46342</v>
          </cell>
          <cell r="C328" t="str">
            <v>Closed</v>
          </cell>
        </row>
        <row r="329">
          <cell r="B329">
            <v>46343</v>
          </cell>
          <cell r="C329" t="str">
            <v>Closed</v>
          </cell>
        </row>
        <row r="330">
          <cell r="B330">
            <v>46344</v>
          </cell>
          <cell r="C330" t="str">
            <v>Closed</v>
          </cell>
        </row>
        <row r="331">
          <cell r="B331">
            <v>46345</v>
          </cell>
          <cell r="C331" t="str">
            <v>Closed</v>
          </cell>
        </row>
        <row r="332">
          <cell r="B332">
            <v>46346</v>
          </cell>
          <cell r="C332" t="str">
            <v>Closed</v>
          </cell>
        </row>
        <row r="333">
          <cell r="B333">
            <v>46347</v>
          </cell>
          <cell r="C333" t="str">
            <v>WT Off-Peak</v>
          </cell>
        </row>
        <row r="334">
          <cell r="B334">
            <v>46348</v>
          </cell>
          <cell r="C334" t="str">
            <v>WT Off-Peak</v>
          </cell>
        </row>
        <row r="335">
          <cell r="B335">
            <v>46349</v>
          </cell>
          <cell r="C335" t="str">
            <v>Closed</v>
          </cell>
        </row>
        <row r="336">
          <cell r="B336">
            <v>46350</v>
          </cell>
          <cell r="C336" t="str">
            <v>Closed</v>
          </cell>
        </row>
        <row r="337">
          <cell r="B337">
            <v>46351</v>
          </cell>
          <cell r="C337" t="str">
            <v>Closed</v>
          </cell>
        </row>
        <row r="338">
          <cell r="B338">
            <v>46352</v>
          </cell>
          <cell r="C338" t="str">
            <v>Closed</v>
          </cell>
        </row>
        <row r="339">
          <cell r="B339">
            <v>46353</v>
          </cell>
          <cell r="C339" t="str">
            <v>Closed</v>
          </cell>
        </row>
        <row r="340">
          <cell r="B340">
            <v>46354</v>
          </cell>
          <cell r="C340" t="str">
            <v>WT Peak</v>
          </cell>
        </row>
        <row r="341">
          <cell r="B341">
            <v>46355</v>
          </cell>
          <cell r="C341" t="str">
            <v>WT Peak</v>
          </cell>
        </row>
        <row r="342">
          <cell r="B342">
            <v>46356</v>
          </cell>
          <cell r="C342" t="str">
            <v>Closed</v>
          </cell>
        </row>
        <row r="343">
          <cell r="B343">
            <v>46357</v>
          </cell>
          <cell r="C343" t="str">
            <v>Closed</v>
          </cell>
        </row>
        <row r="344">
          <cell r="B344">
            <v>46358</v>
          </cell>
          <cell r="C344" t="str">
            <v>Closed</v>
          </cell>
        </row>
        <row r="345">
          <cell r="B345">
            <v>46359</v>
          </cell>
          <cell r="C345" t="str">
            <v>Closed</v>
          </cell>
        </row>
        <row r="346">
          <cell r="B346">
            <v>46360</v>
          </cell>
          <cell r="C346" t="str">
            <v>Closed</v>
          </cell>
        </row>
        <row r="347">
          <cell r="B347">
            <v>46361</v>
          </cell>
          <cell r="C347" t="str">
            <v>WT Peak</v>
          </cell>
        </row>
        <row r="348">
          <cell r="B348">
            <v>46362</v>
          </cell>
          <cell r="C348" t="str">
            <v>WT Peak</v>
          </cell>
        </row>
        <row r="349">
          <cell r="B349">
            <v>46363</v>
          </cell>
          <cell r="C349" t="str">
            <v>Closed</v>
          </cell>
        </row>
        <row r="350">
          <cell r="B350">
            <v>46364</v>
          </cell>
          <cell r="C350" t="str">
            <v>Closed</v>
          </cell>
        </row>
        <row r="351">
          <cell r="B351">
            <v>46365</v>
          </cell>
          <cell r="C351" t="str">
            <v>Closed</v>
          </cell>
        </row>
        <row r="352">
          <cell r="B352">
            <v>46366</v>
          </cell>
          <cell r="C352" t="str">
            <v>Closed</v>
          </cell>
        </row>
        <row r="353">
          <cell r="B353">
            <v>46367</v>
          </cell>
          <cell r="C353" t="str">
            <v>WT Off-Peak</v>
          </cell>
        </row>
        <row r="354">
          <cell r="B354">
            <v>46368</v>
          </cell>
          <cell r="C354" t="str">
            <v>WT Peak</v>
          </cell>
        </row>
        <row r="355">
          <cell r="B355">
            <v>46369</v>
          </cell>
          <cell r="C355" t="str">
            <v>WT Peak</v>
          </cell>
        </row>
        <row r="356">
          <cell r="B356">
            <v>46370</v>
          </cell>
          <cell r="C356" t="str">
            <v>WT Off-Peak</v>
          </cell>
        </row>
        <row r="357">
          <cell r="B357">
            <v>46371</v>
          </cell>
          <cell r="C357" t="str">
            <v>WT Off-Peak</v>
          </cell>
        </row>
        <row r="358">
          <cell r="B358">
            <v>46372</v>
          </cell>
          <cell r="C358" t="str">
            <v>WT Off-Peak</v>
          </cell>
        </row>
        <row r="359">
          <cell r="B359">
            <v>46373</v>
          </cell>
          <cell r="C359" t="str">
            <v>WT Off-Peak</v>
          </cell>
        </row>
        <row r="360">
          <cell r="B360">
            <v>46374</v>
          </cell>
          <cell r="C360" t="str">
            <v>WT Off-Peak</v>
          </cell>
        </row>
        <row r="361">
          <cell r="B361">
            <v>46375</v>
          </cell>
          <cell r="C361" t="str">
            <v>WT Peak</v>
          </cell>
        </row>
        <row r="362">
          <cell r="B362">
            <v>46376</v>
          </cell>
          <cell r="C362" t="str">
            <v>WT Peak</v>
          </cell>
        </row>
        <row r="363">
          <cell r="B363">
            <v>46377</v>
          </cell>
          <cell r="C363" t="str">
            <v>WT Peak</v>
          </cell>
        </row>
        <row r="364">
          <cell r="B364">
            <v>46378</v>
          </cell>
          <cell r="C364" t="str">
            <v>WT Peak</v>
          </cell>
        </row>
        <row r="365">
          <cell r="B365">
            <v>46379</v>
          </cell>
          <cell r="C365" t="str">
            <v>WT Peak</v>
          </cell>
        </row>
        <row r="366">
          <cell r="B366">
            <v>46380</v>
          </cell>
          <cell r="C366" t="str">
            <v>WT Peak</v>
          </cell>
        </row>
        <row r="367">
          <cell r="B367">
            <v>46381</v>
          </cell>
          <cell r="C367" t="str">
            <v>Closed</v>
          </cell>
        </row>
        <row r="368">
          <cell r="B368">
            <v>46382</v>
          </cell>
          <cell r="C368" t="str">
            <v>Closed</v>
          </cell>
        </row>
      </sheetData>
      <sheetData sheetId="2">
        <row r="5">
          <cell r="D5" t="str">
            <v>Croc Drop</v>
          </cell>
          <cell r="E5" t="str">
            <v>C1300-O</v>
          </cell>
          <cell r="F5" t="str">
            <v>Rides</v>
          </cell>
          <cell r="L5" t="str">
            <v>Rides - CrocDropAttendant</v>
          </cell>
          <cell r="M5" t="str">
            <v>Rides Attendant</v>
          </cell>
        </row>
        <row r="6">
          <cell r="D6" t="str">
            <v>Dragon's Fury</v>
          </cell>
          <cell r="E6" t="str">
            <v>C1300-O</v>
          </cell>
          <cell r="F6" t="str">
            <v>Rides</v>
          </cell>
          <cell r="L6" t="str">
            <v>Rides - CrocDropOperator</v>
          </cell>
          <cell r="M6" t="str">
            <v>Rides Operator</v>
          </cell>
        </row>
        <row r="7">
          <cell r="D7" t="str">
            <v>Jungle Rangers</v>
          </cell>
          <cell r="E7" t="str">
            <v>C1300-O</v>
          </cell>
          <cell r="F7" t="str">
            <v>Rides</v>
          </cell>
          <cell r="L7" t="str">
            <v>Rides - Dragon'sFuryAttendant</v>
          </cell>
          <cell r="M7" t="str">
            <v>Rides Attendant</v>
          </cell>
        </row>
        <row r="8">
          <cell r="D8" t="str">
            <v>Monkey Swinger</v>
          </cell>
          <cell r="E8" t="str">
            <v>C1300-O</v>
          </cell>
          <cell r="F8" t="str">
            <v>Rides</v>
          </cell>
          <cell r="L8" t="str">
            <v>Rides - Dragon'sFuryOperator</v>
          </cell>
          <cell r="M8" t="str">
            <v>Rides Operator</v>
          </cell>
        </row>
        <row r="9">
          <cell r="D9" t="str">
            <v>Paw Patrol Chase's</v>
          </cell>
          <cell r="E9" t="str">
            <v>C1300-O</v>
          </cell>
          <cell r="F9" t="str">
            <v>Rides</v>
          </cell>
          <cell r="L9" t="str">
            <v>Rides - JungleRangersAttendant</v>
          </cell>
          <cell r="M9" t="str">
            <v>Rides Attendant</v>
          </cell>
        </row>
        <row r="10">
          <cell r="D10" t="str">
            <v>Paw Patrol Skye's</v>
          </cell>
          <cell r="E10" t="str">
            <v>C1300-O</v>
          </cell>
          <cell r="F10" t="str">
            <v>Rides</v>
          </cell>
          <cell r="L10" t="str">
            <v>Rides - JungleRangersOperator</v>
          </cell>
          <cell r="M10" t="str">
            <v>Rides Operator</v>
          </cell>
        </row>
        <row r="11">
          <cell r="D11" t="str">
            <v>Paw Patrol Zuma's</v>
          </cell>
          <cell r="E11" t="str">
            <v>C1300-O</v>
          </cell>
          <cell r="F11" t="str">
            <v>Rides</v>
          </cell>
          <cell r="L11" t="str">
            <v>Rides - Monkey Swing Attendant</v>
          </cell>
          <cell r="M11" t="str">
            <v>Rides Attendant</v>
          </cell>
        </row>
        <row r="12">
          <cell r="D12" t="str">
            <v>Paw Patrol Marshall's</v>
          </cell>
          <cell r="E12" t="str">
            <v>C1300-O</v>
          </cell>
          <cell r="F12" t="str">
            <v>Rides</v>
          </cell>
          <cell r="L12" t="str">
            <v>Rides - Monkey Swing Operator</v>
          </cell>
          <cell r="M12" t="str">
            <v>Rides Operator</v>
          </cell>
        </row>
        <row r="13">
          <cell r="D13" t="str">
            <v>Rattlesnake</v>
          </cell>
          <cell r="E13" t="str">
            <v>C1300-O</v>
          </cell>
          <cell r="F13" t="str">
            <v>Rides</v>
          </cell>
          <cell r="L13" t="str">
            <v>Rides - Chase's Operator</v>
          </cell>
          <cell r="M13" t="str">
            <v>Rides Operator</v>
          </cell>
        </row>
        <row r="14">
          <cell r="D14" t="str">
            <v>River Rafts</v>
          </cell>
          <cell r="E14" t="str">
            <v>C1300-O</v>
          </cell>
          <cell r="F14" t="str">
            <v>Rides</v>
          </cell>
          <cell r="L14" t="str">
            <v>Rides -Chase's Attendant</v>
          </cell>
          <cell r="M14" t="str">
            <v>Rides Attendant</v>
          </cell>
        </row>
        <row r="15">
          <cell r="D15" t="str">
            <v>Tomb Blaster</v>
          </cell>
          <cell r="E15" t="str">
            <v>C1300-O</v>
          </cell>
          <cell r="F15" t="str">
            <v>Rides</v>
          </cell>
          <cell r="L15" t="str">
            <v>Rides - Skye's Operator</v>
          </cell>
          <cell r="M15" t="str">
            <v>Rides Operator</v>
          </cell>
        </row>
        <row r="16">
          <cell r="D16" t="str">
            <v>Tree Top Hoppers</v>
          </cell>
          <cell r="E16" t="str">
            <v>C1300-O</v>
          </cell>
          <cell r="F16" t="str">
            <v>Rides</v>
          </cell>
          <cell r="L16" t="str">
            <v>Rides -Skye's Attendant</v>
          </cell>
          <cell r="M16" t="str">
            <v>Rides Attendant</v>
          </cell>
        </row>
        <row r="17">
          <cell r="D17" t="str">
            <v>Zufari</v>
          </cell>
          <cell r="E17" t="str">
            <v>C1300-O</v>
          </cell>
          <cell r="F17" t="str">
            <v>Rides</v>
          </cell>
          <cell r="L17" t="str">
            <v>Rides - Zuma's Operator</v>
          </cell>
          <cell r="M17" t="str">
            <v>Rides Operator</v>
          </cell>
        </row>
        <row r="18">
          <cell r="D18" t="str">
            <v>Odyssey Rides Break Cover</v>
          </cell>
          <cell r="E18" t="str">
            <v>C1300-O</v>
          </cell>
          <cell r="F18" t="str">
            <v>Rides</v>
          </cell>
          <cell r="L18" t="str">
            <v>Rides -Zuma's Attendant</v>
          </cell>
          <cell r="M18" t="str">
            <v>Rides Attendant</v>
          </cell>
        </row>
        <row r="19">
          <cell r="L19" t="str">
            <v>Rides - Marshall's Operator</v>
          </cell>
          <cell r="M19" t="str">
            <v>Rides Operator</v>
          </cell>
        </row>
        <row r="20">
          <cell r="D20" t="str">
            <v>Croc Drop Shop</v>
          </cell>
          <cell r="E20" t="str">
            <v>C1150-O</v>
          </cell>
          <cell r="F20" t="str">
            <v>Retail</v>
          </cell>
          <cell r="L20" t="str">
            <v>Rides - Rattlesnake Operator</v>
          </cell>
          <cell r="M20" t="str">
            <v>Rides Operator</v>
          </cell>
        </row>
        <row r="21">
          <cell r="D21" t="str">
            <v>Freestyle &amp; Vending</v>
          </cell>
          <cell r="E21" t="str">
            <v>C1150-O</v>
          </cell>
          <cell r="F21" t="str">
            <v>Retail</v>
          </cell>
          <cell r="L21" t="str">
            <v>Rides - Rattlesnake Attendant</v>
          </cell>
          <cell r="M21" t="str">
            <v>Rides Attendant</v>
          </cell>
        </row>
        <row r="22">
          <cell r="D22" t="str">
            <v>Zufari Barrow</v>
          </cell>
          <cell r="E22" t="str">
            <v>C1150-O</v>
          </cell>
          <cell r="F22" t="str">
            <v>Retail</v>
          </cell>
          <cell r="L22" t="str">
            <v>Rides - RiverRaftsAttendant</v>
          </cell>
          <cell r="M22" t="str">
            <v>Rides Attendant</v>
          </cell>
        </row>
        <row r="23">
          <cell r="D23" t="str">
            <v>Paw Patrol Shop</v>
          </cell>
          <cell r="E23" t="str">
            <v>C1150-O</v>
          </cell>
          <cell r="F23" t="str">
            <v>Retail</v>
          </cell>
          <cell r="L23" t="str">
            <v>Rides - RiverRaftsOperator</v>
          </cell>
          <cell r="M23" t="str">
            <v>Rides Operator</v>
          </cell>
        </row>
        <row r="24">
          <cell r="D24" t="str">
            <v>Dragon Treats</v>
          </cell>
          <cell r="E24" t="str">
            <v>C1150-O</v>
          </cell>
          <cell r="F24" t="str">
            <v>Retail</v>
          </cell>
          <cell r="L24" t="str">
            <v>Rides - Tomb Blaster Attendant</v>
          </cell>
          <cell r="M24" t="str">
            <v>Rides Attendant</v>
          </cell>
        </row>
        <row r="25">
          <cell r="D25" t="str">
            <v>Odyssey Retail Break Cover</v>
          </cell>
          <cell r="E25" t="str">
            <v>C1150-O</v>
          </cell>
          <cell r="F25" t="str">
            <v>Retail</v>
          </cell>
          <cell r="L25" t="str">
            <v>Rides - Tomb Blaster Operator</v>
          </cell>
          <cell r="M25" t="str">
            <v>Rides Operator</v>
          </cell>
        </row>
        <row r="26">
          <cell r="L26" t="str">
            <v>Rides - TreetopHoppersOperator</v>
          </cell>
          <cell r="M26" t="str">
            <v>Rides Operator</v>
          </cell>
        </row>
        <row r="27">
          <cell r="D27" t="str">
            <v>Odyssey Zonal Leads</v>
          </cell>
          <cell r="E27" t="str">
            <v>C1900-O</v>
          </cell>
          <cell r="F27" t="str">
            <v>Zonal Leads</v>
          </cell>
          <cell r="L27" t="str">
            <v>Rides - Zufari Attendant</v>
          </cell>
          <cell r="M27" t="str">
            <v>Rides Attendant</v>
          </cell>
        </row>
        <row r="28">
          <cell r="L28" t="str">
            <v>Rides - Zufari Driver</v>
          </cell>
          <cell r="M28" t="str">
            <v>Rides Zufari Driver</v>
          </cell>
        </row>
        <row r="29">
          <cell r="L29" t="str">
            <v>Rides - Zufari Operator</v>
          </cell>
          <cell r="M29" t="str">
            <v>Rides Operator</v>
          </cell>
        </row>
        <row r="30">
          <cell r="L30" t="str">
            <v>Rides - Break Cover Attendant</v>
          </cell>
          <cell r="M30" t="str">
            <v>Rides Attendant</v>
          </cell>
        </row>
        <row r="31">
          <cell r="L31" t="str">
            <v>Rides - Break Cover Operator</v>
          </cell>
          <cell r="M31" t="str">
            <v>Rides Operator</v>
          </cell>
        </row>
        <row r="34">
          <cell r="L34" t="str">
            <v>Retail - Host</v>
          </cell>
          <cell r="M34" t="str">
            <v>Retail Host</v>
          </cell>
        </row>
        <row r="35">
          <cell r="L35" t="str">
            <v>Retail - Senior Host</v>
          </cell>
          <cell r="M35" t="str">
            <v>Retail Senior Host</v>
          </cell>
        </row>
        <row r="36">
          <cell r="L36" t="str">
            <v>Retail - Freestyle &amp; Vending</v>
          </cell>
          <cell r="M36" t="str">
            <v>Retail - Freestyle &amp; Vending</v>
          </cell>
        </row>
        <row r="37">
          <cell r="L37" t="str">
            <v>Zonal Leads</v>
          </cell>
          <cell r="M37" t="str">
            <v>Leads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3C4F3-9026-4BD9-89DF-69CF6E15BB5F}">
  <dimension ref="B1:GS169"/>
  <sheetViews>
    <sheetView tabSelected="1" workbookViewId="0">
      <selection activeCell="B4" sqref="B4"/>
    </sheetView>
  </sheetViews>
  <sheetFormatPr defaultColWidth="9.140625" defaultRowHeight="24.75" customHeight="1" x14ac:dyDescent="0.25"/>
  <cols>
    <col min="1" max="1" width="4.42578125" style="1" customWidth="1"/>
    <col min="2" max="2" width="28.28515625" style="1" bestFit="1" customWidth="1"/>
    <col min="3" max="3" width="35.85546875" style="1" customWidth="1"/>
    <col min="4" max="5" width="29.7109375" style="1" customWidth="1"/>
    <col min="6" max="6" width="16.7109375" style="1" customWidth="1"/>
    <col min="7" max="7" width="5" style="1" customWidth="1"/>
    <col min="8" max="8" width="3.5703125" style="1" customWidth="1"/>
    <col min="9" max="10" width="13" style="1" customWidth="1"/>
    <col min="11" max="11" width="27.140625" style="1" customWidth="1"/>
    <col min="12" max="12" width="13" style="1" customWidth="1"/>
    <col min="13" max="13" width="12.42578125" style="1" customWidth="1"/>
    <col min="14" max="14" width="9.140625" style="2"/>
    <col min="15" max="15" width="3.5703125" style="1" customWidth="1"/>
    <col min="16" max="17" width="13" style="1" customWidth="1"/>
    <col min="18" max="18" width="27.140625" style="1" customWidth="1"/>
    <col min="19" max="20" width="13" style="1" customWidth="1"/>
    <col min="21" max="21" width="12.42578125" style="1" customWidth="1"/>
    <col min="22" max="22" width="10.7109375" style="1" customWidth="1"/>
    <col min="23" max="23" width="13" style="1" customWidth="1"/>
    <col min="24" max="24" width="23.28515625" style="1" customWidth="1"/>
    <col min="25" max="26" width="27.140625" style="1" customWidth="1"/>
    <col min="27" max="27" width="12.42578125" style="1" customWidth="1"/>
    <col min="28" max="28" width="9.5703125" style="1" customWidth="1"/>
    <col min="29" max="29" width="13" style="1" customWidth="1"/>
    <col min="30" max="30" width="24.85546875" style="1" customWidth="1"/>
    <col min="31" max="32" width="27.140625" style="1" customWidth="1"/>
    <col min="33" max="33" width="12.42578125" style="1" customWidth="1"/>
    <col min="34" max="34" width="10.140625" style="1" customWidth="1"/>
    <col min="35" max="35" width="13" style="1" customWidth="1"/>
    <col min="36" max="36" width="24.85546875" style="1" customWidth="1"/>
    <col min="37" max="38" width="27.140625" style="1" customWidth="1"/>
    <col min="39" max="39" width="12.42578125" style="1" customWidth="1"/>
    <col min="40" max="40" width="9.7109375" style="1" customWidth="1"/>
    <col min="41" max="41" width="13" style="1" customWidth="1"/>
    <col min="42" max="42" width="24.7109375" style="1" customWidth="1"/>
    <col min="43" max="44" width="27.140625" style="1" customWidth="1"/>
    <col min="45" max="45" width="12.42578125" style="1" customWidth="1"/>
    <col min="46" max="46" width="12.5703125" style="1" customWidth="1"/>
    <col min="47" max="47" width="13" style="1" customWidth="1"/>
    <col min="48" max="48" width="22" style="1" customWidth="1"/>
    <col min="49" max="50" width="27.140625" style="1" customWidth="1"/>
    <col min="51" max="51" width="12.42578125" style="1" customWidth="1"/>
    <col min="52" max="52" width="10.85546875" style="1" customWidth="1"/>
    <col min="53" max="53" width="13" style="1" customWidth="1"/>
    <col min="54" max="54" width="22.85546875" style="1" customWidth="1"/>
    <col min="55" max="56" width="27.140625" style="1" customWidth="1"/>
    <col min="57" max="57" width="12.42578125" style="1" customWidth="1"/>
    <col min="58" max="58" width="11.140625" style="1" customWidth="1"/>
    <col min="59" max="59" width="13" style="1" customWidth="1"/>
    <col min="60" max="60" width="22.85546875" style="1" customWidth="1"/>
    <col min="61" max="62" width="27.140625" style="1" customWidth="1"/>
    <col min="63" max="63" width="12.42578125" style="1" customWidth="1"/>
    <col min="64" max="64" width="10.140625" style="1" customWidth="1"/>
    <col min="65" max="65" width="13" style="1" customWidth="1"/>
    <col min="66" max="66" width="23.5703125" style="1" customWidth="1"/>
    <col min="67" max="68" width="27.140625" style="1" customWidth="1"/>
    <col min="69" max="69" width="12.42578125" style="1" customWidth="1"/>
    <col min="70" max="70" width="10.42578125" style="1" customWidth="1"/>
    <col min="71" max="71" width="13" style="1" customWidth="1"/>
    <col min="72" max="72" width="25.28515625" style="1" customWidth="1"/>
    <col min="73" max="74" width="27.140625" style="1" customWidth="1"/>
    <col min="75" max="75" width="12.42578125" style="1" customWidth="1"/>
    <col min="76" max="76" width="10.28515625" style="1" customWidth="1"/>
    <col min="77" max="77" width="13" style="1" customWidth="1"/>
    <col min="78" max="78" width="25" style="1" customWidth="1"/>
    <col min="79" max="80" width="27.140625" style="1" customWidth="1"/>
    <col min="81" max="81" width="12.42578125" style="1" customWidth="1"/>
    <col min="82" max="82" width="12.140625" style="1" customWidth="1"/>
    <col min="83" max="83" width="13" style="1" customWidth="1"/>
    <col min="84" max="84" width="21.5703125" style="1" customWidth="1"/>
    <col min="85" max="86" width="27.140625" style="1" customWidth="1"/>
    <col min="87" max="87" width="12.42578125" style="1" customWidth="1"/>
    <col min="88" max="88" width="13.42578125" style="1" customWidth="1"/>
    <col min="89" max="89" width="13" style="1" customWidth="1"/>
    <col min="90" max="90" width="24.28515625" style="1" customWidth="1"/>
    <col min="91" max="92" width="27.140625" style="1" customWidth="1"/>
    <col min="93" max="93" width="12.42578125" style="1" customWidth="1"/>
    <col min="94" max="94" width="12" style="1" customWidth="1"/>
    <col min="95" max="95" width="13" style="1" customWidth="1"/>
    <col min="96" max="96" width="23.28515625" style="1" customWidth="1"/>
    <col min="97" max="98" width="27.140625" style="1" customWidth="1"/>
    <col min="99" max="99" width="12.42578125" style="1" customWidth="1"/>
    <col min="100" max="100" width="10.85546875" style="1" customWidth="1"/>
    <col min="101" max="102" width="13" style="1" customWidth="1"/>
    <col min="103" max="104" width="27.140625" style="1" customWidth="1"/>
    <col min="105" max="105" width="13" style="1" customWidth="1"/>
    <col min="106" max="106" width="12.5703125" style="1" customWidth="1"/>
    <col min="107" max="107" width="14.28515625" style="1" customWidth="1"/>
    <col min="108" max="108" width="12.42578125" style="1" customWidth="1"/>
    <col min="109" max="109" width="13.7109375" style="1" customWidth="1"/>
    <col min="110" max="111" width="13" style="1" customWidth="1"/>
    <col min="112" max="113" width="27.140625" style="1" customWidth="1"/>
    <col min="114" max="114" width="13" style="1" customWidth="1"/>
    <col min="115" max="115" width="12.5703125" style="1" customWidth="1"/>
    <col min="116" max="116" width="15.85546875" style="1" customWidth="1"/>
    <col min="117" max="117" width="12.42578125" style="1" customWidth="1"/>
    <col min="118" max="118" width="13.42578125" style="1" customWidth="1"/>
    <col min="119" max="120" width="13" style="1" customWidth="1"/>
    <col min="121" max="122" width="27.140625" style="1" customWidth="1"/>
    <col min="123" max="123" width="13" style="1" customWidth="1"/>
    <col min="124" max="124" width="12.5703125" style="1" customWidth="1"/>
    <col min="125" max="125" width="14" style="1" customWidth="1"/>
    <col min="126" max="126" width="12.42578125" style="1" customWidth="1"/>
    <col min="127" max="127" width="13.7109375" style="1" customWidth="1"/>
    <col min="128" max="129" width="13" style="1" customWidth="1"/>
    <col min="130" max="131" width="27.140625" style="1" customWidth="1"/>
    <col min="132" max="132" width="13" style="1" customWidth="1"/>
    <col min="133" max="133" width="12.5703125" style="1" customWidth="1"/>
    <col min="134" max="134" width="14.7109375" style="1" customWidth="1"/>
    <col min="135" max="135" width="12.42578125" style="1" customWidth="1"/>
    <col min="136" max="136" width="15.42578125" style="1" customWidth="1"/>
    <col min="137" max="137" width="13" style="1" customWidth="1"/>
    <col min="138" max="138" width="20.7109375" style="1" customWidth="1"/>
    <col min="139" max="140" width="27.140625" style="1" customWidth="1"/>
    <col min="141" max="141" width="13" style="1" customWidth="1"/>
    <col min="142" max="142" width="12.5703125" style="1" customWidth="1"/>
    <col min="143" max="143" width="14.28515625" style="1" customWidth="1"/>
    <col min="144" max="144" width="12.42578125" style="1" customWidth="1"/>
    <col min="145" max="145" width="12.7109375" style="1" customWidth="1"/>
    <col min="146" max="147" width="13" style="1" customWidth="1"/>
    <col min="148" max="149" width="27.140625" style="1" customWidth="1"/>
    <col min="150" max="150" width="13" style="1" customWidth="1"/>
    <col min="151" max="151" width="12.5703125" style="1" customWidth="1"/>
    <col min="152" max="152" width="15.85546875" style="1" customWidth="1"/>
    <col min="153" max="153" width="12.42578125" style="1" customWidth="1"/>
    <col min="154" max="154" width="11.28515625" style="1" customWidth="1"/>
    <col min="155" max="156" width="13" style="1" customWidth="1"/>
    <col min="157" max="158" width="27.140625" style="1" customWidth="1"/>
    <col min="159" max="159" width="13" style="1" customWidth="1"/>
    <col min="160" max="160" width="12.5703125" style="1" customWidth="1"/>
    <col min="161" max="161" width="14.42578125" style="1" customWidth="1"/>
    <col min="162" max="162" width="12.42578125" style="1" customWidth="1"/>
    <col min="163" max="163" width="12.28515625" style="1" customWidth="1"/>
    <col min="164" max="165" width="13" style="1" customWidth="1"/>
    <col min="166" max="167" width="27.140625" style="1" customWidth="1"/>
    <col min="168" max="168" width="13" style="1" customWidth="1"/>
    <col min="169" max="169" width="12.5703125" style="1" customWidth="1"/>
    <col min="170" max="170" width="16.85546875" style="1" customWidth="1"/>
    <col min="171" max="171" width="12.42578125" style="1" customWidth="1"/>
    <col min="172" max="172" width="11.5703125" style="1" customWidth="1"/>
    <col min="173" max="174" width="13" style="1" customWidth="1"/>
    <col min="175" max="176" width="27.140625" style="1" customWidth="1"/>
    <col min="177" max="177" width="13" style="1" customWidth="1"/>
    <col min="178" max="178" width="12.5703125" style="1" customWidth="1"/>
    <col min="179" max="179" width="14.42578125" style="1" customWidth="1"/>
    <col min="180" max="180" width="12.42578125" style="1" customWidth="1"/>
    <col min="181" max="181" width="10.140625" style="1" customWidth="1"/>
    <col min="182" max="183" width="13" style="1" customWidth="1"/>
    <col min="184" max="185" width="27.140625" style="1" customWidth="1"/>
    <col min="186" max="186" width="13" style="1" customWidth="1"/>
    <col min="187" max="187" width="12.5703125" style="1" customWidth="1"/>
    <col min="188" max="188" width="14" style="1" customWidth="1"/>
    <col min="189" max="189" width="12.42578125" style="1" customWidth="1"/>
    <col min="190" max="190" width="10.28515625" style="1" customWidth="1"/>
    <col min="191" max="191" width="13" style="1" customWidth="1"/>
    <col min="192" max="192" width="26.7109375" style="1" customWidth="1"/>
    <col min="193" max="194" width="27.140625" style="1" customWidth="1"/>
    <col min="195" max="195" width="13" style="1" customWidth="1"/>
    <col min="196" max="196" width="12.5703125" style="1" customWidth="1"/>
    <col min="197" max="197" width="14.42578125" style="1" customWidth="1"/>
    <col min="198" max="198" width="6.7109375" style="1" customWidth="1"/>
    <col min="199" max="199" width="23.140625" style="1" customWidth="1"/>
    <col min="200" max="200" width="21" style="1" customWidth="1"/>
    <col min="201" max="201" width="12.85546875" style="1" bestFit="1" customWidth="1"/>
    <col min="202" max="16384" width="9.140625" style="1"/>
  </cols>
  <sheetData>
    <row r="1" spans="2:201" ht="15.75" thickBot="1" x14ac:dyDescent="0.3">
      <c r="M1" s="3"/>
      <c r="U1" s="3"/>
      <c r="AA1" s="3"/>
      <c r="AG1" s="3"/>
      <c r="AM1" s="3"/>
      <c r="AS1" s="3"/>
      <c r="AY1" s="3"/>
      <c r="BE1" s="3"/>
      <c r="BK1" s="3"/>
      <c r="BQ1" s="3"/>
      <c r="BW1" s="3"/>
      <c r="CC1" s="3"/>
      <c r="CI1" s="3"/>
      <c r="CO1" s="3"/>
      <c r="CU1" s="3"/>
      <c r="DB1" s="3"/>
      <c r="DC1" s="3"/>
      <c r="DD1" s="3"/>
      <c r="DK1" s="3"/>
      <c r="DL1" s="3"/>
      <c r="DM1" s="3"/>
      <c r="DT1" s="3"/>
      <c r="DU1" s="3"/>
      <c r="DV1" s="3"/>
      <c r="EC1" s="3"/>
      <c r="ED1" s="3"/>
      <c r="EE1" s="3"/>
      <c r="EL1" s="3"/>
      <c r="EM1" s="3"/>
      <c r="EN1" s="3"/>
      <c r="EU1" s="3"/>
      <c r="EV1" s="3"/>
      <c r="EW1" s="3"/>
      <c r="FD1" s="3"/>
      <c r="FE1" s="3"/>
      <c r="FF1" s="3"/>
      <c r="FM1" s="3"/>
      <c r="FN1" s="3"/>
      <c r="FO1" s="3"/>
      <c r="FV1" s="3"/>
      <c r="FW1" s="3"/>
      <c r="FX1" s="3"/>
      <c r="GE1" s="3"/>
      <c r="GF1" s="3"/>
      <c r="GG1" s="3"/>
      <c r="GN1" s="3"/>
      <c r="GO1" s="3"/>
      <c r="GP1" s="3"/>
      <c r="GR1" s="3"/>
      <c r="GS1" s="3"/>
    </row>
    <row r="2" spans="2:201" ht="51.75" customHeight="1" thickBot="1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I2" s="7" t="s">
        <v>5</v>
      </c>
      <c r="J2" s="6" t="str">
        <f>VLOOKUP(I2,Day_Codes,2,0)</f>
        <v>Lodge 4PM</v>
      </c>
      <c r="K2" s="8" t="str">
        <f>VLOOKUP(I2,Day_Codes,4,0)</f>
        <v>&lt;3,000 | Lodge Entrance | 4pm Close</v>
      </c>
      <c r="L2" s="9"/>
      <c r="M2" s="9"/>
      <c r="P2" s="7" t="s">
        <v>9</v>
      </c>
      <c r="Q2" s="6" t="str">
        <f>VLOOKUP(P2,Day_Codes,2,0)</f>
        <v>Lodge 5PM</v>
      </c>
      <c r="R2" s="8" t="str">
        <f>VLOOKUP(P2,Day_Codes,4,0)</f>
        <v>&lt;3,000 | Lodge Entrance | 5pm Close</v>
      </c>
      <c r="S2" s="9"/>
      <c r="T2" s="9"/>
      <c r="V2" s="7" t="s">
        <v>10</v>
      </c>
      <c r="W2" s="6" t="str">
        <f>VLOOKUP(V2,Day_Codes,2,0)</f>
        <v>Lodge + 5PM</v>
      </c>
      <c r="X2" s="8" t="str">
        <f>VLOOKUP(V2,Day_Codes,4,0)</f>
        <v>Up to 4000 | Lodge Entrance | 5pm Close</v>
      </c>
      <c r="Y2" s="9"/>
      <c r="Z2" s="9"/>
      <c r="AB2" s="7" t="s">
        <v>11</v>
      </c>
      <c r="AC2" s="6" t="str">
        <f>VLOOKUP(AB2,Day_Codes,2,0)</f>
        <v>Lodge + Sch Exp</v>
      </c>
      <c r="AD2" s="8" t="str">
        <f>VLOOKUP(AB2,Day_Codes,4,0)</f>
        <v>4,000-8,000 | Day Guests Lodge; Schools to Explorer Entrance | 5pm Close</v>
      </c>
      <c r="AE2" s="9"/>
      <c r="AF2" s="9"/>
      <c r="AH2" s="7" t="s">
        <v>12</v>
      </c>
      <c r="AI2" s="6" t="str">
        <f>VLOOKUP(AH2,Day_Codes,2,0)</f>
        <v>Explorer 5PM</v>
      </c>
      <c r="AJ2" s="8" t="str">
        <f>VLOOKUP(AH2,Day_Codes,4,0)</f>
        <v>4,000-8,000 | Explorer Entrance | 5pm Close</v>
      </c>
      <c r="AK2" s="9"/>
      <c r="AL2" s="9"/>
      <c r="AN2" s="7" t="s">
        <v>13</v>
      </c>
      <c r="AO2" s="6" t="str">
        <f>VLOOKUP(AN2,Day_Codes,2,0)</f>
        <v>Explorer 6PM</v>
      </c>
      <c r="AP2" s="8" t="str">
        <f>VLOOKUP(AN2,Day_Codes,4,0)</f>
        <v>4,000-8,000 | Explorer Entrance | 6pm Close</v>
      </c>
      <c r="AQ2" s="9"/>
      <c r="AR2" s="9"/>
      <c r="AT2" s="7" t="s">
        <v>14</v>
      </c>
      <c r="AU2" s="6" t="str">
        <f>VLOOKUP(AT2,Day_Codes,2,0)</f>
        <v>Explorer + 5PM</v>
      </c>
      <c r="AV2" s="8" t="str">
        <f>VLOOKUP(AT2,Day_Codes,4,0)</f>
        <v>8,000-10,000 | Explorer Entrance | 5pm Close</v>
      </c>
      <c r="AW2" s="9"/>
      <c r="AX2" s="9"/>
      <c r="AZ2" s="7" t="s">
        <v>15</v>
      </c>
      <c r="BA2" s="6" t="str">
        <f>VLOOKUP(AZ2,Day_Codes,2,0)</f>
        <v>Explorer + 6PM</v>
      </c>
      <c r="BB2" s="8" t="str">
        <f>VLOOKUP(AZ2,Day_Codes,4,0)</f>
        <v>8,000-10,000 | Explorer Entrance | 6pm Close</v>
      </c>
      <c r="BC2" s="9"/>
      <c r="BD2" s="9"/>
      <c r="BF2" s="7" t="s">
        <v>16</v>
      </c>
      <c r="BG2" s="6" t="str">
        <f>VLOOKUP(BF2,Day_Codes,2,0)</f>
        <v>Explorer + 7PM</v>
      </c>
      <c r="BH2" s="8" t="str">
        <f>VLOOKUP(BF2,Day_Codes,4,0)</f>
        <v>8,000-10,000 | Explorer Entrance | 7pm Close</v>
      </c>
      <c r="BI2" s="9"/>
      <c r="BJ2" s="9"/>
      <c r="BL2" s="7" t="s">
        <v>17</v>
      </c>
      <c r="BM2" s="6" t="str">
        <f>VLOOKUP(BL2,Day_Codes,2,0)</f>
        <v>Zoo</v>
      </c>
      <c r="BN2" s="8" t="str">
        <f>VLOOKUP(BL2,Day_Codes,4,0)</f>
        <v>Up to 2,000 | Lodge Entrance | 3pm Close</v>
      </c>
      <c r="BO2" s="9"/>
      <c r="BP2" s="9"/>
      <c r="BR2" s="7" t="s">
        <v>18</v>
      </c>
      <c r="BS2" s="6" t="str">
        <f>VLOOKUP(BR2,Day_Codes,2,0)</f>
        <v>WT Off-Peak</v>
      </c>
      <c r="BT2" s="8" t="str">
        <f>VLOOKUP(BR2,Day_Codes,4,0)</f>
        <v>Up to 1,750 | Lodge Entrance | 3pm Close</v>
      </c>
      <c r="BU2" s="9"/>
      <c r="BV2" s="9"/>
      <c r="BX2" s="7" t="s">
        <v>19</v>
      </c>
      <c r="BY2" s="6" t="str">
        <f>VLOOKUP(BX2,Day_Codes,2,0)</f>
        <v>WT Peak</v>
      </c>
      <c r="BZ2" s="8" t="str">
        <f>VLOOKUP(BX2,Day_Codes,4,0)</f>
        <v>Up to 3,500 | Lodge Entrance | 5pm Close</v>
      </c>
      <c r="CA2" s="9"/>
      <c r="CB2" s="9"/>
      <c r="CD2" s="7" t="s">
        <v>20</v>
      </c>
      <c r="CE2" s="6" t="str">
        <f>VLOOKUP(CD2,Day_Codes,2,0)</f>
        <v>WT Peak+</v>
      </c>
      <c r="CF2" s="8" t="str">
        <f>VLOOKUP(CD2,Day_Codes,4,0)</f>
        <v>Up to 3,500 | Lodge Entrance | 6:30 pm Close</v>
      </c>
      <c r="CG2" s="9"/>
      <c r="CH2" s="9"/>
      <c r="CJ2" s="7" t="s">
        <v>21</v>
      </c>
      <c r="CK2" s="6" t="str">
        <f>VLOOKUP(CJ2,Day_Codes,2,0)</f>
        <v>WT Post Xmas</v>
      </c>
      <c r="CL2" s="8" t="str">
        <f>VLOOKUP(CJ2,Day_Codes,3,0)</f>
        <v>WT Post Xmas</v>
      </c>
      <c r="CM2" s="9"/>
      <c r="CN2" s="9"/>
      <c r="CP2" s="7" t="s">
        <v>22</v>
      </c>
      <c r="CQ2" s="6" t="str">
        <f>VLOOKUP(CP2,Day_Codes,2,0)</f>
        <v>Closed</v>
      </c>
      <c r="CR2" s="8" t="str">
        <f>VLOOKUP(CP2,Day_Codes,3,0)</f>
        <v>Closed</v>
      </c>
      <c r="CS2" s="9"/>
      <c r="CT2" s="9"/>
      <c r="CV2" s="7" t="s">
        <v>23</v>
      </c>
      <c r="CW2" s="6">
        <f>VLOOKUP(CV2,Day_Codes,2,0)</f>
        <v>0</v>
      </c>
      <c r="CX2" s="8">
        <f>VLOOKUP(CV2,Day_Codes,3,0)</f>
        <v>0</v>
      </c>
      <c r="CY2" s="9"/>
      <c r="CZ2" s="9"/>
      <c r="DA2" s="10" t="s">
        <v>6</v>
      </c>
      <c r="DB2" s="10" t="s">
        <v>7</v>
      </c>
      <c r="DC2" s="11" t="s">
        <v>8</v>
      </c>
      <c r="DE2" s="7" t="s">
        <v>24</v>
      </c>
      <c r="DF2" s="6">
        <f>VLOOKUP(DE2,Day_Codes,2,0)</f>
        <v>0</v>
      </c>
      <c r="DG2" s="8">
        <f>VLOOKUP(DE2,Day_Codes,3,0)</f>
        <v>0</v>
      </c>
      <c r="DH2" s="9"/>
      <c r="DI2" s="9"/>
      <c r="DJ2" s="10" t="s">
        <v>6</v>
      </c>
      <c r="DK2" s="10" t="s">
        <v>7</v>
      </c>
      <c r="DL2" s="11" t="s">
        <v>8</v>
      </c>
      <c r="DN2" s="7" t="s">
        <v>25</v>
      </c>
      <c r="DO2" s="6">
        <f>VLOOKUP(DN2,Day_Codes,2,0)</f>
        <v>0</v>
      </c>
      <c r="DP2" s="8">
        <f>VLOOKUP(DN2,Day_Codes,3,0)</f>
        <v>0</v>
      </c>
      <c r="DQ2" s="9"/>
      <c r="DR2" s="9"/>
      <c r="DS2" s="10" t="s">
        <v>6</v>
      </c>
      <c r="DT2" s="10" t="s">
        <v>7</v>
      </c>
      <c r="DU2" s="11" t="s">
        <v>8</v>
      </c>
      <c r="DW2" s="7" t="s">
        <v>26</v>
      </c>
      <c r="DX2" s="6">
        <f>VLOOKUP(DW2,Day_Codes,2,0)</f>
        <v>0</v>
      </c>
      <c r="DY2" s="8">
        <f>VLOOKUP(DW2,Day_Codes,3,0)</f>
        <v>0</v>
      </c>
      <c r="DZ2" s="9"/>
      <c r="EA2" s="9"/>
      <c r="EB2" s="10" t="s">
        <v>6</v>
      </c>
      <c r="EC2" s="10" t="s">
        <v>7</v>
      </c>
      <c r="ED2" s="11" t="s">
        <v>8</v>
      </c>
      <c r="EF2" s="7" t="s">
        <v>27</v>
      </c>
      <c r="EG2" s="6">
        <f>VLOOKUP(EF2,Day_Codes,2,0)</f>
        <v>0</v>
      </c>
      <c r="EH2" s="8">
        <f>VLOOKUP(EF2,Day_Codes,3,0)</f>
        <v>0</v>
      </c>
      <c r="EI2" s="9"/>
      <c r="EJ2" s="9"/>
      <c r="EK2" s="10" t="s">
        <v>6</v>
      </c>
      <c r="EL2" s="10" t="s">
        <v>7</v>
      </c>
      <c r="EM2" s="11" t="s">
        <v>8</v>
      </c>
      <c r="EO2" s="7" t="s">
        <v>28</v>
      </c>
      <c r="EP2" s="6">
        <f>VLOOKUP(EO2,Day_Codes,2,0)</f>
        <v>0</v>
      </c>
      <c r="EQ2" s="8">
        <f>VLOOKUP(EO2,Day_Codes,3,0)</f>
        <v>0</v>
      </c>
      <c r="ER2" s="9"/>
      <c r="ES2" s="9"/>
      <c r="ET2" s="10" t="s">
        <v>6</v>
      </c>
      <c r="EU2" s="10" t="s">
        <v>7</v>
      </c>
      <c r="EV2" s="11" t="s">
        <v>8</v>
      </c>
      <c r="EX2" s="7" t="s">
        <v>29</v>
      </c>
      <c r="EY2" s="6">
        <f>VLOOKUP(EX2,Day_Codes,2,0)</f>
        <v>0</v>
      </c>
      <c r="EZ2" s="8">
        <f>VLOOKUP(EX2,Day_Codes,3,0)</f>
        <v>0</v>
      </c>
      <c r="FA2" s="9"/>
      <c r="FB2" s="9"/>
      <c r="FC2" s="10" t="s">
        <v>6</v>
      </c>
      <c r="FD2" s="10" t="s">
        <v>7</v>
      </c>
      <c r="FE2" s="11" t="s">
        <v>8</v>
      </c>
      <c r="FG2" s="7" t="s">
        <v>30</v>
      </c>
      <c r="FH2" s="6">
        <f>VLOOKUP(FG2,Day_Codes,2,0)</f>
        <v>0</v>
      </c>
      <c r="FI2" s="8">
        <f>VLOOKUP(FG2,Day_Codes,3,0)</f>
        <v>0</v>
      </c>
      <c r="FJ2" s="9"/>
      <c r="FK2" s="9"/>
      <c r="FL2" s="10" t="s">
        <v>6</v>
      </c>
      <c r="FM2" s="10" t="s">
        <v>7</v>
      </c>
      <c r="FN2" s="11" t="s">
        <v>8</v>
      </c>
      <c r="FP2" s="7" t="s">
        <v>31</v>
      </c>
      <c r="FQ2" s="6">
        <f>VLOOKUP(FP2,Day_Codes,2,0)</f>
        <v>0</v>
      </c>
      <c r="FR2" s="8">
        <f>VLOOKUP(FP2,Day_Codes,3,0)</f>
        <v>0</v>
      </c>
      <c r="FS2" s="9"/>
      <c r="FT2" s="9"/>
      <c r="FU2" s="10" t="s">
        <v>6</v>
      </c>
      <c r="FV2" s="10" t="s">
        <v>7</v>
      </c>
      <c r="FW2" s="11" t="s">
        <v>8</v>
      </c>
      <c r="FY2" s="7" t="s">
        <v>32</v>
      </c>
      <c r="FZ2" s="6">
        <f>VLOOKUP(FY2,Day_Codes,2,0)</f>
        <v>0</v>
      </c>
      <c r="GA2" s="8">
        <f>VLOOKUP(FY2,Day_Codes,3,0)</f>
        <v>0</v>
      </c>
      <c r="GB2" s="9"/>
      <c r="GC2" s="9"/>
      <c r="GD2" s="10" t="s">
        <v>6</v>
      </c>
      <c r="GE2" s="10" t="s">
        <v>7</v>
      </c>
      <c r="GF2" s="11" t="s">
        <v>8</v>
      </c>
      <c r="GH2" s="7" t="s">
        <v>33</v>
      </c>
      <c r="GI2" s="6">
        <f>VLOOKUP(GH2,Day_Codes,2,0)</f>
        <v>0</v>
      </c>
      <c r="GJ2" s="8">
        <f>VLOOKUP(GH2,Day_Codes,3,0)</f>
        <v>0</v>
      </c>
      <c r="GK2" s="9"/>
      <c r="GL2" s="9"/>
      <c r="GM2" s="10" t="s">
        <v>6</v>
      </c>
      <c r="GN2" s="10" t="s">
        <v>7</v>
      </c>
      <c r="GO2" s="11" t="s">
        <v>8</v>
      </c>
      <c r="GQ2" s="12" t="s">
        <v>34</v>
      </c>
      <c r="GR2" s="11" t="s">
        <v>35</v>
      </c>
    </row>
    <row r="3" spans="2:201" ht="15" x14ac:dyDescent="0.25">
      <c r="M3" s="3"/>
      <c r="DA3" s="3"/>
      <c r="DB3" s="3"/>
      <c r="DC3" s="3"/>
      <c r="DJ3" s="3"/>
      <c r="DK3" s="3"/>
      <c r="DL3" s="3"/>
      <c r="DS3" s="3"/>
      <c r="DT3" s="3"/>
      <c r="DU3" s="3"/>
      <c r="EB3" s="3"/>
      <c r="EC3" s="3"/>
      <c r="ED3" s="3"/>
      <c r="EK3" s="3"/>
      <c r="EL3" s="3"/>
      <c r="EM3" s="3"/>
      <c r="ET3" s="3"/>
      <c r="EU3" s="3"/>
      <c r="EV3" s="3"/>
      <c r="FC3" s="3"/>
      <c r="FD3" s="3"/>
      <c r="FE3" s="3"/>
      <c r="FL3" s="3"/>
      <c r="FM3" s="3"/>
      <c r="FN3" s="3"/>
      <c r="FU3" s="3"/>
      <c r="FV3" s="3"/>
      <c r="FW3" s="3"/>
      <c r="GD3" s="3"/>
      <c r="GE3" s="3"/>
      <c r="GF3" s="3"/>
      <c r="GM3" s="3"/>
      <c r="GN3" s="3"/>
      <c r="GO3" s="3"/>
      <c r="GQ3" s="3"/>
      <c r="GR3" s="3"/>
    </row>
    <row r="4" spans="2:201" ht="15.75" thickBot="1" x14ac:dyDescent="0.3"/>
    <row r="5" spans="2:201" ht="18.75" x14ac:dyDescent="0.25">
      <c r="B5" s="13"/>
      <c r="C5" s="14"/>
      <c r="D5" s="14"/>
      <c r="E5" s="14"/>
      <c r="F5" s="14"/>
      <c r="I5" s="15" t="s">
        <v>36</v>
      </c>
      <c r="J5" s="16" t="s">
        <v>37</v>
      </c>
      <c r="K5" s="17" t="s">
        <v>38</v>
      </c>
      <c r="L5" s="16" t="s">
        <v>39</v>
      </c>
      <c r="M5" s="18" t="s">
        <v>40</v>
      </c>
      <c r="P5" s="15" t="s">
        <v>36</v>
      </c>
      <c r="Q5" s="16" t="s">
        <v>37</v>
      </c>
      <c r="R5" s="17" t="s">
        <v>38</v>
      </c>
      <c r="S5" s="16" t="s">
        <v>39</v>
      </c>
      <c r="T5" s="18" t="s">
        <v>40</v>
      </c>
      <c r="V5" s="15" t="s">
        <v>36</v>
      </c>
      <c r="W5" s="16" t="s">
        <v>37</v>
      </c>
      <c r="X5" s="17" t="s">
        <v>38</v>
      </c>
      <c r="Y5" s="16" t="s">
        <v>39</v>
      </c>
      <c r="Z5" s="18" t="s">
        <v>40</v>
      </c>
      <c r="AB5" s="15" t="s">
        <v>36</v>
      </c>
      <c r="AC5" s="16" t="s">
        <v>37</v>
      </c>
      <c r="AD5" s="17" t="s">
        <v>38</v>
      </c>
      <c r="AE5" s="16" t="s">
        <v>39</v>
      </c>
      <c r="AF5" s="18" t="s">
        <v>40</v>
      </c>
      <c r="AH5" s="15" t="s">
        <v>36</v>
      </c>
      <c r="AI5" s="16" t="s">
        <v>37</v>
      </c>
      <c r="AJ5" s="17" t="s">
        <v>38</v>
      </c>
      <c r="AK5" s="16" t="s">
        <v>39</v>
      </c>
      <c r="AL5" s="18" t="s">
        <v>40</v>
      </c>
      <c r="AN5" s="15" t="s">
        <v>36</v>
      </c>
      <c r="AO5" s="16" t="s">
        <v>37</v>
      </c>
      <c r="AP5" s="17" t="s">
        <v>38</v>
      </c>
      <c r="AQ5" s="16" t="s">
        <v>39</v>
      </c>
      <c r="AR5" s="18" t="s">
        <v>40</v>
      </c>
      <c r="AT5" s="15" t="s">
        <v>36</v>
      </c>
      <c r="AU5" s="16" t="s">
        <v>37</v>
      </c>
      <c r="AV5" s="17" t="s">
        <v>38</v>
      </c>
      <c r="AW5" s="16" t="s">
        <v>39</v>
      </c>
      <c r="AX5" s="18" t="s">
        <v>40</v>
      </c>
      <c r="AZ5" s="15" t="s">
        <v>36</v>
      </c>
      <c r="BA5" s="16" t="s">
        <v>37</v>
      </c>
      <c r="BB5" s="17" t="s">
        <v>38</v>
      </c>
      <c r="BC5" s="16" t="s">
        <v>39</v>
      </c>
      <c r="BD5" s="18" t="s">
        <v>40</v>
      </c>
      <c r="BF5" s="15" t="s">
        <v>36</v>
      </c>
      <c r="BG5" s="16" t="s">
        <v>37</v>
      </c>
      <c r="BH5" s="17" t="s">
        <v>38</v>
      </c>
      <c r="BI5" s="16" t="s">
        <v>39</v>
      </c>
      <c r="BJ5" s="18" t="s">
        <v>40</v>
      </c>
      <c r="BL5" s="15" t="s">
        <v>36</v>
      </c>
      <c r="BM5" s="16" t="s">
        <v>37</v>
      </c>
      <c r="BN5" s="17" t="s">
        <v>38</v>
      </c>
      <c r="BO5" s="16" t="s">
        <v>39</v>
      </c>
      <c r="BP5" s="18" t="s">
        <v>40</v>
      </c>
      <c r="BR5" s="15" t="s">
        <v>36</v>
      </c>
      <c r="BS5" s="16" t="s">
        <v>37</v>
      </c>
      <c r="BT5" s="17" t="s">
        <v>38</v>
      </c>
      <c r="BU5" s="16" t="s">
        <v>39</v>
      </c>
      <c r="BV5" s="18" t="s">
        <v>40</v>
      </c>
      <c r="BX5" s="15" t="s">
        <v>36</v>
      </c>
      <c r="BY5" s="16" t="s">
        <v>37</v>
      </c>
      <c r="BZ5" s="17" t="s">
        <v>38</v>
      </c>
      <c r="CA5" s="16" t="s">
        <v>39</v>
      </c>
      <c r="CB5" s="18" t="s">
        <v>40</v>
      </c>
      <c r="CD5" s="15" t="s">
        <v>36</v>
      </c>
      <c r="CE5" s="16" t="s">
        <v>37</v>
      </c>
      <c r="CF5" s="17" t="s">
        <v>38</v>
      </c>
      <c r="CG5" s="16" t="s">
        <v>39</v>
      </c>
      <c r="CH5" s="18" t="s">
        <v>40</v>
      </c>
      <c r="CJ5" s="15" t="s">
        <v>36</v>
      </c>
      <c r="CK5" s="16" t="s">
        <v>37</v>
      </c>
      <c r="CL5" s="17" t="s">
        <v>38</v>
      </c>
      <c r="CM5" s="16" t="s">
        <v>39</v>
      </c>
      <c r="CN5" s="18" t="s">
        <v>40</v>
      </c>
      <c r="CP5" s="15" t="s">
        <v>36</v>
      </c>
      <c r="CQ5" s="16" t="s">
        <v>37</v>
      </c>
      <c r="CR5" s="17" t="s">
        <v>38</v>
      </c>
      <c r="CS5" s="16" t="s">
        <v>39</v>
      </c>
      <c r="CT5" s="18" t="s">
        <v>40</v>
      </c>
      <c r="CV5" s="15" t="s">
        <v>36</v>
      </c>
      <c r="CW5" s="16" t="s">
        <v>37</v>
      </c>
      <c r="CX5" s="17" t="s">
        <v>38</v>
      </c>
      <c r="CY5" s="16" t="s">
        <v>39</v>
      </c>
      <c r="CZ5" s="18" t="s">
        <v>40</v>
      </c>
      <c r="DA5" s="19"/>
      <c r="DB5" s="20"/>
      <c r="DC5" s="21"/>
      <c r="DE5" s="15" t="s">
        <v>36</v>
      </c>
      <c r="DF5" s="16" t="s">
        <v>37</v>
      </c>
      <c r="DG5" s="17" t="s">
        <v>38</v>
      </c>
      <c r="DH5" s="16" t="s">
        <v>39</v>
      </c>
      <c r="DI5" s="18" t="s">
        <v>40</v>
      </c>
      <c r="DJ5" s="19"/>
      <c r="DK5" s="20"/>
      <c r="DL5" s="21"/>
      <c r="DN5" s="15" t="s">
        <v>36</v>
      </c>
      <c r="DO5" s="16" t="s">
        <v>37</v>
      </c>
      <c r="DP5" s="17" t="s">
        <v>38</v>
      </c>
      <c r="DQ5" s="16" t="s">
        <v>39</v>
      </c>
      <c r="DR5" s="18" t="s">
        <v>40</v>
      </c>
      <c r="DS5" s="19"/>
      <c r="DT5" s="20"/>
      <c r="DU5" s="21"/>
      <c r="DW5" s="15" t="s">
        <v>36</v>
      </c>
      <c r="DX5" s="16" t="s">
        <v>37</v>
      </c>
      <c r="DY5" s="17" t="s">
        <v>38</v>
      </c>
      <c r="DZ5" s="16" t="s">
        <v>39</v>
      </c>
      <c r="EA5" s="18" t="s">
        <v>40</v>
      </c>
      <c r="EB5" s="19"/>
      <c r="EC5" s="20"/>
      <c r="ED5" s="21"/>
      <c r="EF5" s="15" t="s">
        <v>36</v>
      </c>
      <c r="EG5" s="16" t="s">
        <v>37</v>
      </c>
      <c r="EH5" s="17" t="s">
        <v>38</v>
      </c>
      <c r="EI5" s="16" t="s">
        <v>39</v>
      </c>
      <c r="EJ5" s="18" t="s">
        <v>40</v>
      </c>
      <c r="EK5" s="19"/>
      <c r="EL5" s="20"/>
      <c r="EM5" s="21"/>
      <c r="EO5" s="15" t="s">
        <v>36</v>
      </c>
      <c r="EP5" s="16" t="s">
        <v>37</v>
      </c>
      <c r="EQ5" s="17" t="s">
        <v>38</v>
      </c>
      <c r="ER5" s="16" t="s">
        <v>39</v>
      </c>
      <c r="ES5" s="18" t="s">
        <v>40</v>
      </c>
      <c r="ET5" s="19"/>
      <c r="EU5" s="20"/>
      <c r="EV5" s="21"/>
      <c r="EX5" s="15" t="s">
        <v>36</v>
      </c>
      <c r="EY5" s="16" t="s">
        <v>37</v>
      </c>
      <c r="EZ5" s="17" t="s">
        <v>38</v>
      </c>
      <c r="FA5" s="16" t="s">
        <v>39</v>
      </c>
      <c r="FB5" s="18" t="s">
        <v>40</v>
      </c>
      <c r="FC5" s="19"/>
      <c r="FD5" s="20"/>
      <c r="FE5" s="21"/>
      <c r="FG5" s="15" t="s">
        <v>36</v>
      </c>
      <c r="FH5" s="16" t="s">
        <v>37</v>
      </c>
      <c r="FI5" s="17" t="s">
        <v>38</v>
      </c>
      <c r="FJ5" s="16" t="s">
        <v>39</v>
      </c>
      <c r="FK5" s="18" t="s">
        <v>40</v>
      </c>
      <c r="FL5" s="19"/>
      <c r="FM5" s="20"/>
      <c r="FN5" s="21"/>
      <c r="FP5" s="15" t="s">
        <v>36</v>
      </c>
      <c r="FQ5" s="16" t="s">
        <v>37</v>
      </c>
      <c r="FR5" s="17" t="s">
        <v>38</v>
      </c>
      <c r="FS5" s="16" t="s">
        <v>39</v>
      </c>
      <c r="FT5" s="18" t="s">
        <v>40</v>
      </c>
      <c r="FU5" s="19"/>
      <c r="FV5" s="20"/>
      <c r="FW5" s="21"/>
      <c r="FY5" s="15" t="s">
        <v>36</v>
      </c>
      <c r="FZ5" s="16" t="s">
        <v>37</v>
      </c>
      <c r="GA5" s="17" t="s">
        <v>38</v>
      </c>
      <c r="GB5" s="16" t="s">
        <v>39</v>
      </c>
      <c r="GC5" s="18" t="s">
        <v>40</v>
      </c>
      <c r="GD5" s="19"/>
      <c r="GE5" s="20"/>
      <c r="GF5" s="21"/>
      <c r="GH5" s="15" t="s">
        <v>36</v>
      </c>
      <c r="GI5" s="16" t="s">
        <v>37</v>
      </c>
      <c r="GJ5" s="17" t="s">
        <v>38</v>
      </c>
      <c r="GK5" s="16" t="s">
        <v>39</v>
      </c>
      <c r="GL5" s="18" t="s">
        <v>40</v>
      </c>
      <c r="GM5" s="19"/>
      <c r="GN5" s="20"/>
      <c r="GO5" s="21"/>
    </row>
    <row r="6" spans="2:201" ht="15" x14ac:dyDescent="0.25">
      <c r="B6" s="22" t="s">
        <v>103</v>
      </c>
      <c r="C6" s="23" t="s">
        <v>41</v>
      </c>
      <c r="D6" s="24" t="str">
        <f>IF(C6="","",_xlfn.XLOOKUP(C6,'[3]Control Sheet'!$L$5:$L$104,'[3]Control Sheet'!$M$5:$M$104,"",0))</f>
        <v>Leads</v>
      </c>
      <c r="E6" s="24" t="str">
        <f>IF(B6="","",_xlfn.XLOOKUP(B6,'[3]Control Sheet'!$D$5:$D$64,'[3]Control Sheet'!$F$5:$F$64,"",0))</f>
        <v>Zonal Leads</v>
      </c>
      <c r="F6" s="24" t="str">
        <f>IF(B6="","",_xlfn.XLOOKUP(B6,'[3]Control Sheet'!$D$5:$D$64,'[3]Control Sheet'!$E$5:$E$64,"",0))</f>
        <v>C1900-O</v>
      </c>
      <c r="I6" s="25">
        <v>0.375</v>
      </c>
      <c r="J6" s="26">
        <v>0.70833333333333337</v>
      </c>
      <c r="K6" s="27">
        <v>0</v>
      </c>
      <c r="L6" s="28">
        <v>5</v>
      </c>
      <c r="M6" s="29">
        <v>1</v>
      </c>
      <c r="P6" s="25">
        <v>0.375</v>
      </c>
      <c r="Q6" s="26">
        <v>0.70833333333333337</v>
      </c>
      <c r="R6" s="27">
        <v>0</v>
      </c>
      <c r="S6" s="28">
        <v>5</v>
      </c>
      <c r="T6" s="29">
        <v>1</v>
      </c>
      <c r="V6" s="25">
        <v>0.375</v>
      </c>
      <c r="W6" s="26">
        <v>0.70833333333333337</v>
      </c>
      <c r="X6" s="27">
        <v>0</v>
      </c>
      <c r="Y6" s="28">
        <v>5</v>
      </c>
      <c r="Z6" s="29">
        <v>1</v>
      </c>
      <c r="AB6" s="25">
        <v>0.375</v>
      </c>
      <c r="AC6" s="26">
        <v>0.70833333333333337</v>
      </c>
      <c r="AD6" s="27">
        <v>0</v>
      </c>
      <c r="AE6" s="28">
        <v>5</v>
      </c>
      <c r="AF6" s="29">
        <v>1</v>
      </c>
      <c r="AH6" s="25">
        <v>0.375</v>
      </c>
      <c r="AI6" s="26">
        <v>0.70833333333333337</v>
      </c>
      <c r="AJ6" s="27">
        <v>0</v>
      </c>
      <c r="AK6" s="28">
        <v>5</v>
      </c>
      <c r="AL6" s="29">
        <v>1</v>
      </c>
      <c r="AN6" s="25">
        <v>0.375</v>
      </c>
      <c r="AO6" s="26">
        <v>0.70833333333333337</v>
      </c>
      <c r="AP6" s="27">
        <v>0</v>
      </c>
      <c r="AQ6" s="28">
        <v>5</v>
      </c>
      <c r="AR6" s="29">
        <v>1</v>
      </c>
      <c r="AT6" s="25">
        <v>0.375</v>
      </c>
      <c r="AU6" s="26">
        <v>0.70833333333333337</v>
      </c>
      <c r="AV6" s="27">
        <v>0</v>
      </c>
      <c r="AW6" s="28">
        <v>5</v>
      </c>
      <c r="AX6" s="29">
        <v>1</v>
      </c>
      <c r="AZ6" s="25">
        <v>0.375</v>
      </c>
      <c r="BA6" s="26">
        <v>0.70833333333333337</v>
      </c>
      <c r="BB6" s="27">
        <v>0</v>
      </c>
      <c r="BC6" s="28">
        <v>5</v>
      </c>
      <c r="BD6" s="29">
        <v>1</v>
      </c>
      <c r="BF6" s="25">
        <v>0.375</v>
      </c>
      <c r="BG6" s="26">
        <v>0.70833333333333337</v>
      </c>
      <c r="BH6" s="27">
        <v>0</v>
      </c>
      <c r="BI6" s="28">
        <v>5</v>
      </c>
      <c r="BJ6" s="29">
        <v>1</v>
      </c>
      <c r="BL6" s="25">
        <v>0.375</v>
      </c>
      <c r="BM6" s="26">
        <v>0.70833333333333337</v>
      </c>
      <c r="BN6" s="27">
        <v>0</v>
      </c>
      <c r="BO6" s="28">
        <v>5</v>
      </c>
      <c r="BP6" s="29">
        <v>1</v>
      </c>
      <c r="BR6" s="25">
        <v>0.375</v>
      </c>
      <c r="BS6" s="26">
        <v>0.70833333333333337</v>
      </c>
      <c r="BT6" s="27">
        <v>0</v>
      </c>
      <c r="BU6" s="28">
        <v>5</v>
      </c>
      <c r="BV6" s="29">
        <v>1</v>
      </c>
      <c r="BX6" s="25">
        <v>0.375</v>
      </c>
      <c r="BY6" s="26">
        <v>0.70833333333333337</v>
      </c>
      <c r="BZ6" s="27">
        <v>0</v>
      </c>
      <c r="CA6" s="28">
        <v>5</v>
      </c>
      <c r="CB6" s="29">
        <v>1</v>
      </c>
      <c r="CD6" s="25">
        <v>0.375</v>
      </c>
      <c r="CE6" s="26">
        <v>0.70833333333333337</v>
      </c>
      <c r="CF6" s="27">
        <v>0</v>
      </c>
      <c r="CG6" s="28">
        <v>5</v>
      </c>
      <c r="CH6" s="29">
        <v>1</v>
      </c>
      <c r="CJ6" s="25">
        <v>0.375</v>
      </c>
      <c r="CK6" s="26">
        <v>0.70833333333333337</v>
      </c>
      <c r="CL6" s="27">
        <v>0</v>
      </c>
      <c r="CM6" s="28">
        <v>5</v>
      </c>
      <c r="CN6" s="29">
        <v>1</v>
      </c>
      <c r="CP6" s="25">
        <v>0.375</v>
      </c>
      <c r="CQ6" s="26">
        <v>0.70833333333333337</v>
      </c>
      <c r="CR6" s="27">
        <v>0</v>
      </c>
      <c r="CS6" s="28">
        <v>5</v>
      </c>
      <c r="CT6" s="29">
        <v>1</v>
      </c>
      <c r="CV6" s="33"/>
      <c r="CW6" s="34"/>
      <c r="CX6" s="35"/>
      <c r="CY6" s="36"/>
      <c r="CZ6" s="37"/>
      <c r="DA6" s="30">
        <f t="shared" ref="DA6:DA69" si="0">IF(SUM((CW6-CV6)*24,-CX6/60)*CY6&gt;=0,SUM((CW6-CV6)*24,-CX6/60)*CY6,0)</f>
        <v>0</v>
      </c>
      <c r="DB6" s="31" t="e">
        <f>DA6*#REF!</f>
        <v>#REF!</v>
      </c>
      <c r="DC6" s="32" t="e">
        <f>DA6*#REF!</f>
        <v>#REF!</v>
      </c>
      <c r="DE6" s="33"/>
      <c r="DF6" s="34"/>
      <c r="DG6" s="35"/>
      <c r="DH6" s="36"/>
      <c r="DI6" s="37"/>
      <c r="DJ6" s="30">
        <f t="shared" ref="DJ6:DJ69" si="1">IF(SUM((DF6-DE6)*24,-DG6/60)*DH6&gt;=0,SUM((DF6-DE6)*24,-DG6/60)*DH6,0)</f>
        <v>0</v>
      </c>
      <c r="DK6" s="31" t="e">
        <f>DJ6*#REF!</f>
        <v>#REF!</v>
      </c>
      <c r="DL6" s="32" t="e">
        <f>DJ6*#REF!</f>
        <v>#REF!</v>
      </c>
      <c r="DN6" s="33"/>
      <c r="DO6" s="34"/>
      <c r="DP6" s="35"/>
      <c r="DQ6" s="36"/>
      <c r="DR6" s="37"/>
      <c r="DS6" s="30">
        <f t="shared" ref="DS6:DS69" si="2">IF(SUM((DO6-DN6)*24,-DP6/60)*DQ6&gt;=0,SUM((DO6-DN6)*24,-DP6/60)*DQ6,0)</f>
        <v>0</v>
      </c>
      <c r="DT6" s="31" t="e">
        <f>DS6*#REF!</f>
        <v>#REF!</v>
      </c>
      <c r="DU6" s="32" t="e">
        <f>DS6*#REF!</f>
        <v>#REF!</v>
      </c>
      <c r="DW6" s="33"/>
      <c r="DX6" s="34"/>
      <c r="DY6" s="35"/>
      <c r="DZ6" s="36"/>
      <c r="EA6" s="37"/>
      <c r="EB6" s="30">
        <f t="shared" ref="EB6:EB69" si="3">IF(SUM((DX6-DW6)*24,-DY6/60)*DZ6&gt;=0,SUM((DX6-DW6)*24,-DY6/60)*DZ6,0)</f>
        <v>0</v>
      </c>
      <c r="EC6" s="31" t="e">
        <f>EB6*#REF!</f>
        <v>#REF!</v>
      </c>
      <c r="ED6" s="32" t="e">
        <f>EB6*#REF!</f>
        <v>#REF!</v>
      </c>
      <c r="EF6" s="33"/>
      <c r="EG6" s="34"/>
      <c r="EH6" s="35"/>
      <c r="EI6" s="36"/>
      <c r="EJ6" s="37"/>
      <c r="EK6" s="30">
        <f t="shared" ref="EK6:EK69" si="4">IF(SUM((EG6-EF6)*24,-EH6/60)*EI6&gt;=0,SUM((EG6-EF6)*24,-EH6/60)*EI6,0)</f>
        <v>0</v>
      </c>
      <c r="EL6" s="31" t="e">
        <f>EK6*#REF!</f>
        <v>#REF!</v>
      </c>
      <c r="EM6" s="32" t="e">
        <f>EK6*#REF!</f>
        <v>#REF!</v>
      </c>
      <c r="EO6" s="33"/>
      <c r="EP6" s="34"/>
      <c r="EQ6" s="35"/>
      <c r="ER6" s="36"/>
      <c r="ES6" s="37"/>
      <c r="ET6" s="30">
        <f t="shared" ref="ET6:ET69" si="5">IF(SUM((EP6-EO6)*24,-EQ6/60)*ER6&gt;=0,SUM((EP6-EO6)*24,-EQ6/60)*ER6,0)</f>
        <v>0</v>
      </c>
      <c r="EU6" s="31" t="e">
        <f>ET6*#REF!</f>
        <v>#REF!</v>
      </c>
      <c r="EV6" s="32" t="e">
        <f>ET6*#REF!</f>
        <v>#REF!</v>
      </c>
      <c r="EX6" s="33"/>
      <c r="EY6" s="34"/>
      <c r="EZ6" s="35"/>
      <c r="FA6" s="36"/>
      <c r="FB6" s="37"/>
      <c r="FC6" s="30">
        <f t="shared" ref="FC6:FC69" si="6">IF(SUM((EY6-EX6)*24,-EZ6/60)*FA6&gt;=0,SUM((EY6-EX6)*24,-EZ6/60)*FA6,0)</f>
        <v>0</v>
      </c>
      <c r="FD6" s="31" t="e">
        <f>FC6*#REF!</f>
        <v>#REF!</v>
      </c>
      <c r="FE6" s="32" t="e">
        <f>FC6*#REF!</f>
        <v>#REF!</v>
      </c>
      <c r="FG6" s="33"/>
      <c r="FH6" s="34"/>
      <c r="FI6" s="35"/>
      <c r="FJ6" s="36"/>
      <c r="FK6" s="37"/>
      <c r="FL6" s="30">
        <f t="shared" ref="FL6:FL69" si="7">IF(SUM((FH6-FG6)*24,-FI6/60)*FJ6&gt;=0,SUM((FH6-FG6)*24,-FI6/60)*FJ6,0)</f>
        <v>0</v>
      </c>
      <c r="FM6" s="31" t="e">
        <f>FL6*#REF!</f>
        <v>#REF!</v>
      </c>
      <c r="FN6" s="32" t="e">
        <f>FL6*#REF!</f>
        <v>#REF!</v>
      </c>
      <c r="FP6" s="33"/>
      <c r="FQ6" s="34"/>
      <c r="FR6" s="35"/>
      <c r="FS6" s="36"/>
      <c r="FT6" s="37"/>
      <c r="FU6" s="30">
        <f t="shared" ref="FU6:FU69" si="8">IF(SUM((FQ6-FP6)*24,-FR6/60)*FS6&gt;=0,SUM((FQ6-FP6)*24,-FR6/60)*FS6,0)</f>
        <v>0</v>
      </c>
      <c r="FV6" s="31" t="e">
        <f>FU6*#REF!</f>
        <v>#REF!</v>
      </c>
      <c r="FW6" s="32" t="e">
        <f>FU6*#REF!</f>
        <v>#REF!</v>
      </c>
      <c r="FY6" s="33"/>
      <c r="FZ6" s="34"/>
      <c r="GA6" s="35"/>
      <c r="GB6" s="36"/>
      <c r="GC6" s="37"/>
      <c r="GD6" s="30">
        <f t="shared" ref="GD6:GD69" si="9">IF(SUM((FZ6-FY6)*24,-GA6/60)*GB6&gt;=0,SUM((FZ6-FY6)*24,-GA6/60)*GB6,0)</f>
        <v>0</v>
      </c>
      <c r="GE6" s="31" t="e">
        <f>GD6*#REF!</f>
        <v>#REF!</v>
      </c>
      <c r="GF6" s="32" t="e">
        <f>GD6*#REF!</f>
        <v>#REF!</v>
      </c>
      <c r="GH6" s="33"/>
      <c r="GI6" s="34"/>
      <c r="GJ6" s="35"/>
      <c r="GK6" s="36"/>
      <c r="GL6" s="37"/>
      <c r="GM6" s="30">
        <f t="shared" ref="GM6:GM69" si="10">IF(SUM((GI6-GH6)*24,-GJ6/60)*GK6&gt;=0,SUM((GI6-GH6)*24,-GJ6/60)*GK6,0)</f>
        <v>0</v>
      </c>
      <c r="GN6" s="31" t="e">
        <f>GM6*#REF!</f>
        <v>#REF!</v>
      </c>
      <c r="GO6" s="32" t="e">
        <f>GM6*#REF!</f>
        <v>#REF!</v>
      </c>
      <c r="GQ6" s="38">
        <f>_xlfn.MAXIFS(I6:GO6,$I$5:$GO$5,"Staff #")</f>
        <v>5</v>
      </c>
      <c r="GR6" s="39">
        <v>5</v>
      </c>
    </row>
    <row r="7" spans="2:201" ht="15" x14ac:dyDescent="0.25">
      <c r="B7" s="22"/>
      <c r="C7" s="23"/>
      <c r="D7" s="24" t="str">
        <f>IF(C7="","",_xlfn.XLOOKUP(C7,'[3]Control Sheet'!$L$5:$L$104,'[3]Control Sheet'!$M$5:$M$104,"",0))</f>
        <v/>
      </c>
      <c r="E7" s="24" t="str">
        <f>IF(B7="","",_xlfn.XLOOKUP(B7,'[3]Control Sheet'!$D$5:$D$64,'[3]Control Sheet'!$F$5:$F$64,"",0))</f>
        <v/>
      </c>
      <c r="F7" s="24" t="str">
        <f>IF(B7="","",_xlfn.XLOOKUP(B7,'[3]Control Sheet'!$D$5:$D$64,'[3]Control Sheet'!$E$5:$E$64,"",0))</f>
        <v/>
      </c>
      <c r="I7" s="25"/>
      <c r="J7" s="26"/>
      <c r="K7" s="27"/>
      <c r="L7" s="28"/>
      <c r="M7" s="29"/>
      <c r="P7" s="25"/>
      <c r="Q7" s="26"/>
      <c r="R7" s="27"/>
      <c r="S7" s="28"/>
      <c r="T7" s="29"/>
      <c r="V7" s="25"/>
      <c r="W7" s="26"/>
      <c r="X7" s="27"/>
      <c r="Y7" s="28"/>
      <c r="Z7" s="29"/>
      <c r="AB7" s="25"/>
      <c r="AC7" s="26"/>
      <c r="AD7" s="27"/>
      <c r="AE7" s="28"/>
      <c r="AF7" s="29"/>
      <c r="AH7" s="25"/>
      <c r="AI7" s="26"/>
      <c r="AJ7" s="27"/>
      <c r="AK7" s="28"/>
      <c r="AL7" s="29"/>
      <c r="AN7" s="25"/>
      <c r="AO7" s="26"/>
      <c r="AP7" s="27"/>
      <c r="AQ7" s="28"/>
      <c r="AR7" s="29"/>
      <c r="AT7" s="25"/>
      <c r="AU7" s="26"/>
      <c r="AV7" s="27"/>
      <c r="AW7" s="28"/>
      <c r="AX7" s="29"/>
      <c r="AZ7" s="25"/>
      <c r="BA7" s="26"/>
      <c r="BB7" s="27"/>
      <c r="BC7" s="28"/>
      <c r="BD7" s="29"/>
      <c r="BF7" s="25"/>
      <c r="BG7" s="26"/>
      <c r="BH7" s="27"/>
      <c r="BI7" s="28"/>
      <c r="BJ7" s="29"/>
      <c r="BL7" s="25"/>
      <c r="BM7" s="26"/>
      <c r="BN7" s="27"/>
      <c r="BO7" s="28"/>
      <c r="BP7" s="29"/>
      <c r="BR7" s="25"/>
      <c r="BS7" s="26"/>
      <c r="BT7" s="27"/>
      <c r="BU7" s="28"/>
      <c r="BV7" s="29"/>
      <c r="BX7" s="25"/>
      <c r="BY7" s="26"/>
      <c r="BZ7" s="27"/>
      <c r="CA7" s="28"/>
      <c r="CB7" s="29"/>
      <c r="CD7" s="25"/>
      <c r="CE7" s="26"/>
      <c r="CF7" s="27"/>
      <c r="CG7" s="28"/>
      <c r="CH7" s="29"/>
      <c r="CJ7" s="25"/>
      <c r="CK7" s="26"/>
      <c r="CL7" s="27"/>
      <c r="CM7" s="28"/>
      <c r="CN7" s="40"/>
      <c r="CP7" s="33"/>
      <c r="CQ7" s="34"/>
      <c r="CR7" s="35"/>
      <c r="CS7" s="36"/>
      <c r="CT7" s="37"/>
      <c r="CV7" s="33"/>
      <c r="CW7" s="34"/>
      <c r="CX7" s="35"/>
      <c r="CY7" s="36"/>
      <c r="CZ7" s="37"/>
      <c r="DA7" s="30">
        <f t="shared" si="0"/>
        <v>0</v>
      </c>
      <c r="DB7" s="31" t="e">
        <f>DA7*#REF!</f>
        <v>#REF!</v>
      </c>
      <c r="DC7" s="32" t="e">
        <f>DA7*#REF!</f>
        <v>#REF!</v>
      </c>
      <c r="DE7" s="33"/>
      <c r="DF7" s="34"/>
      <c r="DG7" s="35"/>
      <c r="DH7" s="36"/>
      <c r="DI7" s="37"/>
      <c r="DJ7" s="30">
        <f t="shared" si="1"/>
        <v>0</v>
      </c>
      <c r="DK7" s="31" t="e">
        <f>DJ7*#REF!</f>
        <v>#REF!</v>
      </c>
      <c r="DL7" s="32" t="e">
        <f>DJ7*#REF!</f>
        <v>#REF!</v>
      </c>
      <c r="DN7" s="33"/>
      <c r="DO7" s="34"/>
      <c r="DP7" s="35"/>
      <c r="DQ7" s="36"/>
      <c r="DR7" s="37"/>
      <c r="DS7" s="30">
        <f t="shared" si="2"/>
        <v>0</v>
      </c>
      <c r="DT7" s="31" t="e">
        <f>DS7*#REF!</f>
        <v>#REF!</v>
      </c>
      <c r="DU7" s="32" t="e">
        <f>DS7*#REF!</f>
        <v>#REF!</v>
      </c>
      <c r="DW7" s="33"/>
      <c r="DX7" s="34"/>
      <c r="DY7" s="35"/>
      <c r="DZ7" s="36"/>
      <c r="EA7" s="37"/>
      <c r="EB7" s="30">
        <f t="shared" si="3"/>
        <v>0</v>
      </c>
      <c r="EC7" s="31" t="e">
        <f>EB7*#REF!</f>
        <v>#REF!</v>
      </c>
      <c r="ED7" s="32" t="e">
        <f>EB7*#REF!</f>
        <v>#REF!</v>
      </c>
      <c r="EF7" s="33"/>
      <c r="EG7" s="34"/>
      <c r="EH7" s="35"/>
      <c r="EI7" s="36"/>
      <c r="EJ7" s="37"/>
      <c r="EK7" s="30">
        <f t="shared" si="4"/>
        <v>0</v>
      </c>
      <c r="EL7" s="31" t="e">
        <f>EK7*#REF!</f>
        <v>#REF!</v>
      </c>
      <c r="EM7" s="32" t="e">
        <f>EK7*#REF!</f>
        <v>#REF!</v>
      </c>
      <c r="EO7" s="33"/>
      <c r="EP7" s="34"/>
      <c r="EQ7" s="35"/>
      <c r="ER7" s="36"/>
      <c r="ES7" s="37"/>
      <c r="ET7" s="30">
        <f t="shared" si="5"/>
        <v>0</v>
      </c>
      <c r="EU7" s="31" t="e">
        <f>ET7*#REF!</f>
        <v>#REF!</v>
      </c>
      <c r="EV7" s="32" t="e">
        <f>ET7*#REF!</f>
        <v>#REF!</v>
      </c>
      <c r="EX7" s="33"/>
      <c r="EY7" s="34"/>
      <c r="EZ7" s="35"/>
      <c r="FA7" s="36"/>
      <c r="FB7" s="37"/>
      <c r="FC7" s="30">
        <f t="shared" si="6"/>
        <v>0</v>
      </c>
      <c r="FD7" s="31" t="e">
        <f>FC7*#REF!</f>
        <v>#REF!</v>
      </c>
      <c r="FE7" s="32" t="e">
        <f>FC7*#REF!</f>
        <v>#REF!</v>
      </c>
      <c r="FG7" s="33"/>
      <c r="FH7" s="34"/>
      <c r="FI7" s="35"/>
      <c r="FJ7" s="36"/>
      <c r="FK7" s="37"/>
      <c r="FL7" s="30">
        <f t="shared" si="7"/>
        <v>0</v>
      </c>
      <c r="FM7" s="31" t="e">
        <f>FL7*#REF!</f>
        <v>#REF!</v>
      </c>
      <c r="FN7" s="32" t="e">
        <f>FL7*#REF!</f>
        <v>#REF!</v>
      </c>
      <c r="FP7" s="33"/>
      <c r="FQ7" s="34"/>
      <c r="FR7" s="35"/>
      <c r="FS7" s="36"/>
      <c r="FT7" s="37"/>
      <c r="FU7" s="30">
        <f t="shared" si="8"/>
        <v>0</v>
      </c>
      <c r="FV7" s="31" t="e">
        <f>FU7*#REF!</f>
        <v>#REF!</v>
      </c>
      <c r="FW7" s="32" t="e">
        <f>FU7*#REF!</f>
        <v>#REF!</v>
      </c>
      <c r="FY7" s="33"/>
      <c r="FZ7" s="34"/>
      <c r="GA7" s="35"/>
      <c r="GB7" s="36"/>
      <c r="GC7" s="37"/>
      <c r="GD7" s="30">
        <f t="shared" si="9"/>
        <v>0</v>
      </c>
      <c r="GE7" s="31" t="e">
        <f>GD7*#REF!</f>
        <v>#REF!</v>
      </c>
      <c r="GF7" s="32" t="e">
        <f>GD7*#REF!</f>
        <v>#REF!</v>
      </c>
      <c r="GH7" s="33"/>
      <c r="GI7" s="34"/>
      <c r="GJ7" s="35"/>
      <c r="GK7" s="36"/>
      <c r="GL7" s="37"/>
      <c r="GM7" s="30">
        <f t="shared" si="10"/>
        <v>0</v>
      </c>
      <c r="GN7" s="31" t="e">
        <f>GM7*#REF!</f>
        <v>#REF!</v>
      </c>
      <c r="GO7" s="32" t="e">
        <f>GM7*#REF!</f>
        <v>#REF!</v>
      </c>
      <c r="GQ7" s="38">
        <f>_xlfn.MAXIFS(I7:GO7,$I$5:$GO$5,"Staff #")</f>
        <v>0</v>
      </c>
      <c r="GR7" s="39">
        <v>0</v>
      </c>
    </row>
    <row r="8" spans="2:201" ht="15" x14ac:dyDescent="0.25">
      <c r="B8" s="22"/>
      <c r="C8" s="23"/>
      <c r="D8" s="24" t="str">
        <f>IF(C8="","",_xlfn.XLOOKUP(C8,'[3]Control Sheet'!$L$5:$L$104,'[3]Control Sheet'!$M$5:$M$104,"",0))</f>
        <v/>
      </c>
      <c r="E8" s="24" t="str">
        <f>IF(B8="","",_xlfn.XLOOKUP(B8,'[3]Control Sheet'!$D$5:$D$64,'[3]Control Sheet'!$F$5:$F$64,"",0))</f>
        <v/>
      </c>
      <c r="F8" s="24" t="str">
        <f>IF(B8="","",_xlfn.XLOOKUP(B8,'[3]Control Sheet'!$D$5:$D$64,'[3]Control Sheet'!$E$5:$E$64,"",0))</f>
        <v/>
      </c>
      <c r="I8" s="25"/>
      <c r="J8" s="26"/>
      <c r="K8" s="27"/>
      <c r="L8" s="28"/>
      <c r="M8" s="29"/>
      <c r="P8" s="25"/>
      <c r="Q8" s="26"/>
      <c r="R8" s="27"/>
      <c r="S8" s="28"/>
      <c r="T8" s="29"/>
      <c r="V8" s="25"/>
      <c r="W8" s="26"/>
      <c r="X8" s="27"/>
      <c r="Y8" s="28"/>
      <c r="Z8" s="29"/>
      <c r="AB8" s="25"/>
      <c r="AC8" s="26"/>
      <c r="AD8" s="27"/>
      <c r="AE8" s="28"/>
      <c r="AF8" s="29"/>
      <c r="AH8" s="25"/>
      <c r="AI8" s="26"/>
      <c r="AJ8" s="27"/>
      <c r="AK8" s="28"/>
      <c r="AL8" s="29"/>
      <c r="AN8" s="25"/>
      <c r="AO8" s="26"/>
      <c r="AP8" s="27"/>
      <c r="AQ8" s="28"/>
      <c r="AR8" s="29"/>
      <c r="AT8" s="25"/>
      <c r="AU8" s="26"/>
      <c r="AV8" s="27"/>
      <c r="AW8" s="28"/>
      <c r="AX8" s="29"/>
      <c r="AZ8" s="25"/>
      <c r="BA8" s="26"/>
      <c r="BB8" s="27"/>
      <c r="BC8" s="28"/>
      <c r="BD8" s="29"/>
      <c r="BF8" s="25"/>
      <c r="BG8" s="26"/>
      <c r="BH8" s="27"/>
      <c r="BI8" s="28"/>
      <c r="BJ8" s="29"/>
      <c r="BL8" s="25"/>
      <c r="BM8" s="26"/>
      <c r="BN8" s="27"/>
      <c r="BO8" s="28"/>
      <c r="BP8" s="40"/>
      <c r="BR8" s="25"/>
      <c r="BS8" s="26"/>
      <c r="BT8" s="27"/>
      <c r="BU8" s="28"/>
      <c r="BV8" s="29"/>
      <c r="BX8" s="25"/>
      <c r="BY8" s="26"/>
      <c r="BZ8" s="27"/>
      <c r="CA8" s="28"/>
      <c r="CB8" s="40"/>
      <c r="CD8" s="25"/>
      <c r="CE8" s="26"/>
      <c r="CF8" s="27"/>
      <c r="CG8" s="28"/>
      <c r="CH8" s="40"/>
      <c r="CJ8" s="25"/>
      <c r="CK8" s="26"/>
      <c r="CL8" s="27"/>
      <c r="CM8" s="28"/>
      <c r="CN8" s="40"/>
      <c r="CP8" s="33"/>
      <c r="CQ8" s="34"/>
      <c r="CR8" s="35"/>
      <c r="CS8" s="36"/>
      <c r="CT8" s="37"/>
      <c r="CV8" s="33"/>
      <c r="CW8" s="34"/>
      <c r="CX8" s="35"/>
      <c r="CY8" s="36"/>
      <c r="CZ8" s="37"/>
      <c r="DA8" s="30">
        <f t="shared" si="0"/>
        <v>0</v>
      </c>
      <c r="DB8" s="31" t="e">
        <f>DA8*#REF!</f>
        <v>#REF!</v>
      </c>
      <c r="DC8" s="32" t="e">
        <f>DA8*#REF!</f>
        <v>#REF!</v>
      </c>
      <c r="DE8" s="33"/>
      <c r="DF8" s="34"/>
      <c r="DG8" s="35"/>
      <c r="DH8" s="36"/>
      <c r="DI8" s="37"/>
      <c r="DJ8" s="30">
        <f t="shared" si="1"/>
        <v>0</v>
      </c>
      <c r="DK8" s="31" t="e">
        <f>DJ8*#REF!</f>
        <v>#REF!</v>
      </c>
      <c r="DL8" s="32" t="e">
        <f>DJ8*#REF!</f>
        <v>#REF!</v>
      </c>
      <c r="DN8" s="33"/>
      <c r="DO8" s="34"/>
      <c r="DP8" s="35"/>
      <c r="DQ8" s="36"/>
      <c r="DR8" s="37"/>
      <c r="DS8" s="30">
        <f t="shared" si="2"/>
        <v>0</v>
      </c>
      <c r="DT8" s="31" t="e">
        <f>DS8*#REF!</f>
        <v>#REF!</v>
      </c>
      <c r="DU8" s="32" t="e">
        <f>DS8*#REF!</f>
        <v>#REF!</v>
      </c>
      <c r="DW8" s="33"/>
      <c r="DX8" s="34"/>
      <c r="DY8" s="35"/>
      <c r="DZ8" s="36"/>
      <c r="EA8" s="37"/>
      <c r="EB8" s="30">
        <f t="shared" si="3"/>
        <v>0</v>
      </c>
      <c r="EC8" s="31" t="e">
        <f>EB8*#REF!</f>
        <v>#REF!</v>
      </c>
      <c r="ED8" s="32" t="e">
        <f>EB8*#REF!</f>
        <v>#REF!</v>
      </c>
      <c r="EF8" s="33"/>
      <c r="EG8" s="34"/>
      <c r="EH8" s="35"/>
      <c r="EI8" s="36"/>
      <c r="EJ8" s="37"/>
      <c r="EK8" s="30">
        <f t="shared" si="4"/>
        <v>0</v>
      </c>
      <c r="EL8" s="31" t="e">
        <f>EK8*#REF!</f>
        <v>#REF!</v>
      </c>
      <c r="EM8" s="32" t="e">
        <f>EK8*#REF!</f>
        <v>#REF!</v>
      </c>
      <c r="EO8" s="33"/>
      <c r="EP8" s="34"/>
      <c r="EQ8" s="35"/>
      <c r="ER8" s="36"/>
      <c r="ES8" s="37"/>
      <c r="ET8" s="30">
        <f t="shared" si="5"/>
        <v>0</v>
      </c>
      <c r="EU8" s="31" t="e">
        <f>ET8*#REF!</f>
        <v>#REF!</v>
      </c>
      <c r="EV8" s="32" t="e">
        <f>ET8*#REF!</f>
        <v>#REF!</v>
      </c>
      <c r="EX8" s="33"/>
      <c r="EY8" s="34"/>
      <c r="EZ8" s="35"/>
      <c r="FA8" s="36"/>
      <c r="FB8" s="37"/>
      <c r="FC8" s="30">
        <f t="shared" si="6"/>
        <v>0</v>
      </c>
      <c r="FD8" s="31" t="e">
        <f>FC8*#REF!</f>
        <v>#REF!</v>
      </c>
      <c r="FE8" s="32" t="e">
        <f>FC8*#REF!</f>
        <v>#REF!</v>
      </c>
      <c r="FG8" s="33"/>
      <c r="FH8" s="34"/>
      <c r="FI8" s="35"/>
      <c r="FJ8" s="36"/>
      <c r="FK8" s="37"/>
      <c r="FL8" s="30">
        <f t="shared" si="7"/>
        <v>0</v>
      </c>
      <c r="FM8" s="31" t="e">
        <f>FL8*#REF!</f>
        <v>#REF!</v>
      </c>
      <c r="FN8" s="32" t="e">
        <f>FL8*#REF!</f>
        <v>#REF!</v>
      </c>
      <c r="FP8" s="33"/>
      <c r="FQ8" s="34"/>
      <c r="FR8" s="35"/>
      <c r="FS8" s="36"/>
      <c r="FT8" s="37"/>
      <c r="FU8" s="30">
        <f t="shared" si="8"/>
        <v>0</v>
      </c>
      <c r="FV8" s="31" t="e">
        <f>FU8*#REF!</f>
        <v>#REF!</v>
      </c>
      <c r="FW8" s="32" t="e">
        <f>FU8*#REF!</f>
        <v>#REF!</v>
      </c>
      <c r="FY8" s="33"/>
      <c r="FZ8" s="34"/>
      <c r="GA8" s="35"/>
      <c r="GB8" s="36"/>
      <c r="GC8" s="37"/>
      <c r="GD8" s="30">
        <f t="shared" si="9"/>
        <v>0</v>
      </c>
      <c r="GE8" s="31" t="e">
        <f>GD8*#REF!</f>
        <v>#REF!</v>
      </c>
      <c r="GF8" s="32" t="e">
        <f>GD8*#REF!</f>
        <v>#REF!</v>
      </c>
      <c r="GH8" s="33"/>
      <c r="GI8" s="34"/>
      <c r="GJ8" s="35"/>
      <c r="GK8" s="36"/>
      <c r="GL8" s="37"/>
      <c r="GM8" s="30">
        <f t="shared" si="10"/>
        <v>0</v>
      </c>
      <c r="GN8" s="31" t="e">
        <f>GM8*#REF!</f>
        <v>#REF!</v>
      </c>
      <c r="GO8" s="32" t="e">
        <f>GM8*#REF!</f>
        <v>#REF!</v>
      </c>
      <c r="GQ8" s="38">
        <f>_xlfn.MAXIFS(I8:GO8,$I$5:$GO$5,"Staff #")</f>
        <v>0</v>
      </c>
      <c r="GR8" s="39">
        <v>0</v>
      </c>
    </row>
    <row r="9" spans="2:201" ht="15" x14ac:dyDescent="0.25">
      <c r="B9" s="22"/>
      <c r="C9" s="23"/>
      <c r="D9" s="24" t="str">
        <f>IF(C9="","",_xlfn.XLOOKUP(C9,'[3]Control Sheet'!$L$5:$L$104,'[3]Control Sheet'!$M$5:$M$104,"",0))</f>
        <v/>
      </c>
      <c r="E9" s="24" t="str">
        <f>IF(B9="","",_xlfn.XLOOKUP(B9,'[3]Control Sheet'!$D$5:$D$64,'[3]Control Sheet'!$F$5:$F$64,"",0))</f>
        <v/>
      </c>
      <c r="F9" s="24" t="str">
        <f>IF(B9="","",_xlfn.XLOOKUP(B9,'[3]Control Sheet'!$D$5:$D$64,'[3]Control Sheet'!$E$5:$E$64,"",0))</f>
        <v/>
      </c>
      <c r="I9" s="25"/>
      <c r="J9" s="26"/>
      <c r="K9" s="27"/>
      <c r="L9" s="28"/>
      <c r="M9" s="29"/>
      <c r="P9" s="25"/>
      <c r="Q9" s="26"/>
      <c r="R9" s="27"/>
      <c r="S9" s="28"/>
      <c r="T9" s="29"/>
      <c r="V9" s="25"/>
      <c r="W9" s="26"/>
      <c r="X9" s="27"/>
      <c r="Y9" s="28"/>
      <c r="Z9" s="29"/>
      <c r="AB9" s="25"/>
      <c r="AC9" s="26"/>
      <c r="AD9" s="27"/>
      <c r="AE9" s="28"/>
      <c r="AF9" s="29"/>
      <c r="AH9" s="25"/>
      <c r="AI9" s="26"/>
      <c r="AJ9" s="27"/>
      <c r="AK9" s="28"/>
      <c r="AL9" s="29"/>
      <c r="AN9" s="25"/>
      <c r="AO9" s="26"/>
      <c r="AP9" s="27"/>
      <c r="AQ9" s="28"/>
      <c r="AR9" s="29"/>
      <c r="AT9" s="25"/>
      <c r="AU9" s="26"/>
      <c r="AV9" s="27"/>
      <c r="AW9" s="28"/>
      <c r="AX9" s="29"/>
      <c r="AZ9" s="25"/>
      <c r="BA9" s="26"/>
      <c r="BB9" s="27"/>
      <c r="BC9" s="28"/>
      <c r="BD9" s="29"/>
      <c r="BF9" s="25"/>
      <c r="BG9" s="26"/>
      <c r="BH9" s="27"/>
      <c r="BI9" s="28"/>
      <c r="BJ9" s="29"/>
      <c r="BL9" s="25"/>
      <c r="BM9" s="26"/>
      <c r="BN9" s="27"/>
      <c r="BO9" s="28"/>
      <c r="BP9" s="29"/>
      <c r="BR9" s="25"/>
      <c r="BS9" s="26"/>
      <c r="BT9" s="27"/>
      <c r="BU9" s="28"/>
      <c r="BV9" s="29"/>
      <c r="BX9" s="25"/>
      <c r="BY9" s="26"/>
      <c r="BZ9" s="27"/>
      <c r="CA9" s="28"/>
      <c r="CB9" s="29"/>
      <c r="CD9" s="25"/>
      <c r="CE9" s="26"/>
      <c r="CF9" s="27"/>
      <c r="CG9" s="28"/>
      <c r="CH9" s="29"/>
      <c r="CJ9" s="25"/>
      <c r="CK9" s="26"/>
      <c r="CL9" s="27"/>
      <c r="CM9" s="28"/>
      <c r="CN9" s="40"/>
      <c r="CP9" s="33"/>
      <c r="CQ9" s="34"/>
      <c r="CR9" s="35"/>
      <c r="CS9" s="36"/>
      <c r="CT9" s="37"/>
      <c r="CV9" s="33"/>
      <c r="CW9" s="34"/>
      <c r="CX9" s="35"/>
      <c r="CY9" s="36"/>
      <c r="CZ9" s="37"/>
      <c r="DA9" s="30">
        <f t="shared" si="0"/>
        <v>0</v>
      </c>
      <c r="DB9" s="31" t="e">
        <f>DA9*#REF!</f>
        <v>#REF!</v>
      </c>
      <c r="DC9" s="32" t="e">
        <f>DA9*#REF!</f>
        <v>#REF!</v>
      </c>
      <c r="DE9" s="33"/>
      <c r="DF9" s="34"/>
      <c r="DG9" s="35"/>
      <c r="DH9" s="36"/>
      <c r="DI9" s="37"/>
      <c r="DJ9" s="30">
        <f t="shared" si="1"/>
        <v>0</v>
      </c>
      <c r="DK9" s="31" t="e">
        <f>DJ9*#REF!</f>
        <v>#REF!</v>
      </c>
      <c r="DL9" s="32" t="e">
        <f>DJ9*#REF!</f>
        <v>#REF!</v>
      </c>
      <c r="DN9" s="33"/>
      <c r="DO9" s="34"/>
      <c r="DP9" s="35"/>
      <c r="DQ9" s="36"/>
      <c r="DR9" s="37"/>
      <c r="DS9" s="30">
        <f t="shared" si="2"/>
        <v>0</v>
      </c>
      <c r="DT9" s="31" t="e">
        <f>DS9*#REF!</f>
        <v>#REF!</v>
      </c>
      <c r="DU9" s="32" t="e">
        <f>DS9*#REF!</f>
        <v>#REF!</v>
      </c>
      <c r="DW9" s="33"/>
      <c r="DX9" s="34"/>
      <c r="DY9" s="35"/>
      <c r="DZ9" s="36"/>
      <c r="EA9" s="37"/>
      <c r="EB9" s="30">
        <f t="shared" si="3"/>
        <v>0</v>
      </c>
      <c r="EC9" s="31" t="e">
        <f>EB9*#REF!</f>
        <v>#REF!</v>
      </c>
      <c r="ED9" s="32" t="e">
        <f>EB9*#REF!</f>
        <v>#REF!</v>
      </c>
      <c r="EF9" s="33"/>
      <c r="EG9" s="34"/>
      <c r="EH9" s="35"/>
      <c r="EI9" s="36"/>
      <c r="EJ9" s="37"/>
      <c r="EK9" s="30">
        <f t="shared" si="4"/>
        <v>0</v>
      </c>
      <c r="EL9" s="31" t="e">
        <f>EK9*#REF!</f>
        <v>#REF!</v>
      </c>
      <c r="EM9" s="32" t="e">
        <f>EK9*#REF!</f>
        <v>#REF!</v>
      </c>
      <c r="EO9" s="33"/>
      <c r="EP9" s="34"/>
      <c r="EQ9" s="35"/>
      <c r="ER9" s="36"/>
      <c r="ES9" s="37"/>
      <c r="ET9" s="30">
        <f t="shared" si="5"/>
        <v>0</v>
      </c>
      <c r="EU9" s="31" t="e">
        <f>ET9*#REF!</f>
        <v>#REF!</v>
      </c>
      <c r="EV9" s="32" t="e">
        <f>ET9*#REF!</f>
        <v>#REF!</v>
      </c>
      <c r="EX9" s="33"/>
      <c r="EY9" s="34"/>
      <c r="EZ9" s="35"/>
      <c r="FA9" s="36"/>
      <c r="FB9" s="37"/>
      <c r="FC9" s="30">
        <f t="shared" si="6"/>
        <v>0</v>
      </c>
      <c r="FD9" s="31" t="e">
        <f>FC9*#REF!</f>
        <v>#REF!</v>
      </c>
      <c r="FE9" s="32" t="e">
        <f>FC9*#REF!</f>
        <v>#REF!</v>
      </c>
      <c r="FG9" s="33"/>
      <c r="FH9" s="34"/>
      <c r="FI9" s="35"/>
      <c r="FJ9" s="36"/>
      <c r="FK9" s="37"/>
      <c r="FL9" s="30">
        <f t="shared" si="7"/>
        <v>0</v>
      </c>
      <c r="FM9" s="31" t="e">
        <f>FL9*#REF!</f>
        <v>#REF!</v>
      </c>
      <c r="FN9" s="32" t="e">
        <f>FL9*#REF!</f>
        <v>#REF!</v>
      </c>
      <c r="FP9" s="33"/>
      <c r="FQ9" s="34"/>
      <c r="FR9" s="35"/>
      <c r="FS9" s="36"/>
      <c r="FT9" s="37"/>
      <c r="FU9" s="30">
        <f t="shared" si="8"/>
        <v>0</v>
      </c>
      <c r="FV9" s="31" t="e">
        <f>FU9*#REF!</f>
        <v>#REF!</v>
      </c>
      <c r="FW9" s="32" t="e">
        <f>FU9*#REF!</f>
        <v>#REF!</v>
      </c>
      <c r="FY9" s="33"/>
      <c r="FZ9" s="34"/>
      <c r="GA9" s="35"/>
      <c r="GB9" s="36"/>
      <c r="GC9" s="37"/>
      <c r="GD9" s="30">
        <f t="shared" si="9"/>
        <v>0</v>
      </c>
      <c r="GE9" s="31" t="e">
        <f>GD9*#REF!</f>
        <v>#REF!</v>
      </c>
      <c r="GF9" s="32" t="e">
        <f>GD9*#REF!</f>
        <v>#REF!</v>
      </c>
      <c r="GH9" s="33"/>
      <c r="GI9" s="34"/>
      <c r="GJ9" s="35"/>
      <c r="GK9" s="36"/>
      <c r="GL9" s="37"/>
      <c r="GM9" s="30">
        <f t="shared" si="10"/>
        <v>0</v>
      </c>
      <c r="GN9" s="31" t="e">
        <f>GM9*#REF!</f>
        <v>#REF!</v>
      </c>
      <c r="GO9" s="32" t="e">
        <f>GM9*#REF!</f>
        <v>#REF!</v>
      </c>
      <c r="GQ9" s="38">
        <f>_xlfn.MAXIFS(I9:GO9,$I$5:$GO$5,"Staff #")</f>
        <v>0</v>
      </c>
      <c r="GR9" s="39">
        <v>0</v>
      </c>
    </row>
    <row r="10" spans="2:201" ht="15" x14ac:dyDescent="0.25">
      <c r="B10" s="22"/>
      <c r="C10" s="23"/>
      <c r="D10" s="24" t="str">
        <f>IF(C10="","",_xlfn.XLOOKUP(C10,'[3]Control Sheet'!$L$5:$L$104,'[3]Control Sheet'!$M$5:$M$104,"",0))</f>
        <v/>
      </c>
      <c r="E10" s="24" t="str">
        <f>IF(B10="","",_xlfn.XLOOKUP(B10,'[3]Control Sheet'!$D$5:$D$64,'[3]Control Sheet'!$F$5:$F$64,"",0))</f>
        <v/>
      </c>
      <c r="F10" s="24" t="str">
        <f>IF(B10="","",_xlfn.XLOOKUP(B10,'[3]Control Sheet'!$D$5:$D$64,'[3]Control Sheet'!$E$5:$E$64,"",0))</f>
        <v/>
      </c>
      <c r="I10" s="25"/>
      <c r="J10" s="26"/>
      <c r="K10" s="27"/>
      <c r="L10" s="28"/>
      <c r="M10" s="29"/>
      <c r="P10" s="25"/>
      <c r="Q10" s="26"/>
      <c r="R10" s="27"/>
      <c r="S10" s="28"/>
      <c r="T10" s="29"/>
      <c r="V10" s="25"/>
      <c r="W10" s="26"/>
      <c r="X10" s="27"/>
      <c r="Y10" s="28"/>
      <c r="Z10" s="29"/>
      <c r="AB10" s="25"/>
      <c r="AC10" s="26"/>
      <c r="AD10" s="27"/>
      <c r="AE10" s="28"/>
      <c r="AF10" s="29"/>
      <c r="AH10" s="25"/>
      <c r="AI10" s="26"/>
      <c r="AJ10" s="27"/>
      <c r="AK10" s="28"/>
      <c r="AL10" s="29"/>
      <c r="AN10" s="25"/>
      <c r="AO10" s="26"/>
      <c r="AP10" s="27"/>
      <c r="AQ10" s="28"/>
      <c r="AR10" s="29"/>
      <c r="AT10" s="25"/>
      <c r="AU10" s="26"/>
      <c r="AV10" s="27"/>
      <c r="AW10" s="28"/>
      <c r="AX10" s="29"/>
      <c r="AZ10" s="25"/>
      <c r="BA10" s="26"/>
      <c r="BB10" s="27"/>
      <c r="BC10" s="28"/>
      <c r="BD10" s="29"/>
      <c r="BF10" s="25"/>
      <c r="BG10" s="26"/>
      <c r="BH10" s="27"/>
      <c r="BI10" s="28"/>
      <c r="BJ10" s="29"/>
      <c r="BL10" s="25"/>
      <c r="BM10" s="26"/>
      <c r="BN10" s="27"/>
      <c r="BO10" s="28"/>
      <c r="BP10" s="41"/>
      <c r="BR10" s="25"/>
      <c r="BS10" s="26"/>
      <c r="BT10" s="27"/>
      <c r="BU10" s="28"/>
      <c r="BV10" s="29"/>
      <c r="BX10" s="25"/>
      <c r="BY10" s="26"/>
      <c r="BZ10" s="27"/>
      <c r="CA10" s="28"/>
      <c r="CB10" s="29"/>
      <c r="CD10" s="25"/>
      <c r="CE10" s="26"/>
      <c r="CF10" s="27"/>
      <c r="CG10" s="28"/>
      <c r="CH10" s="29"/>
      <c r="CJ10" s="25"/>
      <c r="CK10" s="26"/>
      <c r="CL10" s="27"/>
      <c r="CM10" s="28"/>
      <c r="CN10" s="40"/>
      <c r="CP10" s="33"/>
      <c r="CQ10" s="34"/>
      <c r="CR10" s="35"/>
      <c r="CS10" s="36"/>
      <c r="CT10" s="37"/>
      <c r="CV10" s="33"/>
      <c r="CW10" s="34"/>
      <c r="CX10" s="35"/>
      <c r="CY10" s="36"/>
      <c r="CZ10" s="37"/>
      <c r="DA10" s="30">
        <f t="shared" si="0"/>
        <v>0</v>
      </c>
      <c r="DB10" s="31" t="e">
        <f>DA10*#REF!</f>
        <v>#REF!</v>
      </c>
      <c r="DC10" s="32" t="e">
        <f>DA10*#REF!</f>
        <v>#REF!</v>
      </c>
      <c r="DE10" s="33"/>
      <c r="DF10" s="34"/>
      <c r="DG10" s="35"/>
      <c r="DH10" s="36"/>
      <c r="DI10" s="37"/>
      <c r="DJ10" s="30">
        <f t="shared" si="1"/>
        <v>0</v>
      </c>
      <c r="DK10" s="31" t="e">
        <f>DJ10*#REF!</f>
        <v>#REF!</v>
      </c>
      <c r="DL10" s="32" t="e">
        <f>DJ10*#REF!</f>
        <v>#REF!</v>
      </c>
      <c r="DN10" s="33"/>
      <c r="DO10" s="34"/>
      <c r="DP10" s="35"/>
      <c r="DQ10" s="36"/>
      <c r="DR10" s="37"/>
      <c r="DS10" s="30">
        <f t="shared" si="2"/>
        <v>0</v>
      </c>
      <c r="DT10" s="31" t="e">
        <f>DS10*#REF!</f>
        <v>#REF!</v>
      </c>
      <c r="DU10" s="32" t="e">
        <f>DS10*#REF!</f>
        <v>#REF!</v>
      </c>
      <c r="DW10" s="33"/>
      <c r="DX10" s="34"/>
      <c r="DY10" s="35"/>
      <c r="DZ10" s="36"/>
      <c r="EA10" s="37"/>
      <c r="EB10" s="30">
        <f t="shared" si="3"/>
        <v>0</v>
      </c>
      <c r="EC10" s="31" t="e">
        <f>EB10*#REF!</f>
        <v>#REF!</v>
      </c>
      <c r="ED10" s="32" t="e">
        <f>EB10*#REF!</f>
        <v>#REF!</v>
      </c>
      <c r="EF10" s="33"/>
      <c r="EG10" s="34"/>
      <c r="EH10" s="35"/>
      <c r="EI10" s="36"/>
      <c r="EJ10" s="37"/>
      <c r="EK10" s="30">
        <f t="shared" si="4"/>
        <v>0</v>
      </c>
      <c r="EL10" s="31" t="e">
        <f>EK10*#REF!</f>
        <v>#REF!</v>
      </c>
      <c r="EM10" s="32" t="e">
        <f>EK10*#REF!</f>
        <v>#REF!</v>
      </c>
      <c r="EO10" s="33"/>
      <c r="EP10" s="34"/>
      <c r="EQ10" s="35"/>
      <c r="ER10" s="36"/>
      <c r="ES10" s="37"/>
      <c r="ET10" s="30">
        <f t="shared" si="5"/>
        <v>0</v>
      </c>
      <c r="EU10" s="31" t="e">
        <f>ET10*#REF!</f>
        <v>#REF!</v>
      </c>
      <c r="EV10" s="32" t="e">
        <f>ET10*#REF!</f>
        <v>#REF!</v>
      </c>
      <c r="EX10" s="33"/>
      <c r="EY10" s="34"/>
      <c r="EZ10" s="35"/>
      <c r="FA10" s="36"/>
      <c r="FB10" s="37"/>
      <c r="FC10" s="30">
        <f t="shared" si="6"/>
        <v>0</v>
      </c>
      <c r="FD10" s="31" t="e">
        <f>FC10*#REF!</f>
        <v>#REF!</v>
      </c>
      <c r="FE10" s="32" t="e">
        <f>FC10*#REF!</f>
        <v>#REF!</v>
      </c>
      <c r="FG10" s="33"/>
      <c r="FH10" s="34"/>
      <c r="FI10" s="35"/>
      <c r="FJ10" s="36"/>
      <c r="FK10" s="37"/>
      <c r="FL10" s="30">
        <f t="shared" si="7"/>
        <v>0</v>
      </c>
      <c r="FM10" s="31" t="e">
        <f>FL10*#REF!</f>
        <v>#REF!</v>
      </c>
      <c r="FN10" s="32" t="e">
        <f>FL10*#REF!</f>
        <v>#REF!</v>
      </c>
      <c r="FP10" s="33"/>
      <c r="FQ10" s="34"/>
      <c r="FR10" s="35"/>
      <c r="FS10" s="36"/>
      <c r="FT10" s="37"/>
      <c r="FU10" s="30">
        <f t="shared" si="8"/>
        <v>0</v>
      </c>
      <c r="FV10" s="31" t="e">
        <f>FU10*#REF!</f>
        <v>#REF!</v>
      </c>
      <c r="FW10" s="32" t="e">
        <f>FU10*#REF!</f>
        <v>#REF!</v>
      </c>
      <c r="FY10" s="33"/>
      <c r="FZ10" s="34"/>
      <c r="GA10" s="35"/>
      <c r="GB10" s="36"/>
      <c r="GC10" s="37"/>
      <c r="GD10" s="30">
        <f t="shared" si="9"/>
        <v>0</v>
      </c>
      <c r="GE10" s="31" t="e">
        <f>GD10*#REF!</f>
        <v>#REF!</v>
      </c>
      <c r="GF10" s="32" t="e">
        <f>GD10*#REF!</f>
        <v>#REF!</v>
      </c>
      <c r="GH10" s="33"/>
      <c r="GI10" s="34"/>
      <c r="GJ10" s="35"/>
      <c r="GK10" s="36"/>
      <c r="GL10" s="37"/>
      <c r="GM10" s="30">
        <f t="shared" si="10"/>
        <v>0</v>
      </c>
      <c r="GN10" s="31" t="e">
        <f>GM10*#REF!</f>
        <v>#REF!</v>
      </c>
      <c r="GO10" s="32" t="e">
        <f>GM10*#REF!</f>
        <v>#REF!</v>
      </c>
      <c r="GQ10" s="38">
        <f>_xlfn.MAXIFS(I10:GO10,$I$5:$GO$5,"Staff #")</f>
        <v>0</v>
      </c>
      <c r="GR10" s="39">
        <v>0</v>
      </c>
    </row>
    <row r="11" spans="2:201" ht="15" x14ac:dyDescent="0.25">
      <c r="B11" s="22"/>
      <c r="C11" s="23"/>
      <c r="D11" s="24" t="str">
        <f>IF(C11="","",_xlfn.XLOOKUP(C11,'[3]Control Sheet'!$L$5:$L$104,'[3]Control Sheet'!$M$5:$M$104,"",0))</f>
        <v/>
      </c>
      <c r="E11" s="24" t="str">
        <f>IF(B11="","",_xlfn.XLOOKUP(B11,'[3]Control Sheet'!$D$5:$D$64,'[3]Control Sheet'!$F$5:$F$64,"",0))</f>
        <v/>
      </c>
      <c r="F11" s="24" t="str">
        <f>IF(B11="","",_xlfn.XLOOKUP(B11,'[3]Control Sheet'!$D$5:$D$64,'[3]Control Sheet'!$E$5:$E$64,"",0))</f>
        <v/>
      </c>
      <c r="I11" s="25"/>
      <c r="J11" s="26"/>
      <c r="K11" s="27"/>
      <c r="L11" s="28"/>
      <c r="M11" s="29"/>
      <c r="P11" s="25"/>
      <c r="Q11" s="26"/>
      <c r="R11" s="27"/>
      <c r="S11" s="28"/>
      <c r="T11" s="29"/>
      <c r="V11" s="25"/>
      <c r="W11" s="26"/>
      <c r="X11" s="27"/>
      <c r="Y11" s="28"/>
      <c r="Z11" s="29"/>
      <c r="AB11" s="25"/>
      <c r="AC11" s="26"/>
      <c r="AD11" s="27"/>
      <c r="AE11" s="28"/>
      <c r="AF11" s="29"/>
      <c r="AH11" s="25"/>
      <c r="AI11" s="26"/>
      <c r="AJ11" s="27"/>
      <c r="AK11" s="28"/>
      <c r="AL11" s="29"/>
      <c r="AN11" s="25"/>
      <c r="AO11" s="26"/>
      <c r="AP11" s="27"/>
      <c r="AQ11" s="28"/>
      <c r="AR11" s="29"/>
      <c r="AT11" s="25"/>
      <c r="AU11" s="26"/>
      <c r="AV11" s="27"/>
      <c r="AW11" s="28"/>
      <c r="AX11" s="29"/>
      <c r="AZ11" s="25"/>
      <c r="BA11" s="26"/>
      <c r="BB11" s="27"/>
      <c r="BC11" s="28"/>
      <c r="BD11" s="29"/>
      <c r="BF11" s="25"/>
      <c r="BG11" s="26"/>
      <c r="BH11" s="27"/>
      <c r="BI11" s="28"/>
      <c r="BJ11" s="29"/>
      <c r="BL11" s="25"/>
      <c r="BM11" s="26"/>
      <c r="BN11" s="27"/>
      <c r="BO11" s="28"/>
      <c r="BP11" s="29"/>
      <c r="BR11" s="25"/>
      <c r="BS11" s="26"/>
      <c r="BT11" s="27"/>
      <c r="BU11" s="28"/>
      <c r="BV11" s="29"/>
      <c r="BX11" s="25"/>
      <c r="BY11" s="26"/>
      <c r="BZ11" s="27"/>
      <c r="CA11" s="28"/>
      <c r="CB11" s="29"/>
      <c r="CD11" s="25"/>
      <c r="CE11" s="26"/>
      <c r="CF11" s="27"/>
      <c r="CG11" s="28"/>
      <c r="CH11" s="29"/>
      <c r="CJ11" s="25"/>
      <c r="CK11" s="26"/>
      <c r="CL11" s="27"/>
      <c r="CM11" s="28"/>
      <c r="CN11" s="40"/>
      <c r="CP11" s="33"/>
      <c r="CQ11" s="34"/>
      <c r="CR11" s="35"/>
      <c r="CS11" s="36"/>
      <c r="CT11" s="37"/>
      <c r="CV11" s="33"/>
      <c r="CW11" s="34"/>
      <c r="CX11" s="35"/>
      <c r="CY11" s="36"/>
      <c r="CZ11" s="37"/>
      <c r="DA11" s="30">
        <f t="shared" si="0"/>
        <v>0</v>
      </c>
      <c r="DB11" s="31" t="e">
        <f>DA11*#REF!</f>
        <v>#REF!</v>
      </c>
      <c r="DC11" s="32" t="e">
        <f>DA11*#REF!</f>
        <v>#REF!</v>
      </c>
      <c r="DE11" s="33"/>
      <c r="DF11" s="34"/>
      <c r="DG11" s="35"/>
      <c r="DH11" s="36"/>
      <c r="DI11" s="37"/>
      <c r="DJ11" s="30">
        <f t="shared" si="1"/>
        <v>0</v>
      </c>
      <c r="DK11" s="31" t="e">
        <f>DJ11*#REF!</f>
        <v>#REF!</v>
      </c>
      <c r="DL11" s="32" t="e">
        <f>DJ11*#REF!</f>
        <v>#REF!</v>
      </c>
      <c r="DN11" s="33"/>
      <c r="DO11" s="34"/>
      <c r="DP11" s="35"/>
      <c r="DQ11" s="36"/>
      <c r="DR11" s="37"/>
      <c r="DS11" s="30">
        <f t="shared" si="2"/>
        <v>0</v>
      </c>
      <c r="DT11" s="31" t="e">
        <f>DS11*#REF!</f>
        <v>#REF!</v>
      </c>
      <c r="DU11" s="32" t="e">
        <f>DS11*#REF!</f>
        <v>#REF!</v>
      </c>
      <c r="DW11" s="33"/>
      <c r="DX11" s="34"/>
      <c r="DY11" s="35"/>
      <c r="DZ11" s="36"/>
      <c r="EA11" s="37"/>
      <c r="EB11" s="30">
        <f t="shared" si="3"/>
        <v>0</v>
      </c>
      <c r="EC11" s="31" t="e">
        <f>EB11*#REF!</f>
        <v>#REF!</v>
      </c>
      <c r="ED11" s="32" t="e">
        <f>EB11*#REF!</f>
        <v>#REF!</v>
      </c>
      <c r="EF11" s="33"/>
      <c r="EG11" s="34"/>
      <c r="EH11" s="35"/>
      <c r="EI11" s="36"/>
      <c r="EJ11" s="37"/>
      <c r="EK11" s="30">
        <f t="shared" si="4"/>
        <v>0</v>
      </c>
      <c r="EL11" s="31" t="e">
        <f>EK11*#REF!</f>
        <v>#REF!</v>
      </c>
      <c r="EM11" s="32" t="e">
        <f>EK11*#REF!</f>
        <v>#REF!</v>
      </c>
      <c r="EO11" s="33"/>
      <c r="EP11" s="34"/>
      <c r="EQ11" s="35"/>
      <c r="ER11" s="36"/>
      <c r="ES11" s="37"/>
      <c r="ET11" s="30">
        <f t="shared" si="5"/>
        <v>0</v>
      </c>
      <c r="EU11" s="31" t="e">
        <f>ET11*#REF!</f>
        <v>#REF!</v>
      </c>
      <c r="EV11" s="32" t="e">
        <f>ET11*#REF!</f>
        <v>#REF!</v>
      </c>
      <c r="EX11" s="33"/>
      <c r="EY11" s="34"/>
      <c r="EZ11" s="35"/>
      <c r="FA11" s="36"/>
      <c r="FB11" s="37"/>
      <c r="FC11" s="30">
        <f t="shared" si="6"/>
        <v>0</v>
      </c>
      <c r="FD11" s="31" t="e">
        <f>FC11*#REF!</f>
        <v>#REF!</v>
      </c>
      <c r="FE11" s="32" t="e">
        <f>FC11*#REF!</f>
        <v>#REF!</v>
      </c>
      <c r="FG11" s="33"/>
      <c r="FH11" s="34"/>
      <c r="FI11" s="35"/>
      <c r="FJ11" s="36"/>
      <c r="FK11" s="37"/>
      <c r="FL11" s="30">
        <f t="shared" si="7"/>
        <v>0</v>
      </c>
      <c r="FM11" s="31" t="e">
        <f>FL11*#REF!</f>
        <v>#REF!</v>
      </c>
      <c r="FN11" s="32" t="e">
        <f>FL11*#REF!</f>
        <v>#REF!</v>
      </c>
      <c r="FP11" s="33"/>
      <c r="FQ11" s="34"/>
      <c r="FR11" s="35"/>
      <c r="FS11" s="36"/>
      <c r="FT11" s="37"/>
      <c r="FU11" s="30">
        <f t="shared" si="8"/>
        <v>0</v>
      </c>
      <c r="FV11" s="31" t="e">
        <f>FU11*#REF!</f>
        <v>#REF!</v>
      </c>
      <c r="FW11" s="32" t="e">
        <f>FU11*#REF!</f>
        <v>#REF!</v>
      </c>
      <c r="FY11" s="33"/>
      <c r="FZ11" s="34"/>
      <c r="GA11" s="35"/>
      <c r="GB11" s="36"/>
      <c r="GC11" s="37"/>
      <c r="GD11" s="30">
        <f t="shared" si="9"/>
        <v>0</v>
      </c>
      <c r="GE11" s="31" t="e">
        <f>GD11*#REF!</f>
        <v>#REF!</v>
      </c>
      <c r="GF11" s="32" t="e">
        <f>GD11*#REF!</f>
        <v>#REF!</v>
      </c>
      <c r="GH11" s="33"/>
      <c r="GI11" s="34"/>
      <c r="GJ11" s="35"/>
      <c r="GK11" s="36"/>
      <c r="GL11" s="37"/>
      <c r="GM11" s="30">
        <f t="shared" si="10"/>
        <v>0</v>
      </c>
      <c r="GN11" s="31" t="e">
        <f>GM11*#REF!</f>
        <v>#REF!</v>
      </c>
      <c r="GO11" s="32" t="e">
        <f>GM11*#REF!</f>
        <v>#REF!</v>
      </c>
      <c r="GQ11" s="38">
        <f>_xlfn.MAXIFS(I11:GO11,$I$5:$GO$5,"Staff #")</f>
        <v>0</v>
      </c>
      <c r="GR11" s="39">
        <v>0</v>
      </c>
    </row>
    <row r="12" spans="2:201" ht="15" x14ac:dyDescent="0.25">
      <c r="B12" s="22"/>
      <c r="C12" s="23"/>
      <c r="D12" s="24" t="str">
        <f>IF(C12="","",_xlfn.XLOOKUP(C12,'[3]Control Sheet'!$L$5:$L$104,'[3]Control Sheet'!$M$5:$M$104,"",0))</f>
        <v/>
      </c>
      <c r="E12" s="24" t="str">
        <f>IF(B12="","",_xlfn.XLOOKUP(B12,'[3]Control Sheet'!$D$5:$D$64,'[3]Control Sheet'!$F$5:$F$64,"",0))</f>
        <v/>
      </c>
      <c r="F12" s="24" t="str">
        <f>IF(B12="","",_xlfn.XLOOKUP(B12,'[3]Control Sheet'!$D$5:$D$64,'[3]Control Sheet'!$E$5:$E$64,"",0))</f>
        <v/>
      </c>
      <c r="I12" s="25"/>
      <c r="J12" s="26"/>
      <c r="K12" s="27"/>
      <c r="L12" s="28"/>
      <c r="M12" s="29"/>
      <c r="P12" s="25"/>
      <c r="Q12" s="26"/>
      <c r="R12" s="27"/>
      <c r="S12" s="28"/>
      <c r="T12" s="29"/>
      <c r="V12" s="25"/>
      <c r="W12" s="26"/>
      <c r="X12" s="27"/>
      <c r="Y12" s="28"/>
      <c r="Z12" s="29"/>
      <c r="AB12" s="25"/>
      <c r="AC12" s="26"/>
      <c r="AD12" s="27"/>
      <c r="AE12" s="28"/>
      <c r="AF12" s="29"/>
      <c r="AH12" s="25"/>
      <c r="AI12" s="26"/>
      <c r="AJ12" s="27"/>
      <c r="AK12" s="28"/>
      <c r="AL12" s="29"/>
      <c r="AN12" s="25"/>
      <c r="AO12" s="26"/>
      <c r="AP12" s="27"/>
      <c r="AQ12" s="28"/>
      <c r="AR12" s="29"/>
      <c r="AT12" s="25"/>
      <c r="AU12" s="26"/>
      <c r="AV12" s="27"/>
      <c r="AW12" s="28"/>
      <c r="AX12" s="29"/>
      <c r="AZ12" s="25"/>
      <c r="BA12" s="26"/>
      <c r="BB12" s="27"/>
      <c r="BC12" s="28"/>
      <c r="BD12" s="29"/>
      <c r="BF12" s="25"/>
      <c r="BG12" s="26"/>
      <c r="BH12" s="27"/>
      <c r="BI12" s="28"/>
      <c r="BJ12" s="29"/>
      <c r="BL12" s="25"/>
      <c r="BM12" s="26"/>
      <c r="BN12" s="27"/>
      <c r="BO12" s="28"/>
      <c r="BP12" s="29"/>
      <c r="BR12" s="25"/>
      <c r="BS12" s="26"/>
      <c r="BT12" s="27"/>
      <c r="BU12" s="28"/>
      <c r="BV12" s="29"/>
      <c r="BX12" s="25"/>
      <c r="BY12" s="26"/>
      <c r="BZ12" s="27"/>
      <c r="CA12" s="28"/>
      <c r="CB12" s="29"/>
      <c r="CD12" s="25"/>
      <c r="CE12" s="26"/>
      <c r="CF12" s="27"/>
      <c r="CG12" s="28"/>
      <c r="CH12" s="29"/>
      <c r="CJ12" s="25"/>
      <c r="CK12" s="26"/>
      <c r="CL12" s="27"/>
      <c r="CM12" s="28"/>
      <c r="CN12" s="29"/>
      <c r="CP12" s="33"/>
      <c r="CQ12" s="34"/>
      <c r="CR12" s="35"/>
      <c r="CS12" s="36"/>
      <c r="CT12" s="37"/>
      <c r="CV12" s="33"/>
      <c r="CW12" s="34"/>
      <c r="CX12" s="35"/>
      <c r="CY12" s="36"/>
      <c r="CZ12" s="37"/>
      <c r="DA12" s="30">
        <f t="shared" si="0"/>
        <v>0</v>
      </c>
      <c r="DB12" s="31" t="e">
        <f>DA12*#REF!</f>
        <v>#REF!</v>
      </c>
      <c r="DC12" s="32" t="e">
        <f>DA12*#REF!</f>
        <v>#REF!</v>
      </c>
      <c r="DE12" s="33"/>
      <c r="DF12" s="34"/>
      <c r="DG12" s="35"/>
      <c r="DH12" s="36"/>
      <c r="DI12" s="37"/>
      <c r="DJ12" s="30">
        <f t="shared" si="1"/>
        <v>0</v>
      </c>
      <c r="DK12" s="31" t="e">
        <f>DJ12*#REF!</f>
        <v>#REF!</v>
      </c>
      <c r="DL12" s="32" t="e">
        <f>DJ12*#REF!</f>
        <v>#REF!</v>
      </c>
      <c r="DN12" s="33"/>
      <c r="DO12" s="34"/>
      <c r="DP12" s="35"/>
      <c r="DQ12" s="36"/>
      <c r="DR12" s="37"/>
      <c r="DS12" s="30">
        <f t="shared" si="2"/>
        <v>0</v>
      </c>
      <c r="DT12" s="31" t="e">
        <f>DS12*#REF!</f>
        <v>#REF!</v>
      </c>
      <c r="DU12" s="32" t="e">
        <f>DS12*#REF!</f>
        <v>#REF!</v>
      </c>
      <c r="DW12" s="33"/>
      <c r="DX12" s="34"/>
      <c r="DY12" s="35"/>
      <c r="DZ12" s="36"/>
      <c r="EA12" s="37"/>
      <c r="EB12" s="30">
        <f t="shared" si="3"/>
        <v>0</v>
      </c>
      <c r="EC12" s="31" t="e">
        <f>EB12*#REF!</f>
        <v>#REF!</v>
      </c>
      <c r="ED12" s="32" t="e">
        <f>EB12*#REF!</f>
        <v>#REF!</v>
      </c>
      <c r="EF12" s="33"/>
      <c r="EG12" s="34"/>
      <c r="EH12" s="35"/>
      <c r="EI12" s="36"/>
      <c r="EJ12" s="37"/>
      <c r="EK12" s="30">
        <f t="shared" si="4"/>
        <v>0</v>
      </c>
      <c r="EL12" s="31" t="e">
        <f>EK12*#REF!</f>
        <v>#REF!</v>
      </c>
      <c r="EM12" s="32" t="e">
        <f>EK12*#REF!</f>
        <v>#REF!</v>
      </c>
      <c r="EO12" s="33"/>
      <c r="EP12" s="34"/>
      <c r="EQ12" s="35"/>
      <c r="ER12" s="36"/>
      <c r="ES12" s="37"/>
      <c r="ET12" s="30">
        <f t="shared" si="5"/>
        <v>0</v>
      </c>
      <c r="EU12" s="31" t="e">
        <f>ET12*#REF!</f>
        <v>#REF!</v>
      </c>
      <c r="EV12" s="32" t="e">
        <f>ET12*#REF!</f>
        <v>#REF!</v>
      </c>
      <c r="EX12" s="33"/>
      <c r="EY12" s="34"/>
      <c r="EZ12" s="35"/>
      <c r="FA12" s="36"/>
      <c r="FB12" s="37"/>
      <c r="FC12" s="30">
        <f t="shared" si="6"/>
        <v>0</v>
      </c>
      <c r="FD12" s="31" t="e">
        <f>FC12*#REF!</f>
        <v>#REF!</v>
      </c>
      <c r="FE12" s="32" t="e">
        <f>FC12*#REF!</f>
        <v>#REF!</v>
      </c>
      <c r="FG12" s="33"/>
      <c r="FH12" s="34"/>
      <c r="FI12" s="35"/>
      <c r="FJ12" s="36"/>
      <c r="FK12" s="37"/>
      <c r="FL12" s="30">
        <f t="shared" si="7"/>
        <v>0</v>
      </c>
      <c r="FM12" s="31" t="e">
        <f>FL12*#REF!</f>
        <v>#REF!</v>
      </c>
      <c r="FN12" s="32" t="e">
        <f>FL12*#REF!</f>
        <v>#REF!</v>
      </c>
      <c r="FP12" s="33"/>
      <c r="FQ12" s="34"/>
      <c r="FR12" s="35"/>
      <c r="FS12" s="36"/>
      <c r="FT12" s="37"/>
      <c r="FU12" s="30">
        <f t="shared" si="8"/>
        <v>0</v>
      </c>
      <c r="FV12" s="31" t="e">
        <f>FU12*#REF!</f>
        <v>#REF!</v>
      </c>
      <c r="FW12" s="32" t="e">
        <f>FU12*#REF!</f>
        <v>#REF!</v>
      </c>
      <c r="FY12" s="33"/>
      <c r="FZ12" s="34"/>
      <c r="GA12" s="35"/>
      <c r="GB12" s="36"/>
      <c r="GC12" s="37"/>
      <c r="GD12" s="30">
        <f t="shared" si="9"/>
        <v>0</v>
      </c>
      <c r="GE12" s="31" t="e">
        <f>GD12*#REF!</f>
        <v>#REF!</v>
      </c>
      <c r="GF12" s="32" t="e">
        <f>GD12*#REF!</f>
        <v>#REF!</v>
      </c>
      <c r="GH12" s="33"/>
      <c r="GI12" s="34"/>
      <c r="GJ12" s="35"/>
      <c r="GK12" s="36"/>
      <c r="GL12" s="37"/>
      <c r="GM12" s="30">
        <f t="shared" si="10"/>
        <v>0</v>
      </c>
      <c r="GN12" s="31" t="e">
        <f>GM12*#REF!</f>
        <v>#REF!</v>
      </c>
      <c r="GO12" s="32" t="e">
        <f>GM12*#REF!</f>
        <v>#REF!</v>
      </c>
      <c r="GQ12" s="38">
        <f>_xlfn.MAXIFS(I12:GO12,$I$5:$GO$5,"Staff #")</f>
        <v>0</v>
      </c>
      <c r="GR12" s="39">
        <v>0</v>
      </c>
    </row>
    <row r="13" spans="2:201" ht="15" x14ac:dyDescent="0.25">
      <c r="B13" s="22" t="s">
        <v>42</v>
      </c>
      <c r="C13" s="23" t="s">
        <v>43</v>
      </c>
      <c r="D13" s="24" t="str">
        <f>IF(C13="","",_xlfn.XLOOKUP(C13,'[3]Control Sheet'!$L$5:$L$104,'[3]Control Sheet'!$M$5:$M$104,"",0))</f>
        <v>Rides Operator</v>
      </c>
      <c r="E13" s="24" t="str">
        <f>IF(B13="","",_xlfn.XLOOKUP(B13,'[3]Control Sheet'!$D$5:$D$64,'[3]Control Sheet'!$F$5:$F$64,"",0))</f>
        <v>Rides</v>
      </c>
      <c r="F13" s="24" t="str">
        <f>IF(B13="","",_xlfn.XLOOKUP(B13,'[3]Control Sheet'!$D$5:$D$64,'[3]Control Sheet'!$E$5:$E$64,"",0))</f>
        <v>C1300-O</v>
      </c>
      <c r="I13" s="25">
        <v>0.38541666666666669</v>
      </c>
      <c r="J13" s="26">
        <v>0.69791666666666663</v>
      </c>
      <c r="K13" s="27">
        <v>45</v>
      </c>
      <c r="L13" s="28">
        <v>1</v>
      </c>
      <c r="M13" s="42">
        <v>1</v>
      </c>
      <c r="P13" s="25">
        <v>0.38541666666666669</v>
      </c>
      <c r="Q13" s="26">
        <v>0.73958333333333337</v>
      </c>
      <c r="R13" s="27">
        <v>45</v>
      </c>
      <c r="S13" s="28">
        <v>1</v>
      </c>
      <c r="T13" s="42">
        <v>1</v>
      </c>
      <c r="V13" s="25">
        <v>0.38541666666666669</v>
      </c>
      <c r="W13" s="26">
        <v>0.73958333333333337</v>
      </c>
      <c r="X13" s="27">
        <v>45</v>
      </c>
      <c r="Y13" s="28">
        <v>1</v>
      </c>
      <c r="Z13" s="42">
        <v>1</v>
      </c>
      <c r="AB13" s="25">
        <v>0.38541666666666669</v>
      </c>
      <c r="AC13" s="26">
        <v>0.73958333333333337</v>
      </c>
      <c r="AD13" s="27">
        <v>45</v>
      </c>
      <c r="AE13" s="28">
        <v>1</v>
      </c>
      <c r="AF13" s="42">
        <v>1</v>
      </c>
      <c r="AH13" s="25">
        <v>0.38541666666666669</v>
      </c>
      <c r="AI13" s="26">
        <v>0.73958333333333337</v>
      </c>
      <c r="AJ13" s="27">
        <v>45</v>
      </c>
      <c r="AK13" s="28">
        <v>1</v>
      </c>
      <c r="AL13" s="42">
        <v>1</v>
      </c>
      <c r="AN13" s="25">
        <v>0.38541666666666669</v>
      </c>
      <c r="AO13" s="26">
        <v>0.78125</v>
      </c>
      <c r="AP13" s="27">
        <v>45</v>
      </c>
      <c r="AQ13" s="28">
        <v>1</v>
      </c>
      <c r="AR13" s="42">
        <v>1</v>
      </c>
      <c r="AT13" s="25">
        <v>0.38541666666666669</v>
      </c>
      <c r="AU13" s="26">
        <v>0.73958333333333337</v>
      </c>
      <c r="AV13" s="27">
        <v>45</v>
      </c>
      <c r="AW13" s="28">
        <v>1</v>
      </c>
      <c r="AX13" s="42">
        <v>1</v>
      </c>
      <c r="AZ13" s="25">
        <v>0.38541666666666669</v>
      </c>
      <c r="BA13" s="26">
        <v>0.78125</v>
      </c>
      <c r="BB13" s="27">
        <v>45</v>
      </c>
      <c r="BC13" s="28">
        <v>1</v>
      </c>
      <c r="BD13" s="42">
        <v>1</v>
      </c>
      <c r="BF13" s="25">
        <v>0.38541666666666669</v>
      </c>
      <c r="BG13" s="26">
        <v>0.82291666666666663</v>
      </c>
      <c r="BH13" s="27">
        <v>75</v>
      </c>
      <c r="BI13" s="28">
        <v>1</v>
      </c>
      <c r="BJ13" s="42">
        <v>1</v>
      </c>
      <c r="BL13" s="25"/>
      <c r="BM13" s="26"/>
      <c r="BN13" s="27"/>
      <c r="BO13" s="28"/>
      <c r="BP13" s="29"/>
      <c r="BR13" s="25"/>
      <c r="BS13" s="26"/>
      <c r="BT13" s="27"/>
      <c r="BU13" s="28"/>
      <c r="BV13" s="29"/>
      <c r="BX13" s="25"/>
      <c r="BY13" s="26"/>
      <c r="BZ13" s="27"/>
      <c r="CA13" s="28"/>
      <c r="CB13" s="29"/>
      <c r="CD13" s="25"/>
      <c r="CE13" s="26"/>
      <c r="CF13" s="27"/>
      <c r="CG13" s="28"/>
      <c r="CH13" s="29"/>
      <c r="CJ13" s="25"/>
      <c r="CK13" s="26"/>
      <c r="CL13" s="27"/>
      <c r="CM13" s="28"/>
      <c r="CN13" s="40"/>
      <c r="CP13" s="33"/>
      <c r="CQ13" s="34"/>
      <c r="CR13" s="35"/>
      <c r="CS13" s="36"/>
      <c r="CT13" s="37"/>
      <c r="CV13" s="33"/>
      <c r="CW13" s="34"/>
      <c r="CX13" s="35"/>
      <c r="CY13" s="36"/>
      <c r="CZ13" s="37"/>
      <c r="DA13" s="30">
        <f t="shared" si="0"/>
        <v>0</v>
      </c>
      <c r="DB13" s="31" t="e">
        <f>DA13*#REF!</f>
        <v>#REF!</v>
      </c>
      <c r="DC13" s="32" t="e">
        <f>DA13*#REF!</f>
        <v>#REF!</v>
      </c>
      <c r="DE13" s="33"/>
      <c r="DF13" s="34"/>
      <c r="DG13" s="35"/>
      <c r="DH13" s="36"/>
      <c r="DI13" s="37"/>
      <c r="DJ13" s="30">
        <f t="shared" si="1"/>
        <v>0</v>
      </c>
      <c r="DK13" s="31" t="e">
        <f>DJ13*#REF!</f>
        <v>#REF!</v>
      </c>
      <c r="DL13" s="32" t="e">
        <f>DJ13*#REF!</f>
        <v>#REF!</v>
      </c>
      <c r="DN13" s="33"/>
      <c r="DO13" s="34"/>
      <c r="DP13" s="35"/>
      <c r="DQ13" s="36"/>
      <c r="DR13" s="37"/>
      <c r="DS13" s="30">
        <f t="shared" si="2"/>
        <v>0</v>
      </c>
      <c r="DT13" s="31" t="e">
        <f>DS13*#REF!</f>
        <v>#REF!</v>
      </c>
      <c r="DU13" s="32" t="e">
        <f>DS13*#REF!</f>
        <v>#REF!</v>
      </c>
      <c r="DW13" s="33"/>
      <c r="DX13" s="34"/>
      <c r="DY13" s="35"/>
      <c r="DZ13" s="36"/>
      <c r="EA13" s="37"/>
      <c r="EB13" s="30">
        <f t="shared" si="3"/>
        <v>0</v>
      </c>
      <c r="EC13" s="31" t="e">
        <f>EB13*#REF!</f>
        <v>#REF!</v>
      </c>
      <c r="ED13" s="32" t="e">
        <f>EB13*#REF!</f>
        <v>#REF!</v>
      </c>
      <c r="EF13" s="33"/>
      <c r="EG13" s="34"/>
      <c r="EH13" s="35"/>
      <c r="EI13" s="36"/>
      <c r="EJ13" s="37"/>
      <c r="EK13" s="30">
        <f t="shared" si="4"/>
        <v>0</v>
      </c>
      <c r="EL13" s="31" t="e">
        <f>EK13*#REF!</f>
        <v>#REF!</v>
      </c>
      <c r="EM13" s="32" t="e">
        <f>EK13*#REF!</f>
        <v>#REF!</v>
      </c>
      <c r="EO13" s="33"/>
      <c r="EP13" s="34"/>
      <c r="EQ13" s="35"/>
      <c r="ER13" s="36"/>
      <c r="ES13" s="37"/>
      <c r="ET13" s="30">
        <f t="shared" si="5"/>
        <v>0</v>
      </c>
      <c r="EU13" s="31" t="e">
        <f>ET13*#REF!</f>
        <v>#REF!</v>
      </c>
      <c r="EV13" s="32" t="e">
        <f>ET13*#REF!</f>
        <v>#REF!</v>
      </c>
      <c r="EX13" s="33"/>
      <c r="EY13" s="34"/>
      <c r="EZ13" s="35"/>
      <c r="FA13" s="36"/>
      <c r="FB13" s="37"/>
      <c r="FC13" s="30">
        <f t="shared" si="6"/>
        <v>0</v>
      </c>
      <c r="FD13" s="31" t="e">
        <f>FC13*#REF!</f>
        <v>#REF!</v>
      </c>
      <c r="FE13" s="32" t="e">
        <f>FC13*#REF!</f>
        <v>#REF!</v>
      </c>
      <c r="FG13" s="33"/>
      <c r="FH13" s="34"/>
      <c r="FI13" s="35"/>
      <c r="FJ13" s="36"/>
      <c r="FK13" s="37"/>
      <c r="FL13" s="30">
        <f t="shared" si="7"/>
        <v>0</v>
      </c>
      <c r="FM13" s="31" t="e">
        <f>FL13*#REF!</f>
        <v>#REF!</v>
      </c>
      <c r="FN13" s="32" t="e">
        <f>FL13*#REF!</f>
        <v>#REF!</v>
      </c>
      <c r="FP13" s="33"/>
      <c r="FQ13" s="34"/>
      <c r="FR13" s="35"/>
      <c r="FS13" s="36"/>
      <c r="FT13" s="37"/>
      <c r="FU13" s="30">
        <f t="shared" si="8"/>
        <v>0</v>
      </c>
      <c r="FV13" s="31" t="e">
        <f>FU13*#REF!</f>
        <v>#REF!</v>
      </c>
      <c r="FW13" s="32" t="e">
        <f>FU13*#REF!</f>
        <v>#REF!</v>
      </c>
      <c r="FY13" s="33"/>
      <c r="FZ13" s="34"/>
      <c r="GA13" s="35"/>
      <c r="GB13" s="36"/>
      <c r="GC13" s="37"/>
      <c r="GD13" s="30">
        <f t="shared" si="9"/>
        <v>0</v>
      </c>
      <c r="GE13" s="31" t="e">
        <f>GD13*#REF!</f>
        <v>#REF!</v>
      </c>
      <c r="GF13" s="32" t="e">
        <f>GD13*#REF!</f>
        <v>#REF!</v>
      </c>
      <c r="GH13" s="33"/>
      <c r="GI13" s="34"/>
      <c r="GJ13" s="35"/>
      <c r="GK13" s="36"/>
      <c r="GL13" s="37"/>
      <c r="GM13" s="30">
        <f t="shared" si="10"/>
        <v>0</v>
      </c>
      <c r="GN13" s="31" t="e">
        <f>GM13*#REF!</f>
        <v>#REF!</v>
      </c>
      <c r="GO13" s="32" t="e">
        <f>GM13*#REF!</f>
        <v>#REF!</v>
      </c>
      <c r="GQ13" s="38">
        <f>_xlfn.MAXIFS(I13:GO13,$I$5:$GO$5,"Staff #")</f>
        <v>1</v>
      </c>
      <c r="GR13" s="39">
        <v>1</v>
      </c>
    </row>
    <row r="14" spans="2:201" ht="15" x14ac:dyDescent="0.25">
      <c r="B14" s="22" t="s">
        <v>42</v>
      </c>
      <c r="C14" s="23" t="s">
        <v>44</v>
      </c>
      <c r="D14" s="24" t="str">
        <f>IF(C14="","",_xlfn.XLOOKUP(C14,'[3]Control Sheet'!$L$5:$L$104,'[3]Control Sheet'!$M$5:$M$104,"",0))</f>
        <v>Rides Attendant</v>
      </c>
      <c r="E14" s="24" t="str">
        <f>IF(B14="","",_xlfn.XLOOKUP(B14,'[3]Control Sheet'!$D$5:$D$64,'[3]Control Sheet'!$F$5:$F$64,"",0))</f>
        <v>Rides</v>
      </c>
      <c r="F14" s="24" t="str">
        <f>IF(B14="","",_xlfn.XLOOKUP(B14,'[3]Control Sheet'!$D$5:$D$64,'[3]Control Sheet'!$E$5:$E$64,"",0))</f>
        <v>C1300-O</v>
      </c>
      <c r="I14" s="25">
        <v>0.38541666666666669</v>
      </c>
      <c r="J14" s="26">
        <v>0.69791666666666663</v>
      </c>
      <c r="K14" s="27">
        <v>45</v>
      </c>
      <c r="L14" s="28">
        <v>2</v>
      </c>
      <c r="M14" s="42">
        <v>1</v>
      </c>
      <c r="P14" s="25">
        <v>0.38541666666666669</v>
      </c>
      <c r="Q14" s="26">
        <v>0.73958333333333337</v>
      </c>
      <c r="R14" s="27">
        <v>45</v>
      </c>
      <c r="S14" s="28">
        <v>2</v>
      </c>
      <c r="T14" s="42">
        <v>1</v>
      </c>
      <c r="V14" s="25">
        <v>0.38541666666666669</v>
      </c>
      <c r="W14" s="26">
        <v>0.73958333333333337</v>
      </c>
      <c r="X14" s="27">
        <v>45</v>
      </c>
      <c r="Y14" s="28">
        <v>2</v>
      </c>
      <c r="Z14" s="42">
        <v>1</v>
      </c>
      <c r="AB14" s="25">
        <v>0.38541666666666669</v>
      </c>
      <c r="AC14" s="26">
        <v>0.73958333333333337</v>
      </c>
      <c r="AD14" s="27">
        <v>45</v>
      </c>
      <c r="AE14" s="28">
        <v>2</v>
      </c>
      <c r="AF14" s="42">
        <v>1</v>
      </c>
      <c r="AH14" s="25">
        <v>0.38541666666666669</v>
      </c>
      <c r="AI14" s="26">
        <v>0.73958333333333337</v>
      </c>
      <c r="AJ14" s="27">
        <v>45</v>
      </c>
      <c r="AK14" s="28">
        <v>2</v>
      </c>
      <c r="AL14" s="42">
        <v>1</v>
      </c>
      <c r="AN14" s="25">
        <v>0.38541666666666669</v>
      </c>
      <c r="AO14" s="26">
        <v>0.78125</v>
      </c>
      <c r="AP14" s="27">
        <v>45</v>
      </c>
      <c r="AQ14" s="28">
        <v>2</v>
      </c>
      <c r="AR14" s="42">
        <v>1</v>
      </c>
      <c r="AT14" s="25">
        <v>0.38541666666666669</v>
      </c>
      <c r="AU14" s="26">
        <v>0.73958333333333337</v>
      </c>
      <c r="AV14" s="27">
        <v>45</v>
      </c>
      <c r="AW14" s="28">
        <v>2</v>
      </c>
      <c r="AX14" s="42">
        <v>1</v>
      </c>
      <c r="AZ14" s="25">
        <v>0.38541666666666669</v>
      </c>
      <c r="BA14" s="26">
        <v>0.78125</v>
      </c>
      <c r="BB14" s="27">
        <v>45</v>
      </c>
      <c r="BC14" s="28">
        <v>2</v>
      </c>
      <c r="BD14" s="42">
        <v>1</v>
      </c>
      <c r="BF14" s="25">
        <v>0.38541666666666669</v>
      </c>
      <c r="BG14" s="26">
        <v>0.82291666666666663</v>
      </c>
      <c r="BH14" s="27">
        <v>75</v>
      </c>
      <c r="BI14" s="28">
        <v>2</v>
      </c>
      <c r="BJ14" s="42">
        <v>1</v>
      </c>
      <c r="BL14" s="25"/>
      <c r="BM14" s="26"/>
      <c r="BN14" s="27"/>
      <c r="BO14" s="28"/>
      <c r="BP14" s="29"/>
      <c r="BR14" s="25"/>
      <c r="BS14" s="26"/>
      <c r="BT14" s="27"/>
      <c r="BU14" s="28"/>
      <c r="BV14" s="29"/>
      <c r="BX14" s="25"/>
      <c r="BY14" s="26"/>
      <c r="BZ14" s="27"/>
      <c r="CA14" s="28"/>
      <c r="CB14" s="29"/>
      <c r="CD14" s="25"/>
      <c r="CE14" s="26"/>
      <c r="CF14" s="27"/>
      <c r="CG14" s="28"/>
      <c r="CH14" s="29"/>
      <c r="CJ14" s="25"/>
      <c r="CK14" s="26"/>
      <c r="CL14" s="27"/>
      <c r="CM14" s="28"/>
      <c r="CN14" s="40"/>
      <c r="CP14" s="33"/>
      <c r="CQ14" s="34"/>
      <c r="CR14" s="35"/>
      <c r="CS14" s="36"/>
      <c r="CT14" s="37"/>
      <c r="CV14" s="33"/>
      <c r="CW14" s="34"/>
      <c r="CX14" s="35"/>
      <c r="CY14" s="36"/>
      <c r="CZ14" s="37"/>
      <c r="DA14" s="30">
        <f t="shared" si="0"/>
        <v>0</v>
      </c>
      <c r="DB14" s="31" t="e">
        <f>DA14*#REF!</f>
        <v>#REF!</v>
      </c>
      <c r="DC14" s="32" t="e">
        <f>DA14*#REF!</f>
        <v>#REF!</v>
      </c>
      <c r="DE14" s="33"/>
      <c r="DF14" s="34"/>
      <c r="DG14" s="35"/>
      <c r="DH14" s="36"/>
      <c r="DI14" s="37"/>
      <c r="DJ14" s="30">
        <f t="shared" si="1"/>
        <v>0</v>
      </c>
      <c r="DK14" s="31" t="e">
        <f>DJ14*#REF!</f>
        <v>#REF!</v>
      </c>
      <c r="DL14" s="32" t="e">
        <f>DJ14*#REF!</f>
        <v>#REF!</v>
      </c>
      <c r="DN14" s="33"/>
      <c r="DO14" s="34"/>
      <c r="DP14" s="35"/>
      <c r="DQ14" s="36"/>
      <c r="DR14" s="37"/>
      <c r="DS14" s="30">
        <f t="shared" si="2"/>
        <v>0</v>
      </c>
      <c r="DT14" s="31" t="e">
        <f>DS14*#REF!</f>
        <v>#REF!</v>
      </c>
      <c r="DU14" s="32" t="e">
        <f>DS14*#REF!</f>
        <v>#REF!</v>
      </c>
      <c r="DW14" s="33"/>
      <c r="DX14" s="34"/>
      <c r="DY14" s="35"/>
      <c r="DZ14" s="36"/>
      <c r="EA14" s="37"/>
      <c r="EB14" s="30">
        <f t="shared" si="3"/>
        <v>0</v>
      </c>
      <c r="EC14" s="31" t="e">
        <f>EB14*#REF!</f>
        <v>#REF!</v>
      </c>
      <c r="ED14" s="32" t="e">
        <f>EB14*#REF!</f>
        <v>#REF!</v>
      </c>
      <c r="EF14" s="33"/>
      <c r="EG14" s="34"/>
      <c r="EH14" s="35"/>
      <c r="EI14" s="36"/>
      <c r="EJ14" s="37"/>
      <c r="EK14" s="30">
        <f t="shared" si="4"/>
        <v>0</v>
      </c>
      <c r="EL14" s="31" t="e">
        <f>EK14*#REF!</f>
        <v>#REF!</v>
      </c>
      <c r="EM14" s="32" t="e">
        <f>EK14*#REF!</f>
        <v>#REF!</v>
      </c>
      <c r="EO14" s="33"/>
      <c r="EP14" s="34"/>
      <c r="EQ14" s="35"/>
      <c r="ER14" s="36"/>
      <c r="ES14" s="37"/>
      <c r="ET14" s="30">
        <f t="shared" si="5"/>
        <v>0</v>
      </c>
      <c r="EU14" s="31" t="e">
        <f>ET14*#REF!</f>
        <v>#REF!</v>
      </c>
      <c r="EV14" s="32" t="e">
        <f>ET14*#REF!</f>
        <v>#REF!</v>
      </c>
      <c r="EX14" s="33"/>
      <c r="EY14" s="34"/>
      <c r="EZ14" s="35"/>
      <c r="FA14" s="36"/>
      <c r="FB14" s="37"/>
      <c r="FC14" s="30">
        <f t="shared" si="6"/>
        <v>0</v>
      </c>
      <c r="FD14" s="31" t="e">
        <f>FC14*#REF!</f>
        <v>#REF!</v>
      </c>
      <c r="FE14" s="32" t="e">
        <f>FC14*#REF!</f>
        <v>#REF!</v>
      </c>
      <c r="FG14" s="33"/>
      <c r="FH14" s="34"/>
      <c r="FI14" s="35"/>
      <c r="FJ14" s="36"/>
      <c r="FK14" s="37"/>
      <c r="FL14" s="30">
        <f t="shared" si="7"/>
        <v>0</v>
      </c>
      <c r="FM14" s="31" t="e">
        <f>FL14*#REF!</f>
        <v>#REF!</v>
      </c>
      <c r="FN14" s="32" t="e">
        <f>FL14*#REF!</f>
        <v>#REF!</v>
      </c>
      <c r="FP14" s="33"/>
      <c r="FQ14" s="34"/>
      <c r="FR14" s="35"/>
      <c r="FS14" s="36"/>
      <c r="FT14" s="37"/>
      <c r="FU14" s="30">
        <f t="shared" si="8"/>
        <v>0</v>
      </c>
      <c r="FV14" s="31" t="e">
        <f>FU14*#REF!</f>
        <v>#REF!</v>
      </c>
      <c r="FW14" s="32" t="e">
        <f>FU14*#REF!</f>
        <v>#REF!</v>
      </c>
      <c r="FY14" s="33"/>
      <c r="FZ14" s="34"/>
      <c r="GA14" s="35"/>
      <c r="GB14" s="36"/>
      <c r="GC14" s="37"/>
      <c r="GD14" s="30">
        <f t="shared" si="9"/>
        <v>0</v>
      </c>
      <c r="GE14" s="31" t="e">
        <f>GD14*#REF!</f>
        <v>#REF!</v>
      </c>
      <c r="GF14" s="32" t="e">
        <f>GD14*#REF!</f>
        <v>#REF!</v>
      </c>
      <c r="GH14" s="33"/>
      <c r="GI14" s="34"/>
      <c r="GJ14" s="35"/>
      <c r="GK14" s="36"/>
      <c r="GL14" s="37"/>
      <c r="GM14" s="30">
        <f t="shared" si="10"/>
        <v>0</v>
      </c>
      <c r="GN14" s="31" t="e">
        <f>GM14*#REF!</f>
        <v>#REF!</v>
      </c>
      <c r="GO14" s="32" t="e">
        <f>GM14*#REF!</f>
        <v>#REF!</v>
      </c>
      <c r="GQ14" s="38">
        <f>_xlfn.MAXIFS(I14:GO14,$I$5:$GO$5,"Staff #")</f>
        <v>2</v>
      </c>
      <c r="GR14" s="39">
        <v>2</v>
      </c>
    </row>
    <row r="15" spans="2:201" ht="15" x14ac:dyDescent="0.25">
      <c r="B15" s="22"/>
      <c r="C15" s="23"/>
      <c r="D15" s="24" t="str">
        <f>IF(C15="","",_xlfn.XLOOKUP(C15,'[3]Control Sheet'!$L$5:$L$104,'[3]Control Sheet'!$M$5:$M$104,"",0))</f>
        <v/>
      </c>
      <c r="E15" s="24" t="str">
        <f>IF(B15="","",_xlfn.XLOOKUP(B15,'[3]Control Sheet'!$D$5:$D$64,'[3]Control Sheet'!$F$5:$F$64,"",0))</f>
        <v/>
      </c>
      <c r="F15" s="24" t="str">
        <f>IF(B15="","",_xlfn.XLOOKUP(B15,'[3]Control Sheet'!$D$5:$D$64,'[3]Control Sheet'!$E$5:$E$64,"",0))</f>
        <v/>
      </c>
      <c r="I15" s="25"/>
      <c r="J15" s="26"/>
      <c r="K15" s="27"/>
      <c r="L15" s="28"/>
      <c r="M15" s="29"/>
      <c r="P15" s="25"/>
      <c r="Q15" s="26"/>
      <c r="R15" s="27"/>
      <c r="S15" s="28"/>
      <c r="T15" s="29"/>
      <c r="V15" s="25"/>
      <c r="W15" s="26"/>
      <c r="X15" s="27"/>
      <c r="Y15" s="28"/>
      <c r="Z15" s="40"/>
      <c r="AB15" s="25"/>
      <c r="AC15" s="26"/>
      <c r="AD15" s="27"/>
      <c r="AE15" s="28"/>
      <c r="AF15" s="42"/>
      <c r="AH15" s="25"/>
      <c r="AI15" s="26"/>
      <c r="AJ15" s="27"/>
      <c r="AK15" s="28"/>
      <c r="AL15" s="42"/>
      <c r="AN15" s="25"/>
      <c r="AO15" s="26"/>
      <c r="AP15" s="27"/>
      <c r="AQ15" s="28"/>
      <c r="AR15" s="42"/>
      <c r="AT15" s="25"/>
      <c r="AU15" s="26"/>
      <c r="AV15" s="27"/>
      <c r="AW15" s="28"/>
      <c r="AX15" s="42"/>
      <c r="AZ15" s="25"/>
      <c r="BA15" s="26"/>
      <c r="BB15" s="27"/>
      <c r="BC15" s="28"/>
      <c r="BD15" s="42"/>
      <c r="BF15" s="25"/>
      <c r="BG15" s="26"/>
      <c r="BH15" s="27"/>
      <c r="BI15" s="28"/>
      <c r="BJ15" s="42"/>
      <c r="BL15" s="25"/>
      <c r="BM15" s="26"/>
      <c r="BN15" s="27"/>
      <c r="BO15" s="28"/>
      <c r="BP15" s="40"/>
      <c r="BR15" s="25"/>
      <c r="BS15" s="26"/>
      <c r="BT15" s="27"/>
      <c r="BU15" s="28"/>
      <c r="BV15" s="29"/>
      <c r="BX15" s="25"/>
      <c r="BY15" s="26"/>
      <c r="BZ15" s="27"/>
      <c r="CA15" s="28"/>
      <c r="CB15" s="40"/>
      <c r="CD15" s="25"/>
      <c r="CE15" s="26"/>
      <c r="CF15" s="27"/>
      <c r="CG15" s="28"/>
      <c r="CH15" s="40"/>
      <c r="CJ15" s="25"/>
      <c r="CK15" s="26"/>
      <c r="CL15" s="27"/>
      <c r="CM15" s="28"/>
      <c r="CN15" s="40"/>
      <c r="CP15" s="33"/>
      <c r="CQ15" s="34"/>
      <c r="CR15" s="35"/>
      <c r="CS15" s="36"/>
      <c r="CT15" s="37"/>
      <c r="CV15" s="33"/>
      <c r="CW15" s="34"/>
      <c r="CX15" s="35"/>
      <c r="CY15" s="36"/>
      <c r="CZ15" s="37"/>
      <c r="DA15" s="30">
        <f t="shared" si="0"/>
        <v>0</v>
      </c>
      <c r="DB15" s="31" t="e">
        <f>DA15*#REF!</f>
        <v>#REF!</v>
      </c>
      <c r="DC15" s="32" t="e">
        <f>DA15*#REF!</f>
        <v>#REF!</v>
      </c>
      <c r="DE15" s="33"/>
      <c r="DF15" s="34"/>
      <c r="DG15" s="35"/>
      <c r="DH15" s="36"/>
      <c r="DI15" s="37"/>
      <c r="DJ15" s="30">
        <f t="shared" si="1"/>
        <v>0</v>
      </c>
      <c r="DK15" s="31" t="e">
        <f>DJ15*#REF!</f>
        <v>#REF!</v>
      </c>
      <c r="DL15" s="32" t="e">
        <f>DJ15*#REF!</f>
        <v>#REF!</v>
      </c>
      <c r="DN15" s="33"/>
      <c r="DO15" s="34"/>
      <c r="DP15" s="35"/>
      <c r="DQ15" s="36"/>
      <c r="DR15" s="37"/>
      <c r="DS15" s="30">
        <f t="shared" si="2"/>
        <v>0</v>
      </c>
      <c r="DT15" s="31" t="e">
        <f>DS15*#REF!</f>
        <v>#REF!</v>
      </c>
      <c r="DU15" s="32" t="e">
        <f>DS15*#REF!</f>
        <v>#REF!</v>
      </c>
      <c r="DW15" s="33"/>
      <c r="DX15" s="34"/>
      <c r="DY15" s="35"/>
      <c r="DZ15" s="36"/>
      <c r="EA15" s="37"/>
      <c r="EB15" s="30">
        <f t="shared" si="3"/>
        <v>0</v>
      </c>
      <c r="EC15" s="31" t="e">
        <f>EB15*#REF!</f>
        <v>#REF!</v>
      </c>
      <c r="ED15" s="32" t="e">
        <f>EB15*#REF!</f>
        <v>#REF!</v>
      </c>
      <c r="EF15" s="33"/>
      <c r="EG15" s="34"/>
      <c r="EH15" s="35"/>
      <c r="EI15" s="36"/>
      <c r="EJ15" s="37"/>
      <c r="EK15" s="30">
        <f t="shared" si="4"/>
        <v>0</v>
      </c>
      <c r="EL15" s="31" t="e">
        <f>EK15*#REF!</f>
        <v>#REF!</v>
      </c>
      <c r="EM15" s="32" t="e">
        <f>EK15*#REF!</f>
        <v>#REF!</v>
      </c>
      <c r="EO15" s="33"/>
      <c r="EP15" s="34"/>
      <c r="EQ15" s="35"/>
      <c r="ER15" s="36"/>
      <c r="ES15" s="37"/>
      <c r="ET15" s="30">
        <f t="shared" si="5"/>
        <v>0</v>
      </c>
      <c r="EU15" s="31" t="e">
        <f>ET15*#REF!</f>
        <v>#REF!</v>
      </c>
      <c r="EV15" s="32" t="e">
        <f>ET15*#REF!</f>
        <v>#REF!</v>
      </c>
      <c r="EX15" s="33"/>
      <c r="EY15" s="34"/>
      <c r="EZ15" s="35"/>
      <c r="FA15" s="36"/>
      <c r="FB15" s="37"/>
      <c r="FC15" s="30">
        <f t="shared" si="6"/>
        <v>0</v>
      </c>
      <c r="FD15" s="31" t="e">
        <f>FC15*#REF!</f>
        <v>#REF!</v>
      </c>
      <c r="FE15" s="32" t="e">
        <f>FC15*#REF!</f>
        <v>#REF!</v>
      </c>
      <c r="FG15" s="33"/>
      <c r="FH15" s="34"/>
      <c r="FI15" s="35"/>
      <c r="FJ15" s="36"/>
      <c r="FK15" s="37"/>
      <c r="FL15" s="30">
        <f t="shared" si="7"/>
        <v>0</v>
      </c>
      <c r="FM15" s="31" t="e">
        <f>FL15*#REF!</f>
        <v>#REF!</v>
      </c>
      <c r="FN15" s="32" t="e">
        <f>FL15*#REF!</f>
        <v>#REF!</v>
      </c>
      <c r="FP15" s="33"/>
      <c r="FQ15" s="34"/>
      <c r="FR15" s="35"/>
      <c r="FS15" s="36"/>
      <c r="FT15" s="37"/>
      <c r="FU15" s="30">
        <f t="shared" si="8"/>
        <v>0</v>
      </c>
      <c r="FV15" s="31" t="e">
        <f>FU15*#REF!</f>
        <v>#REF!</v>
      </c>
      <c r="FW15" s="32" t="e">
        <f>FU15*#REF!</f>
        <v>#REF!</v>
      </c>
      <c r="FY15" s="33"/>
      <c r="FZ15" s="34"/>
      <c r="GA15" s="35"/>
      <c r="GB15" s="36"/>
      <c r="GC15" s="37"/>
      <c r="GD15" s="30">
        <f t="shared" si="9"/>
        <v>0</v>
      </c>
      <c r="GE15" s="31" t="e">
        <f>GD15*#REF!</f>
        <v>#REF!</v>
      </c>
      <c r="GF15" s="32" t="e">
        <f>GD15*#REF!</f>
        <v>#REF!</v>
      </c>
      <c r="GH15" s="33"/>
      <c r="GI15" s="34"/>
      <c r="GJ15" s="35"/>
      <c r="GK15" s="36"/>
      <c r="GL15" s="37"/>
      <c r="GM15" s="30">
        <f t="shared" si="10"/>
        <v>0</v>
      </c>
      <c r="GN15" s="31" t="e">
        <f>GM15*#REF!</f>
        <v>#REF!</v>
      </c>
      <c r="GO15" s="32" t="e">
        <f>GM15*#REF!</f>
        <v>#REF!</v>
      </c>
      <c r="GQ15" s="38">
        <f>_xlfn.MAXIFS(I15:GO15,$I$5:$GO$5,"Staff #")</f>
        <v>0</v>
      </c>
      <c r="GR15" s="39">
        <v>0</v>
      </c>
    </row>
    <row r="16" spans="2:201" ht="15" x14ac:dyDescent="0.25">
      <c r="B16" s="22" t="s">
        <v>45</v>
      </c>
      <c r="C16" s="23" t="s">
        <v>46</v>
      </c>
      <c r="D16" s="24" t="str">
        <f>IF(C16="","",_xlfn.XLOOKUP(C16,'[3]Control Sheet'!$L$5:$L$104,'[3]Control Sheet'!$M$5:$M$104,"",0))</f>
        <v>Rides Operator</v>
      </c>
      <c r="E16" s="24" t="str">
        <f>IF(B16="","",_xlfn.XLOOKUP(B16,'[3]Control Sheet'!$D$5:$D$64,'[3]Control Sheet'!$F$5:$F$64,"",0))</f>
        <v>Rides</v>
      </c>
      <c r="F16" s="24" t="str">
        <f>IF(B16="","",_xlfn.XLOOKUP(B16,'[3]Control Sheet'!$D$5:$D$64,'[3]Control Sheet'!$E$5:$E$64,"",0))</f>
        <v>C1300-O</v>
      </c>
      <c r="I16" s="25">
        <v>0.38541666666666669</v>
      </c>
      <c r="J16" s="26">
        <v>0.69791666666666663</v>
      </c>
      <c r="K16" s="27">
        <v>45</v>
      </c>
      <c r="L16" s="28">
        <v>1</v>
      </c>
      <c r="M16" s="42">
        <v>1</v>
      </c>
      <c r="P16" s="25">
        <v>0.38541666666666669</v>
      </c>
      <c r="Q16" s="26">
        <v>0.73958333333333304</v>
      </c>
      <c r="R16" s="27">
        <v>45</v>
      </c>
      <c r="S16" s="28">
        <v>1</v>
      </c>
      <c r="T16" s="42">
        <v>1</v>
      </c>
      <c r="V16" s="25">
        <v>0.38541666666666669</v>
      </c>
      <c r="W16" s="26">
        <v>0.73958333333333304</v>
      </c>
      <c r="X16" s="27">
        <v>45</v>
      </c>
      <c r="Y16" s="28">
        <v>1</v>
      </c>
      <c r="Z16" s="42">
        <v>1</v>
      </c>
      <c r="AB16" s="25">
        <v>0.38541666666666669</v>
      </c>
      <c r="AC16" s="26">
        <v>0.73958333333333304</v>
      </c>
      <c r="AD16" s="27">
        <v>45</v>
      </c>
      <c r="AE16" s="28">
        <v>1</v>
      </c>
      <c r="AF16" s="42">
        <v>1</v>
      </c>
      <c r="AH16" s="25">
        <v>0.38541666666666669</v>
      </c>
      <c r="AI16" s="26">
        <v>0.73958333333333304</v>
      </c>
      <c r="AJ16" s="27">
        <v>45</v>
      </c>
      <c r="AK16" s="28">
        <v>1</v>
      </c>
      <c r="AL16" s="42">
        <v>1</v>
      </c>
      <c r="AN16" s="25">
        <v>0.38541666666666669</v>
      </c>
      <c r="AO16" s="26">
        <v>0.78125</v>
      </c>
      <c r="AP16" s="27">
        <v>45</v>
      </c>
      <c r="AQ16" s="28">
        <v>1</v>
      </c>
      <c r="AR16" s="42">
        <v>1</v>
      </c>
      <c r="AT16" s="25">
        <v>0.38541666666666669</v>
      </c>
      <c r="AU16" s="26">
        <v>0.73958333333333304</v>
      </c>
      <c r="AV16" s="27">
        <v>45</v>
      </c>
      <c r="AW16" s="28">
        <v>1</v>
      </c>
      <c r="AX16" s="42">
        <v>1</v>
      </c>
      <c r="AZ16" s="25">
        <v>0.38541666666666669</v>
      </c>
      <c r="BA16" s="26">
        <v>0.78125</v>
      </c>
      <c r="BB16" s="27">
        <v>45</v>
      </c>
      <c r="BC16" s="28">
        <v>1</v>
      </c>
      <c r="BD16" s="42">
        <v>1</v>
      </c>
      <c r="BF16" s="25">
        <v>0.38541666666666669</v>
      </c>
      <c r="BG16" s="26">
        <v>0.82291666666666663</v>
      </c>
      <c r="BH16" s="27">
        <v>75</v>
      </c>
      <c r="BI16" s="28">
        <v>1</v>
      </c>
      <c r="BJ16" s="42">
        <v>1</v>
      </c>
      <c r="BL16" s="25">
        <v>0.38541666666666669</v>
      </c>
      <c r="BM16" s="26">
        <v>0.69791666666666663</v>
      </c>
      <c r="BN16" s="27">
        <v>45</v>
      </c>
      <c r="BO16" s="28">
        <v>1</v>
      </c>
      <c r="BP16" s="29">
        <v>1</v>
      </c>
      <c r="BR16" s="25"/>
      <c r="BS16" s="26"/>
      <c r="BT16" s="27"/>
      <c r="BU16" s="28"/>
      <c r="BV16" s="29"/>
      <c r="BX16" s="25"/>
      <c r="BY16" s="26"/>
      <c r="BZ16" s="27"/>
      <c r="CA16" s="28"/>
      <c r="CB16" s="29"/>
      <c r="CD16" s="25"/>
      <c r="CE16" s="26"/>
      <c r="CF16" s="27"/>
      <c r="CG16" s="28"/>
      <c r="CH16" s="29"/>
      <c r="CJ16" s="25"/>
      <c r="CK16" s="26"/>
      <c r="CL16" s="27"/>
      <c r="CM16" s="28"/>
      <c r="CN16" s="40"/>
      <c r="CP16" s="33"/>
      <c r="CQ16" s="34"/>
      <c r="CR16" s="35"/>
      <c r="CS16" s="36"/>
      <c r="CT16" s="37"/>
      <c r="CV16" s="33"/>
      <c r="CW16" s="34"/>
      <c r="CX16" s="35"/>
      <c r="CY16" s="36"/>
      <c r="CZ16" s="37"/>
      <c r="DA16" s="30">
        <f t="shared" si="0"/>
        <v>0</v>
      </c>
      <c r="DB16" s="31" t="e">
        <f>DA16*#REF!</f>
        <v>#REF!</v>
      </c>
      <c r="DC16" s="32" t="e">
        <f>DA16*#REF!</f>
        <v>#REF!</v>
      </c>
      <c r="DE16" s="33"/>
      <c r="DF16" s="34"/>
      <c r="DG16" s="35"/>
      <c r="DH16" s="36"/>
      <c r="DI16" s="37"/>
      <c r="DJ16" s="30">
        <f t="shared" si="1"/>
        <v>0</v>
      </c>
      <c r="DK16" s="31" t="e">
        <f>DJ16*#REF!</f>
        <v>#REF!</v>
      </c>
      <c r="DL16" s="32" t="e">
        <f>DJ16*#REF!</f>
        <v>#REF!</v>
      </c>
      <c r="DN16" s="33"/>
      <c r="DO16" s="34"/>
      <c r="DP16" s="35"/>
      <c r="DQ16" s="36"/>
      <c r="DR16" s="37"/>
      <c r="DS16" s="30">
        <f t="shared" si="2"/>
        <v>0</v>
      </c>
      <c r="DT16" s="31" t="e">
        <f>DS16*#REF!</f>
        <v>#REF!</v>
      </c>
      <c r="DU16" s="32" t="e">
        <f>DS16*#REF!</f>
        <v>#REF!</v>
      </c>
      <c r="DW16" s="33"/>
      <c r="DX16" s="34"/>
      <c r="DY16" s="35"/>
      <c r="DZ16" s="36"/>
      <c r="EA16" s="37"/>
      <c r="EB16" s="30">
        <f t="shared" si="3"/>
        <v>0</v>
      </c>
      <c r="EC16" s="31" t="e">
        <f>EB16*#REF!</f>
        <v>#REF!</v>
      </c>
      <c r="ED16" s="32" t="e">
        <f>EB16*#REF!</f>
        <v>#REF!</v>
      </c>
      <c r="EF16" s="33"/>
      <c r="EG16" s="34"/>
      <c r="EH16" s="35"/>
      <c r="EI16" s="36"/>
      <c r="EJ16" s="37"/>
      <c r="EK16" s="30">
        <f t="shared" si="4"/>
        <v>0</v>
      </c>
      <c r="EL16" s="31" t="e">
        <f>EK16*#REF!</f>
        <v>#REF!</v>
      </c>
      <c r="EM16" s="32" t="e">
        <f>EK16*#REF!</f>
        <v>#REF!</v>
      </c>
      <c r="EO16" s="33"/>
      <c r="EP16" s="34"/>
      <c r="EQ16" s="35"/>
      <c r="ER16" s="36"/>
      <c r="ES16" s="37"/>
      <c r="ET16" s="30">
        <f t="shared" si="5"/>
        <v>0</v>
      </c>
      <c r="EU16" s="31" t="e">
        <f>ET16*#REF!</f>
        <v>#REF!</v>
      </c>
      <c r="EV16" s="32" t="e">
        <f>ET16*#REF!</f>
        <v>#REF!</v>
      </c>
      <c r="EX16" s="33"/>
      <c r="EY16" s="34"/>
      <c r="EZ16" s="35"/>
      <c r="FA16" s="36"/>
      <c r="FB16" s="37"/>
      <c r="FC16" s="30">
        <f t="shared" si="6"/>
        <v>0</v>
      </c>
      <c r="FD16" s="31" t="e">
        <f>FC16*#REF!</f>
        <v>#REF!</v>
      </c>
      <c r="FE16" s="32" t="e">
        <f>FC16*#REF!</f>
        <v>#REF!</v>
      </c>
      <c r="FG16" s="33"/>
      <c r="FH16" s="34"/>
      <c r="FI16" s="35"/>
      <c r="FJ16" s="36"/>
      <c r="FK16" s="37"/>
      <c r="FL16" s="30">
        <f t="shared" si="7"/>
        <v>0</v>
      </c>
      <c r="FM16" s="31" t="e">
        <f>FL16*#REF!</f>
        <v>#REF!</v>
      </c>
      <c r="FN16" s="32" t="e">
        <f>FL16*#REF!</f>
        <v>#REF!</v>
      </c>
      <c r="FP16" s="33"/>
      <c r="FQ16" s="34"/>
      <c r="FR16" s="35"/>
      <c r="FS16" s="36"/>
      <c r="FT16" s="37"/>
      <c r="FU16" s="30">
        <f t="shared" si="8"/>
        <v>0</v>
      </c>
      <c r="FV16" s="31" t="e">
        <f>FU16*#REF!</f>
        <v>#REF!</v>
      </c>
      <c r="FW16" s="32" t="e">
        <f>FU16*#REF!</f>
        <v>#REF!</v>
      </c>
      <c r="FY16" s="33"/>
      <c r="FZ16" s="34"/>
      <c r="GA16" s="35"/>
      <c r="GB16" s="36"/>
      <c r="GC16" s="37"/>
      <c r="GD16" s="30">
        <f t="shared" si="9"/>
        <v>0</v>
      </c>
      <c r="GE16" s="31" t="e">
        <f>GD16*#REF!</f>
        <v>#REF!</v>
      </c>
      <c r="GF16" s="32" t="e">
        <f>GD16*#REF!</f>
        <v>#REF!</v>
      </c>
      <c r="GH16" s="33"/>
      <c r="GI16" s="34"/>
      <c r="GJ16" s="35"/>
      <c r="GK16" s="36"/>
      <c r="GL16" s="37"/>
      <c r="GM16" s="30">
        <f t="shared" si="10"/>
        <v>0</v>
      </c>
      <c r="GN16" s="31" t="e">
        <f>GM16*#REF!</f>
        <v>#REF!</v>
      </c>
      <c r="GO16" s="32" t="e">
        <f>GM16*#REF!</f>
        <v>#REF!</v>
      </c>
      <c r="GQ16" s="38">
        <f>_xlfn.MAXIFS(I16:GO16,$I$5:$GO$5,"Staff #")</f>
        <v>1</v>
      </c>
      <c r="GR16" s="39">
        <v>1</v>
      </c>
    </row>
    <row r="17" spans="2:200" ht="15" x14ac:dyDescent="0.25">
      <c r="B17" s="22" t="s">
        <v>45</v>
      </c>
      <c r="C17" s="23" t="s">
        <v>47</v>
      </c>
      <c r="D17" s="24" t="str">
        <f>IF(C17="","",_xlfn.XLOOKUP(C17,'[3]Control Sheet'!$L$5:$L$104,'[3]Control Sheet'!$M$5:$M$104,"",0))</f>
        <v>Rides Attendant</v>
      </c>
      <c r="E17" s="24" t="str">
        <f>IF(B17="","",_xlfn.XLOOKUP(B17,'[3]Control Sheet'!$D$5:$D$64,'[3]Control Sheet'!$F$5:$F$64,"",0))</f>
        <v>Rides</v>
      </c>
      <c r="F17" s="24" t="str">
        <f>IF(B17="","",_xlfn.XLOOKUP(B17,'[3]Control Sheet'!$D$5:$D$64,'[3]Control Sheet'!$E$5:$E$64,"",0))</f>
        <v>C1300-O</v>
      </c>
      <c r="I17" s="25">
        <v>0.38541666666666669</v>
      </c>
      <c r="J17" s="26">
        <v>0.69791666666666663</v>
      </c>
      <c r="K17" s="27">
        <v>45</v>
      </c>
      <c r="L17" s="28">
        <v>3</v>
      </c>
      <c r="M17" s="42">
        <v>1</v>
      </c>
      <c r="P17" s="25">
        <v>0.38541666666666669</v>
      </c>
      <c r="Q17" s="26">
        <v>0.73958333333333304</v>
      </c>
      <c r="R17" s="27">
        <v>45</v>
      </c>
      <c r="S17" s="28">
        <v>3</v>
      </c>
      <c r="T17" s="42">
        <v>1</v>
      </c>
      <c r="V17" s="25">
        <v>0.38541666666666669</v>
      </c>
      <c r="W17" s="26">
        <v>0.73958333333333304</v>
      </c>
      <c r="X17" s="27">
        <v>45</v>
      </c>
      <c r="Y17" s="28">
        <v>3</v>
      </c>
      <c r="Z17" s="42">
        <v>1</v>
      </c>
      <c r="AB17" s="25">
        <v>0.38541666666666669</v>
      </c>
      <c r="AC17" s="26">
        <v>0.73958333333333304</v>
      </c>
      <c r="AD17" s="27">
        <v>45</v>
      </c>
      <c r="AE17" s="28">
        <v>5</v>
      </c>
      <c r="AF17" s="42">
        <v>1</v>
      </c>
      <c r="AH17" s="25">
        <v>0.38541666666666669</v>
      </c>
      <c r="AI17" s="26">
        <v>0.73958333333333304</v>
      </c>
      <c r="AJ17" s="27">
        <v>45</v>
      </c>
      <c r="AK17" s="28">
        <v>5</v>
      </c>
      <c r="AL17" s="42">
        <v>1</v>
      </c>
      <c r="AN17" s="25">
        <v>0.38541666666666669</v>
      </c>
      <c r="AO17" s="26">
        <v>0.78125</v>
      </c>
      <c r="AP17" s="27">
        <v>45</v>
      </c>
      <c r="AQ17" s="28">
        <v>5</v>
      </c>
      <c r="AR17" s="42">
        <v>1</v>
      </c>
      <c r="AT17" s="25">
        <v>0.38541666666666669</v>
      </c>
      <c r="AU17" s="26">
        <v>0.73958333333333304</v>
      </c>
      <c r="AV17" s="27">
        <v>45</v>
      </c>
      <c r="AW17" s="28">
        <v>5</v>
      </c>
      <c r="AX17" s="42">
        <v>1</v>
      </c>
      <c r="AZ17" s="25">
        <v>0.38541666666666669</v>
      </c>
      <c r="BA17" s="26">
        <v>0.78125</v>
      </c>
      <c r="BB17" s="27">
        <v>45</v>
      </c>
      <c r="BC17" s="28">
        <v>5</v>
      </c>
      <c r="BD17" s="42">
        <v>1</v>
      </c>
      <c r="BF17" s="25">
        <v>0.38541666666666669</v>
      </c>
      <c r="BG17" s="26">
        <v>0.82291666666666663</v>
      </c>
      <c r="BH17" s="27">
        <v>75</v>
      </c>
      <c r="BI17" s="28">
        <v>5</v>
      </c>
      <c r="BJ17" s="42">
        <v>1</v>
      </c>
      <c r="BL17" s="25">
        <v>0.38541666666666669</v>
      </c>
      <c r="BM17" s="26">
        <v>0.69791666666666663</v>
      </c>
      <c r="BN17" s="27">
        <v>45</v>
      </c>
      <c r="BO17" s="28">
        <v>3</v>
      </c>
      <c r="BP17" s="29">
        <v>1</v>
      </c>
      <c r="BR17" s="25"/>
      <c r="BS17" s="26"/>
      <c r="BT17" s="27"/>
      <c r="BU17" s="28"/>
      <c r="BV17" s="29"/>
      <c r="BX17" s="25"/>
      <c r="BY17" s="26"/>
      <c r="BZ17" s="27"/>
      <c r="CA17" s="28"/>
      <c r="CB17" s="29"/>
      <c r="CD17" s="25"/>
      <c r="CE17" s="26"/>
      <c r="CF17" s="27"/>
      <c r="CG17" s="28"/>
      <c r="CH17" s="29"/>
      <c r="CJ17" s="25"/>
      <c r="CK17" s="26"/>
      <c r="CL17" s="27"/>
      <c r="CM17" s="28"/>
      <c r="CN17" s="40"/>
      <c r="CP17" s="33"/>
      <c r="CQ17" s="34"/>
      <c r="CR17" s="35"/>
      <c r="CS17" s="36"/>
      <c r="CT17" s="37"/>
      <c r="CV17" s="33"/>
      <c r="CW17" s="34"/>
      <c r="CX17" s="35"/>
      <c r="CY17" s="36"/>
      <c r="CZ17" s="37"/>
      <c r="DA17" s="30">
        <f t="shared" si="0"/>
        <v>0</v>
      </c>
      <c r="DB17" s="31" t="e">
        <f>DA17*#REF!</f>
        <v>#REF!</v>
      </c>
      <c r="DC17" s="32" t="e">
        <f>DA17*#REF!</f>
        <v>#REF!</v>
      </c>
      <c r="DE17" s="33"/>
      <c r="DF17" s="34"/>
      <c r="DG17" s="35"/>
      <c r="DH17" s="36"/>
      <c r="DI17" s="37"/>
      <c r="DJ17" s="30">
        <f t="shared" si="1"/>
        <v>0</v>
      </c>
      <c r="DK17" s="31" t="e">
        <f>DJ17*#REF!</f>
        <v>#REF!</v>
      </c>
      <c r="DL17" s="32" t="e">
        <f>DJ17*#REF!</f>
        <v>#REF!</v>
      </c>
      <c r="DN17" s="33"/>
      <c r="DO17" s="34"/>
      <c r="DP17" s="35"/>
      <c r="DQ17" s="36"/>
      <c r="DR17" s="37"/>
      <c r="DS17" s="30">
        <f t="shared" si="2"/>
        <v>0</v>
      </c>
      <c r="DT17" s="31" t="e">
        <f>DS17*#REF!</f>
        <v>#REF!</v>
      </c>
      <c r="DU17" s="32" t="e">
        <f>DS17*#REF!</f>
        <v>#REF!</v>
      </c>
      <c r="DW17" s="33"/>
      <c r="DX17" s="34"/>
      <c r="DY17" s="35"/>
      <c r="DZ17" s="36"/>
      <c r="EA17" s="37"/>
      <c r="EB17" s="30">
        <f t="shared" si="3"/>
        <v>0</v>
      </c>
      <c r="EC17" s="31" t="e">
        <f>EB17*#REF!</f>
        <v>#REF!</v>
      </c>
      <c r="ED17" s="32" t="e">
        <f>EB17*#REF!</f>
        <v>#REF!</v>
      </c>
      <c r="EF17" s="33"/>
      <c r="EG17" s="34"/>
      <c r="EH17" s="35"/>
      <c r="EI17" s="36"/>
      <c r="EJ17" s="37"/>
      <c r="EK17" s="30">
        <f t="shared" si="4"/>
        <v>0</v>
      </c>
      <c r="EL17" s="31" t="e">
        <f>EK17*#REF!</f>
        <v>#REF!</v>
      </c>
      <c r="EM17" s="32" t="e">
        <f>EK17*#REF!</f>
        <v>#REF!</v>
      </c>
      <c r="EO17" s="33"/>
      <c r="EP17" s="34"/>
      <c r="EQ17" s="35"/>
      <c r="ER17" s="36"/>
      <c r="ES17" s="37"/>
      <c r="ET17" s="30">
        <f t="shared" si="5"/>
        <v>0</v>
      </c>
      <c r="EU17" s="31" t="e">
        <f>ET17*#REF!</f>
        <v>#REF!</v>
      </c>
      <c r="EV17" s="32" t="e">
        <f>ET17*#REF!</f>
        <v>#REF!</v>
      </c>
      <c r="EX17" s="33"/>
      <c r="EY17" s="34"/>
      <c r="EZ17" s="35"/>
      <c r="FA17" s="36"/>
      <c r="FB17" s="37"/>
      <c r="FC17" s="30">
        <f t="shared" si="6"/>
        <v>0</v>
      </c>
      <c r="FD17" s="31" t="e">
        <f>FC17*#REF!</f>
        <v>#REF!</v>
      </c>
      <c r="FE17" s="32" t="e">
        <f>FC17*#REF!</f>
        <v>#REF!</v>
      </c>
      <c r="FG17" s="33"/>
      <c r="FH17" s="34"/>
      <c r="FI17" s="35"/>
      <c r="FJ17" s="36"/>
      <c r="FK17" s="37"/>
      <c r="FL17" s="30">
        <f t="shared" si="7"/>
        <v>0</v>
      </c>
      <c r="FM17" s="31" t="e">
        <f>FL17*#REF!</f>
        <v>#REF!</v>
      </c>
      <c r="FN17" s="32" t="e">
        <f>FL17*#REF!</f>
        <v>#REF!</v>
      </c>
      <c r="FP17" s="33"/>
      <c r="FQ17" s="34"/>
      <c r="FR17" s="35"/>
      <c r="FS17" s="36"/>
      <c r="FT17" s="37"/>
      <c r="FU17" s="30">
        <f t="shared" si="8"/>
        <v>0</v>
      </c>
      <c r="FV17" s="31" t="e">
        <f>FU17*#REF!</f>
        <v>#REF!</v>
      </c>
      <c r="FW17" s="32" t="e">
        <f>FU17*#REF!</f>
        <v>#REF!</v>
      </c>
      <c r="FY17" s="33"/>
      <c r="FZ17" s="34"/>
      <c r="GA17" s="35"/>
      <c r="GB17" s="36"/>
      <c r="GC17" s="37"/>
      <c r="GD17" s="30">
        <f t="shared" si="9"/>
        <v>0</v>
      </c>
      <c r="GE17" s="31" t="e">
        <f>GD17*#REF!</f>
        <v>#REF!</v>
      </c>
      <c r="GF17" s="32" t="e">
        <f>GD17*#REF!</f>
        <v>#REF!</v>
      </c>
      <c r="GH17" s="33"/>
      <c r="GI17" s="34"/>
      <c r="GJ17" s="35"/>
      <c r="GK17" s="36"/>
      <c r="GL17" s="37"/>
      <c r="GM17" s="30">
        <f t="shared" si="10"/>
        <v>0</v>
      </c>
      <c r="GN17" s="31" t="e">
        <f>GM17*#REF!</f>
        <v>#REF!</v>
      </c>
      <c r="GO17" s="32" t="e">
        <f>GM17*#REF!</f>
        <v>#REF!</v>
      </c>
      <c r="GQ17" s="38">
        <f>_xlfn.MAXIFS(I17:GO17,$I$5:$GO$5,"Staff #")</f>
        <v>5</v>
      </c>
      <c r="GR17" s="39">
        <v>5</v>
      </c>
    </row>
    <row r="18" spans="2:200" ht="15" x14ac:dyDescent="0.25">
      <c r="B18" s="22"/>
      <c r="C18" s="23"/>
      <c r="D18" s="24" t="str">
        <f>IF(C18="","",_xlfn.XLOOKUP(C18,'[3]Control Sheet'!$L$5:$L$104,'[3]Control Sheet'!$M$5:$M$104,"",0))</f>
        <v/>
      </c>
      <c r="E18" s="24" t="str">
        <f>IF(B18="","",_xlfn.XLOOKUP(B18,'[3]Control Sheet'!$D$5:$D$64,'[3]Control Sheet'!$F$5:$F$64,"",0))</f>
        <v/>
      </c>
      <c r="F18" s="24" t="str">
        <f>IF(B18="","",_xlfn.XLOOKUP(B18,'[3]Control Sheet'!$D$5:$D$64,'[3]Control Sheet'!$E$5:$E$64,"",0))</f>
        <v/>
      </c>
      <c r="I18" s="25"/>
      <c r="J18" s="26"/>
      <c r="K18" s="27"/>
      <c r="L18" s="28"/>
      <c r="M18" s="29"/>
      <c r="P18" s="25"/>
      <c r="Q18" s="26"/>
      <c r="R18" s="27"/>
      <c r="S18" s="28"/>
      <c r="T18" s="29"/>
      <c r="V18" s="25"/>
      <c r="W18" s="26"/>
      <c r="X18" s="27"/>
      <c r="Y18" s="28"/>
      <c r="Z18" s="29"/>
      <c r="AB18" s="25"/>
      <c r="AC18" s="26"/>
      <c r="AD18" s="27"/>
      <c r="AE18" s="28"/>
      <c r="AF18" s="29"/>
      <c r="AH18" s="25"/>
      <c r="AI18" s="26"/>
      <c r="AJ18" s="27"/>
      <c r="AK18" s="28"/>
      <c r="AL18" s="29"/>
      <c r="AN18" s="25"/>
      <c r="AO18" s="26"/>
      <c r="AP18" s="27"/>
      <c r="AQ18" s="28"/>
      <c r="AR18" s="29"/>
      <c r="AT18" s="25"/>
      <c r="AU18" s="26"/>
      <c r="AV18" s="27"/>
      <c r="AW18" s="28"/>
      <c r="AX18" s="29"/>
      <c r="AZ18" s="25"/>
      <c r="BA18" s="26"/>
      <c r="BB18" s="27"/>
      <c r="BC18" s="28"/>
      <c r="BD18" s="29"/>
      <c r="BF18" s="25"/>
      <c r="BG18" s="26"/>
      <c r="BH18" s="27"/>
      <c r="BI18" s="28"/>
      <c r="BJ18" s="29"/>
      <c r="BL18" s="25"/>
      <c r="BM18" s="26"/>
      <c r="BN18" s="27"/>
      <c r="BO18" s="28"/>
      <c r="BP18" s="29"/>
      <c r="BR18" s="25"/>
      <c r="BS18" s="26"/>
      <c r="BT18" s="27"/>
      <c r="BU18" s="28"/>
      <c r="BV18" s="29"/>
      <c r="BX18" s="25"/>
      <c r="BY18" s="26"/>
      <c r="BZ18" s="27"/>
      <c r="CA18" s="28"/>
      <c r="CB18" s="29"/>
      <c r="CD18" s="25"/>
      <c r="CE18" s="26"/>
      <c r="CF18" s="27"/>
      <c r="CG18" s="28"/>
      <c r="CH18" s="29"/>
      <c r="CJ18" s="25"/>
      <c r="CK18" s="26"/>
      <c r="CL18" s="27"/>
      <c r="CM18" s="28"/>
      <c r="CN18" s="40"/>
      <c r="CP18" s="33"/>
      <c r="CQ18" s="34"/>
      <c r="CR18" s="35"/>
      <c r="CS18" s="36"/>
      <c r="CT18" s="37"/>
      <c r="CV18" s="33"/>
      <c r="CW18" s="34"/>
      <c r="CX18" s="35"/>
      <c r="CY18" s="36"/>
      <c r="CZ18" s="37"/>
      <c r="DA18" s="30">
        <f t="shared" si="0"/>
        <v>0</v>
      </c>
      <c r="DB18" s="31" t="e">
        <f>DA18*#REF!</f>
        <v>#REF!</v>
      </c>
      <c r="DC18" s="32" t="e">
        <f>DA18*#REF!</f>
        <v>#REF!</v>
      </c>
      <c r="DE18" s="33"/>
      <c r="DF18" s="34"/>
      <c r="DG18" s="35"/>
      <c r="DH18" s="36"/>
      <c r="DI18" s="37"/>
      <c r="DJ18" s="30">
        <f t="shared" si="1"/>
        <v>0</v>
      </c>
      <c r="DK18" s="31" t="e">
        <f>DJ18*#REF!</f>
        <v>#REF!</v>
      </c>
      <c r="DL18" s="32" t="e">
        <f>DJ18*#REF!</f>
        <v>#REF!</v>
      </c>
      <c r="DN18" s="33"/>
      <c r="DO18" s="34"/>
      <c r="DP18" s="35"/>
      <c r="DQ18" s="36"/>
      <c r="DR18" s="37"/>
      <c r="DS18" s="30">
        <f t="shared" si="2"/>
        <v>0</v>
      </c>
      <c r="DT18" s="31" t="e">
        <f>DS18*#REF!</f>
        <v>#REF!</v>
      </c>
      <c r="DU18" s="32" t="e">
        <f>DS18*#REF!</f>
        <v>#REF!</v>
      </c>
      <c r="DW18" s="33"/>
      <c r="DX18" s="34"/>
      <c r="DY18" s="35"/>
      <c r="DZ18" s="36"/>
      <c r="EA18" s="37"/>
      <c r="EB18" s="30">
        <f t="shared" si="3"/>
        <v>0</v>
      </c>
      <c r="EC18" s="31" t="e">
        <f>EB18*#REF!</f>
        <v>#REF!</v>
      </c>
      <c r="ED18" s="32" t="e">
        <f>EB18*#REF!</f>
        <v>#REF!</v>
      </c>
      <c r="EF18" s="33"/>
      <c r="EG18" s="34"/>
      <c r="EH18" s="35"/>
      <c r="EI18" s="36"/>
      <c r="EJ18" s="37"/>
      <c r="EK18" s="30">
        <f t="shared" si="4"/>
        <v>0</v>
      </c>
      <c r="EL18" s="31" t="e">
        <f>EK18*#REF!</f>
        <v>#REF!</v>
      </c>
      <c r="EM18" s="32" t="e">
        <f>EK18*#REF!</f>
        <v>#REF!</v>
      </c>
      <c r="EO18" s="33"/>
      <c r="EP18" s="34"/>
      <c r="EQ18" s="35"/>
      <c r="ER18" s="36"/>
      <c r="ES18" s="37"/>
      <c r="ET18" s="30">
        <f t="shared" si="5"/>
        <v>0</v>
      </c>
      <c r="EU18" s="31" t="e">
        <f>ET18*#REF!</f>
        <v>#REF!</v>
      </c>
      <c r="EV18" s="32" t="e">
        <f>ET18*#REF!</f>
        <v>#REF!</v>
      </c>
      <c r="EX18" s="33"/>
      <c r="EY18" s="34"/>
      <c r="EZ18" s="35"/>
      <c r="FA18" s="36"/>
      <c r="FB18" s="37"/>
      <c r="FC18" s="30">
        <f t="shared" si="6"/>
        <v>0</v>
      </c>
      <c r="FD18" s="31" t="e">
        <f>FC18*#REF!</f>
        <v>#REF!</v>
      </c>
      <c r="FE18" s="32" t="e">
        <f>FC18*#REF!</f>
        <v>#REF!</v>
      </c>
      <c r="FG18" s="33"/>
      <c r="FH18" s="34"/>
      <c r="FI18" s="35"/>
      <c r="FJ18" s="36"/>
      <c r="FK18" s="37"/>
      <c r="FL18" s="30">
        <f t="shared" si="7"/>
        <v>0</v>
      </c>
      <c r="FM18" s="31" t="e">
        <f>FL18*#REF!</f>
        <v>#REF!</v>
      </c>
      <c r="FN18" s="32" t="e">
        <f>FL18*#REF!</f>
        <v>#REF!</v>
      </c>
      <c r="FP18" s="33"/>
      <c r="FQ18" s="34"/>
      <c r="FR18" s="35"/>
      <c r="FS18" s="36"/>
      <c r="FT18" s="37"/>
      <c r="FU18" s="30">
        <f t="shared" si="8"/>
        <v>0</v>
      </c>
      <c r="FV18" s="31" t="e">
        <f>FU18*#REF!</f>
        <v>#REF!</v>
      </c>
      <c r="FW18" s="32" t="e">
        <f>FU18*#REF!</f>
        <v>#REF!</v>
      </c>
      <c r="FY18" s="33"/>
      <c r="FZ18" s="34"/>
      <c r="GA18" s="35"/>
      <c r="GB18" s="36"/>
      <c r="GC18" s="37"/>
      <c r="GD18" s="30">
        <f t="shared" si="9"/>
        <v>0</v>
      </c>
      <c r="GE18" s="31" t="e">
        <f>GD18*#REF!</f>
        <v>#REF!</v>
      </c>
      <c r="GF18" s="32" t="e">
        <f>GD18*#REF!</f>
        <v>#REF!</v>
      </c>
      <c r="GH18" s="33"/>
      <c r="GI18" s="34"/>
      <c r="GJ18" s="35"/>
      <c r="GK18" s="36"/>
      <c r="GL18" s="37"/>
      <c r="GM18" s="30">
        <f t="shared" si="10"/>
        <v>0</v>
      </c>
      <c r="GN18" s="31" t="e">
        <f>GM18*#REF!</f>
        <v>#REF!</v>
      </c>
      <c r="GO18" s="32" t="e">
        <f>GM18*#REF!</f>
        <v>#REF!</v>
      </c>
      <c r="GQ18" s="38">
        <f>_xlfn.MAXIFS(I18:GO18,$I$5:$GO$5,"Staff #")</f>
        <v>0</v>
      </c>
      <c r="GR18" s="39">
        <v>0</v>
      </c>
    </row>
    <row r="19" spans="2:200" ht="15" x14ac:dyDescent="0.25">
      <c r="B19" s="22" t="s">
        <v>48</v>
      </c>
      <c r="C19" s="23" t="s">
        <v>49</v>
      </c>
      <c r="D19" s="24" t="str">
        <f>IF(C19="","",_xlfn.XLOOKUP(C19,'[3]Control Sheet'!$L$5:$L$104,'[3]Control Sheet'!$M$5:$M$104,"",0))</f>
        <v>Rides Operator</v>
      </c>
      <c r="E19" s="24" t="str">
        <f>IF(B19="","",_xlfn.XLOOKUP(B19,'[3]Control Sheet'!$D$5:$D$64,'[3]Control Sheet'!$F$5:$F$64,"",0))</f>
        <v>Rides</v>
      </c>
      <c r="F19" s="24" t="str">
        <f>IF(B19="","",_xlfn.XLOOKUP(B19,'[3]Control Sheet'!$D$5:$D$64,'[3]Control Sheet'!$E$5:$E$64,"",0))</f>
        <v>C1300-O</v>
      </c>
      <c r="I19" s="25">
        <v>0.38541666666666669</v>
      </c>
      <c r="J19" s="26">
        <v>0.69791666666666663</v>
      </c>
      <c r="K19" s="27">
        <v>45</v>
      </c>
      <c r="L19" s="28">
        <v>1</v>
      </c>
      <c r="M19" s="42">
        <v>1</v>
      </c>
      <c r="P19" s="25">
        <v>0.38541666666666669</v>
      </c>
      <c r="Q19" s="26">
        <v>0.73958333333333304</v>
      </c>
      <c r="R19" s="27">
        <v>45</v>
      </c>
      <c r="S19" s="28"/>
      <c r="T19" s="42">
        <v>1</v>
      </c>
      <c r="V19" s="25">
        <v>0.38541666666666669</v>
      </c>
      <c r="W19" s="26">
        <v>0.73958333333333304</v>
      </c>
      <c r="X19" s="27">
        <v>45</v>
      </c>
      <c r="Y19" s="28">
        <v>1</v>
      </c>
      <c r="Z19" s="42">
        <v>1</v>
      </c>
      <c r="AB19" s="25">
        <v>0.38541666666666669</v>
      </c>
      <c r="AC19" s="26">
        <v>0.73958333333333304</v>
      </c>
      <c r="AD19" s="27">
        <v>45</v>
      </c>
      <c r="AE19" s="28">
        <v>1</v>
      </c>
      <c r="AF19" s="42">
        <v>1</v>
      </c>
      <c r="AH19" s="25">
        <v>0.38541666666666669</v>
      </c>
      <c r="AI19" s="26">
        <v>0.73958333333333304</v>
      </c>
      <c r="AJ19" s="27">
        <v>45</v>
      </c>
      <c r="AK19" s="28">
        <v>1</v>
      </c>
      <c r="AL19" s="42">
        <v>1</v>
      </c>
      <c r="AN19" s="25">
        <v>0.38541666666666669</v>
      </c>
      <c r="AO19" s="26">
        <v>0.78125</v>
      </c>
      <c r="AP19" s="27">
        <v>45</v>
      </c>
      <c r="AQ19" s="28">
        <v>1</v>
      </c>
      <c r="AR19" s="42">
        <v>1</v>
      </c>
      <c r="AT19" s="25">
        <v>0.38541666666666669</v>
      </c>
      <c r="AU19" s="26">
        <v>0.73958333333333304</v>
      </c>
      <c r="AV19" s="27">
        <v>45</v>
      </c>
      <c r="AW19" s="28">
        <v>1</v>
      </c>
      <c r="AX19" s="42">
        <v>1</v>
      </c>
      <c r="AZ19" s="25">
        <v>0.38541666666666669</v>
      </c>
      <c r="BA19" s="26">
        <v>0.78125</v>
      </c>
      <c r="BB19" s="27">
        <v>45</v>
      </c>
      <c r="BC19" s="28">
        <v>1</v>
      </c>
      <c r="BD19" s="42">
        <v>1</v>
      </c>
      <c r="BF19" s="25">
        <v>0.38541666666666669</v>
      </c>
      <c r="BG19" s="26">
        <v>0.82291666666666663</v>
      </c>
      <c r="BH19" s="27">
        <v>75</v>
      </c>
      <c r="BI19" s="28">
        <v>1</v>
      </c>
      <c r="BJ19" s="42">
        <v>1</v>
      </c>
      <c r="BL19" s="25">
        <v>0.38541666666666669</v>
      </c>
      <c r="BM19" s="26">
        <v>0.69791666666666663</v>
      </c>
      <c r="BN19" s="27">
        <v>45</v>
      </c>
      <c r="BO19" s="28">
        <v>1</v>
      </c>
      <c r="BP19" s="42">
        <v>1</v>
      </c>
      <c r="BR19" s="25">
        <v>0.38541666666666669</v>
      </c>
      <c r="BS19" s="26">
        <v>0.64583333333333337</v>
      </c>
      <c r="BT19" s="27">
        <v>45</v>
      </c>
      <c r="BU19" s="28">
        <v>1</v>
      </c>
      <c r="BV19" s="42">
        <v>1</v>
      </c>
      <c r="BX19" s="25">
        <v>0.38541666666666669</v>
      </c>
      <c r="BY19" s="26">
        <v>0.72916666666666663</v>
      </c>
      <c r="BZ19" s="27">
        <v>45</v>
      </c>
      <c r="CA19" s="28">
        <v>1</v>
      </c>
      <c r="CB19" s="42">
        <v>1</v>
      </c>
      <c r="CD19" s="25">
        <v>0.38541666666666669</v>
      </c>
      <c r="CE19" s="26">
        <v>0.79166666666666663</v>
      </c>
      <c r="CF19" s="27">
        <v>45</v>
      </c>
      <c r="CG19" s="28">
        <v>1</v>
      </c>
      <c r="CH19" s="42">
        <v>1</v>
      </c>
      <c r="CJ19" s="25">
        <v>0.38541666666666669</v>
      </c>
      <c r="CK19" s="26">
        <v>0.64583333333333337</v>
      </c>
      <c r="CL19" s="27">
        <v>45</v>
      </c>
      <c r="CM19" s="28">
        <v>1</v>
      </c>
      <c r="CN19" s="42">
        <v>1</v>
      </c>
      <c r="CP19" s="33"/>
      <c r="CQ19" s="34"/>
      <c r="CR19" s="35"/>
      <c r="CS19" s="36"/>
      <c r="CT19" s="37"/>
      <c r="CV19" s="33"/>
      <c r="CW19" s="34"/>
      <c r="CX19" s="35"/>
      <c r="CY19" s="36"/>
      <c r="CZ19" s="37"/>
      <c r="DA19" s="30">
        <f t="shared" si="0"/>
        <v>0</v>
      </c>
      <c r="DB19" s="31" t="e">
        <f>DA19*#REF!</f>
        <v>#REF!</v>
      </c>
      <c r="DC19" s="32" t="e">
        <f>DA19*#REF!</f>
        <v>#REF!</v>
      </c>
      <c r="DE19" s="33"/>
      <c r="DF19" s="34"/>
      <c r="DG19" s="35"/>
      <c r="DH19" s="36"/>
      <c r="DI19" s="37"/>
      <c r="DJ19" s="30">
        <f t="shared" si="1"/>
        <v>0</v>
      </c>
      <c r="DK19" s="31" t="e">
        <f>DJ19*#REF!</f>
        <v>#REF!</v>
      </c>
      <c r="DL19" s="32" t="e">
        <f>DJ19*#REF!</f>
        <v>#REF!</v>
      </c>
      <c r="DN19" s="33"/>
      <c r="DO19" s="34"/>
      <c r="DP19" s="35"/>
      <c r="DQ19" s="36"/>
      <c r="DR19" s="37"/>
      <c r="DS19" s="30">
        <f t="shared" si="2"/>
        <v>0</v>
      </c>
      <c r="DT19" s="31" t="e">
        <f>DS19*#REF!</f>
        <v>#REF!</v>
      </c>
      <c r="DU19" s="32" t="e">
        <f>DS19*#REF!</f>
        <v>#REF!</v>
      </c>
      <c r="DW19" s="33"/>
      <c r="DX19" s="34"/>
      <c r="DY19" s="35"/>
      <c r="DZ19" s="36"/>
      <c r="EA19" s="37"/>
      <c r="EB19" s="30">
        <f t="shared" si="3"/>
        <v>0</v>
      </c>
      <c r="EC19" s="31" t="e">
        <f>EB19*#REF!</f>
        <v>#REF!</v>
      </c>
      <c r="ED19" s="32" t="e">
        <f>EB19*#REF!</f>
        <v>#REF!</v>
      </c>
      <c r="EF19" s="33"/>
      <c r="EG19" s="34"/>
      <c r="EH19" s="35"/>
      <c r="EI19" s="36"/>
      <c r="EJ19" s="37"/>
      <c r="EK19" s="30">
        <f t="shared" si="4"/>
        <v>0</v>
      </c>
      <c r="EL19" s="31" t="e">
        <f>EK19*#REF!</f>
        <v>#REF!</v>
      </c>
      <c r="EM19" s="32" t="e">
        <f>EK19*#REF!</f>
        <v>#REF!</v>
      </c>
      <c r="EO19" s="33"/>
      <c r="EP19" s="34"/>
      <c r="EQ19" s="35"/>
      <c r="ER19" s="36"/>
      <c r="ES19" s="37"/>
      <c r="ET19" s="30">
        <f t="shared" si="5"/>
        <v>0</v>
      </c>
      <c r="EU19" s="31" t="e">
        <f>ET19*#REF!</f>
        <v>#REF!</v>
      </c>
      <c r="EV19" s="32" t="e">
        <f>ET19*#REF!</f>
        <v>#REF!</v>
      </c>
      <c r="EX19" s="33"/>
      <c r="EY19" s="34"/>
      <c r="EZ19" s="35"/>
      <c r="FA19" s="36"/>
      <c r="FB19" s="37"/>
      <c r="FC19" s="30">
        <f t="shared" si="6"/>
        <v>0</v>
      </c>
      <c r="FD19" s="31" t="e">
        <f>FC19*#REF!</f>
        <v>#REF!</v>
      </c>
      <c r="FE19" s="32" t="e">
        <f>FC19*#REF!</f>
        <v>#REF!</v>
      </c>
      <c r="FG19" s="33"/>
      <c r="FH19" s="34"/>
      <c r="FI19" s="35"/>
      <c r="FJ19" s="36"/>
      <c r="FK19" s="37"/>
      <c r="FL19" s="30">
        <f t="shared" si="7"/>
        <v>0</v>
      </c>
      <c r="FM19" s="31" t="e">
        <f>FL19*#REF!</f>
        <v>#REF!</v>
      </c>
      <c r="FN19" s="32" t="e">
        <f>FL19*#REF!</f>
        <v>#REF!</v>
      </c>
      <c r="FP19" s="33"/>
      <c r="FQ19" s="34"/>
      <c r="FR19" s="35"/>
      <c r="FS19" s="36"/>
      <c r="FT19" s="37"/>
      <c r="FU19" s="30">
        <f t="shared" si="8"/>
        <v>0</v>
      </c>
      <c r="FV19" s="31" t="e">
        <f>FU19*#REF!</f>
        <v>#REF!</v>
      </c>
      <c r="FW19" s="32" t="e">
        <f>FU19*#REF!</f>
        <v>#REF!</v>
      </c>
      <c r="FY19" s="33"/>
      <c r="FZ19" s="34"/>
      <c r="GA19" s="35"/>
      <c r="GB19" s="36"/>
      <c r="GC19" s="37"/>
      <c r="GD19" s="30">
        <f t="shared" si="9"/>
        <v>0</v>
      </c>
      <c r="GE19" s="31" t="e">
        <f>GD19*#REF!</f>
        <v>#REF!</v>
      </c>
      <c r="GF19" s="32" t="e">
        <f>GD19*#REF!</f>
        <v>#REF!</v>
      </c>
      <c r="GH19" s="33"/>
      <c r="GI19" s="34"/>
      <c r="GJ19" s="35"/>
      <c r="GK19" s="36"/>
      <c r="GL19" s="37"/>
      <c r="GM19" s="30">
        <f t="shared" si="10"/>
        <v>0</v>
      </c>
      <c r="GN19" s="31" t="e">
        <f>GM19*#REF!</f>
        <v>#REF!</v>
      </c>
      <c r="GO19" s="32" t="e">
        <f>GM19*#REF!</f>
        <v>#REF!</v>
      </c>
      <c r="GQ19" s="38">
        <f>_xlfn.MAXIFS(I19:GO19,$I$5:$GO$5,"Staff #")</f>
        <v>1</v>
      </c>
      <c r="GR19" s="39">
        <v>1</v>
      </c>
    </row>
    <row r="20" spans="2:200" ht="15" x14ac:dyDescent="0.25">
      <c r="B20" s="22" t="s">
        <v>48</v>
      </c>
      <c r="C20" s="23" t="s">
        <v>50</v>
      </c>
      <c r="D20" s="24" t="str">
        <f>IF(C20="","",_xlfn.XLOOKUP(C20,'[3]Control Sheet'!$L$5:$L$104,'[3]Control Sheet'!$M$5:$M$104,"",0))</f>
        <v>Rides Attendant</v>
      </c>
      <c r="E20" s="24" t="str">
        <f>IF(B20="","",_xlfn.XLOOKUP(B20,'[3]Control Sheet'!$D$5:$D$64,'[3]Control Sheet'!$F$5:$F$64,"",0))</f>
        <v>Rides</v>
      </c>
      <c r="F20" s="24" t="str">
        <f>IF(B20="","",_xlfn.XLOOKUP(B20,'[3]Control Sheet'!$D$5:$D$64,'[3]Control Sheet'!$E$5:$E$64,"",0))</f>
        <v>C1300-O</v>
      </c>
      <c r="I20" s="25">
        <v>0.38541666666666669</v>
      </c>
      <c r="J20" s="26">
        <v>0.69791666666666663</v>
      </c>
      <c r="K20" s="27">
        <v>45</v>
      </c>
      <c r="L20" s="28">
        <v>1</v>
      </c>
      <c r="M20" s="42">
        <v>1</v>
      </c>
      <c r="P20" s="25">
        <v>0.38541666666666669</v>
      </c>
      <c r="Q20" s="26">
        <v>0.73958333333333304</v>
      </c>
      <c r="R20" s="27">
        <v>45</v>
      </c>
      <c r="S20" s="28">
        <v>1</v>
      </c>
      <c r="T20" s="42">
        <v>1</v>
      </c>
      <c r="V20" s="25">
        <v>0.38541666666666669</v>
      </c>
      <c r="W20" s="26">
        <v>0.73958333333333304</v>
      </c>
      <c r="X20" s="27">
        <v>45</v>
      </c>
      <c r="Y20" s="28">
        <v>1</v>
      </c>
      <c r="Z20" s="42">
        <v>1</v>
      </c>
      <c r="AB20" s="25">
        <v>0.38541666666666669</v>
      </c>
      <c r="AC20" s="26">
        <v>0.73958333333333304</v>
      </c>
      <c r="AD20" s="27">
        <v>45</v>
      </c>
      <c r="AE20" s="28">
        <v>1</v>
      </c>
      <c r="AF20" s="42">
        <v>1</v>
      </c>
      <c r="AH20" s="25">
        <v>0.38541666666666669</v>
      </c>
      <c r="AI20" s="26">
        <v>0.73958333333333304</v>
      </c>
      <c r="AJ20" s="27">
        <v>45</v>
      </c>
      <c r="AK20" s="28">
        <v>1</v>
      </c>
      <c r="AL20" s="42">
        <v>1</v>
      </c>
      <c r="AN20" s="25">
        <v>0.38541666666666669</v>
      </c>
      <c r="AO20" s="26">
        <v>0.78125</v>
      </c>
      <c r="AP20" s="27">
        <v>45</v>
      </c>
      <c r="AQ20" s="28">
        <v>1</v>
      </c>
      <c r="AR20" s="42">
        <v>1</v>
      </c>
      <c r="AT20" s="25">
        <v>0.38541666666666669</v>
      </c>
      <c r="AU20" s="26">
        <v>0.73958333333333304</v>
      </c>
      <c r="AV20" s="27">
        <v>45</v>
      </c>
      <c r="AW20" s="28">
        <v>1</v>
      </c>
      <c r="AX20" s="42">
        <v>1</v>
      </c>
      <c r="AZ20" s="25">
        <v>0.38541666666666669</v>
      </c>
      <c r="BA20" s="26">
        <v>0.78125</v>
      </c>
      <c r="BB20" s="27">
        <v>45</v>
      </c>
      <c r="BC20" s="28">
        <v>1</v>
      </c>
      <c r="BD20" s="42">
        <v>1</v>
      </c>
      <c r="BF20" s="25">
        <v>0.38541666666666669</v>
      </c>
      <c r="BG20" s="26">
        <v>0.82291666666666663</v>
      </c>
      <c r="BH20" s="27">
        <v>75</v>
      </c>
      <c r="BI20" s="28">
        <v>1</v>
      </c>
      <c r="BJ20" s="42">
        <v>1</v>
      </c>
      <c r="BL20" s="25">
        <v>0.38541666666666669</v>
      </c>
      <c r="BM20" s="26">
        <v>0.69791666666666663</v>
      </c>
      <c r="BN20" s="27">
        <v>45</v>
      </c>
      <c r="BO20" s="28">
        <v>1</v>
      </c>
      <c r="BP20" s="42">
        <v>1</v>
      </c>
      <c r="BR20" s="25">
        <v>0.38541666666666669</v>
      </c>
      <c r="BS20" s="26">
        <v>0.64583333333333337</v>
      </c>
      <c r="BT20" s="27">
        <v>45</v>
      </c>
      <c r="BU20" s="28">
        <v>1</v>
      </c>
      <c r="BV20" s="42">
        <v>1</v>
      </c>
      <c r="BX20" s="25">
        <v>0.38541666666666669</v>
      </c>
      <c r="BY20" s="26">
        <v>0.72916666666666663</v>
      </c>
      <c r="BZ20" s="27">
        <v>45</v>
      </c>
      <c r="CA20" s="28">
        <v>1</v>
      </c>
      <c r="CB20" s="42">
        <v>1</v>
      </c>
      <c r="CD20" s="25">
        <v>0.38541666666666669</v>
      </c>
      <c r="CE20" s="26">
        <v>0.79166666666666663</v>
      </c>
      <c r="CF20" s="27">
        <v>45</v>
      </c>
      <c r="CG20" s="28">
        <v>1</v>
      </c>
      <c r="CH20" s="42">
        <v>1</v>
      </c>
      <c r="CJ20" s="25">
        <v>0.38541666666666669</v>
      </c>
      <c r="CK20" s="26">
        <v>0.64583333333333337</v>
      </c>
      <c r="CL20" s="27">
        <v>45</v>
      </c>
      <c r="CM20" s="28">
        <v>1</v>
      </c>
      <c r="CN20" s="42">
        <v>1</v>
      </c>
      <c r="CP20" s="33"/>
      <c r="CQ20" s="34"/>
      <c r="CR20" s="35"/>
      <c r="CS20" s="36"/>
      <c r="CT20" s="37"/>
      <c r="CV20" s="33"/>
      <c r="CW20" s="34"/>
      <c r="CX20" s="35"/>
      <c r="CY20" s="36"/>
      <c r="CZ20" s="37"/>
      <c r="DA20" s="30">
        <f t="shared" si="0"/>
        <v>0</v>
      </c>
      <c r="DB20" s="31" t="e">
        <f>DA20*#REF!</f>
        <v>#REF!</v>
      </c>
      <c r="DC20" s="32" t="e">
        <f>DA20*#REF!</f>
        <v>#REF!</v>
      </c>
      <c r="DE20" s="33"/>
      <c r="DF20" s="34"/>
      <c r="DG20" s="35"/>
      <c r="DH20" s="36"/>
      <c r="DI20" s="37"/>
      <c r="DJ20" s="30">
        <f t="shared" si="1"/>
        <v>0</v>
      </c>
      <c r="DK20" s="31" t="e">
        <f>DJ20*#REF!</f>
        <v>#REF!</v>
      </c>
      <c r="DL20" s="32" t="e">
        <f>DJ20*#REF!</f>
        <v>#REF!</v>
      </c>
      <c r="DN20" s="33"/>
      <c r="DO20" s="34"/>
      <c r="DP20" s="35"/>
      <c r="DQ20" s="36"/>
      <c r="DR20" s="37"/>
      <c r="DS20" s="30">
        <f t="shared" si="2"/>
        <v>0</v>
      </c>
      <c r="DT20" s="31" t="e">
        <f>DS20*#REF!</f>
        <v>#REF!</v>
      </c>
      <c r="DU20" s="32" t="e">
        <f>DS20*#REF!</f>
        <v>#REF!</v>
      </c>
      <c r="DW20" s="33"/>
      <c r="DX20" s="34"/>
      <c r="DY20" s="35"/>
      <c r="DZ20" s="36"/>
      <c r="EA20" s="37"/>
      <c r="EB20" s="30">
        <f t="shared" si="3"/>
        <v>0</v>
      </c>
      <c r="EC20" s="31" t="e">
        <f>EB20*#REF!</f>
        <v>#REF!</v>
      </c>
      <c r="ED20" s="32" t="e">
        <f>EB20*#REF!</f>
        <v>#REF!</v>
      </c>
      <c r="EF20" s="33"/>
      <c r="EG20" s="34"/>
      <c r="EH20" s="35"/>
      <c r="EI20" s="36"/>
      <c r="EJ20" s="37"/>
      <c r="EK20" s="30">
        <f t="shared" si="4"/>
        <v>0</v>
      </c>
      <c r="EL20" s="31" t="e">
        <f>EK20*#REF!</f>
        <v>#REF!</v>
      </c>
      <c r="EM20" s="32" t="e">
        <f>EK20*#REF!</f>
        <v>#REF!</v>
      </c>
      <c r="EO20" s="33"/>
      <c r="EP20" s="34"/>
      <c r="EQ20" s="35"/>
      <c r="ER20" s="36"/>
      <c r="ES20" s="37"/>
      <c r="ET20" s="30">
        <f t="shared" si="5"/>
        <v>0</v>
      </c>
      <c r="EU20" s="31" t="e">
        <f>ET20*#REF!</f>
        <v>#REF!</v>
      </c>
      <c r="EV20" s="32" t="e">
        <f>ET20*#REF!</f>
        <v>#REF!</v>
      </c>
      <c r="EX20" s="33"/>
      <c r="EY20" s="34"/>
      <c r="EZ20" s="35"/>
      <c r="FA20" s="36"/>
      <c r="FB20" s="37"/>
      <c r="FC20" s="30">
        <f t="shared" si="6"/>
        <v>0</v>
      </c>
      <c r="FD20" s="31" t="e">
        <f>FC20*#REF!</f>
        <v>#REF!</v>
      </c>
      <c r="FE20" s="32" t="e">
        <f>FC20*#REF!</f>
        <v>#REF!</v>
      </c>
      <c r="FG20" s="33"/>
      <c r="FH20" s="34"/>
      <c r="FI20" s="35"/>
      <c r="FJ20" s="36"/>
      <c r="FK20" s="37"/>
      <c r="FL20" s="30">
        <f t="shared" si="7"/>
        <v>0</v>
      </c>
      <c r="FM20" s="31" t="e">
        <f>FL20*#REF!</f>
        <v>#REF!</v>
      </c>
      <c r="FN20" s="32" t="e">
        <f>FL20*#REF!</f>
        <v>#REF!</v>
      </c>
      <c r="FP20" s="33"/>
      <c r="FQ20" s="34"/>
      <c r="FR20" s="35"/>
      <c r="FS20" s="36"/>
      <c r="FT20" s="37"/>
      <c r="FU20" s="30">
        <f t="shared" si="8"/>
        <v>0</v>
      </c>
      <c r="FV20" s="31" t="e">
        <f>FU20*#REF!</f>
        <v>#REF!</v>
      </c>
      <c r="FW20" s="32" t="e">
        <f>FU20*#REF!</f>
        <v>#REF!</v>
      </c>
      <c r="FY20" s="33"/>
      <c r="FZ20" s="34"/>
      <c r="GA20" s="35"/>
      <c r="GB20" s="36"/>
      <c r="GC20" s="37"/>
      <c r="GD20" s="30">
        <f t="shared" si="9"/>
        <v>0</v>
      </c>
      <c r="GE20" s="31" t="e">
        <f>GD20*#REF!</f>
        <v>#REF!</v>
      </c>
      <c r="GF20" s="32" t="e">
        <f>GD20*#REF!</f>
        <v>#REF!</v>
      </c>
      <c r="GH20" s="33"/>
      <c r="GI20" s="34"/>
      <c r="GJ20" s="35"/>
      <c r="GK20" s="36"/>
      <c r="GL20" s="37"/>
      <c r="GM20" s="30">
        <f t="shared" si="10"/>
        <v>0</v>
      </c>
      <c r="GN20" s="31" t="e">
        <f>GM20*#REF!</f>
        <v>#REF!</v>
      </c>
      <c r="GO20" s="32" t="e">
        <f>GM20*#REF!</f>
        <v>#REF!</v>
      </c>
      <c r="GQ20" s="38">
        <f>_xlfn.MAXIFS(I20:GO20,$I$5:$GO$5,"Staff #")</f>
        <v>1</v>
      </c>
      <c r="GR20" s="39">
        <v>1</v>
      </c>
    </row>
    <row r="21" spans="2:200" ht="15" x14ac:dyDescent="0.25">
      <c r="B21" s="22"/>
      <c r="C21" s="23"/>
      <c r="D21" s="24" t="str">
        <f>IF(C21="","",_xlfn.XLOOKUP(C21,'[3]Control Sheet'!$L$5:$L$104,'[3]Control Sheet'!$M$5:$M$104,"",0))</f>
        <v/>
      </c>
      <c r="E21" s="24" t="str">
        <f>IF(B21="","",_xlfn.XLOOKUP(B21,'[3]Control Sheet'!$D$5:$D$64,'[3]Control Sheet'!$F$5:$F$64,"",0))</f>
        <v/>
      </c>
      <c r="F21" s="24" t="str">
        <f>IF(B21="","",_xlfn.XLOOKUP(B21,'[3]Control Sheet'!$D$5:$D$64,'[3]Control Sheet'!$E$5:$E$64,"",0))</f>
        <v/>
      </c>
      <c r="I21" s="25"/>
      <c r="J21" s="26"/>
      <c r="K21" s="27"/>
      <c r="L21" s="28"/>
      <c r="M21" s="29"/>
      <c r="P21" s="25"/>
      <c r="Q21" s="26"/>
      <c r="R21" s="27"/>
      <c r="S21" s="28"/>
      <c r="T21" s="29"/>
      <c r="V21" s="25"/>
      <c r="W21" s="26"/>
      <c r="X21" s="27"/>
      <c r="Y21" s="28"/>
      <c r="Z21" s="29"/>
      <c r="AB21" s="25"/>
      <c r="AC21" s="26"/>
      <c r="AD21" s="27"/>
      <c r="AE21" s="28"/>
      <c r="AF21" s="29"/>
      <c r="AH21" s="25"/>
      <c r="AI21" s="26"/>
      <c r="AJ21" s="27"/>
      <c r="AK21" s="28"/>
      <c r="AL21" s="29"/>
      <c r="AN21" s="25"/>
      <c r="AO21" s="26"/>
      <c r="AP21" s="27"/>
      <c r="AQ21" s="28"/>
      <c r="AR21" s="29"/>
      <c r="AT21" s="25"/>
      <c r="AU21" s="26"/>
      <c r="AV21" s="27"/>
      <c r="AW21" s="28"/>
      <c r="AX21" s="29"/>
      <c r="AZ21" s="25"/>
      <c r="BA21" s="26"/>
      <c r="BB21" s="27"/>
      <c r="BC21" s="28"/>
      <c r="BD21" s="29"/>
      <c r="BF21" s="25"/>
      <c r="BG21" s="26"/>
      <c r="BH21" s="27"/>
      <c r="BI21" s="28"/>
      <c r="BJ21" s="29"/>
      <c r="BL21" s="25"/>
      <c r="BM21" s="26"/>
      <c r="BN21" s="27"/>
      <c r="BO21" s="28"/>
      <c r="BP21" s="29"/>
      <c r="BR21" s="25"/>
      <c r="BS21" s="26"/>
      <c r="BT21" s="27"/>
      <c r="BU21" s="28"/>
      <c r="BV21" s="29"/>
      <c r="BX21" s="25"/>
      <c r="BY21" s="26"/>
      <c r="BZ21" s="27"/>
      <c r="CA21" s="28"/>
      <c r="CB21" s="29"/>
      <c r="CD21" s="25"/>
      <c r="CE21" s="26"/>
      <c r="CF21" s="27"/>
      <c r="CG21" s="28"/>
      <c r="CH21" s="29"/>
      <c r="CJ21" s="25"/>
      <c r="CK21" s="26"/>
      <c r="CL21" s="27"/>
      <c r="CM21" s="28"/>
      <c r="CN21" s="29"/>
      <c r="CP21" s="33"/>
      <c r="CQ21" s="34"/>
      <c r="CR21" s="35"/>
      <c r="CS21" s="36"/>
      <c r="CT21" s="37"/>
      <c r="CV21" s="33"/>
      <c r="CW21" s="34"/>
      <c r="CX21" s="35"/>
      <c r="CY21" s="36"/>
      <c r="CZ21" s="37"/>
      <c r="DA21" s="30">
        <f t="shared" si="0"/>
        <v>0</v>
      </c>
      <c r="DB21" s="31" t="e">
        <f>DA21*#REF!</f>
        <v>#REF!</v>
      </c>
      <c r="DC21" s="32" t="e">
        <f>DA21*#REF!</f>
        <v>#REF!</v>
      </c>
      <c r="DE21" s="33"/>
      <c r="DF21" s="34"/>
      <c r="DG21" s="35"/>
      <c r="DH21" s="36"/>
      <c r="DI21" s="37"/>
      <c r="DJ21" s="30">
        <f t="shared" si="1"/>
        <v>0</v>
      </c>
      <c r="DK21" s="31" t="e">
        <f>DJ21*#REF!</f>
        <v>#REF!</v>
      </c>
      <c r="DL21" s="32" t="e">
        <f>DJ21*#REF!</f>
        <v>#REF!</v>
      </c>
      <c r="DN21" s="33"/>
      <c r="DO21" s="34"/>
      <c r="DP21" s="35"/>
      <c r="DQ21" s="36"/>
      <c r="DR21" s="37"/>
      <c r="DS21" s="30">
        <f t="shared" si="2"/>
        <v>0</v>
      </c>
      <c r="DT21" s="31" t="e">
        <f>DS21*#REF!</f>
        <v>#REF!</v>
      </c>
      <c r="DU21" s="32" t="e">
        <f>DS21*#REF!</f>
        <v>#REF!</v>
      </c>
      <c r="DW21" s="33"/>
      <c r="DX21" s="34"/>
      <c r="DY21" s="35"/>
      <c r="DZ21" s="36"/>
      <c r="EA21" s="37"/>
      <c r="EB21" s="30">
        <f t="shared" si="3"/>
        <v>0</v>
      </c>
      <c r="EC21" s="31" t="e">
        <f>EB21*#REF!</f>
        <v>#REF!</v>
      </c>
      <c r="ED21" s="32" t="e">
        <f>EB21*#REF!</f>
        <v>#REF!</v>
      </c>
      <c r="EF21" s="33"/>
      <c r="EG21" s="34"/>
      <c r="EH21" s="35"/>
      <c r="EI21" s="36"/>
      <c r="EJ21" s="37"/>
      <c r="EK21" s="30">
        <f t="shared" si="4"/>
        <v>0</v>
      </c>
      <c r="EL21" s="31" t="e">
        <f>EK21*#REF!</f>
        <v>#REF!</v>
      </c>
      <c r="EM21" s="32" t="e">
        <f>EK21*#REF!</f>
        <v>#REF!</v>
      </c>
      <c r="EO21" s="33"/>
      <c r="EP21" s="34"/>
      <c r="EQ21" s="35"/>
      <c r="ER21" s="36"/>
      <c r="ES21" s="37"/>
      <c r="ET21" s="30">
        <f t="shared" si="5"/>
        <v>0</v>
      </c>
      <c r="EU21" s="31" t="e">
        <f>ET21*#REF!</f>
        <v>#REF!</v>
      </c>
      <c r="EV21" s="32" t="e">
        <f>ET21*#REF!</f>
        <v>#REF!</v>
      </c>
      <c r="EX21" s="33"/>
      <c r="EY21" s="34"/>
      <c r="EZ21" s="35"/>
      <c r="FA21" s="36"/>
      <c r="FB21" s="37"/>
      <c r="FC21" s="30">
        <f t="shared" si="6"/>
        <v>0</v>
      </c>
      <c r="FD21" s="31" t="e">
        <f>FC21*#REF!</f>
        <v>#REF!</v>
      </c>
      <c r="FE21" s="32" t="e">
        <f>FC21*#REF!</f>
        <v>#REF!</v>
      </c>
      <c r="FG21" s="33"/>
      <c r="FH21" s="34"/>
      <c r="FI21" s="35"/>
      <c r="FJ21" s="36"/>
      <c r="FK21" s="37"/>
      <c r="FL21" s="30">
        <f t="shared" si="7"/>
        <v>0</v>
      </c>
      <c r="FM21" s="31" t="e">
        <f>FL21*#REF!</f>
        <v>#REF!</v>
      </c>
      <c r="FN21" s="32" t="e">
        <f>FL21*#REF!</f>
        <v>#REF!</v>
      </c>
      <c r="FP21" s="33"/>
      <c r="FQ21" s="34"/>
      <c r="FR21" s="35"/>
      <c r="FS21" s="36"/>
      <c r="FT21" s="37"/>
      <c r="FU21" s="30">
        <f t="shared" si="8"/>
        <v>0</v>
      </c>
      <c r="FV21" s="31" t="e">
        <f>FU21*#REF!</f>
        <v>#REF!</v>
      </c>
      <c r="FW21" s="32" t="e">
        <f>FU21*#REF!</f>
        <v>#REF!</v>
      </c>
      <c r="FY21" s="33"/>
      <c r="FZ21" s="34"/>
      <c r="GA21" s="35"/>
      <c r="GB21" s="36"/>
      <c r="GC21" s="37"/>
      <c r="GD21" s="30">
        <f t="shared" si="9"/>
        <v>0</v>
      </c>
      <c r="GE21" s="31" t="e">
        <f>GD21*#REF!</f>
        <v>#REF!</v>
      </c>
      <c r="GF21" s="32" t="e">
        <f>GD21*#REF!</f>
        <v>#REF!</v>
      </c>
      <c r="GH21" s="33"/>
      <c r="GI21" s="34"/>
      <c r="GJ21" s="35"/>
      <c r="GK21" s="36"/>
      <c r="GL21" s="37"/>
      <c r="GM21" s="30">
        <f t="shared" si="10"/>
        <v>0</v>
      </c>
      <c r="GN21" s="31" t="e">
        <f>GM21*#REF!</f>
        <v>#REF!</v>
      </c>
      <c r="GO21" s="32" t="e">
        <f>GM21*#REF!</f>
        <v>#REF!</v>
      </c>
      <c r="GQ21" s="38">
        <f>_xlfn.MAXIFS(I21:GO21,$I$5:$GO$5,"Staff #")</f>
        <v>0</v>
      </c>
      <c r="GR21" s="39">
        <v>0</v>
      </c>
    </row>
    <row r="22" spans="2:200" ht="15" x14ac:dyDescent="0.25">
      <c r="B22" s="22"/>
      <c r="C22" s="23"/>
      <c r="D22" s="24" t="str">
        <f>IF(C22="","",_xlfn.XLOOKUP(C22,'[3]Control Sheet'!$L$5:$L$104,'[3]Control Sheet'!$M$5:$M$104,"",0))</f>
        <v/>
      </c>
      <c r="E22" s="24" t="str">
        <f>IF(B22="","",_xlfn.XLOOKUP(B22,'[3]Control Sheet'!$D$5:$D$64,'[3]Control Sheet'!$F$5:$F$64,"",0))</f>
        <v/>
      </c>
      <c r="F22" s="24" t="str">
        <f>IF(B22="","",_xlfn.XLOOKUP(B22,'[3]Control Sheet'!$D$5:$D$64,'[3]Control Sheet'!$E$5:$E$64,"",0))</f>
        <v/>
      </c>
      <c r="I22" s="25"/>
      <c r="J22" s="26"/>
      <c r="K22" s="27"/>
      <c r="L22" s="28"/>
      <c r="M22" s="29"/>
      <c r="P22" s="25"/>
      <c r="Q22" s="26"/>
      <c r="R22" s="27"/>
      <c r="S22" s="28"/>
      <c r="T22" s="29"/>
      <c r="V22" s="25"/>
      <c r="W22" s="26"/>
      <c r="X22" s="27"/>
      <c r="Y22" s="28"/>
      <c r="Z22" s="29"/>
      <c r="AB22" s="25"/>
      <c r="AC22" s="26"/>
      <c r="AD22" s="27"/>
      <c r="AE22" s="28"/>
      <c r="AF22" s="29"/>
      <c r="AH22" s="25"/>
      <c r="AI22" s="26"/>
      <c r="AJ22" s="27"/>
      <c r="AK22" s="28"/>
      <c r="AL22" s="29"/>
      <c r="AN22" s="25"/>
      <c r="AO22" s="26"/>
      <c r="AP22" s="27"/>
      <c r="AQ22" s="28"/>
      <c r="AR22" s="29"/>
      <c r="AT22" s="25"/>
      <c r="AU22" s="26"/>
      <c r="AV22" s="27"/>
      <c r="AW22" s="28"/>
      <c r="AX22" s="29"/>
      <c r="AZ22" s="25"/>
      <c r="BA22" s="26"/>
      <c r="BB22" s="27"/>
      <c r="BC22" s="28"/>
      <c r="BD22" s="29"/>
      <c r="BF22" s="25"/>
      <c r="BG22" s="26"/>
      <c r="BH22" s="27"/>
      <c r="BI22" s="28"/>
      <c r="BJ22" s="29"/>
      <c r="BL22" s="25"/>
      <c r="BM22" s="26"/>
      <c r="BN22" s="27"/>
      <c r="BO22" s="28"/>
      <c r="BP22" s="29"/>
      <c r="BR22" s="25"/>
      <c r="BS22" s="26"/>
      <c r="BT22" s="27"/>
      <c r="BU22" s="28"/>
      <c r="BV22" s="29"/>
      <c r="BX22" s="25"/>
      <c r="BY22" s="26"/>
      <c r="BZ22" s="27"/>
      <c r="CA22" s="28"/>
      <c r="CB22" s="29"/>
      <c r="CD22" s="25"/>
      <c r="CE22" s="26"/>
      <c r="CF22" s="27"/>
      <c r="CG22" s="28"/>
      <c r="CH22" s="29"/>
      <c r="CJ22" s="25"/>
      <c r="CK22" s="26"/>
      <c r="CL22" s="27"/>
      <c r="CM22" s="28"/>
      <c r="CN22" s="29"/>
      <c r="CP22" s="33"/>
      <c r="CQ22" s="34"/>
      <c r="CR22" s="35"/>
      <c r="CS22" s="36"/>
      <c r="CT22" s="37"/>
      <c r="CV22" s="33"/>
      <c r="CW22" s="34"/>
      <c r="CX22" s="35"/>
      <c r="CY22" s="36"/>
      <c r="CZ22" s="37"/>
      <c r="DA22" s="30">
        <f t="shared" si="0"/>
        <v>0</v>
      </c>
      <c r="DB22" s="31" t="e">
        <f>DA22*#REF!</f>
        <v>#REF!</v>
      </c>
      <c r="DC22" s="32" t="e">
        <f>DA22*#REF!</f>
        <v>#REF!</v>
      </c>
      <c r="DE22" s="33"/>
      <c r="DF22" s="34"/>
      <c r="DG22" s="35"/>
      <c r="DH22" s="36"/>
      <c r="DI22" s="37"/>
      <c r="DJ22" s="30">
        <f t="shared" si="1"/>
        <v>0</v>
      </c>
      <c r="DK22" s="31" t="e">
        <f>DJ22*#REF!</f>
        <v>#REF!</v>
      </c>
      <c r="DL22" s="32" t="e">
        <f>DJ22*#REF!</f>
        <v>#REF!</v>
      </c>
      <c r="DN22" s="33"/>
      <c r="DO22" s="34"/>
      <c r="DP22" s="35"/>
      <c r="DQ22" s="36"/>
      <c r="DR22" s="37"/>
      <c r="DS22" s="30">
        <f t="shared" si="2"/>
        <v>0</v>
      </c>
      <c r="DT22" s="31" t="e">
        <f>DS22*#REF!</f>
        <v>#REF!</v>
      </c>
      <c r="DU22" s="32" t="e">
        <f>DS22*#REF!</f>
        <v>#REF!</v>
      </c>
      <c r="DW22" s="33"/>
      <c r="DX22" s="34"/>
      <c r="DY22" s="35"/>
      <c r="DZ22" s="36"/>
      <c r="EA22" s="37"/>
      <c r="EB22" s="30">
        <f t="shared" si="3"/>
        <v>0</v>
      </c>
      <c r="EC22" s="31" t="e">
        <f>EB22*#REF!</f>
        <v>#REF!</v>
      </c>
      <c r="ED22" s="32" t="e">
        <f>EB22*#REF!</f>
        <v>#REF!</v>
      </c>
      <c r="EF22" s="33"/>
      <c r="EG22" s="34"/>
      <c r="EH22" s="35"/>
      <c r="EI22" s="36"/>
      <c r="EJ22" s="37"/>
      <c r="EK22" s="30">
        <f t="shared" si="4"/>
        <v>0</v>
      </c>
      <c r="EL22" s="31" t="e">
        <f>EK22*#REF!</f>
        <v>#REF!</v>
      </c>
      <c r="EM22" s="32" t="e">
        <f>EK22*#REF!</f>
        <v>#REF!</v>
      </c>
      <c r="EO22" s="33"/>
      <c r="EP22" s="34"/>
      <c r="EQ22" s="35"/>
      <c r="ER22" s="36"/>
      <c r="ES22" s="37"/>
      <c r="ET22" s="30">
        <f t="shared" si="5"/>
        <v>0</v>
      </c>
      <c r="EU22" s="31" t="e">
        <f>ET22*#REF!</f>
        <v>#REF!</v>
      </c>
      <c r="EV22" s="32" t="e">
        <f>ET22*#REF!</f>
        <v>#REF!</v>
      </c>
      <c r="EX22" s="33"/>
      <c r="EY22" s="34"/>
      <c r="EZ22" s="35"/>
      <c r="FA22" s="36"/>
      <c r="FB22" s="37"/>
      <c r="FC22" s="30">
        <f t="shared" si="6"/>
        <v>0</v>
      </c>
      <c r="FD22" s="31" t="e">
        <f>FC22*#REF!</f>
        <v>#REF!</v>
      </c>
      <c r="FE22" s="32" t="e">
        <f>FC22*#REF!</f>
        <v>#REF!</v>
      </c>
      <c r="FG22" s="33"/>
      <c r="FH22" s="34"/>
      <c r="FI22" s="35"/>
      <c r="FJ22" s="36"/>
      <c r="FK22" s="37"/>
      <c r="FL22" s="30">
        <f t="shared" si="7"/>
        <v>0</v>
      </c>
      <c r="FM22" s="31" t="e">
        <f>FL22*#REF!</f>
        <v>#REF!</v>
      </c>
      <c r="FN22" s="32" t="e">
        <f>FL22*#REF!</f>
        <v>#REF!</v>
      </c>
      <c r="FP22" s="33"/>
      <c r="FQ22" s="34"/>
      <c r="FR22" s="35"/>
      <c r="FS22" s="36"/>
      <c r="FT22" s="37"/>
      <c r="FU22" s="30">
        <f t="shared" si="8"/>
        <v>0</v>
      </c>
      <c r="FV22" s="31" t="e">
        <f>FU22*#REF!</f>
        <v>#REF!</v>
      </c>
      <c r="FW22" s="32" t="e">
        <f>FU22*#REF!</f>
        <v>#REF!</v>
      </c>
      <c r="FY22" s="33"/>
      <c r="FZ22" s="34"/>
      <c r="GA22" s="35"/>
      <c r="GB22" s="36"/>
      <c r="GC22" s="37"/>
      <c r="GD22" s="30">
        <f t="shared" si="9"/>
        <v>0</v>
      </c>
      <c r="GE22" s="31" t="e">
        <f>GD22*#REF!</f>
        <v>#REF!</v>
      </c>
      <c r="GF22" s="32" t="e">
        <f>GD22*#REF!</f>
        <v>#REF!</v>
      </c>
      <c r="GH22" s="33"/>
      <c r="GI22" s="34"/>
      <c r="GJ22" s="35"/>
      <c r="GK22" s="36"/>
      <c r="GL22" s="37"/>
      <c r="GM22" s="30">
        <f t="shared" si="10"/>
        <v>0</v>
      </c>
      <c r="GN22" s="31" t="e">
        <f>GM22*#REF!</f>
        <v>#REF!</v>
      </c>
      <c r="GO22" s="32" t="e">
        <f>GM22*#REF!</f>
        <v>#REF!</v>
      </c>
      <c r="GQ22" s="38">
        <f>_xlfn.MAXIFS(I22:GO22,$I$5:$GO$5,"Staff #")</f>
        <v>0</v>
      </c>
      <c r="GR22" s="39">
        <v>0</v>
      </c>
    </row>
    <row r="23" spans="2:200" ht="15" x14ac:dyDescent="0.25">
      <c r="B23" s="22"/>
      <c r="C23" s="23"/>
      <c r="D23" s="24" t="str">
        <f>IF(C23="","",_xlfn.XLOOKUP(C23,'[3]Control Sheet'!$L$5:$L$104,'[3]Control Sheet'!$M$5:$M$104,"",0))</f>
        <v/>
      </c>
      <c r="E23" s="24" t="str">
        <f>IF(B23="","",_xlfn.XLOOKUP(B23,'[3]Control Sheet'!$D$5:$D$64,'[3]Control Sheet'!$F$5:$F$64,"",0))</f>
        <v/>
      </c>
      <c r="F23" s="24" t="str">
        <f>IF(B23="","",_xlfn.XLOOKUP(B23,'[3]Control Sheet'!$D$5:$D$64,'[3]Control Sheet'!$E$5:$E$64,"",0))</f>
        <v/>
      </c>
      <c r="I23" s="25"/>
      <c r="J23" s="26"/>
      <c r="K23" s="27"/>
      <c r="L23" s="28"/>
      <c r="M23" s="29"/>
      <c r="P23" s="25"/>
      <c r="Q23" s="26"/>
      <c r="R23" s="27"/>
      <c r="S23" s="28"/>
      <c r="T23" s="29"/>
      <c r="V23" s="25"/>
      <c r="W23" s="26"/>
      <c r="X23" s="27"/>
      <c r="Y23" s="28"/>
      <c r="Z23" s="29"/>
      <c r="AB23" s="25"/>
      <c r="AC23" s="26"/>
      <c r="AD23" s="27"/>
      <c r="AE23" s="28"/>
      <c r="AF23" s="29"/>
      <c r="AH23" s="25"/>
      <c r="AI23" s="26"/>
      <c r="AJ23" s="27"/>
      <c r="AK23" s="28"/>
      <c r="AL23" s="29"/>
      <c r="AN23" s="25"/>
      <c r="AO23" s="26"/>
      <c r="AP23" s="27"/>
      <c r="AQ23" s="28"/>
      <c r="AR23" s="29"/>
      <c r="AT23" s="25"/>
      <c r="AU23" s="26"/>
      <c r="AV23" s="27"/>
      <c r="AW23" s="28"/>
      <c r="AX23" s="29"/>
      <c r="AZ23" s="25"/>
      <c r="BA23" s="26"/>
      <c r="BB23" s="27"/>
      <c r="BC23" s="28"/>
      <c r="BD23" s="29"/>
      <c r="BF23" s="25"/>
      <c r="BG23" s="26"/>
      <c r="BH23" s="27"/>
      <c r="BI23" s="28"/>
      <c r="BJ23" s="29"/>
      <c r="BL23" s="25"/>
      <c r="BM23" s="26"/>
      <c r="BN23" s="27"/>
      <c r="BO23" s="28"/>
      <c r="BP23" s="29"/>
      <c r="BR23" s="25"/>
      <c r="BS23" s="26"/>
      <c r="BT23" s="27"/>
      <c r="BU23" s="28"/>
      <c r="BV23" s="29"/>
      <c r="BX23" s="25"/>
      <c r="BY23" s="26"/>
      <c r="BZ23" s="27"/>
      <c r="CA23" s="28"/>
      <c r="CB23" s="29"/>
      <c r="CD23" s="25"/>
      <c r="CE23" s="26"/>
      <c r="CF23" s="27"/>
      <c r="CG23" s="28"/>
      <c r="CH23" s="29"/>
      <c r="CJ23" s="25"/>
      <c r="CK23" s="26"/>
      <c r="CL23" s="27"/>
      <c r="CM23" s="28"/>
      <c r="CN23" s="29"/>
      <c r="CP23" s="33"/>
      <c r="CQ23" s="34"/>
      <c r="CR23" s="35"/>
      <c r="CS23" s="36"/>
      <c r="CT23" s="37"/>
      <c r="CV23" s="33"/>
      <c r="CW23" s="34"/>
      <c r="CX23" s="35"/>
      <c r="CY23" s="36"/>
      <c r="CZ23" s="37"/>
      <c r="DA23" s="30">
        <f t="shared" si="0"/>
        <v>0</v>
      </c>
      <c r="DB23" s="31" t="e">
        <f>DA23*#REF!</f>
        <v>#REF!</v>
      </c>
      <c r="DC23" s="32" t="e">
        <f>DA23*#REF!</f>
        <v>#REF!</v>
      </c>
      <c r="DE23" s="33"/>
      <c r="DF23" s="34"/>
      <c r="DG23" s="35"/>
      <c r="DH23" s="36"/>
      <c r="DI23" s="37"/>
      <c r="DJ23" s="30">
        <f t="shared" si="1"/>
        <v>0</v>
      </c>
      <c r="DK23" s="31" t="e">
        <f>DJ23*#REF!</f>
        <v>#REF!</v>
      </c>
      <c r="DL23" s="32" t="e">
        <f>DJ23*#REF!</f>
        <v>#REF!</v>
      </c>
      <c r="DN23" s="33"/>
      <c r="DO23" s="34"/>
      <c r="DP23" s="35"/>
      <c r="DQ23" s="36"/>
      <c r="DR23" s="37"/>
      <c r="DS23" s="30">
        <f t="shared" si="2"/>
        <v>0</v>
      </c>
      <c r="DT23" s="31" t="e">
        <f>DS23*#REF!</f>
        <v>#REF!</v>
      </c>
      <c r="DU23" s="32" t="e">
        <f>DS23*#REF!</f>
        <v>#REF!</v>
      </c>
      <c r="DW23" s="33"/>
      <c r="DX23" s="34"/>
      <c r="DY23" s="35"/>
      <c r="DZ23" s="36"/>
      <c r="EA23" s="37"/>
      <c r="EB23" s="30">
        <f t="shared" si="3"/>
        <v>0</v>
      </c>
      <c r="EC23" s="31" t="e">
        <f>EB23*#REF!</f>
        <v>#REF!</v>
      </c>
      <c r="ED23" s="32" t="e">
        <f>EB23*#REF!</f>
        <v>#REF!</v>
      </c>
      <c r="EF23" s="33"/>
      <c r="EG23" s="34"/>
      <c r="EH23" s="35"/>
      <c r="EI23" s="36"/>
      <c r="EJ23" s="37"/>
      <c r="EK23" s="30">
        <f t="shared" si="4"/>
        <v>0</v>
      </c>
      <c r="EL23" s="31" t="e">
        <f>EK23*#REF!</f>
        <v>#REF!</v>
      </c>
      <c r="EM23" s="32" t="e">
        <f>EK23*#REF!</f>
        <v>#REF!</v>
      </c>
      <c r="EO23" s="33"/>
      <c r="EP23" s="34"/>
      <c r="EQ23" s="35"/>
      <c r="ER23" s="36"/>
      <c r="ES23" s="37"/>
      <c r="ET23" s="30">
        <f t="shared" si="5"/>
        <v>0</v>
      </c>
      <c r="EU23" s="31" t="e">
        <f>ET23*#REF!</f>
        <v>#REF!</v>
      </c>
      <c r="EV23" s="32" t="e">
        <f>ET23*#REF!</f>
        <v>#REF!</v>
      </c>
      <c r="EX23" s="33"/>
      <c r="EY23" s="34"/>
      <c r="EZ23" s="35"/>
      <c r="FA23" s="36"/>
      <c r="FB23" s="37"/>
      <c r="FC23" s="30">
        <f t="shared" si="6"/>
        <v>0</v>
      </c>
      <c r="FD23" s="31" t="e">
        <f>FC23*#REF!</f>
        <v>#REF!</v>
      </c>
      <c r="FE23" s="32" t="e">
        <f>FC23*#REF!</f>
        <v>#REF!</v>
      </c>
      <c r="FG23" s="33"/>
      <c r="FH23" s="34"/>
      <c r="FI23" s="35"/>
      <c r="FJ23" s="36"/>
      <c r="FK23" s="37"/>
      <c r="FL23" s="30">
        <f t="shared" si="7"/>
        <v>0</v>
      </c>
      <c r="FM23" s="31" t="e">
        <f>FL23*#REF!</f>
        <v>#REF!</v>
      </c>
      <c r="FN23" s="32" t="e">
        <f>FL23*#REF!</f>
        <v>#REF!</v>
      </c>
      <c r="FP23" s="33"/>
      <c r="FQ23" s="34"/>
      <c r="FR23" s="35"/>
      <c r="FS23" s="36"/>
      <c r="FT23" s="37"/>
      <c r="FU23" s="30">
        <f t="shared" si="8"/>
        <v>0</v>
      </c>
      <c r="FV23" s="31" t="e">
        <f>FU23*#REF!</f>
        <v>#REF!</v>
      </c>
      <c r="FW23" s="32" t="e">
        <f>FU23*#REF!</f>
        <v>#REF!</v>
      </c>
      <c r="FY23" s="33"/>
      <c r="FZ23" s="34"/>
      <c r="GA23" s="35"/>
      <c r="GB23" s="36"/>
      <c r="GC23" s="37"/>
      <c r="GD23" s="30">
        <f t="shared" si="9"/>
        <v>0</v>
      </c>
      <c r="GE23" s="31" t="e">
        <f>GD23*#REF!</f>
        <v>#REF!</v>
      </c>
      <c r="GF23" s="32" t="e">
        <f>GD23*#REF!</f>
        <v>#REF!</v>
      </c>
      <c r="GH23" s="33"/>
      <c r="GI23" s="34"/>
      <c r="GJ23" s="35"/>
      <c r="GK23" s="36"/>
      <c r="GL23" s="37"/>
      <c r="GM23" s="30">
        <f t="shared" si="10"/>
        <v>0</v>
      </c>
      <c r="GN23" s="31" t="e">
        <f>GM23*#REF!</f>
        <v>#REF!</v>
      </c>
      <c r="GO23" s="32" t="e">
        <f>GM23*#REF!</f>
        <v>#REF!</v>
      </c>
      <c r="GQ23" s="38">
        <f>_xlfn.MAXIFS(I23:GO23,$I$5:$GO$5,"Staff #")</f>
        <v>0</v>
      </c>
      <c r="GR23" s="39">
        <v>0</v>
      </c>
    </row>
    <row r="24" spans="2:200" ht="15" x14ac:dyDescent="0.25">
      <c r="B24" s="22"/>
      <c r="C24" s="23"/>
      <c r="D24" s="24" t="str">
        <f>IF(C24="","",_xlfn.XLOOKUP(C24,'[3]Control Sheet'!$L$5:$L$104,'[3]Control Sheet'!$M$5:$M$104,"",0))</f>
        <v/>
      </c>
      <c r="E24" s="24" t="str">
        <f>IF(B24="","",_xlfn.XLOOKUP(B24,'[3]Control Sheet'!$D$5:$D$64,'[3]Control Sheet'!$F$5:$F$64,"",0))</f>
        <v/>
      </c>
      <c r="F24" s="24" t="str">
        <f>IF(B24="","",_xlfn.XLOOKUP(B24,'[3]Control Sheet'!$D$5:$D$64,'[3]Control Sheet'!$E$5:$E$64,"",0))</f>
        <v/>
      </c>
      <c r="I24" s="25"/>
      <c r="J24" s="26"/>
      <c r="K24" s="27"/>
      <c r="L24" s="28"/>
      <c r="M24" s="29"/>
      <c r="P24" s="25"/>
      <c r="Q24" s="26"/>
      <c r="R24" s="27"/>
      <c r="S24" s="28"/>
      <c r="T24" s="29"/>
      <c r="V24" s="25"/>
      <c r="W24" s="26"/>
      <c r="X24" s="27"/>
      <c r="Y24" s="28"/>
      <c r="Z24" s="29"/>
      <c r="AB24" s="25"/>
      <c r="AC24" s="26"/>
      <c r="AD24" s="27"/>
      <c r="AE24" s="28"/>
      <c r="AF24" s="29"/>
      <c r="AH24" s="25"/>
      <c r="AI24" s="26"/>
      <c r="AJ24" s="27"/>
      <c r="AK24" s="28"/>
      <c r="AL24" s="29"/>
      <c r="AN24" s="25"/>
      <c r="AO24" s="26"/>
      <c r="AP24" s="27"/>
      <c r="AQ24" s="28"/>
      <c r="AR24" s="29"/>
      <c r="AT24" s="25"/>
      <c r="AU24" s="26"/>
      <c r="AV24" s="27"/>
      <c r="AW24" s="28"/>
      <c r="AX24" s="29"/>
      <c r="AZ24" s="25"/>
      <c r="BA24" s="26"/>
      <c r="BB24" s="27"/>
      <c r="BC24" s="28"/>
      <c r="BD24" s="29"/>
      <c r="BF24" s="25"/>
      <c r="BG24" s="26"/>
      <c r="BH24" s="27"/>
      <c r="BI24" s="28"/>
      <c r="BJ24" s="29"/>
      <c r="BL24" s="25"/>
      <c r="BM24" s="26"/>
      <c r="BN24" s="27"/>
      <c r="BO24" s="28"/>
      <c r="BP24" s="29"/>
      <c r="BR24" s="25"/>
      <c r="BS24" s="26"/>
      <c r="BT24" s="27"/>
      <c r="BU24" s="28"/>
      <c r="BV24" s="29"/>
      <c r="BX24" s="25"/>
      <c r="BY24" s="26"/>
      <c r="BZ24" s="27"/>
      <c r="CA24" s="28"/>
      <c r="CB24" s="29"/>
      <c r="CD24" s="25"/>
      <c r="CE24" s="26"/>
      <c r="CF24" s="27"/>
      <c r="CG24" s="28"/>
      <c r="CH24" s="29"/>
      <c r="CJ24" s="25"/>
      <c r="CK24" s="26"/>
      <c r="CL24" s="27"/>
      <c r="CM24" s="28"/>
      <c r="CN24" s="29"/>
      <c r="CP24" s="33"/>
      <c r="CQ24" s="34"/>
      <c r="CR24" s="35"/>
      <c r="CS24" s="36"/>
      <c r="CT24" s="37"/>
      <c r="CV24" s="33"/>
      <c r="CW24" s="34"/>
      <c r="CX24" s="35"/>
      <c r="CY24" s="36"/>
      <c r="CZ24" s="37"/>
      <c r="DA24" s="30">
        <f t="shared" si="0"/>
        <v>0</v>
      </c>
      <c r="DB24" s="31" t="e">
        <f>DA24*#REF!</f>
        <v>#REF!</v>
      </c>
      <c r="DC24" s="32" t="e">
        <f>DA24*#REF!</f>
        <v>#REF!</v>
      </c>
      <c r="DE24" s="33"/>
      <c r="DF24" s="34"/>
      <c r="DG24" s="35"/>
      <c r="DH24" s="36"/>
      <c r="DI24" s="37"/>
      <c r="DJ24" s="30">
        <f t="shared" si="1"/>
        <v>0</v>
      </c>
      <c r="DK24" s="31" t="e">
        <f>DJ24*#REF!</f>
        <v>#REF!</v>
      </c>
      <c r="DL24" s="32" t="e">
        <f>DJ24*#REF!</f>
        <v>#REF!</v>
      </c>
      <c r="DN24" s="33"/>
      <c r="DO24" s="34"/>
      <c r="DP24" s="35"/>
      <c r="DQ24" s="36"/>
      <c r="DR24" s="37"/>
      <c r="DS24" s="30">
        <f t="shared" si="2"/>
        <v>0</v>
      </c>
      <c r="DT24" s="31" t="e">
        <f>DS24*#REF!</f>
        <v>#REF!</v>
      </c>
      <c r="DU24" s="32" t="e">
        <f>DS24*#REF!</f>
        <v>#REF!</v>
      </c>
      <c r="DW24" s="33"/>
      <c r="DX24" s="34"/>
      <c r="DY24" s="35"/>
      <c r="DZ24" s="36"/>
      <c r="EA24" s="37"/>
      <c r="EB24" s="30">
        <f t="shared" si="3"/>
        <v>0</v>
      </c>
      <c r="EC24" s="31" t="e">
        <f>EB24*#REF!</f>
        <v>#REF!</v>
      </c>
      <c r="ED24" s="32" t="e">
        <f>EB24*#REF!</f>
        <v>#REF!</v>
      </c>
      <c r="EF24" s="33"/>
      <c r="EG24" s="34"/>
      <c r="EH24" s="35"/>
      <c r="EI24" s="36"/>
      <c r="EJ24" s="37"/>
      <c r="EK24" s="30">
        <f t="shared" si="4"/>
        <v>0</v>
      </c>
      <c r="EL24" s="31" t="e">
        <f>EK24*#REF!</f>
        <v>#REF!</v>
      </c>
      <c r="EM24" s="32" t="e">
        <f>EK24*#REF!</f>
        <v>#REF!</v>
      </c>
      <c r="EO24" s="33"/>
      <c r="EP24" s="34"/>
      <c r="EQ24" s="35"/>
      <c r="ER24" s="36"/>
      <c r="ES24" s="37"/>
      <c r="ET24" s="30">
        <f t="shared" si="5"/>
        <v>0</v>
      </c>
      <c r="EU24" s="31" t="e">
        <f>ET24*#REF!</f>
        <v>#REF!</v>
      </c>
      <c r="EV24" s="32" t="e">
        <f>ET24*#REF!</f>
        <v>#REF!</v>
      </c>
      <c r="EX24" s="33"/>
      <c r="EY24" s="34"/>
      <c r="EZ24" s="35"/>
      <c r="FA24" s="36"/>
      <c r="FB24" s="37"/>
      <c r="FC24" s="30">
        <f t="shared" si="6"/>
        <v>0</v>
      </c>
      <c r="FD24" s="31" t="e">
        <f>FC24*#REF!</f>
        <v>#REF!</v>
      </c>
      <c r="FE24" s="32" t="e">
        <f>FC24*#REF!</f>
        <v>#REF!</v>
      </c>
      <c r="FG24" s="33"/>
      <c r="FH24" s="34"/>
      <c r="FI24" s="35"/>
      <c r="FJ24" s="36"/>
      <c r="FK24" s="37"/>
      <c r="FL24" s="30">
        <f t="shared" si="7"/>
        <v>0</v>
      </c>
      <c r="FM24" s="31" t="e">
        <f>FL24*#REF!</f>
        <v>#REF!</v>
      </c>
      <c r="FN24" s="32" t="e">
        <f>FL24*#REF!</f>
        <v>#REF!</v>
      </c>
      <c r="FP24" s="33"/>
      <c r="FQ24" s="34"/>
      <c r="FR24" s="35"/>
      <c r="FS24" s="36"/>
      <c r="FT24" s="37"/>
      <c r="FU24" s="30">
        <f t="shared" si="8"/>
        <v>0</v>
      </c>
      <c r="FV24" s="31" t="e">
        <f>FU24*#REF!</f>
        <v>#REF!</v>
      </c>
      <c r="FW24" s="32" t="e">
        <f>FU24*#REF!</f>
        <v>#REF!</v>
      </c>
      <c r="FY24" s="33"/>
      <c r="FZ24" s="34"/>
      <c r="GA24" s="35"/>
      <c r="GB24" s="36"/>
      <c r="GC24" s="37"/>
      <c r="GD24" s="30">
        <f t="shared" si="9"/>
        <v>0</v>
      </c>
      <c r="GE24" s="31" t="e">
        <f>GD24*#REF!</f>
        <v>#REF!</v>
      </c>
      <c r="GF24" s="32" t="e">
        <f>GD24*#REF!</f>
        <v>#REF!</v>
      </c>
      <c r="GH24" s="33"/>
      <c r="GI24" s="34"/>
      <c r="GJ24" s="35"/>
      <c r="GK24" s="36"/>
      <c r="GL24" s="37"/>
      <c r="GM24" s="30">
        <f t="shared" si="10"/>
        <v>0</v>
      </c>
      <c r="GN24" s="31" t="e">
        <f>GM24*#REF!</f>
        <v>#REF!</v>
      </c>
      <c r="GO24" s="32" t="e">
        <f>GM24*#REF!</f>
        <v>#REF!</v>
      </c>
      <c r="GQ24" s="38">
        <f>_xlfn.MAXIFS(I24:GO24,$I$5:$GO$5,"Staff #")</f>
        <v>0</v>
      </c>
      <c r="GR24" s="39">
        <v>0</v>
      </c>
    </row>
    <row r="25" spans="2:200" ht="15" x14ac:dyDescent="0.25">
      <c r="B25" s="22" t="s">
        <v>51</v>
      </c>
      <c r="C25" s="23" t="s">
        <v>52</v>
      </c>
      <c r="D25" s="24" t="str">
        <f>IF(C25="","",_xlfn.XLOOKUP(C25,'[3]Control Sheet'!$L$5:$L$104,'[3]Control Sheet'!$M$5:$M$104,"",0))</f>
        <v>Rides Operator</v>
      </c>
      <c r="E25" s="24" t="str">
        <f>IF(B25="","",_xlfn.XLOOKUP(B25,'[3]Control Sheet'!$D$5:$D$64,'[3]Control Sheet'!$F$5:$F$64,"",0))</f>
        <v>Rides</v>
      </c>
      <c r="F25" s="24" t="str">
        <f>IF(B25="","",_xlfn.XLOOKUP(B25,'[3]Control Sheet'!$D$5:$D$64,'[3]Control Sheet'!$E$5:$E$64,"",0))</f>
        <v>C1300-O</v>
      </c>
      <c r="I25" s="25">
        <v>0.38541666666666669</v>
      </c>
      <c r="J25" s="26">
        <v>0.69791666666666663</v>
      </c>
      <c r="K25" s="27">
        <v>45</v>
      </c>
      <c r="L25" s="28">
        <v>1</v>
      </c>
      <c r="M25" s="29">
        <v>1</v>
      </c>
      <c r="P25" s="25">
        <v>0.38541666666666669</v>
      </c>
      <c r="Q25" s="26">
        <v>0.73958333333333337</v>
      </c>
      <c r="R25" s="27">
        <v>45</v>
      </c>
      <c r="S25" s="28">
        <v>1</v>
      </c>
      <c r="T25" s="42">
        <v>1</v>
      </c>
      <c r="V25" s="25">
        <v>0.38541666666666669</v>
      </c>
      <c r="W25" s="26">
        <v>0.73958333333333337</v>
      </c>
      <c r="X25" s="27">
        <v>45</v>
      </c>
      <c r="Y25" s="28">
        <v>1</v>
      </c>
      <c r="Z25" s="42">
        <v>1</v>
      </c>
      <c r="AB25" s="25">
        <v>0.38541666666666669</v>
      </c>
      <c r="AC25" s="26">
        <v>0.73958333333333337</v>
      </c>
      <c r="AD25" s="27">
        <v>45</v>
      </c>
      <c r="AE25" s="28">
        <v>1</v>
      </c>
      <c r="AF25" s="42">
        <v>1</v>
      </c>
      <c r="AH25" s="25">
        <v>0.38541666666666669</v>
      </c>
      <c r="AI25" s="26">
        <v>0.73958333333333337</v>
      </c>
      <c r="AJ25" s="27">
        <v>45</v>
      </c>
      <c r="AK25" s="28">
        <v>1</v>
      </c>
      <c r="AL25" s="42">
        <v>1</v>
      </c>
      <c r="AN25" s="25">
        <v>0.38541666666666669</v>
      </c>
      <c r="AO25" s="26">
        <v>0.78125</v>
      </c>
      <c r="AP25" s="27">
        <v>45</v>
      </c>
      <c r="AQ25" s="28">
        <v>1</v>
      </c>
      <c r="AR25" s="42">
        <v>1</v>
      </c>
      <c r="AT25" s="25">
        <v>0.38541666666666669</v>
      </c>
      <c r="AU25" s="26">
        <v>0.73958333333333337</v>
      </c>
      <c r="AV25" s="27">
        <v>45</v>
      </c>
      <c r="AW25" s="28">
        <v>1</v>
      </c>
      <c r="AX25" s="42">
        <v>1</v>
      </c>
      <c r="AZ25" s="25">
        <v>0.38541666666666669</v>
      </c>
      <c r="BA25" s="26">
        <v>0.78125</v>
      </c>
      <c r="BB25" s="27">
        <v>45</v>
      </c>
      <c r="BC25" s="28">
        <v>1</v>
      </c>
      <c r="BD25" s="42">
        <v>1</v>
      </c>
      <c r="BF25" s="25">
        <v>0.38541666666666669</v>
      </c>
      <c r="BG25" s="26">
        <v>0.82291666666666663</v>
      </c>
      <c r="BH25" s="27">
        <v>75</v>
      </c>
      <c r="BI25" s="28">
        <v>1</v>
      </c>
      <c r="BJ25" s="42">
        <v>1</v>
      </c>
      <c r="BL25" s="25"/>
      <c r="BM25" s="26"/>
      <c r="BN25" s="27"/>
      <c r="BO25" s="28"/>
      <c r="BP25" s="29"/>
      <c r="BR25" s="25"/>
      <c r="BS25" s="26"/>
      <c r="BT25" s="27"/>
      <c r="BU25" s="28"/>
      <c r="BV25" s="29"/>
      <c r="BX25" s="25"/>
      <c r="BY25" s="26"/>
      <c r="BZ25" s="27"/>
      <c r="CA25" s="28"/>
      <c r="CB25" s="29"/>
      <c r="CD25" s="25"/>
      <c r="CE25" s="26"/>
      <c r="CF25" s="27"/>
      <c r="CG25" s="28"/>
      <c r="CH25" s="29"/>
      <c r="CJ25" s="25"/>
      <c r="CK25" s="26"/>
      <c r="CL25" s="27"/>
      <c r="CM25" s="28"/>
      <c r="CN25" s="29"/>
      <c r="CP25" s="33"/>
      <c r="CQ25" s="34"/>
      <c r="CR25" s="35"/>
      <c r="CS25" s="36"/>
      <c r="CT25" s="37"/>
      <c r="CV25" s="33"/>
      <c r="CW25" s="34"/>
      <c r="CX25" s="35"/>
      <c r="CY25" s="36"/>
      <c r="CZ25" s="37"/>
      <c r="DA25" s="30">
        <f t="shared" si="0"/>
        <v>0</v>
      </c>
      <c r="DB25" s="31" t="e">
        <f>DA25*#REF!</f>
        <v>#REF!</v>
      </c>
      <c r="DC25" s="32" t="e">
        <f>DA25*#REF!</f>
        <v>#REF!</v>
      </c>
      <c r="DE25" s="33"/>
      <c r="DF25" s="34"/>
      <c r="DG25" s="35"/>
      <c r="DH25" s="36"/>
      <c r="DI25" s="37"/>
      <c r="DJ25" s="30">
        <f t="shared" si="1"/>
        <v>0</v>
      </c>
      <c r="DK25" s="31" t="e">
        <f>DJ25*#REF!</f>
        <v>#REF!</v>
      </c>
      <c r="DL25" s="32" t="e">
        <f>DJ25*#REF!</f>
        <v>#REF!</v>
      </c>
      <c r="DN25" s="33"/>
      <c r="DO25" s="34"/>
      <c r="DP25" s="35"/>
      <c r="DQ25" s="36"/>
      <c r="DR25" s="37"/>
      <c r="DS25" s="30">
        <f t="shared" si="2"/>
        <v>0</v>
      </c>
      <c r="DT25" s="31" t="e">
        <f>DS25*#REF!</f>
        <v>#REF!</v>
      </c>
      <c r="DU25" s="32" t="e">
        <f>DS25*#REF!</f>
        <v>#REF!</v>
      </c>
      <c r="DW25" s="33"/>
      <c r="DX25" s="34"/>
      <c r="DY25" s="35"/>
      <c r="DZ25" s="36"/>
      <c r="EA25" s="37"/>
      <c r="EB25" s="30">
        <f t="shared" si="3"/>
        <v>0</v>
      </c>
      <c r="EC25" s="31" t="e">
        <f>EB25*#REF!</f>
        <v>#REF!</v>
      </c>
      <c r="ED25" s="32" t="e">
        <f>EB25*#REF!</f>
        <v>#REF!</v>
      </c>
      <c r="EF25" s="33"/>
      <c r="EG25" s="34"/>
      <c r="EH25" s="35"/>
      <c r="EI25" s="36"/>
      <c r="EJ25" s="37"/>
      <c r="EK25" s="30">
        <f t="shared" si="4"/>
        <v>0</v>
      </c>
      <c r="EL25" s="31" t="e">
        <f>EK25*#REF!</f>
        <v>#REF!</v>
      </c>
      <c r="EM25" s="32" t="e">
        <f>EK25*#REF!</f>
        <v>#REF!</v>
      </c>
      <c r="EO25" s="33"/>
      <c r="EP25" s="34"/>
      <c r="EQ25" s="35"/>
      <c r="ER25" s="36"/>
      <c r="ES25" s="37"/>
      <c r="ET25" s="30">
        <f t="shared" si="5"/>
        <v>0</v>
      </c>
      <c r="EU25" s="31" t="e">
        <f>ET25*#REF!</f>
        <v>#REF!</v>
      </c>
      <c r="EV25" s="32" t="e">
        <f>ET25*#REF!</f>
        <v>#REF!</v>
      </c>
      <c r="EX25" s="33"/>
      <c r="EY25" s="34"/>
      <c r="EZ25" s="35"/>
      <c r="FA25" s="36"/>
      <c r="FB25" s="37"/>
      <c r="FC25" s="30">
        <f t="shared" si="6"/>
        <v>0</v>
      </c>
      <c r="FD25" s="31" t="e">
        <f>FC25*#REF!</f>
        <v>#REF!</v>
      </c>
      <c r="FE25" s="32" t="e">
        <f>FC25*#REF!</f>
        <v>#REF!</v>
      </c>
      <c r="FG25" s="33"/>
      <c r="FH25" s="34"/>
      <c r="FI25" s="35"/>
      <c r="FJ25" s="36"/>
      <c r="FK25" s="37"/>
      <c r="FL25" s="30">
        <f t="shared" si="7"/>
        <v>0</v>
      </c>
      <c r="FM25" s="31" t="e">
        <f>FL25*#REF!</f>
        <v>#REF!</v>
      </c>
      <c r="FN25" s="32" t="e">
        <f>FL25*#REF!</f>
        <v>#REF!</v>
      </c>
      <c r="FP25" s="33"/>
      <c r="FQ25" s="34"/>
      <c r="FR25" s="35"/>
      <c r="FS25" s="36"/>
      <c r="FT25" s="37"/>
      <c r="FU25" s="30">
        <f t="shared" si="8"/>
        <v>0</v>
      </c>
      <c r="FV25" s="31" t="e">
        <f>FU25*#REF!</f>
        <v>#REF!</v>
      </c>
      <c r="FW25" s="32" t="e">
        <f>FU25*#REF!</f>
        <v>#REF!</v>
      </c>
      <c r="FY25" s="33"/>
      <c r="FZ25" s="34"/>
      <c r="GA25" s="35"/>
      <c r="GB25" s="36"/>
      <c r="GC25" s="37"/>
      <c r="GD25" s="30">
        <f t="shared" si="9"/>
        <v>0</v>
      </c>
      <c r="GE25" s="31" t="e">
        <f>GD25*#REF!</f>
        <v>#REF!</v>
      </c>
      <c r="GF25" s="32" t="e">
        <f>GD25*#REF!</f>
        <v>#REF!</v>
      </c>
      <c r="GH25" s="33"/>
      <c r="GI25" s="34"/>
      <c r="GJ25" s="35"/>
      <c r="GK25" s="36"/>
      <c r="GL25" s="37"/>
      <c r="GM25" s="30">
        <f t="shared" si="10"/>
        <v>0</v>
      </c>
      <c r="GN25" s="31" t="e">
        <f>GM25*#REF!</f>
        <v>#REF!</v>
      </c>
      <c r="GO25" s="32" t="e">
        <f>GM25*#REF!</f>
        <v>#REF!</v>
      </c>
      <c r="GQ25" s="38">
        <f>_xlfn.MAXIFS(I25:GO25,$I$5:$GO$5,"Staff #")</f>
        <v>1</v>
      </c>
      <c r="GR25" s="39">
        <v>1</v>
      </c>
    </row>
    <row r="26" spans="2:200" ht="15" x14ac:dyDescent="0.25">
      <c r="B26" s="22" t="s">
        <v>51</v>
      </c>
      <c r="C26" s="23" t="s">
        <v>53</v>
      </c>
      <c r="D26" s="24" t="str">
        <f>IF(C26="","",_xlfn.XLOOKUP(C26,'[3]Control Sheet'!$L$5:$L$104,'[3]Control Sheet'!$M$5:$M$104,"",0))</f>
        <v>Rides Attendant</v>
      </c>
      <c r="E26" s="24" t="str">
        <f>IF(B26="","",_xlfn.XLOOKUP(B26,'[3]Control Sheet'!$D$5:$D$64,'[3]Control Sheet'!$F$5:$F$64,"",0))</f>
        <v>Rides</v>
      </c>
      <c r="F26" s="24" t="str">
        <f>IF(B26="","",_xlfn.XLOOKUP(B26,'[3]Control Sheet'!$D$5:$D$64,'[3]Control Sheet'!$E$5:$E$64,"",0))</f>
        <v>C1300-O</v>
      </c>
      <c r="I26" s="25">
        <v>0.38541666666666669</v>
      </c>
      <c r="J26" s="26">
        <v>0.69791666666666663</v>
      </c>
      <c r="K26" s="27">
        <v>45</v>
      </c>
      <c r="L26" s="28">
        <v>3</v>
      </c>
      <c r="M26" s="29">
        <v>1</v>
      </c>
      <c r="P26" s="25">
        <v>0.38541666666666669</v>
      </c>
      <c r="Q26" s="26">
        <v>0.73958333333333337</v>
      </c>
      <c r="R26" s="27">
        <v>45</v>
      </c>
      <c r="S26" s="28">
        <v>3</v>
      </c>
      <c r="T26" s="42">
        <v>1</v>
      </c>
      <c r="V26" s="25">
        <v>0.38541666666666669</v>
      </c>
      <c r="W26" s="26">
        <v>0.73958333333333337</v>
      </c>
      <c r="X26" s="27">
        <v>45</v>
      </c>
      <c r="Y26" s="28">
        <v>3</v>
      </c>
      <c r="Z26" s="42">
        <v>1</v>
      </c>
      <c r="AB26" s="25">
        <v>0.38541666666666669</v>
      </c>
      <c r="AC26" s="26">
        <v>0.73958333333333337</v>
      </c>
      <c r="AD26" s="27">
        <v>45</v>
      </c>
      <c r="AE26" s="28">
        <v>3</v>
      </c>
      <c r="AF26" s="42">
        <v>1</v>
      </c>
      <c r="AH26" s="25">
        <v>0.38541666666666669</v>
      </c>
      <c r="AI26" s="26">
        <v>0.73958333333333337</v>
      </c>
      <c r="AJ26" s="27">
        <v>45</v>
      </c>
      <c r="AK26" s="28">
        <v>3</v>
      </c>
      <c r="AL26" s="42">
        <v>1</v>
      </c>
      <c r="AN26" s="25">
        <v>0.38541666666666669</v>
      </c>
      <c r="AO26" s="26">
        <v>0.78125</v>
      </c>
      <c r="AP26" s="27">
        <v>45</v>
      </c>
      <c r="AQ26" s="28">
        <v>3</v>
      </c>
      <c r="AR26" s="42">
        <v>1</v>
      </c>
      <c r="AT26" s="25">
        <v>0.38541666666666669</v>
      </c>
      <c r="AU26" s="26">
        <v>0.73958333333333337</v>
      </c>
      <c r="AV26" s="27">
        <v>45</v>
      </c>
      <c r="AW26" s="28">
        <v>3</v>
      </c>
      <c r="AX26" s="42">
        <v>1</v>
      </c>
      <c r="AZ26" s="25">
        <v>0.38541666666666669</v>
      </c>
      <c r="BA26" s="26">
        <v>0.78125</v>
      </c>
      <c r="BB26" s="27">
        <v>45</v>
      </c>
      <c r="BC26" s="28">
        <v>3</v>
      </c>
      <c r="BD26" s="42">
        <v>1</v>
      </c>
      <c r="BF26" s="25">
        <v>0.38541666666666669</v>
      </c>
      <c r="BG26" s="26">
        <v>0.82291666666666663</v>
      </c>
      <c r="BH26" s="27">
        <v>75</v>
      </c>
      <c r="BI26" s="28">
        <v>3</v>
      </c>
      <c r="BJ26" s="42">
        <v>1</v>
      </c>
      <c r="BL26" s="25"/>
      <c r="BM26" s="26"/>
      <c r="BN26" s="27"/>
      <c r="BO26" s="28"/>
      <c r="BP26" s="29"/>
      <c r="BR26" s="25"/>
      <c r="BS26" s="26"/>
      <c r="BT26" s="27"/>
      <c r="BU26" s="28"/>
      <c r="BV26" s="29"/>
      <c r="BX26" s="25"/>
      <c r="BY26" s="26"/>
      <c r="BZ26" s="27"/>
      <c r="CA26" s="28"/>
      <c r="CB26" s="29"/>
      <c r="CD26" s="25"/>
      <c r="CE26" s="26"/>
      <c r="CF26" s="27"/>
      <c r="CG26" s="28"/>
      <c r="CH26" s="29"/>
      <c r="CJ26" s="25"/>
      <c r="CK26" s="26"/>
      <c r="CL26" s="27"/>
      <c r="CM26" s="28"/>
      <c r="CN26" s="29"/>
      <c r="CP26" s="33"/>
      <c r="CQ26" s="34"/>
      <c r="CR26" s="35"/>
      <c r="CS26" s="36"/>
      <c r="CT26" s="37"/>
      <c r="CV26" s="33"/>
      <c r="CW26" s="34"/>
      <c r="CX26" s="35"/>
      <c r="CY26" s="36"/>
      <c r="CZ26" s="37"/>
      <c r="DA26" s="30">
        <f t="shared" si="0"/>
        <v>0</v>
      </c>
      <c r="DB26" s="31" t="e">
        <f>DA26*#REF!</f>
        <v>#REF!</v>
      </c>
      <c r="DC26" s="32" t="e">
        <f>DA26*#REF!</f>
        <v>#REF!</v>
      </c>
      <c r="DE26" s="33"/>
      <c r="DF26" s="34"/>
      <c r="DG26" s="35"/>
      <c r="DH26" s="36"/>
      <c r="DI26" s="37"/>
      <c r="DJ26" s="30">
        <f t="shared" si="1"/>
        <v>0</v>
      </c>
      <c r="DK26" s="31" t="e">
        <f>DJ26*#REF!</f>
        <v>#REF!</v>
      </c>
      <c r="DL26" s="32" t="e">
        <f>DJ26*#REF!</f>
        <v>#REF!</v>
      </c>
      <c r="DN26" s="33"/>
      <c r="DO26" s="34"/>
      <c r="DP26" s="35"/>
      <c r="DQ26" s="36"/>
      <c r="DR26" s="37"/>
      <c r="DS26" s="30">
        <f t="shared" si="2"/>
        <v>0</v>
      </c>
      <c r="DT26" s="31" t="e">
        <f>DS26*#REF!</f>
        <v>#REF!</v>
      </c>
      <c r="DU26" s="32" t="e">
        <f>DS26*#REF!</f>
        <v>#REF!</v>
      </c>
      <c r="DW26" s="33"/>
      <c r="DX26" s="34"/>
      <c r="DY26" s="35"/>
      <c r="DZ26" s="36"/>
      <c r="EA26" s="37"/>
      <c r="EB26" s="30">
        <f t="shared" si="3"/>
        <v>0</v>
      </c>
      <c r="EC26" s="31" t="e">
        <f>EB26*#REF!</f>
        <v>#REF!</v>
      </c>
      <c r="ED26" s="32" t="e">
        <f>EB26*#REF!</f>
        <v>#REF!</v>
      </c>
      <c r="EF26" s="33"/>
      <c r="EG26" s="34"/>
      <c r="EH26" s="35"/>
      <c r="EI26" s="36"/>
      <c r="EJ26" s="37"/>
      <c r="EK26" s="30">
        <f t="shared" si="4"/>
        <v>0</v>
      </c>
      <c r="EL26" s="31" t="e">
        <f>EK26*#REF!</f>
        <v>#REF!</v>
      </c>
      <c r="EM26" s="32" t="e">
        <f>EK26*#REF!</f>
        <v>#REF!</v>
      </c>
      <c r="EO26" s="33"/>
      <c r="EP26" s="34"/>
      <c r="EQ26" s="35"/>
      <c r="ER26" s="36"/>
      <c r="ES26" s="37"/>
      <c r="ET26" s="30">
        <f t="shared" si="5"/>
        <v>0</v>
      </c>
      <c r="EU26" s="31" t="e">
        <f>ET26*#REF!</f>
        <v>#REF!</v>
      </c>
      <c r="EV26" s="32" t="e">
        <f>ET26*#REF!</f>
        <v>#REF!</v>
      </c>
      <c r="EX26" s="33"/>
      <c r="EY26" s="34"/>
      <c r="EZ26" s="35"/>
      <c r="FA26" s="36"/>
      <c r="FB26" s="37"/>
      <c r="FC26" s="30">
        <f t="shared" si="6"/>
        <v>0</v>
      </c>
      <c r="FD26" s="31" t="e">
        <f>FC26*#REF!</f>
        <v>#REF!</v>
      </c>
      <c r="FE26" s="32" t="e">
        <f>FC26*#REF!</f>
        <v>#REF!</v>
      </c>
      <c r="FG26" s="33"/>
      <c r="FH26" s="34"/>
      <c r="FI26" s="35"/>
      <c r="FJ26" s="36"/>
      <c r="FK26" s="37"/>
      <c r="FL26" s="30">
        <f t="shared" si="7"/>
        <v>0</v>
      </c>
      <c r="FM26" s="31" t="e">
        <f>FL26*#REF!</f>
        <v>#REF!</v>
      </c>
      <c r="FN26" s="32" t="e">
        <f>FL26*#REF!</f>
        <v>#REF!</v>
      </c>
      <c r="FP26" s="33"/>
      <c r="FQ26" s="34"/>
      <c r="FR26" s="35"/>
      <c r="FS26" s="36"/>
      <c r="FT26" s="37"/>
      <c r="FU26" s="30">
        <f t="shared" si="8"/>
        <v>0</v>
      </c>
      <c r="FV26" s="31" t="e">
        <f>FU26*#REF!</f>
        <v>#REF!</v>
      </c>
      <c r="FW26" s="32" t="e">
        <f>FU26*#REF!</f>
        <v>#REF!</v>
      </c>
      <c r="FY26" s="33"/>
      <c r="FZ26" s="34"/>
      <c r="GA26" s="35"/>
      <c r="GB26" s="36"/>
      <c r="GC26" s="37"/>
      <c r="GD26" s="30">
        <f t="shared" si="9"/>
        <v>0</v>
      </c>
      <c r="GE26" s="31" t="e">
        <f>GD26*#REF!</f>
        <v>#REF!</v>
      </c>
      <c r="GF26" s="32" t="e">
        <f>GD26*#REF!</f>
        <v>#REF!</v>
      </c>
      <c r="GH26" s="33"/>
      <c r="GI26" s="34"/>
      <c r="GJ26" s="35"/>
      <c r="GK26" s="36"/>
      <c r="GL26" s="37"/>
      <c r="GM26" s="30">
        <f t="shared" si="10"/>
        <v>0</v>
      </c>
      <c r="GN26" s="31" t="e">
        <f>GM26*#REF!</f>
        <v>#REF!</v>
      </c>
      <c r="GO26" s="32" t="e">
        <f>GM26*#REF!</f>
        <v>#REF!</v>
      </c>
      <c r="GQ26" s="38">
        <f>_xlfn.MAXIFS(I26:GO26,$I$5:$GO$5,"Staff #")</f>
        <v>3</v>
      </c>
      <c r="GR26" s="39">
        <v>3</v>
      </c>
    </row>
    <row r="27" spans="2:200" ht="15" x14ac:dyDescent="0.25">
      <c r="B27" s="22"/>
      <c r="C27" s="23"/>
      <c r="D27" s="24" t="str">
        <f>IF(C27="","",_xlfn.XLOOKUP(C27,'[3]Control Sheet'!$L$5:$L$104,'[3]Control Sheet'!$M$5:$M$104,"",0))</f>
        <v/>
      </c>
      <c r="E27" s="24" t="str">
        <f>IF(B27="","",_xlfn.XLOOKUP(B27,'[3]Control Sheet'!$D$5:$D$64,'[3]Control Sheet'!$F$5:$F$64,"",0))</f>
        <v/>
      </c>
      <c r="F27" s="24" t="str">
        <f>IF(B27="","",_xlfn.XLOOKUP(B27,'[3]Control Sheet'!$D$5:$D$64,'[3]Control Sheet'!$E$5:$E$64,"",0))</f>
        <v/>
      </c>
      <c r="I27" s="33"/>
      <c r="J27" s="34"/>
      <c r="K27" s="35"/>
      <c r="L27" s="36"/>
      <c r="M27" s="37"/>
      <c r="P27" s="33"/>
      <c r="Q27" s="34"/>
      <c r="R27" s="35"/>
      <c r="S27" s="36"/>
      <c r="T27" s="37"/>
      <c r="V27" s="33"/>
      <c r="W27" s="34"/>
      <c r="X27" s="35"/>
      <c r="Y27" s="36"/>
      <c r="Z27" s="37"/>
      <c r="AB27" s="33"/>
      <c r="AC27" s="34"/>
      <c r="AD27" s="35"/>
      <c r="AE27" s="36"/>
      <c r="AF27" s="37"/>
      <c r="AH27" s="33"/>
      <c r="AI27" s="34"/>
      <c r="AJ27" s="35"/>
      <c r="AK27" s="36"/>
      <c r="AL27" s="37"/>
      <c r="AN27" s="33"/>
      <c r="AO27" s="34"/>
      <c r="AP27" s="35"/>
      <c r="AQ27" s="36"/>
      <c r="AR27" s="37"/>
      <c r="AT27" s="33"/>
      <c r="AU27" s="34"/>
      <c r="AV27" s="35"/>
      <c r="AW27" s="36"/>
      <c r="AX27" s="37"/>
      <c r="AZ27" s="33"/>
      <c r="BA27" s="34"/>
      <c r="BB27" s="35"/>
      <c r="BC27" s="36"/>
      <c r="BD27" s="37"/>
      <c r="BF27" s="33"/>
      <c r="BG27" s="34"/>
      <c r="BH27" s="35"/>
      <c r="BI27" s="36"/>
      <c r="BJ27" s="37"/>
      <c r="BL27" s="33"/>
      <c r="BM27" s="34"/>
      <c r="BN27" s="35"/>
      <c r="BO27" s="36"/>
      <c r="BP27" s="37"/>
      <c r="BR27" s="33"/>
      <c r="BS27" s="34"/>
      <c r="BT27" s="35"/>
      <c r="BU27" s="36"/>
      <c r="BV27" s="37"/>
      <c r="BX27" s="33"/>
      <c r="BY27" s="34"/>
      <c r="BZ27" s="35"/>
      <c r="CA27" s="36"/>
      <c r="CB27" s="37"/>
      <c r="CD27" s="33"/>
      <c r="CE27" s="34"/>
      <c r="CF27" s="35"/>
      <c r="CG27" s="36"/>
      <c r="CH27" s="37"/>
      <c r="CJ27" s="33"/>
      <c r="CK27" s="34"/>
      <c r="CL27" s="35"/>
      <c r="CM27" s="36"/>
      <c r="CN27" s="37"/>
      <c r="CP27" s="33"/>
      <c r="CQ27" s="34"/>
      <c r="CR27" s="35"/>
      <c r="CS27" s="36"/>
      <c r="CT27" s="37"/>
      <c r="CV27" s="33"/>
      <c r="CW27" s="34"/>
      <c r="CX27" s="35"/>
      <c r="CY27" s="36"/>
      <c r="CZ27" s="37"/>
      <c r="DA27" s="30">
        <f t="shared" si="0"/>
        <v>0</v>
      </c>
      <c r="DB27" s="31" t="e">
        <f>DA27*#REF!</f>
        <v>#REF!</v>
      </c>
      <c r="DC27" s="32" t="e">
        <f>DA27*#REF!</f>
        <v>#REF!</v>
      </c>
      <c r="DE27" s="33"/>
      <c r="DF27" s="34"/>
      <c r="DG27" s="35"/>
      <c r="DH27" s="36"/>
      <c r="DI27" s="37"/>
      <c r="DJ27" s="30">
        <f t="shared" si="1"/>
        <v>0</v>
      </c>
      <c r="DK27" s="31" t="e">
        <f>DJ27*#REF!</f>
        <v>#REF!</v>
      </c>
      <c r="DL27" s="32" t="e">
        <f>DJ27*#REF!</f>
        <v>#REF!</v>
      </c>
      <c r="DN27" s="33"/>
      <c r="DO27" s="34"/>
      <c r="DP27" s="35"/>
      <c r="DQ27" s="36"/>
      <c r="DR27" s="37"/>
      <c r="DS27" s="30">
        <f t="shared" si="2"/>
        <v>0</v>
      </c>
      <c r="DT27" s="31" t="e">
        <f>DS27*#REF!</f>
        <v>#REF!</v>
      </c>
      <c r="DU27" s="32" t="e">
        <f>DS27*#REF!</f>
        <v>#REF!</v>
      </c>
      <c r="DW27" s="33"/>
      <c r="DX27" s="34"/>
      <c r="DY27" s="35"/>
      <c r="DZ27" s="36"/>
      <c r="EA27" s="37"/>
      <c r="EB27" s="30">
        <f t="shared" si="3"/>
        <v>0</v>
      </c>
      <c r="EC27" s="31" t="e">
        <f>EB27*#REF!</f>
        <v>#REF!</v>
      </c>
      <c r="ED27" s="32" t="e">
        <f>EB27*#REF!</f>
        <v>#REF!</v>
      </c>
      <c r="EF27" s="33"/>
      <c r="EG27" s="34"/>
      <c r="EH27" s="35"/>
      <c r="EI27" s="36"/>
      <c r="EJ27" s="37"/>
      <c r="EK27" s="30">
        <f t="shared" si="4"/>
        <v>0</v>
      </c>
      <c r="EL27" s="31" t="e">
        <f>EK27*#REF!</f>
        <v>#REF!</v>
      </c>
      <c r="EM27" s="32" t="e">
        <f>EK27*#REF!</f>
        <v>#REF!</v>
      </c>
      <c r="EO27" s="33"/>
      <c r="EP27" s="34"/>
      <c r="EQ27" s="35"/>
      <c r="ER27" s="36"/>
      <c r="ES27" s="37"/>
      <c r="ET27" s="30">
        <f t="shared" si="5"/>
        <v>0</v>
      </c>
      <c r="EU27" s="31" t="e">
        <f>ET27*#REF!</f>
        <v>#REF!</v>
      </c>
      <c r="EV27" s="32" t="e">
        <f>ET27*#REF!</f>
        <v>#REF!</v>
      </c>
      <c r="EX27" s="33"/>
      <c r="EY27" s="34"/>
      <c r="EZ27" s="35"/>
      <c r="FA27" s="36"/>
      <c r="FB27" s="37"/>
      <c r="FC27" s="30">
        <f t="shared" si="6"/>
        <v>0</v>
      </c>
      <c r="FD27" s="31" t="e">
        <f>FC27*#REF!</f>
        <v>#REF!</v>
      </c>
      <c r="FE27" s="32" t="e">
        <f>FC27*#REF!</f>
        <v>#REF!</v>
      </c>
      <c r="FG27" s="33"/>
      <c r="FH27" s="34"/>
      <c r="FI27" s="35"/>
      <c r="FJ27" s="36"/>
      <c r="FK27" s="37"/>
      <c r="FL27" s="30">
        <f t="shared" si="7"/>
        <v>0</v>
      </c>
      <c r="FM27" s="31" t="e">
        <f>FL27*#REF!</f>
        <v>#REF!</v>
      </c>
      <c r="FN27" s="32" t="e">
        <f>FL27*#REF!</f>
        <v>#REF!</v>
      </c>
      <c r="FP27" s="33"/>
      <c r="FQ27" s="34"/>
      <c r="FR27" s="35"/>
      <c r="FS27" s="36"/>
      <c r="FT27" s="37"/>
      <c r="FU27" s="30">
        <f t="shared" si="8"/>
        <v>0</v>
      </c>
      <c r="FV27" s="31" t="e">
        <f>FU27*#REF!</f>
        <v>#REF!</v>
      </c>
      <c r="FW27" s="32" t="e">
        <f>FU27*#REF!</f>
        <v>#REF!</v>
      </c>
      <c r="FY27" s="33"/>
      <c r="FZ27" s="34"/>
      <c r="GA27" s="35"/>
      <c r="GB27" s="36"/>
      <c r="GC27" s="37"/>
      <c r="GD27" s="30">
        <f t="shared" si="9"/>
        <v>0</v>
      </c>
      <c r="GE27" s="31" t="e">
        <f>GD27*#REF!</f>
        <v>#REF!</v>
      </c>
      <c r="GF27" s="32" t="e">
        <f>GD27*#REF!</f>
        <v>#REF!</v>
      </c>
      <c r="GH27" s="33"/>
      <c r="GI27" s="34"/>
      <c r="GJ27" s="35"/>
      <c r="GK27" s="36"/>
      <c r="GL27" s="37"/>
      <c r="GM27" s="30">
        <f t="shared" si="10"/>
        <v>0</v>
      </c>
      <c r="GN27" s="31" t="e">
        <f>GM27*#REF!</f>
        <v>#REF!</v>
      </c>
      <c r="GO27" s="32" t="e">
        <f>GM27*#REF!</f>
        <v>#REF!</v>
      </c>
      <c r="GQ27" s="38">
        <f>_xlfn.MAXIFS(I27:GO27,$I$5:$GO$5,"Staff #")</f>
        <v>0</v>
      </c>
      <c r="GR27" s="39">
        <v>0</v>
      </c>
    </row>
    <row r="28" spans="2:200" ht="15" x14ac:dyDescent="0.25">
      <c r="B28" s="22" t="s">
        <v>54</v>
      </c>
      <c r="C28" s="23" t="s">
        <v>55</v>
      </c>
      <c r="D28" s="24" t="str">
        <f>IF(C28="","",_xlfn.XLOOKUP(C28,'[3]Control Sheet'!$L$5:$L$104,'[3]Control Sheet'!$M$5:$M$104,"",0))</f>
        <v>Rides Operator</v>
      </c>
      <c r="E28" s="24" t="str">
        <f>IF(B28="","",_xlfn.XLOOKUP(B28,'[3]Control Sheet'!$D$5:$D$64,'[3]Control Sheet'!$F$5:$F$64,"",0))</f>
        <v>Rides</v>
      </c>
      <c r="F28" s="24" t="str">
        <f>IF(B28="","",_xlfn.XLOOKUP(B28,'[3]Control Sheet'!$D$5:$D$64,'[3]Control Sheet'!$E$5:$E$64,"",0))</f>
        <v>C1300-O</v>
      </c>
      <c r="I28" s="25">
        <v>0.38541666666666669</v>
      </c>
      <c r="J28" s="26">
        <v>0.69791666666666663</v>
      </c>
      <c r="K28" s="27">
        <v>45</v>
      </c>
      <c r="L28" s="28">
        <v>1</v>
      </c>
      <c r="M28" s="29">
        <v>1</v>
      </c>
      <c r="P28" s="25">
        <v>0.38541666666666669</v>
      </c>
      <c r="Q28" s="26">
        <v>0.73958333333333337</v>
      </c>
      <c r="R28" s="27">
        <v>45</v>
      </c>
      <c r="S28" s="28">
        <v>1</v>
      </c>
      <c r="T28" s="29">
        <v>1</v>
      </c>
      <c r="V28" s="25">
        <v>0.38541666666666669</v>
      </c>
      <c r="W28" s="26">
        <v>0.73958333333333337</v>
      </c>
      <c r="X28" s="27">
        <v>45</v>
      </c>
      <c r="Y28" s="28">
        <v>1</v>
      </c>
      <c r="Z28" s="29">
        <v>1</v>
      </c>
      <c r="AB28" s="25">
        <v>0.38541666666666669</v>
      </c>
      <c r="AC28" s="26">
        <v>0.71875</v>
      </c>
      <c r="AD28" s="27">
        <v>45</v>
      </c>
      <c r="AE28" s="28">
        <v>1</v>
      </c>
      <c r="AF28" s="29">
        <v>1</v>
      </c>
      <c r="AH28" s="25">
        <v>0.38541666666666669</v>
      </c>
      <c r="AI28" s="26">
        <v>0.73958333333333337</v>
      </c>
      <c r="AJ28" s="27">
        <v>45</v>
      </c>
      <c r="AK28" s="28">
        <v>1</v>
      </c>
      <c r="AL28" s="29">
        <v>1</v>
      </c>
      <c r="AN28" s="25">
        <v>0.38541666666666669</v>
      </c>
      <c r="AO28" s="26">
        <v>0.78125</v>
      </c>
      <c r="AP28" s="27">
        <v>45</v>
      </c>
      <c r="AQ28" s="28">
        <v>1</v>
      </c>
      <c r="AR28" s="29">
        <v>1</v>
      </c>
      <c r="AT28" s="25">
        <v>0.38541666666666669</v>
      </c>
      <c r="AU28" s="26">
        <v>0.73958333333333337</v>
      </c>
      <c r="AV28" s="27">
        <v>45</v>
      </c>
      <c r="AW28" s="28">
        <v>1</v>
      </c>
      <c r="AX28" s="29">
        <v>1</v>
      </c>
      <c r="AZ28" s="25">
        <v>0.38541666666666669</v>
      </c>
      <c r="BA28" s="26">
        <v>0.78125</v>
      </c>
      <c r="BB28" s="27">
        <v>45</v>
      </c>
      <c r="BC28" s="28">
        <v>1</v>
      </c>
      <c r="BD28" s="29">
        <v>1</v>
      </c>
      <c r="BF28" s="25">
        <v>0.38541666666666669</v>
      </c>
      <c r="BG28" s="26">
        <v>0.82291666666666663</v>
      </c>
      <c r="BH28" s="27">
        <v>75</v>
      </c>
      <c r="BI28" s="28">
        <v>1</v>
      </c>
      <c r="BJ28" s="29">
        <v>1</v>
      </c>
      <c r="BL28" s="33"/>
      <c r="BM28" s="34"/>
      <c r="BN28" s="35"/>
      <c r="BO28" s="36"/>
      <c r="BP28" s="37"/>
      <c r="BR28" s="33"/>
      <c r="BS28" s="34"/>
      <c r="BT28" s="35"/>
      <c r="BU28" s="36"/>
      <c r="BV28" s="37"/>
      <c r="BX28" s="33"/>
      <c r="BY28" s="34"/>
      <c r="BZ28" s="35"/>
      <c r="CA28" s="36"/>
      <c r="CB28" s="37"/>
      <c r="CD28" s="33"/>
      <c r="CE28" s="34"/>
      <c r="CF28" s="35"/>
      <c r="CG28" s="36"/>
      <c r="CH28" s="37"/>
      <c r="CJ28" s="33"/>
      <c r="CK28" s="34"/>
      <c r="CL28" s="35"/>
      <c r="CM28" s="36"/>
      <c r="CN28" s="37"/>
      <c r="CP28" s="33"/>
      <c r="CQ28" s="34"/>
      <c r="CR28" s="35"/>
      <c r="CS28" s="36"/>
      <c r="CT28" s="37"/>
      <c r="CV28" s="33"/>
      <c r="CW28" s="34"/>
      <c r="CX28" s="35"/>
      <c r="CY28" s="36"/>
      <c r="CZ28" s="37"/>
      <c r="DA28" s="30">
        <f t="shared" si="0"/>
        <v>0</v>
      </c>
      <c r="DB28" s="31" t="e">
        <f>DA28*#REF!</f>
        <v>#REF!</v>
      </c>
      <c r="DC28" s="32" t="e">
        <f>DA28*#REF!</f>
        <v>#REF!</v>
      </c>
      <c r="DE28" s="33"/>
      <c r="DF28" s="34"/>
      <c r="DG28" s="35"/>
      <c r="DH28" s="36"/>
      <c r="DI28" s="37"/>
      <c r="DJ28" s="30">
        <f t="shared" si="1"/>
        <v>0</v>
      </c>
      <c r="DK28" s="31" t="e">
        <f>DJ28*#REF!</f>
        <v>#REF!</v>
      </c>
      <c r="DL28" s="32" t="e">
        <f>DJ28*#REF!</f>
        <v>#REF!</v>
      </c>
      <c r="DN28" s="33"/>
      <c r="DO28" s="34"/>
      <c r="DP28" s="35"/>
      <c r="DQ28" s="36"/>
      <c r="DR28" s="37"/>
      <c r="DS28" s="30">
        <f t="shared" si="2"/>
        <v>0</v>
      </c>
      <c r="DT28" s="31" t="e">
        <f>DS28*#REF!</f>
        <v>#REF!</v>
      </c>
      <c r="DU28" s="32" t="e">
        <f>DS28*#REF!</f>
        <v>#REF!</v>
      </c>
      <c r="DW28" s="33"/>
      <c r="DX28" s="34"/>
      <c r="DY28" s="35"/>
      <c r="DZ28" s="36"/>
      <c r="EA28" s="37"/>
      <c r="EB28" s="30">
        <f t="shared" si="3"/>
        <v>0</v>
      </c>
      <c r="EC28" s="31" t="e">
        <f>EB28*#REF!</f>
        <v>#REF!</v>
      </c>
      <c r="ED28" s="32" t="e">
        <f>EB28*#REF!</f>
        <v>#REF!</v>
      </c>
      <c r="EF28" s="33"/>
      <c r="EG28" s="34"/>
      <c r="EH28" s="35"/>
      <c r="EI28" s="36"/>
      <c r="EJ28" s="37"/>
      <c r="EK28" s="30">
        <f t="shared" si="4"/>
        <v>0</v>
      </c>
      <c r="EL28" s="31" t="e">
        <f>EK28*#REF!</f>
        <v>#REF!</v>
      </c>
      <c r="EM28" s="32" t="e">
        <f>EK28*#REF!</f>
        <v>#REF!</v>
      </c>
      <c r="EO28" s="33"/>
      <c r="EP28" s="34"/>
      <c r="EQ28" s="35"/>
      <c r="ER28" s="36"/>
      <c r="ES28" s="37"/>
      <c r="ET28" s="30">
        <f t="shared" si="5"/>
        <v>0</v>
      </c>
      <c r="EU28" s="31" t="e">
        <f>ET28*#REF!</f>
        <v>#REF!</v>
      </c>
      <c r="EV28" s="32" t="e">
        <f>ET28*#REF!</f>
        <v>#REF!</v>
      </c>
      <c r="EX28" s="33"/>
      <c r="EY28" s="34"/>
      <c r="EZ28" s="35"/>
      <c r="FA28" s="36"/>
      <c r="FB28" s="37"/>
      <c r="FC28" s="30">
        <f t="shared" si="6"/>
        <v>0</v>
      </c>
      <c r="FD28" s="31" t="e">
        <f>FC28*#REF!</f>
        <v>#REF!</v>
      </c>
      <c r="FE28" s="32" t="e">
        <f>FC28*#REF!</f>
        <v>#REF!</v>
      </c>
      <c r="FG28" s="33"/>
      <c r="FH28" s="34"/>
      <c r="FI28" s="35"/>
      <c r="FJ28" s="36"/>
      <c r="FK28" s="37"/>
      <c r="FL28" s="30">
        <f t="shared" si="7"/>
        <v>0</v>
      </c>
      <c r="FM28" s="31" t="e">
        <f>FL28*#REF!</f>
        <v>#REF!</v>
      </c>
      <c r="FN28" s="32" t="e">
        <f>FL28*#REF!</f>
        <v>#REF!</v>
      </c>
      <c r="FP28" s="33"/>
      <c r="FQ28" s="34"/>
      <c r="FR28" s="35"/>
      <c r="FS28" s="36"/>
      <c r="FT28" s="37"/>
      <c r="FU28" s="30">
        <f t="shared" si="8"/>
        <v>0</v>
      </c>
      <c r="FV28" s="31" t="e">
        <f>FU28*#REF!</f>
        <v>#REF!</v>
      </c>
      <c r="FW28" s="32" t="e">
        <f>FU28*#REF!</f>
        <v>#REF!</v>
      </c>
      <c r="FY28" s="33"/>
      <c r="FZ28" s="34"/>
      <c r="GA28" s="35"/>
      <c r="GB28" s="36"/>
      <c r="GC28" s="37"/>
      <c r="GD28" s="30">
        <f t="shared" si="9"/>
        <v>0</v>
      </c>
      <c r="GE28" s="31" t="e">
        <f>GD28*#REF!</f>
        <v>#REF!</v>
      </c>
      <c r="GF28" s="32" t="e">
        <f>GD28*#REF!</f>
        <v>#REF!</v>
      </c>
      <c r="GH28" s="33"/>
      <c r="GI28" s="34"/>
      <c r="GJ28" s="35"/>
      <c r="GK28" s="36"/>
      <c r="GL28" s="37"/>
      <c r="GM28" s="30">
        <f t="shared" si="10"/>
        <v>0</v>
      </c>
      <c r="GN28" s="31" t="e">
        <f>GM28*#REF!</f>
        <v>#REF!</v>
      </c>
      <c r="GO28" s="32" t="e">
        <f>GM28*#REF!</f>
        <v>#REF!</v>
      </c>
      <c r="GQ28" s="38">
        <f>_xlfn.MAXIFS(I28:GO28,$I$5:$GO$5,"Staff #")</f>
        <v>1</v>
      </c>
      <c r="GR28" s="39">
        <v>1</v>
      </c>
    </row>
    <row r="29" spans="2:200" ht="15" x14ac:dyDescent="0.25">
      <c r="B29" s="22" t="s">
        <v>54</v>
      </c>
      <c r="C29" s="23" t="s">
        <v>56</v>
      </c>
      <c r="D29" s="24" t="str">
        <f>IF(C29="","",_xlfn.XLOOKUP(C29,'[3]Control Sheet'!$L$5:$L$104,'[3]Control Sheet'!$M$5:$M$104,"",0))</f>
        <v>Rides Attendant</v>
      </c>
      <c r="E29" s="24" t="str">
        <f>IF(B29="","",_xlfn.XLOOKUP(B29,'[3]Control Sheet'!$D$5:$D$64,'[3]Control Sheet'!$F$5:$F$64,"",0))</f>
        <v>Rides</v>
      </c>
      <c r="F29" s="24" t="str">
        <f>IF(B29="","",_xlfn.XLOOKUP(B29,'[3]Control Sheet'!$D$5:$D$64,'[3]Control Sheet'!$E$5:$E$64,"",0))</f>
        <v>C1300-O</v>
      </c>
      <c r="I29" s="25"/>
      <c r="J29" s="26"/>
      <c r="K29" s="27"/>
      <c r="L29" s="28"/>
      <c r="M29" s="29"/>
      <c r="P29" s="25"/>
      <c r="Q29" s="26"/>
      <c r="R29" s="27"/>
      <c r="S29" s="28"/>
      <c r="T29" s="29"/>
      <c r="V29" s="25">
        <v>0.38541666666666669</v>
      </c>
      <c r="W29" s="26">
        <v>0.73958333333333337</v>
      </c>
      <c r="X29" s="27">
        <v>45</v>
      </c>
      <c r="Y29" s="28">
        <v>1</v>
      </c>
      <c r="Z29" s="29">
        <v>1</v>
      </c>
      <c r="AB29" s="25">
        <v>0.38541666666666669</v>
      </c>
      <c r="AC29" s="26">
        <v>0.71875</v>
      </c>
      <c r="AD29" s="27">
        <v>45</v>
      </c>
      <c r="AE29" s="28">
        <v>1</v>
      </c>
      <c r="AF29" s="29">
        <v>1</v>
      </c>
      <c r="AH29" s="25"/>
      <c r="AI29" s="26"/>
      <c r="AJ29" s="27"/>
      <c r="AK29" s="28"/>
      <c r="AL29" s="29"/>
      <c r="AN29" s="25"/>
      <c r="AO29" s="26"/>
      <c r="AP29" s="27"/>
      <c r="AQ29" s="28"/>
      <c r="AR29" s="29"/>
      <c r="AT29" s="25">
        <v>0.38541666666666669</v>
      </c>
      <c r="AU29" s="26">
        <v>0.73958333333333337</v>
      </c>
      <c r="AV29" s="27">
        <v>45</v>
      </c>
      <c r="AW29" s="28">
        <v>1</v>
      </c>
      <c r="AX29" s="29">
        <v>1</v>
      </c>
      <c r="AZ29" s="25">
        <v>0.38541666666666669</v>
      </c>
      <c r="BA29" s="26">
        <v>0.78125</v>
      </c>
      <c r="BB29" s="27">
        <v>45</v>
      </c>
      <c r="BC29" s="28">
        <v>1</v>
      </c>
      <c r="BD29" s="29">
        <v>1</v>
      </c>
      <c r="BF29" s="25">
        <v>0.38541666666666669</v>
      </c>
      <c r="BG29" s="26">
        <v>0.82291666666666663</v>
      </c>
      <c r="BH29" s="27">
        <v>75</v>
      </c>
      <c r="BI29" s="28">
        <v>1</v>
      </c>
      <c r="BJ29" s="29">
        <v>1</v>
      </c>
      <c r="BL29" s="33"/>
      <c r="BM29" s="34"/>
      <c r="BN29" s="35"/>
      <c r="BO29" s="36"/>
      <c r="BP29" s="37"/>
      <c r="BR29" s="33"/>
      <c r="BS29" s="34"/>
      <c r="BT29" s="35"/>
      <c r="BU29" s="36"/>
      <c r="BV29" s="37"/>
      <c r="BX29" s="33"/>
      <c r="BY29" s="34"/>
      <c r="BZ29" s="35"/>
      <c r="CA29" s="36"/>
      <c r="CB29" s="37"/>
      <c r="CD29" s="33"/>
      <c r="CE29" s="34"/>
      <c r="CF29" s="35"/>
      <c r="CG29" s="36"/>
      <c r="CH29" s="37"/>
      <c r="CJ29" s="33"/>
      <c r="CK29" s="34"/>
      <c r="CL29" s="35"/>
      <c r="CM29" s="36"/>
      <c r="CN29" s="37"/>
      <c r="CP29" s="33"/>
      <c r="CQ29" s="34"/>
      <c r="CR29" s="35"/>
      <c r="CS29" s="36"/>
      <c r="CT29" s="37"/>
      <c r="CV29" s="33"/>
      <c r="CW29" s="34"/>
      <c r="CX29" s="35"/>
      <c r="CY29" s="36"/>
      <c r="CZ29" s="37"/>
      <c r="DA29" s="30">
        <f t="shared" si="0"/>
        <v>0</v>
      </c>
      <c r="DB29" s="31" t="e">
        <f>DA29*#REF!</f>
        <v>#REF!</v>
      </c>
      <c r="DC29" s="32" t="e">
        <f>DA29*#REF!</f>
        <v>#REF!</v>
      </c>
      <c r="DE29" s="33"/>
      <c r="DF29" s="34"/>
      <c r="DG29" s="35"/>
      <c r="DH29" s="36"/>
      <c r="DI29" s="37"/>
      <c r="DJ29" s="30">
        <f t="shared" si="1"/>
        <v>0</v>
      </c>
      <c r="DK29" s="31" t="e">
        <f>DJ29*#REF!</f>
        <v>#REF!</v>
      </c>
      <c r="DL29" s="32" t="e">
        <f>DJ29*#REF!</f>
        <v>#REF!</v>
      </c>
      <c r="DN29" s="33"/>
      <c r="DO29" s="34"/>
      <c r="DP29" s="35"/>
      <c r="DQ29" s="36"/>
      <c r="DR29" s="37"/>
      <c r="DS29" s="30">
        <f t="shared" si="2"/>
        <v>0</v>
      </c>
      <c r="DT29" s="31" t="e">
        <f>DS29*#REF!</f>
        <v>#REF!</v>
      </c>
      <c r="DU29" s="32" t="e">
        <f>DS29*#REF!</f>
        <v>#REF!</v>
      </c>
      <c r="DW29" s="33"/>
      <c r="DX29" s="34"/>
      <c r="DY29" s="35"/>
      <c r="DZ29" s="36"/>
      <c r="EA29" s="37"/>
      <c r="EB29" s="30">
        <f t="shared" si="3"/>
        <v>0</v>
      </c>
      <c r="EC29" s="31" t="e">
        <f>EB29*#REF!</f>
        <v>#REF!</v>
      </c>
      <c r="ED29" s="32" t="e">
        <f>EB29*#REF!</f>
        <v>#REF!</v>
      </c>
      <c r="EF29" s="33"/>
      <c r="EG29" s="34"/>
      <c r="EH29" s="35"/>
      <c r="EI29" s="36"/>
      <c r="EJ29" s="37"/>
      <c r="EK29" s="30">
        <f t="shared" si="4"/>
        <v>0</v>
      </c>
      <c r="EL29" s="31" t="e">
        <f>EK29*#REF!</f>
        <v>#REF!</v>
      </c>
      <c r="EM29" s="32" t="e">
        <f>EK29*#REF!</f>
        <v>#REF!</v>
      </c>
      <c r="EO29" s="33"/>
      <c r="EP29" s="34"/>
      <c r="EQ29" s="35"/>
      <c r="ER29" s="36"/>
      <c r="ES29" s="37"/>
      <c r="ET29" s="30">
        <f t="shared" si="5"/>
        <v>0</v>
      </c>
      <c r="EU29" s="31" t="e">
        <f>ET29*#REF!</f>
        <v>#REF!</v>
      </c>
      <c r="EV29" s="32" t="e">
        <f>ET29*#REF!</f>
        <v>#REF!</v>
      </c>
      <c r="EX29" s="33"/>
      <c r="EY29" s="34"/>
      <c r="EZ29" s="35"/>
      <c r="FA29" s="36"/>
      <c r="FB29" s="37"/>
      <c r="FC29" s="30">
        <f t="shared" si="6"/>
        <v>0</v>
      </c>
      <c r="FD29" s="31" t="e">
        <f>FC29*#REF!</f>
        <v>#REF!</v>
      </c>
      <c r="FE29" s="32" t="e">
        <f>FC29*#REF!</f>
        <v>#REF!</v>
      </c>
      <c r="FG29" s="33"/>
      <c r="FH29" s="34"/>
      <c r="FI29" s="35"/>
      <c r="FJ29" s="36"/>
      <c r="FK29" s="37"/>
      <c r="FL29" s="30">
        <f t="shared" si="7"/>
        <v>0</v>
      </c>
      <c r="FM29" s="31" t="e">
        <f>FL29*#REF!</f>
        <v>#REF!</v>
      </c>
      <c r="FN29" s="32" t="e">
        <f>FL29*#REF!</f>
        <v>#REF!</v>
      </c>
      <c r="FP29" s="33"/>
      <c r="FQ29" s="34"/>
      <c r="FR29" s="35"/>
      <c r="FS29" s="36"/>
      <c r="FT29" s="37"/>
      <c r="FU29" s="30">
        <f t="shared" si="8"/>
        <v>0</v>
      </c>
      <c r="FV29" s="31" t="e">
        <f>FU29*#REF!</f>
        <v>#REF!</v>
      </c>
      <c r="FW29" s="32" t="e">
        <f>FU29*#REF!</f>
        <v>#REF!</v>
      </c>
      <c r="FY29" s="33"/>
      <c r="FZ29" s="34"/>
      <c r="GA29" s="35"/>
      <c r="GB29" s="36"/>
      <c r="GC29" s="37"/>
      <c r="GD29" s="30">
        <f t="shared" si="9"/>
        <v>0</v>
      </c>
      <c r="GE29" s="31" t="e">
        <f>GD29*#REF!</f>
        <v>#REF!</v>
      </c>
      <c r="GF29" s="32" t="e">
        <f>GD29*#REF!</f>
        <v>#REF!</v>
      </c>
      <c r="GH29" s="33"/>
      <c r="GI29" s="34"/>
      <c r="GJ29" s="35"/>
      <c r="GK29" s="36"/>
      <c r="GL29" s="37"/>
      <c r="GM29" s="30">
        <f t="shared" si="10"/>
        <v>0</v>
      </c>
      <c r="GN29" s="31" t="e">
        <f>GM29*#REF!</f>
        <v>#REF!</v>
      </c>
      <c r="GO29" s="32" t="e">
        <f>GM29*#REF!</f>
        <v>#REF!</v>
      </c>
      <c r="GQ29" s="38">
        <f>_xlfn.MAXIFS(I29:GO29,$I$5:$GO$5,"Staff #")</f>
        <v>1</v>
      </c>
      <c r="GR29" s="39">
        <v>1</v>
      </c>
    </row>
    <row r="30" spans="2:200" ht="15" x14ac:dyDescent="0.25">
      <c r="B30" s="22"/>
      <c r="C30" s="23"/>
      <c r="D30" s="24" t="str">
        <f>IF(C30="","",_xlfn.XLOOKUP(C30,'[3]Control Sheet'!$L$5:$L$104,'[3]Control Sheet'!$M$5:$M$104,"",0))</f>
        <v/>
      </c>
      <c r="E30" s="24" t="str">
        <f>IF(B30="","",_xlfn.XLOOKUP(B30,'[3]Control Sheet'!$D$5:$D$64,'[3]Control Sheet'!$F$5:$F$64,"",0))</f>
        <v/>
      </c>
      <c r="F30" s="24" t="str">
        <f>IF(B30="","",_xlfn.XLOOKUP(B30,'[3]Control Sheet'!$D$5:$D$64,'[3]Control Sheet'!$E$5:$E$64,"",0))</f>
        <v/>
      </c>
      <c r="I30" s="33"/>
      <c r="J30" s="34"/>
      <c r="K30" s="35"/>
      <c r="L30" s="36"/>
      <c r="M30" s="37"/>
      <c r="P30" s="33"/>
      <c r="Q30" s="34"/>
      <c r="R30" s="35"/>
      <c r="S30" s="36"/>
      <c r="T30" s="37"/>
      <c r="V30" s="33"/>
      <c r="W30" s="34"/>
      <c r="X30" s="35"/>
      <c r="Y30" s="36"/>
      <c r="Z30" s="37"/>
      <c r="AB30" s="33"/>
      <c r="AC30" s="34"/>
      <c r="AD30" s="35"/>
      <c r="AE30" s="36"/>
      <c r="AF30" s="37"/>
      <c r="AH30" s="33"/>
      <c r="AI30" s="34"/>
      <c r="AJ30" s="35"/>
      <c r="AK30" s="36"/>
      <c r="AL30" s="37"/>
      <c r="AN30" s="33"/>
      <c r="AO30" s="34"/>
      <c r="AP30" s="35"/>
      <c r="AQ30" s="36"/>
      <c r="AR30" s="37"/>
      <c r="AT30" s="33"/>
      <c r="AU30" s="34"/>
      <c r="AV30" s="35"/>
      <c r="AW30" s="36"/>
      <c r="AX30" s="37"/>
      <c r="AZ30" s="33"/>
      <c r="BA30" s="34"/>
      <c r="BB30" s="35"/>
      <c r="BC30" s="36"/>
      <c r="BD30" s="37"/>
      <c r="BF30" s="33"/>
      <c r="BG30" s="34"/>
      <c r="BH30" s="35"/>
      <c r="BI30" s="36"/>
      <c r="BJ30" s="37"/>
      <c r="BL30" s="33"/>
      <c r="BM30" s="34"/>
      <c r="BN30" s="35"/>
      <c r="BO30" s="36"/>
      <c r="BP30" s="37"/>
      <c r="BR30" s="33"/>
      <c r="BS30" s="34"/>
      <c r="BT30" s="35"/>
      <c r="BU30" s="36"/>
      <c r="BV30" s="37"/>
      <c r="BX30" s="33"/>
      <c r="BY30" s="34"/>
      <c r="BZ30" s="35"/>
      <c r="CA30" s="36"/>
      <c r="CB30" s="37"/>
      <c r="CD30" s="33"/>
      <c r="CE30" s="34"/>
      <c r="CF30" s="35"/>
      <c r="CG30" s="36"/>
      <c r="CH30" s="37"/>
      <c r="CJ30" s="33"/>
      <c r="CK30" s="34"/>
      <c r="CL30" s="35"/>
      <c r="CM30" s="36"/>
      <c r="CN30" s="37"/>
      <c r="CP30" s="33"/>
      <c r="CQ30" s="34"/>
      <c r="CR30" s="35"/>
      <c r="CS30" s="36"/>
      <c r="CT30" s="37"/>
      <c r="CV30" s="33"/>
      <c r="CW30" s="34"/>
      <c r="CX30" s="35"/>
      <c r="CY30" s="36"/>
      <c r="CZ30" s="37"/>
      <c r="DA30" s="30">
        <f t="shared" si="0"/>
        <v>0</v>
      </c>
      <c r="DB30" s="31" t="e">
        <f>DA30*#REF!</f>
        <v>#REF!</v>
      </c>
      <c r="DC30" s="32" t="e">
        <f>DA30*#REF!</f>
        <v>#REF!</v>
      </c>
      <c r="DE30" s="33"/>
      <c r="DF30" s="34"/>
      <c r="DG30" s="35"/>
      <c r="DH30" s="36"/>
      <c r="DI30" s="37"/>
      <c r="DJ30" s="30">
        <f t="shared" si="1"/>
        <v>0</v>
      </c>
      <c r="DK30" s="31" t="e">
        <f>DJ30*#REF!</f>
        <v>#REF!</v>
      </c>
      <c r="DL30" s="32" t="e">
        <f>DJ30*#REF!</f>
        <v>#REF!</v>
      </c>
      <c r="DN30" s="33"/>
      <c r="DO30" s="34"/>
      <c r="DP30" s="35"/>
      <c r="DQ30" s="36"/>
      <c r="DR30" s="37"/>
      <c r="DS30" s="30">
        <f t="shared" si="2"/>
        <v>0</v>
      </c>
      <c r="DT30" s="31" t="e">
        <f>DS30*#REF!</f>
        <v>#REF!</v>
      </c>
      <c r="DU30" s="32" t="e">
        <f>DS30*#REF!</f>
        <v>#REF!</v>
      </c>
      <c r="DW30" s="33"/>
      <c r="DX30" s="34"/>
      <c r="DY30" s="35"/>
      <c r="DZ30" s="36"/>
      <c r="EA30" s="37"/>
      <c r="EB30" s="30">
        <f t="shared" si="3"/>
        <v>0</v>
      </c>
      <c r="EC30" s="31" t="e">
        <f>EB30*#REF!</f>
        <v>#REF!</v>
      </c>
      <c r="ED30" s="32" t="e">
        <f>EB30*#REF!</f>
        <v>#REF!</v>
      </c>
      <c r="EF30" s="33"/>
      <c r="EG30" s="34"/>
      <c r="EH30" s="35"/>
      <c r="EI30" s="36"/>
      <c r="EJ30" s="37"/>
      <c r="EK30" s="30">
        <f t="shared" si="4"/>
        <v>0</v>
      </c>
      <c r="EL30" s="31" t="e">
        <f>EK30*#REF!</f>
        <v>#REF!</v>
      </c>
      <c r="EM30" s="32" t="e">
        <f>EK30*#REF!</f>
        <v>#REF!</v>
      </c>
      <c r="EO30" s="33"/>
      <c r="EP30" s="34"/>
      <c r="EQ30" s="35"/>
      <c r="ER30" s="36"/>
      <c r="ES30" s="37"/>
      <c r="ET30" s="30">
        <f t="shared" si="5"/>
        <v>0</v>
      </c>
      <c r="EU30" s="31" t="e">
        <f>ET30*#REF!</f>
        <v>#REF!</v>
      </c>
      <c r="EV30" s="32" t="e">
        <f>ET30*#REF!</f>
        <v>#REF!</v>
      </c>
      <c r="EX30" s="33"/>
      <c r="EY30" s="34"/>
      <c r="EZ30" s="35"/>
      <c r="FA30" s="36"/>
      <c r="FB30" s="37"/>
      <c r="FC30" s="30">
        <f t="shared" si="6"/>
        <v>0</v>
      </c>
      <c r="FD30" s="31" t="e">
        <f>FC30*#REF!</f>
        <v>#REF!</v>
      </c>
      <c r="FE30" s="32" t="e">
        <f>FC30*#REF!</f>
        <v>#REF!</v>
      </c>
      <c r="FG30" s="33"/>
      <c r="FH30" s="34"/>
      <c r="FI30" s="35"/>
      <c r="FJ30" s="36"/>
      <c r="FK30" s="37"/>
      <c r="FL30" s="30">
        <f t="shared" si="7"/>
        <v>0</v>
      </c>
      <c r="FM30" s="31" t="e">
        <f>FL30*#REF!</f>
        <v>#REF!</v>
      </c>
      <c r="FN30" s="32" t="e">
        <f>FL30*#REF!</f>
        <v>#REF!</v>
      </c>
      <c r="FP30" s="33"/>
      <c r="FQ30" s="34"/>
      <c r="FR30" s="35"/>
      <c r="FS30" s="36"/>
      <c r="FT30" s="37"/>
      <c r="FU30" s="30">
        <f t="shared" si="8"/>
        <v>0</v>
      </c>
      <c r="FV30" s="31" t="e">
        <f>FU30*#REF!</f>
        <v>#REF!</v>
      </c>
      <c r="FW30" s="32" t="e">
        <f>FU30*#REF!</f>
        <v>#REF!</v>
      </c>
      <c r="FY30" s="33"/>
      <c r="FZ30" s="34"/>
      <c r="GA30" s="35"/>
      <c r="GB30" s="36"/>
      <c r="GC30" s="37"/>
      <c r="GD30" s="30">
        <f t="shared" si="9"/>
        <v>0</v>
      </c>
      <c r="GE30" s="31" t="e">
        <f>GD30*#REF!</f>
        <v>#REF!</v>
      </c>
      <c r="GF30" s="32" t="e">
        <f>GD30*#REF!</f>
        <v>#REF!</v>
      </c>
      <c r="GH30" s="33"/>
      <c r="GI30" s="34"/>
      <c r="GJ30" s="35"/>
      <c r="GK30" s="36"/>
      <c r="GL30" s="37"/>
      <c r="GM30" s="30">
        <f t="shared" si="10"/>
        <v>0</v>
      </c>
      <c r="GN30" s="31" t="e">
        <f>GM30*#REF!</f>
        <v>#REF!</v>
      </c>
      <c r="GO30" s="32" t="e">
        <f>GM30*#REF!</f>
        <v>#REF!</v>
      </c>
      <c r="GQ30" s="38">
        <f>_xlfn.MAXIFS(I30:GO30,$I$5:$GO$5,"Staff #")</f>
        <v>0</v>
      </c>
      <c r="GR30" s="39">
        <v>0</v>
      </c>
    </row>
    <row r="31" spans="2:200" ht="15" x14ac:dyDescent="0.25">
      <c r="B31" s="22" t="s">
        <v>57</v>
      </c>
      <c r="C31" s="23" t="s">
        <v>58</v>
      </c>
      <c r="D31" s="24" t="str">
        <f>IF(C31="","",_xlfn.XLOOKUP(C31,'[3]Control Sheet'!$L$5:$L$104,'[3]Control Sheet'!$M$5:$M$104,"",0))</f>
        <v>Rides Operator</v>
      </c>
      <c r="E31" s="24" t="str">
        <f>IF(B31="","",_xlfn.XLOOKUP(B31,'[3]Control Sheet'!$D$5:$D$64,'[3]Control Sheet'!$F$5:$F$64,"",0))</f>
        <v>Rides</v>
      </c>
      <c r="F31" s="24" t="str">
        <f>IF(B31="","",_xlfn.XLOOKUP(B31,'[3]Control Sheet'!$D$5:$D$64,'[3]Control Sheet'!$E$5:$E$64,"",0))</f>
        <v>C1300-O</v>
      </c>
      <c r="I31" s="25">
        <v>0.38541666666666669</v>
      </c>
      <c r="J31" s="26">
        <v>0.69791666666666663</v>
      </c>
      <c r="K31" s="27">
        <v>45</v>
      </c>
      <c r="L31" s="28">
        <v>1</v>
      </c>
      <c r="M31" s="29">
        <v>1</v>
      </c>
      <c r="P31" s="25">
        <v>0.38541666666666669</v>
      </c>
      <c r="Q31" s="26">
        <v>0.73958333333333337</v>
      </c>
      <c r="R31" s="27">
        <v>45</v>
      </c>
      <c r="S31" s="28">
        <v>1</v>
      </c>
      <c r="T31" s="29">
        <v>1</v>
      </c>
      <c r="V31" s="25">
        <v>0.38541666666666669</v>
      </c>
      <c r="W31" s="26">
        <v>0.73958333333333337</v>
      </c>
      <c r="X31" s="27">
        <v>45</v>
      </c>
      <c r="Y31" s="28">
        <v>1</v>
      </c>
      <c r="Z31" s="29">
        <v>1</v>
      </c>
      <c r="AB31" s="25">
        <v>0.38541666666666669</v>
      </c>
      <c r="AC31" s="26">
        <v>0.71875</v>
      </c>
      <c r="AD31" s="27">
        <v>45</v>
      </c>
      <c r="AE31" s="28">
        <v>1</v>
      </c>
      <c r="AF31" s="29">
        <v>1</v>
      </c>
      <c r="AH31" s="25">
        <v>0.38541666666666669</v>
      </c>
      <c r="AI31" s="26">
        <v>0.73958333333333337</v>
      </c>
      <c r="AJ31" s="27">
        <v>45</v>
      </c>
      <c r="AK31" s="28">
        <v>1</v>
      </c>
      <c r="AL31" s="29">
        <v>1</v>
      </c>
      <c r="AN31" s="25">
        <v>0.38541666666666669</v>
      </c>
      <c r="AO31" s="26">
        <v>0.78125</v>
      </c>
      <c r="AP31" s="27">
        <v>45</v>
      </c>
      <c r="AQ31" s="28">
        <v>1</v>
      </c>
      <c r="AR31" s="29">
        <v>1</v>
      </c>
      <c r="AT31" s="25">
        <v>0.38541666666666669</v>
      </c>
      <c r="AU31" s="26">
        <v>0.73958333333333337</v>
      </c>
      <c r="AV31" s="27">
        <v>45</v>
      </c>
      <c r="AW31" s="28">
        <v>1</v>
      </c>
      <c r="AX31" s="29">
        <v>1</v>
      </c>
      <c r="AZ31" s="25">
        <v>0.38541666666666669</v>
      </c>
      <c r="BA31" s="26">
        <v>0.78125</v>
      </c>
      <c r="BB31" s="27">
        <v>45</v>
      </c>
      <c r="BC31" s="28">
        <v>1</v>
      </c>
      <c r="BD31" s="29">
        <v>1</v>
      </c>
      <c r="BF31" s="25">
        <v>0.38541666666666669</v>
      </c>
      <c r="BG31" s="26">
        <v>0.82291666666666663</v>
      </c>
      <c r="BH31" s="27">
        <v>75</v>
      </c>
      <c r="BI31" s="28">
        <v>1</v>
      </c>
      <c r="BJ31" s="29">
        <v>1</v>
      </c>
      <c r="BL31" s="33"/>
      <c r="BM31" s="34"/>
      <c r="BN31" s="35"/>
      <c r="BO31" s="36"/>
      <c r="BP31" s="37"/>
      <c r="BR31" s="33"/>
      <c r="BS31" s="34"/>
      <c r="BT31" s="35"/>
      <c r="BU31" s="36"/>
      <c r="BV31" s="37"/>
      <c r="BX31" s="33"/>
      <c r="BY31" s="34"/>
      <c r="BZ31" s="35"/>
      <c r="CA31" s="36"/>
      <c r="CB31" s="37"/>
      <c r="CD31" s="33"/>
      <c r="CE31" s="34"/>
      <c r="CF31" s="35"/>
      <c r="CG31" s="36"/>
      <c r="CH31" s="37"/>
      <c r="CJ31" s="33"/>
      <c r="CK31" s="34"/>
      <c r="CL31" s="35"/>
      <c r="CM31" s="36"/>
      <c r="CN31" s="37"/>
      <c r="CP31" s="33"/>
      <c r="CQ31" s="34"/>
      <c r="CR31" s="35"/>
      <c r="CS31" s="36"/>
      <c r="CT31" s="37"/>
      <c r="CV31" s="33"/>
      <c r="CW31" s="34"/>
      <c r="CX31" s="35"/>
      <c r="CY31" s="36"/>
      <c r="CZ31" s="37"/>
      <c r="DA31" s="30">
        <f t="shared" si="0"/>
        <v>0</v>
      </c>
      <c r="DB31" s="31" t="e">
        <f>DA31*#REF!</f>
        <v>#REF!</v>
      </c>
      <c r="DC31" s="32" t="e">
        <f>DA31*#REF!</f>
        <v>#REF!</v>
      </c>
      <c r="DE31" s="33"/>
      <c r="DF31" s="34"/>
      <c r="DG31" s="35"/>
      <c r="DH31" s="36"/>
      <c r="DI31" s="37"/>
      <c r="DJ31" s="30">
        <f t="shared" si="1"/>
        <v>0</v>
      </c>
      <c r="DK31" s="31" t="e">
        <f>DJ31*#REF!</f>
        <v>#REF!</v>
      </c>
      <c r="DL31" s="32" t="e">
        <f>DJ31*#REF!</f>
        <v>#REF!</v>
      </c>
      <c r="DN31" s="33"/>
      <c r="DO31" s="34"/>
      <c r="DP31" s="35"/>
      <c r="DQ31" s="36"/>
      <c r="DR31" s="37"/>
      <c r="DS31" s="30">
        <f t="shared" si="2"/>
        <v>0</v>
      </c>
      <c r="DT31" s="31" t="e">
        <f>DS31*#REF!</f>
        <v>#REF!</v>
      </c>
      <c r="DU31" s="32" t="e">
        <f>DS31*#REF!</f>
        <v>#REF!</v>
      </c>
      <c r="DW31" s="33"/>
      <c r="DX31" s="34"/>
      <c r="DY31" s="35"/>
      <c r="DZ31" s="36"/>
      <c r="EA31" s="37"/>
      <c r="EB31" s="30">
        <f t="shared" si="3"/>
        <v>0</v>
      </c>
      <c r="EC31" s="31" t="e">
        <f>EB31*#REF!</f>
        <v>#REF!</v>
      </c>
      <c r="ED31" s="32" t="e">
        <f>EB31*#REF!</f>
        <v>#REF!</v>
      </c>
      <c r="EF31" s="33"/>
      <c r="EG31" s="34"/>
      <c r="EH31" s="35"/>
      <c r="EI31" s="36"/>
      <c r="EJ31" s="37"/>
      <c r="EK31" s="30">
        <f t="shared" si="4"/>
        <v>0</v>
      </c>
      <c r="EL31" s="31" t="e">
        <f>EK31*#REF!</f>
        <v>#REF!</v>
      </c>
      <c r="EM31" s="32" t="e">
        <f>EK31*#REF!</f>
        <v>#REF!</v>
      </c>
      <c r="EO31" s="33"/>
      <c r="EP31" s="34"/>
      <c r="EQ31" s="35"/>
      <c r="ER31" s="36"/>
      <c r="ES31" s="37"/>
      <c r="ET31" s="30">
        <f t="shared" si="5"/>
        <v>0</v>
      </c>
      <c r="EU31" s="31" t="e">
        <f>ET31*#REF!</f>
        <v>#REF!</v>
      </c>
      <c r="EV31" s="32" t="e">
        <f>ET31*#REF!</f>
        <v>#REF!</v>
      </c>
      <c r="EX31" s="33"/>
      <c r="EY31" s="34"/>
      <c r="EZ31" s="35"/>
      <c r="FA31" s="36"/>
      <c r="FB31" s="37"/>
      <c r="FC31" s="30">
        <f t="shared" si="6"/>
        <v>0</v>
      </c>
      <c r="FD31" s="31" t="e">
        <f>FC31*#REF!</f>
        <v>#REF!</v>
      </c>
      <c r="FE31" s="32" t="e">
        <f>FC31*#REF!</f>
        <v>#REF!</v>
      </c>
      <c r="FG31" s="33"/>
      <c r="FH31" s="34"/>
      <c r="FI31" s="35"/>
      <c r="FJ31" s="36"/>
      <c r="FK31" s="37"/>
      <c r="FL31" s="30">
        <f t="shared" si="7"/>
        <v>0</v>
      </c>
      <c r="FM31" s="31" t="e">
        <f>FL31*#REF!</f>
        <v>#REF!</v>
      </c>
      <c r="FN31" s="32" t="e">
        <f>FL31*#REF!</f>
        <v>#REF!</v>
      </c>
      <c r="FP31" s="33"/>
      <c r="FQ31" s="34"/>
      <c r="FR31" s="35"/>
      <c r="FS31" s="36"/>
      <c r="FT31" s="37"/>
      <c r="FU31" s="30">
        <f t="shared" si="8"/>
        <v>0</v>
      </c>
      <c r="FV31" s="31" t="e">
        <f>FU31*#REF!</f>
        <v>#REF!</v>
      </c>
      <c r="FW31" s="32" t="e">
        <f>FU31*#REF!</f>
        <v>#REF!</v>
      </c>
      <c r="FY31" s="33"/>
      <c r="FZ31" s="34"/>
      <c r="GA31" s="35"/>
      <c r="GB31" s="36"/>
      <c r="GC31" s="37"/>
      <c r="GD31" s="30">
        <f t="shared" si="9"/>
        <v>0</v>
      </c>
      <c r="GE31" s="31" t="e">
        <f>GD31*#REF!</f>
        <v>#REF!</v>
      </c>
      <c r="GF31" s="32" t="e">
        <f>GD31*#REF!</f>
        <v>#REF!</v>
      </c>
      <c r="GH31" s="33"/>
      <c r="GI31" s="34"/>
      <c r="GJ31" s="35"/>
      <c r="GK31" s="36"/>
      <c r="GL31" s="37"/>
      <c r="GM31" s="30">
        <f t="shared" si="10"/>
        <v>0</v>
      </c>
      <c r="GN31" s="31" t="e">
        <f>GM31*#REF!</f>
        <v>#REF!</v>
      </c>
      <c r="GO31" s="32" t="e">
        <f>GM31*#REF!</f>
        <v>#REF!</v>
      </c>
      <c r="GQ31" s="38">
        <f>_xlfn.MAXIFS(I31:GO31,$I$5:$GO$5,"Staff #")</f>
        <v>1</v>
      </c>
      <c r="GR31" s="39">
        <v>1</v>
      </c>
    </row>
    <row r="32" spans="2:200" ht="15" x14ac:dyDescent="0.25">
      <c r="B32" s="22"/>
      <c r="C32" s="23"/>
      <c r="D32" s="24" t="str">
        <f>IF(C32="","",_xlfn.XLOOKUP(C32,'[3]Control Sheet'!$L$5:$L$104,'[3]Control Sheet'!$M$5:$M$104,"",0))</f>
        <v/>
      </c>
      <c r="E32" s="24" t="str">
        <f>IF(B32="","",_xlfn.XLOOKUP(B32,'[3]Control Sheet'!$D$5:$D$64,'[3]Control Sheet'!$F$5:$F$64,"",0))</f>
        <v/>
      </c>
      <c r="F32" s="24" t="str">
        <f>IF(B32="","",_xlfn.XLOOKUP(B32,'[3]Control Sheet'!$D$5:$D$64,'[3]Control Sheet'!$E$5:$E$64,"",0))</f>
        <v/>
      </c>
      <c r="I32" s="25"/>
      <c r="J32" s="26"/>
      <c r="K32" s="27"/>
      <c r="L32" s="28"/>
      <c r="M32" s="29"/>
      <c r="P32" s="25"/>
      <c r="Q32" s="26"/>
      <c r="R32" s="27"/>
      <c r="S32" s="28"/>
      <c r="T32" s="29"/>
      <c r="V32" s="25"/>
      <c r="W32" s="26"/>
      <c r="X32" s="27"/>
      <c r="Y32" s="28"/>
      <c r="Z32" s="29"/>
      <c r="AB32" s="25"/>
      <c r="AC32" s="26"/>
      <c r="AD32" s="27"/>
      <c r="AE32" s="28"/>
      <c r="AF32" s="29"/>
      <c r="AH32" s="25"/>
      <c r="AI32" s="26"/>
      <c r="AJ32" s="27"/>
      <c r="AK32" s="28"/>
      <c r="AL32" s="29"/>
      <c r="AN32" s="25"/>
      <c r="AO32" s="26"/>
      <c r="AP32" s="27"/>
      <c r="AQ32" s="28"/>
      <c r="AR32" s="29"/>
      <c r="AT32" s="25"/>
      <c r="AU32" s="26"/>
      <c r="AV32" s="27"/>
      <c r="AW32" s="28"/>
      <c r="AX32" s="29"/>
      <c r="AZ32" s="25"/>
      <c r="BA32" s="26"/>
      <c r="BB32" s="27"/>
      <c r="BC32" s="28"/>
      <c r="BD32" s="29"/>
      <c r="BF32" s="25"/>
      <c r="BG32" s="26"/>
      <c r="BH32" s="27"/>
      <c r="BI32" s="28"/>
      <c r="BJ32" s="29"/>
      <c r="BL32" s="33"/>
      <c r="BM32" s="34"/>
      <c r="BN32" s="35"/>
      <c r="BO32" s="36"/>
      <c r="BP32" s="37"/>
      <c r="BR32" s="33"/>
      <c r="BS32" s="34"/>
      <c r="BT32" s="35"/>
      <c r="BU32" s="36"/>
      <c r="BV32" s="37"/>
      <c r="BX32" s="33"/>
      <c r="BY32" s="34"/>
      <c r="BZ32" s="35"/>
      <c r="CA32" s="36"/>
      <c r="CB32" s="37"/>
      <c r="CD32" s="33"/>
      <c r="CE32" s="34"/>
      <c r="CF32" s="35"/>
      <c r="CG32" s="36"/>
      <c r="CH32" s="37"/>
      <c r="CJ32" s="33"/>
      <c r="CK32" s="34"/>
      <c r="CL32" s="35"/>
      <c r="CM32" s="36"/>
      <c r="CN32" s="37"/>
      <c r="CP32" s="33"/>
      <c r="CQ32" s="34"/>
      <c r="CR32" s="35"/>
      <c r="CS32" s="36"/>
      <c r="CT32" s="37"/>
      <c r="CV32" s="33"/>
      <c r="CW32" s="34"/>
      <c r="CX32" s="35"/>
      <c r="CY32" s="36"/>
      <c r="CZ32" s="37"/>
      <c r="DA32" s="30">
        <f t="shared" si="0"/>
        <v>0</v>
      </c>
      <c r="DB32" s="31" t="e">
        <f>DA32*#REF!</f>
        <v>#REF!</v>
      </c>
      <c r="DC32" s="32" t="e">
        <f>DA32*#REF!</f>
        <v>#REF!</v>
      </c>
      <c r="DE32" s="33"/>
      <c r="DF32" s="34"/>
      <c r="DG32" s="35"/>
      <c r="DH32" s="36"/>
      <c r="DI32" s="37"/>
      <c r="DJ32" s="30">
        <f t="shared" si="1"/>
        <v>0</v>
      </c>
      <c r="DK32" s="31" t="e">
        <f>DJ32*#REF!</f>
        <v>#REF!</v>
      </c>
      <c r="DL32" s="32" t="e">
        <f>DJ32*#REF!</f>
        <v>#REF!</v>
      </c>
      <c r="DN32" s="33"/>
      <c r="DO32" s="34"/>
      <c r="DP32" s="35"/>
      <c r="DQ32" s="36"/>
      <c r="DR32" s="37"/>
      <c r="DS32" s="30">
        <f t="shared" si="2"/>
        <v>0</v>
      </c>
      <c r="DT32" s="31" t="e">
        <f>DS32*#REF!</f>
        <v>#REF!</v>
      </c>
      <c r="DU32" s="32" t="e">
        <f>DS32*#REF!</f>
        <v>#REF!</v>
      </c>
      <c r="DW32" s="33"/>
      <c r="DX32" s="34"/>
      <c r="DY32" s="35"/>
      <c r="DZ32" s="36"/>
      <c r="EA32" s="37"/>
      <c r="EB32" s="30">
        <f t="shared" si="3"/>
        <v>0</v>
      </c>
      <c r="EC32" s="31" t="e">
        <f>EB32*#REF!</f>
        <v>#REF!</v>
      </c>
      <c r="ED32" s="32" t="e">
        <f>EB32*#REF!</f>
        <v>#REF!</v>
      </c>
      <c r="EF32" s="33"/>
      <c r="EG32" s="34"/>
      <c r="EH32" s="35"/>
      <c r="EI32" s="36"/>
      <c r="EJ32" s="37"/>
      <c r="EK32" s="30">
        <f t="shared" si="4"/>
        <v>0</v>
      </c>
      <c r="EL32" s="31" t="e">
        <f>EK32*#REF!</f>
        <v>#REF!</v>
      </c>
      <c r="EM32" s="32" t="e">
        <f>EK32*#REF!</f>
        <v>#REF!</v>
      </c>
      <c r="EO32" s="33"/>
      <c r="EP32" s="34"/>
      <c r="EQ32" s="35"/>
      <c r="ER32" s="36"/>
      <c r="ES32" s="37"/>
      <c r="ET32" s="30">
        <f t="shared" si="5"/>
        <v>0</v>
      </c>
      <c r="EU32" s="31" t="e">
        <f>ET32*#REF!</f>
        <v>#REF!</v>
      </c>
      <c r="EV32" s="32" t="e">
        <f>ET32*#REF!</f>
        <v>#REF!</v>
      </c>
      <c r="EX32" s="33"/>
      <c r="EY32" s="34"/>
      <c r="EZ32" s="35"/>
      <c r="FA32" s="36"/>
      <c r="FB32" s="37"/>
      <c r="FC32" s="30">
        <f t="shared" si="6"/>
        <v>0</v>
      </c>
      <c r="FD32" s="31" t="e">
        <f>FC32*#REF!</f>
        <v>#REF!</v>
      </c>
      <c r="FE32" s="32" t="e">
        <f>FC32*#REF!</f>
        <v>#REF!</v>
      </c>
      <c r="FG32" s="33"/>
      <c r="FH32" s="34"/>
      <c r="FI32" s="35"/>
      <c r="FJ32" s="36"/>
      <c r="FK32" s="37"/>
      <c r="FL32" s="30">
        <f t="shared" si="7"/>
        <v>0</v>
      </c>
      <c r="FM32" s="31" t="e">
        <f>FL32*#REF!</f>
        <v>#REF!</v>
      </c>
      <c r="FN32" s="32" t="e">
        <f>FL32*#REF!</f>
        <v>#REF!</v>
      </c>
      <c r="FP32" s="33"/>
      <c r="FQ32" s="34"/>
      <c r="FR32" s="35"/>
      <c r="FS32" s="36"/>
      <c r="FT32" s="37"/>
      <c r="FU32" s="30">
        <f t="shared" si="8"/>
        <v>0</v>
      </c>
      <c r="FV32" s="31" t="e">
        <f>FU32*#REF!</f>
        <v>#REF!</v>
      </c>
      <c r="FW32" s="32" t="e">
        <f>FU32*#REF!</f>
        <v>#REF!</v>
      </c>
      <c r="FY32" s="33"/>
      <c r="FZ32" s="34"/>
      <c r="GA32" s="35"/>
      <c r="GB32" s="36"/>
      <c r="GC32" s="37"/>
      <c r="GD32" s="30">
        <f t="shared" si="9"/>
        <v>0</v>
      </c>
      <c r="GE32" s="31" t="e">
        <f>GD32*#REF!</f>
        <v>#REF!</v>
      </c>
      <c r="GF32" s="32" t="e">
        <f>GD32*#REF!</f>
        <v>#REF!</v>
      </c>
      <c r="GH32" s="33"/>
      <c r="GI32" s="34"/>
      <c r="GJ32" s="35"/>
      <c r="GK32" s="36"/>
      <c r="GL32" s="37"/>
      <c r="GM32" s="30">
        <f t="shared" si="10"/>
        <v>0</v>
      </c>
      <c r="GN32" s="31" t="e">
        <f>GM32*#REF!</f>
        <v>#REF!</v>
      </c>
      <c r="GO32" s="32" t="e">
        <f>GM32*#REF!</f>
        <v>#REF!</v>
      </c>
      <c r="GQ32" s="38">
        <f>_xlfn.MAXIFS(I32:GO32,$I$5:$GO$5,"Staff #")</f>
        <v>0</v>
      </c>
      <c r="GR32" s="39">
        <v>0</v>
      </c>
    </row>
    <row r="33" spans="2:200" ht="15" x14ac:dyDescent="0.25">
      <c r="B33" s="22"/>
      <c r="C33" s="23"/>
      <c r="D33" s="24" t="str">
        <f>IF(C33="","",_xlfn.XLOOKUP(C33,'[3]Control Sheet'!$L$5:$L$104,'[3]Control Sheet'!$M$5:$M$104,"",0))</f>
        <v/>
      </c>
      <c r="E33" s="24" t="str">
        <f>IF(B33="","",_xlfn.XLOOKUP(B33,'[3]Control Sheet'!$D$5:$D$64,'[3]Control Sheet'!$F$5:$F$64,"",0))</f>
        <v/>
      </c>
      <c r="F33" s="24" t="str">
        <f>IF(B33="","",_xlfn.XLOOKUP(B33,'[3]Control Sheet'!$D$5:$D$64,'[3]Control Sheet'!$E$5:$E$64,"",0))</f>
        <v/>
      </c>
      <c r="I33" s="33"/>
      <c r="J33" s="34"/>
      <c r="K33" s="35"/>
      <c r="L33" s="36"/>
      <c r="M33" s="37"/>
      <c r="P33" s="33"/>
      <c r="Q33" s="34"/>
      <c r="R33" s="35"/>
      <c r="S33" s="36"/>
      <c r="T33" s="37"/>
      <c r="V33" s="33"/>
      <c r="W33" s="34"/>
      <c r="X33" s="35"/>
      <c r="Y33" s="36"/>
      <c r="Z33" s="37"/>
      <c r="AB33" s="33"/>
      <c r="AC33" s="34"/>
      <c r="AD33" s="35"/>
      <c r="AE33" s="36"/>
      <c r="AF33" s="37"/>
      <c r="AH33" s="33"/>
      <c r="AI33" s="34"/>
      <c r="AJ33" s="35"/>
      <c r="AK33" s="36"/>
      <c r="AL33" s="37"/>
      <c r="AN33" s="33"/>
      <c r="AO33" s="34"/>
      <c r="AP33" s="35"/>
      <c r="AQ33" s="36"/>
      <c r="AR33" s="37"/>
      <c r="AT33" s="33"/>
      <c r="AU33" s="34"/>
      <c r="AV33" s="35"/>
      <c r="AW33" s="36"/>
      <c r="AX33" s="37"/>
      <c r="AZ33" s="33"/>
      <c r="BA33" s="34"/>
      <c r="BB33" s="35"/>
      <c r="BC33" s="36"/>
      <c r="BD33" s="37"/>
      <c r="BF33" s="33"/>
      <c r="BG33" s="34"/>
      <c r="BH33" s="35"/>
      <c r="BI33" s="36"/>
      <c r="BJ33" s="37"/>
      <c r="BL33" s="33"/>
      <c r="BM33" s="34"/>
      <c r="BN33" s="35"/>
      <c r="BO33" s="36"/>
      <c r="BP33" s="37"/>
      <c r="BR33" s="33"/>
      <c r="BS33" s="34"/>
      <c r="BT33" s="35"/>
      <c r="BU33" s="36"/>
      <c r="BV33" s="37"/>
      <c r="BX33" s="33"/>
      <c r="BY33" s="34"/>
      <c r="BZ33" s="35"/>
      <c r="CA33" s="36"/>
      <c r="CB33" s="37"/>
      <c r="CD33" s="33"/>
      <c r="CE33" s="34"/>
      <c r="CF33" s="35"/>
      <c r="CG33" s="36"/>
      <c r="CH33" s="37"/>
      <c r="CJ33" s="33"/>
      <c r="CK33" s="34"/>
      <c r="CL33" s="35"/>
      <c r="CM33" s="36"/>
      <c r="CN33" s="37"/>
      <c r="CP33" s="33"/>
      <c r="CQ33" s="34"/>
      <c r="CR33" s="35"/>
      <c r="CS33" s="36"/>
      <c r="CT33" s="37"/>
      <c r="CV33" s="33"/>
      <c r="CW33" s="34"/>
      <c r="CX33" s="35"/>
      <c r="CY33" s="36"/>
      <c r="CZ33" s="37"/>
      <c r="DA33" s="30">
        <f t="shared" si="0"/>
        <v>0</v>
      </c>
      <c r="DB33" s="31" t="e">
        <f>DA33*#REF!</f>
        <v>#REF!</v>
      </c>
      <c r="DC33" s="32" t="e">
        <f>DA33*#REF!</f>
        <v>#REF!</v>
      </c>
      <c r="DE33" s="33"/>
      <c r="DF33" s="34"/>
      <c r="DG33" s="35"/>
      <c r="DH33" s="36"/>
      <c r="DI33" s="37"/>
      <c r="DJ33" s="30">
        <f t="shared" si="1"/>
        <v>0</v>
      </c>
      <c r="DK33" s="31" t="e">
        <f>DJ33*#REF!</f>
        <v>#REF!</v>
      </c>
      <c r="DL33" s="32" t="e">
        <f>DJ33*#REF!</f>
        <v>#REF!</v>
      </c>
      <c r="DN33" s="33"/>
      <c r="DO33" s="34"/>
      <c r="DP33" s="35"/>
      <c r="DQ33" s="36"/>
      <c r="DR33" s="37"/>
      <c r="DS33" s="30">
        <f t="shared" si="2"/>
        <v>0</v>
      </c>
      <c r="DT33" s="31" t="e">
        <f>DS33*#REF!</f>
        <v>#REF!</v>
      </c>
      <c r="DU33" s="32" t="e">
        <f>DS33*#REF!</f>
        <v>#REF!</v>
      </c>
      <c r="DW33" s="33"/>
      <c r="DX33" s="34"/>
      <c r="DY33" s="35"/>
      <c r="DZ33" s="36"/>
      <c r="EA33" s="37"/>
      <c r="EB33" s="30">
        <f t="shared" si="3"/>
        <v>0</v>
      </c>
      <c r="EC33" s="31" t="e">
        <f>EB33*#REF!</f>
        <v>#REF!</v>
      </c>
      <c r="ED33" s="32" t="e">
        <f>EB33*#REF!</f>
        <v>#REF!</v>
      </c>
      <c r="EF33" s="33"/>
      <c r="EG33" s="34"/>
      <c r="EH33" s="35"/>
      <c r="EI33" s="36"/>
      <c r="EJ33" s="37"/>
      <c r="EK33" s="30">
        <f t="shared" si="4"/>
        <v>0</v>
      </c>
      <c r="EL33" s="31" t="e">
        <f>EK33*#REF!</f>
        <v>#REF!</v>
      </c>
      <c r="EM33" s="32" t="e">
        <f>EK33*#REF!</f>
        <v>#REF!</v>
      </c>
      <c r="EO33" s="33"/>
      <c r="EP33" s="34"/>
      <c r="EQ33" s="35"/>
      <c r="ER33" s="36"/>
      <c r="ES33" s="37"/>
      <c r="ET33" s="30">
        <f t="shared" si="5"/>
        <v>0</v>
      </c>
      <c r="EU33" s="31" t="e">
        <f>ET33*#REF!</f>
        <v>#REF!</v>
      </c>
      <c r="EV33" s="32" t="e">
        <f>ET33*#REF!</f>
        <v>#REF!</v>
      </c>
      <c r="EX33" s="33"/>
      <c r="EY33" s="34"/>
      <c r="EZ33" s="35"/>
      <c r="FA33" s="36"/>
      <c r="FB33" s="37"/>
      <c r="FC33" s="30">
        <f t="shared" si="6"/>
        <v>0</v>
      </c>
      <c r="FD33" s="31" t="e">
        <f>FC33*#REF!</f>
        <v>#REF!</v>
      </c>
      <c r="FE33" s="32" t="e">
        <f>FC33*#REF!</f>
        <v>#REF!</v>
      </c>
      <c r="FG33" s="33"/>
      <c r="FH33" s="34"/>
      <c r="FI33" s="35"/>
      <c r="FJ33" s="36"/>
      <c r="FK33" s="37"/>
      <c r="FL33" s="30">
        <f t="shared" si="7"/>
        <v>0</v>
      </c>
      <c r="FM33" s="31" t="e">
        <f>FL33*#REF!</f>
        <v>#REF!</v>
      </c>
      <c r="FN33" s="32" t="e">
        <f>FL33*#REF!</f>
        <v>#REF!</v>
      </c>
      <c r="FP33" s="33"/>
      <c r="FQ33" s="34"/>
      <c r="FR33" s="35"/>
      <c r="FS33" s="36"/>
      <c r="FT33" s="37"/>
      <c r="FU33" s="30">
        <f t="shared" si="8"/>
        <v>0</v>
      </c>
      <c r="FV33" s="31" t="e">
        <f>FU33*#REF!</f>
        <v>#REF!</v>
      </c>
      <c r="FW33" s="32" t="e">
        <f>FU33*#REF!</f>
        <v>#REF!</v>
      </c>
      <c r="FY33" s="33"/>
      <c r="FZ33" s="34"/>
      <c r="GA33" s="35"/>
      <c r="GB33" s="36"/>
      <c r="GC33" s="37"/>
      <c r="GD33" s="30">
        <f t="shared" si="9"/>
        <v>0</v>
      </c>
      <c r="GE33" s="31" t="e">
        <f>GD33*#REF!</f>
        <v>#REF!</v>
      </c>
      <c r="GF33" s="32" t="e">
        <f>GD33*#REF!</f>
        <v>#REF!</v>
      </c>
      <c r="GH33" s="33"/>
      <c r="GI33" s="34"/>
      <c r="GJ33" s="35"/>
      <c r="GK33" s="36"/>
      <c r="GL33" s="37"/>
      <c r="GM33" s="30">
        <f t="shared" si="10"/>
        <v>0</v>
      </c>
      <c r="GN33" s="31" t="e">
        <f>GM33*#REF!</f>
        <v>#REF!</v>
      </c>
      <c r="GO33" s="32" t="e">
        <f>GM33*#REF!</f>
        <v>#REF!</v>
      </c>
      <c r="GQ33" s="38">
        <f>_xlfn.MAXIFS(I33:GO33,$I$5:$GO$5,"Staff #")</f>
        <v>0</v>
      </c>
      <c r="GR33" s="39">
        <v>0</v>
      </c>
    </row>
    <row r="34" spans="2:200" ht="15" x14ac:dyDescent="0.25">
      <c r="B34" s="22" t="s">
        <v>59</v>
      </c>
      <c r="C34" s="23" t="s">
        <v>60</v>
      </c>
      <c r="D34" s="24" t="str">
        <f>IF(C34="","",_xlfn.XLOOKUP(C34,'[3]Control Sheet'!$L$5:$L$104,'[3]Control Sheet'!$M$5:$M$104,"",0))</f>
        <v>Rides Operator</v>
      </c>
      <c r="E34" s="24" t="str">
        <f>IF(B34="","",_xlfn.XLOOKUP(B34,'[3]Control Sheet'!$D$5:$D$64,'[3]Control Sheet'!$F$5:$F$64,"",0))</f>
        <v>Rides</v>
      </c>
      <c r="F34" s="24" t="str">
        <f>IF(B34="","",_xlfn.XLOOKUP(B34,'[3]Control Sheet'!$D$5:$D$64,'[3]Control Sheet'!$E$5:$E$64,"",0))</f>
        <v>C1300-O</v>
      </c>
      <c r="I34" s="25">
        <v>0.38541666666666669</v>
      </c>
      <c r="J34" s="26">
        <v>0.69791666666666663</v>
      </c>
      <c r="K34" s="27">
        <v>45</v>
      </c>
      <c r="L34" s="28">
        <v>1</v>
      </c>
      <c r="M34" s="29">
        <v>1</v>
      </c>
      <c r="P34" s="25">
        <v>0.38541666666666669</v>
      </c>
      <c r="Q34" s="26">
        <v>0.73958333333333337</v>
      </c>
      <c r="R34" s="27">
        <v>45</v>
      </c>
      <c r="S34" s="28">
        <v>1</v>
      </c>
      <c r="T34" s="29">
        <v>1</v>
      </c>
      <c r="V34" s="25">
        <v>0.38541666666666669</v>
      </c>
      <c r="W34" s="26">
        <v>0.73958333333333337</v>
      </c>
      <c r="X34" s="27">
        <v>45</v>
      </c>
      <c r="Y34" s="28">
        <v>1</v>
      </c>
      <c r="Z34" s="29">
        <v>1</v>
      </c>
      <c r="AB34" s="25">
        <v>0.38541666666666669</v>
      </c>
      <c r="AC34" s="26">
        <v>0.73958333333333337</v>
      </c>
      <c r="AD34" s="27">
        <v>45</v>
      </c>
      <c r="AE34" s="28">
        <v>1</v>
      </c>
      <c r="AF34" s="29">
        <v>1</v>
      </c>
      <c r="AH34" s="25">
        <v>0.38541666666666669</v>
      </c>
      <c r="AI34" s="26">
        <v>0.73958333333333337</v>
      </c>
      <c r="AJ34" s="27">
        <v>45</v>
      </c>
      <c r="AK34" s="28">
        <v>1</v>
      </c>
      <c r="AL34" s="29">
        <v>1</v>
      </c>
      <c r="AN34" s="25">
        <v>0.38541666666666669</v>
      </c>
      <c r="AO34" s="26">
        <v>0.78125</v>
      </c>
      <c r="AP34" s="27">
        <v>45</v>
      </c>
      <c r="AQ34" s="28">
        <v>1</v>
      </c>
      <c r="AR34" s="29">
        <v>1</v>
      </c>
      <c r="AT34" s="25">
        <v>0.38541666666666669</v>
      </c>
      <c r="AU34" s="26">
        <v>0.73958333333333337</v>
      </c>
      <c r="AV34" s="27">
        <v>45</v>
      </c>
      <c r="AW34" s="28">
        <v>1</v>
      </c>
      <c r="AX34" s="29">
        <v>1</v>
      </c>
      <c r="AZ34" s="25">
        <v>0.38541666666666669</v>
      </c>
      <c r="BA34" s="26">
        <v>0.78125</v>
      </c>
      <c r="BB34" s="27">
        <v>45</v>
      </c>
      <c r="BC34" s="28">
        <v>1</v>
      </c>
      <c r="BD34" s="29">
        <v>1</v>
      </c>
      <c r="BF34" s="25">
        <v>0.38541666666666669</v>
      </c>
      <c r="BG34" s="26">
        <v>0.82291666666666663</v>
      </c>
      <c r="BH34" s="27">
        <v>75</v>
      </c>
      <c r="BI34" s="28">
        <v>1</v>
      </c>
      <c r="BJ34" s="29">
        <v>1</v>
      </c>
      <c r="BL34" s="33"/>
      <c r="BM34" s="34"/>
      <c r="BN34" s="35"/>
      <c r="BO34" s="36"/>
      <c r="BP34" s="37"/>
      <c r="BR34" s="33"/>
      <c r="BS34" s="34"/>
      <c r="BT34" s="35"/>
      <c r="BU34" s="36"/>
      <c r="BV34" s="37"/>
      <c r="BX34" s="33"/>
      <c r="BY34" s="34"/>
      <c r="BZ34" s="35"/>
      <c r="CA34" s="36"/>
      <c r="CB34" s="37"/>
      <c r="CD34" s="33"/>
      <c r="CE34" s="34"/>
      <c r="CF34" s="35"/>
      <c r="CG34" s="36"/>
      <c r="CH34" s="37"/>
      <c r="CJ34" s="33"/>
      <c r="CK34" s="34"/>
      <c r="CL34" s="35"/>
      <c r="CM34" s="36"/>
      <c r="CN34" s="37"/>
      <c r="CP34" s="33"/>
      <c r="CQ34" s="34"/>
      <c r="CR34" s="35"/>
      <c r="CS34" s="36"/>
      <c r="CT34" s="37"/>
      <c r="CV34" s="33"/>
      <c r="CW34" s="34"/>
      <c r="CX34" s="35"/>
      <c r="CY34" s="36"/>
      <c r="CZ34" s="37"/>
      <c r="DA34" s="30">
        <f t="shared" si="0"/>
        <v>0</v>
      </c>
      <c r="DB34" s="31" t="e">
        <f>DA34*#REF!</f>
        <v>#REF!</v>
      </c>
      <c r="DC34" s="32" t="e">
        <f>DA34*#REF!</f>
        <v>#REF!</v>
      </c>
      <c r="DE34" s="33"/>
      <c r="DF34" s="34"/>
      <c r="DG34" s="35"/>
      <c r="DH34" s="36"/>
      <c r="DI34" s="37"/>
      <c r="DJ34" s="30">
        <f t="shared" si="1"/>
        <v>0</v>
      </c>
      <c r="DK34" s="31" t="e">
        <f>DJ34*#REF!</f>
        <v>#REF!</v>
      </c>
      <c r="DL34" s="32" t="e">
        <f>DJ34*#REF!</f>
        <v>#REF!</v>
      </c>
      <c r="DN34" s="33"/>
      <c r="DO34" s="34"/>
      <c r="DP34" s="35"/>
      <c r="DQ34" s="36"/>
      <c r="DR34" s="37"/>
      <c r="DS34" s="30">
        <f t="shared" si="2"/>
        <v>0</v>
      </c>
      <c r="DT34" s="31" t="e">
        <f>DS34*#REF!</f>
        <v>#REF!</v>
      </c>
      <c r="DU34" s="32" t="e">
        <f>DS34*#REF!</f>
        <v>#REF!</v>
      </c>
      <c r="DW34" s="33"/>
      <c r="DX34" s="34"/>
      <c r="DY34" s="35"/>
      <c r="DZ34" s="36"/>
      <c r="EA34" s="37"/>
      <c r="EB34" s="30">
        <f t="shared" si="3"/>
        <v>0</v>
      </c>
      <c r="EC34" s="31" t="e">
        <f>EB34*#REF!</f>
        <v>#REF!</v>
      </c>
      <c r="ED34" s="32" t="e">
        <f>EB34*#REF!</f>
        <v>#REF!</v>
      </c>
      <c r="EF34" s="33"/>
      <c r="EG34" s="34"/>
      <c r="EH34" s="35"/>
      <c r="EI34" s="36"/>
      <c r="EJ34" s="37"/>
      <c r="EK34" s="30">
        <f t="shared" si="4"/>
        <v>0</v>
      </c>
      <c r="EL34" s="31" t="e">
        <f>EK34*#REF!</f>
        <v>#REF!</v>
      </c>
      <c r="EM34" s="32" t="e">
        <f>EK34*#REF!</f>
        <v>#REF!</v>
      </c>
      <c r="EO34" s="33"/>
      <c r="EP34" s="34"/>
      <c r="EQ34" s="35"/>
      <c r="ER34" s="36"/>
      <c r="ES34" s="37"/>
      <c r="ET34" s="30">
        <f t="shared" si="5"/>
        <v>0</v>
      </c>
      <c r="EU34" s="31" t="e">
        <f>ET34*#REF!</f>
        <v>#REF!</v>
      </c>
      <c r="EV34" s="32" t="e">
        <f>ET34*#REF!</f>
        <v>#REF!</v>
      </c>
      <c r="EX34" s="33"/>
      <c r="EY34" s="34"/>
      <c r="EZ34" s="35"/>
      <c r="FA34" s="36"/>
      <c r="FB34" s="37"/>
      <c r="FC34" s="30">
        <f t="shared" si="6"/>
        <v>0</v>
      </c>
      <c r="FD34" s="31" t="e">
        <f>FC34*#REF!</f>
        <v>#REF!</v>
      </c>
      <c r="FE34" s="32" t="e">
        <f>FC34*#REF!</f>
        <v>#REF!</v>
      </c>
      <c r="FG34" s="33"/>
      <c r="FH34" s="34"/>
      <c r="FI34" s="35"/>
      <c r="FJ34" s="36"/>
      <c r="FK34" s="37"/>
      <c r="FL34" s="30">
        <f t="shared" si="7"/>
        <v>0</v>
      </c>
      <c r="FM34" s="31" t="e">
        <f>FL34*#REF!</f>
        <v>#REF!</v>
      </c>
      <c r="FN34" s="32" t="e">
        <f>FL34*#REF!</f>
        <v>#REF!</v>
      </c>
      <c r="FP34" s="33"/>
      <c r="FQ34" s="34"/>
      <c r="FR34" s="35"/>
      <c r="FS34" s="36"/>
      <c r="FT34" s="37"/>
      <c r="FU34" s="30">
        <f t="shared" si="8"/>
        <v>0</v>
      </c>
      <c r="FV34" s="31" t="e">
        <f>FU34*#REF!</f>
        <v>#REF!</v>
      </c>
      <c r="FW34" s="32" t="e">
        <f>FU34*#REF!</f>
        <v>#REF!</v>
      </c>
      <c r="FY34" s="33"/>
      <c r="FZ34" s="34"/>
      <c r="GA34" s="35"/>
      <c r="GB34" s="36"/>
      <c r="GC34" s="37"/>
      <c r="GD34" s="30">
        <f t="shared" si="9"/>
        <v>0</v>
      </c>
      <c r="GE34" s="31" t="e">
        <f>GD34*#REF!</f>
        <v>#REF!</v>
      </c>
      <c r="GF34" s="32" t="e">
        <f>GD34*#REF!</f>
        <v>#REF!</v>
      </c>
      <c r="GH34" s="33"/>
      <c r="GI34" s="34"/>
      <c r="GJ34" s="35"/>
      <c r="GK34" s="36"/>
      <c r="GL34" s="37"/>
      <c r="GM34" s="30">
        <f t="shared" si="10"/>
        <v>0</v>
      </c>
      <c r="GN34" s="31" t="e">
        <f>GM34*#REF!</f>
        <v>#REF!</v>
      </c>
      <c r="GO34" s="32" t="e">
        <f>GM34*#REF!</f>
        <v>#REF!</v>
      </c>
      <c r="GQ34" s="38">
        <f>_xlfn.MAXIFS(I34:GO34,$I$5:$GO$5,"Staff #")</f>
        <v>1</v>
      </c>
      <c r="GR34" s="39">
        <v>1</v>
      </c>
    </row>
    <row r="35" spans="2:200" ht="15" x14ac:dyDescent="0.25">
      <c r="B35" s="22"/>
      <c r="C35" s="23"/>
      <c r="D35" s="24" t="str">
        <f>IF(C35="","",_xlfn.XLOOKUP(C35,'[3]Control Sheet'!$L$5:$L$104,'[3]Control Sheet'!$M$5:$M$104,"",0))</f>
        <v/>
      </c>
      <c r="E35" s="24" t="str">
        <f>IF(B35="","",_xlfn.XLOOKUP(B35,'[3]Control Sheet'!$D$5:$D$64,'[3]Control Sheet'!$F$5:$F$64,"",0))</f>
        <v/>
      </c>
      <c r="F35" s="24" t="str">
        <f>IF(B35="","",_xlfn.XLOOKUP(B35,'[3]Control Sheet'!$D$5:$D$64,'[3]Control Sheet'!$E$5:$E$64,"",0))</f>
        <v/>
      </c>
      <c r="I35" s="33"/>
      <c r="J35" s="34"/>
      <c r="K35" s="35"/>
      <c r="L35" s="36"/>
      <c r="M35" s="37"/>
      <c r="P35" s="33"/>
      <c r="Q35" s="34"/>
      <c r="R35" s="35"/>
      <c r="S35" s="36"/>
      <c r="T35" s="37"/>
      <c r="V35" s="33"/>
      <c r="W35" s="34"/>
      <c r="X35" s="35"/>
      <c r="Y35" s="36"/>
      <c r="Z35" s="37"/>
      <c r="AB35" s="33"/>
      <c r="AC35" s="34"/>
      <c r="AD35" s="35"/>
      <c r="AE35" s="36"/>
      <c r="AF35" s="37"/>
      <c r="AH35" s="33"/>
      <c r="AI35" s="34"/>
      <c r="AJ35" s="35"/>
      <c r="AK35" s="36"/>
      <c r="AL35" s="37"/>
      <c r="AN35" s="33"/>
      <c r="AO35" s="34"/>
      <c r="AP35" s="35"/>
      <c r="AQ35" s="36"/>
      <c r="AR35" s="37"/>
      <c r="AT35" s="33"/>
      <c r="AU35" s="34"/>
      <c r="AV35" s="35"/>
      <c r="AW35" s="36"/>
      <c r="AX35" s="37"/>
      <c r="AZ35" s="33"/>
      <c r="BA35" s="34"/>
      <c r="BB35" s="35"/>
      <c r="BC35" s="36"/>
      <c r="BD35" s="37"/>
      <c r="BF35" s="33"/>
      <c r="BG35" s="34"/>
      <c r="BH35" s="35"/>
      <c r="BI35" s="36"/>
      <c r="BJ35" s="37"/>
      <c r="BL35" s="33"/>
      <c r="BM35" s="34"/>
      <c r="BN35" s="35"/>
      <c r="BO35" s="36"/>
      <c r="BP35" s="37"/>
      <c r="BR35" s="33"/>
      <c r="BS35" s="34"/>
      <c r="BT35" s="35"/>
      <c r="BU35" s="36"/>
      <c r="BV35" s="37"/>
      <c r="BX35" s="33"/>
      <c r="BY35" s="34"/>
      <c r="BZ35" s="35"/>
      <c r="CA35" s="36"/>
      <c r="CB35" s="37"/>
      <c r="CD35" s="33"/>
      <c r="CE35" s="34"/>
      <c r="CF35" s="35"/>
      <c r="CG35" s="36"/>
      <c r="CH35" s="37"/>
      <c r="CJ35" s="33"/>
      <c r="CK35" s="34"/>
      <c r="CL35" s="35"/>
      <c r="CM35" s="36"/>
      <c r="CN35" s="37"/>
      <c r="CP35" s="33"/>
      <c r="CQ35" s="34"/>
      <c r="CR35" s="35"/>
      <c r="CS35" s="36"/>
      <c r="CT35" s="37"/>
      <c r="CV35" s="33"/>
      <c r="CW35" s="34"/>
      <c r="CX35" s="35"/>
      <c r="CY35" s="36"/>
      <c r="CZ35" s="37"/>
      <c r="DA35" s="30">
        <f t="shared" si="0"/>
        <v>0</v>
      </c>
      <c r="DB35" s="31" t="e">
        <f>DA35*#REF!</f>
        <v>#REF!</v>
      </c>
      <c r="DC35" s="32" t="e">
        <f>DA35*#REF!</f>
        <v>#REF!</v>
      </c>
      <c r="DE35" s="33"/>
      <c r="DF35" s="34"/>
      <c r="DG35" s="35"/>
      <c r="DH35" s="36"/>
      <c r="DI35" s="37"/>
      <c r="DJ35" s="30">
        <f t="shared" si="1"/>
        <v>0</v>
      </c>
      <c r="DK35" s="31" t="e">
        <f>DJ35*#REF!</f>
        <v>#REF!</v>
      </c>
      <c r="DL35" s="32" t="e">
        <f>DJ35*#REF!</f>
        <v>#REF!</v>
      </c>
      <c r="DN35" s="33"/>
      <c r="DO35" s="34"/>
      <c r="DP35" s="35"/>
      <c r="DQ35" s="36"/>
      <c r="DR35" s="37"/>
      <c r="DS35" s="30">
        <f t="shared" si="2"/>
        <v>0</v>
      </c>
      <c r="DT35" s="31" t="e">
        <f>DS35*#REF!</f>
        <v>#REF!</v>
      </c>
      <c r="DU35" s="32" t="e">
        <f>DS35*#REF!</f>
        <v>#REF!</v>
      </c>
      <c r="DW35" s="33"/>
      <c r="DX35" s="34"/>
      <c r="DY35" s="35"/>
      <c r="DZ35" s="36"/>
      <c r="EA35" s="37"/>
      <c r="EB35" s="30">
        <f t="shared" si="3"/>
        <v>0</v>
      </c>
      <c r="EC35" s="31" t="e">
        <f>EB35*#REF!</f>
        <v>#REF!</v>
      </c>
      <c r="ED35" s="32" t="e">
        <f>EB35*#REF!</f>
        <v>#REF!</v>
      </c>
      <c r="EF35" s="33"/>
      <c r="EG35" s="34"/>
      <c r="EH35" s="35"/>
      <c r="EI35" s="36"/>
      <c r="EJ35" s="37"/>
      <c r="EK35" s="30">
        <f t="shared" si="4"/>
        <v>0</v>
      </c>
      <c r="EL35" s="31" t="e">
        <f>EK35*#REF!</f>
        <v>#REF!</v>
      </c>
      <c r="EM35" s="32" t="e">
        <f>EK35*#REF!</f>
        <v>#REF!</v>
      </c>
      <c r="EO35" s="33"/>
      <c r="EP35" s="34"/>
      <c r="EQ35" s="35"/>
      <c r="ER35" s="36"/>
      <c r="ES35" s="37"/>
      <c r="ET35" s="30">
        <f t="shared" si="5"/>
        <v>0</v>
      </c>
      <c r="EU35" s="31" t="e">
        <f>ET35*#REF!</f>
        <v>#REF!</v>
      </c>
      <c r="EV35" s="32" t="e">
        <f>ET35*#REF!</f>
        <v>#REF!</v>
      </c>
      <c r="EX35" s="33"/>
      <c r="EY35" s="34"/>
      <c r="EZ35" s="35"/>
      <c r="FA35" s="36"/>
      <c r="FB35" s="37"/>
      <c r="FC35" s="30">
        <f t="shared" si="6"/>
        <v>0</v>
      </c>
      <c r="FD35" s="31" t="e">
        <f>FC35*#REF!</f>
        <v>#REF!</v>
      </c>
      <c r="FE35" s="32" t="e">
        <f>FC35*#REF!</f>
        <v>#REF!</v>
      </c>
      <c r="FG35" s="33"/>
      <c r="FH35" s="34"/>
      <c r="FI35" s="35"/>
      <c r="FJ35" s="36"/>
      <c r="FK35" s="37"/>
      <c r="FL35" s="30">
        <f t="shared" si="7"/>
        <v>0</v>
      </c>
      <c r="FM35" s="31" t="e">
        <f>FL35*#REF!</f>
        <v>#REF!</v>
      </c>
      <c r="FN35" s="32" t="e">
        <f>FL35*#REF!</f>
        <v>#REF!</v>
      </c>
      <c r="FP35" s="33"/>
      <c r="FQ35" s="34"/>
      <c r="FR35" s="35"/>
      <c r="FS35" s="36"/>
      <c r="FT35" s="37"/>
      <c r="FU35" s="30">
        <f t="shared" si="8"/>
        <v>0</v>
      </c>
      <c r="FV35" s="31" t="e">
        <f>FU35*#REF!</f>
        <v>#REF!</v>
      </c>
      <c r="FW35" s="32" t="e">
        <f>FU35*#REF!</f>
        <v>#REF!</v>
      </c>
      <c r="FY35" s="33"/>
      <c r="FZ35" s="34"/>
      <c r="GA35" s="35"/>
      <c r="GB35" s="36"/>
      <c r="GC35" s="37"/>
      <c r="GD35" s="30">
        <f t="shared" si="9"/>
        <v>0</v>
      </c>
      <c r="GE35" s="31" t="e">
        <f>GD35*#REF!</f>
        <v>#REF!</v>
      </c>
      <c r="GF35" s="32" t="e">
        <f>GD35*#REF!</f>
        <v>#REF!</v>
      </c>
      <c r="GH35" s="33"/>
      <c r="GI35" s="34"/>
      <c r="GJ35" s="35"/>
      <c r="GK35" s="36"/>
      <c r="GL35" s="37"/>
      <c r="GM35" s="30">
        <f t="shared" si="10"/>
        <v>0</v>
      </c>
      <c r="GN35" s="31" t="e">
        <f>GM35*#REF!</f>
        <v>#REF!</v>
      </c>
      <c r="GO35" s="32" t="e">
        <f>GM35*#REF!</f>
        <v>#REF!</v>
      </c>
      <c r="GQ35" s="38">
        <f>_xlfn.MAXIFS(I35:GO35,$I$5:$GO$5,"Staff #")</f>
        <v>0</v>
      </c>
      <c r="GR35" s="39">
        <v>0</v>
      </c>
    </row>
    <row r="36" spans="2:200" ht="15" x14ac:dyDescent="0.25">
      <c r="B36" s="22" t="s">
        <v>61</v>
      </c>
      <c r="C36" s="23" t="s">
        <v>62</v>
      </c>
      <c r="D36" s="24" t="str">
        <f>IF(C36="","",_xlfn.XLOOKUP(C36,'[3]Control Sheet'!$L$5:$L$104,'[3]Control Sheet'!$M$5:$M$104,"",0))</f>
        <v>Rides Operator</v>
      </c>
      <c r="E36" s="24" t="str">
        <f>IF(B36="","",_xlfn.XLOOKUP(B36,'[3]Control Sheet'!$D$5:$D$64,'[3]Control Sheet'!$F$5:$F$64,"",0))</f>
        <v>Rides</v>
      </c>
      <c r="F36" s="24" t="str">
        <f>IF(B36="","",_xlfn.XLOOKUP(B36,'[3]Control Sheet'!$D$5:$D$64,'[3]Control Sheet'!$E$5:$E$64,"",0))</f>
        <v>C1300-O</v>
      </c>
      <c r="I36" s="25">
        <v>0.38541666666666669</v>
      </c>
      <c r="J36" s="26">
        <v>0.69791666666666663</v>
      </c>
      <c r="K36" s="27">
        <v>45</v>
      </c>
      <c r="L36" s="28">
        <v>1</v>
      </c>
      <c r="M36" s="42">
        <v>1</v>
      </c>
      <c r="P36" s="25">
        <v>0.38541666666666669</v>
      </c>
      <c r="Q36" s="26">
        <v>0.73958333333333337</v>
      </c>
      <c r="R36" s="27">
        <v>45</v>
      </c>
      <c r="S36" s="28">
        <v>1</v>
      </c>
      <c r="T36" s="42">
        <v>1</v>
      </c>
      <c r="V36" s="25">
        <v>0.38541666666666669</v>
      </c>
      <c r="W36" s="26">
        <v>0.73958333333333337</v>
      </c>
      <c r="X36" s="27">
        <v>45</v>
      </c>
      <c r="Y36" s="28">
        <v>1</v>
      </c>
      <c r="Z36" s="42">
        <v>1</v>
      </c>
      <c r="AB36" s="25">
        <v>0.38541666666666669</v>
      </c>
      <c r="AC36" s="26">
        <v>0.73958333333333337</v>
      </c>
      <c r="AD36" s="27">
        <v>45</v>
      </c>
      <c r="AE36" s="28">
        <v>1</v>
      </c>
      <c r="AF36" s="42">
        <v>1</v>
      </c>
      <c r="AH36" s="25">
        <v>0.38541666666666669</v>
      </c>
      <c r="AI36" s="26">
        <v>0.73958333333333337</v>
      </c>
      <c r="AJ36" s="27">
        <v>45</v>
      </c>
      <c r="AK36" s="28">
        <v>1</v>
      </c>
      <c r="AL36" s="42">
        <v>1</v>
      </c>
      <c r="AN36" s="25">
        <v>0.38541666666666669</v>
      </c>
      <c r="AO36" s="26">
        <v>0.78125</v>
      </c>
      <c r="AP36" s="27">
        <v>45</v>
      </c>
      <c r="AQ36" s="28">
        <v>1</v>
      </c>
      <c r="AR36" s="42">
        <v>1</v>
      </c>
      <c r="AT36" s="25">
        <v>0.38541666666666669</v>
      </c>
      <c r="AU36" s="26">
        <v>0.73958333333333337</v>
      </c>
      <c r="AV36" s="27">
        <v>45</v>
      </c>
      <c r="AW36" s="28">
        <v>1</v>
      </c>
      <c r="AX36" s="42">
        <v>1</v>
      </c>
      <c r="AZ36" s="25">
        <v>0.38541666666666669</v>
      </c>
      <c r="BA36" s="26">
        <v>0.78125</v>
      </c>
      <c r="BB36" s="27">
        <v>45</v>
      </c>
      <c r="BC36" s="28">
        <v>1</v>
      </c>
      <c r="BD36" s="42">
        <v>1</v>
      </c>
      <c r="BF36" s="25">
        <v>0.38541666666666669</v>
      </c>
      <c r="BG36" s="26">
        <v>0.82291666666666663</v>
      </c>
      <c r="BH36" s="27">
        <v>75</v>
      </c>
      <c r="BI36" s="28">
        <v>1</v>
      </c>
      <c r="BJ36" s="42">
        <v>1</v>
      </c>
      <c r="BL36" s="25">
        <v>0.38541666666666669</v>
      </c>
      <c r="BM36" s="26">
        <v>0.69791666666666663</v>
      </c>
      <c r="BN36" s="27">
        <v>45</v>
      </c>
      <c r="BO36" s="28">
        <v>1</v>
      </c>
      <c r="BP36" s="42">
        <v>1</v>
      </c>
      <c r="BR36" s="33"/>
      <c r="BS36" s="34"/>
      <c r="BT36" s="35"/>
      <c r="BU36" s="36"/>
      <c r="BV36" s="37"/>
      <c r="BX36" s="33"/>
      <c r="BY36" s="34"/>
      <c r="BZ36" s="35"/>
      <c r="CA36" s="36"/>
      <c r="CB36" s="37"/>
      <c r="CD36" s="33"/>
      <c r="CE36" s="34"/>
      <c r="CF36" s="35"/>
      <c r="CG36" s="36"/>
      <c r="CH36" s="37"/>
      <c r="CJ36" s="33"/>
      <c r="CK36" s="34"/>
      <c r="CL36" s="35"/>
      <c r="CM36" s="36"/>
      <c r="CN36" s="37"/>
      <c r="CP36" s="33"/>
      <c r="CQ36" s="34"/>
      <c r="CR36" s="35"/>
      <c r="CS36" s="36"/>
      <c r="CT36" s="37"/>
      <c r="CV36" s="33"/>
      <c r="CW36" s="34"/>
      <c r="CX36" s="35"/>
      <c r="CY36" s="36"/>
      <c r="CZ36" s="37"/>
      <c r="DA36" s="30">
        <f t="shared" si="0"/>
        <v>0</v>
      </c>
      <c r="DB36" s="31" t="e">
        <f>DA36*#REF!</f>
        <v>#REF!</v>
      </c>
      <c r="DC36" s="32" t="e">
        <f>DA36*#REF!</f>
        <v>#REF!</v>
      </c>
      <c r="DE36" s="33"/>
      <c r="DF36" s="34"/>
      <c r="DG36" s="35"/>
      <c r="DH36" s="36"/>
      <c r="DI36" s="37"/>
      <c r="DJ36" s="30">
        <f t="shared" si="1"/>
        <v>0</v>
      </c>
      <c r="DK36" s="31" t="e">
        <f>DJ36*#REF!</f>
        <v>#REF!</v>
      </c>
      <c r="DL36" s="32" t="e">
        <f>DJ36*#REF!</f>
        <v>#REF!</v>
      </c>
      <c r="DN36" s="33"/>
      <c r="DO36" s="34"/>
      <c r="DP36" s="35"/>
      <c r="DQ36" s="36"/>
      <c r="DR36" s="37"/>
      <c r="DS36" s="30">
        <f t="shared" si="2"/>
        <v>0</v>
      </c>
      <c r="DT36" s="31" t="e">
        <f>DS36*#REF!</f>
        <v>#REF!</v>
      </c>
      <c r="DU36" s="32" t="e">
        <f>DS36*#REF!</f>
        <v>#REF!</v>
      </c>
      <c r="DW36" s="33"/>
      <c r="DX36" s="34"/>
      <c r="DY36" s="35"/>
      <c r="DZ36" s="36"/>
      <c r="EA36" s="37"/>
      <c r="EB36" s="30">
        <f t="shared" si="3"/>
        <v>0</v>
      </c>
      <c r="EC36" s="31" t="e">
        <f>EB36*#REF!</f>
        <v>#REF!</v>
      </c>
      <c r="ED36" s="32" t="e">
        <f>EB36*#REF!</f>
        <v>#REF!</v>
      </c>
      <c r="EF36" s="33"/>
      <c r="EG36" s="34"/>
      <c r="EH36" s="35"/>
      <c r="EI36" s="36"/>
      <c r="EJ36" s="37"/>
      <c r="EK36" s="30">
        <f t="shared" si="4"/>
        <v>0</v>
      </c>
      <c r="EL36" s="31" t="e">
        <f>EK36*#REF!</f>
        <v>#REF!</v>
      </c>
      <c r="EM36" s="32" t="e">
        <f>EK36*#REF!</f>
        <v>#REF!</v>
      </c>
      <c r="EO36" s="33"/>
      <c r="EP36" s="34"/>
      <c r="EQ36" s="35"/>
      <c r="ER36" s="36"/>
      <c r="ES36" s="37"/>
      <c r="ET36" s="30">
        <f t="shared" si="5"/>
        <v>0</v>
      </c>
      <c r="EU36" s="31" t="e">
        <f>ET36*#REF!</f>
        <v>#REF!</v>
      </c>
      <c r="EV36" s="32" t="e">
        <f>ET36*#REF!</f>
        <v>#REF!</v>
      </c>
      <c r="EX36" s="33"/>
      <c r="EY36" s="34"/>
      <c r="EZ36" s="35"/>
      <c r="FA36" s="36"/>
      <c r="FB36" s="37"/>
      <c r="FC36" s="30">
        <f t="shared" si="6"/>
        <v>0</v>
      </c>
      <c r="FD36" s="31" t="e">
        <f>FC36*#REF!</f>
        <v>#REF!</v>
      </c>
      <c r="FE36" s="32" t="e">
        <f>FC36*#REF!</f>
        <v>#REF!</v>
      </c>
      <c r="FG36" s="33"/>
      <c r="FH36" s="34"/>
      <c r="FI36" s="35"/>
      <c r="FJ36" s="36"/>
      <c r="FK36" s="37"/>
      <c r="FL36" s="30">
        <f t="shared" si="7"/>
        <v>0</v>
      </c>
      <c r="FM36" s="31" t="e">
        <f>FL36*#REF!</f>
        <v>#REF!</v>
      </c>
      <c r="FN36" s="32" t="e">
        <f>FL36*#REF!</f>
        <v>#REF!</v>
      </c>
      <c r="FP36" s="33"/>
      <c r="FQ36" s="34"/>
      <c r="FR36" s="35"/>
      <c r="FS36" s="36"/>
      <c r="FT36" s="37"/>
      <c r="FU36" s="30">
        <f t="shared" si="8"/>
        <v>0</v>
      </c>
      <c r="FV36" s="31" t="e">
        <f>FU36*#REF!</f>
        <v>#REF!</v>
      </c>
      <c r="FW36" s="32" t="e">
        <f>FU36*#REF!</f>
        <v>#REF!</v>
      </c>
      <c r="FY36" s="33"/>
      <c r="FZ36" s="34"/>
      <c r="GA36" s="35"/>
      <c r="GB36" s="36"/>
      <c r="GC36" s="37"/>
      <c r="GD36" s="30">
        <f t="shared" si="9"/>
        <v>0</v>
      </c>
      <c r="GE36" s="31" t="e">
        <f>GD36*#REF!</f>
        <v>#REF!</v>
      </c>
      <c r="GF36" s="32" t="e">
        <f>GD36*#REF!</f>
        <v>#REF!</v>
      </c>
      <c r="GH36" s="33"/>
      <c r="GI36" s="34"/>
      <c r="GJ36" s="35"/>
      <c r="GK36" s="36"/>
      <c r="GL36" s="37"/>
      <c r="GM36" s="30">
        <f t="shared" si="10"/>
        <v>0</v>
      </c>
      <c r="GN36" s="31" t="e">
        <f>GM36*#REF!</f>
        <v>#REF!</v>
      </c>
      <c r="GO36" s="32" t="e">
        <f>GM36*#REF!</f>
        <v>#REF!</v>
      </c>
      <c r="GQ36" s="38">
        <f>_xlfn.MAXIFS(I36:GO36,$I$5:$GO$5,"Staff #")</f>
        <v>1</v>
      </c>
      <c r="GR36" s="39">
        <v>1</v>
      </c>
    </row>
    <row r="37" spans="2:200" ht="15" x14ac:dyDescent="0.25">
      <c r="B37" s="22" t="s">
        <v>61</v>
      </c>
      <c r="C37" s="23" t="s">
        <v>63</v>
      </c>
      <c r="D37" s="24" t="str">
        <f>IF(C37="","",_xlfn.XLOOKUP(C37,'[3]Control Sheet'!$L$5:$L$104,'[3]Control Sheet'!$M$5:$M$104,"",0))</f>
        <v>Rides Attendant</v>
      </c>
      <c r="E37" s="24" t="str">
        <f>IF(B37="","",_xlfn.XLOOKUP(B37,'[3]Control Sheet'!$D$5:$D$64,'[3]Control Sheet'!$F$5:$F$64,"",0))</f>
        <v>Rides</v>
      </c>
      <c r="F37" s="24" t="str">
        <f>IF(B37="","",_xlfn.XLOOKUP(B37,'[3]Control Sheet'!$D$5:$D$64,'[3]Control Sheet'!$E$5:$E$64,"",0))</f>
        <v>C1300-O</v>
      </c>
      <c r="I37" s="25">
        <v>0.38541666666666669</v>
      </c>
      <c r="J37" s="26">
        <v>0.69791666666666663</v>
      </c>
      <c r="K37" s="27">
        <v>45</v>
      </c>
      <c r="L37" s="28">
        <v>2</v>
      </c>
      <c r="M37" s="42">
        <v>1</v>
      </c>
      <c r="P37" s="25">
        <v>0.38541666666666669</v>
      </c>
      <c r="Q37" s="26">
        <v>0.73958333333333337</v>
      </c>
      <c r="R37" s="27">
        <v>45</v>
      </c>
      <c r="S37" s="28">
        <v>2</v>
      </c>
      <c r="T37" s="42">
        <v>1</v>
      </c>
      <c r="V37" s="25">
        <v>0.38541666666666669</v>
      </c>
      <c r="W37" s="26">
        <v>0.73958333333333337</v>
      </c>
      <c r="X37" s="27">
        <v>45</v>
      </c>
      <c r="Y37" s="28">
        <v>2</v>
      </c>
      <c r="Z37" s="42">
        <v>1</v>
      </c>
      <c r="AB37" s="25">
        <v>0.38541666666666669</v>
      </c>
      <c r="AC37" s="26">
        <v>0.73958333333333337</v>
      </c>
      <c r="AD37" s="27">
        <v>45</v>
      </c>
      <c r="AE37" s="28">
        <v>2</v>
      </c>
      <c r="AF37" s="42">
        <v>1</v>
      </c>
      <c r="AH37" s="25">
        <v>0.38541666666666669</v>
      </c>
      <c r="AI37" s="26">
        <v>0.73958333333333337</v>
      </c>
      <c r="AJ37" s="27">
        <v>45</v>
      </c>
      <c r="AK37" s="28">
        <v>2</v>
      </c>
      <c r="AL37" s="42">
        <v>1</v>
      </c>
      <c r="AN37" s="25">
        <v>0.38541666666666669</v>
      </c>
      <c r="AO37" s="26">
        <v>0.78125</v>
      </c>
      <c r="AP37" s="27">
        <v>45</v>
      </c>
      <c r="AQ37" s="28">
        <v>2</v>
      </c>
      <c r="AR37" s="42">
        <v>1</v>
      </c>
      <c r="AT37" s="25">
        <v>0.38541666666666669</v>
      </c>
      <c r="AU37" s="26">
        <v>0.73958333333333337</v>
      </c>
      <c r="AV37" s="27">
        <v>45</v>
      </c>
      <c r="AW37" s="28">
        <v>2</v>
      </c>
      <c r="AX37" s="42">
        <v>1</v>
      </c>
      <c r="AZ37" s="25">
        <v>0.38541666666666669</v>
      </c>
      <c r="BA37" s="26">
        <v>0.78125</v>
      </c>
      <c r="BB37" s="27">
        <v>45</v>
      </c>
      <c r="BC37" s="28">
        <v>2</v>
      </c>
      <c r="BD37" s="42">
        <v>1</v>
      </c>
      <c r="BF37" s="25">
        <v>0.38541666666666669</v>
      </c>
      <c r="BG37" s="26">
        <v>0.82291666666666663</v>
      </c>
      <c r="BH37" s="27">
        <v>75</v>
      </c>
      <c r="BI37" s="28">
        <v>2</v>
      </c>
      <c r="BJ37" s="42">
        <v>1</v>
      </c>
      <c r="BL37" s="25">
        <v>0.38541666666666669</v>
      </c>
      <c r="BM37" s="26">
        <v>0.69791666666666663</v>
      </c>
      <c r="BN37" s="27">
        <v>45</v>
      </c>
      <c r="BO37" s="28">
        <v>2</v>
      </c>
      <c r="BP37" s="42">
        <v>1</v>
      </c>
      <c r="BR37" s="33"/>
      <c r="BS37" s="34"/>
      <c r="BT37" s="35"/>
      <c r="BU37" s="36"/>
      <c r="BV37" s="37"/>
      <c r="BX37" s="33"/>
      <c r="BY37" s="34"/>
      <c r="BZ37" s="35"/>
      <c r="CA37" s="36"/>
      <c r="CB37" s="37"/>
      <c r="CD37" s="33"/>
      <c r="CE37" s="34"/>
      <c r="CF37" s="35"/>
      <c r="CG37" s="36"/>
      <c r="CH37" s="37"/>
      <c r="CJ37" s="33"/>
      <c r="CK37" s="34"/>
      <c r="CL37" s="35"/>
      <c r="CM37" s="36"/>
      <c r="CN37" s="37"/>
      <c r="CP37" s="33"/>
      <c r="CQ37" s="34"/>
      <c r="CR37" s="35"/>
      <c r="CS37" s="36"/>
      <c r="CT37" s="37"/>
      <c r="CV37" s="33"/>
      <c r="CW37" s="34"/>
      <c r="CX37" s="35"/>
      <c r="CY37" s="36"/>
      <c r="CZ37" s="37"/>
      <c r="DA37" s="30">
        <f t="shared" si="0"/>
        <v>0</v>
      </c>
      <c r="DB37" s="31" t="e">
        <f>DA37*#REF!</f>
        <v>#REF!</v>
      </c>
      <c r="DC37" s="32" t="e">
        <f>DA37*#REF!</f>
        <v>#REF!</v>
      </c>
      <c r="DE37" s="33"/>
      <c r="DF37" s="34"/>
      <c r="DG37" s="35"/>
      <c r="DH37" s="36"/>
      <c r="DI37" s="37"/>
      <c r="DJ37" s="30">
        <f t="shared" si="1"/>
        <v>0</v>
      </c>
      <c r="DK37" s="31" t="e">
        <f>DJ37*#REF!</f>
        <v>#REF!</v>
      </c>
      <c r="DL37" s="32" t="e">
        <f>DJ37*#REF!</f>
        <v>#REF!</v>
      </c>
      <c r="DN37" s="33"/>
      <c r="DO37" s="34"/>
      <c r="DP37" s="35"/>
      <c r="DQ37" s="36"/>
      <c r="DR37" s="37"/>
      <c r="DS37" s="30">
        <f t="shared" si="2"/>
        <v>0</v>
      </c>
      <c r="DT37" s="31" t="e">
        <f>DS37*#REF!</f>
        <v>#REF!</v>
      </c>
      <c r="DU37" s="32" t="e">
        <f>DS37*#REF!</f>
        <v>#REF!</v>
      </c>
      <c r="DW37" s="33"/>
      <c r="DX37" s="34"/>
      <c r="DY37" s="35"/>
      <c r="DZ37" s="36"/>
      <c r="EA37" s="37"/>
      <c r="EB37" s="30">
        <f t="shared" si="3"/>
        <v>0</v>
      </c>
      <c r="EC37" s="31" t="e">
        <f>EB37*#REF!</f>
        <v>#REF!</v>
      </c>
      <c r="ED37" s="32" t="e">
        <f>EB37*#REF!</f>
        <v>#REF!</v>
      </c>
      <c r="EF37" s="33"/>
      <c r="EG37" s="34"/>
      <c r="EH37" s="35"/>
      <c r="EI37" s="36"/>
      <c r="EJ37" s="37"/>
      <c r="EK37" s="30">
        <f t="shared" si="4"/>
        <v>0</v>
      </c>
      <c r="EL37" s="31" t="e">
        <f>EK37*#REF!</f>
        <v>#REF!</v>
      </c>
      <c r="EM37" s="32" t="e">
        <f>EK37*#REF!</f>
        <v>#REF!</v>
      </c>
      <c r="EO37" s="33"/>
      <c r="EP37" s="34"/>
      <c r="EQ37" s="35"/>
      <c r="ER37" s="36"/>
      <c r="ES37" s="37"/>
      <c r="ET37" s="30">
        <f t="shared" si="5"/>
        <v>0</v>
      </c>
      <c r="EU37" s="31" t="e">
        <f>ET37*#REF!</f>
        <v>#REF!</v>
      </c>
      <c r="EV37" s="32" t="e">
        <f>ET37*#REF!</f>
        <v>#REF!</v>
      </c>
      <c r="EX37" s="33"/>
      <c r="EY37" s="34"/>
      <c r="EZ37" s="35"/>
      <c r="FA37" s="36"/>
      <c r="FB37" s="37"/>
      <c r="FC37" s="30">
        <f t="shared" si="6"/>
        <v>0</v>
      </c>
      <c r="FD37" s="31" t="e">
        <f>FC37*#REF!</f>
        <v>#REF!</v>
      </c>
      <c r="FE37" s="32" t="e">
        <f>FC37*#REF!</f>
        <v>#REF!</v>
      </c>
      <c r="FG37" s="33"/>
      <c r="FH37" s="34"/>
      <c r="FI37" s="35"/>
      <c r="FJ37" s="36"/>
      <c r="FK37" s="37"/>
      <c r="FL37" s="30">
        <f t="shared" si="7"/>
        <v>0</v>
      </c>
      <c r="FM37" s="31" t="e">
        <f>FL37*#REF!</f>
        <v>#REF!</v>
      </c>
      <c r="FN37" s="32" t="e">
        <f>FL37*#REF!</f>
        <v>#REF!</v>
      </c>
      <c r="FP37" s="33"/>
      <c r="FQ37" s="34"/>
      <c r="FR37" s="35"/>
      <c r="FS37" s="36"/>
      <c r="FT37" s="37"/>
      <c r="FU37" s="30">
        <f t="shared" si="8"/>
        <v>0</v>
      </c>
      <c r="FV37" s="31" t="e">
        <f>FU37*#REF!</f>
        <v>#REF!</v>
      </c>
      <c r="FW37" s="32" t="e">
        <f>FU37*#REF!</f>
        <v>#REF!</v>
      </c>
      <c r="FY37" s="33"/>
      <c r="FZ37" s="34"/>
      <c r="GA37" s="35"/>
      <c r="GB37" s="36"/>
      <c r="GC37" s="37"/>
      <c r="GD37" s="30">
        <f t="shared" si="9"/>
        <v>0</v>
      </c>
      <c r="GE37" s="31" t="e">
        <f>GD37*#REF!</f>
        <v>#REF!</v>
      </c>
      <c r="GF37" s="32" t="e">
        <f>GD37*#REF!</f>
        <v>#REF!</v>
      </c>
      <c r="GH37" s="33"/>
      <c r="GI37" s="34"/>
      <c r="GJ37" s="35"/>
      <c r="GK37" s="36"/>
      <c r="GL37" s="37"/>
      <c r="GM37" s="30">
        <f t="shared" si="10"/>
        <v>0</v>
      </c>
      <c r="GN37" s="31" t="e">
        <f>GM37*#REF!</f>
        <v>#REF!</v>
      </c>
      <c r="GO37" s="32" t="e">
        <f>GM37*#REF!</f>
        <v>#REF!</v>
      </c>
      <c r="GQ37" s="38">
        <f>_xlfn.MAXIFS(I37:GO37,$I$5:$GO$5,"Staff #")</f>
        <v>2</v>
      </c>
      <c r="GR37" s="39">
        <v>2</v>
      </c>
    </row>
    <row r="38" spans="2:200" ht="15" x14ac:dyDescent="0.25">
      <c r="B38" s="22"/>
      <c r="C38" s="23"/>
      <c r="D38" s="24" t="str">
        <f>IF(C38="","",_xlfn.XLOOKUP(C38,'[3]Control Sheet'!$L$5:$L$104,'[3]Control Sheet'!$M$5:$M$104,"",0))</f>
        <v/>
      </c>
      <c r="E38" s="24" t="str">
        <f>IF(B38="","",_xlfn.XLOOKUP(B38,'[3]Control Sheet'!$D$5:$D$64,'[3]Control Sheet'!$F$5:$F$64,"",0))</f>
        <v/>
      </c>
      <c r="F38" s="24" t="str">
        <f>IF(B38="","",_xlfn.XLOOKUP(B38,'[3]Control Sheet'!$D$5:$D$64,'[3]Control Sheet'!$E$5:$E$64,"",0))</f>
        <v/>
      </c>
      <c r="I38" s="33"/>
      <c r="J38" s="34"/>
      <c r="K38" s="35"/>
      <c r="L38" s="36"/>
      <c r="M38" s="37"/>
      <c r="P38" s="33"/>
      <c r="Q38" s="34"/>
      <c r="R38" s="35"/>
      <c r="S38" s="36"/>
      <c r="T38" s="37"/>
      <c r="V38" s="33"/>
      <c r="W38" s="34"/>
      <c r="X38" s="35"/>
      <c r="Y38" s="36"/>
      <c r="Z38" s="37"/>
      <c r="AB38" s="33"/>
      <c r="AC38" s="34"/>
      <c r="AD38" s="35"/>
      <c r="AE38" s="36"/>
      <c r="AF38" s="37"/>
      <c r="AH38" s="33"/>
      <c r="AI38" s="34"/>
      <c r="AJ38" s="35"/>
      <c r="AK38" s="36"/>
      <c r="AL38" s="37"/>
      <c r="AN38" s="33"/>
      <c r="AO38" s="34"/>
      <c r="AP38" s="35"/>
      <c r="AQ38" s="36"/>
      <c r="AR38" s="37"/>
      <c r="AT38" s="33"/>
      <c r="AU38" s="34"/>
      <c r="AV38" s="35"/>
      <c r="AW38" s="36"/>
      <c r="AX38" s="37"/>
      <c r="AZ38" s="33"/>
      <c r="BA38" s="34"/>
      <c r="BB38" s="35"/>
      <c r="BC38" s="36"/>
      <c r="BD38" s="37"/>
      <c r="BF38" s="33"/>
      <c r="BG38" s="34"/>
      <c r="BH38" s="35"/>
      <c r="BI38" s="36"/>
      <c r="BJ38" s="37"/>
      <c r="BL38" s="33"/>
      <c r="BM38" s="26"/>
      <c r="BN38" s="35"/>
      <c r="BO38" s="36"/>
      <c r="BP38" s="37"/>
      <c r="BR38" s="33"/>
      <c r="BS38" s="34"/>
      <c r="BT38" s="35"/>
      <c r="BU38" s="36"/>
      <c r="BV38" s="37"/>
      <c r="BX38" s="33"/>
      <c r="BY38" s="34"/>
      <c r="BZ38" s="35"/>
      <c r="CA38" s="36"/>
      <c r="CB38" s="37"/>
      <c r="CD38" s="33"/>
      <c r="CE38" s="34"/>
      <c r="CF38" s="35"/>
      <c r="CG38" s="36"/>
      <c r="CH38" s="37"/>
      <c r="CJ38" s="33"/>
      <c r="CK38" s="34"/>
      <c r="CL38" s="35"/>
      <c r="CM38" s="36"/>
      <c r="CN38" s="37"/>
      <c r="CP38" s="33"/>
      <c r="CQ38" s="34"/>
      <c r="CR38" s="35"/>
      <c r="CS38" s="36"/>
      <c r="CT38" s="37"/>
      <c r="CV38" s="33"/>
      <c r="CW38" s="34"/>
      <c r="CX38" s="35"/>
      <c r="CY38" s="36"/>
      <c r="CZ38" s="37"/>
      <c r="DA38" s="30">
        <f t="shared" si="0"/>
        <v>0</v>
      </c>
      <c r="DB38" s="31" t="e">
        <f>DA38*#REF!</f>
        <v>#REF!</v>
      </c>
      <c r="DC38" s="32" t="e">
        <f>DA38*#REF!</f>
        <v>#REF!</v>
      </c>
      <c r="DE38" s="33"/>
      <c r="DF38" s="34"/>
      <c r="DG38" s="35"/>
      <c r="DH38" s="36"/>
      <c r="DI38" s="37"/>
      <c r="DJ38" s="30">
        <f t="shared" si="1"/>
        <v>0</v>
      </c>
      <c r="DK38" s="31" t="e">
        <f>DJ38*#REF!</f>
        <v>#REF!</v>
      </c>
      <c r="DL38" s="32" t="e">
        <f>DJ38*#REF!</f>
        <v>#REF!</v>
      </c>
      <c r="DN38" s="33"/>
      <c r="DO38" s="34"/>
      <c r="DP38" s="35"/>
      <c r="DQ38" s="36"/>
      <c r="DR38" s="37"/>
      <c r="DS38" s="30">
        <f t="shared" si="2"/>
        <v>0</v>
      </c>
      <c r="DT38" s="31" t="e">
        <f>DS38*#REF!</f>
        <v>#REF!</v>
      </c>
      <c r="DU38" s="32" t="e">
        <f>DS38*#REF!</f>
        <v>#REF!</v>
      </c>
      <c r="DW38" s="33"/>
      <c r="DX38" s="34"/>
      <c r="DY38" s="35"/>
      <c r="DZ38" s="36"/>
      <c r="EA38" s="37"/>
      <c r="EB38" s="30">
        <f t="shared" si="3"/>
        <v>0</v>
      </c>
      <c r="EC38" s="31" t="e">
        <f>EB38*#REF!</f>
        <v>#REF!</v>
      </c>
      <c r="ED38" s="32" t="e">
        <f>EB38*#REF!</f>
        <v>#REF!</v>
      </c>
      <c r="EF38" s="33"/>
      <c r="EG38" s="34"/>
      <c r="EH38" s="35"/>
      <c r="EI38" s="36"/>
      <c r="EJ38" s="37"/>
      <c r="EK38" s="30">
        <f t="shared" si="4"/>
        <v>0</v>
      </c>
      <c r="EL38" s="31" t="e">
        <f>EK38*#REF!</f>
        <v>#REF!</v>
      </c>
      <c r="EM38" s="32" t="e">
        <f>EK38*#REF!</f>
        <v>#REF!</v>
      </c>
      <c r="EO38" s="33"/>
      <c r="EP38" s="34"/>
      <c r="EQ38" s="35"/>
      <c r="ER38" s="36"/>
      <c r="ES38" s="37"/>
      <c r="ET38" s="30">
        <f t="shared" si="5"/>
        <v>0</v>
      </c>
      <c r="EU38" s="31" t="e">
        <f>ET38*#REF!</f>
        <v>#REF!</v>
      </c>
      <c r="EV38" s="32" t="e">
        <f>ET38*#REF!</f>
        <v>#REF!</v>
      </c>
      <c r="EX38" s="33"/>
      <c r="EY38" s="34"/>
      <c r="EZ38" s="35"/>
      <c r="FA38" s="36"/>
      <c r="FB38" s="37"/>
      <c r="FC38" s="30">
        <f t="shared" si="6"/>
        <v>0</v>
      </c>
      <c r="FD38" s="31" t="e">
        <f>FC38*#REF!</f>
        <v>#REF!</v>
      </c>
      <c r="FE38" s="32" t="e">
        <f>FC38*#REF!</f>
        <v>#REF!</v>
      </c>
      <c r="FG38" s="33"/>
      <c r="FH38" s="34"/>
      <c r="FI38" s="35"/>
      <c r="FJ38" s="36"/>
      <c r="FK38" s="37"/>
      <c r="FL38" s="30">
        <f t="shared" si="7"/>
        <v>0</v>
      </c>
      <c r="FM38" s="31" t="e">
        <f>FL38*#REF!</f>
        <v>#REF!</v>
      </c>
      <c r="FN38" s="32" t="e">
        <f>FL38*#REF!</f>
        <v>#REF!</v>
      </c>
      <c r="FP38" s="33"/>
      <c r="FQ38" s="34"/>
      <c r="FR38" s="35"/>
      <c r="FS38" s="36"/>
      <c r="FT38" s="37"/>
      <c r="FU38" s="30">
        <f t="shared" si="8"/>
        <v>0</v>
      </c>
      <c r="FV38" s="31" t="e">
        <f>FU38*#REF!</f>
        <v>#REF!</v>
      </c>
      <c r="FW38" s="32" t="e">
        <f>FU38*#REF!</f>
        <v>#REF!</v>
      </c>
      <c r="FY38" s="33"/>
      <c r="FZ38" s="34"/>
      <c r="GA38" s="35"/>
      <c r="GB38" s="36"/>
      <c r="GC38" s="37"/>
      <c r="GD38" s="30">
        <f t="shared" si="9"/>
        <v>0</v>
      </c>
      <c r="GE38" s="31" t="e">
        <f>GD38*#REF!</f>
        <v>#REF!</v>
      </c>
      <c r="GF38" s="32" t="e">
        <f>GD38*#REF!</f>
        <v>#REF!</v>
      </c>
      <c r="GH38" s="33"/>
      <c r="GI38" s="34"/>
      <c r="GJ38" s="35"/>
      <c r="GK38" s="36"/>
      <c r="GL38" s="37"/>
      <c r="GM38" s="30">
        <f t="shared" si="10"/>
        <v>0</v>
      </c>
      <c r="GN38" s="31" t="e">
        <f>GM38*#REF!</f>
        <v>#REF!</v>
      </c>
      <c r="GO38" s="32" t="e">
        <f>GM38*#REF!</f>
        <v>#REF!</v>
      </c>
      <c r="GQ38" s="38">
        <f>_xlfn.MAXIFS(I38:GO38,$I$5:$GO$5,"Staff #")</f>
        <v>0</v>
      </c>
      <c r="GR38" s="39">
        <v>0</v>
      </c>
    </row>
    <row r="39" spans="2:200" ht="15" x14ac:dyDescent="0.25">
      <c r="B39" s="22" t="s">
        <v>64</v>
      </c>
      <c r="C39" s="23" t="s">
        <v>65</v>
      </c>
      <c r="D39" s="24" t="str">
        <f>IF(C39="","",_xlfn.XLOOKUP(C39,'[3]Control Sheet'!$L$5:$L$104,'[3]Control Sheet'!$M$5:$M$104,"",0))</f>
        <v>Rides Operator</v>
      </c>
      <c r="E39" s="24" t="str">
        <f>IF(B39="","",_xlfn.XLOOKUP(B39,'[3]Control Sheet'!$D$5:$D$64,'[3]Control Sheet'!$F$5:$F$64,"",0))</f>
        <v>Rides</v>
      </c>
      <c r="F39" s="24" t="str">
        <f>IF(B39="","",_xlfn.XLOOKUP(B39,'[3]Control Sheet'!$D$5:$D$64,'[3]Control Sheet'!$E$5:$E$64,"",0))</f>
        <v>C1300-O</v>
      </c>
      <c r="I39" s="25">
        <v>0.38541666666666669</v>
      </c>
      <c r="J39" s="26">
        <v>0.69791666666666663</v>
      </c>
      <c r="K39" s="27">
        <v>45</v>
      </c>
      <c r="L39" s="28">
        <v>1</v>
      </c>
      <c r="M39" s="42">
        <v>1</v>
      </c>
      <c r="P39" s="25">
        <v>0.38541666666666669</v>
      </c>
      <c r="Q39" s="26">
        <v>0.73958333333333304</v>
      </c>
      <c r="R39" s="27">
        <v>45</v>
      </c>
      <c r="S39" s="28">
        <v>1</v>
      </c>
      <c r="T39" s="42">
        <v>1</v>
      </c>
      <c r="V39" s="25">
        <v>0.38541666666666669</v>
      </c>
      <c r="W39" s="26">
        <v>0.73958333333333304</v>
      </c>
      <c r="X39" s="27">
        <v>45</v>
      </c>
      <c r="Y39" s="28">
        <v>1</v>
      </c>
      <c r="Z39" s="42">
        <v>1</v>
      </c>
      <c r="AB39" s="25">
        <v>0.38541666666666669</v>
      </c>
      <c r="AC39" s="26">
        <v>0.73958333333333304</v>
      </c>
      <c r="AD39" s="27">
        <v>45</v>
      </c>
      <c r="AE39" s="28">
        <v>1</v>
      </c>
      <c r="AF39" s="42">
        <v>1</v>
      </c>
      <c r="AH39" s="25">
        <v>0.38541666666666669</v>
      </c>
      <c r="AI39" s="26">
        <v>0.73958333333333304</v>
      </c>
      <c r="AJ39" s="27">
        <v>45</v>
      </c>
      <c r="AK39" s="28">
        <v>1</v>
      </c>
      <c r="AL39" s="42">
        <v>1</v>
      </c>
      <c r="AN39" s="25">
        <v>0.38541666666666669</v>
      </c>
      <c r="AO39" s="26">
        <v>0.78125</v>
      </c>
      <c r="AP39" s="27">
        <v>45</v>
      </c>
      <c r="AQ39" s="28">
        <v>1</v>
      </c>
      <c r="AR39" s="42">
        <v>1</v>
      </c>
      <c r="AT39" s="25">
        <v>0.38541666666666669</v>
      </c>
      <c r="AU39" s="26">
        <v>0.73958333333333304</v>
      </c>
      <c r="AV39" s="27">
        <v>45</v>
      </c>
      <c r="AW39" s="28">
        <v>1</v>
      </c>
      <c r="AX39" s="42">
        <v>1</v>
      </c>
      <c r="AZ39" s="25">
        <v>0.38541666666666669</v>
      </c>
      <c r="BA39" s="26">
        <v>0.78125</v>
      </c>
      <c r="BB39" s="27">
        <v>45</v>
      </c>
      <c r="BC39" s="28">
        <v>1</v>
      </c>
      <c r="BD39" s="42">
        <v>1</v>
      </c>
      <c r="BF39" s="25">
        <v>0.38541666666666669</v>
      </c>
      <c r="BG39" s="26">
        <v>0.82291666666666663</v>
      </c>
      <c r="BH39" s="27">
        <v>75</v>
      </c>
      <c r="BI39" s="28">
        <v>1</v>
      </c>
      <c r="BJ39" s="42">
        <v>1</v>
      </c>
      <c r="BL39" s="33"/>
      <c r="BM39" s="34"/>
      <c r="BN39" s="35"/>
      <c r="BO39" s="36"/>
      <c r="BP39" s="37"/>
      <c r="BR39" s="33"/>
      <c r="BS39" s="34"/>
      <c r="BT39" s="35"/>
      <c r="BU39" s="36"/>
      <c r="BV39" s="37"/>
      <c r="BX39" s="33"/>
      <c r="BY39" s="34"/>
      <c r="BZ39" s="35"/>
      <c r="CA39" s="36"/>
      <c r="CB39" s="37"/>
      <c r="CD39" s="33"/>
      <c r="CE39" s="34"/>
      <c r="CF39" s="35"/>
      <c r="CG39" s="36"/>
      <c r="CH39" s="37"/>
      <c r="CJ39" s="33"/>
      <c r="CK39" s="34"/>
      <c r="CL39" s="35"/>
      <c r="CM39" s="36"/>
      <c r="CN39" s="37"/>
      <c r="CP39" s="33"/>
      <c r="CQ39" s="34"/>
      <c r="CR39" s="35"/>
      <c r="CS39" s="36"/>
      <c r="CT39" s="37"/>
      <c r="CV39" s="33"/>
      <c r="CW39" s="34"/>
      <c r="CX39" s="35"/>
      <c r="CY39" s="36"/>
      <c r="CZ39" s="37"/>
      <c r="DA39" s="30">
        <f t="shared" si="0"/>
        <v>0</v>
      </c>
      <c r="DB39" s="31" t="e">
        <f>DA39*#REF!</f>
        <v>#REF!</v>
      </c>
      <c r="DC39" s="32" t="e">
        <f>DA39*#REF!</f>
        <v>#REF!</v>
      </c>
      <c r="DE39" s="33"/>
      <c r="DF39" s="34"/>
      <c r="DG39" s="35"/>
      <c r="DH39" s="36"/>
      <c r="DI39" s="37"/>
      <c r="DJ39" s="30">
        <f t="shared" si="1"/>
        <v>0</v>
      </c>
      <c r="DK39" s="31" t="e">
        <f>DJ39*#REF!</f>
        <v>#REF!</v>
      </c>
      <c r="DL39" s="32" t="e">
        <f>DJ39*#REF!</f>
        <v>#REF!</v>
      </c>
      <c r="DN39" s="33"/>
      <c r="DO39" s="34"/>
      <c r="DP39" s="35"/>
      <c r="DQ39" s="36"/>
      <c r="DR39" s="37"/>
      <c r="DS39" s="30">
        <f t="shared" si="2"/>
        <v>0</v>
      </c>
      <c r="DT39" s="31" t="e">
        <f>DS39*#REF!</f>
        <v>#REF!</v>
      </c>
      <c r="DU39" s="32" t="e">
        <f>DS39*#REF!</f>
        <v>#REF!</v>
      </c>
      <c r="DW39" s="33"/>
      <c r="DX39" s="34"/>
      <c r="DY39" s="35"/>
      <c r="DZ39" s="36"/>
      <c r="EA39" s="37"/>
      <c r="EB39" s="30">
        <f t="shared" si="3"/>
        <v>0</v>
      </c>
      <c r="EC39" s="31" t="e">
        <f>EB39*#REF!</f>
        <v>#REF!</v>
      </c>
      <c r="ED39" s="32" t="e">
        <f>EB39*#REF!</f>
        <v>#REF!</v>
      </c>
      <c r="EF39" s="33"/>
      <c r="EG39" s="34"/>
      <c r="EH39" s="35"/>
      <c r="EI39" s="36"/>
      <c r="EJ39" s="37"/>
      <c r="EK39" s="30">
        <f t="shared" si="4"/>
        <v>0</v>
      </c>
      <c r="EL39" s="31" t="e">
        <f>EK39*#REF!</f>
        <v>#REF!</v>
      </c>
      <c r="EM39" s="32" t="e">
        <f>EK39*#REF!</f>
        <v>#REF!</v>
      </c>
      <c r="EO39" s="33"/>
      <c r="EP39" s="34"/>
      <c r="EQ39" s="35"/>
      <c r="ER39" s="36"/>
      <c r="ES39" s="37"/>
      <c r="ET39" s="30">
        <f t="shared" si="5"/>
        <v>0</v>
      </c>
      <c r="EU39" s="31" t="e">
        <f>ET39*#REF!</f>
        <v>#REF!</v>
      </c>
      <c r="EV39" s="32" t="e">
        <f>ET39*#REF!</f>
        <v>#REF!</v>
      </c>
      <c r="EX39" s="33"/>
      <c r="EY39" s="34"/>
      <c r="EZ39" s="35"/>
      <c r="FA39" s="36"/>
      <c r="FB39" s="37"/>
      <c r="FC39" s="30">
        <f t="shared" si="6"/>
        <v>0</v>
      </c>
      <c r="FD39" s="31" t="e">
        <f>FC39*#REF!</f>
        <v>#REF!</v>
      </c>
      <c r="FE39" s="32" t="e">
        <f>FC39*#REF!</f>
        <v>#REF!</v>
      </c>
      <c r="FG39" s="33"/>
      <c r="FH39" s="34"/>
      <c r="FI39" s="35"/>
      <c r="FJ39" s="36"/>
      <c r="FK39" s="37"/>
      <c r="FL39" s="30">
        <f t="shared" si="7"/>
        <v>0</v>
      </c>
      <c r="FM39" s="31" t="e">
        <f>FL39*#REF!</f>
        <v>#REF!</v>
      </c>
      <c r="FN39" s="32" t="e">
        <f>FL39*#REF!</f>
        <v>#REF!</v>
      </c>
      <c r="FP39" s="33"/>
      <c r="FQ39" s="34"/>
      <c r="FR39" s="35"/>
      <c r="FS39" s="36"/>
      <c r="FT39" s="37"/>
      <c r="FU39" s="30">
        <f t="shared" si="8"/>
        <v>0</v>
      </c>
      <c r="FV39" s="31" t="e">
        <f>FU39*#REF!</f>
        <v>#REF!</v>
      </c>
      <c r="FW39" s="32" t="e">
        <f>FU39*#REF!</f>
        <v>#REF!</v>
      </c>
      <c r="FY39" s="33"/>
      <c r="FZ39" s="34"/>
      <c r="GA39" s="35"/>
      <c r="GB39" s="36"/>
      <c r="GC39" s="37"/>
      <c r="GD39" s="30">
        <f t="shared" si="9"/>
        <v>0</v>
      </c>
      <c r="GE39" s="31" t="e">
        <f>GD39*#REF!</f>
        <v>#REF!</v>
      </c>
      <c r="GF39" s="32" t="e">
        <f>GD39*#REF!</f>
        <v>#REF!</v>
      </c>
      <c r="GH39" s="33"/>
      <c r="GI39" s="34"/>
      <c r="GJ39" s="35"/>
      <c r="GK39" s="36"/>
      <c r="GL39" s="37"/>
      <c r="GM39" s="30">
        <f t="shared" si="10"/>
        <v>0</v>
      </c>
      <c r="GN39" s="31" t="e">
        <f>GM39*#REF!</f>
        <v>#REF!</v>
      </c>
      <c r="GO39" s="32" t="e">
        <f>GM39*#REF!</f>
        <v>#REF!</v>
      </c>
      <c r="GQ39" s="38">
        <f>_xlfn.MAXIFS(I39:GO39,$I$5:$GO$5,"Staff #")</f>
        <v>1</v>
      </c>
      <c r="GR39" s="39">
        <v>1</v>
      </c>
    </row>
    <row r="40" spans="2:200" ht="15" x14ac:dyDescent="0.25">
      <c r="B40" s="22" t="s">
        <v>64</v>
      </c>
      <c r="C40" s="23" t="s">
        <v>66</v>
      </c>
      <c r="D40" s="24" t="str">
        <f>IF(C40="","",_xlfn.XLOOKUP(C40,'[3]Control Sheet'!$L$5:$L$104,'[3]Control Sheet'!$M$5:$M$104,"",0))</f>
        <v>Rides Attendant</v>
      </c>
      <c r="E40" s="24" t="str">
        <f>IF(B40="","",_xlfn.XLOOKUP(B40,'[3]Control Sheet'!$D$5:$D$64,'[3]Control Sheet'!$F$5:$F$64,"",0))</f>
        <v>Rides</v>
      </c>
      <c r="F40" s="24" t="str">
        <f>IF(B40="","",_xlfn.XLOOKUP(B40,'[3]Control Sheet'!$D$5:$D$64,'[3]Control Sheet'!$E$5:$E$64,"",0))</f>
        <v>C1300-O</v>
      </c>
      <c r="I40" s="25">
        <v>0.38541666666666669</v>
      </c>
      <c r="J40" s="26">
        <v>0.69791666666666663</v>
      </c>
      <c r="K40" s="27">
        <v>45</v>
      </c>
      <c r="L40" s="28">
        <v>1</v>
      </c>
      <c r="M40" s="42">
        <v>1</v>
      </c>
      <c r="P40" s="25">
        <v>0.38541666666666669</v>
      </c>
      <c r="Q40" s="26">
        <v>0.73958333333333304</v>
      </c>
      <c r="R40" s="27">
        <v>45</v>
      </c>
      <c r="S40" s="28">
        <v>1</v>
      </c>
      <c r="T40" s="42">
        <v>1</v>
      </c>
      <c r="V40" s="25">
        <v>0.38541666666666669</v>
      </c>
      <c r="W40" s="26">
        <v>0.73958333333333304</v>
      </c>
      <c r="X40" s="27">
        <v>45</v>
      </c>
      <c r="Y40" s="28">
        <v>1</v>
      </c>
      <c r="Z40" s="42">
        <v>1</v>
      </c>
      <c r="AB40" s="25">
        <v>0.38541666666666669</v>
      </c>
      <c r="AC40" s="26">
        <v>0.73958333333333304</v>
      </c>
      <c r="AD40" s="27">
        <v>45</v>
      </c>
      <c r="AE40" s="28">
        <v>1</v>
      </c>
      <c r="AF40" s="42">
        <v>1</v>
      </c>
      <c r="AH40" s="25">
        <v>0.38541666666666669</v>
      </c>
      <c r="AI40" s="26">
        <v>0.73958333333333304</v>
      </c>
      <c r="AJ40" s="27">
        <v>45</v>
      </c>
      <c r="AK40" s="28">
        <v>1</v>
      </c>
      <c r="AL40" s="42">
        <v>1</v>
      </c>
      <c r="AN40" s="25">
        <v>0.38541666666666669</v>
      </c>
      <c r="AO40" s="26">
        <v>0.78125</v>
      </c>
      <c r="AP40" s="27">
        <v>45</v>
      </c>
      <c r="AQ40" s="28">
        <v>1</v>
      </c>
      <c r="AR40" s="42">
        <v>1</v>
      </c>
      <c r="AT40" s="25">
        <v>0.38541666666666669</v>
      </c>
      <c r="AU40" s="26">
        <v>0.73958333333333304</v>
      </c>
      <c r="AV40" s="27">
        <v>45</v>
      </c>
      <c r="AW40" s="28">
        <v>1</v>
      </c>
      <c r="AX40" s="42">
        <v>1</v>
      </c>
      <c r="AZ40" s="25">
        <v>0.38541666666666669</v>
      </c>
      <c r="BA40" s="26">
        <v>0.78125</v>
      </c>
      <c r="BB40" s="27">
        <v>45</v>
      </c>
      <c r="BC40" s="28">
        <v>1</v>
      </c>
      <c r="BD40" s="42">
        <v>1</v>
      </c>
      <c r="BF40" s="25">
        <v>0.38541666666666669</v>
      </c>
      <c r="BG40" s="26">
        <v>0.82291666666666663</v>
      </c>
      <c r="BH40" s="27">
        <v>75</v>
      </c>
      <c r="BI40" s="28">
        <v>1</v>
      </c>
      <c r="BJ40" s="42">
        <v>1</v>
      </c>
      <c r="BL40" s="33"/>
      <c r="BM40" s="34"/>
      <c r="BN40" s="35"/>
      <c r="BO40" s="36"/>
      <c r="BP40" s="37"/>
      <c r="BR40" s="33"/>
      <c r="BS40" s="34"/>
      <c r="BT40" s="35"/>
      <c r="BU40" s="36"/>
      <c r="BV40" s="37"/>
      <c r="BX40" s="33"/>
      <c r="BY40" s="34"/>
      <c r="BZ40" s="35"/>
      <c r="CA40" s="36"/>
      <c r="CB40" s="37"/>
      <c r="CD40" s="33"/>
      <c r="CE40" s="34"/>
      <c r="CF40" s="35"/>
      <c r="CG40" s="36"/>
      <c r="CH40" s="37"/>
      <c r="CJ40" s="33"/>
      <c r="CK40" s="34"/>
      <c r="CL40" s="35"/>
      <c r="CM40" s="36"/>
      <c r="CN40" s="37"/>
      <c r="CP40" s="33"/>
      <c r="CQ40" s="34"/>
      <c r="CR40" s="35"/>
      <c r="CS40" s="36"/>
      <c r="CT40" s="37"/>
      <c r="CV40" s="33"/>
      <c r="CW40" s="34"/>
      <c r="CX40" s="35"/>
      <c r="CY40" s="36"/>
      <c r="CZ40" s="37"/>
      <c r="DA40" s="30">
        <f t="shared" si="0"/>
        <v>0</v>
      </c>
      <c r="DB40" s="31" t="e">
        <f>DA40*#REF!</f>
        <v>#REF!</v>
      </c>
      <c r="DC40" s="32" t="e">
        <f>DA40*#REF!</f>
        <v>#REF!</v>
      </c>
      <c r="DE40" s="33"/>
      <c r="DF40" s="34"/>
      <c r="DG40" s="35"/>
      <c r="DH40" s="36"/>
      <c r="DI40" s="37"/>
      <c r="DJ40" s="30">
        <f t="shared" si="1"/>
        <v>0</v>
      </c>
      <c r="DK40" s="31" t="e">
        <f>DJ40*#REF!</f>
        <v>#REF!</v>
      </c>
      <c r="DL40" s="32" t="e">
        <f>DJ40*#REF!</f>
        <v>#REF!</v>
      </c>
      <c r="DN40" s="33"/>
      <c r="DO40" s="34"/>
      <c r="DP40" s="35"/>
      <c r="DQ40" s="36"/>
      <c r="DR40" s="37"/>
      <c r="DS40" s="30">
        <f t="shared" si="2"/>
        <v>0</v>
      </c>
      <c r="DT40" s="31" t="e">
        <f>DS40*#REF!</f>
        <v>#REF!</v>
      </c>
      <c r="DU40" s="32" t="e">
        <f>DS40*#REF!</f>
        <v>#REF!</v>
      </c>
      <c r="DW40" s="33"/>
      <c r="DX40" s="34"/>
      <c r="DY40" s="35"/>
      <c r="DZ40" s="36"/>
      <c r="EA40" s="37"/>
      <c r="EB40" s="30">
        <f t="shared" si="3"/>
        <v>0</v>
      </c>
      <c r="EC40" s="31" t="e">
        <f>EB40*#REF!</f>
        <v>#REF!</v>
      </c>
      <c r="ED40" s="32" t="e">
        <f>EB40*#REF!</f>
        <v>#REF!</v>
      </c>
      <c r="EF40" s="33"/>
      <c r="EG40" s="34"/>
      <c r="EH40" s="35"/>
      <c r="EI40" s="36"/>
      <c r="EJ40" s="37"/>
      <c r="EK40" s="30">
        <f t="shared" si="4"/>
        <v>0</v>
      </c>
      <c r="EL40" s="31" t="e">
        <f>EK40*#REF!</f>
        <v>#REF!</v>
      </c>
      <c r="EM40" s="32" t="e">
        <f>EK40*#REF!</f>
        <v>#REF!</v>
      </c>
      <c r="EO40" s="33"/>
      <c r="EP40" s="34"/>
      <c r="EQ40" s="35"/>
      <c r="ER40" s="36"/>
      <c r="ES40" s="37"/>
      <c r="ET40" s="30">
        <f t="shared" si="5"/>
        <v>0</v>
      </c>
      <c r="EU40" s="31" t="e">
        <f>ET40*#REF!</f>
        <v>#REF!</v>
      </c>
      <c r="EV40" s="32" t="e">
        <f>ET40*#REF!</f>
        <v>#REF!</v>
      </c>
      <c r="EX40" s="33"/>
      <c r="EY40" s="34"/>
      <c r="EZ40" s="35"/>
      <c r="FA40" s="36"/>
      <c r="FB40" s="37"/>
      <c r="FC40" s="30">
        <f t="shared" si="6"/>
        <v>0</v>
      </c>
      <c r="FD40" s="31" t="e">
        <f>FC40*#REF!</f>
        <v>#REF!</v>
      </c>
      <c r="FE40" s="32" t="e">
        <f>FC40*#REF!</f>
        <v>#REF!</v>
      </c>
      <c r="FG40" s="33"/>
      <c r="FH40" s="34"/>
      <c r="FI40" s="35"/>
      <c r="FJ40" s="36"/>
      <c r="FK40" s="37"/>
      <c r="FL40" s="30">
        <f t="shared" si="7"/>
        <v>0</v>
      </c>
      <c r="FM40" s="31" t="e">
        <f>FL40*#REF!</f>
        <v>#REF!</v>
      </c>
      <c r="FN40" s="32" t="e">
        <f>FL40*#REF!</f>
        <v>#REF!</v>
      </c>
      <c r="FP40" s="33"/>
      <c r="FQ40" s="34"/>
      <c r="FR40" s="35"/>
      <c r="FS40" s="36"/>
      <c r="FT40" s="37"/>
      <c r="FU40" s="30">
        <f t="shared" si="8"/>
        <v>0</v>
      </c>
      <c r="FV40" s="31" t="e">
        <f>FU40*#REF!</f>
        <v>#REF!</v>
      </c>
      <c r="FW40" s="32" t="e">
        <f>FU40*#REF!</f>
        <v>#REF!</v>
      </c>
      <c r="FY40" s="33"/>
      <c r="FZ40" s="34"/>
      <c r="GA40" s="35"/>
      <c r="GB40" s="36"/>
      <c r="GC40" s="37"/>
      <c r="GD40" s="30">
        <f t="shared" si="9"/>
        <v>0</v>
      </c>
      <c r="GE40" s="31" t="e">
        <f>GD40*#REF!</f>
        <v>#REF!</v>
      </c>
      <c r="GF40" s="32" t="e">
        <f>GD40*#REF!</f>
        <v>#REF!</v>
      </c>
      <c r="GH40" s="33"/>
      <c r="GI40" s="34"/>
      <c r="GJ40" s="35"/>
      <c r="GK40" s="36"/>
      <c r="GL40" s="37"/>
      <c r="GM40" s="30">
        <f t="shared" si="10"/>
        <v>0</v>
      </c>
      <c r="GN40" s="31" t="e">
        <f>GM40*#REF!</f>
        <v>#REF!</v>
      </c>
      <c r="GO40" s="32" t="e">
        <f>GM40*#REF!</f>
        <v>#REF!</v>
      </c>
      <c r="GQ40" s="38">
        <f>_xlfn.MAXIFS(I40:GO40,$I$5:$GO$5,"Staff #")</f>
        <v>1</v>
      </c>
      <c r="GR40" s="39">
        <v>1</v>
      </c>
    </row>
    <row r="41" spans="2:200" ht="15" x14ac:dyDescent="0.25">
      <c r="B41" s="22"/>
      <c r="C41" s="23"/>
      <c r="D41" s="24" t="str">
        <f>IF(C41="","",_xlfn.XLOOKUP(C41,'[3]Control Sheet'!$L$5:$L$104,'[3]Control Sheet'!$M$5:$M$104,"",0))</f>
        <v/>
      </c>
      <c r="E41" s="24" t="str">
        <f>IF(B41="","",_xlfn.XLOOKUP(B41,'[3]Control Sheet'!$D$5:$D$64,'[3]Control Sheet'!$F$5:$F$64,"",0))</f>
        <v/>
      </c>
      <c r="F41" s="24" t="str">
        <f>IF(B41="","",_xlfn.XLOOKUP(B41,'[3]Control Sheet'!$D$5:$D$64,'[3]Control Sheet'!$E$5:$E$64,"",0))</f>
        <v/>
      </c>
      <c r="I41" s="33"/>
      <c r="J41" s="34"/>
      <c r="K41" s="35"/>
      <c r="L41" s="36"/>
      <c r="M41" s="37"/>
      <c r="P41" s="33"/>
      <c r="Q41" s="34"/>
      <c r="R41" s="35"/>
      <c r="S41" s="36"/>
      <c r="T41" s="37"/>
      <c r="V41" s="33"/>
      <c r="W41" s="34"/>
      <c r="X41" s="35"/>
      <c r="Y41" s="36"/>
      <c r="Z41" s="37"/>
      <c r="AB41" s="33"/>
      <c r="AC41" s="34"/>
      <c r="AD41" s="35"/>
      <c r="AE41" s="36"/>
      <c r="AF41" s="37"/>
      <c r="AH41" s="33"/>
      <c r="AI41" s="34"/>
      <c r="AJ41" s="35"/>
      <c r="AK41" s="36"/>
      <c r="AL41" s="37"/>
      <c r="AN41" s="33"/>
      <c r="AO41" s="34"/>
      <c r="AP41" s="35"/>
      <c r="AQ41" s="36"/>
      <c r="AR41" s="37"/>
      <c r="AT41" s="33"/>
      <c r="AU41" s="34"/>
      <c r="AV41" s="35"/>
      <c r="AW41" s="36"/>
      <c r="AX41" s="37"/>
      <c r="AZ41" s="33"/>
      <c r="BA41" s="34"/>
      <c r="BB41" s="35"/>
      <c r="BC41" s="36"/>
      <c r="BD41" s="37"/>
      <c r="BF41" s="33"/>
      <c r="BG41" s="34"/>
      <c r="BH41" s="35"/>
      <c r="BI41" s="36"/>
      <c r="BJ41" s="37"/>
      <c r="BL41" s="33"/>
      <c r="BM41" s="34"/>
      <c r="BN41" s="35"/>
      <c r="BO41" s="36"/>
      <c r="BP41" s="37"/>
      <c r="BR41" s="33"/>
      <c r="BS41" s="34"/>
      <c r="BT41" s="35"/>
      <c r="BU41" s="36"/>
      <c r="BV41" s="37"/>
      <c r="BX41" s="33"/>
      <c r="BY41" s="34"/>
      <c r="BZ41" s="35"/>
      <c r="CA41" s="36"/>
      <c r="CB41" s="37"/>
      <c r="CD41" s="33"/>
      <c r="CE41" s="34"/>
      <c r="CF41" s="35"/>
      <c r="CG41" s="36"/>
      <c r="CH41" s="37"/>
      <c r="CJ41" s="33"/>
      <c r="CK41" s="34"/>
      <c r="CL41" s="35"/>
      <c r="CM41" s="36"/>
      <c r="CN41" s="37"/>
      <c r="CP41" s="33"/>
      <c r="CQ41" s="34"/>
      <c r="CR41" s="35"/>
      <c r="CS41" s="36"/>
      <c r="CT41" s="37"/>
      <c r="CV41" s="33"/>
      <c r="CW41" s="34"/>
      <c r="CX41" s="35"/>
      <c r="CY41" s="36"/>
      <c r="CZ41" s="37"/>
      <c r="DA41" s="30">
        <f t="shared" si="0"/>
        <v>0</v>
      </c>
      <c r="DB41" s="31" t="e">
        <f>DA41*#REF!</f>
        <v>#REF!</v>
      </c>
      <c r="DC41" s="32" t="e">
        <f>DA41*#REF!</f>
        <v>#REF!</v>
      </c>
      <c r="DE41" s="33"/>
      <c r="DF41" s="34"/>
      <c r="DG41" s="35"/>
      <c r="DH41" s="36"/>
      <c r="DI41" s="37"/>
      <c r="DJ41" s="30">
        <f t="shared" si="1"/>
        <v>0</v>
      </c>
      <c r="DK41" s="31" t="e">
        <f>DJ41*#REF!</f>
        <v>#REF!</v>
      </c>
      <c r="DL41" s="32" t="e">
        <f>DJ41*#REF!</f>
        <v>#REF!</v>
      </c>
      <c r="DN41" s="33"/>
      <c r="DO41" s="34"/>
      <c r="DP41" s="35"/>
      <c r="DQ41" s="36"/>
      <c r="DR41" s="37"/>
      <c r="DS41" s="30">
        <f t="shared" si="2"/>
        <v>0</v>
      </c>
      <c r="DT41" s="31" t="e">
        <f>DS41*#REF!</f>
        <v>#REF!</v>
      </c>
      <c r="DU41" s="32" t="e">
        <f>DS41*#REF!</f>
        <v>#REF!</v>
      </c>
      <c r="DW41" s="33"/>
      <c r="DX41" s="34"/>
      <c r="DY41" s="35"/>
      <c r="DZ41" s="36"/>
      <c r="EA41" s="37"/>
      <c r="EB41" s="30">
        <f t="shared" si="3"/>
        <v>0</v>
      </c>
      <c r="EC41" s="31" t="e">
        <f>EB41*#REF!</f>
        <v>#REF!</v>
      </c>
      <c r="ED41" s="32" t="e">
        <f>EB41*#REF!</f>
        <v>#REF!</v>
      </c>
      <c r="EF41" s="33"/>
      <c r="EG41" s="34"/>
      <c r="EH41" s="35"/>
      <c r="EI41" s="36"/>
      <c r="EJ41" s="37"/>
      <c r="EK41" s="30">
        <f t="shared" si="4"/>
        <v>0</v>
      </c>
      <c r="EL41" s="31" t="e">
        <f>EK41*#REF!</f>
        <v>#REF!</v>
      </c>
      <c r="EM41" s="32" t="e">
        <f>EK41*#REF!</f>
        <v>#REF!</v>
      </c>
      <c r="EO41" s="33"/>
      <c r="EP41" s="34"/>
      <c r="EQ41" s="35"/>
      <c r="ER41" s="36"/>
      <c r="ES41" s="37"/>
      <c r="ET41" s="30">
        <f t="shared" si="5"/>
        <v>0</v>
      </c>
      <c r="EU41" s="31" t="e">
        <f>ET41*#REF!</f>
        <v>#REF!</v>
      </c>
      <c r="EV41" s="32" t="e">
        <f>ET41*#REF!</f>
        <v>#REF!</v>
      </c>
      <c r="EX41" s="33"/>
      <c r="EY41" s="34"/>
      <c r="EZ41" s="35"/>
      <c r="FA41" s="36"/>
      <c r="FB41" s="37"/>
      <c r="FC41" s="30">
        <f t="shared" si="6"/>
        <v>0</v>
      </c>
      <c r="FD41" s="31" t="e">
        <f>FC41*#REF!</f>
        <v>#REF!</v>
      </c>
      <c r="FE41" s="32" t="e">
        <f>FC41*#REF!</f>
        <v>#REF!</v>
      </c>
      <c r="FG41" s="33"/>
      <c r="FH41" s="34"/>
      <c r="FI41" s="35"/>
      <c r="FJ41" s="36"/>
      <c r="FK41" s="37"/>
      <c r="FL41" s="30">
        <f t="shared" si="7"/>
        <v>0</v>
      </c>
      <c r="FM41" s="31" t="e">
        <f>FL41*#REF!</f>
        <v>#REF!</v>
      </c>
      <c r="FN41" s="32" t="e">
        <f>FL41*#REF!</f>
        <v>#REF!</v>
      </c>
      <c r="FP41" s="33"/>
      <c r="FQ41" s="34"/>
      <c r="FR41" s="35"/>
      <c r="FS41" s="36"/>
      <c r="FT41" s="37"/>
      <c r="FU41" s="30">
        <f t="shared" si="8"/>
        <v>0</v>
      </c>
      <c r="FV41" s="31" t="e">
        <f>FU41*#REF!</f>
        <v>#REF!</v>
      </c>
      <c r="FW41" s="32" t="e">
        <f>FU41*#REF!</f>
        <v>#REF!</v>
      </c>
      <c r="FY41" s="33"/>
      <c r="FZ41" s="34"/>
      <c r="GA41" s="35"/>
      <c r="GB41" s="36"/>
      <c r="GC41" s="37"/>
      <c r="GD41" s="30">
        <f t="shared" si="9"/>
        <v>0</v>
      </c>
      <c r="GE41" s="31" t="e">
        <f>GD41*#REF!</f>
        <v>#REF!</v>
      </c>
      <c r="GF41" s="32" t="e">
        <f>GD41*#REF!</f>
        <v>#REF!</v>
      </c>
      <c r="GH41" s="33"/>
      <c r="GI41" s="34"/>
      <c r="GJ41" s="35"/>
      <c r="GK41" s="36"/>
      <c r="GL41" s="37"/>
      <c r="GM41" s="30">
        <f t="shared" si="10"/>
        <v>0</v>
      </c>
      <c r="GN41" s="31" t="e">
        <f>GM41*#REF!</f>
        <v>#REF!</v>
      </c>
      <c r="GO41" s="32" t="e">
        <f>GM41*#REF!</f>
        <v>#REF!</v>
      </c>
      <c r="GQ41" s="38">
        <f>_xlfn.MAXIFS(I41:GO41,$I$5:$GO$5,"Staff #")</f>
        <v>0</v>
      </c>
      <c r="GR41" s="39">
        <v>0</v>
      </c>
    </row>
    <row r="42" spans="2:200" ht="15" x14ac:dyDescent="0.25">
      <c r="B42" s="22" t="s">
        <v>67</v>
      </c>
      <c r="C42" s="23" t="s">
        <v>68</v>
      </c>
      <c r="D42" s="24" t="str">
        <f>IF(C42="","",_xlfn.XLOOKUP(C42,'[3]Control Sheet'!$L$5:$L$104,'[3]Control Sheet'!$M$5:$M$104,"",0))</f>
        <v>Rides Operator</v>
      </c>
      <c r="E42" s="24" t="str">
        <f>IF(B42="","",_xlfn.XLOOKUP(B42,'[3]Control Sheet'!$D$5:$D$64,'[3]Control Sheet'!$F$5:$F$64,"",0))</f>
        <v>Rides</v>
      </c>
      <c r="F42" s="24" t="str">
        <f>IF(B42="","",_xlfn.XLOOKUP(B42,'[3]Control Sheet'!$D$5:$D$64,'[3]Control Sheet'!$E$5:$E$64,"",0))</f>
        <v>C1300-O</v>
      </c>
      <c r="I42" s="25">
        <v>0.38541666666666669</v>
      </c>
      <c r="J42" s="26">
        <v>0.69791666666666663</v>
      </c>
      <c r="K42" s="27">
        <v>45</v>
      </c>
      <c r="L42" s="28">
        <v>1</v>
      </c>
      <c r="M42" s="42">
        <v>1</v>
      </c>
      <c r="P42" s="25">
        <v>0.38541666666666669</v>
      </c>
      <c r="Q42" s="26">
        <v>0.73958333333333304</v>
      </c>
      <c r="R42" s="27">
        <v>45</v>
      </c>
      <c r="S42" s="28">
        <v>1</v>
      </c>
      <c r="T42" s="42">
        <v>1</v>
      </c>
      <c r="V42" s="25">
        <v>0.38541666666666669</v>
      </c>
      <c r="W42" s="26">
        <v>0.73958333333333304</v>
      </c>
      <c r="X42" s="27">
        <v>45</v>
      </c>
      <c r="Y42" s="28">
        <v>1</v>
      </c>
      <c r="Z42" s="42">
        <v>1</v>
      </c>
      <c r="AB42" s="25">
        <v>0.38541666666666669</v>
      </c>
      <c r="AC42" s="26">
        <v>0.73958333333333304</v>
      </c>
      <c r="AD42" s="27">
        <v>45</v>
      </c>
      <c r="AE42" s="28">
        <v>1</v>
      </c>
      <c r="AF42" s="42">
        <v>1</v>
      </c>
      <c r="AH42" s="25">
        <v>0.38541666666666669</v>
      </c>
      <c r="AI42" s="26">
        <v>0.73958333333333304</v>
      </c>
      <c r="AJ42" s="27">
        <v>45</v>
      </c>
      <c r="AK42" s="28">
        <v>1</v>
      </c>
      <c r="AL42" s="42">
        <v>1</v>
      </c>
      <c r="AN42" s="25">
        <v>0.38541666666666669</v>
      </c>
      <c r="AO42" s="26">
        <v>0.78125</v>
      </c>
      <c r="AP42" s="27">
        <v>45</v>
      </c>
      <c r="AQ42" s="28">
        <v>1</v>
      </c>
      <c r="AR42" s="42">
        <v>1</v>
      </c>
      <c r="AT42" s="25">
        <v>0.38541666666666669</v>
      </c>
      <c r="AU42" s="26">
        <v>0.73958333333333304</v>
      </c>
      <c r="AV42" s="27">
        <v>45</v>
      </c>
      <c r="AW42" s="28">
        <v>1</v>
      </c>
      <c r="AX42" s="42">
        <v>1</v>
      </c>
      <c r="AZ42" s="25">
        <v>0.38541666666666669</v>
      </c>
      <c r="BA42" s="26">
        <v>0.78125</v>
      </c>
      <c r="BB42" s="27">
        <v>45</v>
      </c>
      <c r="BC42" s="28">
        <v>1</v>
      </c>
      <c r="BD42" s="42">
        <v>1</v>
      </c>
      <c r="BF42" s="25">
        <v>0.38541666666666669</v>
      </c>
      <c r="BG42" s="26">
        <v>0.82291666666666663</v>
      </c>
      <c r="BH42" s="27">
        <v>75</v>
      </c>
      <c r="BI42" s="28">
        <v>1</v>
      </c>
      <c r="BJ42" s="42">
        <v>1</v>
      </c>
      <c r="BL42" s="25">
        <v>0.38541666666666669</v>
      </c>
      <c r="BM42" s="26">
        <v>0.69791666666666663</v>
      </c>
      <c r="BN42" s="27">
        <v>45</v>
      </c>
      <c r="BO42" s="28">
        <v>1</v>
      </c>
      <c r="BP42" s="42">
        <v>1</v>
      </c>
      <c r="BR42" s="25">
        <v>0.38541666666666669</v>
      </c>
      <c r="BS42" s="26">
        <v>0.64583333333333337</v>
      </c>
      <c r="BT42" s="27">
        <v>45</v>
      </c>
      <c r="BU42" s="28">
        <v>1</v>
      </c>
      <c r="BV42" s="42">
        <v>1</v>
      </c>
      <c r="BX42" s="25">
        <v>0.38541666666666669</v>
      </c>
      <c r="BY42" s="26">
        <v>0.73958333333333337</v>
      </c>
      <c r="BZ42" s="27">
        <v>45</v>
      </c>
      <c r="CA42" s="28">
        <v>1</v>
      </c>
      <c r="CB42" s="42">
        <v>1</v>
      </c>
      <c r="CD42" s="25">
        <v>0.38541666666666669</v>
      </c>
      <c r="CE42" s="26">
        <v>0.79166666666666663</v>
      </c>
      <c r="CF42" s="27">
        <v>45</v>
      </c>
      <c r="CG42" s="28">
        <v>1</v>
      </c>
      <c r="CH42" s="42">
        <v>1</v>
      </c>
      <c r="CJ42" s="25">
        <v>0.38541666666666669</v>
      </c>
      <c r="CK42" s="26">
        <v>0.64583333333333337</v>
      </c>
      <c r="CL42" s="27">
        <v>45</v>
      </c>
      <c r="CM42" s="28">
        <v>1</v>
      </c>
      <c r="CN42" s="42">
        <v>1</v>
      </c>
      <c r="CP42" s="33"/>
      <c r="CQ42" s="34"/>
      <c r="CR42" s="35"/>
      <c r="CS42" s="36"/>
      <c r="CT42" s="37"/>
      <c r="CV42" s="33"/>
      <c r="CW42" s="34"/>
      <c r="CX42" s="35"/>
      <c r="CY42" s="36"/>
      <c r="CZ42" s="37"/>
      <c r="DA42" s="30">
        <f t="shared" si="0"/>
        <v>0</v>
      </c>
      <c r="DB42" s="31" t="e">
        <f>DA42*#REF!</f>
        <v>#REF!</v>
      </c>
      <c r="DC42" s="32" t="e">
        <f>DA42*#REF!</f>
        <v>#REF!</v>
      </c>
      <c r="DE42" s="33"/>
      <c r="DF42" s="34"/>
      <c r="DG42" s="35"/>
      <c r="DH42" s="36"/>
      <c r="DI42" s="37"/>
      <c r="DJ42" s="30">
        <f t="shared" si="1"/>
        <v>0</v>
      </c>
      <c r="DK42" s="31" t="e">
        <f>DJ42*#REF!</f>
        <v>#REF!</v>
      </c>
      <c r="DL42" s="32" t="e">
        <f>DJ42*#REF!</f>
        <v>#REF!</v>
      </c>
      <c r="DN42" s="33"/>
      <c r="DO42" s="34"/>
      <c r="DP42" s="35"/>
      <c r="DQ42" s="36"/>
      <c r="DR42" s="37"/>
      <c r="DS42" s="30">
        <f t="shared" si="2"/>
        <v>0</v>
      </c>
      <c r="DT42" s="31" t="e">
        <f>DS42*#REF!</f>
        <v>#REF!</v>
      </c>
      <c r="DU42" s="32" t="e">
        <f>DS42*#REF!</f>
        <v>#REF!</v>
      </c>
      <c r="DW42" s="33"/>
      <c r="DX42" s="34"/>
      <c r="DY42" s="35"/>
      <c r="DZ42" s="36"/>
      <c r="EA42" s="37"/>
      <c r="EB42" s="30">
        <f t="shared" si="3"/>
        <v>0</v>
      </c>
      <c r="EC42" s="31" t="e">
        <f>EB42*#REF!</f>
        <v>#REF!</v>
      </c>
      <c r="ED42" s="32" t="e">
        <f>EB42*#REF!</f>
        <v>#REF!</v>
      </c>
      <c r="EF42" s="33"/>
      <c r="EG42" s="34"/>
      <c r="EH42" s="35"/>
      <c r="EI42" s="36"/>
      <c r="EJ42" s="37"/>
      <c r="EK42" s="30">
        <f t="shared" si="4"/>
        <v>0</v>
      </c>
      <c r="EL42" s="31" t="e">
        <f>EK42*#REF!</f>
        <v>#REF!</v>
      </c>
      <c r="EM42" s="32" t="e">
        <f>EK42*#REF!</f>
        <v>#REF!</v>
      </c>
      <c r="EO42" s="33"/>
      <c r="EP42" s="34"/>
      <c r="EQ42" s="35"/>
      <c r="ER42" s="36"/>
      <c r="ES42" s="37"/>
      <c r="ET42" s="30">
        <f t="shared" si="5"/>
        <v>0</v>
      </c>
      <c r="EU42" s="31" t="e">
        <f>ET42*#REF!</f>
        <v>#REF!</v>
      </c>
      <c r="EV42" s="32" t="e">
        <f>ET42*#REF!</f>
        <v>#REF!</v>
      </c>
      <c r="EX42" s="33"/>
      <c r="EY42" s="34"/>
      <c r="EZ42" s="35"/>
      <c r="FA42" s="36"/>
      <c r="FB42" s="37"/>
      <c r="FC42" s="30">
        <f t="shared" si="6"/>
        <v>0</v>
      </c>
      <c r="FD42" s="31" t="e">
        <f>FC42*#REF!</f>
        <v>#REF!</v>
      </c>
      <c r="FE42" s="32" t="e">
        <f>FC42*#REF!</f>
        <v>#REF!</v>
      </c>
      <c r="FG42" s="33"/>
      <c r="FH42" s="34"/>
      <c r="FI42" s="35"/>
      <c r="FJ42" s="36"/>
      <c r="FK42" s="37"/>
      <c r="FL42" s="30">
        <f t="shared" si="7"/>
        <v>0</v>
      </c>
      <c r="FM42" s="31" t="e">
        <f>FL42*#REF!</f>
        <v>#REF!</v>
      </c>
      <c r="FN42" s="32" t="e">
        <f>FL42*#REF!</f>
        <v>#REF!</v>
      </c>
      <c r="FP42" s="33"/>
      <c r="FQ42" s="34"/>
      <c r="FR42" s="35"/>
      <c r="FS42" s="36"/>
      <c r="FT42" s="37"/>
      <c r="FU42" s="30">
        <f t="shared" si="8"/>
        <v>0</v>
      </c>
      <c r="FV42" s="31" t="e">
        <f>FU42*#REF!</f>
        <v>#REF!</v>
      </c>
      <c r="FW42" s="32" t="e">
        <f>FU42*#REF!</f>
        <v>#REF!</v>
      </c>
      <c r="FY42" s="33"/>
      <c r="FZ42" s="34"/>
      <c r="GA42" s="35"/>
      <c r="GB42" s="36"/>
      <c r="GC42" s="37"/>
      <c r="GD42" s="30">
        <f t="shared" si="9"/>
        <v>0</v>
      </c>
      <c r="GE42" s="31" t="e">
        <f>GD42*#REF!</f>
        <v>#REF!</v>
      </c>
      <c r="GF42" s="32" t="e">
        <f>GD42*#REF!</f>
        <v>#REF!</v>
      </c>
      <c r="GH42" s="33"/>
      <c r="GI42" s="34"/>
      <c r="GJ42" s="35"/>
      <c r="GK42" s="36"/>
      <c r="GL42" s="37"/>
      <c r="GM42" s="30">
        <f t="shared" si="10"/>
        <v>0</v>
      </c>
      <c r="GN42" s="31" t="e">
        <f>GM42*#REF!</f>
        <v>#REF!</v>
      </c>
      <c r="GO42" s="32" t="e">
        <f>GM42*#REF!</f>
        <v>#REF!</v>
      </c>
      <c r="GQ42" s="38">
        <f>_xlfn.MAXIFS(I42:GO42,$I$5:$GO$5,"Staff #")</f>
        <v>1</v>
      </c>
      <c r="GR42" s="39">
        <v>1</v>
      </c>
    </row>
    <row r="43" spans="2:200" ht="15" x14ac:dyDescent="0.25">
      <c r="B43" s="22" t="s">
        <v>67</v>
      </c>
      <c r="C43" s="23" t="s">
        <v>69</v>
      </c>
      <c r="D43" s="24" t="str">
        <f>IF(C43="","",_xlfn.XLOOKUP(C43,'[3]Control Sheet'!$L$5:$L$104,'[3]Control Sheet'!$M$5:$M$104,"",0))</f>
        <v>Rides Attendant</v>
      </c>
      <c r="E43" s="24" t="str">
        <f>IF(B43="","",_xlfn.XLOOKUP(B43,'[3]Control Sheet'!$D$5:$D$64,'[3]Control Sheet'!$F$5:$F$64,"",0))</f>
        <v>Rides</v>
      </c>
      <c r="F43" s="24" t="str">
        <f>IF(B43="","",_xlfn.XLOOKUP(B43,'[3]Control Sheet'!$D$5:$D$64,'[3]Control Sheet'!$E$5:$E$64,"",0))</f>
        <v>C1300-O</v>
      </c>
      <c r="I43" s="25">
        <v>0.38541666666666669</v>
      </c>
      <c r="J43" s="26">
        <v>0.69791666666666663</v>
      </c>
      <c r="K43" s="27">
        <v>45</v>
      </c>
      <c r="L43" s="28">
        <v>2</v>
      </c>
      <c r="M43" s="42">
        <v>1</v>
      </c>
      <c r="P43" s="25">
        <v>0.38541666666666669</v>
      </c>
      <c r="Q43" s="26">
        <v>0.73958333333333304</v>
      </c>
      <c r="R43" s="27">
        <v>45</v>
      </c>
      <c r="S43" s="28">
        <v>2</v>
      </c>
      <c r="T43" s="42">
        <v>1</v>
      </c>
      <c r="V43" s="25">
        <v>0.38541666666666669</v>
      </c>
      <c r="W43" s="26">
        <v>0.73958333333333304</v>
      </c>
      <c r="X43" s="27">
        <v>45</v>
      </c>
      <c r="Y43" s="28">
        <v>2</v>
      </c>
      <c r="Z43" s="42">
        <v>1</v>
      </c>
      <c r="AB43" s="25">
        <v>0.38541666666666669</v>
      </c>
      <c r="AC43" s="26">
        <v>0.73958333333333304</v>
      </c>
      <c r="AD43" s="27">
        <v>45</v>
      </c>
      <c r="AE43" s="28">
        <v>2</v>
      </c>
      <c r="AF43" s="42">
        <v>1</v>
      </c>
      <c r="AH43" s="25">
        <v>0.38541666666666669</v>
      </c>
      <c r="AI43" s="26">
        <v>0.73958333333333304</v>
      </c>
      <c r="AJ43" s="27">
        <v>45</v>
      </c>
      <c r="AK43" s="28">
        <v>3</v>
      </c>
      <c r="AL43" s="42">
        <v>1</v>
      </c>
      <c r="AN43" s="25">
        <v>0.38541666666666669</v>
      </c>
      <c r="AO43" s="26">
        <v>0.78125</v>
      </c>
      <c r="AP43" s="27">
        <v>45</v>
      </c>
      <c r="AQ43" s="28">
        <v>3</v>
      </c>
      <c r="AR43" s="42">
        <v>1</v>
      </c>
      <c r="AT43" s="25">
        <v>0.38541666666666669</v>
      </c>
      <c r="AU43" s="26">
        <v>0.73958333333333304</v>
      </c>
      <c r="AV43" s="27">
        <v>45</v>
      </c>
      <c r="AW43" s="28">
        <v>3</v>
      </c>
      <c r="AX43" s="42">
        <v>1</v>
      </c>
      <c r="AZ43" s="25">
        <v>0.38541666666666669</v>
      </c>
      <c r="BA43" s="26">
        <v>0.78125</v>
      </c>
      <c r="BB43" s="27">
        <v>45</v>
      </c>
      <c r="BC43" s="28">
        <v>3</v>
      </c>
      <c r="BD43" s="42">
        <v>1</v>
      </c>
      <c r="BF43" s="25">
        <v>0.38541666666666669</v>
      </c>
      <c r="BG43" s="26">
        <v>0.82291666666666663</v>
      </c>
      <c r="BH43" s="27">
        <v>75</v>
      </c>
      <c r="BI43" s="28">
        <v>3</v>
      </c>
      <c r="BJ43" s="42">
        <v>1</v>
      </c>
      <c r="BL43" s="25">
        <v>0.38541666666666669</v>
      </c>
      <c r="BM43" s="26">
        <v>0.69791666666666663</v>
      </c>
      <c r="BN43" s="27">
        <v>45</v>
      </c>
      <c r="BO43" s="28">
        <v>2</v>
      </c>
      <c r="BP43" s="42">
        <v>1</v>
      </c>
      <c r="BR43" s="25">
        <v>0.38541666666666669</v>
      </c>
      <c r="BS43" s="26">
        <v>0.64583333333333337</v>
      </c>
      <c r="BT43" s="27">
        <v>45</v>
      </c>
      <c r="BU43" s="28">
        <v>2</v>
      </c>
      <c r="BV43" s="42">
        <v>1</v>
      </c>
      <c r="BX43" s="25">
        <v>0.38541666666666669</v>
      </c>
      <c r="BY43" s="26">
        <v>0.73958333333333337</v>
      </c>
      <c r="BZ43" s="27">
        <v>45</v>
      </c>
      <c r="CA43" s="28">
        <v>2</v>
      </c>
      <c r="CB43" s="42">
        <v>1</v>
      </c>
      <c r="CD43" s="25">
        <v>0.38541666666666669</v>
      </c>
      <c r="CE43" s="26">
        <v>0.79166666666666663</v>
      </c>
      <c r="CF43" s="27">
        <v>45</v>
      </c>
      <c r="CG43" s="28">
        <v>2</v>
      </c>
      <c r="CH43" s="42">
        <v>1</v>
      </c>
      <c r="CJ43" s="25">
        <v>0.38541666666666669</v>
      </c>
      <c r="CK43" s="26">
        <v>0.64583333333333337</v>
      </c>
      <c r="CL43" s="27">
        <v>45</v>
      </c>
      <c r="CM43" s="28">
        <v>2</v>
      </c>
      <c r="CN43" s="42">
        <v>1</v>
      </c>
      <c r="CP43" s="33"/>
      <c r="CQ43" s="34"/>
      <c r="CR43" s="35"/>
      <c r="CS43" s="36"/>
      <c r="CT43" s="37"/>
      <c r="CV43" s="33"/>
      <c r="CW43" s="34"/>
      <c r="CX43" s="35"/>
      <c r="CY43" s="36"/>
      <c r="CZ43" s="37"/>
      <c r="DA43" s="30">
        <f t="shared" si="0"/>
        <v>0</v>
      </c>
      <c r="DB43" s="31" t="e">
        <f>DA43*#REF!</f>
        <v>#REF!</v>
      </c>
      <c r="DC43" s="32" t="e">
        <f>DA43*#REF!</f>
        <v>#REF!</v>
      </c>
      <c r="DE43" s="33"/>
      <c r="DF43" s="34"/>
      <c r="DG43" s="35"/>
      <c r="DH43" s="36"/>
      <c r="DI43" s="37"/>
      <c r="DJ43" s="30">
        <f t="shared" si="1"/>
        <v>0</v>
      </c>
      <c r="DK43" s="31" t="e">
        <f>DJ43*#REF!</f>
        <v>#REF!</v>
      </c>
      <c r="DL43" s="32" t="e">
        <f>DJ43*#REF!</f>
        <v>#REF!</v>
      </c>
      <c r="DN43" s="33"/>
      <c r="DO43" s="34"/>
      <c r="DP43" s="35"/>
      <c r="DQ43" s="36"/>
      <c r="DR43" s="37"/>
      <c r="DS43" s="30">
        <f t="shared" si="2"/>
        <v>0</v>
      </c>
      <c r="DT43" s="31" t="e">
        <f>DS43*#REF!</f>
        <v>#REF!</v>
      </c>
      <c r="DU43" s="32" t="e">
        <f>DS43*#REF!</f>
        <v>#REF!</v>
      </c>
      <c r="DW43" s="33"/>
      <c r="DX43" s="34"/>
      <c r="DY43" s="35"/>
      <c r="DZ43" s="36"/>
      <c r="EA43" s="37"/>
      <c r="EB43" s="30">
        <f t="shared" si="3"/>
        <v>0</v>
      </c>
      <c r="EC43" s="31" t="e">
        <f>EB43*#REF!</f>
        <v>#REF!</v>
      </c>
      <c r="ED43" s="32" t="e">
        <f>EB43*#REF!</f>
        <v>#REF!</v>
      </c>
      <c r="EF43" s="33"/>
      <c r="EG43" s="34"/>
      <c r="EH43" s="35"/>
      <c r="EI43" s="36"/>
      <c r="EJ43" s="37"/>
      <c r="EK43" s="30">
        <f t="shared" si="4"/>
        <v>0</v>
      </c>
      <c r="EL43" s="31" t="e">
        <f>EK43*#REF!</f>
        <v>#REF!</v>
      </c>
      <c r="EM43" s="32" t="e">
        <f>EK43*#REF!</f>
        <v>#REF!</v>
      </c>
      <c r="EO43" s="33"/>
      <c r="EP43" s="34"/>
      <c r="EQ43" s="35"/>
      <c r="ER43" s="36"/>
      <c r="ES43" s="37"/>
      <c r="ET43" s="30">
        <f t="shared" si="5"/>
        <v>0</v>
      </c>
      <c r="EU43" s="31" t="e">
        <f>ET43*#REF!</f>
        <v>#REF!</v>
      </c>
      <c r="EV43" s="32" t="e">
        <f>ET43*#REF!</f>
        <v>#REF!</v>
      </c>
      <c r="EX43" s="33"/>
      <c r="EY43" s="34"/>
      <c r="EZ43" s="35"/>
      <c r="FA43" s="36"/>
      <c r="FB43" s="37"/>
      <c r="FC43" s="30">
        <f t="shared" si="6"/>
        <v>0</v>
      </c>
      <c r="FD43" s="31" t="e">
        <f>FC43*#REF!</f>
        <v>#REF!</v>
      </c>
      <c r="FE43" s="32" t="e">
        <f>FC43*#REF!</f>
        <v>#REF!</v>
      </c>
      <c r="FG43" s="33"/>
      <c r="FH43" s="34"/>
      <c r="FI43" s="35"/>
      <c r="FJ43" s="36"/>
      <c r="FK43" s="37"/>
      <c r="FL43" s="30">
        <f t="shared" si="7"/>
        <v>0</v>
      </c>
      <c r="FM43" s="31" t="e">
        <f>FL43*#REF!</f>
        <v>#REF!</v>
      </c>
      <c r="FN43" s="32" t="e">
        <f>FL43*#REF!</f>
        <v>#REF!</v>
      </c>
      <c r="FP43" s="33"/>
      <c r="FQ43" s="34"/>
      <c r="FR43" s="35"/>
      <c r="FS43" s="36"/>
      <c r="FT43" s="37"/>
      <c r="FU43" s="30">
        <f t="shared" si="8"/>
        <v>0</v>
      </c>
      <c r="FV43" s="31" t="e">
        <f>FU43*#REF!</f>
        <v>#REF!</v>
      </c>
      <c r="FW43" s="32" t="e">
        <f>FU43*#REF!</f>
        <v>#REF!</v>
      </c>
      <c r="FY43" s="33"/>
      <c r="FZ43" s="34"/>
      <c r="GA43" s="35"/>
      <c r="GB43" s="36"/>
      <c r="GC43" s="37"/>
      <c r="GD43" s="30">
        <f t="shared" si="9"/>
        <v>0</v>
      </c>
      <c r="GE43" s="31" t="e">
        <f>GD43*#REF!</f>
        <v>#REF!</v>
      </c>
      <c r="GF43" s="32" t="e">
        <f>GD43*#REF!</f>
        <v>#REF!</v>
      </c>
      <c r="GH43" s="33"/>
      <c r="GI43" s="34"/>
      <c r="GJ43" s="35"/>
      <c r="GK43" s="36"/>
      <c r="GL43" s="37"/>
      <c r="GM43" s="30">
        <f t="shared" si="10"/>
        <v>0</v>
      </c>
      <c r="GN43" s="31" t="e">
        <f>GM43*#REF!</f>
        <v>#REF!</v>
      </c>
      <c r="GO43" s="32" t="e">
        <f>GM43*#REF!</f>
        <v>#REF!</v>
      </c>
      <c r="GQ43" s="38">
        <f>_xlfn.MAXIFS(I43:GO43,$I$5:$GO$5,"Staff #")</f>
        <v>3</v>
      </c>
      <c r="GR43" s="39">
        <v>3</v>
      </c>
    </row>
    <row r="44" spans="2:200" ht="15" x14ac:dyDescent="0.25">
      <c r="B44" s="22"/>
      <c r="C44" s="23"/>
      <c r="D44" s="24" t="str">
        <f>IF(C44="","",_xlfn.XLOOKUP(C44,'[3]Control Sheet'!$L$5:$L$104,'[3]Control Sheet'!$M$5:$M$104,"",0))</f>
        <v/>
      </c>
      <c r="E44" s="24" t="str">
        <f>IF(B44="","",_xlfn.XLOOKUP(B44,'[3]Control Sheet'!$D$5:$D$64,'[3]Control Sheet'!$F$5:$F$64,"",0))</f>
        <v/>
      </c>
      <c r="F44" s="24" t="str">
        <f>IF(B44="","",_xlfn.XLOOKUP(B44,'[3]Control Sheet'!$D$5:$D$64,'[3]Control Sheet'!$E$5:$E$64,"",0))</f>
        <v/>
      </c>
      <c r="I44" s="33"/>
      <c r="J44" s="34"/>
      <c r="K44" s="35"/>
      <c r="L44" s="36"/>
      <c r="M44" s="37"/>
      <c r="P44" s="33"/>
      <c r="Q44" s="34"/>
      <c r="R44" s="35"/>
      <c r="S44" s="36"/>
      <c r="T44" s="37"/>
      <c r="V44" s="33"/>
      <c r="W44" s="34"/>
      <c r="X44" s="35"/>
      <c r="Y44" s="36"/>
      <c r="Z44" s="37"/>
      <c r="AB44" s="33"/>
      <c r="AC44" s="34"/>
      <c r="AD44" s="35"/>
      <c r="AE44" s="36"/>
      <c r="AF44" s="37"/>
      <c r="AH44" s="33"/>
      <c r="AI44" s="34"/>
      <c r="AJ44" s="35"/>
      <c r="AK44" s="36"/>
      <c r="AL44" s="37"/>
      <c r="AN44" s="33"/>
      <c r="AO44" s="34"/>
      <c r="AP44" s="35"/>
      <c r="AQ44" s="36"/>
      <c r="AR44" s="37"/>
      <c r="AT44" s="33"/>
      <c r="AU44" s="34"/>
      <c r="AV44" s="35"/>
      <c r="AW44" s="36"/>
      <c r="AX44" s="37"/>
      <c r="AZ44" s="33"/>
      <c r="BA44" s="34"/>
      <c r="BB44" s="35"/>
      <c r="BC44" s="36"/>
      <c r="BD44" s="37"/>
      <c r="BF44" s="33"/>
      <c r="BG44" s="34"/>
      <c r="BH44" s="35"/>
      <c r="BI44" s="36"/>
      <c r="BJ44" s="37"/>
      <c r="BL44" s="33"/>
      <c r="BM44" s="34"/>
      <c r="BN44" s="35"/>
      <c r="BO44" s="36"/>
      <c r="BP44" s="37"/>
      <c r="BR44" s="33"/>
      <c r="BS44" s="34"/>
      <c r="BT44" s="35"/>
      <c r="BU44" s="36"/>
      <c r="BV44" s="37"/>
      <c r="BX44" s="33"/>
      <c r="BY44" s="34"/>
      <c r="BZ44" s="35"/>
      <c r="CA44" s="36"/>
      <c r="CB44" s="37"/>
      <c r="CD44" s="33"/>
      <c r="CE44" s="34"/>
      <c r="CF44" s="35"/>
      <c r="CG44" s="36"/>
      <c r="CH44" s="37"/>
      <c r="CJ44" s="33"/>
      <c r="CK44" s="34"/>
      <c r="CL44" s="35"/>
      <c r="CM44" s="36"/>
      <c r="CN44" s="37"/>
      <c r="CP44" s="33"/>
      <c r="CQ44" s="34"/>
      <c r="CR44" s="35"/>
      <c r="CS44" s="36"/>
      <c r="CT44" s="37"/>
      <c r="CV44" s="33"/>
      <c r="CW44" s="34"/>
      <c r="CX44" s="35"/>
      <c r="CY44" s="36"/>
      <c r="CZ44" s="37"/>
      <c r="DA44" s="30">
        <f t="shared" si="0"/>
        <v>0</v>
      </c>
      <c r="DB44" s="31" t="e">
        <f>DA44*#REF!</f>
        <v>#REF!</v>
      </c>
      <c r="DC44" s="32" t="e">
        <f>DA44*#REF!</f>
        <v>#REF!</v>
      </c>
      <c r="DE44" s="33"/>
      <c r="DF44" s="34"/>
      <c r="DG44" s="35"/>
      <c r="DH44" s="36"/>
      <c r="DI44" s="37"/>
      <c r="DJ44" s="30">
        <f t="shared" si="1"/>
        <v>0</v>
      </c>
      <c r="DK44" s="31" t="e">
        <f>DJ44*#REF!</f>
        <v>#REF!</v>
      </c>
      <c r="DL44" s="32" t="e">
        <f>DJ44*#REF!</f>
        <v>#REF!</v>
      </c>
      <c r="DN44" s="33"/>
      <c r="DO44" s="34"/>
      <c r="DP44" s="35"/>
      <c r="DQ44" s="36"/>
      <c r="DR44" s="37"/>
      <c r="DS44" s="30">
        <f t="shared" si="2"/>
        <v>0</v>
      </c>
      <c r="DT44" s="31" t="e">
        <f>DS44*#REF!</f>
        <v>#REF!</v>
      </c>
      <c r="DU44" s="32" t="e">
        <f>DS44*#REF!</f>
        <v>#REF!</v>
      </c>
      <c r="DW44" s="33"/>
      <c r="DX44" s="34"/>
      <c r="DY44" s="35"/>
      <c r="DZ44" s="36"/>
      <c r="EA44" s="37"/>
      <c r="EB44" s="30">
        <f t="shared" si="3"/>
        <v>0</v>
      </c>
      <c r="EC44" s="31" t="e">
        <f>EB44*#REF!</f>
        <v>#REF!</v>
      </c>
      <c r="ED44" s="32" t="e">
        <f>EB44*#REF!</f>
        <v>#REF!</v>
      </c>
      <c r="EF44" s="33"/>
      <c r="EG44" s="34"/>
      <c r="EH44" s="35"/>
      <c r="EI44" s="36"/>
      <c r="EJ44" s="37"/>
      <c r="EK44" s="30">
        <f t="shared" si="4"/>
        <v>0</v>
      </c>
      <c r="EL44" s="31" t="e">
        <f>EK44*#REF!</f>
        <v>#REF!</v>
      </c>
      <c r="EM44" s="32" t="e">
        <f>EK44*#REF!</f>
        <v>#REF!</v>
      </c>
      <c r="EO44" s="33"/>
      <c r="EP44" s="34"/>
      <c r="EQ44" s="35"/>
      <c r="ER44" s="36"/>
      <c r="ES44" s="37"/>
      <c r="ET44" s="30">
        <f t="shared" si="5"/>
        <v>0</v>
      </c>
      <c r="EU44" s="31" t="e">
        <f>ET44*#REF!</f>
        <v>#REF!</v>
      </c>
      <c r="EV44" s="32" t="e">
        <f>ET44*#REF!</f>
        <v>#REF!</v>
      </c>
      <c r="EX44" s="33"/>
      <c r="EY44" s="34"/>
      <c r="EZ44" s="35"/>
      <c r="FA44" s="36"/>
      <c r="FB44" s="37"/>
      <c r="FC44" s="30">
        <f t="shared" si="6"/>
        <v>0</v>
      </c>
      <c r="FD44" s="31" t="e">
        <f>FC44*#REF!</f>
        <v>#REF!</v>
      </c>
      <c r="FE44" s="32" t="e">
        <f>FC44*#REF!</f>
        <v>#REF!</v>
      </c>
      <c r="FG44" s="33"/>
      <c r="FH44" s="34"/>
      <c r="FI44" s="35"/>
      <c r="FJ44" s="36"/>
      <c r="FK44" s="37"/>
      <c r="FL44" s="30">
        <f t="shared" si="7"/>
        <v>0</v>
      </c>
      <c r="FM44" s="31" t="e">
        <f>FL44*#REF!</f>
        <v>#REF!</v>
      </c>
      <c r="FN44" s="32" t="e">
        <f>FL44*#REF!</f>
        <v>#REF!</v>
      </c>
      <c r="FP44" s="33"/>
      <c r="FQ44" s="34"/>
      <c r="FR44" s="35"/>
      <c r="FS44" s="36"/>
      <c r="FT44" s="37"/>
      <c r="FU44" s="30">
        <f t="shared" si="8"/>
        <v>0</v>
      </c>
      <c r="FV44" s="31" t="e">
        <f>FU44*#REF!</f>
        <v>#REF!</v>
      </c>
      <c r="FW44" s="32" t="e">
        <f>FU44*#REF!</f>
        <v>#REF!</v>
      </c>
      <c r="FY44" s="33"/>
      <c r="FZ44" s="34"/>
      <c r="GA44" s="35"/>
      <c r="GB44" s="36"/>
      <c r="GC44" s="37"/>
      <c r="GD44" s="30">
        <f t="shared" si="9"/>
        <v>0</v>
      </c>
      <c r="GE44" s="31" t="e">
        <f>GD44*#REF!</f>
        <v>#REF!</v>
      </c>
      <c r="GF44" s="32" t="e">
        <f>GD44*#REF!</f>
        <v>#REF!</v>
      </c>
      <c r="GH44" s="33"/>
      <c r="GI44" s="34"/>
      <c r="GJ44" s="35"/>
      <c r="GK44" s="36"/>
      <c r="GL44" s="37"/>
      <c r="GM44" s="30">
        <f t="shared" si="10"/>
        <v>0</v>
      </c>
      <c r="GN44" s="31" t="e">
        <f>GM44*#REF!</f>
        <v>#REF!</v>
      </c>
      <c r="GO44" s="32" t="e">
        <f>GM44*#REF!</f>
        <v>#REF!</v>
      </c>
      <c r="GQ44" s="38">
        <f>_xlfn.MAXIFS(I44:GO44,$I$5:$GO$5,"Staff #")</f>
        <v>0</v>
      </c>
      <c r="GR44" s="39">
        <v>0</v>
      </c>
    </row>
    <row r="45" spans="2:200" ht="15" x14ac:dyDescent="0.25">
      <c r="B45" s="22" t="s">
        <v>70</v>
      </c>
      <c r="C45" s="23" t="s">
        <v>71</v>
      </c>
      <c r="D45" s="24" t="str">
        <f>IF(C45="","",_xlfn.XLOOKUP(C45,'[3]Control Sheet'!$L$5:$L$104,'[3]Control Sheet'!$M$5:$M$104,"",0))</f>
        <v>Rides Operator</v>
      </c>
      <c r="E45" s="24" t="str">
        <f>IF(B45="","",_xlfn.XLOOKUP(B45,'[3]Control Sheet'!$D$5:$D$64,'[3]Control Sheet'!$F$5:$F$64,"",0))</f>
        <v>Rides</v>
      </c>
      <c r="F45" s="24" t="str">
        <f>IF(B45="","",_xlfn.XLOOKUP(B45,'[3]Control Sheet'!$D$5:$D$64,'[3]Control Sheet'!$E$5:$E$64,"",0))</f>
        <v>C1300-O</v>
      </c>
      <c r="I45" s="25">
        <v>0.35416666666666669</v>
      </c>
      <c r="J45" s="26">
        <v>0.69791666666666663</v>
      </c>
      <c r="K45" s="27">
        <v>45</v>
      </c>
      <c r="L45" s="28">
        <v>1</v>
      </c>
      <c r="M45" s="42">
        <v>1</v>
      </c>
      <c r="P45" s="25">
        <v>0.35416666666666669</v>
      </c>
      <c r="Q45" s="26">
        <v>0.73958333333333304</v>
      </c>
      <c r="R45" s="27">
        <v>45</v>
      </c>
      <c r="S45" s="28">
        <v>1</v>
      </c>
      <c r="T45" s="42">
        <v>1</v>
      </c>
      <c r="V45" s="25">
        <v>0.35416666666666669</v>
      </c>
      <c r="W45" s="26">
        <v>0.73958333333333304</v>
      </c>
      <c r="X45" s="27">
        <v>45</v>
      </c>
      <c r="Y45" s="28">
        <v>1</v>
      </c>
      <c r="Z45" s="42">
        <v>1</v>
      </c>
      <c r="AB45" s="25">
        <v>0.35416666666666669</v>
      </c>
      <c r="AC45" s="26">
        <v>0.73958333333333304</v>
      </c>
      <c r="AD45" s="27">
        <v>45</v>
      </c>
      <c r="AE45" s="28">
        <v>1</v>
      </c>
      <c r="AF45" s="42">
        <v>1</v>
      </c>
      <c r="AH45" s="25">
        <v>0.35416666666666669</v>
      </c>
      <c r="AI45" s="26">
        <v>0.73958333333333304</v>
      </c>
      <c r="AJ45" s="27">
        <v>45</v>
      </c>
      <c r="AK45" s="28">
        <v>1</v>
      </c>
      <c r="AL45" s="42">
        <v>1</v>
      </c>
      <c r="AN45" s="25">
        <v>0.35416666666666669</v>
      </c>
      <c r="AO45" s="26">
        <v>0.78125</v>
      </c>
      <c r="AP45" s="27">
        <v>45</v>
      </c>
      <c r="AQ45" s="28">
        <v>1</v>
      </c>
      <c r="AR45" s="42">
        <v>1</v>
      </c>
      <c r="AT45" s="25">
        <v>0.35416666666666669</v>
      </c>
      <c r="AU45" s="26">
        <v>0.73958333333333304</v>
      </c>
      <c r="AV45" s="27">
        <v>45</v>
      </c>
      <c r="AW45" s="28">
        <v>1</v>
      </c>
      <c r="AX45" s="42">
        <v>1</v>
      </c>
      <c r="AZ45" s="25">
        <v>0.35416666666666669</v>
      </c>
      <c r="BA45" s="26">
        <v>0.78125</v>
      </c>
      <c r="BB45" s="27">
        <v>45</v>
      </c>
      <c r="BC45" s="28">
        <v>1</v>
      </c>
      <c r="BD45" s="42">
        <v>1</v>
      </c>
      <c r="BF45" s="25">
        <v>0.35416666666666669</v>
      </c>
      <c r="BG45" s="26">
        <v>0.82291666666666663</v>
      </c>
      <c r="BH45" s="27">
        <v>75</v>
      </c>
      <c r="BI45" s="28">
        <v>1</v>
      </c>
      <c r="BJ45" s="42">
        <v>1</v>
      </c>
      <c r="BL45" s="25">
        <v>0.38541666666666669</v>
      </c>
      <c r="BM45" s="26">
        <v>0.69791666666666663</v>
      </c>
      <c r="BN45" s="27">
        <v>45</v>
      </c>
      <c r="BO45" s="28">
        <v>1</v>
      </c>
      <c r="BP45" s="42">
        <v>1</v>
      </c>
      <c r="BR45" s="25">
        <v>0.38541666666666669</v>
      </c>
      <c r="BS45" s="26">
        <v>0.64583333333333337</v>
      </c>
      <c r="BT45" s="27">
        <v>45</v>
      </c>
      <c r="BU45" s="28">
        <v>1</v>
      </c>
      <c r="BV45" s="42">
        <v>1</v>
      </c>
      <c r="BX45" s="25">
        <v>0.38541666666666669</v>
      </c>
      <c r="BY45" s="26">
        <v>0.72916666666666663</v>
      </c>
      <c r="BZ45" s="27">
        <v>45</v>
      </c>
      <c r="CA45" s="28">
        <v>1</v>
      </c>
      <c r="CB45" s="42">
        <v>1</v>
      </c>
      <c r="CD45" s="25">
        <v>0.38541666666666669</v>
      </c>
      <c r="CE45" s="26">
        <v>0.79166666666666663</v>
      </c>
      <c r="CF45" s="27">
        <v>45</v>
      </c>
      <c r="CG45" s="28">
        <v>1</v>
      </c>
      <c r="CH45" s="42">
        <v>1</v>
      </c>
      <c r="CJ45" s="25">
        <v>0.38541666666666669</v>
      </c>
      <c r="CK45" s="26">
        <v>0.64583333333333337</v>
      </c>
      <c r="CL45" s="27">
        <v>45</v>
      </c>
      <c r="CM45" s="28">
        <v>1</v>
      </c>
      <c r="CN45" s="42">
        <v>1</v>
      </c>
      <c r="CP45" s="33"/>
      <c r="CQ45" s="34"/>
      <c r="CR45" s="35"/>
      <c r="CS45" s="36"/>
      <c r="CT45" s="37"/>
      <c r="CV45" s="33"/>
      <c r="CW45" s="34"/>
      <c r="CX45" s="35"/>
      <c r="CY45" s="36"/>
      <c r="CZ45" s="37"/>
      <c r="DA45" s="30">
        <f t="shared" si="0"/>
        <v>0</v>
      </c>
      <c r="DB45" s="31" t="e">
        <f>DA45*#REF!</f>
        <v>#REF!</v>
      </c>
      <c r="DC45" s="32" t="e">
        <f>DA45*#REF!</f>
        <v>#REF!</v>
      </c>
      <c r="DE45" s="33"/>
      <c r="DF45" s="34"/>
      <c r="DG45" s="35"/>
      <c r="DH45" s="36"/>
      <c r="DI45" s="37"/>
      <c r="DJ45" s="30">
        <f t="shared" si="1"/>
        <v>0</v>
      </c>
      <c r="DK45" s="31" t="e">
        <f>DJ45*#REF!</f>
        <v>#REF!</v>
      </c>
      <c r="DL45" s="32" t="e">
        <f>DJ45*#REF!</f>
        <v>#REF!</v>
      </c>
      <c r="DN45" s="33"/>
      <c r="DO45" s="34"/>
      <c r="DP45" s="35"/>
      <c r="DQ45" s="36"/>
      <c r="DR45" s="37"/>
      <c r="DS45" s="30">
        <f t="shared" si="2"/>
        <v>0</v>
      </c>
      <c r="DT45" s="31" t="e">
        <f>DS45*#REF!</f>
        <v>#REF!</v>
      </c>
      <c r="DU45" s="32" t="e">
        <f>DS45*#REF!</f>
        <v>#REF!</v>
      </c>
      <c r="DW45" s="33"/>
      <c r="DX45" s="34"/>
      <c r="DY45" s="35"/>
      <c r="DZ45" s="36"/>
      <c r="EA45" s="37"/>
      <c r="EB45" s="30">
        <f t="shared" si="3"/>
        <v>0</v>
      </c>
      <c r="EC45" s="31" t="e">
        <f>EB45*#REF!</f>
        <v>#REF!</v>
      </c>
      <c r="ED45" s="32" t="e">
        <f>EB45*#REF!</f>
        <v>#REF!</v>
      </c>
      <c r="EF45" s="33"/>
      <c r="EG45" s="34"/>
      <c r="EH45" s="35"/>
      <c r="EI45" s="36"/>
      <c r="EJ45" s="37"/>
      <c r="EK45" s="30">
        <f t="shared" si="4"/>
        <v>0</v>
      </c>
      <c r="EL45" s="31" t="e">
        <f>EK45*#REF!</f>
        <v>#REF!</v>
      </c>
      <c r="EM45" s="32" t="e">
        <f>EK45*#REF!</f>
        <v>#REF!</v>
      </c>
      <c r="EO45" s="33"/>
      <c r="EP45" s="34"/>
      <c r="EQ45" s="35"/>
      <c r="ER45" s="36"/>
      <c r="ES45" s="37"/>
      <c r="ET45" s="30">
        <f t="shared" si="5"/>
        <v>0</v>
      </c>
      <c r="EU45" s="31" t="e">
        <f>ET45*#REF!</f>
        <v>#REF!</v>
      </c>
      <c r="EV45" s="32" t="e">
        <f>ET45*#REF!</f>
        <v>#REF!</v>
      </c>
      <c r="EX45" s="33"/>
      <c r="EY45" s="34"/>
      <c r="EZ45" s="35"/>
      <c r="FA45" s="36"/>
      <c r="FB45" s="37"/>
      <c r="FC45" s="30">
        <f t="shared" si="6"/>
        <v>0</v>
      </c>
      <c r="FD45" s="31" t="e">
        <f>FC45*#REF!</f>
        <v>#REF!</v>
      </c>
      <c r="FE45" s="32" t="e">
        <f>FC45*#REF!</f>
        <v>#REF!</v>
      </c>
      <c r="FG45" s="33"/>
      <c r="FH45" s="34"/>
      <c r="FI45" s="35"/>
      <c r="FJ45" s="36"/>
      <c r="FK45" s="37"/>
      <c r="FL45" s="30">
        <f t="shared" si="7"/>
        <v>0</v>
      </c>
      <c r="FM45" s="31" t="e">
        <f>FL45*#REF!</f>
        <v>#REF!</v>
      </c>
      <c r="FN45" s="32" t="e">
        <f>FL45*#REF!</f>
        <v>#REF!</v>
      </c>
      <c r="FP45" s="33"/>
      <c r="FQ45" s="34"/>
      <c r="FR45" s="35"/>
      <c r="FS45" s="36"/>
      <c r="FT45" s="37"/>
      <c r="FU45" s="30">
        <f t="shared" si="8"/>
        <v>0</v>
      </c>
      <c r="FV45" s="31" t="e">
        <f>FU45*#REF!</f>
        <v>#REF!</v>
      </c>
      <c r="FW45" s="32" t="e">
        <f>FU45*#REF!</f>
        <v>#REF!</v>
      </c>
      <c r="FY45" s="33"/>
      <c r="FZ45" s="34"/>
      <c r="GA45" s="35"/>
      <c r="GB45" s="36"/>
      <c r="GC45" s="37"/>
      <c r="GD45" s="30">
        <f t="shared" si="9"/>
        <v>0</v>
      </c>
      <c r="GE45" s="31" t="e">
        <f>GD45*#REF!</f>
        <v>#REF!</v>
      </c>
      <c r="GF45" s="32" t="e">
        <f>GD45*#REF!</f>
        <v>#REF!</v>
      </c>
      <c r="GH45" s="33"/>
      <c r="GI45" s="34"/>
      <c r="GJ45" s="35"/>
      <c r="GK45" s="36"/>
      <c r="GL45" s="37"/>
      <c r="GM45" s="30">
        <f t="shared" si="10"/>
        <v>0</v>
      </c>
      <c r="GN45" s="31" t="e">
        <f>GM45*#REF!</f>
        <v>#REF!</v>
      </c>
      <c r="GO45" s="32" t="e">
        <f>GM45*#REF!</f>
        <v>#REF!</v>
      </c>
      <c r="GQ45" s="38">
        <f>_xlfn.MAXIFS(I45:GO45,$I$5:$GO$5,"Staff #")</f>
        <v>1</v>
      </c>
      <c r="GR45" s="39">
        <v>1</v>
      </c>
    </row>
    <row r="46" spans="2:200" ht="15" x14ac:dyDescent="0.25">
      <c r="B46" s="22"/>
      <c r="C46" s="23"/>
      <c r="D46" s="24" t="str">
        <f>IF(C46="","",_xlfn.XLOOKUP(C46,'[3]Control Sheet'!$L$5:$L$104,'[3]Control Sheet'!$M$5:$M$104,"",0))</f>
        <v/>
      </c>
      <c r="E46" s="24" t="str">
        <f>IF(B46="","",_xlfn.XLOOKUP(B46,'[3]Control Sheet'!$D$5:$D$64,'[3]Control Sheet'!$F$5:$F$64,"",0))</f>
        <v/>
      </c>
      <c r="F46" s="24" t="str">
        <f>IF(B46="","",_xlfn.XLOOKUP(B46,'[3]Control Sheet'!$D$5:$D$64,'[3]Control Sheet'!$E$5:$E$64,"",0))</f>
        <v/>
      </c>
      <c r="I46" s="33"/>
      <c r="J46" s="34"/>
      <c r="K46" s="35"/>
      <c r="L46" s="36"/>
      <c r="M46" s="37"/>
      <c r="P46" s="33"/>
      <c r="Q46" s="34"/>
      <c r="R46" s="35"/>
      <c r="S46" s="36"/>
      <c r="T46" s="37"/>
      <c r="V46" s="33"/>
      <c r="W46" s="34"/>
      <c r="X46" s="35"/>
      <c r="Y46" s="36"/>
      <c r="Z46" s="37"/>
      <c r="AB46" s="33"/>
      <c r="AC46" s="34"/>
      <c r="AD46" s="35"/>
      <c r="AE46" s="36"/>
      <c r="AF46" s="37"/>
      <c r="AH46" s="33"/>
      <c r="AI46" s="34"/>
      <c r="AJ46" s="35"/>
      <c r="AK46" s="36"/>
      <c r="AL46" s="37"/>
      <c r="AN46" s="33"/>
      <c r="AO46" s="34"/>
      <c r="AP46" s="35"/>
      <c r="AQ46" s="36"/>
      <c r="AR46" s="37"/>
      <c r="AT46" s="33"/>
      <c r="AU46" s="34"/>
      <c r="AV46" s="35"/>
      <c r="AW46" s="36"/>
      <c r="AX46" s="37"/>
      <c r="AZ46" s="33"/>
      <c r="BA46" s="34"/>
      <c r="BB46" s="35"/>
      <c r="BC46" s="36"/>
      <c r="BD46" s="37"/>
      <c r="BF46" s="33"/>
      <c r="BG46" s="34"/>
      <c r="BH46" s="35"/>
      <c r="BI46" s="36"/>
      <c r="BJ46" s="37"/>
      <c r="BL46" s="33"/>
      <c r="BM46" s="34"/>
      <c r="BN46" s="35"/>
      <c r="BO46" s="36"/>
      <c r="BP46" s="37"/>
      <c r="BR46" s="33"/>
      <c r="BS46" s="34"/>
      <c r="BT46" s="35"/>
      <c r="BU46" s="36"/>
      <c r="BV46" s="37"/>
      <c r="BX46" s="33"/>
      <c r="BY46" s="34"/>
      <c r="BZ46" s="35"/>
      <c r="CA46" s="36"/>
      <c r="CB46" s="37"/>
      <c r="CD46" s="33"/>
      <c r="CE46" s="34"/>
      <c r="CF46" s="35"/>
      <c r="CG46" s="36"/>
      <c r="CH46" s="37"/>
      <c r="CJ46" s="33"/>
      <c r="CK46" s="34"/>
      <c r="CL46" s="35"/>
      <c r="CM46" s="36"/>
      <c r="CN46" s="37"/>
      <c r="CP46" s="33"/>
      <c r="CQ46" s="34"/>
      <c r="CR46" s="35"/>
      <c r="CS46" s="36"/>
      <c r="CT46" s="37"/>
      <c r="CV46" s="33"/>
      <c r="CW46" s="34"/>
      <c r="CX46" s="35"/>
      <c r="CY46" s="36"/>
      <c r="CZ46" s="37"/>
      <c r="DA46" s="30">
        <f t="shared" si="0"/>
        <v>0</v>
      </c>
      <c r="DB46" s="31" t="e">
        <f>DA46*#REF!</f>
        <v>#REF!</v>
      </c>
      <c r="DC46" s="32" t="e">
        <f>DA46*#REF!</f>
        <v>#REF!</v>
      </c>
      <c r="DE46" s="33"/>
      <c r="DF46" s="34"/>
      <c r="DG46" s="35"/>
      <c r="DH46" s="36"/>
      <c r="DI46" s="37"/>
      <c r="DJ46" s="30">
        <f t="shared" si="1"/>
        <v>0</v>
      </c>
      <c r="DK46" s="31" t="e">
        <f>DJ46*#REF!</f>
        <v>#REF!</v>
      </c>
      <c r="DL46" s="32" t="e">
        <f>DJ46*#REF!</f>
        <v>#REF!</v>
      </c>
      <c r="DN46" s="33"/>
      <c r="DO46" s="34"/>
      <c r="DP46" s="35"/>
      <c r="DQ46" s="36"/>
      <c r="DR46" s="37"/>
      <c r="DS46" s="30">
        <f t="shared" si="2"/>
        <v>0</v>
      </c>
      <c r="DT46" s="31" t="e">
        <f>DS46*#REF!</f>
        <v>#REF!</v>
      </c>
      <c r="DU46" s="32" t="e">
        <f>DS46*#REF!</f>
        <v>#REF!</v>
      </c>
      <c r="DW46" s="33"/>
      <c r="DX46" s="34"/>
      <c r="DY46" s="35"/>
      <c r="DZ46" s="36"/>
      <c r="EA46" s="37"/>
      <c r="EB46" s="30">
        <f t="shared" si="3"/>
        <v>0</v>
      </c>
      <c r="EC46" s="31" t="e">
        <f>EB46*#REF!</f>
        <v>#REF!</v>
      </c>
      <c r="ED46" s="32" t="e">
        <f>EB46*#REF!</f>
        <v>#REF!</v>
      </c>
      <c r="EF46" s="33"/>
      <c r="EG46" s="34"/>
      <c r="EH46" s="35"/>
      <c r="EI46" s="36"/>
      <c r="EJ46" s="37"/>
      <c r="EK46" s="30">
        <f t="shared" si="4"/>
        <v>0</v>
      </c>
      <c r="EL46" s="31" t="e">
        <f>EK46*#REF!</f>
        <v>#REF!</v>
      </c>
      <c r="EM46" s="32" t="e">
        <f>EK46*#REF!</f>
        <v>#REF!</v>
      </c>
      <c r="EO46" s="33"/>
      <c r="EP46" s="34"/>
      <c r="EQ46" s="35"/>
      <c r="ER46" s="36"/>
      <c r="ES46" s="37"/>
      <c r="ET46" s="30">
        <f t="shared" si="5"/>
        <v>0</v>
      </c>
      <c r="EU46" s="31" t="e">
        <f>ET46*#REF!</f>
        <v>#REF!</v>
      </c>
      <c r="EV46" s="32" t="e">
        <f>ET46*#REF!</f>
        <v>#REF!</v>
      </c>
      <c r="EX46" s="33"/>
      <c r="EY46" s="34"/>
      <c r="EZ46" s="35"/>
      <c r="FA46" s="36"/>
      <c r="FB46" s="37"/>
      <c r="FC46" s="30">
        <f t="shared" si="6"/>
        <v>0</v>
      </c>
      <c r="FD46" s="31" t="e">
        <f>FC46*#REF!</f>
        <v>#REF!</v>
      </c>
      <c r="FE46" s="32" t="e">
        <f>FC46*#REF!</f>
        <v>#REF!</v>
      </c>
      <c r="FG46" s="33"/>
      <c r="FH46" s="34"/>
      <c r="FI46" s="35"/>
      <c r="FJ46" s="36"/>
      <c r="FK46" s="37"/>
      <c r="FL46" s="30">
        <f t="shared" si="7"/>
        <v>0</v>
      </c>
      <c r="FM46" s="31" t="e">
        <f>FL46*#REF!</f>
        <v>#REF!</v>
      </c>
      <c r="FN46" s="32" t="e">
        <f>FL46*#REF!</f>
        <v>#REF!</v>
      </c>
      <c r="FP46" s="33"/>
      <c r="FQ46" s="34"/>
      <c r="FR46" s="35"/>
      <c r="FS46" s="36"/>
      <c r="FT46" s="37"/>
      <c r="FU46" s="30">
        <f t="shared" si="8"/>
        <v>0</v>
      </c>
      <c r="FV46" s="31" t="e">
        <f>FU46*#REF!</f>
        <v>#REF!</v>
      </c>
      <c r="FW46" s="32" t="e">
        <f>FU46*#REF!</f>
        <v>#REF!</v>
      </c>
      <c r="FY46" s="33"/>
      <c r="FZ46" s="34"/>
      <c r="GA46" s="35"/>
      <c r="GB46" s="36"/>
      <c r="GC46" s="37"/>
      <c r="GD46" s="30">
        <f t="shared" si="9"/>
        <v>0</v>
      </c>
      <c r="GE46" s="31" t="e">
        <f>GD46*#REF!</f>
        <v>#REF!</v>
      </c>
      <c r="GF46" s="32" t="e">
        <f>GD46*#REF!</f>
        <v>#REF!</v>
      </c>
      <c r="GH46" s="33"/>
      <c r="GI46" s="34"/>
      <c r="GJ46" s="35"/>
      <c r="GK46" s="36"/>
      <c r="GL46" s="37"/>
      <c r="GM46" s="30">
        <f t="shared" si="10"/>
        <v>0</v>
      </c>
      <c r="GN46" s="31" t="e">
        <f>GM46*#REF!</f>
        <v>#REF!</v>
      </c>
      <c r="GO46" s="32" t="e">
        <f>GM46*#REF!</f>
        <v>#REF!</v>
      </c>
      <c r="GQ46" s="38">
        <f>_xlfn.MAXIFS(I46:GO46,$I$5:$GO$5,"Staff #")</f>
        <v>0</v>
      </c>
      <c r="GR46" s="39">
        <v>0</v>
      </c>
    </row>
    <row r="47" spans="2:200" ht="15" x14ac:dyDescent="0.25">
      <c r="B47" s="22" t="s">
        <v>72</v>
      </c>
      <c r="C47" s="23" t="s">
        <v>73</v>
      </c>
      <c r="D47" s="24" t="str">
        <f>IF(C47="","",_xlfn.XLOOKUP(C47,'[3]Control Sheet'!$L$5:$L$104,'[3]Control Sheet'!$M$5:$M$104,"",0))</f>
        <v>Rides Zufari Driver</v>
      </c>
      <c r="E47" s="24" t="str">
        <f>IF(B47="","",_xlfn.XLOOKUP(B47,'[3]Control Sheet'!$D$5:$D$64,'[3]Control Sheet'!$F$5:$F$64,"",0))</f>
        <v>Rides</v>
      </c>
      <c r="F47" s="24" t="str">
        <f>IF(B47="","",_xlfn.XLOOKUP(B47,'[3]Control Sheet'!$D$5:$D$64,'[3]Control Sheet'!$E$5:$E$64,"",0))</f>
        <v>C1300-O</v>
      </c>
      <c r="I47" s="25">
        <v>0.38541666666666669</v>
      </c>
      <c r="J47" s="26">
        <v>0.69791666666666663</v>
      </c>
      <c r="K47" s="27">
        <v>45</v>
      </c>
      <c r="L47" s="28">
        <v>2</v>
      </c>
      <c r="M47" s="42">
        <v>1</v>
      </c>
      <c r="P47" s="25">
        <v>0.38541666666666669</v>
      </c>
      <c r="Q47" s="26">
        <v>0.73958333333333337</v>
      </c>
      <c r="R47" s="27">
        <v>45</v>
      </c>
      <c r="S47" s="28">
        <v>2</v>
      </c>
      <c r="T47" s="42">
        <v>1</v>
      </c>
      <c r="V47" s="25">
        <v>0.38541666666666669</v>
      </c>
      <c r="W47" s="26">
        <v>0.73958333333333337</v>
      </c>
      <c r="X47" s="27">
        <v>45</v>
      </c>
      <c r="Y47" s="28">
        <v>2</v>
      </c>
      <c r="Z47" s="42">
        <v>1</v>
      </c>
      <c r="AB47" s="25">
        <v>0.38541666666666669</v>
      </c>
      <c r="AC47" s="26">
        <v>0.73958333333333337</v>
      </c>
      <c r="AD47" s="27">
        <v>45</v>
      </c>
      <c r="AE47" s="28">
        <v>3</v>
      </c>
      <c r="AF47" s="42">
        <v>1</v>
      </c>
      <c r="AH47" s="25">
        <v>0.38541666666666669</v>
      </c>
      <c r="AI47" s="26">
        <v>0.73958333333333337</v>
      </c>
      <c r="AJ47" s="27">
        <v>45</v>
      </c>
      <c r="AK47" s="28">
        <v>4</v>
      </c>
      <c r="AL47" s="42">
        <v>1</v>
      </c>
      <c r="AN47" s="25">
        <v>0.38541666666666669</v>
      </c>
      <c r="AO47" s="26">
        <v>0.78125</v>
      </c>
      <c r="AP47" s="27">
        <v>45</v>
      </c>
      <c r="AQ47" s="28">
        <v>4</v>
      </c>
      <c r="AR47" s="42">
        <v>1</v>
      </c>
      <c r="AT47" s="25">
        <v>0.38541666666666669</v>
      </c>
      <c r="AU47" s="26">
        <v>0.73958333333333337</v>
      </c>
      <c r="AV47" s="27">
        <v>45</v>
      </c>
      <c r="AW47" s="28">
        <v>5</v>
      </c>
      <c r="AX47" s="42">
        <v>1</v>
      </c>
      <c r="AZ47" s="25">
        <v>0.38541666666666669</v>
      </c>
      <c r="BA47" s="26">
        <v>0.78125</v>
      </c>
      <c r="BB47" s="27">
        <v>45</v>
      </c>
      <c r="BC47" s="28">
        <v>5</v>
      </c>
      <c r="BD47" s="42">
        <v>1</v>
      </c>
      <c r="BF47" s="25">
        <v>0.38541666666666669</v>
      </c>
      <c r="BG47" s="26">
        <v>0.82291666666666663</v>
      </c>
      <c r="BH47" s="27">
        <v>75</v>
      </c>
      <c r="BI47" s="28">
        <v>5</v>
      </c>
      <c r="BJ47" s="42">
        <v>1</v>
      </c>
      <c r="BL47" s="33"/>
      <c r="BM47" s="34"/>
      <c r="BN47" s="35"/>
      <c r="BO47" s="36"/>
      <c r="BP47" s="37"/>
      <c r="BR47" s="33"/>
      <c r="BS47" s="34"/>
      <c r="BT47" s="35"/>
      <c r="BU47" s="36"/>
      <c r="BV47" s="37"/>
      <c r="BX47" s="33"/>
      <c r="BY47" s="34"/>
      <c r="BZ47" s="35"/>
      <c r="CA47" s="36"/>
      <c r="CB47" s="37"/>
      <c r="CD47" s="33"/>
      <c r="CE47" s="34"/>
      <c r="CF47" s="35"/>
      <c r="CG47" s="36"/>
      <c r="CH47" s="37"/>
      <c r="CJ47" s="33"/>
      <c r="CK47" s="34"/>
      <c r="CL47" s="35"/>
      <c r="CM47" s="36"/>
      <c r="CN47" s="37"/>
      <c r="CP47" s="33"/>
      <c r="CQ47" s="34"/>
      <c r="CR47" s="35"/>
      <c r="CS47" s="36"/>
      <c r="CT47" s="37"/>
      <c r="CV47" s="33"/>
      <c r="CW47" s="34"/>
      <c r="CX47" s="35"/>
      <c r="CY47" s="36"/>
      <c r="CZ47" s="37"/>
      <c r="DA47" s="30">
        <f t="shared" si="0"/>
        <v>0</v>
      </c>
      <c r="DB47" s="31" t="e">
        <f>DA47*#REF!</f>
        <v>#REF!</v>
      </c>
      <c r="DC47" s="32" t="e">
        <f>DA47*#REF!</f>
        <v>#REF!</v>
      </c>
      <c r="DE47" s="33"/>
      <c r="DF47" s="34"/>
      <c r="DG47" s="35"/>
      <c r="DH47" s="36"/>
      <c r="DI47" s="37"/>
      <c r="DJ47" s="30">
        <f t="shared" si="1"/>
        <v>0</v>
      </c>
      <c r="DK47" s="31" t="e">
        <f>DJ47*#REF!</f>
        <v>#REF!</v>
      </c>
      <c r="DL47" s="32" t="e">
        <f>DJ47*#REF!</f>
        <v>#REF!</v>
      </c>
      <c r="DN47" s="33"/>
      <c r="DO47" s="34"/>
      <c r="DP47" s="35"/>
      <c r="DQ47" s="36"/>
      <c r="DR47" s="37"/>
      <c r="DS47" s="30">
        <f t="shared" si="2"/>
        <v>0</v>
      </c>
      <c r="DT47" s="31" t="e">
        <f>DS47*#REF!</f>
        <v>#REF!</v>
      </c>
      <c r="DU47" s="32" t="e">
        <f>DS47*#REF!</f>
        <v>#REF!</v>
      </c>
      <c r="DW47" s="33"/>
      <c r="DX47" s="34"/>
      <c r="DY47" s="35"/>
      <c r="DZ47" s="36"/>
      <c r="EA47" s="37"/>
      <c r="EB47" s="30">
        <f t="shared" si="3"/>
        <v>0</v>
      </c>
      <c r="EC47" s="31" t="e">
        <f>EB47*#REF!</f>
        <v>#REF!</v>
      </c>
      <c r="ED47" s="32" t="e">
        <f>EB47*#REF!</f>
        <v>#REF!</v>
      </c>
      <c r="EF47" s="33"/>
      <c r="EG47" s="34"/>
      <c r="EH47" s="35"/>
      <c r="EI47" s="36"/>
      <c r="EJ47" s="37"/>
      <c r="EK47" s="30">
        <f t="shared" si="4"/>
        <v>0</v>
      </c>
      <c r="EL47" s="31" t="e">
        <f>EK47*#REF!</f>
        <v>#REF!</v>
      </c>
      <c r="EM47" s="32" t="e">
        <f>EK47*#REF!</f>
        <v>#REF!</v>
      </c>
      <c r="EO47" s="33"/>
      <c r="EP47" s="34"/>
      <c r="EQ47" s="35"/>
      <c r="ER47" s="36"/>
      <c r="ES47" s="37"/>
      <c r="ET47" s="30">
        <f t="shared" si="5"/>
        <v>0</v>
      </c>
      <c r="EU47" s="31" t="e">
        <f>ET47*#REF!</f>
        <v>#REF!</v>
      </c>
      <c r="EV47" s="32" t="e">
        <f>ET47*#REF!</f>
        <v>#REF!</v>
      </c>
      <c r="EX47" s="33"/>
      <c r="EY47" s="34"/>
      <c r="EZ47" s="35"/>
      <c r="FA47" s="36"/>
      <c r="FB47" s="37"/>
      <c r="FC47" s="30">
        <f t="shared" si="6"/>
        <v>0</v>
      </c>
      <c r="FD47" s="31" t="e">
        <f>FC47*#REF!</f>
        <v>#REF!</v>
      </c>
      <c r="FE47" s="32" t="e">
        <f>FC47*#REF!</f>
        <v>#REF!</v>
      </c>
      <c r="FG47" s="33"/>
      <c r="FH47" s="34"/>
      <c r="FI47" s="35"/>
      <c r="FJ47" s="36"/>
      <c r="FK47" s="37"/>
      <c r="FL47" s="30">
        <f t="shared" si="7"/>
        <v>0</v>
      </c>
      <c r="FM47" s="31" t="e">
        <f>FL47*#REF!</f>
        <v>#REF!</v>
      </c>
      <c r="FN47" s="32" t="e">
        <f>FL47*#REF!</f>
        <v>#REF!</v>
      </c>
      <c r="FP47" s="33"/>
      <c r="FQ47" s="34"/>
      <c r="FR47" s="35"/>
      <c r="FS47" s="36"/>
      <c r="FT47" s="37"/>
      <c r="FU47" s="30">
        <f t="shared" si="8"/>
        <v>0</v>
      </c>
      <c r="FV47" s="31" t="e">
        <f>FU47*#REF!</f>
        <v>#REF!</v>
      </c>
      <c r="FW47" s="32" t="e">
        <f>FU47*#REF!</f>
        <v>#REF!</v>
      </c>
      <c r="FY47" s="33"/>
      <c r="FZ47" s="34"/>
      <c r="GA47" s="35"/>
      <c r="GB47" s="36"/>
      <c r="GC47" s="37"/>
      <c r="GD47" s="30">
        <f t="shared" si="9"/>
        <v>0</v>
      </c>
      <c r="GE47" s="31" t="e">
        <f>GD47*#REF!</f>
        <v>#REF!</v>
      </c>
      <c r="GF47" s="32" t="e">
        <f>GD47*#REF!</f>
        <v>#REF!</v>
      </c>
      <c r="GH47" s="33"/>
      <c r="GI47" s="34"/>
      <c r="GJ47" s="35"/>
      <c r="GK47" s="36"/>
      <c r="GL47" s="37"/>
      <c r="GM47" s="30">
        <f t="shared" si="10"/>
        <v>0</v>
      </c>
      <c r="GN47" s="31" t="e">
        <f>GM47*#REF!</f>
        <v>#REF!</v>
      </c>
      <c r="GO47" s="32" t="e">
        <f>GM47*#REF!</f>
        <v>#REF!</v>
      </c>
      <c r="GQ47" s="38">
        <f>_xlfn.MAXIFS(I47:GO47,$I$5:$GO$5,"Staff #")</f>
        <v>5</v>
      </c>
      <c r="GR47" s="39">
        <v>5</v>
      </c>
    </row>
    <row r="48" spans="2:200" ht="15" x14ac:dyDescent="0.25">
      <c r="B48" s="22" t="s">
        <v>72</v>
      </c>
      <c r="C48" s="23" t="s">
        <v>73</v>
      </c>
      <c r="D48" s="24" t="str">
        <f>IF(C48="","",_xlfn.XLOOKUP(C48,'[3]Control Sheet'!$L$5:$L$104,'[3]Control Sheet'!$M$5:$M$104,"",0))</f>
        <v>Rides Zufari Driver</v>
      </c>
      <c r="E48" s="24" t="str">
        <f>IF(B48="","",_xlfn.XLOOKUP(B48,'[3]Control Sheet'!$D$5:$D$64,'[3]Control Sheet'!$F$5:$F$64,"",0))</f>
        <v>Rides</v>
      </c>
      <c r="F48" s="24" t="str">
        <f>IF(B48="","",_xlfn.XLOOKUP(B48,'[3]Control Sheet'!$D$5:$D$64,'[3]Control Sheet'!$E$5:$E$64,"",0))</f>
        <v>C1300-O</v>
      </c>
      <c r="I48" s="25">
        <v>0.45833333333333331</v>
      </c>
      <c r="J48" s="26">
        <v>0.625</v>
      </c>
      <c r="K48" s="27">
        <v>45</v>
      </c>
      <c r="L48" s="28">
        <v>1</v>
      </c>
      <c r="M48" s="42">
        <v>1</v>
      </c>
      <c r="P48" s="25">
        <v>0.45833333333333331</v>
      </c>
      <c r="Q48" s="26">
        <v>0.625</v>
      </c>
      <c r="R48" s="27">
        <v>45</v>
      </c>
      <c r="S48" s="28">
        <v>1</v>
      </c>
      <c r="T48" s="42">
        <v>1</v>
      </c>
      <c r="V48" s="25">
        <v>0.45833333333333331</v>
      </c>
      <c r="W48" s="26">
        <v>0.625</v>
      </c>
      <c r="X48" s="27">
        <v>45</v>
      </c>
      <c r="Y48" s="28">
        <v>1</v>
      </c>
      <c r="Z48" s="42">
        <v>1</v>
      </c>
      <c r="AB48" s="25">
        <v>0.45833333333333331</v>
      </c>
      <c r="AC48" s="26">
        <v>0.625</v>
      </c>
      <c r="AD48" s="27">
        <v>45</v>
      </c>
      <c r="AE48" s="28">
        <v>1</v>
      </c>
      <c r="AF48" s="42">
        <v>1</v>
      </c>
      <c r="AH48" s="25">
        <v>0.45833333333333331</v>
      </c>
      <c r="AI48" s="26">
        <v>0.625</v>
      </c>
      <c r="AJ48" s="27">
        <v>45</v>
      </c>
      <c r="AK48" s="28">
        <v>2</v>
      </c>
      <c r="AL48" s="42">
        <v>1</v>
      </c>
      <c r="AN48" s="25">
        <v>0.45833333333333331</v>
      </c>
      <c r="AO48" s="26">
        <v>0.66666666666666663</v>
      </c>
      <c r="AP48" s="27">
        <v>45</v>
      </c>
      <c r="AQ48" s="28">
        <v>2</v>
      </c>
      <c r="AR48" s="42">
        <v>1</v>
      </c>
      <c r="AT48" s="25">
        <v>0.45833333333333331</v>
      </c>
      <c r="AU48" s="26">
        <v>0.625</v>
      </c>
      <c r="AV48" s="27">
        <v>45</v>
      </c>
      <c r="AW48" s="28">
        <v>3</v>
      </c>
      <c r="AX48" s="42">
        <v>1</v>
      </c>
      <c r="AZ48" s="25">
        <v>0.45833333333333331</v>
      </c>
      <c r="BA48" s="26">
        <v>0.66666666666666663</v>
      </c>
      <c r="BB48" s="27">
        <v>45</v>
      </c>
      <c r="BC48" s="28">
        <v>3</v>
      </c>
      <c r="BD48" s="42">
        <v>1</v>
      </c>
      <c r="BF48" s="25">
        <v>0.45833333333333331</v>
      </c>
      <c r="BG48" s="26">
        <v>0.70833333333333337</v>
      </c>
      <c r="BH48" s="27">
        <v>45</v>
      </c>
      <c r="BI48" s="28">
        <v>3</v>
      </c>
      <c r="BJ48" s="42">
        <v>1</v>
      </c>
      <c r="BL48" s="33"/>
      <c r="BM48" s="34"/>
      <c r="BN48" s="35"/>
      <c r="BO48" s="36"/>
      <c r="BP48" s="37"/>
      <c r="BR48" s="33"/>
      <c r="BS48" s="34"/>
      <c r="BT48" s="35"/>
      <c r="BU48" s="36"/>
      <c r="BV48" s="37"/>
      <c r="BX48" s="33"/>
      <c r="BY48" s="34"/>
      <c r="BZ48" s="35"/>
      <c r="CA48" s="36"/>
      <c r="CB48" s="37"/>
      <c r="CD48" s="33"/>
      <c r="CE48" s="34"/>
      <c r="CF48" s="35"/>
      <c r="CG48" s="36"/>
      <c r="CH48" s="37"/>
      <c r="CJ48" s="33"/>
      <c r="CK48" s="34"/>
      <c r="CL48" s="35"/>
      <c r="CM48" s="36"/>
      <c r="CN48" s="37"/>
      <c r="CP48" s="33"/>
      <c r="CQ48" s="34"/>
      <c r="CR48" s="35"/>
      <c r="CS48" s="36"/>
      <c r="CT48" s="37"/>
      <c r="CV48" s="33"/>
      <c r="CW48" s="34"/>
      <c r="CX48" s="35"/>
      <c r="CY48" s="36"/>
      <c r="CZ48" s="37"/>
      <c r="DA48" s="30">
        <f t="shared" si="0"/>
        <v>0</v>
      </c>
      <c r="DB48" s="31" t="e">
        <f>DA48*#REF!</f>
        <v>#REF!</v>
      </c>
      <c r="DC48" s="32" t="e">
        <f>DA48*#REF!</f>
        <v>#REF!</v>
      </c>
      <c r="DE48" s="33"/>
      <c r="DF48" s="34"/>
      <c r="DG48" s="35"/>
      <c r="DH48" s="36"/>
      <c r="DI48" s="37"/>
      <c r="DJ48" s="30">
        <f t="shared" si="1"/>
        <v>0</v>
      </c>
      <c r="DK48" s="31" t="e">
        <f>DJ48*#REF!</f>
        <v>#REF!</v>
      </c>
      <c r="DL48" s="32" t="e">
        <f>DJ48*#REF!</f>
        <v>#REF!</v>
      </c>
      <c r="DN48" s="33"/>
      <c r="DO48" s="34"/>
      <c r="DP48" s="35"/>
      <c r="DQ48" s="36"/>
      <c r="DR48" s="37"/>
      <c r="DS48" s="30">
        <f t="shared" si="2"/>
        <v>0</v>
      </c>
      <c r="DT48" s="31" t="e">
        <f>DS48*#REF!</f>
        <v>#REF!</v>
      </c>
      <c r="DU48" s="32" t="e">
        <f>DS48*#REF!</f>
        <v>#REF!</v>
      </c>
      <c r="DW48" s="33"/>
      <c r="DX48" s="34"/>
      <c r="DY48" s="35"/>
      <c r="DZ48" s="36"/>
      <c r="EA48" s="37"/>
      <c r="EB48" s="30">
        <f t="shared" si="3"/>
        <v>0</v>
      </c>
      <c r="EC48" s="31" t="e">
        <f>EB48*#REF!</f>
        <v>#REF!</v>
      </c>
      <c r="ED48" s="32" t="e">
        <f>EB48*#REF!</f>
        <v>#REF!</v>
      </c>
      <c r="EF48" s="33"/>
      <c r="EG48" s="34"/>
      <c r="EH48" s="35"/>
      <c r="EI48" s="36"/>
      <c r="EJ48" s="37"/>
      <c r="EK48" s="30">
        <f t="shared" si="4"/>
        <v>0</v>
      </c>
      <c r="EL48" s="31" t="e">
        <f>EK48*#REF!</f>
        <v>#REF!</v>
      </c>
      <c r="EM48" s="32" t="e">
        <f>EK48*#REF!</f>
        <v>#REF!</v>
      </c>
      <c r="EO48" s="33"/>
      <c r="EP48" s="34"/>
      <c r="EQ48" s="35"/>
      <c r="ER48" s="36"/>
      <c r="ES48" s="37"/>
      <c r="ET48" s="30">
        <f t="shared" si="5"/>
        <v>0</v>
      </c>
      <c r="EU48" s="31" t="e">
        <f>ET48*#REF!</f>
        <v>#REF!</v>
      </c>
      <c r="EV48" s="32" t="e">
        <f>ET48*#REF!</f>
        <v>#REF!</v>
      </c>
      <c r="EX48" s="33"/>
      <c r="EY48" s="34"/>
      <c r="EZ48" s="35"/>
      <c r="FA48" s="36"/>
      <c r="FB48" s="37"/>
      <c r="FC48" s="30">
        <f t="shared" si="6"/>
        <v>0</v>
      </c>
      <c r="FD48" s="31" t="e">
        <f>FC48*#REF!</f>
        <v>#REF!</v>
      </c>
      <c r="FE48" s="32" t="e">
        <f>FC48*#REF!</f>
        <v>#REF!</v>
      </c>
      <c r="FG48" s="33"/>
      <c r="FH48" s="34"/>
      <c r="FI48" s="35"/>
      <c r="FJ48" s="36"/>
      <c r="FK48" s="37"/>
      <c r="FL48" s="30">
        <f t="shared" si="7"/>
        <v>0</v>
      </c>
      <c r="FM48" s="31" t="e">
        <f>FL48*#REF!</f>
        <v>#REF!</v>
      </c>
      <c r="FN48" s="32" t="e">
        <f>FL48*#REF!</f>
        <v>#REF!</v>
      </c>
      <c r="FP48" s="33"/>
      <c r="FQ48" s="34"/>
      <c r="FR48" s="35"/>
      <c r="FS48" s="36"/>
      <c r="FT48" s="37"/>
      <c r="FU48" s="30">
        <f t="shared" si="8"/>
        <v>0</v>
      </c>
      <c r="FV48" s="31" t="e">
        <f>FU48*#REF!</f>
        <v>#REF!</v>
      </c>
      <c r="FW48" s="32" t="e">
        <f>FU48*#REF!</f>
        <v>#REF!</v>
      </c>
      <c r="FY48" s="33"/>
      <c r="FZ48" s="34"/>
      <c r="GA48" s="35"/>
      <c r="GB48" s="36"/>
      <c r="GC48" s="37"/>
      <c r="GD48" s="30">
        <f t="shared" si="9"/>
        <v>0</v>
      </c>
      <c r="GE48" s="31" t="e">
        <f>GD48*#REF!</f>
        <v>#REF!</v>
      </c>
      <c r="GF48" s="32" t="e">
        <f>GD48*#REF!</f>
        <v>#REF!</v>
      </c>
      <c r="GH48" s="33"/>
      <c r="GI48" s="34"/>
      <c r="GJ48" s="35"/>
      <c r="GK48" s="36"/>
      <c r="GL48" s="37"/>
      <c r="GM48" s="30">
        <f t="shared" si="10"/>
        <v>0</v>
      </c>
      <c r="GN48" s="31" t="e">
        <f>GM48*#REF!</f>
        <v>#REF!</v>
      </c>
      <c r="GO48" s="32" t="e">
        <f>GM48*#REF!</f>
        <v>#REF!</v>
      </c>
      <c r="GQ48" s="38">
        <f>_xlfn.MAXIFS(I48:GO48,$I$5:$GO$5,"Staff #")</f>
        <v>3</v>
      </c>
      <c r="GR48" s="39">
        <v>3</v>
      </c>
    </row>
    <row r="49" spans="2:200" ht="15" x14ac:dyDescent="0.25">
      <c r="B49" s="22" t="s">
        <v>72</v>
      </c>
      <c r="C49" s="23" t="s">
        <v>74</v>
      </c>
      <c r="D49" s="24" t="str">
        <f>IF(C49="","",_xlfn.XLOOKUP(C49,'[3]Control Sheet'!$L$5:$L$104,'[3]Control Sheet'!$M$5:$M$104,"",0))</f>
        <v>Rides Operator</v>
      </c>
      <c r="E49" s="24" t="str">
        <f>IF(B49="","",_xlfn.XLOOKUP(B49,'[3]Control Sheet'!$D$5:$D$64,'[3]Control Sheet'!$F$5:$F$64,"",0))</f>
        <v>Rides</v>
      </c>
      <c r="F49" s="24" t="str">
        <f>IF(B49="","",_xlfn.XLOOKUP(B49,'[3]Control Sheet'!$D$5:$D$64,'[3]Control Sheet'!$E$5:$E$64,"",0))</f>
        <v>C1300-O</v>
      </c>
      <c r="I49" s="25">
        <v>0.38541666666666669</v>
      </c>
      <c r="J49" s="26">
        <v>0.69791666666666663</v>
      </c>
      <c r="K49" s="27">
        <v>45</v>
      </c>
      <c r="L49" s="28">
        <v>1</v>
      </c>
      <c r="M49" s="42">
        <v>1</v>
      </c>
      <c r="P49" s="25">
        <v>0.38541666666666669</v>
      </c>
      <c r="Q49" s="26">
        <v>0.73958333333333337</v>
      </c>
      <c r="R49" s="27">
        <v>45</v>
      </c>
      <c r="S49" s="28">
        <v>1</v>
      </c>
      <c r="T49" s="42">
        <v>1</v>
      </c>
      <c r="V49" s="25">
        <v>0.38541666666666669</v>
      </c>
      <c r="W49" s="26">
        <v>0.75</v>
      </c>
      <c r="X49" s="27">
        <v>45</v>
      </c>
      <c r="Y49" s="28">
        <v>1</v>
      </c>
      <c r="Z49" s="42">
        <v>1</v>
      </c>
      <c r="AB49" s="25">
        <v>0.38541666666666669</v>
      </c>
      <c r="AC49" s="26">
        <v>0.73958333333333304</v>
      </c>
      <c r="AD49" s="27">
        <v>45</v>
      </c>
      <c r="AE49" s="28">
        <v>1</v>
      </c>
      <c r="AF49" s="42">
        <v>1</v>
      </c>
      <c r="AH49" s="25">
        <v>0.38541666666666669</v>
      </c>
      <c r="AI49" s="26">
        <v>0.73958333333333304</v>
      </c>
      <c r="AJ49" s="27">
        <v>45</v>
      </c>
      <c r="AK49" s="28">
        <v>1</v>
      </c>
      <c r="AL49" s="42">
        <v>1</v>
      </c>
      <c r="AN49" s="25">
        <v>0.38541666666666669</v>
      </c>
      <c r="AO49" s="26">
        <v>0.78125</v>
      </c>
      <c r="AP49" s="27">
        <v>45</v>
      </c>
      <c r="AQ49" s="28">
        <v>1</v>
      </c>
      <c r="AR49" s="42">
        <v>1</v>
      </c>
      <c r="AT49" s="25">
        <v>0.38541666666666669</v>
      </c>
      <c r="AU49" s="26">
        <v>0.73958333333333304</v>
      </c>
      <c r="AV49" s="27">
        <v>45</v>
      </c>
      <c r="AW49" s="28">
        <v>1</v>
      </c>
      <c r="AX49" s="42">
        <v>1</v>
      </c>
      <c r="AZ49" s="25">
        <v>0.38541666666666669</v>
      </c>
      <c r="BA49" s="26">
        <v>0.78125</v>
      </c>
      <c r="BB49" s="27">
        <v>45</v>
      </c>
      <c r="BC49" s="28">
        <v>1</v>
      </c>
      <c r="BD49" s="42">
        <v>1</v>
      </c>
      <c r="BF49" s="25">
        <v>0.38541666666666669</v>
      </c>
      <c r="BG49" s="26">
        <v>0.82291666666666663</v>
      </c>
      <c r="BH49" s="27">
        <v>75</v>
      </c>
      <c r="BI49" s="28">
        <v>1</v>
      </c>
      <c r="BJ49" s="42">
        <v>1</v>
      </c>
      <c r="BL49" s="33"/>
      <c r="BM49" s="34"/>
      <c r="BN49" s="35"/>
      <c r="BO49" s="36"/>
      <c r="BP49" s="37"/>
      <c r="BR49" s="33"/>
      <c r="BS49" s="34"/>
      <c r="BT49" s="35"/>
      <c r="BU49" s="36"/>
      <c r="BV49" s="37"/>
      <c r="BX49" s="33"/>
      <c r="BY49" s="34"/>
      <c r="BZ49" s="35"/>
      <c r="CA49" s="36"/>
      <c r="CB49" s="37"/>
      <c r="CD49" s="33"/>
      <c r="CE49" s="34"/>
      <c r="CF49" s="35"/>
      <c r="CG49" s="36"/>
      <c r="CH49" s="37"/>
      <c r="CJ49" s="33"/>
      <c r="CK49" s="34"/>
      <c r="CL49" s="35"/>
      <c r="CM49" s="36"/>
      <c r="CN49" s="37"/>
      <c r="CP49" s="33"/>
      <c r="CQ49" s="34"/>
      <c r="CR49" s="35"/>
      <c r="CS49" s="36"/>
      <c r="CT49" s="37"/>
      <c r="CV49" s="33"/>
      <c r="CW49" s="34"/>
      <c r="CX49" s="35"/>
      <c r="CY49" s="36"/>
      <c r="CZ49" s="37"/>
      <c r="DA49" s="30">
        <f t="shared" si="0"/>
        <v>0</v>
      </c>
      <c r="DB49" s="31" t="e">
        <f>DA49*#REF!</f>
        <v>#REF!</v>
      </c>
      <c r="DC49" s="32" t="e">
        <f>DA49*#REF!</f>
        <v>#REF!</v>
      </c>
      <c r="DE49" s="33"/>
      <c r="DF49" s="34"/>
      <c r="DG49" s="35"/>
      <c r="DH49" s="36"/>
      <c r="DI49" s="37"/>
      <c r="DJ49" s="30">
        <f t="shared" si="1"/>
        <v>0</v>
      </c>
      <c r="DK49" s="31" t="e">
        <f>DJ49*#REF!</f>
        <v>#REF!</v>
      </c>
      <c r="DL49" s="32" t="e">
        <f>DJ49*#REF!</f>
        <v>#REF!</v>
      </c>
      <c r="DN49" s="33"/>
      <c r="DO49" s="34"/>
      <c r="DP49" s="35"/>
      <c r="DQ49" s="36"/>
      <c r="DR49" s="37"/>
      <c r="DS49" s="30">
        <f t="shared" si="2"/>
        <v>0</v>
      </c>
      <c r="DT49" s="31" t="e">
        <f>DS49*#REF!</f>
        <v>#REF!</v>
      </c>
      <c r="DU49" s="32" t="e">
        <f>DS49*#REF!</f>
        <v>#REF!</v>
      </c>
      <c r="DW49" s="33"/>
      <c r="DX49" s="34"/>
      <c r="DY49" s="35"/>
      <c r="DZ49" s="36"/>
      <c r="EA49" s="37"/>
      <c r="EB49" s="30">
        <f t="shared" si="3"/>
        <v>0</v>
      </c>
      <c r="EC49" s="31" t="e">
        <f>EB49*#REF!</f>
        <v>#REF!</v>
      </c>
      <c r="ED49" s="32" t="e">
        <f>EB49*#REF!</f>
        <v>#REF!</v>
      </c>
      <c r="EF49" s="33"/>
      <c r="EG49" s="34"/>
      <c r="EH49" s="35"/>
      <c r="EI49" s="36"/>
      <c r="EJ49" s="37"/>
      <c r="EK49" s="30">
        <f t="shared" si="4"/>
        <v>0</v>
      </c>
      <c r="EL49" s="31" t="e">
        <f>EK49*#REF!</f>
        <v>#REF!</v>
      </c>
      <c r="EM49" s="32" t="e">
        <f>EK49*#REF!</f>
        <v>#REF!</v>
      </c>
      <c r="EO49" s="33"/>
      <c r="EP49" s="34"/>
      <c r="EQ49" s="35"/>
      <c r="ER49" s="36"/>
      <c r="ES49" s="37"/>
      <c r="ET49" s="30">
        <f t="shared" si="5"/>
        <v>0</v>
      </c>
      <c r="EU49" s="31" t="e">
        <f>ET49*#REF!</f>
        <v>#REF!</v>
      </c>
      <c r="EV49" s="32" t="e">
        <f>ET49*#REF!</f>
        <v>#REF!</v>
      </c>
      <c r="EX49" s="33"/>
      <c r="EY49" s="34"/>
      <c r="EZ49" s="35"/>
      <c r="FA49" s="36"/>
      <c r="FB49" s="37"/>
      <c r="FC49" s="30">
        <f t="shared" si="6"/>
        <v>0</v>
      </c>
      <c r="FD49" s="31" t="e">
        <f>FC49*#REF!</f>
        <v>#REF!</v>
      </c>
      <c r="FE49" s="32" t="e">
        <f>FC49*#REF!</f>
        <v>#REF!</v>
      </c>
      <c r="FG49" s="33"/>
      <c r="FH49" s="34"/>
      <c r="FI49" s="35"/>
      <c r="FJ49" s="36"/>
      <c r="FK49" s="37"/>
      <c r="FL49" s="30">
        <f t="shared" si="7"/>
        <v>0</v>
      </c>
      <c r="FM49" s="31" t="e">
        <f>FL49*#REF!</f>
        <v>#REF!</v>
      </c>
      <c r="FN49" s="32" t="e">
        <f>FL49*#REF!</f>
        <v>#REF!</v>
      </c>
      <c r="FP49" s="33"/>
      <c r="FQ49" s="34"/>
      <c r="FR49" s="35"/>
      <c r="FS49" s="36"/>
      <c r="FT49" s="37"/>
      <c r="FU49" s="30">
        <f t="shared" si="8"/>
        <v>0</v>
      </c>
      <c r="FV49" s="31" t="e">
        <f>FU49*#REF!</f>
        <v>#REF!</v>
      </c>
      <c r="FW49" s="32" t="e">
        <f>FU49*#REF!</f>
        <v>#REF!</v>
      </c>
      <c r="FY49" s="33"/>
      <c r="FZ49" s="34"/>
      <c r="GA49" s="35"/>
      <c r="GB49" s="36"/>
      <c r="GC49" s="37"/>
      <c r="GD49" s="30">
        <f t="shared" si="9"/>
        <v>0</v>
      </c>
      <c r="GE49" s="31" t="e">
        <f>GD49*#REF!</f>
        <v>#REF!</v>
      </c>
      <c r="GF49" s="32" t="e">
        <f>GD49*#REF!</f>
        <v>#REF!</v>
      </c>
      <c r="GH49" s="33"/>
      <c r="GI49" s="34"/>
      <c r="GJ49" s="35"/>
      <c r="GK49" s="36"/>
      <c r="GL49" s="37"/>
      <c r="GM49" s="30">
        <f t="shared" si="10"/>
        <v>0</v>
      </c>
      <c r="GN49" s="31" t="e">
        <f>GM49*#REF!</f>
        <v>#REF!</v>
      </c>
      <c r="GO49" s="32" t="e">
        <f>GM49*#REF!</f>
        <v>#REF!</v>
      </c>
      <c r="GQ49" s="38">
        <f>_xlfn.MAXIFS(I49:GO49,$I$5:$GO$5,"Staff #")</f>
        <v>1</v>
      </c>
      <c r="GR49" s="39">
        <v>1</v>
      </c>
    </row>
    <row r="50" spans="2:200" ht="15" x14ac:dyDescent="0.25">
      <c r="B50" s="22" t="s">
        <v>72</v>
      </c>
      <c r="C50" s="23" t="s">
        <v>75</v>
      </c>
      <c r="D50" s="24" t="str">
        <f>IF(C50="","",_xlfn.XLOOKUP(C50,'[3]Control Sheet'!$L$5:$L$104,'[3]Control Sheet'!$M$5:$M$104,"",0))</f>
        <v>Rides Attendant</v>
      </c>
      <c r="E50" s="24" t="str">
        <f>IF(B50="","",_xlfn.XLOOKUP(B50,'[3]Control Sheet'!$D$5:$D$64,'[3]Control Sheet'!$F$5:$F$64,"",0))</f>
        <v>Rides</v>
      </c>
      <c r="F50" s="24" t="str">
        <f>IF(B50="","",_xlfn.XLOOKUP(B50,'[3]Control Sheet'!$D$5:$D$64,'[3]Control Sheet'!$E$5:$E$64,"",0))</f>
        <v>C1300-O</v>
      </c>
      <c r="I50" s="25">
        <v>0.38541666666666669</v>
      </c>
      <c r="J50" s="26">
        <v>0.69791666666666663</v>
      </c>
      <c r="K50" s="27">
        <v>45</v>
      </c>
      <c r="L50" s="28">
        <v>2</v>
      </c>
      <c r="M50" s="42">
        <v>1</v>
      </c>
      <c r="P50" s="25">
        <v>0.38541666666666669</v>
      </c>
      <c r="Q50" s="26">
        <v>0.73958333333333337</v>
      </c>
      <c r="R50" s="27">
        <v>45</v>
      </c>
      <c r="S50" s="28">
        <v>2</v>
      </c>
      <c r="T50" s="42">
        <v>1</v>
      </c>
      <c r="V50" s="25">
        <v>0.38541666666666669</v>
      </c>
      <c r="W50" s="26">
        <v>0.73958333333333337</v>
      </c>
      <c r="X50" s="27">
        <v>45</v>
      </c>
      <c r="Y50" s="28">
        <v>2</v>
      </c>
      <c r="Z50" s="42">
        <v>1</v>
      </c>
      <c r="AB50" s="25">
        <v>0.38541666666666669</v>
      </c>
      <c r="AC50" s="26">
        <v>0.73958333333333337</v>
      </c>
      <c r="AD50" s="27">
        <v>45</v>
      </c>
      <c r="AE50" s="28">
        <v>2</v>
      </c>
      <c r="AF50" s="42">
        <v>1</v>
      </c>
      <c r="AH50" s="25">
        <v>0.38541666666666669</v>
      </c>
      <c r="AI50" s="26">
        <v>0.73958333333333337</v>
      </c>
      <c r="AJ50" s="27">
        <v>45</v>
      </c>
      <c r="AK50" s="28">
        <v>2</v>
      </c>
      <c r="AL50" s="42">
        <v>1</v>
      </c>
      <c r="AN50" s="25">
        <v>0.38541666666666669</v>
      </c>
      <c r="AO50" s="26">
        <v>0.78125</v>
      </c>
      <c r="AP50" s="27">
        <v>45</v>
      </c>
      <c r="AQ50" s="28">
        <v>2</v>
      </c>
      <c r="AR50" s="42">
        <v>1</v>
      </c>
      <c r="AT50" s="25">
        <v>0.38541666666666669</v>
      </c>
      <c r="AU50" s="26">
        <v>0.73958333333333304</v>
      </c>
      <c r="AV50" s="27">
        <v>45</v>
      </c>
      <c r="AW50" s="28">
        <v>2</v>
      </c>
      <c r="AX50" s="42">
        <v>1</v>
      </c>
      <c r="AZ50" s="25">
        <v>0.38541666666666669</v>
      </c>
      <c r="BA50" s="26">
        <v>0.78125</v>
      </c>
      <c r="BB50" s="27">
        <v>45</v>
      </c>
      <c r="BC50" s="28">
        <v>2</v>
      </c>
      <c r="BD50" s="42">
        <v>1</v>
      </c>
      <c r="BF50" s="25">
        <v>0.38541666666666669</v>
      </c>
      <c r="BG50" s="26">
        <v>0.82291666666666663</v>
      </c>
      <c r="BH50" s="27">
        <v>75</v>
      </c>
      <c r="BI50" s="28">
        <v>2</v>
      </c>
      <c r="BJ50" s="42">
        <v>1</v>
      </c>
      <c r="BL50" s="33"/>
      <c r="BM50" s="34"/>
      <c r="BN50" s="35"/>
      <c r="BO50" s="36"/>
      <c r="BP50" s="37"/>
      <c r="BR50" s="33"/>
      <c r="BS50" s="34"/>
      <c r="BT50" s="35"/>
      <c r="BU50" s="36"/>
      <c r="BV50" s="37"/>
      <c r="BX50" s="33"/>
      <c r="BY50" s="34"/>
      <c r="BZ50" s="35"/>
      <c r="CA50" s="36"/>
      <c r="CB50" s="37"/>
      <c r="CD50" s="33"/>
      <c r="CE50" s="34"/>
      <c r="CF50" s="35"/>
      <c r="CG50" s="36"/>
      <c r="CH50" s="37"/>
      <c r="CJ50" s="33"/>
      <c r="CK50" s="34"/>
      <c r="CL50" s="35"/>
      <c r="CM50" s="36"/>
      <c r="CN50" s="37"/>
      <c r="CP50" s="33"/>
      <c r="CQ50" s="34"/>
      <c r="CR50" s="35"/>
      <c r="CS50" s="36"/>
      <c r="CT50" s="37"/>
      <c r="CV50" s="33"/>
      <c r="CW50" s="34"/>
      <c r="CX50" s="35"/>
      <c r="CY50" s="36"/>
      <c r="CZ50" s="37"/>
      <c r="DA50" s="30">
        <f t="shared" si="0"/>
        <v>0</v>
      </c>
      <c r="DB50" s="31" t="e">
        <f>DA50*#REF!</f>
        <v>#REF!</v>
      </c>
      <c r="DC50" s="32" t="e">
        <f>DA50*#REF!</f>
        <v>#REF!</v>
      </c>
      <c r="DE50" s="33"/>
      <c r="DF50" s="34"/>
      <c r="DG50" s="35"/>
      <c r="DH50" s="36"/>
      <c r="DI50" s="37"/>
      <c r="DJ50" s="30">
        <f t="shared" si="1"/>
        <v>0</v>
      </c>
      <c r="DK50" s="31" t="e">
        <f>DJ50*#REF!</f>
        <v>#REF!</v>
      </c>
      <c r="DL50" s="32" t="e">
        <f>DJ50*#REF!</f>
        <v>#REF!</v>
      </c>
      <c r="DN50" s="33"/>
      <c r="DO50" s="34"/>
      <c r="DP50" s="35"/>
      <c r="DQ50" s="36"/>
      <c r="DR50" s="37"/>
      <c r="DS50" s="30">
        <f t="shared" si="2"/>
        <v>0</v>
      </c>
      <c r="DT50" s="31" t="e">
        <f>DS50*#REF!</f>
        <v>#REF!</v>
      </c>
      <c r="DU50" s="32" t="e">
        <f>DS50*#REF!</f>
        <v>#REF!</v>
      </c>
      <c r="DW50" s="33"/>
      <c r="DX50" s="34"/>
      <c r="DY50" s="35"/>
      <c r="DZ50" s="36"/>
      <c r="EA50" s="37"/>
      <c r="EB50" s="30">
        <f t="shared" si="3"/>
        <v>0</v>
      </c>
      <c r="EC50" s="31" t="e">
        <f>EB50*#REF!</f>
        <v>#REF!</v>
      </c>
      <c r="ED50" s="32" t="e">
        <f>EB50*#REF!</f>
        <v>#REF!</v>
      </c>
      <c r="EF50" s="33"/>
      <c r="EG50" s="34"/>
      <c r="EH50" s="35"/>
      <c r="EI50" s="36"/>
      <c r="EJ50" s="37"/>
      <c r="EK50" s="30">
        <f t="shared" si="4"/>
        <v>0</v>
      </c>
      <c r="EL50" s="31" t="e">
        <f>EK50*#REF!</f>
        <v>#REF!</v>
      </c>
      <c r="EM50" s="32" t="e">
        <f>EK50*#REF!</f>
        <v>#REF!</v>
      </c>
      <c r="EO50" s="33"/>
      <c r="EP50" s="34"/>
      <c r="EQ50" s="35"/>
      <c r="ER50" s="36"/>
      <c r="ES50" s="37"/>
      <c r="ET50" s="30">
        <f t="shared" si="5"/>
        <v>0</v>
      </c>
      <c r="EU50" s="31" t="e">
        <f>ET50*#REF!</f>
        <v>#REF!</v>
      </c>
      <c r="EV50" s="32" t="e">
        <f>ET50*#REF!</f>
        <v>#REF!</v>
      </c>
      <c r="EX50" s="33"/>
      <c r="EY50" s="34"/>
      <c r="EZ50" s="35"/>
      <c r="FA50" s="36"/>
      <c r="FB50" s="37"/>
      <c r="FC50" s="30">
        <f t="shared" si="6"/>
        <v>0</v>
      </c>
      <c r="FD50" s="31" t="e">
        <f>FC50*#REF!</f>
        <v>#REF!</v>
      </c>
      <c r="FE50" s="32" t="e">
        <f>FC50*#REF!</f>
        <v>#REF!</v>
      </c>
      <c r="FG50" s="33"/>
      <c r="FH50" s="34"/>
      <c r="FI50" s="35"/>
      <c r="FJ50" s="36"/>
      <c r="FK50" s="37"/>
      <c r="FL50" s="30">
        <f t="shared" si="7"/>
        <v>0</v>
      </c>
      <c r="FM50" s="31" t="e">
        <f>FL50*#REF!</f>
        <v>#REF!</v>
      </c>
      <c r="FN50" s="32" t="e">
        <f>FL50*#REF!</f>
        <v>#REF!</v>
      </c>
      <c r="FP50" s="33"/>
      <c r="FQ50" s="34"/>
      <c r="FR50" s="35"/>
      <c r="FS50" s="36"/>
      <c r="FT50" s="37"/>
      <c r="FU50" s="30">
        <f t="shared" si="8"/>
        <v>0</v>
      </c>
      <c r="FV50" s="31" t="e">
        <f>FU50*#REF!</f>
        <v>#REF!</v>
      </c>
      <c r="FW50" s="32" t="e">
        <f>FU50*#REF!</f>
        <v>#REF!</v>
      </c>
      <c r="FY50" s="33"/>
      <c r="FZ50" s="34"/>
      <c r="GA50" s="35"/>
      <c r="GB50" s="36"/>
      <c r="GC50" s="37"/>
      <c r="GD50" s="30">
        <f t="shared" si="9"/>
        <v>0</v>
      </c>
      <c r="GE50" s="31" t="e">
        <f>GD50*#REF!</f>
        <v>#REF!</v>
      </c>
      <c r="GF50" s="32" t="e">
        <f>GD50*#REF!</f>
        <v>#REF!</v>
      </c>
      <c r="GH50" s="33"/>
      <c r="GI50" s="34"/>
      <c r="GJ50" s="35"/>
      <c r="GK50" s="36"/>
      <c r="GL50" s="37"/>
      <c r="GM50" s="30">
        <f t="shared" si="10"/>
        <v>0</v>
      </c>
      <c r="GN50" s="31" t="e">
        <f>GM50*#REF!</f>
        <v>#REF!</v>
      </c>
      <c r="GO50" s="32" t="e">
        <f>GM50*#REF!</f>
        <v>#REF!</v>
      </c>
      <c r="GQ50" s="38">
        <f>_xlfn.MAXIFS(I50:GO50,$I$5:$GO$5,"Staff #")</f>
        <v>2</v>
      </c>
      <c r="GR50" s="39">
        <v>2</v>
      </c>
    </row>
    <row r="51" spans="2:200" ht="15" x14ac:dyDescent="0.25">
      <c r="B51" s="22"/>
      <c r="C51" s="23"/>
      <c r="D51" s="24" t="str">
        <f>IF(C51="","",_xlfn.XLOOKUP(C51,'[3]Control Sheet'!$L$5:$L$104,'[3]Control Sheet'!$M$5:$M$104,"",0))</f>
        <v/>
      </c>
      <c r="E51" s="24" t="str">
        <f>IF(B51="","",_xlfn.XLOOKUP(B51,'[3]Control Sheet'!$D$5:$D$64,'[3]Control Sheet'!$F$5:$F$64,"",0))</f>
        <v/>
      </c>
      <c r="F51" s="24" t="str">
        <f>IF(B51="","",_xlfn.XLOOKUP(B51,'[3]Control Sheet'!$D$5:$D$64,'[3]Control Sheet'!$E$5:$E$64,"",0))</f>
        <v/>
      </c>
      <c r="I51" s="33"/>
      <c r="J51" s="34"/>
      <c r="K51" s="35"/>
      <c r="L51" s="36"/>
      <c r="M51" s="37"/>
      <c r="P51" s="33"/>
      <c r="Q51" s="34"/>
      <c r="R51" s="35"/>
      <c r="S51" s="36"/>
      <c r="T51" s="37"/>
      <c r="V51" s="33"/>
      <c r="W51" s="34"/>
      <c r="X51" s="35"/>
      <c r="Y51" s="36"/>
      <c r="Z51" s="37"/>
      <c r="AB51" s="33"/>
      <c r="AC51" s="34"/>
      <c r="AD51" s="35"/>
      <c r="AE51" s="36"/>
      <c r="AF51" s="37"/>
      <c r="AH51" s="33"/>
      <c r="AI51" s="34"/>
      <c r="AJ51" s="35"/>
      <c r="AK51" s="36"/>
      <c r="AL51" s="37"/>
      <c r="AN51" s="33"/>
      <c r="AO51" s="34"/>
      <c r="AP51" s="35"/>
      <c r="AQ51" s="36"/>
      <c r="AR51" s="37"/>
      <c r="AT51" s="33"/>
      <c r="AU51" s="34"/>
      <c r="AV51" s="35"/>
      <c r="AW51" s="36"/>
      <c r="AX51" s="37"/>
      <c r="AZ51" s="33"/>
      <c r="BA51" s="34"/>
      <c r="BB51" s="35"/>
      <c r="BC51" s="36"/>
      <c r="BD51" s="37"/>
      <c r="BF51" s="33"/>
      <c r="BG51" s="34"/>
      <c r="BH51" s="35"/>
      <c r="BI51" s="36"/>
      <c r="BJ51" s="37"/>
      <c r="BL51" s="33"/>
      <c r="BM51" s="34"/>
      <c r="BN51" s="35"/>
      <c r="BO51" s="36"/>
      <c r="BP51" s="37"/>
      <c r="BR51" s="33"/>
      <c r="BS51" s="34"/>
      <c r="BT51" s="35"/>
      <c r="BU51" s="36"/>
      <c r="BV51" s="37"/>
      <c r="BX51" s="33"/>
      <c r="BY51" s="34"/>
      <c r="BZ51" s="35"/>
      <c r="CA51" s="36"/>
      <c r="CB51" s="37"/>
      <c r="CD51" s="33"/>
      <c r="CE51" s="34"/>
      <c r="CF51" s="35"/>
      <c r="CG51" s="36"/>
      <c r="CH51" s="37"/>
      <c r="CJ51" s="33"/>
      <c r="CK51" s="34"/>
      <c r="CL51" s="35"/>
      <c r="CM51" s="36"/>
      <c r="CN51" s="37"/>
      <c r="CP51" s="33"/>
      <c r="CQ51" s="34"/>
      <c r="CR51" s="35"/>
      <c r="CS51" s="36"/>
      <c r="CT51" s="37"/>
      <c r="CV51" s="33"/>
      <c r="CW51" s="34"/>
      <c r="CX51" s="35"/>
      <c r="CY51" s="36"/>
      <c r="CZ51" s="37"/>
      <c r="DA51" s="30">
        <f t="shared" si="0"/>
        <v>0</v>
      </c>
      <c r="DB51" s="31" t="e">
        <f>DA51*#REF!</f>
        <v>#REF!</v>
      </c>
      <c r="DC51" s="32" t="e">
        <f>DA51*#REF!</f>
        <v>#REF!</v>
      </c>
      <c r="DE51" s="33"/>
      <c r="DF51" s="34"/>
      <c r="DG51" s="35"/>
      <c r="DH51" s="36"/>
      <c r="DI51" s="37"/>
      <c r="DJ51" s="30">
        <f t="shared" si="1"/>
        <v>0</v>
      </c>
      <c r="DK51" s="31" t="e">
        <f>DJ51*#REF!</f>
        <v>#REF!</v>
      </c>
      <c r="DL51" s="32" t="e">
        <f>DJ51*#REF!</f>
        <v>#REF!</v>
      </c>
      <c r="DN51" s="33"/>
      <c r="DO51" s="34"/>
      <c r="DP51" s="35"/>
      <c r="DQ51" s="36"/>
      <c r="DR51" s="37"/>
      <c r="DS51" s="30">
        <f t="shared" si="2"/>
        <v>0</v>
      </c>
      <c r="DT51" s="31" t="e">
        <f>DS51*#REF!</f>
        <v>#REF!</v>
      </c>
      <c r="DU51" s="32" t="e">
        <f>DS51*#REF!</f>
        <v>#REF!</v>
      </c>
      <c r="DW51" s="33"/>
      <c r="DX51" s="34"/>
      <c r="DY51" s="35"/>
      <c r="DZ51" s="36"/>
      <c r="EA51" s="37"/>
      <c r="EB51" s="30">
        <f t="shared" si="3"/>
        <v>0</v>
      </c>
      <c r="EC51" s="31" t="e">
        <f>EB51*#REF!</f>
        <v>#REF!</v>
      </c>
      <c r="ED51" s="32" t="e">
        <f>EB51*#REF!</f>
        <v>#REF!</v>
      </c>
      <c r="EF51" s="33"/>
      <c r="EG51" s="34"/>
      <c r="EH51" s="35"/>
      <c r="EI51" s="36"/>
      <c r="EJ51" s="37"/>
      <c r="EK51" s="30">
        <f t="shared" si="4"/>
        <v>0</v>
      </c>
      <c r="EL51" s="31" t="e">
        <f>EK51*#REF!</f>
        <v>#REF!</v>
      </c>
      <c r="EM51" s="32" t="e">
        <f>EK51*#REF!</f>
        <v>#REF!</v>
      </c>
      <c r="EO51" s="33"/>
      <c r="EP51" s="34"/>
      <c r="EQ51" s="35"/>
      <c r="ER51" s="36"/>
      <c r="ES51" s="37"/>
      <c r="ET51" s="30">
        <f t="shared" si="5"/>
        <v>0</v>
      </c>
      <c r="EU51" s="31" t="e">
        <f>ET51*#REF!</f>
        <v>#REF!</v>
      </c>
      <c r="EV51" s="32" t="e">
        <f>ET51*#REF!</f>
        <v>#REF!</v>
      </c>
      <c r="EX51" s="33"/>
      <c r="EY51" s="34"/>
      <c r="EZ51" s="35"/>
      <c r="FA51" s="36"/>
      <c r="FB51" s="37"/>
      <c r="FC51" s="30">
        <f t="shared" si="6"/>
        <v>0</v>
      </c>
      <c r="FD51" s="31" t="e">
        <f>FC51*#REF!</f>
        <v>#REF!</v>
      </c>
      <c r="FE51" s="32" t="e">
        <f>FC51*#REF!</f>
        <v>#REF!</v>
      </c>
      <c r="FG51" s="33"/>
      <c r="FH51" s="34"/>
      <c r="FI51" s="35"/>
      <c r="FJ51" s="36"/>
      <c r="FK51" s="37"/>
      <c r="FL51" s="30">
        <f t="shared" si="7"/>
        <v>0</v>
      </c>
      <c r="FM51" s="31" t="e">
        <f>FL51*#REF!</f>
        <v>#REF!</v>
      </c>
      <c r="FN51" s="32" t="e">
        <f>FL51*#REF!</f>
        <v>#REF!</v>
      </c>
      <c r="FP51" s="33"/>
      <c r="FQ51" s="34"/>
      <c r="FR51" s="35"/>
      <c r="FS51" s="36"/>
      <c r="FT51" s="37"/>
      <c r="FU51" s="30">
        <f t="shared" si="8"/>
        <v>0</v>
      </c>
      <c r="FV51" s="31" t="e">
        <f>FU51*#REF!</f>
        <v>#REF!</v>
      </c>
      <c r="FW51" s="32" t="e">
        <f>FU51*#REF!</f>
        <v>#REF!</v>
      </c>
      <c r="FY51" s="33"/>
      <c r="FZ51" s="34"/>
      <c r="GA51" s="35"/>
      <c r="GB51" s="36"/>
      <c r="GC51" s="37"/>
      <c r="GD51" s="30">
        <f t="shared" si="9"/>
        <v>0</v>
      </c>
      <c r="GE51" s="31" t="e">
        <f>GD51*#REF!</f>
        <v>#REF!</v>
      </c>
      <c r="GF51" s="32" t="e">
        <f>GD51*#REF!</f>
        <v>#REF!</v>
      </c>
      <c r="GH51" s="33"/>
      <c r="GI51" s="34"/>
      <c r="GJ51" s="35"/>
      <c r="GK51" s="36"/>
      <c r="GL51" s="37"/>
      <c r="GM51" s="30">
        <f t="shared" si="10"/>
        <v>0</v>
      </c>
      <c r="GN51" s="31" t="e">
        <f>GM51*#REF!</f>
        <v>#REF!</v>
      </c>
      <c r="GO51" s="32" t="e">
        <f>GM51*#REF!</f>
        <v>#REF!</v>
      </c>
      <c r="GQ51" s="38">
        <f>_xlfn.MAXIFS(I51:GO51,$I$5:$GO$5,"Staff #")</f>
        <v>0</v>
      </c>
      <c r="GR51" s="39">
        <v>0</v>
      </c>
    </row>
    <row r="52" spans="2:200" ht="15" x14ac:dyDescent="0.25">
      <c r="B52" s="22" t="s">
        <v>104</v>
      </c>
      <c r="C52" s="23" t="s">
        <v>76</v>
      </c>
      <c r="D52" s="24" t="str">
        <f>IF(C52="","",_xlfn.XLOOKUP(C52,'[3]Control Sheet'!$L$5:$L$104,'[3]Control Sheet'!$M$5:$M$104,"",0))</f>
        <v>Rides Operator</v>
      </c>
      <c r="E52" s="24" t="str">
        <f>IF(B52="","",_xlfn.XLOOKUP(B52,'[3]Control Sheet'!$D$5:$D$64,'[3]Control Sheet'!$F$5:$F$64,"",0))</f>
        <v>Rides</v>
      </c>
      <c r="F52" s="24" t="str">
        <f>IF(B52="","",_xlfn.XLOOKUP(B52,'[3]Control Sheet'!$D$5:$D$64,'[3]Control Sheet'!$E$5:$E$64,"",0))</f>
        <v>C1300-O</v>
      </c>
      <c r="I52" s="33">
        <v>0.45833333333333331</v>
      </c>
      <c r="J52" s="34">
        <v>0.625</v>
      </c>
      <c r="K52" s="35">
        <v>0</v>
      </c>
      <c r="L52" s="36">
        <v>4</v>
      </c>
      <c r="M52" s="37">
        <v>1</v>
      </c>
      <c r="P52" s="33">
        <v>0.45833333333333331</v>
      </c>
      <c r="Q52" s="34">
        <v>0.625</v>
      </c>
      <c r="R52" s="35">
        <v>0</v>
      </c>
      <c r="S52" s="36">
        <v>4</v>
      </c>
      <c r="T52" s="37">
        <v>1</v>
      </c>
      <c r="V52" s="33">
        <v>0.45833333333333331</v>
      </c>
      <c r="W52" s="34">
        <v>0.625</v>
      </c>
      <c r="X52" s="35">
        <v>0</v>
      </c>
      <c r="Y52" s="36">
        <v>4</v>
      </c>
      <c r="Z52" s="37">
        <v>1</v>
      </c>
      <c r="AB52" s="33">
        <v>0.45833333333333331</v>
      </c>
      <c r="AC52" s="34">
        <v>0.625</v>
      </c>
      <c r="AD52" s="35">
        <v>0</v>
      </c>
      <c r="AE52" s="36">
        <v>4</v>
      </c>
      <c r="AF52" s="37">
        <v>1</v>
      </c>
      <c r="AH52" s="33">
        <v>0.45833333333333331</v>
      </c>
      <c r="AI52" s="34">
        <v>0.625</v>
      </c>
      <c r="AJ52" s="35">
        <v>0</v>
      </c>
      <c r="AK52" s="36">
        <v>4</v>
      </c>
      <c r="AL52" s="37">
        <v>1</v>
      </c>
      <c r="AN52" s="33">
        <v>0.45833333333333331</v>
      </c>
      <c r="AO52" s="34">
        <v>0.625</v>
      </c>
      <c r="AP52" s="35">
        <v>0</v>
      </c>
      <c r="AQ52" s="36">
        <v>4</v>
      </c>
      <c r="AR52" s="37">
        <v>1</v>
      </c>
      <c r="AT52" s="33">
        <v>0.45833333333333331</v>
      </c>
      <c r="AU52" s="34">
        <v>0.625</v>
      </c>
      <c r="AV52" s="35">
        <v>0</v>
      </c>
      <c r="AW52" s="36">
        <v>4</v>
      </c>
      <c r="AX52" s="37">
        <v>1</v>
      </c>
      <c r="AZ52" s="33">
        <v>0.45833333333333331</v>
      </c>
      <c r="BA52" s="34">
        <v>0.625</v>
      </c>
      <c r="BB52" s="35">
        <v>0</v>
      </c>
      <c r="BC52" s="36">
        <v>4</v>
      </c>
      <c r="BD52" s="37">
        <v>1</v>
      </c>
      <c r="BF52" s="33">
        <v>0.45833333333333331</v>
      </c>
      <c r="BG52" s="34">
        <v>0.625</v>
      </c>
      <c r="BH52" s="35">
        <v>0</v>
      </c>
      <c r="BI52" s="36">
        <v>4</v>
      </c>
      <c r="BJ52" s="37">
        <v>1</v>
      </c>
      <c r="BL52" s="33">
        <v>0.45833333333333331</v>
      </c>
      <c r="BM52" s="34">
        <v>0.625</v>
      </c>
      <c r="BN52" s="35">
        <v>0</v>
      </c>
      <c r="BO52" s="36">
        <v>2</v>
      </c>
      <c r="BP52" s="37">
        <v>1</v>
      </c>
      <c r="BR52" s="33">
        <v>0.45833333333333331</v>
      </c>
      <c r="BS52" s="34">
        <v>0.625</v>
      </c>
      <c r="BT52" s="35">
        <v>0</v>
      </c>
      <c r="BU52" s="36">
        <v>2</v>
      </c>
      <c r="BV52" s="37">
        <v>1</v>
      </c>
      <c r="BX52" s="33">
        <v>0.45833333333333331</v>
      </c>
      <c r="BY52" s="34">
        <v>0.625</v>
      </c>
      <c r="BZ52" s="35">
        <v>0</v>
      </c>
      <c r="CA52" s="36">
        <v>2</v>
      </c>
      <c r="CB52" s="37">
        <v>1</v>
      </c>
      <c r="CD52" s="33">
        <v>0.45833333333333331</v>
      </c>
      <c r="CE52" s="34">
        <v>0.625</v>
      </c>
      <c r="CF52" s="35">
        <v>0</v>
      </c>
      <c r="CG52" s="36">
        <v>2</v>
      </c>
      <c r="CH52" s="37">
        <v>1</v>
      </c>
      <c r="CJ52" s="33">
        <v>0.45833333333333331</v>
      </c>
      <c r="CK52" s="34">
        <v>0.625</v>
      </c>
      <c r="CL52" s="35">
        <v>0</v>
      </c>
      <c r="CM52" s="36">
        <v>2</v>
      </c>
      <c r="CN52" s="37">
        <v>1</v>
      </c>
      <c r="CP52" s="33"/>
      <c r="CQ52" s="34"/>
      <c r="CR52" s="35"/>
      <c r="CS52" s="36"/>
      <c r="CT52" s="37"/>
      <c r="CV52" s="33"/>
      <c r="CW52" s="34"/>
      <c r="CX52" s="35"/>
      <c r="CY52" s="36"/>
      <c r="CZ52" s="37"/>
      <c r="DA52" s="30">
        <f t="shared" si="0"/>
        <v>0</v>
      </c>
      <c r="DB52" s="31" t="e">
        <f>DA52*#REF!</f>
        <v>#REF!</v>
      </c>
      <c r="DC52" s="32" t="e">
        <f>DA52*#REF!</f>
        <v>#REF!</v>
      </c>
      <c r="DE52" s="33"/>
      <c r="DF52" s="34"/>
      <c r="DG52" s="35"/>
      <c r="DH52" s="36"/>
      <c r="DI52" s="37"/>
      <c r="DJ52" s="30">
        <f t="shared" si="1"/>
        <v>0</v>
      </c>
      <c r="DK52" s="31" t="e">
        <f>DJ52*#REF!</f>
        <v>#REF!</v>
      </c>
      <c r="DL52" s="32" t="e">
        <f>DJ52*#REF!</f>
        <v>#REF!</v>
      </c>
      <c r="DN52" s="33"/>
      <c r="DO52" s="34"/>
      <c r="DP52" s="35"/>
      <c r="DQ52" s="36"/>
      <c r="DR52" s="37"/>
      <c r="DS52" s="30">
        <f t="shared" si="2"/>
        <v>0</v>
      </c>
      <c r="DT52" s="31" t="e">
        <f>DS52*#REF!</f>
        <v>#REF!</v>
      </c>
      <c r="DU52" s="32" t="e">
        <f>DS52*#REF!</f>
        <v>#REF!</v>
      </c>
      <c r="DW52" s="33"/>
      <c r="DX52" s="34"/>
      <c r="DY52" s="35"/>
      <c r="DZ52" s="36"/>
      <c r="EA52" s="37"/>
      <c r="EB52" s="30">
        <f t="shared" si="3"/>
        <v>0</v>
      </c>
      <c r="EC52" s="31" t="e">
        <f>EB52*#REF!</f>
        <v>#REF!</v>
      </c>
      <c r="ED52" s="32" t="e">
        <f>EB52*#REF!</f>
        <v>#REF!</v>
      </c>
      <c r="EF52" s="33"/>
      <c r="EG52" s="34"/>
      <c r="EH52" s="35"/>
      <c r="EI52" s="36"/>
      <c r="EJ52" s="37"/>
      <c r="EK52" s="30">
        <f t="shared" si="4"/>
        <v>0</v>
      </c>
      <c r="EL52" s="31" t="e">
        <f>EK52*#REF!</f>
        <v>#REF!</v>
      </c>
      <c r="EM52" s="32" t="e">
        <f>EK52*#REF!</f>
        <v>#REF!</v>
      </c>
      <c r="EO52" s="33"/>
      <c r="EP52" s="34"/>
      <c r="EQ52" s="35"/>
      <c r="ER52" s="36"/>
      <c r="ES52" s="37"/>
      <c r="ET52" s="30">
        <f t="shared" si="5"/>
        <v>0</v>
      </c>
      <c r="EU52" s="31" t="e">
        <f>ET52*#REF!</f>
        <v>#REF!</v>
      </c>
      <c r="EV52" s="32" t="e">
        <f>ET52*#REF!</f>
        <v>#REF!</v>
      </c>
      <c r="EX52" s="33"/>
      <c r="EY52" s="34"/>
      <c r="EZ52" s="35"/>
      <c r="FA52" s="36"/>
      <c r="FB52" s="37"/>
      <c r="FC52" s="30">
        <f t="shared" si="6"/>
        <v>0</v>
      </c>
      <c r="FD52" s="31" t="e">
        <f>FC52*#REF!</f>
        <v>#REF!</v>
      </c>
      <c r="FE52" s="32" t="e">
        <f>FC52*#REF!</f>
        <v>#REF!</v>
      </c>
      <c r="FG52" s="33"/>
      <c r="FH52" s="34"/>
      <c r="FI52" s="35"/>
      <c r="FJ52" s="36"/>
      <c r="FK52" s="37"/>
      <c r="FL52" s="30">
        <f t="shared" si="7"/>
        <v>0</v>
      </c>
      <c r="FM52" s="31" t="e">
        <f>FL52*#REF!</f>
        <v>#REF!</v>
      </c>
      <c r="FN52" s="32" t="e">
        <f>FL52*#REF!</f>
        <v>#REF!</v>
      </c>
      <c r="FP52" s="33"/>
      <c r="FQ52" s="34"/>
      <c r="FR52" s="35"/>
      <c r="FS52" s="36"/>
      <c r="FT52" s="37"/>
      <c r="FU52" s="30">
        <f t="shared" si="8"/>
        <v>0</v>
      </c>
      <c r="FV52" s="31" t="e">
        <f>FU52*#REF!</f>
        <v>#REF!</v>
      </c>
      <c r="FW52" s="32" t="e">
        <f>FU52*#REF!</f>
        <v>#REF!</v>
      </c>
      <c r="FY52" s="33"/>
      <c r="FZ52" s="34"/>
      <c r="GA52" s="35"/>
      <c r="GB52" s="36"/>
      <c r="GC52" s="37"/>
      <c r="GD52" s="30">
        <f t="shared" si="9"/>
        <v>0</v>
      </c>
      <c r="GE52" s="31" t="e">
        <f>GD52*#REF!</f>
        <v>#REF!</v>
      </c>
      <c r="GF52" s="32" t="e">
        <f>GD52*#REF!</f>
        <v>#REF!</v>
      </c>
      <c r="GH52" s="33"/>
      <c r="GI52" s="34"/>
      <c r="GJ52" s="35"/>
      <c r="GK52" s="36"/>
      <c r="GL52" s="37"/>
      <c r="GM52" s="30">
        <f t="shared" si="10"/>
        <v>0</v>
      </c>
      <c r="GN52" s="31" t="e">
        <f>GM52*#REF!</f>
        <v>#REF!</v>
      </c>
      <c r="GO52" s="32" t="e">
        <f>GM52*#REF!</f>
        <v>#REF!</v>
      </c>
      <c r="GQ52" s="38">
        <f>_xlfn.MAXIFS(I52:GO52,$I$5:$GO$5,"Staff #")</f>
        <v>4</v>
      </c>
      <c r="GR52" s="39">
        <v>4</v>
      </c>
    </row>
    <row r="53" spans="2:200" ht="15" x14ac:dyDescent="0.25">
      <c r="B53" s="22" t="s">
        <v>104</v>
      </c>
      <c r="C53" s="23" t="s">
        <v>77</v>
      </c>
      <c r="D53" s="24" t="str">
        <f>IF(C53="","",_xlfn.XLOOKUP(C53,'[3]Control Sheet'!$L$5:$L$104,'[3]Control Sheet'!$M$5:$M$104,"",0))</f>
        <v>Rides Attendant</v>
      </c>
      <c r="E53" s="24" t="str">
        <f>IF(B53="","",_xlfn.XLOOKUP(B53,'[3]Control Sheet'!$D$5:$D$64,'[3]Control Sheet'!$F$5:$F$64,"",0))</f>
        <v>Rides</v>
      </c>
      <c r="F53" s="24" t="str">
        <f>IF(B53="","",_xlfn.XLOOKUP(B53,'[3]Control Sheet'!$D$5:$D$64,'[3]Control Sheet'!$E$5:$E$64,"",0))</f>
        <v>C1300-O</v>
      </c>
      <c r="I53" s="33">
        <v>0.45833333333333331</v>
      </c>
      <c r="J53" s="34">
        <v>0.625</v>
      </c>
      <c r="K53" s="35">
        <v>0</v>
      </c>
      <c r="L53" s="36">
        <v>8</v>
      </c>
      <c r="M53" s="37">
        <v>1</v>
      </c>
      <c r="P53" s="33">
        <v>0.45833333333333331</v>
      </c>
      <c r="Q53" s="34">
        <v>0.625</v>
      </c>
      <c r="R53" s="35">
        <v>0</v>
      </c>
      <c r="S53" s="36">
        <v>8</v>
      </c>
      <c r="T53" s="37">
        <v>1</v>
      </c>
      <c r="V53" s="33">
        <v>0.45833333333333331</v>
      </c>
      <c r="W53" s="34">
        <v>0.625</v>
      </c>
      <c r="X53" s="35">
        <v>0</v>
      </c>
      <c r="Y53" s="36">
        <v>8</v>
      </c>
      <c r="Z53" s="37">
        <v>1</v>
      </c>
      <c r="AB53" s="33">
        <v>0.45833333333333331</v>
      </c>
      <c r="AC53" s="34">
        <v>0.625</v>
      </c>
      <c r="AD53" s="35">
        <v>0</v>
      </c>
      <c r="AE53" s="36">
        <v>8</v>
      </c>
      <c r="AF53" s="37">
        <v>1</v>
      </c>
      <c r="AH53" s="33">
        <v>0.45833333333333331</v>
      </c>
      <c r="AI53" s="34">
        <v>0.625</v>
      </c>
      <c r="AJ53" s="35">
        <v>0</v>
      </c>
      <c r="AK53" s="36">
        <v>8</v>
      </c>
      <c r="AL53" s="37">
        <v>1</v>
      </c>
      <c r="AN53" s="33">
        <v>0.45833333333333331</v>
      </c>
      <c r="AO53" s="34">
        <v>0.625</v>
      </c>
      <c r="AP53" s="35">
        <v>0</v>
      </c>
      <c r="AQ53" s="36">
        <v>8</v>
      </c>
      <c r="AR53" s="37">
        <v>1</v>
      </c>
      <c r="AT53" s="33">
        <v>0.45833333333333331</v>
      </c>
      <c r="AU53" s="34">
        <v>0.625</v>
      </c>
      <c r="AV53" s="35">
        <v>0</v>
      </c>
      <c r="AW53" s="36">
        <v>8</v>
      </c>
      <c r="AX53" s="37">
        <v>1</v>
      </c>
      <c r="AZ53" s="33">
        <v>0.45833333333333331</v>
      </c>
      <c r="BA53" s="34">
        <v>0.625</v>
      </c>
      <c r="BB53" s="35">
        <v>0</v>
      </c>
      <c r="BC53" s="36">
        <v>8</v>
      </c>
      <c r="BD53" s="37">
        <v>1</v>
      </c>
      <c r="BF53" s="33">
        <v>0.45833333333333331</v>
      </c>
      <c r="BG53" s="34">
        <v>0.625</v>
      </c>
      <c r="BH53" s="35">
        <v>0</v>
      </c>
      <c r="BI53" s="36">
        <v>8</v>
      </c>
      <c r="BJ53" s="37">
        <v>1</v>
      </c>
      <c r="BL53" s="33">
        <v>0.45833333333333331</v>
      </c>
      <c r="BM53" s="34">
        <v>0.625</v>
      </c>
      <c r="BN53" s="35">
        <v>0</v>
      </c>
      <c r="BO53" s="36">
        <v>3</v>
      </c>
      <c r="BP53" s="37">
        <v>1</v>
      </c>
      <c r="BR53" s="33">
        <v>0.45833333333333331</v>
      </c>
      <c r="BS53" s="34">
        <v>0.625</v>
      </c>
      <c r="BT53" s="35">
        <v>0</v>
      </c>
      <c r="BU53" s="36">
        <v>3</v>
      </c>
      <c r="BV53" s="37">
        <v>1</v>
      </c>
      <c r="BX53" s="33">
        <v>0.45833333333333331</v>
      </c>
      <c r="BY53" s="34">
        <v>0.625</v>
      </c>
      <c r="BZ53" s="35">
        <v>0</v>
      </c>
      <c r="CA53" s="36">
        <v>3</v>
      </c>
      <c r="CB53" s="37">
        <v>1</v>
      </c>
      <c r="CD53" s="33">
        <v>0.45833333333333331</v>
      </c>
      <c r="CE53" s="34">
        <v>0.625</v>
      </c>
      <c r="CF53" s="35">
        <v>0</v>
      </c>
      <c r="CG53" s="36">
        <v>3</v>
      </c>
      <c r="CH53" s="37">
        <v>1</v>
      </c>
      <c r="CJ53" s="33">
        <v>0.45833333333333331</v>
      </c>
      <c r="CK53" s="34">
        <v>0.625</v>
      </c>
      <c r="CL53" s="35">
        <v>0</v>
      </c>
      <c r="CM53" s="36">
        <v>3</v>
      </c>
      <c r="CN53" s="37">
        <v>1</v>
      </c>
      <c r="CP53" s="33"/>
      <c r="CQ53" s="34"/>
      <c r="CR53" s="35"/>
      <c r="CS53" s="36"/>
      <c r="CT53" s="37"/>
      <c r="CV53" s="33"/>
      <c r="CW53" s="34"/>
      <c r="CX53" s="35"/>
      <c r="CY53" s="36"/>
      <c r="CZ53" s="37"/>
      <c r="DA53" s="30">
        <f t="shared" si="0"/>
        <v>0</v>
      </c>
      <c r="DB53" s="31" t="e">
        <f>DA53*#REF!</f>
        <v>#REF!</v>
      </c>
      <c r="DC53" s="32" t="e">
        <f>DA53*#REF!</f>
        <v>#REF!</v>
      </c>
      <c r="DE53" s="33"/>
      <c r="DF53" s="34"/>
      <c r="DG53" s="35"/>
      <c r="DH53" s="36"/>
      <c r="DI53" s="37"/>
      <c r="DJ53" s="30">
        <f t="shared" si="1"/>
        <v>0</v>
      </c>
      <c r="DK53" s="31" t="e">
        <f>DJ53*#REF!</f>
        <v>#REF!</v>
      </c>
      <c r="DL53" s="32" t="e">
        <f>DJ53*#REF!</f>
        <v>#REF!</v>
      </c>
      <c r="DN53" s="33"/>
      <c r="DO53" s="34"/>
      <c r="DP53" s="35"/>
      <c r="DQ53" s="36"/>
      <c r="DR53" s="37"/>
      <c r="DS53" s="30">
        <f t="shared" si="2"/>
        <v>0</v>
      </c>
      <c r="DT53" s="31" t="e">
        <f>DS53*#REF!</f>
        <v>#REF!</v>
      </c>
      <c r="DU53" s="32" t="e">
        <f>DS53*#REF!</f>
        <v>#REF!</v>
      </c>
      <c r="DW53" s="33"/>
      <c r="DX53" s="34"/>
      <c r="DY53" s="35"/>
      <c r="DZ53" s="36"/>
      <c r="EA53" s="37"/>
      <c r="EB53" s="30">
        <f t="shared" si="3"/>
        <v>0</v>
      </c>
      <c r="EC53" s="31" t="e">
        <f>EB53*#REF!</f>
        <v>#REF!</v>
      </c>
      <c r="ED53" s="32" t="e">
        <f>EB53*#REF!</f>
        <v>#REF!</v>
      </c>
      <c r="EF53" s="33"/>
      <c r="EG53" s="34"/>
      <c r="EH53" s="35"/>
      <c r="EI53" s="36"/>
      <c r="EJ53" s="37"/>
      <c r="EK53" s="30">
        <f t="shared" si="4"/>
        <v>0</v>
      </c>
      <c r="EL53" s="31" t="e">
        <f>EK53*#REF!</f>
        <v>#REF!</v>
      </c>
      <c r="EM53" s="32" t="e">
        <f>EK53*#REF!</f>
        <v>#REF!</v>
      </c>
      <c r="EO53" s="33"/>
      <c r="EP53" s="34"/>
      <c r="EQ53" s="35"/>
      <c r="ER53" s="36"/>
      <c r="ES53" s="37"/>
      <c r="ET53" s="30">
        <f t="shared" si="5"/>
        <v>0</v>
      </c>
      <c r="EU53" s="31" t="e">
        <f>ET53*#REF!</f>
        <v>#REF!</v>
      </c>
      <c r="EV53" s="32" t="e">
        <f>ET53*#REF!</f>
        <v>#REF!</v>
      </c>
      <c r="EX53" s="33"/>
      <c r="EY53" s="34"/>
      <c r="EZ53" s="35"/>
      <c r="FA53" s="36"/>
      <c r="FB53" s="37"/>
      <c r="FC53" s="30">
        <f t="shared" si="6"/>
        <v>0</v>
      </c>
      <c r="FD53" s="31" t="e">
        <f>FC53*#REF!</f>
        <v>#REF!</v>
      </c>
      <c r="FE53" s="32" t="e">
        <f>FC53*#REF!</f>
        <v>#REF!</v>
      </c>
      <c r="FG53" s="33"/>
      <c r="FH53" s="34"/>
      <c r="FI53" s="35"/>
      <c r="FJ53" s="36"/>
      <c r="FK53" s="37"/>
      <c r="FL53" s="30">
        <f t="shared" si="7"/>
        <v>0</v>
      </c>
      <c r="FM53" s="31" t="e">
        <f>FL53*#REF!</f>
        <v>#REF!</v>
      </c>
      <c r="FN53" s="32" t="e">
        <f>FL53*#REF!</f>
        <v>#REF!</v>
      </c>
      <c r="FP53" s="33"/>
      <c r="FQ53" s="34"/>
      <c r="FR53" s="35"/>
      <c r="FS53" s="36"/>
      <c r="FT53" s="37"/>
      <c r="FU53" s="30">
        <f t="shared" si="8"/>
        <v>0</v>
      </c>
      <c r="FV53" s="31" t="e">
        <f>FU53*#REF!</f>
        <v>#REF!</v>
      </c>
      <c r="FW53" s="32" t="e">
        <f>FU53*#REF!</f>
        <v>#REF!</v>
      </c>
      <c r="FY53" s="33"/>
      <c r="FZ53" s="34"/>
      <c r="GA53" s="35"/>
      <c r="GB53" s="36"/>
      <c r="GC53" s="37"/>
      <c r="GD53" s="30">
        <f t="shared" si="9"/>
        <v>0</v>
      </c>
      <c r="GE53" s="31" t="e">
        <f>GD53*#REF!</f>
        <v>#REF!</v>
      </c>
      <c r="GF53" s="32" t="e">
        <f>GD53*#REF!</f>
        <v>#REF!</v>
      </c>
      <c r="GH53" s="33"/>
      <c r="GI53" s="34"/>
      <c r="GJ53" s="35"/>
      <c r="GK53" s="36"/>
      <c r="GL53" s="37"/>
      <c r="GM53" s="30">
        <f t="shared" si="10"/>
        <v>0</v>
      </c>
      <c r="GN53" s="31" t="e">
        <f>GM53*#REF!</f>
        <v>#REF!</v>
      </c>
      <c r="GO53" s="32" t="e">
        <f>GM53*#REF!</f>
        <v>#REF!</v>
      </c>
      <c r="GQ53" s="38">
        <f>_xlfn.MAXIFS(I53:GO53,$I$5:$GO$5,"Staff #")</f>
        <v>8</v>
      </c>
      <c r="GR53" s="39">
        <v>8</v>
      </c>
    </row>
    <row r="54" spans="2:200" ht="15" x14ac:dyDescent="0.25">
      <c r="B54" s="22"/>
      <c r="C54" s="23"/>
      <c r="D54" s="24" t="str">
        <f>IF(C54="","",_xlfn.XLOOKUP(C54,'[3]Control Sheet'!$L$5:$L$104,'[3]Control Sheet'!$M$5:$M$104,"",0))</f>
        <v/>
      </c>
      <c r="E54" s="24" t="str">
        <f>IF(B54="","",_xlfn.XLOOKUP(B54,'[3]Control Sheet'!$D$5:$D$64,'[3]Control Sheet'!$F$5:$F$64,"",0))</f>
        <v/>
      </c>
      <c r="F54" s="24" t="str">
        <f>IF(B54="","",_xlfn.XLOOKUP(B54,'[3]Control Sheet'!$D$5:$D$64,'[3]Control Sheet'!$E$5:$E$64,"",0))</f>
        <v/>
      </c>
      <c r="I54" s="33"/>
      <c r="J54" s="34"/>
      <c r="K54" s="35"/>
      <c r="L54" s="36"/>
      <c r="M54" s="37"/>
      <c r="P54" s="33"/>
      <c r="Q54" s="34"/>
      <c r="R54" s="35"/>
      <c r="S54" s="36"/>
      <c r="T54" s="37"/>
      <c r="V54" s="33"/>
      <c r="W54" s="34"/>
      <c r="X54" s="35"/>
      <c r="Y54" s="36"/>
      <c r="Z54" s="37"/>
      <c r="AB54" s="33"/>
      <c r="AC54" s="34"/>
      <c r="AD54" s="35"/>
      <c r="AE54" s="36"/>
      <c r="AF54" s="37"/>
      <c r="AH54" s="33"/>
      <c r="AI54" s="34"/>
      <c r="AJ54" s="35"/>
      <c r="AK54" s="36"/>
      <c r="AL54" s="37"/>
      <c r="AN54" s="33"/>
      <c r="AO54" s="34"/>
      <c r="AP54" s="35"/>
      <c r="AQ54" s="36"/>
      <c r="AR54" s="37"/>
      <c r="AT54" s="33"/>
      <c r="AU54" s="34"/>
      <c r="AV54" s="35"/>
      <c r="AW54" s="36"/>
      <c r="AX54" s="37"/>
      <c r="AZ54" s="33"/>
      <c r="BA54" s="34"/>
      <c r="BB54" s="35"/>
      <c r="BC54" s="36"/>
      <c r="BD54" s="37"/>
      <c r="BF54" s="33"/>
      <c r="BG54" s="34"/>
      <c r="BH54" s="35"/>
      <c r="BI54" s="36"/>
      <c r="BJ54" s="37"/>
      <c r="BL54" s="33"/>
      <c r="BM54" s="34"/>
      <c r="BN54" s="35"/>
      <c r="BO54" s="36"/>
      <c r="BP54" s="37"/>
      <c r="BR54" s="33"/>
      <c r="BS54" s="34"/>
      <c r="BT54" s="35"/>
      <c r="BU54" s="36"/>
      <c r="BV54" s="37"/>
      <c r="BX54" s="33"/>
      <c r="BY54" s="34"/>
      <c r="BZ54" s="35"/>
      <c r="CA54" s="36"/>
      <c r="CB54" s="37"/>
      <c r="CD54" s="33"/>
      <c r="CE54" s="34"/>
      <c r="CF54" s="35"/>
      <c r="CG54" s="36"/>
      <c r="CH54" s="37"/>
      <c r="CJ54" s="33"/>
      <c r="CK54" s="34"/>
      <c r="CL54" s="35"/>
      <c r="CM54" s="36"/>
      <c r="CN54" s="37"/>
      <c r="CP54" s="33"/>
      <c r="CQ54" s="34"/>
      <c r="CR54" s="35"/>
      <c r="CS54" s="36"/>
      <c r="CT54" s="37"/>
      <c r="CV54" s="33"/>
      <c r="CW54" s="34"/>
      <c r="CX54" s="35"/>
      <c r="CY54" s="36"/>
      <c r="CZ54" s="37"/>
      <c r="DA54" s="30">
        <f t="shared" si="0"/>
        <v>0</v>
      </c>
      <c r="DB54" s="31" t="e">
        <f>DA54*#REF!</f>
        <v>#REF!</v>
      </c>
      <c r="DC54" s="32" t="e">
        <f>DA54*#REF!</f>
        <v>#REF!</v>
      </c>
      <c r="DE54" s="33"/>
      <c r="DF54" s="34"/>
      <c r="DG54" s="35"/>
      <c r="DH54" s="36"/>
      <c r="DI54" s="37"/>
      <c r="DJ54" s="30">
        <f t="shared" si="1"/>
        <v>0</v>
      </c>
      <c r="DK54" s="31" t="e">
        <f>DJ54*#REF!</f>
        <v>#REF!</v>
      </c>
      <c r="DL54" s="32" t="e">
        <f>DJ54*#REF!</f>
        <v>#REF!</v>
      </c>
      <c r="DN54" s="33"/>
      <c r="DO54" s="34"/>
      <c r="DP54" s="35"/>
      <c r="DQ54" s="36"/>
      <c r="DR54" s="37"/>
      <c r="DS54" s="30">
        <f t="shared" si="2"/>
        <v>0</v>
      </c>
      <c r="DT54" s="31" t="e">
        <f>DS54*#REF!</f>
        <v>#REF!</v>
      </c>
      <c r="DU54" s="32" t="e">
        <f>DS54*#REF!</f>
        <v>#REF!</v>
      </c>
      <c r="DW54" s="33"/>
      <c r="DX54" s="34"/>
      <c r="DY54" s="35"/>
      <c r="DZ54" s="36"/>
      <c r="EA54" s="37"/>
      <c r="EB54" s="30">
        <f t="shared" si="3"/>
        <v>0</v>
      </c>
      <c r="EC54" s="31" t="e">
        <f>EB54*#REF!</f>
        <v>#REF!</v>
      </c>
      <c r="ED54" s="32" t="e">
        <f>EB54*#REF!</f>
        <v>#REF!</v>
      </c>
      <c r="EF54" s="33"/>
      <c r="EG54" s="34"/>
      <c r="EH54" s="35"/>
      <c r="EI54" s="36"/>
      <c r="EJ54" s="37"/>
      <c r="EK54" s="30">
        <f t="shared" si="4"/>
        <v>0</v>
      </c>
      <c r="EL54" s="31" t="e">
        <f>EK54*#REF!</f>
        <v>#REF!</v>
      </c>
      <c r="EM54" s="32" t="e">
        <f>EK54*#REF!</f>
        <v>#REF!</v>
      </c>
      <c r="EO54" s="33"/>
      <c r="EP54" s="34"/>
      <c r="EQ54" s="35"/>
      <c r="ER54" s="36"/>
      <c r="ES54" s="37"/>
      <c r="ET54" s="30">
        <f t="shared" si="5"/>
        <v>0</v>
      </c>
      <c r="EU54" s="31" t="e">
        <f>ET54*#REF!</f>
        <v>#REF!</v>
      </c>
      <c r="EV54" s="32" t="e">
        <f>ET54*#REF!</f>
        <v>#REF!</v>
      </c>
      <c r="EX54" s="33"/>
      <c r="EY54" s="34"/>
      <c r="EZ54" s="35"/>
      <c r="FA54" s="36"/>
      <c r="FB54" s="37"/>
      <c r="FC54" s="30">
        <f t="shared" si="6"/>
        <v>0</v>
      </c>
      <c r="FD54" s="31" t="e">
        <f>FC54*#REF!</f>
        <v>#REF!</v>
      </c>
      <c r="FE54" s="32" t="e">
        <f>FC54*#REF!</f>
        <v>#REF!</v>
      </c>
      <c r="FG54" s="33"/>
      <c r="FH54" s="34"/>
      <c r="FI54" s="35"/>
      <c r="FJ54" s="36"/>
      <c r="FK54" s="37"/>
      <c r="FL54" s="30">
        <f t="shared" si="7"/>
        <v>0</v>
      </c>
      <c r="FM54" s="31" t="e">
        <f>FL54*#REF!</f>
        <v>#REF!</v>
      </c>
      <c r="FN54" s="32" t="e">
        <f>FL54*#REF!</f>
        <v>#REF!</v>
      </c>
      <c r="FP54" s="33"/>
      <c r="FQ54" s="34"/>
      <c r="FR54" s="35"/>
      <c r="FS54" s="36"/>
      <c r="FT54" s="37"/>
      <c r="FU54" s="30">
        <f t="shared" si="8"/>
        <v>0</v>
      </c>
      <c r="FV54" s="31" t="e">
        <f>FU54*#REF!</f>
        <v>#REF!</v>
      </c>
      <c r="FW54" s="32" t="e">
        <f>FU54*#REF!</f>
        <v>#REF!</v>
      </c>
      <c r="FY54" s="33"/>
      <c r="FZ54" s="34"/>
      <c r="GA54" s="35"/>
      <c r="GB54" s="36"/>
      <c r="GC54" s="37"/>
      <c r="GD54" s="30">
        <f t="shared" si="9"/>
        <v>0</v>
      </c>
      <c r="GE54" s="31" t="e">
        <f>GD54*#REF!</f>
        <v>#REF!</v>
      </c>
      <c r="GF54" s="32" t="e">
        <f>GD54*#REF!</f>
        <v>#REF!</v>
      </c>
      <c r="GH54" s="33"/>
      <c r="GI54" s="34"/>
      <c r="GJ54" s="35"/>
      <c r="GK54" s="36"/>
      <c r="GL54" s="37"/>
      <c r="GM54" s="30">
        <f t="shared" si="10"/>
        <v>0</v>
      </c>
      <c r="GN54" s="31" t="e">
        <f>GM54*#REF!</f>
        <v>#REF!</v>
      </c>
      <c r="GO54" s="32" t="e">
        <f>GM54*#REF!</f>
        <v>#REF!</v>
      </c>
      <c r="GQ54" s="38">
        <f>_xlfn.MAXIFS(I54:GO54,$I$5:$GO$5,"Staff #")</f>
        <v>0</v>
      </c>
      <c r="GR54" s="39">
        <v>0</v>
      </c>
    </row>
    <row r="55" spans="2:200" ht="15" x14ac:dyDescent="0.25">
      <c r="B55" s="22"/>
      <c r="C55" s="23"/>
      <c r="D55" s="24" t="str">
        <f>IF(C55="","",_xlfn.XLOOKUP(C55,'[3]Control Sheet'!$L$5:$L$104,'[3]Control Sheet'!$M$5:$M$104,"",0))</f>
        <v/>
      </c>
      <c r="E55" s="24" t="str">
        <f>IF(B55="","",_xlfn.XLOOKUP(B55,'[3]Control Sheet'!$D$5:$D$64,'[3]Control Sheet'!$F$5:$F$64,"",0))</f>
        <v/>
      </c>
      <c r="F55" s="24" t="str">
        <f>IF(B55="","",_xlfn.XLOOKUP(B55,'[3]Control Sheet'!$D$5:$D$64,'[3]Control Sheet'!$E$5:$E$64,"",0))</f>
        <v/>
      </c>
      <c r="I55" s="33"/>
      <c r="J55" s="34"/>
      <c r="K55" s="35"/>
      <c r="L55" s="36"/>
      <c r="M55" s="37"/>
      <c r="P55" s="33"/>
      <c r="Q55" s="34"/>
      <c r="R55" s="35"/>
      <c r="S55" s="36"/>
      <c r="T55" s="37"/>
      <c r="V55" s="33"/>
      <c r="W55" s="34"/>
      <c r="X55" s="35"/>
      <c r="Y55" s="36"/>
      <c r="Z55" s="37"/>
      <c r="AB55" s="33"/>
      <c r="AC55" s="34"/>
      <c r="AD55" s="35"/>
      <c r="AE55" s="36"/>
      <c r="AF55" s="37"/>
      <c r="AH55" s="33"/>
      <c r="AI55" s="34"/>
      <c r="AJ55" s="35"/>
      <c r="AK55" s="36"/>
      <c r="AL55" s="37"/>
      <c r="AN55" s="33"/>
      <c r="AO55" s="34"/>
      <c r="AP55" s="35"/>
      <c r="AQ55" s="36"/>
      <c r="AR55" s="37"/>
      <c r="AT55" s="33"/>
      <c r="AU55" s="34"/>
      <c r="AV55" s="35"/>
      <c r="AW55" s="36"/>
      <c r="AX55" s="37"/>
      <c r="AZ55" s="33"/>
      <c r="BA55" s="34"/>
      <c r="BB55" s="35"/>
      <c r="BC55" s="36"/>
      <c r="BD55" s="37"/>
      <c r="BF55" s="33"/>
      <c r="BG55" s="34"/>
      <c r="BH55" s="35"/>
      <c r="BI55" s="36"/>
      <c r="BJ55" s="37"/>
      <c r="BL55" s="33"/>
      <c r="BM55" s="34"/>
      <c r="BN55" s="35"/>
      <c r="BO55" s="36"/>
      <c r="BP55" s="37"/>
      <c r="BR55" s="33"/>
      <c r="BS55" s="34"/>
      <c r="BT55" s="35"/>
      <c r="BU55" s="36"/>
      <c r="BV55" s="37"/>
      <c r="BX55" s="33"/>
      <c r="BY55" s="34"/>
      <c r="BZ55" s="35"/>
      <c r="CA55" s="36"/>
      <c r="CB55" s="37"/>
      <c r="CD55" s="33"/>
      <c r="CE55" s="34"/>
      <c r="CF55" s="35"/>
      <c r="CG55" s="36"/>
      <c r="CH55" s="37"/>
      <c r="CJ55" s="33"/>
      <c r="CK55" s="34"/>
      <c r="CL55" s="35"/>
      <c r="CM55" s="36"/>
      <c r="CN55" s="37"/>
      <c r="CP55" s="33"/>
      <c r="CQ55" s="34"/>
      <c r="CR55" s="35"/>
      <c r="CS55" s="36"/>
      <c r="CT55" s="37"/>
      <c r="CV55" s="33"/>
      <c r="CW55" s="34"/>
      <c r="CX55" s="35"/>
      <c r="CY55" s="36"/>
      <c r="CZ55" s="37"/>
      <c r="DA55" s="30">
        <f t="shared" si="0"/>
        <v>0</v>
      </c>
      <c r="DB55" s="31" t="e">
        <f>DA55*#REF!</f>
        <v>#REF!</v>
      </c>
      <c r="DC55" s="32" t="e">
        <f>DA55*#REF!</f>
        <v>#REF!</v>
      </c>
      <c r="DE55" s="33"/>
      <c r="DF55" s="34"/>
      <c r="DG55" s="35"/>
      <c r="DH55" s="36"/>
      <c r="DI55" s="37"/>
      <c r="DJ55" s="30">
        <f t="shared" si="1"/>
        <v>0</v>
      </c>
      <c r="DK55" s="31" t="e">
        <f>DJ55*#REF!</f>
        <v>#REF!</v>
      </c>
      <c r="DL55" s="32" t="e">
        <f>DJ55*#REF!</f>
        <v>#REF!</v>
      </c>
      <c r="DN55" s="33"/>
      <c r="DO55" s="34"/>
      <c r="DP55" s="35"/>
      <c r="DQ55" s="36"/>
      <c r="DR55" s="37"/>
      <c r="DS55" s="30">
        <f t="shared" si="2"/>
        <v>0</v>
      </c>
      <c r="DT55" s="31" t="e">
        <f>DS55*#REF!</f>
        <v>#REF!</v>
      </c>
      <c r="DU55" s="32" t="e">
        <f>DS55*#REF!</f>
        <v>#REF!</v>
      </c>
      <c r="DW55" s="33"/>
      <c r="DX55" s="34"/>
      <c r="DY55" s="35"/>
      <c r="DZ55" s="36"/>
      <c r="EA55" s="37"/>
      <c r="EB55" s="30">
        <f t="shared" si="3"/>
        <v>0</v>
      </c>
      <c r="EC55" s="31" t="e">
        <f>EB55*#REF!</f>
        <v>#REF!</v>
      </c>
      <c r="ED55" s="32" t="e">
        <f>EB55*#REF!</f>
        <v>#REF!</v>
      </c>
      <c r="EF55" s="33"/>
      <c r="EG55" s="34"/>
      <c r="EH55" s="35"/>
      <c r="EI55" s="36"/>
      <c r="EJ55" s="37"/>
      <c r="EK55" s="30">
        <f t="shared" si="4"/>
        <v>0</v>
      </c>
      <c r="EL55" s="31" t="e">
        <f>EK55*#REF!</f>
        <v>#REF!</v>
      </c>
      <c r="EM55" s="32" t="e">
        <f>EK55*#REF!</f>
        <v>#REF!</v>
      </c>
      <c r="EO55" s="33"/>
      <c r="EP55" s="34"/>
      <c r="EQ55" s="35"/>
      <c r="ER55" s="36"/>
      <c r="ES55" s="37"/>
      <c r="ET55" s="30">
        <f t="shared" si="5"/>
        <v>0</v>
      </c>
      <c r="EU55" s="31" t="e">
        <f>ET55*#REF!</f>
        <v>#REF!</v>
      </c>
      <c r="EV55" s="32" t="e">
        <f>ET55*#REF!</f>
        <v>#REF!</v>
      </c>
      <c r="EX55" s="33"/>
      <c r="EY55" s="34"/>
      <c r="EZ55" s="35"/>
      <c r="FA55" s="36"/>
      <c r="FB55" s="37"/>
      <c r="FC55" s="30">
        <f t="shared" si="6"/>
        <v>0</v>
      </c>
      <c r="FD55" s="31" t="e">
        <f>FC55*#REF!</f>
        <v>#REF!</v>
      </c>
      <c r="FE55" s="32" t="e">
        <f>FC55*#REF!</f>
        <v>#REF!</v>
      </c>
      <c r="FG55" s="33"/>
      <c r="FH55" s="34"/>
      <c r="FI55" s="35"/>
      <c r="FJ55" s="36"/>
      <c r="FK55" s="37"/>
      <c r="FL55" s="30">
        <f t="shared" si="7"/>
        <v>0</v>
      </c>
      <c r="FM55" s="31" t="e">
        <f>FL55*#REF!</f>
        <v>#REF!</v>
      </c>
      <c r="FN55" s="32" t="e">
        <f>FL55*#REF!</f>
        <v>#REF!</v>
      </c>
      <c r="FP55" s="33"/>
      <c r="FQ55" s="34"/>
      <c r="FR55" s="35"/>
      <c r="FS55" s="36"/>
      <c r="FT55" s="37"/>
      <c r="FU55" s="30">
        <f t="shared" si="8"/>
        <v>0</v>
      </c>
      <c r="FV55" s="31" t="e">
        <f>FU55*#REF!</f>
        <v>#REF!</v>
      </c>
      <c r="FW55" s="32" t="e">
        <f>FU55*#REF!</f>
        <v>#REF!</v>
      </c>
      <c r="FY55" s="33"/>
      <c r="FZ55" s="34"/>
      <c r="GA55" s="35"/>
      <c r="GB55" s="36"/>
      <c r="GC55" s="37"/>
      <c r="GD55" s="30">
        <f t="shared" si="9"/>
        <v>0</v>
      </c>
      <c r="GE55" s="31" t="e">
        <f>GD55*#REF!</f>
        <v>#REF!</v>
      </c>
      <c r="GF55" s="32" t="e">
        <f>GD55*#REF!</f>
        <v>#REF!</v>
      </c>
      <c r="GH55" s="33"/>
      <c r="GI55" s="34"/>
      <c r="GJ55" s="35"/>
      <c r="GK55" s="36"/>
      <c r="GL55" s="37"/>
      <c r="GM55" s="30">
        <f t="shared" si="10"/>
        <v>0</v>
      </c>
      <c r="GN55" s="31" t="e">
        <f>GM55*#REF!</f>
        <v>#REF!</v>
      </c>
      <c r="GO55" s="32" t="e">
        <f>GM55*#REF!</f>
        <v>#REF!</v>
      </c>
      <c r="GQ55" s="38">
        <f>_xlfn.MAXIFS(I55:GO55,$I$5:$GO$5,"Staff #")</f>
        <v>0</v>
      </c>
      <c r="GR55" s="39">
        <v>0</v>
      </c>
    </row>
    <row r="56" spans="2:200" ht="15" x14ac:dyDescent="0.25">
      <c r="B56" s="22"/>
      <c r="C56" s="23"/>
      <c r="D56" s="24" t="str">
        <f>IF(C56="","",_xlfn.XLOOKUP(C56,'[3]Control Sheet'!$L$5:$L$104,'[3]Control Sheet'!$M$5:$M$104,"",0))</f>
        <v/>
      </c>
      <c r="E56" s="24" t="str">
        <f>IF(B56="","",_xlfn.XLOOKUP(B56,'[3]Control Sheet'!$D$5:$D$64,'[3]Control Sheet'!$F$5:$F$64,"",0))</f>
        <v/>
      </c>
      <c r="F56" s="24" t="str">
        <f>IF(B56="","",_xlfn.XLOOKUP(B56,'[3]Control Sheet'!$D$5:$D$64,'[3]Control Sheet'!$E$5:$E$64,"",0))</f>
        <v/>
      </c>
      <c r="I56" s="33"/>
      <c r="J56" s="34"/>
      <c r="K56" s="35"/>
      <c r="L56" s="36"/>
      <c r="M56" s="37"/>
      <c r="P56" s="33"/>
      <c r="Q56" s="34"/>
      <c r="R56" s="35"/>
      <c r="S56" s="36"/>
      <c r="T56" s="37"/>
      <c r="V56" s="33"/>
      <c r="W56" s="34"/>
      <c r="X56" s="35"/>
      <c r="Y56" s="36"/>
      <c r="Z56" s="37"/>
      <c r="AB56" s="33"/>
      <c r="AC56" s="34"/>
      <c r="AD56" s="35"/>
      <c r="AE56" s="36"/>
      <c r="AF56" s="37"/>
      <c r="AH56" s="33"/>
      <c r="AI56" s="34"/>
      <c r="AJ56" s="35"/>
      <c r="AK56" s="36"/>
      <c r="AL56" s="37"/>
      <c r="AN56" s="33"/>
      <c r="AO56" s="34"/>
      <c r="AP56" s="35"/>
      <c r="AQ56" s="36"/>
      <c r="AR56" s="37"/>
      <c r="AT56" s="33"/>
      <c r="AU56" s="34"/>
      <c r="AV56" s="35"/>
      <c r="AW56" s="36"/>
      <c r="AX56" s="37"/>
      <c r="AZ56" s="33"/>
      <c r="BA56" s="34"/>
      <c r="BB56" s="35"/>
      <c r="BC56" s="36"/>
      <c r="BD56" s="37"/>
      <c r="BF56" s="33"/>
      <c r="BG56" s="34"/>
      <c r="BH56" s="35"/>
      <c r="BI56" s="36"/>
      <c r="BJ56" s="37"/>
      <c r="BL56" s="33"/>
      <c r="BM56" s="34"/>
      <c r="BN56" s="35"/>
      <c r="BO56" s="36"/>
      <c r="BP56" s="37"/>
      <c r="BR56" s="33"/>
      <c r="BS56" s="34"/>
      <c r="BT56" s="35"/>
      <c r="BU56" s="36"/>
      <c r="BV56" s="37"/>
      <c r="BX56" s="33"/>
      <c r="BY56" s="34"/>
      <c r="BZ56" s="35"/>
      <c r="CA56" s="36"/>
      <c r="CB56" s="37"/>
      <c r="CD56" s="33"/>
      <c r="CE56" s="34"/>
      <c r="CF56" s="35"/>
      <c r="CG56" s="36"/>
      <c r="CH56" s="37"/>
      <c r="CJ56" s="33"/>
      <c r="CK56" s="34"/>
      <c r="CL56" s="35"/>
      <c r="CM56" s="36"/>
      <c r="CN56" s="37"/>
      <c r="CP56" s="33"/>
      <c r="CQ56" s="34"/>
      <c r="CR56" s="35"/>
      <c r="CS56" s="36"/>
      <c r="CT56" s="37"/>
      <c r="CV56" s="33"/>
      <c r="CW56" s="34"/>
      <c r="CX56" s="35"/>
      <c r="CY56" s="36"/>
      <c r="CZ56" s="37"/>
      <c r="DA56" s="30">
        <f t="shared" si="0"/>
        <v>0</v>
      </c>
      <c r="DB56" s="31" t="e">
        <f>DA56*#REF!</f>
        <v>#REF!</v>
      </c>
      <c r="DC56" s="32" t="e">
        <f>DA56*#REF!</f>
        <v>#REF!</v>
      </c>
      <c r="DE56" s="33"/>
      <c r="DF56" s="34"/>
      <c r="DG56" s="35"/>
      <c r="DH56" s="36"/>
      <c r="DI56" s="37"/>
      <c r="DJ56" s="30">
        <f t="shared" si="1"/>
        <v>0</v>
      </c>
      <c r="DK56" s="31" t="e">
        <f>DJ56*#REF!</f>
        <v>#REF!</v>
      </c>
      <c r="DL56" s="32" t="e">
        <f>DJ56*#REF!</f>
        <v>#REF!</v>
      </c>
      <c r="DN56" s="33"/>
      <c r="DO56" s="34"/>
      <c r="DP56" s="35"/>
      <c r="DQ56" s="36"/>
      <c r="DR56" s="37"/>
      <c r="DS56" s="30">
        <f t="shared" si="2"/>
        <v>0</v>
      </c>
      <c r="DT56" s="31" t="e">
        <f>DS56*#REF!</f>
        <v>#REF!</v>
      </c>
      <c r="DU56" s="32" t="e">
        <f>DS56*#REF!</f>
        <v>#REF!</v>
      </c>
      <c r="DW56" s="33"/>
      <c r="DX56" s="34"/>
      <c r="DY56" s="35"/>
      <c r="DZ56" s="36"/>
      <c r="EA56" s="37"/>
      <c r="EB56" s="30">
        <f t="shared" si="3"/>
        <v>0</v>
      </c>
      <c r="EC56" s="31" t="e">
        <f>EB56*#REF!</f>
        <v>#REF!</v>
      </c>
      <c r="ED56" s="32" t="e">
        <f>EB56*#REF!</f>
        <v>#REF!</v>
      </c>
      <c r="EF56" s="33"/>
      <c r="EG56" s="34"/>
      <c r="EH56" s="35"/>
      <c r="EI56" s="36"/>
      <c r="EJ56" s="37"/>
      <c r="EK56" s="30">
        <f t="shared" si="4"/>
        <v>0</v>
      </c>
      <c r="EL56" s="31" t="e">
        <f>EK56*#REF!</f>
        <v>#REF!</v>
      </c>
      <c r="EM56" s="32" t="e">
        <f>EK56*#REF!</f>
        <v>#REF!</v>
      </c>
      <c r="EO56" s="33"/>
      <c r="EP56" s="34"/>
      <c r="EQ56" s="35"/>
      <c r="ER56" s="36"/>
      <c r="ES56" s="37"/>
      <c r="ET56" s="30">
        <f t="shared" si="5"/>
        <v>0</v>
      </c>
      <c r="EU56" s="31" t="e">
        <f>ET56*#REF!</f>
        <v>#REF!</v>
      </c>
      <c r="EV56" s="32" t="e">
        <f>ET56*#REF!</f>
        <v>#REF!</v>
      </c>
      <c r="EX56" s="33"/>
      <c r="EY56" s="34"/>
      <c r="EZ56" s="35"/>
      <c r="FA56" s="36"/>
      <c r="FB56" s="37"/>
      <c r="FC56" s="30">
        <f t="shared" si="6"/>
        <v>0</v>
      </c>
      <c r="FD56" s="31" t="e">
        <f>FC56*#REF!</f>
        <v>#REF!</v>
      </c>
      <c r="FE56" s="32" t="e">
        <f>FC56*#REF!</f>
        <v>#REF!</v>
      </c>
      <c r="FG56" s="33"/>
      <c r="FH56" s="34"/>
      <c r="FI56" s="35"/>
      <c r="FJ56" s="36"/>
      <c r="FK56" s="37"/>
      <c r="FL56" s="30">
        <f t="shared" si="7"/>
        <v>0</v>
      </c>
      <c r="FM56" s="31" t="e">
        <f>FL56*#REF!</f>
        <v>#REF!</v>
      </c>
      <c r="FN56" s="32" t="e">
        <f>FL56*#REF!</f>
        <v>#REF!</v>
      </c>
      <c r="FP56" s="33"/>
      <c r="FQ56" s="34"/>
      <c r="FR56" s="35"/>
      <c r="FS56" s="36"/>
      <c r="FT56" s="37"/>
      <c r="FU56" s="30">
        <f t="shared" si="8"/>
        <v>0</v>
      </c>
      <c r="FV56" s="31" t="e">
        <f>FU56*#REF!</f>
        <v>#REF!</v>
      </c>
      <c r="FW56" s="32" t="e">
        <f>FU56*#REF!</f>
        <v>#REF!</v>
      </c>
      <c r="FY56" s="33"/>
      <c r="FZ56" s="34"/>
      <c r="GA56" s="35"/>
      <c r="GB56" s="36"/>
      <c r="GC56" s="37"/>
      <c r="GD56" s="30">
        <f t="shared" si="9"/>
        <v>0</v>
      </c>
      <c r="GE56" s="31" t="e">
        <f>GD56*#REF!</f>
        <v>#REF!</v>
      </c>
      <c r="GF56" s="32" t="e">
        <f>GD56*#REF!</f>
        <v>#REF!</v>
      </c>
      <c r="GH56" s="33"/>
      <c r="GI56" s="34"/>
      <c r="GJ56" s="35"/>
      <c r="GK56" s="36"/>
      <c r="GL56" s="37"/>
      <c r="GM56" s="30">
        <f t="shared" si="10"/>
        <v>0</v>
      </c>
      <c r="GN56" s="31" t="e">
        <f>GM56*#REF!</f>
        <v>#REF!</v>
      </c>
      <c r="GO56" s="32" t="e">
        <f>GM56*#REF!</f>
        <v>#REF!</v>
      </c>
      <c r="GQ56" s="38">
        <f>_xlfn.MAXIFS(I56:GO56,$I$5:$GO$5,"Staff #")</f>
        <v>0</v>
      </c>
      <c r="GR56" s="39">
        <v>0</v>
      </c>
    </row>
    <row r="57" spans="2:200" ht="15" x14ac:dyDescent="0.25">
      <c r="B57" s="22" t="s">
        <v>78</v>
      </c>
      <c r="C57" s="23" t="s">
        <v>79</v>
      </c>
      <c r="D57" s="24" t="str">
        <f>IF(C57="","",_xlfn.XLOOKUP(C57,'[3]Control Sheet'!$L$5:$L$104,'[3]Control Sheet'!$M$5:$M$104,"",0))</f>
        <v>Retail Host</v>
      </c>
      <c r="E57" s="24" t="str">
        <f>IF(B57="","",_xlfn.XLOOKUP(B57,'[3]Control Sheet'!$D$5:$D$64,'[3]Control Sheet'!$F$5:$F$64,"",0))</f>
        <v>Retail</v>
      </c>
      <c r="F57" s="24" t="str">
        <f>IF(B57="","",_xlfn.XLOOKUP(B57,'[3]Control Sheet'!$D$5:$D$64,'[3]Control Sheet'!$E$5:$E$64,"",0))</f>
        <v>C1150-O</v>
      </c>
      <c r="I57" s="25">
        <v>0.39583333333333331</v>
      </c>
      <c r="J57" s="26">
        <v>0.69791666666666663</v>
      </c>
      <c r="K57" s="27">
        <v>45</v>
      </c>
      <c r="L57" s="27">
        <v>1</v>
      </c>
      <c r="M57" s="29">
        <v>1</v>
      </c>
      <c r="P57" s="25">
        <v>0.39583333333333331</v>
      </c>
      <c r="Q57" s="34">
        <v>0.73958333333333337</v>
      </c>
      <c r="R57" s="27">
        <v>45</v>
      </c>
      <c r="S57" s="36">
        <v>1</v>
      </c>
      <c r="T57" s="29">
        <v>1</v>
      </c>
      <c r="V57" s="25">
        <v>0.39583333333333331</v>
      </c>
      <c r="W57" s="34">
        <v>0.73958333333333337</v>
      </c>
      <c r="X57" s="27">
        <v>45</v>
      </c>
      <c r="Y57" s="36">
        <v>1</v>
      </c>
      <c r="Z57" s="37">
        <v>1</v>
      </c>
      <c r="AB57" s="25">
        <v>0.39583333333333331</v>
      </c>
      <c r="AC57" s="26">
        <v>0.73958333333333337</v>
      </c>
      <c r="AD57" s="27">
        <v>45</v>
      </c>
      <c r="AE57" s="27">
        <v>1</v>
      </c>
      <c r="AF57" s="37">
        <v>1</v>
      </c>
      <c r="AH57" s="25">
        <v>0.39583333333333331</v>
      </c>
      <c r="AI57" s="26">
        <v>0.73958333333333337</v>
      </c>
      <c r="AJ57" s="27">
        <v>45</v>
      </c>
      <c r="AK57" s="27">
        <v>1</v>
      </c>
      <c r="AL57" s="37">
        <v>1</v>
      </c>
      <c r="AN57" s="25">
        <v>0.39583333333333331</v>
      </c>
      <c r="AO57" s="26">
        <v>0.78125</v>
      </c>
      <c r="AP57" s="27">
        <v>45</v>
      </c>
      <c r="AQ57" s="27">
        <v>1</v>
      </c>
      <c r="AR57" s="37">
        <v>1</v>
      </c>
      <c r="AT57" s="25">
        <v>0.39583333333333331</v>
      </c>
      <c r="AU57" s="26">
        <v>0.73958333333333337</v>
      </c>
      <c r="AV57" s="27">
        <v>45</v>
      </c>
      <c r="AW57" s="27">
        <v>1</v>
      </c>
      <c r="AX57" s="37">
        <v>1</v>
      </c>
      <c r="AZ57" s="25">
        <v>0.39583333333333331</v>
      </c>
      <c r="BA57" s="26">
        <v>0.78125</v>
      </c>
      <c r="BB57" s="27">
        <v>45</v>
      </c>
      <c r="BC57" s="27">
        <v>1</v>
      </c>
      <c r="BD57" s="37">
        <v>1</v>
      </c>
      <c r="BF57" s="25">
        <v>0.39583333333333331</v>
      </c>
      <c r="BG57" s="26">
        <v>0.82291666666666663</v>
      </c>
      <c r="BH57" s="27">
        <v>60</v>
      </c>
      <c r="BI57" s="27">
        <v>1</v>
      </c>
      <c r="BJ57" s="37">
        <v>1</v>
      </c>
      <c r="BL57" s="25"/>
      <c r="BM57" s="34"/>
      <c r="BN57" s="35"/>
      <c r="BO57" s="36"/>
      <c r="BP57" s="37"/>
      <c r="BR57" s="33"/>
      <c r="BS57" s="34"/>
      <c r="BT57" s="35"/>
      <c r="BU57" s="36"/>
      <c r="BV57" s="37"/>
      <c r="BX57" s="33"/>
      <c r="BY57" s="34"/>
      <c r="BZ57" s="35"/>
      <c r="CA57" s="36"/>
      <c r="CB57" s="37"/>
      <c r="CD57" s="33"/>
      <c r="CE57" s="34"/>
      <c r="CF57" s="35"/>
      <c r="CG57" s="36"/>
      <c r="CH57" s="37"/>
      <c r="CJ57" s="33"/>
      <c r="CK57" s="34"/>
      <c r="CL57" s="35"/>
      <c r="CM57" s="36"/>
      <c r="CN57" s="37"/>
      <c r="CP57" s="33"/>
      <c r="CQ57" s="34"/>
      <c r="CR57" s="35"/>
      <c r="CS57" s="36"/>
      <c r="CT57" s="37"/>
      <c r="CV57" s="33"/>
      <c r="CW57" s="34"/>
      <c r="CX57" s="35"/>
      <c r="CY57" s="36"/>
      <c r="CZ57" s="37"/>
      <c r="DA57" s="30">
        <f t="shared" si="0"/>
        <v>0</v>
      </c>
      <c r="DB57" s="31" t="e">
        <f>DA57*#REF!</f>
        <v>#REF!</v>
      </c>
      <c r="DC57" s="32" t="e">
        <f>DA57*#REF!</f>
        <v>#REF!</v>
      </c>
      <c r="DE57" s="33"/>
      <c r="DF57" s="34"/>
      <c r="DG57" s="35"/>
      <c r="DH57" s="36"/>
      <c r="DI57" s="37"/>
      <c r="DJ57" s="30">
        <f t="shared" si="1"/>
        <v>0</v>
      </c>
      <c r="DK57" s="31" t="e">
        <f>DJ57*#REF!</f>
        <v>#REF!</v>
      </c>
      <c r="DL57" s="32" t="e">
        <f>DJ57*#REF!</f>
        <v>#REF!</v>
      </c>
      <c r="DN57" s="33"/>
      <c r="DO57" s="34"/>
      <c r="DP57" s="35"/>
      <c r="DQ57" s="36"/>
      <c r="DR57" s="37"/>
      <c r="DS57" s="30">
        <f t="shared" si="2"/>
        <v>0</v>
      </c>
      <c r="DT57" s="31" t="e">
        <f>DS57*#REF!</f>
        <v>#REF!</v>
      </c>
      <c r="DU57" s="32" t="e">
        <f>DS57*#REF!</f>
        <v>#REF!</v>
      </c>
      <c r="DW57" s="33"/>
      <c r="DX57" s="34"/>
      <c r="DY57" s="35"/>
      <c r="DZ57" s="36"/>
      <c r="EA57" s="37"/>
      <c r="EB57" s="30">
        <f t="shared" si="3"/>
        <v>0</v>
      </c>
      <c r="EC57" s="31" t="e">
        <f>EB57*#REF!</f>
        <v>#REF!</v>
      </c>
      <c r="ED57" s="32" t="e">
        <f>EB57*#REF!</f>
        <v>#REF!</v>
      </c>
      <c r="EF57" s="33"/>
      <c r="EG57" s="34"/>
      <c r="EH57" s="35"/>
      <c r="EI57" s="36"/>
      <c r="EJ57" s="37"/>
      <c r="EK57" s="30">
        <f t="shared" si="4"/>
        <v>0</v>
      </c>
      <c r="EL57" s="31" t="e">
        <f>EK57*#REF!</f>
        <v>#REF!</v>
      </c>
      <c r="EM57" s="32" t="e">
        <f>EK57*#REF!</f>
        <v>#REF!</v>
      </c>
      <c r="EO57" s="33"/>
      <c r="EP57" s="34"/>
      <c r="EQ57" s="35"/>
      <c r="ER57" s="36"/>
      <c r="ES57" s="37"/>
      <c r="ET57" s="30">
        <f t="shared" si="5"/>
        <v>0</v>
      </c>
      <c r="EU57" s="31" t="e">
        <f>ET57*#REF!</f>
        <v>#REF!</v>
      </c>
      <c r="EV57" s="32" t="e">
        <f>ET57*#REF!</f>
        <v>#REF!</v>
      </c>
      <c r="EX57" s="33"/>
      <c r="EY57" s="34"/>
      <c r="EZ57" s="35"/>
      <c r="FA57" s="36"/>
      <c r="FB57" s="37"/>
      <c r="FC57" s="30">
        <f t="shared" si="6"/>
        <v>0</v>
      </c>
      <c r="FD57" s="31" t="e">
        <f>FC57*#REF!</f>
        <v>#REF!</v>
      </c>
      <c r="FE57" s="32" t="e">
        <f>FC57*#REF!</f>
        <v>#REF!</v>
      </c>
      <c r="FG57" s="33"/>
      <c r="FH57" s="34"/>
      <c r="FI57" s="35"/>
      <c r="FJ57" s="36"/>
      <c r="FK57" s="37"/>
      <c r="FL57" s="30">
        <f t="shared" si="7"/>
        <v>0</v>
      </c>
      <c r="FM57" s="31" t="e">
        <f>FL57*#REF!</f>
        <v>#REF!</v>
      </c>
      <c r="FN57" s="32" t="e">
        <f>FL57*#REF!</f>
        <v>#REF!</v>
      </c>
      <c r="FP57" s="33"/>
      <c r="FQ57" s="34"/>
      <c r="FR57" s="35"/>
      <c r="FS57" s="36"/>
      <c r="FT57" s="37"/>
      <c r="FU57" s="30">
        <f t="shared" si="8"/>
        <v>0</v>
      </c>
      <c r="FV57" s="31" t="e">
        <f>FU57*#REF!</f>
        <v>#REF!</v>
      </c>
      <c r="FW57" s="32" t="e">
        <f>FU57*#REF!</f>
        <v>#REF!</v>
      </c>
      <c r="FY57" s="33"/>
      <c r="FZ57" s="34"/>
      <c r="GA57" s="35"/>
      <c r="GB57" s="36"/>
      <c r="GC57" s="37"/>
      <c r="GD57" s="30">
        <f t="shared" si="9"/>
        <v>0</v>
      </c>
      <c r="GE57" s="31" t="e">
        <f>GD57*#REF!</f>
        <v>#REF!</v>
      </c>
      <c r="GF57" s="32" t="e">
        <f>GD57*#REF!</f>
        <v>#REF!</v>
      </c>
      <c r="GH57" s="33"/>
      <c r="GI57" s="34"/>
      <c r="GJ57" s="35"/>
      <c r="GK57" s="36"/>
      <c r="GL57" s="37"/>
      <c r="GM57" s="30">
        <f t="shared" si="10"/>
        <v>0</v>
      </c>
      <c r="GN57" s="31" t="e">
        <f>GM57*#REF!</f>
        <v>#REF!</v>
      </c>
      <c r="GO57" s="32" t="e">
        <f>GM57*#REF!</f>
        <v>#REF!</v>
      </c>
      <c r="GQ57" s="38">
        <f>_xlfn.MAXIFS(I57:GO57,$I$5:$GO$5,"Staff #")</f>
        <v>1</v>
      </c>
      <c r="GR57" s="39">
        <v>1</v>
      </c>
    </row>
    <row r="58" spans="2:200" ht="15" x14ac:dyDescent="0.25">
      <c r="B58" s="22"/>
      <c r="C58" s="23"/>
      <c r="D58" s="24" t="str">
        <f>IF(C58="","",_xlfn.XLOOKUP(C58,'[3]Control Sheet'!$L$5:$L$104,'[3]Control Sheet'!$M$5:$M$104,"",0))</f>
        <v/>
      </c>
      <c r="E58" s="24" t="str">
        <f>IF(B58="","",_xlfn.XLOOKUP(B58,'[3]Control Sheet'!$D$5:$D$64,'[3]Control Sheet'!$F$5:$F$64,"",0))</f>
        <v/>
      </c>
      <c r="F58" s="24" t="str">
        <f>IF(B58="","",_xlfn.XLOOKUP(B58,'[3]Control Sheet'!$D$5:$D$64,'[3]Control Sheet'!$E$5:$E$64,"",0))</f>
        <v/>
      </c>
      <c r="I58" s="33"/>
      <c r="J58" s="34"/>
      <c r="K58" s="35"/>
      <c r="L58" s="36"/>
      <c r="M58" s="37"/>
      <c r="P58" s="33"/>
      <c r="Q58" s="34"/>
      <c r="R58" s="35"/>
      <c r="S58" s="36"/>
      <c r="T58" s="37"/>
      <c r="V58" s="33"/>
      <c r="W58" s="34"/>
      <c r="X58" s="35"/>
      <c r="Y58" s="36"/>
      <c r="Z58" s="37"/>
      <c r="AB58" s="33"/>
      <c r="AC58" s="34"/>
      <c r="AD58" s="35"/>
      <c r="AE58" s="36"/>
      <c r="AF58" s="37"/>
      <c r="AH58" s="33"/>
      <c r="AI58" s="34"/>
      <c r="AJ58" s="35"/>
      <c r="AK58" s="36"/>
      <c r="AL58" s="37"/>
      <c r="AN58" s="33"/>
      <c r="AO58" s="34"/>
      <c r="AP58" s="35"/>
      <c r="AQ58" s="36"/>
      <c r="AR58" s="37"/>
      <c r="AT58" s="25"/>
      <c r="AU58" s="26"/>
      <c r="AV58" s="27"/>
      <c r="AW58" s="27"/>
      <c r="AX58" s="37"/>
      <c r="AZ58" s="33"/>
      <c r="BA58" s="34"/>
      <c r="BB58" s="35"/>
      <c r="BC58" s="36"/>
      <c r="BD58" s="37"/>
      <c r="BF58" s="33"/>
      <c r="BG58" s="34"/>
      <c r="BH58" s="35"/>
      <c r="BI58" s="36"/>
      <c r="BJ58" s="37"/>
      <c r="BL58" s="33"/>
      <c r="BM58" s="34"/>
      <c r="BN58" s="35"/>
      <c r="BO58" s="36"/>
      <c r="BP58" s="37"/>
      <c r="BR58" s="33"/>
      <c r="BS58" s="34"/>
      <c r="BT58" s="35"/>
      <c r="BU58" s="36"/>
      <c r="BV58" s="37"/>
      <c r="BX58" s="33"/>
      <c r="BY58" s="34"/>
      <c r="BZ58" s="35"/>
      <c r="CA58" s="36"/>
      <c r="CB58" s="37"/>
      <c r="CD58" s="33"/>
      <c r="CE58" s="34"/>
      <c r="CF58" s="35"/>
      <c r="CG58" s="36"/>
      <c r="CH58" s="37"/>
      <c r="CJ58" s="33"/>
      <c r="CK58" s="34"/>
      <c r="CL58" s="35"/>
      <c r="CM58" s="36"/>
      <c r="CN58" s="37"/>
      <c r="CP58" s="33"/>
      <c r="CQ58" s="34"/>
      <c r="CR58" s="35"/>
      <c r="CS58" s="36"/>
      <c r="CT58" s="37"/>
      <c r="CV58" s="33"/>
      <c r="CW58" s="34"/>
      <c r="CX58" s="35"/>
      <c r="CY58" s="36"/>
      <c r="CZ58" s="37"/>
      <c r="DA58" s="30">
        <f t="shared" si="0"/>
        <v>0</v>
      </c>
      <c r="DB58" s="31" t="e">
        <f>DA58*#REF!</f>
        <v>#REF!</v>
      </c>
      <c r="DC58" s="32" t="e">
        <f>DA58*#REF!</f>
        <v>#REF!</v>
      </c>
      <c r="DE58" s="33"/>
      <c r="DF58" s="34"/>
      <c r="DG58" s="35"/>
      <c r="DH58" s="36"/>
      <c r="DI58" s="37"/>
      <c r="DJ58" s="30">
        <f t="shared" si="1"/>
        <v>0</v>
      </c>
      <c r="DK58" s="31" t="e">
        <f>DJ58*#REF!</f>
        <v>#REF!</v>
      </c>
      <c r="DL58" s="32" t="e">
        <f>DJ58*#REF!</f>
        <v>#REF!</v>
      </c>
      <c r="DN58" s="33"/>
      <c r="DO58" s="34"/>
      <c r="DP58" s="35"/>
      <c r="DQ58" s="36"/>
      <c r="DR58" s="37"/>
      <c r="DS58" s="30">
        <f t="shared" si="2"/>
        <v>0</v>
      </c>
      <c r="DT58" s="31" t="e">
        <f>DS58*#REF!</f>
        <v>#REF!</v>
      </c>
      <c r="DU58" s="32" t="e">
        <f>DS58*#REF!</f>
        <v>#REF!</v>
      </c>
      <c r="DW58" s="33"/>
      <c r="DX58" s="34"/>
      <c r="DY58" s="35"/>
      <c r="DZ58" s="36"/>
      <c r="EA58" s="37"/>
      <c r="EB58" s="30">
        <f t="shared" si="3"/>
        <v>0</v>
      </c>
      <c r="EC58" s="31" t="e">
        <f>EB58*#REF!</f>
        <v>#REF!</v>
      </c>
      <c r="ED58" s="32" t="e">
        <f>EB58*#REF!</f>
        <v>#REF!</v>
      </c>
      <c r="EF58" s="33"/>
      <c r="EG58" s="34"/>
      <c r="EH58" s="35"/>
      <c r="EI58" s="36"/>
      <c r="EJ58" s="37"/>
      <c r="EK58" s="30">
        <f t="shared" si="4"/>
        <v>0</v>
      </c>
      <c r="EL58" s="31" t="e">
        <f>EK58*#REF!</f>
        <v>#REF!</v>
      </c>
      <c r="EM58" s="32" t="e">
        <f>EK58*#REF!</f>
        <v>#REF!</v>
      </c>
      <c r="EO58" s="33"/>
      <c r="EP58" s="34"/>
      <c r="EQ58" s="35"/>
      <c r="ER58" s="36"/>
      <c r="ES58" s="37"/>
      <c r="ET58" s="30">
        <f t="shared" si="5"/>
        <v>0</v>
      </c>
      <c r="EU58" s="31" t="e">
        <f>ET58*#REF!</f>
        <v>#REF!</v>
      </c>
      <c r="EV58" s="32" t="e">
        <f>ET58*#REF!</f>
        <v>#REF!</v>
      </c>
      <c r="EX58" s="33"/>
      <c r="EY58" s="34"/>
      <c r="EZ58" s="35"/>
      <c r="FA58" s="36"/>
      <c r="FB58" s="37"/>
      <c r="FC58" s="30">
        <f t="shared" si="6"/>
        <v>0</v>
      </c>
      <c r="FD58" s="31" t="e">
        <f>FC58*#REF!</f>
        <v>#REF!</v>
      </c>
      <c r="FE58" s="32" t="e">
        <f>FC58*#REF!</f>
        <v>#REF!</v>
      </c>
      <c r="FG58" s="33"/>
      <c r="FH58" s="34"/>
      <c r="FI58" s="35"/>
      <c r="FJ58" s="36"/>
      <c r="FK58" s="37"/>
      <c r="FL58" s="30">
        <f t="shared" si="7"/>
        <v>0</v>
      </c>
      <c r="FM58" s="31" t="e">
        <f>FL58*#REF!</f>
        <v>#REF!</v>
      </c>
      <c r="FN58" s="32" t="e">
        <f>FL58*#REF!</f>
        <v>#REF!</v>
      </c>
      <c r="FP58" s="33"/>
      <c r="FQ58" s="34"/>
      <c r="FR58" s="35"/>
      <c r="FS58" s="36"/>
      <c r="FT58" s="37"/>
      <c r="FU58" s="30">
        <f t="shared" si="8"/>
        <v>0</v>
      </c>
      <c r="FV58" s="31" t="e">
        <f>FU58*#REF!</f>
        <v>#REF!</v>
      </c>
      <c r="FW58" s="32" t="e">
        <f>FU58*#REF!</f>
        <v>#REF!</v>
      </c>
      <c r="FY58" s="33"/>
      <c r="FZ58" s="34"/>
      <c r="GA58" s="35"/>
      <c r="GB58" s="36"/>
      <c r="GC58" s="37"/>
      <c r="GD58" s="30">
        <f t="shared" si="9"/>
        <v>0</v>
      </c>
      <c r="GE58" s="31" t="e">
        <f>GD58*#REF!</f>
        <v>#REF!</v>
      </c>
      <c r="GF58" s="32" t="e">
        <f>GD58*#REF!</f>
        <v>#REF!</v>
      </c>
      <c r="GH58" s="33"/>
      <c r="GI58" s="34"/>
      <c r="GJ58" s="35"/>
      <c r="GK58" s="36"/>
      <c r="GL58" s="37"/>
      <c r="GM58" s="30">
        <f t="shared" si="10"/>
        <v>0</v>
      </c>
      <c r="GN58" s="31" t="e">
        <f>GM58*#REF!</f>
        <v>#REF!</v>
      </c>
      <c r="GO58" s="32" t="e">
        <f>GM58*#REF!</f>
        <v>#REF!</v>
      </c>
      <c r="GQ58" s="38">
        <f>_xlfn.MAXIFS(I58:GO58,$I$5:$GO$5,"Staff #")</f>
        <v>0</v>
      </c>
      <c r="GR58" s="39">
        <v>0</v>
      </c>
    </row>
    <row r="59" spans="2:200" ht="15" x14ac:dyDescent="0.25">
      <c r="B59" s="22" t="s">
        <v>80</v>
      </c>
      <c r="C59" s="23" t="s">
        <v>105</v>
      </c>
      <c r="D59" s="24" t="str">
        <f>IF(C59="","",_xlfn.XLOOKUP(C59,'[3]Control Sheet'!$L$5:$L$104,'[3]Control Sheet'!$M$5:$M$104,"",0))</f>
        <v>Retail - Freestyle &amp; Vending</v>
      </c>
      <c r="E59" s="24" t="str">
        <f>IF(B59="","",_xlfn.XLOOKUP(B59,'[3]Control Sheet'!$D$5:$D$64,'[3]Control Sheet'!$F$5:$F$64,"",0))</f>
        <v>Retail</v>
      </c>
      <c r="F59" s="24" t="str">
        <f>IF(B59="","",_xlfn.XLOOKUP(B59,'[3]Control Sheet'!$D$5:$D$64,'[3]Control Sheet'!$E$5:$E$64,"",0))</f>
        <v>C1150-O</v>
      </c>
      <c r="I59" s="25">
        <v>0.35416666666666669</v>
      </c>
      <c r="J59" s="26">
        <v>0.69791666666666663</v>
      </c>
      <c r="K59" s="27">
        <v>45</v>
      </c>
      <c r="L59" s="27">
        <v>1</v>
      </c>
      <c r="M59" s="29">
        <v>1</v>
      </c>
      <c r="P59" s="33">
        <v>0.35416666666666669</v>
      </c>
      <c r="Q59" s="34">
        <v>0.73958333333333337</v>
      </c>
      <c r="R59" s="35">
        <v>45</v>
      </c>
      <c r="S59" s="36">
        <v>1</v>
      </c>
      <c r="T59" s="29">
        <v>1</v>
      </c>
      <c r="V59" s="33">
        <v>0.35416666666666669</v>
      </c>
      <c r="W59" s="34">
        <v>0.73958333333333337</v>
      </c>
      <c r="X59" s="35">
        <v>45</v>
      </c>
      <c r="Y59" s="36">
        <v>1</v>
      </c>
      <c r="Z59" s="37">
        <v>1</v>
      </c>
      <c r="AB59" s="25">
        <v>0.35416666666666669</v>
      </c>
      <c r="AC59" s="26">
        <v>0.73958333333333337</v>
      </c>
      <c r="AD59" s="27">
        <v>45</v>
      </c>
      <c r="AE59" s="27">
        <v>1</v>
      </c>
      <c r="AF59" s="37">
        <v>1</v>
      </c>
      <c r="AH59" s="25">
        <v>0.35416666666666669</v>
      </c>
      <c r="AI59" s="26">
        <v>0.73958333333333337</v>
      </c>
      <c r="AJ59" s="27">
        <v>45</v>
      </c>
      <c r="AK59" s="27">
        <v>1</v>
      </c>
      <c r="AL59" s="37">
        <v>1</v>
      </c>
      <c r="AN59" s="25">
        <v>0.35416666666666669</v>
      </c>
      <c r="AO59" s="26">
        <v>0.78125</v>
      </c>
      <c r="AP59" s="27">
        <v>60</v>
      </c>
      <c r="AQ59" s="27">
        <v>1</v>
      </c>
      <c r="AR59" s="37">
        <v>1</v>
      </c>
      <c r="AT59" s="25">
        <v>0.35416666666666669</v>
      </c>
      <c r="AU59" s="26">
        <v>0.73958333333333337</v>
      </c>
      <c r="AV59" s="27">
        <v>45</v>
      </c>
      <c r="AW59" s="27">
        <v>1</v>
      </c>
      <c r="AX59" s="37">
        <v>1</v>
      </c>
      <c r="AZ59" s="25">
        <v>0.35416666666666669</v>
      </c>
      <c r="BA59" s="26">
        <v>0.78125</v>
      </c>
      <c r="BB59" s="27">
        <v>60</v>
      </c>
      <c r="BC59" s="27">
        <v>1</v>
      </c>
      <c r="BD59" s="37">
        <v>1</v>
      </c>
      <c r="BF59" s="25">
        <v>0.35416666666666669</v>
      </c>
      <c r="BG59" s="26">
        <v>0.82291666666666663</v>
      </c>
      <c r="BH59" s="27">
        <v>60</v>
      </c>
      <c r="BI59" s="27">
        <v>1</v>
      </c>
      <c r="BJ59" s="37">
        <v>1</v>
      </c>
      <c r="BL59" s="25">
        <v>0.38541666666666669</v>
      </c>
      <c r="BM59" s="26">
        <v>0.69791666666666663</v>
      </c>
      <c r="BN59" s="27">
        <v>45</v>
      </c>
      <c r="BO59" s="27">
        <v>1</v>
      </c>
      <c r="BP59" s="37">
        <v>1</v>
      </c>
      <c r="BR59" s="25"/>
      <c r="BS59" s="26"/>
      <c r="BT59" s="27"/>
      <c r="BU59" s="27"/>
      <c r="BV59" s="37"/>
      <c r="BX59" s="25"/>
      <c r="BY59" s="26"/>
      <c r="BZ59" s="27"/>
      <c r="CA59" s="27"/>
      <c r="CB59" s="37"/>
      <c r="CD59" s="25"/>
      <c r="CE59" s="26"/>
      <c r="CF59" s="27"/>
      <c r="CG59" s="27"/>
      <c r="CH59" s="37"/>
      <c r="CJ59" s="25"/>
      <c r="CK59" s="26"/>
      <c r="CL59" s="27"/>
      <c r="CM59" s="27"/>
      <c r="CN59" s="42"/>
      <c r="CP59" s="33"/>
      <c r="CQ59" s="34"/>
      <c r="CR59" s="35"/>
      <c r="CS59" s="36"/>
      <c r="CT59" s="37"/>
      <c r="CV59" s="33"/>
      <c r="CW59" s="34"/>
      <c r="CX59" s="35"/>
      <c r="CY59" s="36"/>
      <c r="CZ59" s="37"/>
      <c r="DA59" s="30">
        <f t="shared" si="0"/>
        <v>0</v>
      </c>
      <c r="DB59" s="31" t="e">
        <f>DA59*#REF!</f>
        <v>#REF!</v>
      </c>
      <c r="DC59" s="32" t="e">
        <f>DA59*#REF!</f>
        <v>#REF!</v>
      </c>
      <c r="DE59" s="33"/>
      <c r="DF59" s="34"/>
      <c r="DG59" s="35"/>
      <c r="DH59" s="36"/>
      <c r="DI59" s="37"/>
      <c r="DJ59" s="30">
        <f t="shared" si="1"/>
        <v>0</v>
      </c>
      <c r="DK59" s="31" t="e">
        <f>DJ59*#REF!</f>
        <v>#REF!</v>
      </c>
      <c r="DL59" s="32" t="e">
        <f>DJ59*#REF!</f>
        <v>#REF!</v>
      </c>
      <c r="DN59" s="33"/>
      <c r="DO59" s="34"/>
      <c r="DP59" s="35"/>
      <c r="DQ59" s="36"/>
      <c r="DR59" s="37"/>
      <c r="DS59" s="30">
        <f t="shared" si="2"/>
        <v>0</v>
      </c>
      <c r="DT59" s="31" t="e">
        <f>DS59*#REF!</f>
        <v>#REF!</v>
      </c>
      <c r="DU59" s="32" t="e">
        <f>DS59*#REF!</f>
        <v>#REF!</v>
      </c>
      <c r="DW59" s="33"/>
      <c r="DX59" s="34"/>
      <c r="DY59" s="35"/>
      <c r="DZ59" s="36"/>
      <c r="EA59" s="37"/>
      <c r="EB59" s="30">
        <f t="shared" si="3"/>
        <v>0</v>
      </c>
      <c r="EC59" s="31" t="e">
        <f>EB59*#REF!</f>
        <v>#REF!</v>
      </c>
      <c r="ED59" s="32" t="e">
        <f>EB59*#REF!</f>
        <v>#REF!</v>
      </c>
      <c r="EF59" s="33"/>
      <c r="EG59" s="34"/>
      <c r="EH59" s="35"/>
      <c r="EI59" s="36"/>
      <c r="EJ59" s="37"/>
      <c r="EK59" s="30">
        <f t="shared" si="4"/>
        <v>0</v>
      </c>
      <c r="EL59" s="31" t="e">
        <f>EK59*#REF!</f>
        <v>#REF!</v>
      </c>
      <c r="EM59" s="32" t="e">
        <f>EK59*#REF!</f>
        <v>#REF!</v>
      </c>
      <c r="EO59" s="33"/>
      <c r="EP59" s="34"/>
      <c r="EQ59" s="35"/>
      <c r="ER59" s="36"/>
      <c r="ES59" s="37"/>
      <c r="ET59" s="30">
        <f t="shared" si="5"/>
        <v>0</v>
      </c>
      <c r="EU59" s="31" t="e">
        <f>ET59*#REF!</f>
        <v>#REF!</v>
      </c>
      <c r="EV59" s="32" t="e">
        <f>ET59*#REF!</f>
        <v>#REF!</v>
      </c>
      <c r="EX59" s="33"/>
      <c r="EY59" s="34"/>
      <c r="EZ59" s="35"/>
      <c r="FA59" s="36"/>
      <c r="FB59" s="37"/>
      <c r="FC59" s="30">
        <f t="shared" si="6"/>
        <v>0</v>
      </c>
      <c r="FD59" s="31" t="e">
        <f>FC59*#REF!</f>
        <v>#REF!</v>
      </c>
      <c r="FE59" s="32" t="e">
        <f>FC59*#REF!</f>
        <v>#REF!</v>
      </c>
      <c r="FG59" s="33"/>
      <c r="FH59" s="34"/>
      <c r="FI59" s="35"/>
      <c r="FJ59" s="36"/>
      <c r="FK59" s="37"/>
      <c r="FL59" s="30">
        <f t="shared" si="7"/>
        <v>0</v>
      </c>
      <c r="FM59" s="31" t="e">
        <f>FL59*#REF!</f>
        <v>#REF!</v>
      </c>
      <c r="FN59" s="32" t="e">
        <f>FL59*#REF!</f>
        <v>#REF!</v>
      </c>
      <c r="FP59" s="33"/>
      <c r="FQ59" s="34"/>
      <c r="FR59" s="35"/>
      <c r="FS59" s="36"/>
      <c r="FT59" s="37"/>
      <c r="FU59" s="30">
        <f t="shared" si="8"/>
        <v>0</v>
      </c>
      <c r="FV59" s="31" t="e">
        <f>FU59*#REF!</f>
        <v>#REF!</v>
      </c>
      <c r="FW59" s="32" t="e">
        <f>FU59*#REF!</f>
        <v>#REF!</v>
      </c>
      <c r="FY59" s="33"/>
      <c r="FZ59" s="34"/>
      <c r="GA59" s="35"/>
      <c r="GB59" s="36"/>
      <c r="GC59" s="37"/>
      <c r="GD59" s="30">
        <f t="shared" si="9"/>
        <v>0</v>
      </c>
      <c r="GE59" s="31" t="e">
        <f>GD59*#REF!</f>
        <v>#REF!</v>
      </c>
      <c r="GF59" s="32" t="e">
        <f>GD59*#REF!</f>
        <v>#REF!</v>
      </c>
      <c r="GH59" s="33"/>
      <c r="GI59" s="34"/>
      <c r="GJ59" s="35"/>
      <c r="GK59" s="36"/>
      <c r="GL59" s="37"/>
      <c r="GM59" s="30">
        <f t="shared" si="10"/>
        <v>0</v>
      </c>
      <c r="GN59" s="31" t="e">
        <f>GM59*#REF!</f>
        <v>#REF!</v>
      </c>
      <c r="GO59" s="32" t="e">
        <f>GM59*#REF!</f>
        <v>#REF!</v>
      </c>
      <c r="GQ59" s="38">
        <f>_xlfn.MAXIFS(I59:GO59,$I$5:$GO$5,"Staff #")</f>
        <v>1</v>
      </c>
      <c r="GR59" s="39">
        <v>1</v>
      </c>
    </row>
    <row r="60" spans="2:200" ht="15" x14ac:dyDescent="0.25">
      <c r="B60" s="22" t="s">
        <v>80</v>
      </c>
      <c r="C60" s="23" t="s">
        <v>79</v>
      </c>
      <c r="D60" s="24" t="str">
        <f>IF(C60="","",_xlfn.XLOOKUP(C60,'[3]Control Sheet'!$L$5:$L$104,'[3]Control Sheet'!$M$5:$M$104,"",0))</f>
        <v>Retail Host</v>
      </c>
      <c r="E60" s="24" t="str">
        <f>IF(B60="","",_xlfn.XLOOKUP(B60,'[3]Control Sheet'!$D$5:$D$64,'[3]Control Sheet'!$F$5:$F$64,"",0))</f>
        <v>Retail</v>
      </c>
      <c r="F60" s="24" t="str">
        <f>IF(B60="","",_xlfn.XLOOKUP(B60,'[3]Control Sheet'!$D$5:$D$64,'[3]Control Sheet'!$E$5:$E$64,"",0))</f>
        <v>C1150-O</v>
      </c>
      <c r="I60" s="33"/>
      <c r="J60" s="34"/>
      <c r="K60" s="35"/>
      <c r="L60" s="36"/>
      <c r="M60" s="37"/>
      <c r="P60" s="33"/>
      <c r="Q60" s="34"/>
      <c r="R60" s="35"/>
      <c r="S60" s="36"/>
      <c r="T60" s="37"/>
      <c r="V60" s="33"/>
      <c r="W60" s="34"/>
      <c r="X60" s="35"/>
      <c r="Y60" s="36"/>
      <c r="Z60" s="37"/>
      <c r="AB60" s="25"/>
      <c r="AC60" s="26"/>
      <c r="AD60" s="27"/>
      <c r="AE60" s="27"/>
      <c r="AF60" s="37"/>
      <c r="AH60" s="25">
        <v>0.45833333333333331</v>
      </c>
      <c r="AI60" s="26">
        <v>0.73958333333333337</v>
      </c>
      <c r="AJ60" s="27">
        <v>45</v>
      </c>
      <c r="AK60" s="27">
        <v>1</v>
      </c>
      <c r="AL60" s="37">
        <v>1</v>
      </c>
      <c r="AN60" s="25">
        <v>0.45833333333333331</v>
      </c>
      <c r="AO60" s="26">
        <v>0.78125</v>
      </c>
      <c r="AP60" s="27">
        <v>45</v>
      </c>
      <c r="AQ60" s="27">
        <v>1</v>
      </c>
      <c r="AR60" s="37">
        <v>1</v>
      </c>
      <c r="AT60" s="25">
        <v>0.45833333333333331</v>
      </c>
      <c r="AU60" s="26">
        <v>0.73958333333333337</v>
      </c>
      <c r="AV60" s="27">
        <v>45</v>
      </c>
      <c r="AW60" s="27">
        <v>1</v>
      </c>
      <c r="AX60" s="37">
        <v>1</v>
      </c>
      <c r="AZ60" s="25">
        <v>0.45833333333333331</v>
      </c>
      <c r="BA60" s="26">
        <v>0.78125</v>
      </c>
      <c r="BB60" s="27">
        <v>45</v>
      </c>
      <c r="BC60" s="27">
        <v>1</v>
      </c>
      <c r="BD60" s="37">
        <v>1</v>
      </c>
      <c r="BF60" s="25">
        <v>0.45833333333333331</v>
      </c>
      <c r="BG60" s="26">
        <v>0.82291666666666663</v>
      </c>
      <c r="BH60" s="27">
        <v>45</v>
      </c>
      <c r="BI60" s="27">
        <v>1</v>
      </c>
      <c r="BJ60" s="37">
        <v>1</v>
      </c>
      <c r="BL60" s="33"/>
      <c r="BM60" s="34"/>
      <c r="BN60" s="35"/>
      <c r="BO60" s="36"/>
      <c r="BP60" s="37"/>
      <c r="BR60" s="33"/>
      <c r="BS60" s="34"/>
      <c r="BT60" s="35"/>
      <c r="BU60" s="36"/>
      <c r="BV60" s="37"/>
      <c r="BX60" s="33"/>
      <c r="BY60" s="34"/>
      <c r="BZ60" s="35"/>
      <c r="CA60" s="36"/>
      <c r="CB60" s="37"/>
      <c r="CD60" s="33"/>
      <c r="CE60" s="34"/>
      <c r="CF60" s="35"/>
      <c r="CG60" s="36"/>
      <c r="CH60" s="37"/>
      <c r="CJ60" s="33"/>
      <c r="CK60" s="34"/>
      <c r="CL60" s="35"/>
      <c r="CM60" s="36"/>
      <c r="CN60" s="37"/>
      <c r="CP60" s="33"/>
      <c r="CQ60" s="34"/>
      <c r="CR60" s="35"/>
      <c r="CS60" s="36"/>
      <c r="CT60" s="37"/>
      <c r="CV60" s="33"/>
      <c r="CW60" s="34"/>
      <c r="CX60" s="35"/>
      <c r="CY60" s="36"/>
      <c r="CZ60" s="37"/>
      <c r="DA60" s="30">
        <f t="shared" si="0"/>
        <v>0</v>
      </c>
      <c r="DB60" s="31" t="e">
        <f>DA60*#REF!</f>
        <v>#REF!</v>
      </c>
      <c r="DC60" s="32" t="e">
        <f>DA60*#REF!</f>
        <v>#REF!</v>
      </c>
      <c r="DE60" s="33"/>
      <c r="DF60" s="34"/>
      <c r="DG60" s="35"/>
      <c r="DH60" s="36"/>
      <c r="DI60" s="37"/>
      <c r="DJ60" s="30">
        <f t="shared" si="1"/>
        <v>0</v>
      </c>
      <c r="DK60" s="31" t="e">
        <f>DJ60*#REF!</f>
        <v>#REF!</v>
      </c>
      <c r="DL60" s="32" t="e">
        <f>DJ60*#REF!</f>
        <v>#REF!</v>
      </c>
      <c r="DN60" s="33"/>
      <c r="DO60" s="34"/>
      <c r="DP60" s="35"/>
      <c r="DQ60" s="36"/>
      <c r="DR60" s="37"/>
      <c r="DS60" s="30">
        <f t="shared" si="2"/>
        <v>0</v>
      </c>
      <c r="DT60" s="31" t="e">
        <f>DS60*#REF!</f>
        <v>#REF!</v>
      </c>
      <c r="DU60" s="32" t="e">
        <f>DS60*#REF!</f>
        <v>#REF!</v>
      </c>
      <c r="DW60" s="33"/>
      <c r="DX60" s="34"/>
      <c r="DY60" s="35"/>
      <c r="DZ60" s="36"/>
      <c r="EA60" s="37"/>
      <c r="EB60" s="30">
        <f t="shared" si="3"/>
        <v>0</v>
      </c>
      <c r="EC60" s="31" t="e">
        <f>EB60*#REF!</f>
        <v>#REF!</v>
      </c>
      <c r="ED60" s="32" t="e">
        <f>EB60*#REF!</f>
        <v>#REF!</v>
      </c>
      <c r="EF60" s="33"/>
      <c r="EG60" s="34"/>
      <c r="EH60" s="35"/>
      <c r="EI60" s="36"/>
      <c r="EJ60" s="37"/>
      <c r="EK60" s="30">
        <f t="shared" si="4"/>
        <v>0</v>
      </c>
      <c r="EL60" s="31" t="e">
        <f>EK60*#REF!</f>
        <v>#REF!</v>
      </c>
      <c r="EM60" s="32" t="e">
        <f>EK60*#REF!</f>
        <v>#REF!</v>
      </c>
      <c r="EO60" s="33"/>
      <c r="EP60" s="34"/>
      <c r="EQ60" s="35"/>
      <c r="ER60" s="36"/>
      <c r="ES60" s="37"/>
      <c r="ET60" s="30">
        <f t="shared" si="5"/>
        <v>0</v>
      </c>
      <c r="EU60" s="31" t="e">
        <f>ET60*#REF!</f>
        <v>#REF!</v>
      </c>
      <c r="EV60" s="32" t="e">
        <f>ET60*#REF!</f>
        <v>#REF!</v>
      </c>
      <c r="EX60" s="33"/>
      <c r="EY60" s="34"/>
      <c r="EZ60" s="35"/>
      <c r="FA60" s="36"/>
      <c r="FB60" s="37"/>
      <c r="FC60" s="30">
        <f t="shared" si="6"/>
        <v>0</v>
      </c>
      <c r="FD60" s="31" t="e">
        <f>FC60*#REF!</f>
        <v>#REF!</v>
      </c>
      <c r="FE60" s="32" t="e">
        <f>FC60*#REF!</f>
        <v>#REF!</v>
      </c>
      <c r="FG60" s="33"/>
      <c r="FH60" s="34"/>
      <c r="FI60" s="35"/>
      <c r="FJ60" s="36"/>
      <c r="FK60" s="37"/>
      <c r="FL60" s="30">
        <f t="shared" si="7"/>
        <v>0</v>
      </c>
      <c r="FM60" s="31" t="e">
        <f>FL60*#REF!</f>
        <v>#REF!</v>
      </c>
      <c r="FN60" s="32" t="e">
        <f>FL60*#REF!</f>
        <v>#REF!</v>
      </c>
      <c r="FP60" s="33"/>
      <c r="FQ60" s="34"/>
      <c r="FR60" s="35"/>
      <c r="FS60" s="36"/>
      <c r="FT60" s="37"/>
      <c r="FU60" s="30">
        <f t="shared" si="8"/>
        <v>0</v>
      </c>
      <c r="FV60" s="31" t="e">
        <f>FU60*#REF!</f>
        <v>#REF!</v>
      </c>
      <c r="FW60" s="32" t="e">
        <f>FU60*#REF!</f>
        <v>#REF!</v>
      </c>
      <c r="FY60" s="33"/>
      <c r="FZ60" s="34"/>
      <c r="GA60" s="35"/>
      <c r="GB60" s="36"/>
      <c r="GC60" s="37"/>
      <c r="GD60" s="30">
        <f t="shared" si="9"/>
        <v>0</v>
      </c>
      <c r="GE60" s="31" t="e">
        <f>GD60*#REF!</f>
        <v>#REF!</v>
      </c>
      <c r="GF60" s="32" t="e">
        <f>GD60*#REF!</f>
        <v>#REF!</v>
      </c>
      <c r="GH60" s="33"/>
      <c r="GI60" s="34"/>
      <c r="GJ60" s="35"/>
      <c r="GK60" s="36"/>
      <c r="GL60" s="37"/>
      <c r="GM60" s="30">
        <f t="shared" si="10"/>
        <v>0</v>
      </c>
      <c r="GN60" s="31" t="e">
        <f>GM60*#REF!</f>
        <v>#REF!</v>
      </c>
      <c r="GO60" s="32" t="e">
        <f>GM60*#REF!</f>
        <v>#REF!</v>
      </c>
      <c r="GQ60" s="38">
        <f>_xlfn.MAXIFS(I60:GO60,$I$5:$GO$5,"Staff #")</f>
        <v>1</v>
      </c>
      <c r="GR60" s="39">
        <v>1</v>
      </c>
    </row>
    <row r="61" spans="2:200" ht="15" x14ac:dyDescent="0.25">
      <c r="B61" s="22"/>
      <c r="C61" s="23"/>
      <c r="D61" s="24" t="str">
        <f>IF(C61="","",_xlfn.XLOOKUP(C61,'[3]Control Sheet'!$L$5:$L$104,'[3]Control Sheet'!$M$5:$M$104,"",0))</f>
        <v/>
      </c>
      <c r="E61" s="24" t="str">
        <f>IF(B61="","",_xlfn.XLOOKUP(B61,'[3]Control Sheet'!$D$5:$D$64,'[3]Control Sheet'!$F$5:$F$64,"",0))</f>
        <v/>
      </c>
      <c r="F61" s="24" t="str">
        <f>IF(B61="","",_xlfn.XLOOKUP(B61,'[3]Control Sheet'!$D$5:$D$64,'[3]Control Sheet'!$E$5:$E$64,"",0))</f>
        <v/>
      </c>
      <c r="I61" s="33"/>
      <c r="J61" s="34"/>
      <c r="K61" s="35"/>
      <c r="L61" s="36"/>
      <c r="M61" s="37"/>
      <c r="P61" s="33"/>
      <c r="Q61" s="34"/>
      <c r="R61" s="35"/>
      <c r="S61" s="36"/>
      <c r="T61" s="37"/>
      <c r="V61" s="33"/>
      <c r="W61" s="34"/>
      <c r="X61" s="35"/>
      <c r="Y61" s="36"/>
      <c r="Z61" s="37"/>
      <c r="AB61" s="33"/>
      <c r="AC61" s="34"/>
      <c r="AD61" s="35"/>
      <c r="AE61" s="36"/>
      <c r="AF61" s="37"/>
      <c r="AH61" s="33"/>
      <c r="AI61" s="34"/>
      <c r="AJ61" s="35"/>
      <c r="AK61" s="36"/>
      <c r="AL61" s="37"/>
      <c r="AN61" s="33"/>
      <c r="AO61" s="34"/>
      <c r="AP61" s="35"/>
      <c r="AQ61" s="36"/>
      <c r="AR61" s="37"/>
      <c r="AT61" s="33"/>
      <c r="AU61" s="34"/>
      <c r="AV61" s="35"/>
      <c r="AW61" s="36"/>
      <c r="AX61" s="37"/>
      <c r="AZ61" s="33"/>
      <c r="BA61" s="34"/>
      <c r="BB61" s="35"/>
      <c r="BC61" s="36"/>
      <c r="BD61" s="37"/>
      <c r="BF61" s="33"/>
      <c r="BG61" s="34"/>
      <c r="BH61" s="35"/>
      <c r="BI61" s="36"/>
      <c r="BJ61" s="37"/>
      <c r="BL61" s="33"/>
      <c r="BM61" s="34"/>
      <c r="BN61" s="35"/>
      <c r="BO61" s="36"/>
      <c r="BP61" s="37"/>
      <c r="BR61" s="33"/>
      <c r="BS61" s="34"/>
      <c r="BT61" s="35"/>
      <c r="BU61" s="36"/>
      <c r="BV61" s="37"/>
      <c r="BX61" s="33"/>
      <c r="BY61" s="34"/>
      <c r="BZ61" s="35"/>
      <c r="CA61" s="36"/>
      <c r="CB61" s="37"/>
      <c r="CD61" s="33"/>
      <c r="CE61" s="34"/>
      <c r="CF61" s="35"/>
      <c r="CG61" s="36"/>
      <c r="CH61" s="37"/>
      <c r="CJ61" s="33"/>
      <c r="CK61" s="34"/>
      <c r="CL61" s="35"/>
      <c r="CM61" s="36"/>
      <c r="CN61" s="37"/>
      <c r="CP61" s="33"/>
      <c r="CQ61" s="34"/>
      <c r="CR61" s="35"/>
      <c r="CS61" s="36"/>
      <c r="CT61" s="37"/>
      <c r="CV61" s="33"/>
      <c r="CW61" s="34"/>
      <c r="CX61" s="35"/>
      <c r="CY61" s="36"/>
      <c r="CZ61" s="37"/>
      <c r="DA61" s="30">
        <f t="shared" si="0"/>
        <v>0</v>
      </c>
      <c r="DB61" s="31" t="e">
        <f>DA61*#REF!</f>
        <v>#REF!</v>
      </c>
      <c r="DC61" s="32" t="e">
        <f>DA61*#REF!</f>
        <v>#REF!</v>
      </c>
      <c r="DE61" s="33"/>
      <c r="DF61" s="34"/>
      <c r="DG61" s="35"/>
      <c r="DH61" s="36"/>
      <c r="DI61" s="37"/>
      <c r="DJ61" s="30">
        <f t="shared" si="1"/>
        <v>0</v>
      </c>
      <c r="DK61" s="31" t="e">
        <f>DJ61*#REF!</f>
        <v>#REF!</v>
      </c>
      <c r="DL61" s="32" t="e">
        <f>DJ61*#REF!</f>
        <v>#REF!</v>
      </c>
      <c r="DN61" s="33"/>
      <c r="DO61" s="34"/>
      <c r="DP61" s="35"/>
      <c r="DQ61" s="36"/>
      <c r="DR61" s="37"/>
      <c r="DS61" s="30">
        <f t="shared" si="2"/>
        <v>0</v>
      </c>
      <c r="DT61" s="31" t="e">
        <f>DS61*#REF!</f>
        <v>#REF!</v>
      </c>
      <c r="DU61" s="32" t="e">
        <f>DS61*#REF!</f>
        <v>#REF!</v>
      </c>
      <c r="DW61" s="33"/>
      <c r="DX61" s="34"/>
      <c r="DY61" s="35"/>
      <c r="DZ61" s="36"/>
      <c r="EA61" s="37"/>
      <c r="EB61" s="30">
        <f t="shared" si="3"/>
        <v>0</v>
      </c>
      <c r="EC61" s="31" t="e">
        <f>EB61*#REF!</f>
        <v>#REF!</v>
      </c>
      <c r="ED61" s="32" t="e">
        <f>EB61*#REF!</f>
        <v>#REF!</v>
      </c>
      <c r="EF61" s="33"/>
      <c r="EG61" s="34"/>
      <c r="EH61" s="35"/>
      <c r="EI61" s="36"/>
      <c r="EJ61" s="37"/>
      <c r="EK61" s="30">
        <f t="shared" si="4"/>
        <v>0</v>
      </c>
      <c r="EL61" s="31" t="e">
        <f>EK61*#REF!</f>
        <v>#REF!</v>
      </c>
      <c r="EM61" s="32" t="e">
        <f>EK61*#REF!</f>
        <v>#REF!</v>
      </c>
      <c r="EO61" s="33"/>
      <c r="EP61" s="34"/>
      <c r="EQ61" s="35"/>
      <c r="ER61" s="36"/>
      <c r="ES61" s="37"/>
      <c r="ET61" s="30">
        <f t="shared" si="5"/>
        <v>0</v>
      </c>
      <c r="EU61" s="31" t="e">
        <f>ET61*#REF!</f>
        <v>#REF!</v>
      </c>
      <c r="EV61" s="32" t="e">
        <f>ET61*#REF!</f>
        <v>#REF!</v>
      </c>
      <c r="EX61" s="33"/>
      <c r="EY61" s="34"/>
      <c r="EZ61" s="35"/>
      <c r="FA61" s="36"/>
      <c r="FB61" s="37"/>
      <c r="FC61" s="30">
        <f t="shared" si="6"/>
        <v>0</v>
      </c>
      <c r="FD61" s="31" t="e">
        <f>FC61*#REF!</f>
        <v>#REF!</v>
      </c>
      <c r="FE61" s="32" t="e">
        <f>FC61*#REF!</f>
        <v>#REF!</v>
      </c>
      <c r="FG61" s="33"/>
      <c r="FH61" s="34"/>
      <c r="FI61" s="35"/>
      <c r="FJ61" s="36"/>
      <c r="FK61" s="37"/>
      <c r="FL61" s="30">
        <f t="shared" si="7"/>
        <v>0</v>
      </c>
      <c r="FM61" s="31" t="e">
        <f>FL61*#REF!</f>
        <v>#REF!</v>
      </c>
      <c r="FN61" s="32" t="e">
        <f>FL61*#REF!</f>
        <v>#REF!</v>
      </c>
      <c r="FP61" s="33"/>
      <c r="FQ61" s="34"/>
      <c r="FR61" s="35"/>
      <c r="FS61" s="36"/>
      <c r="FT61" s="37"/>
      <c r="FU61" s="30">
        <f t="shared" si="8"/>
        <v>0</v>
      </c>
      <c r="FV61" s="31" t="e">
        <f>FU61*#REF!</f>
        <v>#REF!</v>
      </c>
      <c r="FW61" s="32" t="e">
        <f>FU61*#REF!</f>
        <v>#REF!</v>
      </c>
      <c r="FY61" s="33"/>
      <c r="FZ61" s="34"/>
      <c r="GA61" s="35"/>
      <c r="GB61" s="36"/>
      <c r="GC61" s="37"/>
      <c r="GD61" s="30">
        <f t="shared" si="9"/>
        <v>0</v>
      </c>
      <c r="GE61" s="31" t="e">
        <f>GD61*#REF!</f>
        <v>#REF!</v>
      </c>
      <c r="GF61" s="32" t="e">
        <f>GD61*#REF!</f>
        <v>#REF!</v>
      </c>
      <c r="GH61" s="33"/>
      <c r="GI61" s="34"/>
      <c r="GJ61" s="35"/>
      <c r="GK61" s="36"/>
      <c r="GL61" s="37"/>
      <c r="GM61" s="30">
        <f t="shared" si="10"/>
        <v>0</v>
      </c>
      <c r="GN61" s="31" t="e">
        <f>GM61*#REF!</f>
        <v>#REF!</v>
      </c>
      <c r="GO61" s="32" t="e">
        <f>GM61*#REF!</f>
        <v>#REF!</v>
      </c>
      <c r="GQ61" s="38">
        <f>_xlfn.MAXIFS(I61:GO61,$I$5:$GO$5,"Staff #")</f>
        <v>0</v>
      </c>
      <c r="GR61" s="39">
        <v>0</v>
      </c>
    </row>
    <row r="62" spans="2:200" ht="15" x14ac:dyDescent="0.25">
      <c r="B62" s="22" t="s">
        <v>82</v>
      </c>
      <c r="C62" s="23" t="s">
        <v>81</v>
      </c>
      <c r="D62" s="24" t="str">
        <f>IF(C62="","",_xlfn.XLOOKUP(C62,'[3]Control Sheet'!$L$5:$L$104,'[3]Control Sheet'!$M$5:$M$104,"",0))</f>
        <v>Retail Senior Host</v>
      </c>
      <c r="E62" s="24" t="str">
        <f>IF(B62="","",_xlfn.XLOOKUP(B62,'[3]Control Sheet'!$D$5:$D$64,'[3]Control Sheet'!$F$5:$F$64,"",0))</f>
        <v>Retail</v>
      </c>
      <c r="F62" s="24" t="str">
        <f>IF(B62="","",_xlfn.XLOOKUP(B62,'[3]Control Sheet'!$D$5:$D$64,'[3]Control Sheet'!$E$5:$E$64,"",0))</f>
        <v>C1150-O</v>
      </c>
      <c r="I62" s="25">
        <v>0.39583333333333331</v>
      </c>
      <c r="J62" s="26">
        <v>0.69791666666666663</v>
      </c>
      <c r="K62" s="27">
        <v>45</v>
      </c>
      <c r="L62" s="27">
        <v>1</v>
      </c>
      <c r="M62" s="37">
        <v>1</v>
      </c>
      <c r="P62" s="25">
        <v>0.39583333333333331</v>
      </c>
      <c r="Q62" s="26">
        <v>0.73958333333333337</v>
      </c>
      <c r="R62" s="27">
        <v>45</v>
      </c>
      <c r="S62" s="27">
        <v>1</v>
      </c>
      <c r="T62" s="37">
        <v>1</v>
      </c>
      <c r="V62" s="25">
        <v>0.39583333333333331</v>
      </c>
      <c r="W62" s="26">
        <v>0.73958333333333337</v>
      </c>
      <c r="X62" s="27">
        <v>45</v>
      </c>
      <c r="Y62" s="27">
        <v>1</v>
      </c>
      <c r="Z62" s="37">
        <v>1</v>
      </c>
      <c r="AB62" s="25">
        <v>0.39583333333333331</v>
      </c>
      <c r="AC62" s="26">
        <v>0.73958333333333337</v>
      </c>
      <c r="AD62" s="27">
        <v>45</v>
      </c>
      <c r="AE62" s="27">
        <v>1</v>
      </c>
      <c r="AF62" s="37">
        <v>1</v>
      </c>
      <c r="AH62" s="25">
        <v>0.39583333333333331</v>
      </c>
      <c r="AI62" s="26">
        <v>0.73958333333333337</v>
      </c>
      <c r="AJ62" s="27">
        <v>45</v>
      </c>
      <c r="AK62" s="27">
        <v>1</v>
      </c>
      <c r="AL62" s="37">
        <v>1</v>
      </c>
      <c r="AN62" s="25">
        <v>0.39583333333333331</v>
      </c>
      <c r="AO62" s="26">
        <v>0.78125</v>
      </c>
      <c r="AP62" s="27">
        <v>45</v>
      </c>
      <c r="AQ62" s="27">
        <v>1</v>
      </c>
      <c r="AR62" s="37">
        <v>1</v>
      </c>
      <c r="AT62" s="25">
        <v>0.39583333333333331</v>
      </c>
      <c r="AU62" s="26">
        <v>0.73958333333333337</v>
      </c>
      <c r="AV62" s="27">
        <v>45</v>
      </c>
      <c r="AW62" s="27">
        <v>1</v>
      </c>
      <c r="AX62" s="37">
        <v>1</v>
      </c>
      <c r="AZ62" s="25">
        <v>0.39583333333333331</v>
      </c>
      <c r="BA62" s="26">
        <v>0.78125</v>
      </c>
      <c r="BB62" s="27">
        <v>45</v>
      </c>
      <c r="BC62" s="27">
        <v>1</v>
      </c>
      <c r="BD62" s="37">
        <v>1</v>
      </c>
      <c r="BF62" s="25">
        <v>0.39583333333333331</v>
      </c>
      <c r="BG62" s="26">
        <v>0.82291666666666663</v>
      </c>
      <c r="BH62" s="27">
        <v>60</v>
      </c>
      <c r="BI62" s="27">
        <v>1</v>
      </c>
      <c r="BJ62" s="37">
        <v>1</v>
      </c>
      <c r="BL62" s="33"/>
      <c r="BM62" s="34"/>
      <c r="BN62" s="35"/>
      <c r="BO62" s="36"/>
      <c r="BP62" s="37"/>
      <c r="BR62" s="33"/>
      <c r="BS62" s="34"/>
      <c r="BT62" s="35"/>
      <c r="BU62" s="36"/>
      <c r="BV62" s="37"/>
      <c r="BX62" s="33"/>
      <c r="BY62" s="34"/>
      <c r="BZ62" s="35"/>
      <c r="CA62" s="36"/>
      <c r="CB62" s="37"/>
      <c r="CD62" s="33"/>
      <c r="CE62" s="34"/>
      <c r="CF62" s="35"/>
      <c r="CG62" s="36"/>
      <c r="CH62" s="37"/>
      <c r="CJ62" s="33"/>
      <c r="CK62" s="34"/>
      <c r="CL62" s="35"/>
      <c r="CM62" s="36"/>
      <c r="CN62" s="37"/>
      <c r="CP62" s="33"/>
      <c r="CQ62" s="34"/>
      <c r="CR62" s="35"/>
      <c r="CS62" s="36"/>
      <c r="CT62" s="37"/>
      <c r="CV62" s="33"/>
      <c r="CW62" s="34"/>
      <c r="CX62" s="35"/>
      <c r="CY62" s="36"/>
      <c r="CZ62" s="37"/>
      <c r="DA62" s="30">
        <f t="shared" si="0"/>
        <v>0</v>
      </c>
      <c r="DB62" s="31" t="e">
        <f>DA62*#REF!</f>
        <v>#REF!</v>
      </c>
      <c r="DC62" s="32" t="e">
        <f>DA62*#REF!</f>
        <v>#REF!</v>
      </c>
      <c r="DE62" s="33"/>
      <c r="DF62" s="34"/>
      <c r="DG62" s="35"/>
      <c r="DH62" s="36"/>
      <c r="DI62" s="37"/>
      <c r="DJ62" s="30">
        <f t="shared" si="1"/>
        <v>0</v>
      </c>
      <c r="DK62" s="31" t="e">
        <f>DJ62*#REF!</f>
        <v>#REF!</v>
      </c>
      <c r="DL62" s="32" t="e">
        <f>DJ62*#REF!</f>
        <v>#REF!</v>
      </c>
      <c r="DN62" s="33"/>
      <c r="DO62" s="34"/>
      <c r="DP62" s="35"/>
      <c r="DQ62" s="36"/>
      <c r="DR62" s="37"/>
      <c r="DS62" s="30">
        <f t="shared" si="2"/>
        <v>0</v>
      </c>
      <c r="DT62" s="31" t="e">
        <f>DS62*#REF!</f>
        <v>#REF!</v>
      </c>
      <c r="DU62" s="32" t="e">
        <f>DS62*#REF!</f>
        <v>#REF!</v>
      </c>
      <c r="DW62" s="33"/>
      <c r="DX62" s="34"/>
      <c r="DY62" s="35"/>
      <c r="DZ62" s="36"/>
      <c r="EA62" s="37"/>
      <c r="EB62" s="30">
        <f t="shared" si="3"/>
        <v>0</v>
      </c>
      <c r="EC62" s="31" t="e">
        <f>EB62*#REF!</f>
        <v>#REF!</v>
      </c>
      <c r="ED62" s="32" t="e">
        <f>EB62*#REF!</f>
        <v>#REF!</v>
      </c>
      <c r="EF62" s="33"/>
      <c r="EG62" s="34"/>
      <c r="EH62" s="35"/>
      <c r="EI62" s="36"/>
      <c r="EJ62" s="37"/>
      <c r="EK62" s="30">
        <f t="shared" si="4"/>
        <v>0</v>
      </c>
      <c r="EL62" s="31" t="e">
        <f>EK62*#REF!</f>
        <v>#REF!</v>
      </c>
      <c r="EM62" s="32" t="e">
        <f>EK62*#REF!</f>
        <v>#REF!</v>
      </c>
      <c r="EO62" s="33"/>
      <c r="EP62" s="34"/>
      <c r="EQ62" s="35"/>
      <c r="ER62" s="36"/>
      <c r="ES62" s="37"/>
      <c r="ET62" s="30">
        <f t="shared" si="5"/>
        <v>0</v>
      </c>
      <c r="EU62" s="31" t="e">
        <f>ET62*#REF!</f>
        <v>#REF!</v>
      </c>
      <c r="EV62" s="32" t="e">
        <f>ET62*#REF!</f>
        <v>#REF!</v>
      </c>
      <c r="EX62" s="33"/>
      <c r="EY62" s="34"/>
      <c r="EZ62" s="35"/>
      <c r="FA62" s="36"/>
      <c r="FB62" s="37"/>
      <c r="FC62" s="30">
        <f t="shared" si="6"/>
        <v>0</v>
      </c>
      <c r="FD62" s="31" t="e">
        <f>FC62*#REF!</f>
        <v>#REF!</v>
      </c>
      <c r="FE62" s="32" t="e">
        <f>FC62*#REF!</f>
        <v>#REF!</v>
      </c>
      <c r="FG62" s="33"/>
      <c r="FH62" s="34"/>
      <c r="FI62" s="35"/>
      <c r="FJ62" s="36"/>
      <c r="FK62" s="37"/>
      <c r="FL62" s="30">
        <f t="shared" si="7"/>
        <v>0</v>
      </c>
      <c r="FM62" s="31" t="e">
        <f>FL62*#REF!</f>
        <v>#REF!</v>
      </c>
      <c r="FN62" s="32" t="e">
        <f>FL62*#REF!</f>
        <v>#REF!</v>
      </c>
      <c r="FP62" s="33"/>
      <c r="FQ62" s="34"/>
      <c r="FR62" s="35"/>
      <c r="FS62" s="36"/>
      <c r="FT62" s="37"/>
      <c r="FU62" s="30">
        <f t="shared" si="8"/>
        <v>0</v>
      </c>
      <c r="FV62" s="31" t="e">
        <f>FU62*#REF!</f>
        <v>#REF!</v>
      </c>
      <c r="FW62" s="32" t="e">
        <f>FU62*#REF!</f>
        <v>#REF!</v>
      </c>
      <c r="FY62" s="33"/>
      <c r="FZ62" s="34"/>
      <c r="GA62" s="35"/>
      <c r="GB62" s="36"/>
      <c r="GC62" s="37"/>
      <c r="GD62" s="30">
        <f t="shared" si="9"/>
        <v>0</v>
      </c>
      <c r="GE62" s="31" t="e">
        <f>GD62*#REF!</f>
        <v>#REF!</v>
      </c>
      <c r="GF62" s="32" t="e">
        <f>GD62*#REF!</f>
        <v>#REF!</v>
      </c>
      <c r="GH62" s="33"/>
      <c r="GI62" s="34"/>
      <c r="GJ62" s="35"/>
      <c r="GK62" s="36"/>
      <c r="GL62" s="37"/>
      <c r="GM62" s="30">
        <f t="shared" si="10"/>
        <v>0</v>
      </c>
      <c r="GN62" s="31" t="e">
        <f>GM62*#REF!</f>
        <v>#REF!</v>
      </c>
      <c r="GO62" s="32" t="e">
        <f>GM62*#REF!</f>
        <v>#REF!</v>
      </c>
      <c r="GQ62" s="38">
        <f>_xlfn.MAXIFS(I62:GO62,$I$5:$GO$5,"Staff #")</f>
        <v>1</v>
      </c>
      <c r="GR62" s="39">
        <v>1</v>
      </c>
    </row>
    <row r="63" spans="2:200" ht="15" x14ac:dyDescent="0.25">
      <c r="B63" s="22" t="s">
        <v>82</v>
      </c>
      <c r="C63" s="23" t="s">
        <v>79</v>
      </c>
      <c r="D63" s="24" t="str">
        <f>IF(C63="","",_xlfn.XLOOKUP(C63,'[3]Control Sheet'!$L$5:$L$104,'[3]Control Sheet'!$M$5:$M$104,"",0))</f>
        <v>Retail Host</v>
      </c>
      <c r="E63" s="24" t="str">
        <f>IF(B63="","",_xlfn.XLOOKUP(B63,'[3]Control Sheet'!$D$5:$D$64,'[3]Control Sheet'!$F$5:$F$64,"",0))</f>
        <v>Retail</v>
      </c>
      <c r="F63" s="24" t="str">
        <f>IF(B63="","",_xlfn.XLOOKUP(B63,'[3]Control Sheet'!$D$5:$D$64,'[3]Control Sheet'!$E$5:$E$64,"",0))</f>
        <v>C1150-O</v>
      </c>
      <c r="I63" s="25">
        <v>0.39583333333333331</v>
      </c>
      <c r="J63" s="26">
        <v>0.69791666666666663</v>
      </c>
      <c r="K63" s="27">
        <v>45</v>
      </c>
      <c r="L63" s="27">
        <v>2</v>
      </c>
      <c r="M63" s="37">
        <v>1</v>
      </c>
      <c r="P63" s="25">
        <v>0.39583333333333331</v>
      </c>
      <c r="Q63" s="26">
        <v>0.73958333333333337</v>
      </c>
      <c r="R63" s="27">
        <v>45</v>
      </c>
      <c r="S63" s="27">
        <v>2</v>
      </c>
      <c r="T63" s="37">
        <v>1</v>
      </c>
      <c r="V63" s="25">
        <v>0.39583333333333331</v>
      </c>
      <c r="W63" s="26">
        <v>0.73958333333333337</v>
      </c>
      <c r="X63" s="27">
        <v>45</v>
      </c>
      <c r="Y63" s="27">
        <v>2</v>
      </c>
      <c r="Z63" s="37">
        <v>1</v>
      </c>
      <c r="AB63" s="25">
        <v>0.39583333333333331</v>
      </c>
      <c r="AC63" s="26">
        <v>0.73958333333333337</v>
      </c>
      <c r="AD63" s="27">
        <v>45</v>
      </c>
      <c r="AE63" s="27">
        <v>2</v>
      </c>
      <c r="AF63" s="37">
        <v>1</v>
      </c>
      <c r="AH63" s="25">
        <v>0.39583333333333331</v>
      </c>
      <c r="AI63" s="26">
        <v>0.73958333333333337</v>
      </c>
      <c r="AJ63" s="27">
        <v>45</v>
      </c>
      <c r="AK63" s="27">
        <v>2</v>
      </c>
      <c r="AL63" s="37">
        <v>1</v>
      </c>
      <c r="AN63" s="25">
        <v>0.39583333333333331</v>
      </c>
      <c r="AO63" s="26">
        <v>0.78125</v>
      </c>
      <c r="AP63" s="27">
        <v>45</v>
      </c>
      <c r="AQ63" s="27">
        <v>2</v>
      </c>
      <c r="AR63" s="37">
        <v>1</v>
      </c>
      <c r="AT63" s="25">
        <v>0.39583333333333331</v>
      </c>
      <c r="AU63" s="26">
        <v>0.73958333333333337</v>
      </c>
      <c r="AV63" s="27">
        <v>45</v>
      </c>
      <c r="AW63" s="27">
        <v>2</v>
      </c>
      <c r="AX63" s="37">
        <v>1</v>
      </c>
      <c r="AZ63" s="25">
        <v>0.39583333333333331</v>
      </c>
      <c r="BA63" s="26">
        <v>0.78125</v>
      </c>
      <c r="BB63" s="27">
        <v>45</v>
      </c>
      <c r="BC63" s="27">
        <v>2</v>
      </c>
      <c r="BD63" s="37">
        <v>1</v>
      </c>
      <c r="BF63" s="25">
        <v>0.39583333333333331</v>
      </c>
      <c r="BG63" s="26">
        <v>0.82291666666666663</v>
      </c>
      <c r="BH63" s="27">
        <v>60</v>
      </c>
      <c r="BI63" s="27">
        <v>2</v>
      </c>
      <c r="BJ63" s="37">
        <v>1</v>
      </c>
      <c r="BL63" s="33"/>
      <c r="BM63" s="34"/>
      <c r="BN63" s="35"/>
      <c r="BO63" s="36"/>
      <c r="BP63" s="37"/>
      <c r="BR63" s="33"/>
      <c r="BS63" s="34"/>
      <c r="BT63" s="35"/>
      <c r="BU63" s="36"/>
      <c r="BV63" s="37"/>
      <c r="BX63" s="33"/>
      <c r="BY63" s="34"/>
      <c r="BZ63" s="35"/>
      <c r="CA63" s="36"/>
      <c r="CB63" s="37"/>
      <c r="CD63" s="33"/>
      <c r="CE63" s="34"/>
      <c r="CF63" s="35"/>
      <c r="CG63" s="36"/>
      <c r="CH63" s="37"/>
      <c r="CJ63" s="33"/>
      <c r="CK63" s="34"/>
      <c r="CL63" s="35"/>
      <c r="CM63" s="36"/>
      <c r="CN63" s="37"/>
      <c r="CP63" s="33"/>
      <c r="CQ63" s="34"/>
      <c r="CR63" s="35"/>
      <c r="CS63" s="36"/>
      <c r="CT63" s="37"/>
      <c r="CV63" s="33"/>
      <c r="CW63" s="34"/>
      <c r="CX63" s="35"/>
      <c r="CY63" s="36"/>
      <c r="CZ63" s="37"/>
      <c r="DA63" s="30">
        <f t="shared" si="0"/>
        <v>0</v>
      </c>
      <c r="DB63" s="31" t="e">
        <f>DA63*#REF!</f>
        <v>#REF!</v>
      </c>
      <c r="DC63" s="32" t="e">
        <f>DA63*#REF!</f>
        <v>#REF!</v>
      </c>
      <c r="DE63" s="33"/>
      <c r="DF63" s="34"/>
      <c r="DG63" s="35"/>
      <c r="DH63" s="36"/>
      <c r="DI63" s="37"/>
      <c r="DJ63" s="30">
        <f t="shared" si="1"/>
        <v>0</v>
      </c>
      <c r="DK63" s="31" t="e">
        <f>DJ63*#REF!</f>
        <v>#REF!</v>
      </c>
      <c r="DL63" s="32" t="e">
        <f>DJ63*#REF!</f>
        <v>#REF!</v>
      </c>
      <c r="DN63" s="33"/>
      <c r="DO63" s="34"/>
      <c r="DP63" s="35"/>
      <c r="DQ63" s="36"/>
      <c r="DR63" s="37"/>
      <c r="DS63" s="30">
        <f t="shared" si="2"/>
        <v>0</v>
      </c>
      <c r="DT63" s="31" t="e">
        <f>DS63*#REF!</f>
        <v>#REF!</v>
      </c>
      <c r="DU63" s="32" t="e">
        <f>DS63*#REF!</f>
        <v>#REF!</v>
      </c>
      <c r="DW63" s="33"/>
      <c r="DX63" s="34"/>
      <c r="DY63" s="35"/>
      <c r="DZ63" s="36"/>
      <c r="EA63" s="37"/>
      <c r="EB63" s="30">
        <f t="shared" si="3"/>
        <v>0</v>
      </c>
      <c r="EC63" s="31" t="e">
        <f>EB63*#REF!</f>
        <v>#REF!</v>
      </c>
      <c r="ED63" s="32" t="e">
        <f>EB63*#REF!</f>
        <v>#REF!</v>
      </c>
      <c r="EF63" s="33"/>
      <c r="EG63" s="34"/>
      <c r="EH63" s="35"/>
      <c r="EI63" s="36"/>
      <c r="EJ63" s="37"/>
      <c r="EK63" s="30">
        <f t="shared" si="4"/>
        <v>0</v>
      </c>
      <c r="EL63" s="31" t="e">
        <f>EK63*#REF!</f>
        <v>#REF!</v>
      </c>
      <c r="EM63" s="32" t="e">
        <f>EK63*#REF!</f>
        <v>#REF!</v>
      </c>
      <c r="EO63" s="33"/>
      <c r="EP63" s="34"/>
      <c r="EQ63" s="35"/>
      <c r="ER63" s="36"/>
      <c r="ES63" s="37"/>
      <c r="ET63" s="30">
        <f t="shared" si="5"/>
        <v>0</v>
      </c>
      <c r="EU63" s="31" t="e">
        <f>ET63*#REF!</f>
        <v>#REF!</v>
      </c>
      <c r="EV63" s="32" t="e">
        <f>ET63*#REF!</f>
        <v>#REF!</v>
      </c>
      <c r="EX63" s="33"/>
      <c r="EY63" s="34"/>
      <c r="EZ63" s="35"/>
      <c r="FA63" s="36"/>
      <c r="FB63" s="37"/>
      <c r="FC63" s="30">
        <f t="shared" si="6"/>
        <v>0</v>
      </c>
      <c r="FD63" s="31" t="e">
        <f>FC63*#REF!</f>
        <v>#REF!</v>
      </c>
      <c r="FE63" s="32" t="e">
        <f>FC63*#REF!</f>
        <v>#REF!</v>
      </c>
      <c r="FG63" s="33"/>
      <c r="FH63" s="34"/>
      <c r="FI63" s="35"/>
      <c r="FJ63" s="36"/>
      <c r="FK63" s="37"/>
      <c r="FL63" s="30">
        <f t="shared" si="7"/>
        <v>0</v>
      </c>
      <c r="FM63" s="31" t="e">
        <f>FL63*#REF!</f>
        <v>#REF!</v>
      </c>
      <c r="FN63" s="32" t="e">
        <f>FL63*#REF!</f>
        <v>#REF!</v>
      </c>
      <c r="FP63" s="33"/>
      <c r="FQ63" s="34"/>
      <c r="FR63" s="35"/>
      <c r="FS63" s="36"/>
      <c r="FT63" s="37"/>
      <c r="FU63" s="30">
        <f t="shared" si="8"/>
        <v>0</v>
      </c>
      <c r="FV63" s="31" t="e">
        <f>FU63*#REF!</f>
        <v>#REF!</v>
      </c>
      <c r="FW63" s="32" t="e">
        <f>FU63*#REF!</f>
        <v>#REF!</v>
      </c>
      <c r="FY63" s="33"/>
      <c r="FZ63" s="34"/>
      <c r="GA63" s="35"/>
      <c r="GB63" s="36"/>
      <c r="GC63" s="37"/>
      <c r="GD63" s="30">
        <f t="shared" si="9"/>
        <v>0</v>
      </c>
      <c r="GE63" s="31" t="e">
        <f>GD63*#REF!</f>
        <v>#REF!</v>
      </c>
      <c r="GF63" s="32" t="e">
        <f>GD63*#REF!</f>
        <v>#REF!</v>
      </c>
      <c r="GH63" s="33"/>
      <c r="GI63" s="34"/>
      <c r="GJ63" s="35"/>
      <c r="GK63" s="36"/>
      <c r="GL63" s="37"/>
      <c r="GM63" s="30">
        <f t="shared" si="10"/>
        <v>0</v>
      </c>
      <c r="GN63" s="31" t="e">
        <f>GM63*#REF!</f>
        <v>#REF!</v>
      </c>
      <c r="GO63" s="32" t="e">
        <f>GM63*#REF!</f>
        <v>#REF!</v>
      </c>
      <c r="GQ63" s="38">
        <f>_xlfn.MAXIFS(I63:GO63,$I$5:$GO$5,"Staff #")</f>
        <v>2</v>
      </c>
      <c r="GR63" s="39">
        <v>2</v>
      </c>
    </row>
    <row r="64" spans="2:200" ht="15" x14ac:dyDescent="0.25">
      <c r="B64" s="22"/>
      <c r="C64" s="23"/>
      <c r="D64" s="24" t="str">
        <f>IF(C64="","",_xlfn.XLOOKUP(C64,'[3]Control Sheet'!$L$5:$L$104,'[3]Control Sheet'!$M$5:$M$104,"",0))</f>
        <v/>
      </c>
      <c r="E64" s="24" t="str">
        <f>IF(B64="","",_xlfn.XLOOKUP(B64,'[3]Control Sheet'!$D$5:$D$64,'[3]Control Sheet'!$F$5:$F$64,"",0))</f>
        <v/>
      </c>
      <c r="F64" s="24" t="str">
        <f>IF(B64="","",_xlfn.XLOOKUP(B64,'[3]Control Sheet'!$D$5:$D$64,'[3]Control Sheet'!$E$5:$E$64,"",0))</f>
        <v/>
      </c>
      <c r="I64" s="33"/>
      <c r="J64" s="34"/>
      <c r="K64" s="35"/>
      <c r="L64" s="36"/>
      <c r="M64" s="37"/>
      <c r="P64" s="33"/>
      <c r="Q64" s="34"/>
      <c r="R64" s="35"/>
      <c r="S64" s="36"/>
      <c r="T64" s="37"/>
      <c r="V64" s="33"/>
      <c r="W64" s="34"/>
      <c r="X64" s="35"/>
      <c r="Y64" s="36"/>
      <c r="Z64" s="37"/>
      <c r="AB64" s="33"/>
      <c r="AC64" s="34"/>
      <c r="AD64" s="35"/>
      <c r="AE64" s="36"/>
      <c r="AF64" s="37"/>
      <c r="AH64" s="33"/>
      <c r="AI64" s="34"/>
      <c r="AJ64" s="35"/>
      <c r="AK64" s="36"/>
      <c r="AL64" s="37"/>
      <c r="AN64" s="33"/>
      <c r="AO64" s="34"/>
      <c r="AP64" s="35"/>
      <c r="AQ64" s="36"/>
      <c r="AR64" s="37"/>
      <c r="AT64" s="33"/>
      <c r="AU64" s="34"/>
      <c r="AV64" s="35"/>
      <c r="AW64" s="36"/>
      <c r="AX64" s="37"/>
      <c r="AZ64" s="33"/>
      <c r="BA64" s="34"/>
      <c r="BB64" s="35"/>
      <c r="BC64" s="36"/>
      <c r="BD64" s="37"/>
      <c r="BF64" s="33"/>
      <c r="BG64" s="34"/>
      <c r="BH64" s="35"/>
      <c r="BI64" s="36"/>
      <c r="BJ64" s="37"/>
      <c r="BL64" s="33"/>
      <c r="BM64" s="34"/>
      <c r="BN64" s="35"/>
      <c r="BO64" s="36"/>
      <c r="BP64" s="37"/>
      <c r="BR64" s="33"/>
      <c r="BS64" s="34"/>
      <c r="BT64" s="35"/>
      <c r="BU64" s="36"/>
      <c r="BV64" s="37"/>
      <c r="BX64" s="33"/>
      <c r="BY64" s="34"/>
      <c r="BZ64" s="35"/>
      <c r="CA64" s="36"/>
      <c r="CB64" s="37"/>
      <c r="CD64" s="33"/>
      <c r="CE64" s="34"/>
      <c r="CF64" s="35"/>
      <c r="CG64" s="36"/>
      <c r="CH64" s="37"/>
      <c r="CJ64" s="33"/>
      <c r="CK64" s="34"/>
      <c r="CL64" s="35"/>
      <c r="CM64" s="36"/>
      <c r="CN64" s="37"/>
      <c r="CP64" s="33"/>
      <c r="CQ64" s="34"/>
      <c r="CR64" s="35"/>
      <c r="CS64" s="36"/>
      <c r="CT64" s="37"/>
      <c r="CV64" s="33"/>
      <c r="CW64" s="34"/>
      <c r="CX64" s="35"/>
      <c r="CY64" s="36"/>
      <c r="CZ64" s="37"/>
      <c r="DA64" s="30">
        <f t="shared" si="0"/>
        <v>0</v>
      </c>
      <c r="DB64" s="31" t="e">
        <f>DA64*#REF!</f>
        <v>#REF!</v>
      </c>
      <c r="DC64" s="32" t="e">
        <f>DA64*#REF!</f>
        <v>#REF!</v>
      </c>
      <c r="DE64" s="33"/>
      <c r="DF64" s="34"/>
      <c r="DG64" s="35"/>
      <c r="DH64" s="36"/>
      <c r="DI64" s="37"/>
      <c r="DJ64" s="30">
        <f t="shared" si="1"/>
        <v>0</v>
      </c>
      <c r="DK64" s="31" t="e">
        <f>DJ64*#REF!</f>
        <v>#REF!</v>
      </c>
      <c r="DL64" s="32" t="e">
        <f>DJ64*#REF!</f>
        <v>#REF!</v>
      </c>
      <c r="DN64" s="33"/>
      <c r="DO64" s="34"/>
      <c r="DP64" s="35"/>
      <c r="DQ64" s="36"/>
      <c r="DR64" s="37"/>
      <c r="DS64" s="30">
        <f t="shared" si="2"/>
        <v>0</v>
      </c>
      <c r="DT64" s="31" t="e">
        <f>DS64*#REF!</f>
        <v>#REF!</v>
      </c>
      <c r="DU64" s="32" t="e">
        <f>DS64*#REF!</f>
        <v>#REF!</v>
      </c>
      <c r="DW64" s="33"/>
      <c r="DX64" s="34"/>
      <c r="DY64" s="35"/>
      <c r="DZ64" s="36"/>
      <c r="EA64" s="37"/>
      <c r="EB64" s="30">
        <f t="shared" si="3"/>
        <v>0</v>
      </c>
      <c r="EC64" s="31" t="e">
        <f>EB64*#REF!</f>
        <v>#REF!</v>
      </c>
      <c r="ED64" s="32" t="e">
        <f>EB64*#REF!</f>
        <v>#REF!</v>
      </c>
      <c r="EF64" s="33"/>
      <c r="EG64" s="34"/>
      <c r="EH64" s="35"/>
      <c r="EI64" s="36"/>
      <c r="EJ64" s="37"/>
      <c r="EK64" s="30">
        <f t="shared" si="4"/>
        <v>0</v>
      </c>
      <c r="EL64" s="31" t="e">
        <f>EK64*#REF!</f>
        <v>#REF!</v>
      </c>
      <c r="EM64" s="32" t="e">
        <f>EK64*#REF!</f>
        <v>#REF!</v>
      </c>
      <c r="EO64" s="33"/>
      <c r="EP64" s="34"/>
      <c r="EQ64" s="35"/>
      <c r="ER64" s="36"/>
      <c r="ES64" s="37"/>
      <c r="ET64" s="30">
        <f t="shared" si="5"/>
        <v>0</v>
      </c>
      <c r="EU64" s="31" t="e">
        <f>ET64*#REF!</f>
        <v>#REF!</v>
      </c>
      <c r="EV64" s="32" t="e">
        <f>ET64*#REF!</f>
        <v>#REF!</v>
      </c>
      <c r="EX64" s="33"/>
      <c r="EY64" s="34"/>
      <c r="EZ64" s="35"/>
      <c r="FA64" s="36"/>
      <c r="FB64" s="37"/>
      <c r="FC64" s="30">
        <f t="shared" si="6"/>
        <v>0</v>
      </c>
      <c r="FD64" s="31" t="e">
        <f>FC64*#REF!</f>
        <v>#REF!</v>
      </c>
      <c r="FE64" s="32" t="e">
        <f>FC64*#REF!</f>
        <v>#REF!</v>
      </c>
      <c r="FG64" s="33"/>
      <c r="FH64" s="34"/>
      <c r="FI64" s="35"/>
      <c r="FJ64" s="36"/>
      <c r="FK64" s="37"/>
      <c r="FL64" s="30">
        <f t="shared" si="7"/>
        <v>0</v>
      </c>
      <c r="FM64" s="31" t="e">
        <f>FL64*#REF!</f>
        <v>#REF!</v>
      </c>
      <c r="FN64" s="32" t="e">
        <f>FL64*#REF!</f>
        <v>#REF!</v>
      </c>
      <c r="FP64" s="33"/>
      <c r="FQ64" s="34"/>
      <c r="FR64" s="35"/>
      <c r="FS64" s="36"/>
      <c r="FT64" s="37"/>
      <c r="FU64" s="30">
        <f t="shared" si="8"/>
        <v>0</v>
      </c>
      <c r="FV64" s="31" t="e">
        <f>FU64*#REF!</f>
        <v>#REF!</v>
      </c>
      <c r="FW64" s="32" t="e">
        <f>FU64*#REF!</f>
        <v>#REF!</v>
      </c>
      <c r="FY64" s="33"/>
      <c r="FZ64" s="34"/>
      <c r="GA64" s="35"/>
      <c r="GB64" s="36"/>
      <c r="GC64" s="37"/>
      <c r="GD64" s="30">
        <f t="shared" si="9"/>
        <v>0</v>
      </c>
      <c r="GE64" s="31" t="e">
        <f>GD64*#REF!</f>
        <v>#REF!</v>
      </c>
      <c r="GF64" s="32" t="e">
        <f>GD64*#REF!</f>
        <v>#REF!</v>
      </c>
      <c r="GH64" s="33"/>
      <c r="GI64" s="34"/>
      <c r="GJ64" s="35"/>
      <c r="GK64" s="36"/>
      <c r="GL64" s="37"/>
      <c r="GM64" s="30">
        <f t="shared" si="10"/>
        <v>0</v>
      </c>
      <c r="GN64" s="31" t="e">
        <f>GM64*#REF!</f>
        <v>#REF!</v>
      </c>
      <c r="GO64" s="32" t="e">
        <f>GM64*#REF!</f>
        <v>#REF!</v>
      </c>
      <c r="GQ64" s="38">
        <f>_xlfn.MAXIFS(I64:GO64,$I$5:$GO$5,"Staff #")</f>
        <v>0</v>
      </c>
      <c r="GR64" s="39">
        <v>0</v>
      </c>
    </row>
    <row r="65" spans="2:200" ht="15" x14ac:dyDescent="0.25">
      <c r="B65" s="22" t="s">
        <v>83</v>
      </c>
      <c r="C65" s="23" t="s">
        <v>79</v>
      </c>
      <c r="D65" s="24" t="str">
        <f>IF(C65="","",_xlfn.XLOOKUP(C65,'[3]Control Sheet'!$L$5:$L$104,'[3]Control Sheet'!$M$5:$M$104,"",0))</f>
        <v>Retail Host</v>
      </c>
      <c r="E65" s="24" t="str">
        <f>IF(B65="","",_xlfn.XLOOKUP(B65,'[3]Control Sheet'!$D$5:$D$64,'[3]Control Sheet'!$F$5:$F$64,"",0))</f>
        <v>Retail</v>
      </c>
      <c r="F65" s="24" t="str">
        <f>IF(B65="","",_xlfn.XLOOKUP(B65,'[3]Control Sheet'!$D$5:$D$64,'[3]Control Sheet'!$E$5:$E$64,"",0))</f>
        <v>C1150-O</v>
      </c>
      <c r="I65" s="43"/>
      <c r="J65" s="26"/>
      <c r="K65" s="27"/>
      <c r="L65" s="27"/>
      <c r="M65" s="37"/>
      <c r="P65" s="33"/>
      <c r="Q65" s="34"/>
      <c r="R65" s="35"/>
      <c r="S65" s="36"/>
      <c r="T65" s="37"/>
      <c r="V65" s="33"/>
      <c r="W65" s="34"/>
      <c r="X65" s="35"/>
      <c r="Y65" s="36"/>
      <c r="Z65" s="37"/>
      <c r="AB65" s="33"/>
      <c r="AC65" s="26"/>
      <c r="AD65" s="27"/>
      <c r="AE65" s="27"/>
      <c r="AF65" s="37"/>
      <c r="AH65" s="25">
        <v>0.45833333333333331</v>
      </c>
      <c r="AI65" s="26">
        <v>0.70833333333333337</v>
      </c>
      <c r="AJ65" s="27">
        <v>45</v>
      </c>
      <c r="AK65" s="27">
        <v>1</v>
      </c>
      <c r="AL65" s="37">
        <v>1</v>
      </c>
      <c r="AN65" s="25">
        <v>0.45833333333333331</v>
      </c>
      <c r="AO65" s="26">
        <v>0.78125</v>
      </c>
      <c r="AP65" s="27">
        <v>45</v>
      </c>
      <c r="AQ65" s="27">
        <v>1</v>
      </c>
      <c r="AR65" s="37">
        <v>1</v>
      </c>
      <c r="AT65" s="25">
        <v>0.45833333333333331</v>
      </c>
      <c r="AU65" s="26">
        <v>0.73958333333333337</v>
      </c>
      <c r="AV65" s="27">
        <v>45</v>
      </c>
      <c r="AW65" s="27">
        <v>1</v>
      </c>
      <c r="AX65" s="37">
        <v>1</v>
      </c>
      <c r="AZ65" s="33">
        <v>0.45833333333333331</v>
      </c>
      <c r="BA65" s="26">
        <v>0.73958333333333337</v>
      </c>
      <c r="BB65" s="27">
        <v>45</v>
      </c>
      <c r="BC65" s="27">
        <v>1</v>
      </c>
      <c r="BD65" s="37">
        <v>1</v>
      </c>
      <c r="BF65" s="33">
        <v>0.45833333333333331</v>
      </c>
      <c r="BG65" s="26">
        <v>0.73958333333333337</v>
      </c>
      <c r="BH65" s="27">
        <v>45</v>
      </c>
      <c r="BI65" s="27">
        <v>1</v>
      </c>
      <c r="BJ65" s="37">
        <v>1</v>
      </c>
      <c r="BL65" s="33"/>
      <c r="BM65" s="34"/>
      <c r="BN65" s="35"/>
      <c r="BO65" s="36"/>
      <c r="BP65" s="37"/>
      <c r="BR65" s="33"/>
      <c r="BS65" s="34"/>
      <c r="BT65" s="35"/>
      <c r="BU65" s="36"/>
      <c r="BV65" s="37"/>
      <c r="BX65" s="33"/>
      <c r="BY65" s="34"/>
      <c r="BZ65" s="35"/>
      <c r="CA65" s="36"/>
      <c r="CB65" s="37"/>
      <c r="CD65" s="33"/>
      <c r="CE65" s="34"/>
      <c r="CF65" s="35"/>
      <c r="CG65" s="36"/>
      <c r="CH65" s="37"/>
      <c r="CJ65" s="33"/>
      <c r="CK65" s="34"/>
      <c r="CL65" s="35"/>
      <c r="CM65" s="36"/>
      <c r="CN65" s="37"/>
      <c r="CP65" s="33"/>
      <c r="CQ65" s="34"/>
      <c r="CR65" s="35"/>
      <c r="CS65" s="36"/>
      <c r="CT65" s="37"/>
      <c r="CV65" s="33"/>
      <c r="CW65" s="34"/>
      <c r="CX65" s="35"/>
      <c r="CY65" s="36"/>
      <c r="CZ65" s="37"/>
      <c r="DA65" s="30">
        <f t="shared" si="0"/>
        <v>0</v>
      </c>
      <c r="DB65" s="31" t="e">
        <f>DA65*#REF!</f>
        <v>#REF!</v>
      </c>
      <c r="DC65" s="32" t="e">
        <f>DA65*#REF!</f>
        <v>#REF!</v>
      </c>
      <c r="DE65" s="33"/>
      <c r="DF65" s="34"/>
      <c r="DG65" s="35"/>
      <c r="DH65" s="36"/>
      <c r="DI65" s="37"/>
      <c r="DJ65" s="30">
        <f t="shared" si="1"/>
        <v>0</v>
      </c>
      <c r="DK65" s="31" t="e">
        <f>DJ65*#REF!</f>
        <v>#REF!</v>
      </c>
      <c r="DL65" s="32" t="e">
        <f>DJ65*#REF!</f>
        <v>#REF!</v>
      </c>
      <c r="DN65" s="33"/>
      <c r="DO65" s="34"/>
      <c r="DP65" s="35"/>
      <c r="DQ65" s="36"/>
      <c r="DR65" s="37"/>
      <c r="DS65" s="30">
        <f t="shared" si="2"/>
        <v>0</v>
      </c>
      <c r="DT65" s="31" t="e">
        <f>DS65*#REF!</f>
        <v>#REF!</v>
      </c>
      <c r="DU65" s="32" t="e">
        <f>DS65*#REF!</f>
        <v>#REF!</v>
      </c>
      <c r="DW65" s="33"/>
      <c r="DX65" s="34"/>
      <c r="DY65" s="35"/>
      <c r="DZ65" s="36"/>
      <c r="EA65" s="37"/>
      <c r="EB65" s="30">
        <f t="shared" si="3"/>
        <v>0</v>
      </c>
      <c r="EC65" s="31" t="e">
        <f>EB65*#REF!</f>
        <v>#REF!</v>
      </c>
      <c r="ED65" s="32" t="e">
        <f>EB65*#REF!</f>
        <v>#REF!</v>
      </c>
      <c r="EF65" s="33"/>
      <c r="EG65" s="34"/>
      <c r="EH65" s="35"/>
      <c r="EI65" s="36"/>
      <c r="EJ65" s="37"/>
      <c r="EK65" s="30">
        <f t="shared" si="4"/>
        <v>0</v>
      </c>
      <c r="EL65" s="31" t="e">
        <f>EK65*#REF!</f>
        <v>#REF!</v>
      </c>
      <c r="EM65" s="32" t="e">
        <f>EK65*#REF!</f>
        <v>#REF!</v>
      </c>
      <c r="EO65" s="33"/>
      <c r="EP65" s="34"/>
      <c r="EQ65" s="35"/>
      <c r="ER65" s="36"/>
      <c r="ES65" s="37"/>
      <c r="ET65" s="30">
        <f t="shared" si="5"/>
        <v>0</v>
      </c>
      <c r="EU65" s="31" t="e">
        <f>ET65*#REF!</f>
        <v>#REF!</v>
      </c>
      <c r="EV65" s="32" t="e">
        <f>ET65*#REF!</f>
        <v>#REF!</v>
      </c>
      <c r="EX65" s="33"/>
      <c r="EY65" s="34"/>
      <c r="EZ65" s="35"/>
      <c r="FA65" s="36"/>
      <c r="FB65" s="37"/>
      <c r="FC65" s="30">
        <f t="shared" si="6"/>
        <v>0</v>
      </c>
      <c r="FD65" s="31" t="e">
        <f>FC65*#REF!</f>
        <v>#REF!</v>
      </c>
      <c r="FE65" s="32" t="e">
        <f>FC65*#REF!</f>
        <v>#REF!</v>
      </c>
      <c r="FG65" s="33"/>
      <c r="FH65" s="34"/>
      <c r="FI65" s="35"/>
      <c r="FJ65" s="36"/>
      <c r="FK65" s="37"/>
      <c r="FL65" s="30">
        <f t="shared" si="7"/>
        <v>0</v>
      </c>
      <c r="FM65" s="31" t="e">
        <f>FL65*#REF!</f>
        <v>#REF!</v>
      </c>
      <c r="FN65" s="32" t="e">
        <f>FL65*#REF!</f>
        <v>#REF!</v>
      </c>
      <c r="FP65" s="33"/>
      <c r="FQ65" s="34"/>
      <c r="FR65" s="35"/>
      <c r="FS65" s="36"/>
      <c r="FT65" s="37"/>
      <c r="FU65" s="30">
        <f t="shared" si="8"/>
        <v>0</v>
      </c>
      <c r="FV65" s="31" t="e">
        <f>FU65*#REF!</f>
        <v>#REF!</v>
      </c>
      <c r="FW65" s="32" t="e">
        <f>FU65*#REF!</f>
        <v>#REF!</v>
      </c>
      <c r="FY65" s="33"/>
      <c r="FZ65" s="34"/>
      <c r="GA65" s="35"/>
      <c r="GB65" s="36"/>
      <c r="GC65" s="37"/>
      <c r="GD65" s="30">
        <f t="shared" si="9"/>
        <v>0</v>
      </c>
      <c r="GE65" s="31" t="e">
        <f>GD65*#REF!</f>
        <v>#REF!</v>
      </c>
      <c r="GF65" s="32" t="e">
        <f>GD65*#REF!</f>
        <v>#REF!</v>
      </c>
      <c r="GH65" s="33"/>
      <c r="GI65" s="34"/>
      <c r="GJ65" s="35"/>
      <c r="GK65" s="36"/>
      <c r="GL65" s="37"/>
      <c r="GM65" s="30">
        <f t="shared" si="10"/>
        <v>0</v>
      </c>
      <c r="GN65" s="31" t="e">
        <f>GM65*#REF!</f>
        <v>#REF!</v>
      </c>
      <c r="GO65" s="32" t="e">
        <f>GM65*#REF!</f>
        <v>#REF!</v>
      </c>
      <c r="GQ65" s="38">
        <f>_xlfn.MAXIFS(I65:GO65,$I$5:$GO$5,"Staff #")</f>
        <v>1</v>
      </c>
      <c r="GR65" s="39">
        <v>1</v>
      </c>
    </row>
    <row r="66" spans="2:200" ht="15" x14ac:dyDescent="0.25">
      <c r="B66" s="22"/>
      <c r="C66" s="23"/>
      <c r="D66" s="24" t="str">
        <f>IF(C66="","",_xlfn.XLOOKUP(C66,'[3]Control Sheet'!$L$5:$L$104,'[3]Control Sheet'!$M$5:$M$104,"",0))</f>
        <v/>
      </c>
      <c r="E66" s="24" t="str">
        <f>IF(B66="","",_xlfn.XLOOKUP(B66,'[3]Control Sheet'!$D$5:$D$64,'[3]Control Sheet'!$F$5:$F$64,"",0))</f>
        <v/>
      </c>
      <c r="F66" s="24" t="str">
        <f>IF(B66="","",_xlfn.XLOOKUP(B66,'[3]Control Sheet'!$D$5:$D$64,'[3]Control Sheet'!$E$5:$E$64,"",0))</f>
        <v/>
      </c>
      <c r="I66" s="33"/>
      <c r="J66" s="34"/>
      <c r="K66" s="35"/>
      <c r="L66" s="36"/>
      <c r="M66" s="37"/>
      <c r="P66" s="33"/>
      <c r="Q66" s="34"/>
      <c r="R66" s="35"/>
      <c r="S66" s="36"/>
      <c r="T66" s="37"/>
      <c r="V66" s="33"/>
      <c r="W66" s="34"/>
      <c r="X66" s="35"/>
      <c r="Y66" s="36"/>
      <c r="Z66" s="37"/>
      <c r="AB66" s="33"/>
      <c r="AC66" s="34"/>
      <c r="AD66" s="35"/>
      <c r="AE66" s="36"/>
      <c r="AF66" s="37"/>
      <c r="AH66" s="33"/>
      <c r="AI66" s="34"/>
      <c r="AJ66" s="35"/>
      <c r="AK66" s="36"/>
      <c r="AL66" s="37"/>
      <c r="AN66" s="33"/>
      <c r="AO66" s="34"/>
      <c r="AP66" s="35"/>
      <c r="AQ66" s="36"/>
      <c r="AR66" s="37"/>
      <c r="AT66" s="33"/>
      <c r="AU66" s="34"/>
      <c r="AV66" s="35"/>
      <c r="AW66" s="36"/>
      <c r="AX66" s="37"/>
      <c r="AZ66" s="33"/>
      <c r="BA66" s="34"/>
      <c r="BB66" s="35"/>
      <c r="BC66" s="36"/>
      <c r="BD66" s="37"/>
      <c r="BF66" s="33"/>
      <c r="BG66" s="34"/>
      <c r="BH66" s="35"/>
      <c r="BI66" s="36"/>
      <c r="BJ66" s="37"/>
      <c r="BL66" s="33"/>
      <c r="BM66" s="34"/>
      <c r="BN66" s="35"/>
      <c r="BO66" s="36"/>
      <c r="BP66" s="37"/>
      <c r="BR66" s="33"/>
      <c r="BS66" s="34"/>
      <c r="BT66" s="35"/>
      <c r="BU66" s="36"/>
      <c r="BV66" s="37"/>
      <c r="BX66" s="33"/>
      <c r="BY66" s="34"/>
      <c r="BZ66" s="35"/>
      <c r="CA66" s="36"/>
      <c r="CB66" s="37"/>
      <c r="CD66" s="33"/>
      <c r="CE66" s="34"/>
      <c r="CF66" s="35"/>
      <c r="CG66" s="36"/>
      <c r="CH66" s="37"/>
      <c r="CJ66" s="33"/>
      <c r="CK66" s="34"/>
      <c r="CL66" s="35"/>
      <c r="CM66" s="36"/>
      <c r="CN66" s="37"/>
      <c r="CP66" s="33"/>
      <c r="CQ66" s="34"/>
      <c r="CR66" s="35"/>
      <c r="CS66" s="36"/>
      <c r="CT66" s="37"/>
      <c r="CV66" s="33"/>
      <c r="CW66" s="34"/>
      <c r="CX66" s="35"/>
      <c r="CY66" s="36"/>
      <c r="CZ66" s="37"/>
      <c r="DA66" s="30">
        <f t="shared" si="0"/>
        <v>0</v>
      </c>
      <c r="DB66" s="31" t="e">
        <f>DA66*#REF!</f>
        <v>#REF!</v>
      </c>
      <c r="DC66" s="32" t="e">
        <f>DA66*#REF!</f>
        <v>#REF!</v>
      </c>
      <c r="DE66" s="33"/>
      <c r="DF66" s="34"/>
      <c r="DG66" s="35"/>
      <c r="DH66" s="36"/>
      <c r="DI66" s="37"/>
      <c r="DJ66" s="30">
        <f t="shared" si="1"/>
        <v>0</v>
      </c>
      <c r="DK66" s="31" t="e">
        <f>DJ66*#REF!</f>
        <v>#REF!</v>
      </c>
      <c r="DL66" s="32" t="e">
        <f>DJ66*#REF!</f>
        <v>#REF!</v>
      </c>
      <c r="DN66" s="33"/>
      <c r="DO66" s="34"/>
      <c r="DP66" s="35"/>
      <c r="DQ66" s="36"/>
      <c r="DR66" s="37"/>
      <c r="DS66" s="30">
        <f t="shared" si="2"/>
        <v>0</v>
      </c>
      <c r="DT66" s="31" t="e">
        <f>DS66*#REF!</f>
        <v>#REF!</v>
      </c>
      <c r="DU66" s="32" t="e">
        <f>DS66*#REF!</f>
        <v>#REF!</v>
      </c>
      <c r="DW66" s="33"/>
      <c r="DX66" s="34"/>
      <c r="DY66" s="35"/>
      <c r="DZ66" s="36"/>
      <c r="EA66" s="37"/>
      <c r="EB66" s="30">
        <f t="shared" si="3"/>
        <v>0</v>
      </c>
      <c r="EC66" s="31" t="e">
        <f>EB66*#REF!</f>
        <v>#REF!</v>
      </c>
      <c r="ED66" s="32" t="e">
        <f>EB66*#REF!</f>
        <v>#REF!</v>
      </c>
      <c r="EF66" s="33"/>
      <c r="EG66" s="34"/>
      <c r="EH66" s="35"/>
      <c r="EI66" s="36"/>
      <c r="EJ66" s="37"/>
      <c r="EK66" s="30">
        <f t="shared" si="4"/>
        <v>0</v>
      </c>
      <c r="EL66" s="31" t="e">
        <f>EK66*#REF!</f>
        <v>#REF!</v>
      </c>
      <c r="EM66" s="32" t="e">
        <f>EK66*#REF!</f>
        <v>#REF!</v>
      </c>
      <c r="EO66" s="33"/>
      <c r="EP66" s="34"/>
      <c r="EQ66" s="35"/>
      <c r="ER66" s="36"/>
      <c r="ES66" s="37"/>
      <c r="ET66" s="30">
        <f t="shared" si="5"/>
        <v>0</v>
      </c>
      <c r="EU66" s="31" t="e">
        <f>ET66*#REF!</f>
        <v>#REF!</v>
      </c>
      <c r="EV66" s="32" t="e">
        <f>ET66*#REF!</f>
        <v>#REF!</v>
      </c>
      <c r="EX66" s="33"/>
      <c r="EY66" s="34"/>
      <c r="EZ66" s="35"/>
      <c r="FA66" s="36"/>
      <c r="FB66" s="37"/>
      <c r="FC66" s="30">
        <f t="shared" si="6"/>
        <v>0</v>
      </c>
      <c r="FD66" s="31" t="e">
        <f>FC66*#REF!</f>
        <v>#REF!</v>
      </c>
      <c r="FE66" s="32" t="e">
        <f>FC66*#REF!</f>
        <v>#REF!</v>
      </c>
      <c r="FG66" s="33"/>
      <c r="FH66" s="34"/>
      <c r="FI66" s="35"/>
      <c r="FJ66" s="36"/>
      <c r="FK66" s="37"/>
      <c r="FL66" s="30">
        <f t="shared" si="7"/>
        <v>0</v>
      </c>
      <c r="FM66" s="31" t="e">
        <f>FL66*#REF!</f>
        <v>#REF!</v>
      </c>
      <c r="FN66" s="32" t="e">
        <f>FL66*#REF!</f>
        <v>#REF!</v>
      </c>
      <c r="FP66" s="33"/>
      <c r="FQ66" s="34"/>
      <c r="FR66" s="35"/>
      <c r="FS66" s="36"/>
      <c r="FT66" s="37"/>
      <c r="FU66" s="30">
        <f t="shared" si="8"/>
        <v>0</v>
      </c>
      <c r="FV66" s="31" t="e">
        <f>FU66*#REF!</f>
        <v>#REF!</v>
      </c>
      <c r="FW66" s="32" t="e">
        <f>FU66*#REF!</f>
        <v>#REF!</v>
      </c>
      <c r="FY66" s="33"/>
      <c r="FZ66" s="34"/>
      <c r="GA66" s="35"/>
      <c r="GB66" s="36"/>
      <c r="GC66" s="37"/>
      <c r="GD66" s="30">
        <f t="shared" si="9"/>
        <v>0</v>
      </c>
      <c r="GE66" s="31" t="e">
        <f>GD66*#REF!</f>
        <v>#REF!</v>
      </c>
      <c r="GF66" s="32" t="e">
        <f>GD66*#REF!</f>
        <v>#REF!</v>
      </c>
      <c r="GH66" s="33"/>
      <c r="GI66" s="34"/>
      <c r="GJ66" s="35"/>
      <c r="GK66" s="36"/>
      <c r="GL66" s="37"/>
      <c r="GM66" s="30">
        <f t="shared" si="10"/>
        <v>0</v>
      </c>
      <c r="GN66" s="31" t="e">
        <f>GM66*#REF!</f>
        <v>#REF!</v>
      </c>
      <c r="GO66" s="32" t="e">
        <f>GM66*#REF!</f>
        <v>#REF!</v>
      </c>
      <c r="GQ66" s="38">
        <f>_xlfn.MAXIFS(I66:GO66,$I$5:$GO$5,"Staff #")</f>
        <v>0</v>
      </c>
      <c r="GR66" s="39">
        <v>0</v>
      </c>
    </row>
    <row r="67" spans="2:200" ht="15" x14ac:dyDescent="0.25">
      <c r="B67" s="22" t="s">
        <v>84</v>
      </c>
      <c r="C67" s="23" t="s">
        <v>79</v>
      </c>
      <c r="D67" s="24" t="str">
        <f>IF(C67="","",_xlfn.XLOOKUP(C67,'[3]Control Sheet'!$L$5:$L$104,'[3]Control Sheet'!$M$5:$M$104,"",0))</f>
        <v>Retail Host</v>
      </c>
      <c r="E67" s="24" t="str">
        <f>IF(B67="","",_xlfn.XLOOKUP(B67,'[3]Control Sheet'!$D$5:$D$64,'[3]Control Sheet'!$F$5:$F$64,"",0))</f>
        <v>Retail</v>
      </c>
      <c r="F67" s="24" t="str">
        <f>IF(B67="","",_xlfn.XLOOKUP(B67,'[3]Control Sheet'!$D$5:$D$64,'[3]Control Sheet'!$E$5:$E$64,"",0))</f>
        <v>C1150-O</v>
      </c>
      <c r="I67" s="33"/>
      <c r="J67" s="34"/>
      <c r="K67" s="35"/>
      <c r="L67" s="36"/>
      <c r="M67" s="37"/>
      <c r="P67" s="33"/>
      <c r="Q67" s="34"/>
      <c r="R67" s="35"/>
      <c r="S67" s="36"/>
      <c r="T67" s="37"/>
      <c r="V67" s="33"/>
      <c r="W67" s="34"/>
      <c r="X67" s="35"/>
      <c r="Y67" s="36"/>
      <c r="Z67" s="37"/>
      <c r="AB67" s="33">
        <v>0.39583333333333331</v>
      </c>
      <c r="AC67" s="34">
        <v>0.73958333333333337</v>
      </c>
      <c r="AD67" s="35">
        <v>45</v>
      </c>
      <c r="AE67" s="36">
        <v>1</v>
      </c>
      <c r="AF67" s="37">
        <v>1</v>
      </c>
      <c r="AH67" s="33">
        <v>0.39583333333333331</v>
      </c>
      <c r="AI67" s="34">
        <v>0.73958333333333337</v>
      </c>
      <c r="AJ67" s="35">
        <v>45</v>
      </c>
      <c r="AK67" s="36">
        <v>1</v>
      </c>
      <c r="AL67" s="37">
        <v>1</v>
      </c>
      <c r="AN67" s="33">
        <v>0.39583333333333331</v>
      </c>
      <c r="AO67" s="34">
        <v>0.78125</v>
      </c>
      <c r="AP67" s="35">
        <v>45</v>
      </c>
      <c r="AQ67" s="36">
        <v>1</v>
      </c>
      <c r="AR67" s="37">
        <v>1</v>
      </c>
      <c r="AT67" s="33">
        <v>0.39583333333333331</v>
      </c>
      <c r="AU67" s="34">
        <v>0.73958333333333337</v>
      </c>
      <c r="AV67" s="35">
        <v>45</v>
      </c>
      <c r="AW67" s="36">
        <v>1</v>
      </c>
      <c r="AX67" s="37">
        <v>1</v>
      </c>
      <c r="AZ67" s="33">
        <v>0.39583333333333331</v>
      </c>
      <c r="BA67" s="34">
        <v>0.78125</v>
      </c>
      <c r="BB67" s="35">
        <v>45</v>
      </c>
      <c r="BC67" s="36">
        <v>1</v>
      </c>
      <c r="BD67" s="37">
        <v>1</v>
      </c>
      <c r="BF67" s="33">
        <v>0.39583333333333331</v>
      </c>
      <c r="BG67" s="34">
        <v>0.82291666666666663</v>
      </c>
      <c r="BH67" s="35">
        <v>45</v>
      </c>
      <c r="BI67" s="36">
        <v>1</v>
      </c>
      <c r="BJ67" s="37">
        <v>1</v>
      </c>
      <c r="BL67" s="33"/>
      <c r="BM67" s="34"/>
      <c r="BN67" s="35"/>
      <c r="BO67" s="36"/>
      <c r="BP67" s="37"/>
      <c r="BR67" s="33"/>
      <c r="BS67" s="34"/>
      <c r="BT67" s="35"/>
      <c r="BU67" s="36"/>
      <c r="BV67" s="37"/>
      <c r="BX67" s="33"/>
      <c r="BY67" s="34"/>
      <c r="BZ67" s="35"/>
      <c r="CA67" s="36"/>
      <c r="CB67" s="37"/>
      <c r="CD67" s="33"/>
      <c r="CE67" s="34"/>
      <c r="CF67" s="35"/>
      <c r="CG67" s="36"/>
      <c r="CH67" s="37"/>
      <c r="CJ67" s="33"/>
      <c r="CK67" s="34"/>
      <c r="CL67" s="35"/>
      <c r="CM67" s="36"/>
      <c r="CN67" s="37"/>
      <c r="CP67" s="33"/>
      <c r="CQ67" s="34"/>
      <c r="CR67" s="35"/>
      <c r="CS67" s="36"/>
      <c r="CT67" s="37"/>
      <c r="CV67" s="33"/>
      <c r="CW67" s="34"/>
      <c r="CX67" s="35"/>
      <c r="CY67" s="36"/>
      <c r="CZ67" s="37"/>
      <c r="DA67" s="30">
        <f t="shared" si="0"/>
        <v>0</v>
      </c>
      <c r="DB67" s="31" t="e">
        <f>DA67*#REF!</f>
        <v>#REF!</v>
      </c>
      <c r="DC67" s="32" t="e">
        <f>DA67*#REF!</f>
        <v>#REF!</v>
      </c>
      <c r="DE67" s="33"/>
      <c r="DF67" s="34"/>
      <c r="DG67" s="35"/>
      <c r="DH67" s="36"/>
      <c r="DI67" s="37"/>
      <c r="DJ67" s="30">
        <f t="shared" si="1"/>
        <v>0</v>
      </c>
      <c r="DK67" s="31" t="e">
        <f>DJ67*#REF!</f>
        <v>#REF!</v>
      </c>
      <c r="DL67" s="32" t="e">
        <f>DJ67*#REF!</f>
        <v>#REF!</v>
      </c>
      <c r="DN67" s="33"/>
      <c r="DO67" s="34"/>
      <c r="DP67" s="35"/>
      <c r="DQ67" s="36"/>
      <c r="DR67" s="37"/>
      <c r="DS67" s="30">
        <f t="shared" si="2"/>
        <v>0</v>
      </c>
      <c r="DT67" s="31" t="e">
        <f>DS67*#REF!</f>
        <v>#REF!</v>
      </c>
      <c r="DU67" s="32" t="e">
        <f>DS67*#REF!</f>
        <v>#REF!</v>
      </c>
      <c r="DW67" s="33"/>
      <c r="DX67" s="34"/>
      <c r="DY67" s="35"/>
      <c r="DZ67" s="36"/>
      <c r="EA67" s="37"/>
      <c r="EB67" s="30">
        <f t="shared" si="3"/>
        <v>0</v>
      </c>
      <c r="EC67" s="31" t="e">
        <f>EB67*#REF!</f>
        <v>#REF!</v>
      </c>
      <c r="ED67" s="32" t="e">
        <f>EB67*#REF!</f>
        <v>#REF!</v>
      </c>
      <c r="EF67" s="33"/>
      <c r="EG67" s="34"/>
      <c r="EH67" s="35"/>
      <c r="EI67" s="36"/>
      <c r="EJ67" s="37"/>
      <c r="EK67" s="30">
        <f t="shared" si="4"/>
        <v>0</v>
      </c>
      <c r="EL67" s="31" t="e">
        <f>EK67*#REF!</f>
        <v>#REF!</v>
      </c>
      <c r="EM67" s="32" t="e">
        <f>EK67*#REF!</f>
        <v>#REF!</v>
      </c>
      <c r="EO67" s="33"/>
      <c r="EP67" s="34"/>
      <c r="EQ67" s="35"/>
      <c r="ER67" s="36"/>
      <c r="ES67" s="37"/>
      <c r="ET67" s="30">
        <f t="shared" si="5"/>
        <v>0</v>
      </c>
      <c r="EU67" s="31" t="e">
        <f>ET67*#REF!</f>
        <v>#REF!</v>
      </c>
      <c r="EV67" s="32" t="e">
        <f>ET67*#REF!</f>
        <v>#REF!</v>
      </c>
      <c r="EX67" s="33"/>
      <c r="EY67" s="34"/>
      <c r="EZ67" s="35"/>
      <c r="FA67" s="36"/>
      <c r="FB67" s="37"/>
      <c r="FC67" s="30">
        <f t="shared" si="6"/>
        <v>0</v>
      </c>
      <c r="FD67" s="31" t="e">
        <f>FC67*#REF!</f>
        <v>#REF!</v>
      </c>
      <c r="FE67" s="32" t="e">
        <f>FC67*#REF!</f>
        <v>#REF!</v>
      </c>
      <c r="FG67" s="33"/>
      <c r="FH67" s="34"/>
      <c r="FI67" s="35"/>
      <c r="FJ67" s="36"/>
      <c r="FK67" s="37"/>
      <c r="FL67" s="30">
        <f t="shared" si="7"/>
        <v>0</v>
      </c>
      <c r="FM67" s="31" t="e">
        <f>FL67*#REF!</f>
        <v>#REF!</v>
      </c>
      <c r="FN67" s="32" t="e">
        <f>FL67*#REF!</f>
        <v>#REF!</v>
      </c>
      <c r="FP67" s="33"/>
      <c r="FQ67" s="34"/>
      <c r="FR67" s="35"/>
      <c r="FS67" s="36"/>
      <c r="FT67" s="37"/>
      <c r="FU67" s="30">
        <f t="shared" si="8"/>
        <v>0</v>
      </c>
      <c r="FV67" s="31" t="e">
        <f>FU67*#REF!</f>
        <v>#REF!</v>
      </c>
      <c r="FW67" s="32" t="e">
        <f>FU67*#REF!</f>
        <v>#REF!</v>
      </c>
      <c r="FY67" s="33"/>
      <c r="FZ67" s="34"/>
      <c r="GA67" s="35"/>
      <c r="GB67" s="36"/>
      <c r="GC67" s="37"/>
      <c r="GD67" s="30">
        <f t="shared" si="9"/>
        <v>0</v>
      </c>
      <c r="GE67" s="31" t="e">
        <f>GD67*#REF!</f>
        <v>#REF!</v>
      </c>
      <c r="GF67" s="32" t="e">
        <f>GD67*#REF!</f>
        <v>#REF!</v>
      </c>
      <c r="GH67" s="33"/>
      <c r="GI67" s="34"/>
      <c r="GJ67" s="35"/>
      <c r="GK67" s="36"/>
      <c r="GL67" s="37"/>
      <c r="GM67" s="30">
        <f t="shared" si="10"/>
        <v>0</v>
      </c>
      <c r="GN67" s="31" t="e">
        <f>GM67*#REF!</f>
        <v>#REF!</v>
      </c>
      <c r="GO67" s="32" t="e">
        <f>GM67*#REF!</f>
        <v>#REF!</v>
      </c>
      <c r="GQ67" s="38">
        <f>_xlfn.MAXIFS(I67:GO67,$I$5:$GO$5,"Staff #")</f>
        <v>1</v>
      </c>
      <c r="GR67" s="39">
        <v>1</v>
      </c>
    </row>
    <row r="68" spans="2:200" ht="15" x14ac:dyDescent="0.25">
      <c r="B68" s="22"/>
      <c r="C68" s="23"/>
      <c r="D68" s="24" t="str">
        <f>IF(C68="","",_xlfn.XLOOKUP(C68,'[3]Control Sheet'!$L$5:$L$104,'[3]Control Sheet'!$M$5:$M$104,"",0))</f>
        <v/>
      </c>
      <c r="E68" s="24" t="str">
        <f>IF(B68="","",_xlfn.XLOOKUP(B68,'[3]Control Sheet'!$D$5:$D$64,'[3]Control Sheet'!$F$5:$F$64,"",0))</f>
        <v/>
      </c>
      <c r="F68" s="24" t="str">
        <f>IF(B68="","",_xlfn.XLOOKUP(B68,'[3]Control Sheet'!$D$5:$D$64,'[3]Control Sheet'!$E$5:$E$64,"",0))</f>
        <v/>
      </c>
      <c r="I68" s="33"/>
      <c r="J68" s="34"/>
      <c r="K68" s="35"/>
      <c r="L68" s="36"/>
      <c r="M68" s="37"/>
      <c r="P68" s="33"/>
      <c r="Q68" s="34"/>
      <c r="R68" s="35"/>
      <c r="S68" s="36"/>
      <c r="T68" s="37"/>
      <c r="V68" s="33"/>
      <c r="W68" s="34"/>
      <c r="X68" s="35"/>
      <c r="Y68" s="36"/>
      <c r="Z68" s="37"/>
      <c r="AB68" s="33"/>
      <c r="AC68" s="34"/>
      <c r="AD68" s="35"/>
      <c r="AE68" s="36"/>
      <c r="AF68" s="37"/>
      <c r="AH68" s="33"/>
      <c r="AI68" s="34"/>
      <c r="AJ68" s="35"/>
      <c r="AK68" s="36"/>
      <c r="AL68" s="37"/>
      <c r="AN68" s="33"/>
      <c r="AO68" s="34"/>
      <c r="AP68" s="35"/>
      <c r="AQ68" s="36"/>
      <c r="AR68" s="37"/>
      <c r="AT68" s="33"/>
      <c r="AU68" s="34"/>
      <c r="AV68" s="35"/>
      <c r="AW68" s="36"/>
      <c r="AX68" s="37"/>
      <c r="AZ68" s="33"/>
      <c r="BA68" s="34"/>
      <c r="BB68" s="35"/>
      <c r="BC68" s="36"/>
      <c r="BD68" s="37"/>
      <c r="BF68" s="33"/>
      <c r="BG68" s="34"/>
      <c r="BH68" s="35"/>
      <c r="BI68" s="36"/>
      <c r="BJ68" s="37"/>
      <c r="BL68" s="33"/>
      <c r="BM68" s="34"/>
      <c r="BN68" s="35"/>
      <c r="BO68" s="36"/>
      <c r="BP68" s="37"/>
      <c r="BR68" s="33"/>
      <c r="BS68" s="34"/>
      <c r="BT68" s="35"/>
      <c r="BU68" s="36"/>
      <c r="BV68" s="37"/>
      <c r="BX68" s="33"/>
      <c r="BY68" s="34"/>
      <c r="BZ68" s="35"/>
      <c r="CA68" s="36"/>
      <c r="CB68" s="37"/>
      <c r="CD68" s="33"/>
      <c r="CE68" s="34"/>
      <c r="CF68" s="35"/>
      <c r="CG68" s="36"/>
      <c r="CH68" s="37"/>
      <c r="CJ68" s="33"/>
      <c r="CK68" s="34"/>
      <c r="CL68" s="35"/>
      <c r="CM68" s="36"/>
      <c r="CN68" s="37"/>
      <c r="CP68" s="33"/>
      <c r="CQ68" s="34"/>
      <c r="CR68" s="35"/>
      <c r="CS68" s="36"/>
      <c r="CT68" s="37"/>
      <c r="CV68" s="33"/>
      <c r="CW68" s="34"/>
      <c r="CX68" s="35"/>
      <c r="CY68" s="36"/>
      <c r="CZ68" s="37"/>
      <c r="DA68" s="30">
        <f t="shared" si="0"/>
        <v>0</v>
      </c>
      <c r="DB68" s="31" t="e">
        <f>DA68*#REF!</f>
        <v>#REF!</v>
      </c>
      <c r="DC68" s="32" t="e">
        <f>DA68*#REF!</f>
        <v>#REF!</v>
      </c>
      <c r="DE68" s="33"/>
      <c r="DF68" s="34"/>
      <c r="DG68" s="35"/>
      <c r="DH68" s="36"/>
      <c r="DI68" s="37"/>
      <c r="DJ68" s="30">
        <f t="shared" si="1"/>
        <v>0</v>
      </c>
      <c r="DK68" s="31" t="e">
        <f>DJ68*#REF!</f>
        <v>#REF!</v>
      </c>
      <c r="DL68" s="32" t="e">
        <f>DJ68*#REF!</f>
        <v>#REF!</v>
      </c>
      <c r="DN68" s="33"/>
      <c r="DO68" s="34"/>
      <c r="DP68" s="35"/>
      <c r="DQ68" s="36"/>
      <c r="DR68" s="37"/>
      <c r="DS68" s="30">
        <f t="shared" si="2"/>
        <v>0</v>
      </c>
      <c r="DT68" s="31" t="e">
        <f>DS68*#REF!</f>
        <v>#REF!</v>
      </c>
      <c r="DU68" s="32" t="e">
        <f>DS68*#REF!</f>
        <v>#REF!</v>
      </c>
      <c r="DW68" s="33"/>
      <c r="DX68" s="34"/>
      <c r="DY68" s="35"/>
      <c r="DZ68" s="36"/>
      <c r="EA68" s="37"/>
      <c r="EB68" s="30">
        <f t="shared" si="3"/>
        <v>0</v>
      </c>
      <c r="EC68" s="31" t="e">
        <f>EB68*#REF!</f>
        <v>#REF!</v>
      </c>
      <c r="ED68" s="32" t="e">
        <f>EB68*#REF!</f>
        <v>#REF!</v>
      </c>
      <c r="EF68" s="33"/>
      <c r="EG68" s="34"/>
      <c r="EH68" s="35"/>
      <c r="EI68" s="36"/>
      <c r="EJ68" s="37"/>
      <c r="EK68" s="30">
        <f t="shared" si="4"/>
        <v>0</v>
      </c>
      <c r="EL68" s="31" t="e">
        <f>EK68*#REF!</f>
        <v>#REF!</v>
      </c>
      <c r="EM68" s="32" t="e">
        <f>EK68*#REF!</f>
        <v>#REF!</v>
      </c>
      <c r="EO68" s="33"/>
      <c r="EP68" s="34"/>
      <c r="EQ68" s="35"/>
      <c r="ER68" s="36"/>
      <c r="ES68" s="37"/>
      <c r="ET68" s="30">
        <f t="shared" si="5"/>
        <v>0</v>
      </c>
      <c r="EU68" s="31" t="e">
        <f>ET68*#REF!</f>
        <v>#REF!</v>
      </c>
      <c r="EV68" s="32" t="e">
        <f>ET68*#REF!</f>
        <v>#REF!</v>
      </c>
      <c r="EX68" s="33"/>
      <c r="EY68" s="34"/>
      <c r="EZ68" s="35"/>
      <c r="FA68" s="36"/>
      <c r="FB68" s="37"/>
      <c r="FC68" s="30">
        <f t="shared" si="6"/>
        <v>0</v>
      </c>
      <c r="FD68" s="31" t="e">
        <f>FC68*#REF!</f>
        <v>#REF!</v>
      </c>
      <c r="FE68" s="32" t="e">
        <f>FC68*#REF!</f>
        <v>#REF!</v>
      </c>
      <c r="FG68" s="33"/>
      <c r="FH68" s="34"/>
      <c r="FI68" s="35"/>
      <c r="FJ68" s="36"/>
      <c r="FK68" s="37"/>
      <c r="FL68" s="30">
        <f t="shared" si="7"/>
        <v>0</v>
      </c>
      <c r="FM68" s="31" t="e">
        <f>FL68*#REF!</f>
        <v>#REF!</v>
      </c>
      <c r="FN68" s="32" t="e">
        <f>FL68*#REF!</f>
        <v>#REF!</v>
      </c>
      <c r="FP68" s="33"/>
      <c r="FQ68" s="34"/>
      <c r="FR68" s="35"/>
      <c r="FS68" s="36"/>
      <c r="FT68" s="37"/>
      <c r="FU68" s="30">
        <f t="shared" si="8"/>
        <v>0</v>
      </c>
      <c r="FV68" s="31" t="e">
        <f>FU68*#REF!</f>
        <v>#REF!</v>
      </c>
      <c r="FW68" s="32" t="e">
        <f>FU68*#REF!</f>
        <v>#REF!</v>
      </c>
      <c r="FY68" s="33"/>
      <c r="FZ68" s="34"/>
      <c r="GA68" s="35"/>
      <c r="GB68" s="36"/>
      <c r="GC68" s="37"/>
      <c r="GD68" s="30">
        <f t="shared" si="9"/>
        <v>0</v>
      </c>
      <c r="GE68" s="31" t="e">
        <f>GD68*#REF!</f>
        <v>#REF!</v>
      </c>
      <c r="GF68" s="32" t="e">
        <f>GD68*#REF!</f>
        <v>#REF!</v>
      </c>
      <c r="GH68" s="33"/>
      <c r="GI68" s="34"/>
      <c r="GJ68" s="35"/>
      <c r="GK68" s="36"/>
      <c r="GL68" s="37"/>
      <c r="GM68" s="30">
        <f t="shared" si="10"/>
        <v>0</v>
      </c>
      <c r="GN68" s="31" t="e">
        <f>GM68*#REF!</f>
        <v>#REF!</v>
      </c>
      <c r="GO68" s="32" t="e">
        <f>GM68*#REF!</f>
        <v>#REF!</v>
      </c>
      <c r="GQ68" s="38">
        <f>_xlfn.MAXIFS(I68:GO68,$I$5:$GO$5,"Staff #")</f>
        <v>0</v>
      </c>
      <c r="GR68" s="39">
        <v>0</v>
      </c>
    </row>
    <row r="69" spans="2:200" ht="15" x14ac:dyDescent="0.25">
      <c r="B69" s="22"/>
      <c r="C69" s="23"/>
      <c r="D69" s="24" t="str">
        <f>IF(C69="","",_xlfn.XLOOKUP(C69,'[3]Control Sheet'!$L$5:$L$104,'[3]Control Sheet'!$M$5:$M$104,"",0))</f>
        <v/>
      </c>
      <c r="E69" s="24" t="str">
        <f>IF(B69="","",_xlfn.XLOOKUP(B69,'[3]Control Sheet'!$D$5:$D$64,'[3]Control Sheet'!$F$5:$F$64,"",0))</f>
        <v/>
      </c>
      <c r="F69" s="24" t="str">
        <f>IF(B69="","",_xlfn.XLOOKUP(B69,'[3]Control Sheet'!$D$5:$D$64,'[3]Control Sheet'!$E$5:$E$64,"",0))</f>
        <v/>
      </c>
      <c r="I69" s="33"/>
      <c r="J69" s="34"/>
      <c r="K69" s="35"/>
      <c r="L69" s="36"/>
      <c r="M69" s="37"/>
      <c r="P69" s="33"/>
      <c r="Q69" s="34"/>
      <c r="R69" s="35"/>
      <c r="S69" s="36"/>
      <c r="T69" s="37"/>
      <c r="V69" s="33"/>
      <c r="W69" s="34"/>
      <c r="X69" s="35"/>
      <c r="Y69" s="36"/>
      <c r="Z69" s="37"/>
      <c r="AB69" s="33"/>
      <c r="AC69" s="34"/>
      <c r="AD69" s="35"/>
      <c r="AE69" s="36"/>
      <c r="AF69" s="37"/>
      <c r="AH69" s="33"/>
      <c r="AI69" s="34"/>
      <c r="AJ69" s="35"/>
      <c r="AK69" s="36"/>
      <c r="AL69" s="37"/>
      <c r="AN69" s="33"/>
      <c r="AO69" s="34"/>
      <c r="AP69" s="35"/>
      <c r="AQ69" s="36"/>
      <c r="AR69" s="37"/>
      <c r="AT69" s="33"/>
      <c r="AU69" s="34"/>
      <c r="AV69" s="35"/>
      <c r="AW69" s="36"/>
      <c r="AX69" s="37"/>
      <c r="AZ69" s="33"/>
      <c r="BA69" s="34"/>
      <c r="BB69" s="35"/>
      <c r="BC69" s="36"/>
      <c r="BD69" s="37"/>
      <c r="BF69" s="33"/>
      <c r="BG69" s="34"/>
      <c r="BH69" s="35"/>
      <c r="BI69" s="36"/>
      <c r="BJ69" s="37"/>
      <c r="BL69" s="33"/>
      <c r="BM69" s="34"/>
      <c r="BN69" s="35"/>
      <c r="BO69" s="36"/>
      <c r="BP69" s="37"/>
      <c r="BR69" s="33"/>
      <c r="BS69" s="34"/>
      <c r="BT69" s="35"/>
      <c r="BU69" s="36"/>
      <c r="BV69" s="37"/>
      <c r="BX69" s="33"/>
      <c r="BY69" s="34"/>
      <c r="BZ69" s="35"/>
      <c r="CA69" s="36"/>
      <c r="CB69" s="37"/>
      <c r="CD69" s="33"/>
      <c r="CE69" s="34"/>
      <c r="CF69" s="35"/>
      <c r="CG69" s="36"/>
      <c r="CH69" s="37"/>
      <c r="CJ69" s="33"/>
      <c r="CK69" s="34"/>
      <c r="CL69" s="35"/>
      <c r="CM69" s="36"/>
      <c r="CN69" s="37"/>
      <c r="CP69" s="33"/>
      <c r="CQ69" s="34"/>
      <c r="CR69" s="35"/>
      <c r="CS69" s="36"/>
      <c r="CT69" s="37"/>
      <c r="CV69" s="33"/>
      <c r="CW69" s="34"/>
      <c r="CX69" s="35"/>
      <c r="CY69" s="36"/>
      <c r="CZ69" s="37"/>
      <c r="DA69" s="30">
        <f t="shared" si="0"/>
        <v>0</v>
      </c>
      <c r="DB69" s="31" t="e">
        <f>DA69*#REF!</f>
        <v>#REF!</v>
      </c>
      <c r="DC69" s="32" t="e">
        <f>DA69*#REF!</f>
        <v>#REF!</v>
      </c>
      <c r="DE69" s="33"/>
      <c r="DF69" s="34"/>
      <c r="DG69" s="35"/>
      <c r="DH69" s="36"/>
      <c r="DI69" s="37"/>
      <c r="DJ69" s="30">
        <f t="shared" si="1"/>
        <v>0</v>
      </c>
      <c r="DK69" s="31" t="e">
        <f>DJ69*#REF!</f>
        <v>#REF!</v>
      </c>
      <c r="DL69" s="32" t="e">
        <f>DJ69*#REF!</f>
        <v>#REF!</v>
      </c>
      <c r="DN69" s="33"/>
      <c r="DO69" s="34"/>
      <c r="DP69" s="35"/>
      <c r="DQ69" s="36"/>
      <c r="DR69" s="37"/>
      <c r="DS69" s="30">
        <f t="shared" si="2"/>
        <v>0</v>
      </c>
      <c r="DT69" s="31" t="e">
        <f>DS69*#REF!</f>
        <v>#REF!</v>
      </c>
      <c r="DU69" s="32" t="e">
        <f>DS69*#REF!</f>
        <v>#REF!</v>
      </c>
      <c r="DW69" s="33"/>
      <c r="DX69" s="34"/>
      <c r="DY69" s="35"/>
      <c r="DZ69" s="36"/>
      <c r="EA69" s="37"/>
      <c r="EB69" s="30">
        <f t="shared" si="3"/>
        <v>0</v>
      </c>
      <c r="EC69" s="31" t="e">
        <f>EB69*#REF!</f>
        <v>#REF!</v>
      </c>
      <c r="ED69" s="32" t="e">
        <f>EB69*#REF!</f>
        <v>#REF!</v>
      </c>
      <c r="EF69" s="33"/>
      <c r="EG69" s="34"/>
      <c r="EH69" s="35"/>
      <c r="EI69" s="36"/>
      <c r="EJ69" s="37"/>
      <c r="EK69" s="30">
        <f t="shared" si="4"/>
        <v>0</v>
      </c>
      <c r="EL69" s="31" t="e">
        <f>EK69*#REF!</f>
        <v>#REF!</v>
      </c>
      <c r="EM69" s="32" t="e">
        <f>EK69*#REF!</f>
        <v>#REF!</v>
      </c>
      <c r="EO69" s="33"/>
      <c r="EP69" s="34"/>
      <c r="EQ69" s="35"/>
      <c r="ER69" s="36"/>
      <c r="ES69" s="37"/>
      <c r="ET69" s="30">
        <f t="shared" si="5"/>
        <v>0</v>
      </c>
      <c r="EU69" s="31" t="e">
        <f>ET69*#REF!</f>
        <v>#REF!</v>
      </c>
      <c r="EV69" s="32" t="e">
        <f>ET69*#REF!</f>
        <v>#REF!</v>
      </c>
      <c r="EX69" s="33"/>
      <c r="EY69" s="34"/>
      <c r="EZ69" s="35"/>
      <c r="FA69" s="36"/>
      <c r="FB69" s="37"/>
      <c r="FC69" s="30">
        <f t="shared" si="6"/>
        <v>0</v>
      </c>
      <c r="FD69" s="31" t="e">
        <f>FC69*#REF!</f>
        <v>#REF!</v>
      </c>
      <c r="FE69" s="32" t="e">
        <f>FC69*#REF!</f>
        <v>#REF!</v>
      </c>
      <c r="FG69" s="33"/>
      <c r="FH69" s="34"/>
      <c r="FI69" s="35"/>
      <c r="FJ69" s="36"/>
      <c r="FK69" s="37"/>
      <c r="FL69" s="30">
        <f t="shared" si="7"/>
        <v>0</v>
      </c>
      <c r="FM69" s="31" t="e">
        <f>FL69*#REF!</f>
        <v>#REF!</v>
      </c>
      <c r="FN69" s="32" t="e">
        <f>FL69*#REF!</f>
        <v>#REF!</v>
      </c>
      <c r="FP69" s="33"/>
      <c r="FQ69" s="34"/>
      <c r="FR69" s="35"/>
      <c r="FS69" s="36"/>
      <c r="FT69" s="37"/>
      <c r="FU69" s="30">
        <f t="shared" si="8"/>
        <v>0</v>
      </c>
      <c r="FV69" s="31" t="e">
        <f>FU69*#REF!</f>
        <v>#REF!</v>
      </c>
      <c r="FW69" s="32" t="e">
        <f>FU69*#REF!</f>
        <v>#REF!</v>
      </c>
      <c r="FY69" s="33"/>
      <c r="FZ69" s="34"/>
      <c r="GA69" s="35"/>
      <c r="GB69" s="36"/>
      <c r="GC69" s="37"/>
      <c r="GD69" s="30">
        <f t="shared" si="9"/>
        <v>0</v>
      </c>
      <c r="GE69" s="31" t="e">
        <f>GD69*#REF!</f>
        <v>#REF!</v>
      </c>
      <c r="GF69" s="32" t="e">
        <f>GD69*#REF!</f>
        <v>#REF!</v>
      </c>
      <c r="GH69" s="33"/>
      <c r="GI69" s="34"/>
      <c r="GJ69" s="35"/>
      <c r="GK69" s="36"/>
      <c r="GL69" s="37"/>
      <c r="GM69" s="30">
        <f t="shared" si="10"/>
        <v>0</v>
      </c>
      <c r="GN69" s="31" t="e">
        <f>GM69*#REF!</f>
        <v>#REF!</v>
      </c>
      <c r="GO69" s="32" t="e">
        <f>GM69*#REF!</f>
        <v>#REF!</v>
      </c>
      <c r="GQ69" s="38">
        <f>_xlfn.MAXIFS(I69:GO69,$I$5:$GO$5,"Staff #")</f>
        <v>0</v>
      </c>
      <c r="GR69" s="39">
        <v>0</v>
      </c>
    </row>
    <row r="70" spans="2:200" ht="15" x14ac:dyDescent="0.25">
      <c r="B70" s="22" t="s">
        <v>106</v>
      </c>
      <c r="C70" s="23" t="s">
        <v>79</v>
      </c>
      <c r="D70" s="24" t="str">
        <f>IF(C70="","",_xlfn.XLOOKUP(C70,'[3]Control Sheet'!$L$5:$L$104,'[3]Control Sheet'!$M$5:$M$104,"",0))</f>
        <v>Retail Host</v>
      </c>
      <c r="E70" s="24" t="str">
        <f>IF(B70="","",_xlfn.XLOOKUP(B70,'[3]Control Sheet'!$D$5:$D$64,'[3]Control Sheet'!$F$5:$F$64,"",0))</f>
        <v>Retail</v>
      </c>
      <c r="F70" s="24" t="str">
        <f>IF(B70="","",_xlfn.XLOOKUP(B70,'[3]Control Sheet'!$D$5:$D$64,'[3]Control Sheet'!$E$5:$E$64,"",0))</f>
        <v>C1150-O</v>
      </c>
      <c r="I70" s="33">
        <v>0.45833333333333331</v>
      </c>
      <c r="J70" s="34">
        <v>0.625</v>
      </c>
      <c r="K70" s="35">
        <v>0</v>
      </c>
      <c r="L70" s="36">
        <v>1</v>
      </c>
      <c r="M70" s="37">
        <v>1</v>
      </c>
      <c r="P70" s="33">
        <v>0.45833333333333331</v>
      </c>
      <c r="Q70" s="34">
        <v>0.625</v>
      </c>
      <c r="R70" s="35">
        <v>0</v>
      </c>
      <c r="S70" s="36">
        <v>1</v>
      </c>
      <c r="T70" s="37">
        <v>1</v>
      </c>
      <c r="V70" s="33">
        <v>0.45833333333333331</v>
      </c>
      <c r="W70" s="34">
        <v>0.625</v>
      </c>
      <c r="X70" s="35">
        <v>0</v>
      </c>
      <c r="Y70" s="36">
        <v>1</v>
      </c>
      <c r="Z70" s="37">
        <v>1</v>
      </c>
      <c r="AB70" s="33">
        <v>0.45833333333333331</v>
      </c>
      <c r="AC70" s="34">
        <v>0.625</v>
      </c>
      <c r="AD70" s="35">
        <v>0</v>
      </c>
      <c r="AE70" s="36">
        <v>1</v>
      </c>
      <c r="AF70" s="37">
        <v>1</v>
      </c>
      <c r="AH70" s="33">
        <v>0.45833333333333331</v>
      </c>
      <c r="AI70" s="34">
        <v>0.625</v>
      </c>
      <c r="AJ70" s="35">
        <v>0</v>
      </c>
      <c r="AK70" s="36">
        <v>1</v>
      </c>
      <c r="AL70" s="37">
        <v>1</v>
      </c>
      <c r="AN70" s="33">
        <v>0.45833333333333331</v>
      </c>
      <c r="AO70" s="34">
        <v>0.625</v>
      </c>
      <c r="AP70" s="35">
        <v>0</v>
      </c>
      <c r="AQ70" s="36">
        <v>1</v>
      </c>
      <c r="AR70" s="37">
        <v>1</v>
      </c>
      <c r="AT70" s="33">
        <v>0.45833333333333331</v>
      </c>
      <c r="AU70" s="34">
        <v>0.625</v>
      </c>
      <c r="AV70" s="35">
        <v>0</v>
      </c>
      <c r="AW70" s="36">
        <v>1</v>
      </c>
      <c r="AX70" s="37">
        <v>1</v>
      </c>
      <c r="AZ70" s="33">
        <v>0.45833333333333331</v>
      </c>
      <c r="BA70" s="34">
        <v>0.625</v>
      </c>
      <c r="BB70" s="35">
        <v>0</v>
      </c>
      <c r="BC70" s="36">
        <v>2</v>
      </c>
      <c r="BD70" s="37">
        <v>1</v>
      </c>
      <c r="BF70" s="33">
        <v>0.45833333333333331</v>
      </c>
      <c r="BG70" s="34">
        <v>0.625</v>
      </c>
      <c r="BH70" s="35">
        <v>0</v>
      </c>
      <c r="BI70" s="36">
        <v>2</v>
      </c>
      <c r="BJ70" s="37">
        <v>1</v>
      </c>
      <c r="BL70" s="33"/>
      <c r="BM70" s="34"/>
      <c r="BN70" s="35"/>
      <c r="BO70" s="36"/>
      <c r="BP70" s="37"/>
      <c r="BR70" s="33"/>
      <c r="BS70" s="34"/>
      <c r="BT70" s="35"/>
      <c r="BU70" s="36"/>
      <c r="BV70" s="37"/>
      <c r="BX70" s="33"/>
      <c r="BY70" s="34"/>
      <c r="BZ70" s="35"/>
      <c r="CA70" s="36"/>
      <c r="CB70" s="37"/>
      <c r="CD70" s="33"/>
      <c r="CE70" s="34"/>
      <c r="CF70" s="35"/>
      <c r="CG70" s="36"/>
      <c r="CH70" s="37"/>
      <c r="CJ70" s="33"/>
      <c r="CK70" s="34"/>
      <c r="CL70" s="35"/>
      <c r="CM70" s="36"/>
      <c r="CN70" s="37"/>
      <c r="CP70" s="33"/>
      <c r="CQ70" s="34"/>
      <c r="CR70" s="35"/>
      <c r="CS70" s="36"/>
      <c r="CT70" s="37"/>
      <c r="CV70" s="33"/>
      <c r="CW70" s="34"/>
      <c r="CX70" s="35"/>
      <c r="CY70" s="36"/>
      <c r="CZ70" s="37"/>
      <c r="DA70" s="30">
        <f t="shared" ref="DA70:DA133" si="11">IF(SUM((CW70-CV70)*24,-CX70/60)*CY70&gt;=0,SUM((CW70-CV70)*24,-CX70/60)*CY70,0)</f>
        <v>0</v>
      </c>
      <c r="DB70" s="31" t="e">
        <f>DA70*#REF!</f>
        <v>#REF!</v>
      </c>
      <c r="DC70" s="32" t="e">
        <f>DA70*#REF!</f>
        <v>#REF!</v>
      </c>
      <c r="DE70" s="33"/>
      <c r="DF70" s="34"/>
      <c r="DG70" s="35"/>
      <c r="DH70" s="36"/>
      <c r="DI70" s="37"/>
      <c r="DJ70" s="30">
        <f t="shared" ref="DJ70:DJ133" si="12">IF(SUM((DF70-DE70)*24,-DG70/60)*DH70&gt;=0,SUM((DF70-DE70)*24,-DG70/60)*DH70,0)</f>
        <v>0</v>
      </c>
      <c r="DK70" s="31" t="e">
        <f>DJ70*#REF!</f>
        <v>#REF!</v>
      </c>
      <c r="DL70" s="32" t="e">
        <f>DJ70*#REF!</f>
        <v>#REF!</v>
      </c>
      <c r="DN70" s="33"/>
      <c r="DO70" s="34"/>
      <c r="DP70" s="35"/>
      <c r="DQ70" s="36"/>
      <c r="DR70" s="37"/>
      <c r="DS70" s="30">
        <f t="shared" ref="DS70:DS133" si="13">IF(SUM((DO70-DN70)*24,-DP70/60)*DQ70&gt;=0,SUM((DO70-DN70)*24,-DP70/60)*DQ70,0)</f>
        <v>0</v>
      </c>
      <c r="DT70" s="31" t="e">
        <f>DS70*#REF!</f>
        <v>#REF!</v>
      </c>
      <c r="DU70" s="32" t="e">
        <f>DS70*#REF!</f>
        <v>#REF!</v>
      </c>
      <c r="DW70" s="33"/>
      <c r="DX70" s="34"/>
      <c r="DY70" s="35"/>
      <c r="DZ70" s="36"/>
      <c r="EA70" s="37"/>
      <c r="EB70" s="30">
        <f t="shared" ref="EB70:EB133" si="14">IF(SUM((DX70-DW70)*24,-DY70/60)*DZ70&gt;=0,SUM((DX70-DW70)*24,-DY70/60)*DZ70,0)</f>
        <v>0</v>
      </c>
      <c r="EC70" s="31" t="e">
        <f>EB70*#REF!</f>
        <v>#REF!</v>
      </c>
      <c r="ED70" s="32" t="e">
        <f>EB70*#REF!</f>
        <v>#REF!</v>
      </c>
      <c r="EF70" s="33"/>
      <c r="EG70" s="34"/>
      <c r="EH70" s="35"/>
      <c r="EI70" s="36"/>
      <c r="EJ70" s="37"/>
      <c r="EK70" s="30">
        <f t="shared" ref="EK70:EK133" si="15">IF(SUM((EG70-EF70)*24,-EH70/60)*EI70&gt;=0,SUM((EG70-EF70)*24,-EH70/60)*EI70,0)</f>
        <v>0</v>
      </c>
      <c r="EL70" s="31" t="e">
        <f>EK70*#REF!</f>
        <v>#REF!</v>
      </c>
      <c r="EM70" s="32" t="e">
        <f>EK70*#REF!</f>
        <v>#REF!</v>
      </c>
      <c r="EO70" s="33"/>
      <c r="EP70" s="34"/>
      <c r="EQ70" s="35"/>
      <c r="ER70" s="36"/>
      <c r="ES70" s="37"/>
      <c r="ET70" s="30">
        <f t="shared" ref="ET70:ET133" si="16">IF(SUM((EP70-EO70)*24,-EQ70/60)*ER70&gt;=0,SUM((EP70-EO70)*24,-EQ70/60)*ER70,0)</f>
        <v>0</v>
      </c>
      <c r="EU70" s="31" t="e">
        <f>ET70*#REF!</f>
        <v>#REF!</v>
      </c>
      <c r="EV70" s="32" t="e">
        <f>ET70*#REF!</f>
        <v>#REF!</v>
      </c>
      <c r="EX70" s="33"/>
      <c r="EY70" s="34"/>
      <c r="EZ70" s="35"/>
      <c r="FA70" s="36"/>
      <c r="FB70" s="37"/>
      <c r="FC70" s="30">
        <f t="shared" ref="FC70:FC133" si="17">IF(SUM((EY70-EX70)*24,-EZ70/60)*FA70&gt;=0,SUM((EY70-EX70)*24,-EZ70/60)*FA70,0)</f>
        <v>0</v>
      </c>
      <c r="FD70" s="31" t="e">
        <f>FC70*#REF!</f>
        <v>#REF!</v>
      </c>
      <c r="FE70" s="32" t="e">
        <f>FC70*#REF!</f>
        <v>#REF!</v>
      </c>
      <c r="FG70" s="33"/>
      <c r="FH70" s="34"/>
      <c r="FI70" s="35"/>
      <c r="FJ70" s="36"/>
      <c r="FK70" s="37"/>
      <c r="FL70" s="30">
        <f t="shared" ref="FL70:FL133" si="18">IF(SUM((FH70-FG70)*24,-FI70/60)*FJ70&gt;=0,SUM((FH70-FG70)*24,-FI70/60)*FJ70,0)</f>
        <v>0</v>
      </c>
      <c r="FM70" s="31" t="e">
        <f>FL70*#REF!</f>
        <v>#REF!</v>
      </c>
      <c r="FN70" s="32" t="e">
        <f>FL70*#REF!</f>
        <v>#REF!</v>
      </c>
      <c r="FP70" s="33"/>
      <c r="FQ70" s="34"/>
      <c r="FR70" s="35"/>
      <c r="FS70" s="36"/>
      <c r="FT70" s="37"/>
      <c r="FU70" s="30">
        <f t="shared" ref="FU70:FU133" si="19">IF(SUM((FQ70-FP70)*24,-FR70/60)*FS70&gt;=0,SUM((FQ70-FP70)*24,-FR70/60)*FS70,0)</f>
        <v>0</v>
      </c>
      <c r="FV70" s="31" t="e">
        <f>FU70*#REF!</f>
        <v>#REF!</v>
      </c>
      <c r="FW70" s="32" t="e">
        <f>FU70*#REF!</f>
        <v>#REF!</v>
      </c>
      <c r="FY70" s="33"/>
      <c r="FZ70" s="34"/>
      <c r="GA70" s="35"/>
      <c r="GB70" s="36"/>
      <c r="GC70" s="37"/>
      <c r="GD70" s="30">
        <f t="shared" ref="GD70:GD133" si="20">IF(SUM((FZ70-FY70)*24,-GA70/60)*GB70&gt;=0,SUM((FZ70-FY70)*24,-GA70/60)*GB70,0)</f>
        <v>0</v>
      </c>
      <c r="GE70" s="31" t="e">
        <f>GD70*#REF!</f>
        <v>#REF!</v>
      </c>
      <c r="GF70" s="32" t="e">
        <f>GD70*#REF!</f>
        <v>#REF!</v>
      </c>
      <c r="GH70" s="33"/>
      <c r="GI70" s="34"/>
      <c r="GJ70" s="35"/>
      <c r="GK70" s="36"/>
      <c r="GL70" s="37"/>
      <c r="GM70" s="30">
        <f t="shared" ref="GM70:GM133" si="21">IF(SUM((GI70-GH70)*24,-GJ70/60)*GK70&gt;=0,SUM((GI70-GH70)*24,-GJ70/60)*GK70,0)</f>
        <v>0</v>
      </c>
      <c r="GN70" s="31" t="e">
        <f>GM70*#REF!</f>
        <v>#REF!</v>
      </c>
      <c r="GO70" s="32" t="e">
        <f>GM70*#REF!</f>
        <v>#REF!</v>
      </c>
      <c r="GQ70" s="38">
        <f>_xlfn.MAXIFS(I70:GO70,$I$5:$GO$5,"Staff #")</f>
        <v>2</v>
      </c>
      <c r="GR70" s="39">
        <v>2</v>
      </c>
    </row>
    <row r="71" spans="2:200" ht="15" x14ac:dyDescent="0.25">
      <c r="B71" s="22"/>
      <c r="C71" s="23"/>
      <c r="D71" s="24" t="str">
        <f>IF(C71="","",_xlfn.XLOOKUP(C71,'[3]Control Sheet'!$L$5:$L$104,'[3]Control Sheet'!$M$5:$M$104,"",0))</f>
        <v/>
      </c>
      <c r="E71" s="24" t="str">
        <f>IF(B71="","",_xlfn.XLOOKUP(B71,'[3]Control Sheet'!$D$5:$D$64,'[3]Control Sheet'!$F$5:$F$64,"",0))</f>
        <v/>
      </c>
      <c r="F71" s="24" t="str">
        <f>IF(B71="","",_xlfn.XLOOKUP(B71,'[3]Control Sheet'!$D$5:$D$64,'[3]Control Sheet'!$E$5:$E$64,"",0))</f>
        <v/>
      </c>
      <c r="I71" s="33"/>
      <c r="J71" s="34"/>
      <c r="K71" s="35"/>
      <c r="L71" s="36"/>
      <c r="M71" s="37"/>
      <c r="P71" s="33"/>
      <c r="Q71" s="34"/>
      <c r="R71" s="35"/>
      <c r="S71" s="36"/>
      <c r="T71" s="37"/>
      <c r="V71" s="33"/>
      <c r="W71" s="34"/>
      <c r="X71" s="35"/>
      <c r="Y71" s="36"/>
      <c r="Z71" s="37"/>
      <c r="AB71" s="33"/>
      <c r="AC71" s="34"/>
      <c r="AD71" s="35"/>
      <c r="AE71" s="36"/>
      <c r="AF71" s="37"/>
      <c r="AH71" s="33"/>
      <c r="AI71" s="34"/>
      <c r="AJ71" s="35"/>
      <c r="AK71" s="36"/>
      <c r="AL71" s="37"/>
      <c r="AN71" s="33"/>
      <c r="AO71" s="34"/>
      <c r="AP71" s="35"/>
      <c r="AQ71" s="36"/>
      <c r="AR71" s="37"/>
      <c r="AT71" s="33"/>
      <c r="AU71" s="34"/>
      <c r="AV71" s="35"/>
      <c r="AW71" s="36"/>
      <c r="AX71" s="37"/>
      <c r="AZ71" s="33"/>
      <c r="BA71" s="34"/>
      <c r="BB71" s="35"/>
      <c r="BC71" s="36"/>
      <c r="BD71" s="37"/>
      <c r="BF71" s="33"/>
      <c r="BG71" s="34"/>
      <c r="BH71" s="35"/>
      <c r="BI71" s="36"/>
      <c r="BJ71" s="37"/>
      <c r="BL71" s="33"/>
      <c r="BM71" s="34"/>
      <c r="BN71" s="35"/>
      <c r="BO71" s="36"/>
      <c r="BP71" s="37"/>
      <c r="BR71" s="33"/>
      <c r="BS71" s="34"/>
      <c r="BT71" s="35"/>
      <c r="BU71" s="36"/>
      <c r="BV71" s="37"/>
      <c r="BX71" s="33"/>
      <c r="BY71" s="34"/>
      <c r="BZ71" s="35"/>
      <c r="CA71" s="36"/>
      <c r="CB71" s="37"/>
      <c r="CD71" s="33"/>
      <c r="CE71" s="34"/>
      <c r="CF71" s="35"/>
      <c r="CG71" s="36"/>
      <c r="CH71" s="37"/>
      <c r="CJ71" s="33"/>
      <c r="CK71" s="34"/>
      <c r="CL71" s="35"/>
      <c r="CM71" s="36"/>
      <c r="CN71" s="37"/>
      <c r="CP71" s="33"/>
      <c r="CQ71" s="34"/>
      <c r="CR71" s="35"/>
      <c r="CS71" s="36"/>
      <c r="CT71" s="37"/>
      <c r="CV71" s="33"/>
      <c r="CW71" s="34"/>
      <c r="CX71" s="35"/>
      <c r="CY71" s="36"/>
      <c r="CZ71" s="37"/>
      <c r="DA71" s="30">
        <f t="shared" si="11"/>
        <v>0</v>
      </c>
      <c r="DB71" s="31" t="e">
        <f>DA71*#REF!</f>
        <v>#REF!</v>
      </c>
      <c r="DC71" s="32" t="e">
        <f>DA71*#REF!</f>
        <v>#REF!</v>
      </c>
      <c r="DE71" s="33"/>
      <c r="DF71" s="34"/>
      <c r="DG71" s="35"/>
      <c r="DH71" s="36"/>
      <c r="DI71" s="37"/>
      <c r="DJ71" s="30">
        <f t="shared" si="12"/>
        <v>0</v>
      </c>
      <c r="DK71" s="31" t="e">
        <f>DJ71*#REF!</f>
        <v>#REF!</v>
      </c>
      <c r="DL71" s="32" t="e">
        <f>DJ71*#REF!</f>
        <v>#REF!</v>
      </c>
      <c r="DN71" s="33"/>
      <c r="DO71" s="34"/>
      <c r="DP71" s="35"/>
      <c r="DQ71" s="36"/>
      <c r="DR71" s="37"/>
      <c r="DS71" s="30">
        <f t="shared" si="13"/>
        <v>0</v>
      </c>
      <c r="DT71" s="31" t="e">
        <f>DS71*#REF!</f>
        <v>#REF!</v>
      </c>
      <c r="DU71" s="32" t="e">
        <f>DS71*#REF!</f>
        <v>#REF!</v>
      </c>
      <c r="DW71" s="33"/>
      <c r="DX71" s="34"/>
      <c r="DY71" s="35"/>
      <c r="DZ71" s="36"/>
      <c r="EA71" s="37"/>
      <c r="EB71" s="30">
        <f t="shared" si="14"/>
        <v>0</v>
      </c>
      <c r="EC71" s="31" t="e">
        <f>EB71*#REF!</f>
        <v>#REF!</v>
      </c>
      <c r="ED71" s="32" t="e">
        <f>EB71*#REF!</f>
        <v>#REF!</v>
      </c>
      <c r="EF71" s="33"/>
      <c r="EG71" s="34"/>
      <c r="EH71" s="35"/>
      <c r="EI71" s="36"/>
      <c r="EJ71" s="37"/>
      <c r="EK71" s="30">
        <f t="shared" si="15"/>
        <v>0</v>
      </c>
      <c r="EL71" s="31" t="e">
        <f>EK71*#REF!</f>
        <v>#REF!</v>
      </c>
      <c r="EM71" s="32" t="e">
        <f>EK71*#REF!</f>
        <v>#REF!</v>
      </c>
      <c r="EO71" s="33"/>
      <c r="EP71" s="34"/>
      <c r="EQ71" s="35"/>
      <c r="ER71" s="36"/>
      <c r="ES71" s="37"/>
      <c r="ET71" s="30">
        <f t="shared" si="16"/>
        <v>0</v>
      </c>
      <c r="EU71" s="31" t="e">
        <f>ET71*#REF!</f>
        <v>#REF!</v>
      </c>
      <c r="EV71" s="32" t="e">
        <f>ET71*#REF!</f>
        <v>#REF!</v>
      </c>
      <c r="EX71" s="33"/>
      <c r="EY71" s="34"/>
      <c r="EZ71" s="35"/>
      <c r="FA71" s="36"/>
      <c r="FB71" s="37"/>
      <c r="FC71" s="30">
        <f t="shared" si="17"/>
        <v>0</v>
      </c>
      <c r="FD71" s="31" t="e">
        <f>FC71*#REF!</f>
        <v>#REF!</v>
      </c>
      <c r="FE71" s="32" t="e">
        <f>FC71*#REF!</f>
        <v>#REF!</v>
      </c>
      <c r="FG71" s="33"/>
      <c r="FH71" s="34"/>
      <c r="FI71" s="35"/>
      <c r="FJ71" s="36"/>
      <c r="FK71" s="37"/>
      <c r="FL71" s="30">
        <f t="shared" si="18"/>
        <v>0</v>
      </c>
      <c r="FM71" s="31" t="e">
        <f>FL71*#REF!</f>
        <v>#REF!</v>
      </c>
      <c r="FN71" s="32" t="e">
        <f>FL71*#REF!</f>
        <v>#REF!</v>
      </c>
      <c r="FP71" s="33"/>
      <c r="FQ71" s="34"/>
      <c r="FR71" s="35"/>
      <c r="FS71" s="36"/>
      <c r="FT71" s="37"/>
      <c r="FU71" s="30">
        <f t="shared" si="19"/>
        <v>0</v>
      </c>
      <c r="FV71" s="31" t="e">
        <f>FU71*#REF!</f>
        <v>#REF!</v>
      </c>
      <c r="FW71" s="32" t="e">
        <f>FU71*#REF!</f>
        <v>#REF!</v>
      </c>
      <c r="FY71" s="33"/>
      <c r="FZ71" s="34"/>
      <c r="GA71" s="35"/>
      <c r="GB71" s="36"/>
      <c r="GC71" s="37"/>
      <c r="GD71" s="30">
        <f t="shared" si="20"/>
        <v>0</v>
      </c>
      <c r="GE71" s="31" t="e">
        <f>GD71*#REF!</f>
        <v>#REF!</v>
      </c>
      <c r="GF71" s="32" t="e">
        <f>GD71*#REF!</f>
        <v>#REF!</v>
      </c>
      <c r="GH71" s="33"/>
      <c r="GI71" s="34"/>
      <c r="GJ71" s="35"/>
      <c r="GK71" s="36"/>
      <c r="GL71" s="37"/>
      <c r="GM71" s="30">
        <f t="shared" si="21"/>
        <v>0</v>
      </c>
      <c r="GN71" s="31" t="e">
        <f>GM71*#REF!</f>
        <v>#REF!</v>
      </c>
      <c r="GO71" s="32" t="e">
        <f>GM71*#REF!</f>
        <v>#REF!</v>
      </c>
      <c r="GQ71" s="38">
        <f>_xlfn.MAXIFS(I71:GO71,$I$5:$GO$5,"Staff #")</f>
        <v>0</v>
      </c>
      <c r="GR71" s="39">
        <v>0</v>
      </c>
    </row>
    <row r="72" spans="2:200" ht="15" x14ac:dyDescent="0.25">
      <c r="B72" s="22"/>
      <c r="C72" s="23"/>
      <c r="D72" s="24" t="str">
        <f>IF(C72="","",_xlfn.XLOOKUP(C72,'[3]Control Sheet'!$L$5:$L$104,'[3]Control Sheet'!$M$5:$M$104,"",0))</f>
        <v/>
      </c>
      <c r="E72" s="24" t="str">
        <f>IF(B72="","",_xlfn.XLOOKUP(B72,'[3]Control Sheet'!$D$5:$D$64,'[3]Control Sheet'!$F$5:$F$64,"",0))</f>
        <v/>
      </c>
      <c r="F72" s="24" t="str">
        <f>IF(B72="","",_xlfn.XLOOKUP(B72,'[3]Control Sheet'!$D$5:$D$64,'[3]Control Sheet'!$E$5:$E$64,"",0))</f>
        <v/>
      </c>
      <c r="I72" s="33"/>
      <c r="J72" s="34"/>
      <c r="K72" s="35"/>
      <c r="L72" s="36"/>
      <c r="M72" s="37"/>
      <c r="P72" s="33"/>
      <c r="Q72" s="34"/>
      <c r="R72" s="35"/>
      <c r="S72" s="36"/>
      <c r="T72" s="37"/>
      <c r="V72" s="33"/>
      <c r="W72" s="34"/>
      <c r="X72" s="35"/>
      <c r="Y72" s="36"/>
      <c r="Z72" s="37"/>
      <c r="AB72" s="33"/>
      <c r="AC72" s="34"/>
      <c r="AD72" s="35"/>
      <c r="AE72" s="36"/>
      <c r="AF72" s="37"/>
      <c r="AH72" s="33"/>
      <c r="AI72" s="34"/>
      <c r="AJ72" s="35"/>
      <c r="AK72" s="36"/>
      <c r="AL72" s="37"/>
      <c r="AN72" s="33"/>
      <c r="AO72" s="34"/>
      <c r="AP72" s="35"/>
      <c r="AQ72" s="36"/>
      <c r="AR72" s="37"/>
      <c r="AT72" s="33"/>
      <c r="AU72" s="34"/>
      <c r="AV72" s="35"/>
      <c r="AW72" s="36"/>
      <c r="AX72" s="37"/>
      <c r="AZ72" s="33"/>
      <c r="BA72" s="34"/>
      <c r="BB72" s="35"/>
      <c r="BC72" s="36"/>
      <c r="BD72" s="37"/>
      <c r="BF72" s="33"/>
      <c r="BG72" s="34"/>
      <c r="BH72" s="35"/>
      <c r="BI72" s="36"/>
      <c r="BJ72" s="37"/>
      <c r="BL72" s="33"/>
      <c r="BM72" s="34"/>
      <c r="BN72" s="35"/>
      <c r="BO72" s="36"/>
      <c r="BP72" s="37"/>
      <c r="BR72" s="33"/>
      <c r="BS72" s="34"/>
      <c r="BT72" s="35"/>
      <c r="BU72" s="36"/>
      <c r="BV72" s="37"/>
      <c r="BX72" s="33"/>
      <c r="BY72" s="34"/>
      <c r="BZ72" s="35"/>
      <c r="CA72" s="36"/>
      <c r="CB72" s="37"/>
      <c r="CD72" s="33"/>
      <c r="CE72" s="34"/>
      <c r="CF72" s="35"/>
      <c r="CG72" s="36"/>
      <c r="CH72" s="37"/>
      <c r="CJ72" s="33"/>
      <c r="CK72" s="34"/>
      <c r="CL72" s="35"/>
      <c r="CM72" s="36"/>
      <c r="CN72" s="37"/>
      <c r="CP72" s="33"/>
      <c r="CQ72" s="34"/>
      <c r="CR72" s="35"/>
      <c r="CS72" s="36"/>
      <c r="CT72" s="37"/>
      <c r="CV72" s="33"/>
      <c r="CW72" s="34"/>
      <c r="CX72" s="35"/>
      <c r="CY72" s="36"/>
      <c r="CZ72" s="37"/>
      <c r="DA72" s="30">
        <f t="shared" si="11"/>
        <v>0</v>
      </c>
      <c r="DB72" s="31" t="e">
        <f>DA72*#REF!</f>
        <v>#REF!</v>
      </c>
      <c r="DC72" s="32" t="e">
        <f>DA72*#REF!</f>
        <v>#REF!</v>
      </c>
      <c r="DE72" s="33"/>
      <c r="DF72" s="34"/>
      <c r="DG72" s="35"/>
      <c r="DH72" s="36"/>
      <c r="DI72" s="37"/>
      <c r="DJ72" s="30">
        <f t="shared" si="12"/>
        <v>0</v>
      </c>
      <c r="DK72" s="31" t="e">
        <f>DJ72*#REF!</f>
        <v>#REF!</v>
      </c>
      <c r="DL72" s="32" t="e">
        <f>DJ72*#REF!</f>
        <v>#REF!</v>
      </c>
      <c r="DN72" s="33"/>
      <c r="DO72" s="34"/>
      <c r="DP72" s="35"/>
      <c r="DQ72" s="36"/>
      <c r="DR72" s="37"/>
      <c r="DS72" s="30">
        <f t="shared" si="13"/>
        <v>0</v>
      </c>
      <c r="DT72" s="31" t="e">
        <f>DS72*#REF!</f>
        <v>#REF!</v>
      </c>
      <c r="DU72" s="32" t="e">
        <f>DS72*#REF!</f>
        <v>#REF!</v>
      </c>
      <c r="DW72" s="33"/>
      <c r="DX72" s="34"/>
      <c r="DY72" s="35"/>
      <c r="DZ72" s="36"/>
      <c r="EA72" s="37"/>
      <c r="EB72" s="30">
        <f t="shared" si="14"/>
        <v>0</v>
      </c>
      <c r="EC72" s="31" t="e">
        <f>EB72*#REF!</f>
        <v>#REF!</v>
      </c>
      <c r="ED72" s="32" t="e">
        <f>EB72*#REF!</f>
        <v>#REF!</v>
      </c>
      <c r="EF72" s="33"/>
      <c r="EG72" s="34"/>
      <c r="EH72" s="35"/>
      <c r="EI72" s="36"/>
      <c r="EJ72" s="37"/>
      <c r="EK72" s="30">
        <f t="shared" si="15"/>
        <v>0</v>
      </c>
      <c r="EL72" s="31" t="e">
        <f>EK72*#REF!</f>
        <v>#REF!</v>
      </c>
      <c r="EM72" s="32" t="e">
        <f>EK72*#REF!</f>
        <v>#REF!</v>
      </c>
      <c r="EO72" s="33"/>
      <c r="EP72" s="34"/>
      <c r="EQ72" s="35"/>
      <c r="ER72" s="36"/>
      <c r="ES72" s="37"/>
      <c r="ET72" s="30">
        <f t="shared" si="16"/>
        <v>0</v>
      </c>
      <c r="EU72" s="31" t="e">
        <f>ET72*#REF!</f>
        <v>#REF!</v>
      </c>
      <c r="EV72" s="32" t="e">
        <f>ET72*#REF!</f>
        <v>#REF!</v>
      </c>
      <c r="EX72" s="33"/>
      <c r="EY72" s="34"/>
      <c r="EZ72" s="35"/>
      <c r="FA72" s="36"/>
      <c r="FB72" s="37"/>
      <c r="FC72" s="30">
        <f t="shared" si="17"/>
        <v>0</v>
      </c>
      <c r="FD72" s="31" t="e">
        <f>FC72*#REF!</f>
        <v>#REF!</v>
      </c>
      <c r="FE72" s="32" t="e">
        <f>FC72*#REF!</f>
        <v>#REF!</v>
      </c>
      <c r="FG72" s="33"/>
      <c r="FH72" s="34"/>
      <c r="FI72" s="35"/>
      <c r="FJ72" s="36"/>
      <c r="FK72" s="37"/>
      <c r="FL72" s="30">
        <f t="shared" si="18"/>
        <v>0</v>
      </c>
      <c r="FM72" s="31" t="e">
        <f>FL72*#REF!</f>
        <v>#REF!</v>
      </c>
      <c r="FN72" s="32" t="e">
        <f>FL72*#REF!</f>
        <v>#REF!</v>
      </c>
      <c r="FP72" s="33"/>
      <c r="FQ72" s="34"/>
      <c r="FR72" s="35"/>
      <c r="FS72" s="36"/>
      <c r="FT72" s="37"/>
      <c r="FU72" s="30">
        <f t="shared" si="19"/>
        <v>0</v>
      </c>
      <c r="FV72" s="31" t="e">
        <f>FU72*#REF!</f>
        <v>#REF!</v>
      </c>
      <c r="FW72" s="32" t="e">
        <f>FU72*#REF!</f>
        <v>#REF!</v>
      </c>
      <c r="FY72" s="33"/>
      <c r="FZ72" s="34"/>
      <c r="GA72" s="35"/>
      <c r="GB72" s="36"/>
      <c r="GC72" s="37"/>
      <c r="GD72" s="30">
        <f t="shared" si="20"/>
        <v>0</v>
      </c>
      <c r="GE72" s="31" t="e">
        <f>GD72*#REF!</f>
        <v>#REF!</v>
      </c>
      <c r="GF72" s="32" t="e">
        <f>GD72*#REF!</f>
        <v>#REF!</v>
      </c>
      <c r="GH72" s="33"/>
      <c r="GI72" s="34"/>
      <c r="GJ72" s="35"/>
      <c r="GK72" s="36"/>
      <c r="GL72" s="37"/>
      <c r="GM72" s="30">
        <f t="shared" si="21"/>
        <v>0</v>
      </c>
      <c r="GN72" s="31" t="e">
        <f>GM72*#REF!</f>
        <v>#REF!</v>
      </c>
      <c r="GO72" s="32" t="e">
        <f>GM72*#REF!</f>
        <v>#REF!</v>
      </c>
      <c r="GQ72" s="38">
        <f>_xlfn.MAXIFS(I72:GO72,$I$5:$GO$5,"Staff #")</f>
        <v>0</v>
      </c>
      <c r="GR72" s="39">
        <v>0</v>
      </c>
    </row>
    <row r="73" spans="2:200" ht="15" x14ac:dyDescent="0.25">
      <c r="B73" s="22"/>
      <c r="C73" s="23"/>
      <c r="D73" s="24" t="str">
        <f>IF(C73="","",_xlfn.XLOOKUP(C73,'[3]Control Sheet'!$L$5:$L$104,'[3]Control Sheet'!$M$5:$M$104,"",0))</f>
        <v/>
      </c>
      <c r="E73" s="24" t="str">
        <f>IF(B73="","",_xlfn.XLOOKUP(B73,'[3]Control Sheet'!$D$5:$D$64,'[3]Control Sheet'!$F$5:$F$64,"",0))</f>
        <v/>
      </c>
      <c r="F73" s="24" t="str">
        <f>IF(B73="","",_xlfn.XLOOKUP(B73,'[3]Control Sheet'!$D$5:$D$64,'[3]Control Sheet'!$E$5:$E$64,"",0))</f>
        <v/>
      </c>
      <c r="I73" s="33"/>
      <c r="J73" s="34"/>
      <c r="K73" s="35"/>
      <c r="L73" s="36"/>
      <c r="M73" s="37"/>
      <c r="P73" s="33"/>
      <c r="Q73" s="34"/>
      <c r="R73" s="35"/>
      <c r="S73" s="36"/>
      <c r="T73" s="37"/>
      <c r="V73" s="33"/>
      <c r="W73" s="34"/>
      <c r="X73" s="35"/>
      <c r="Y73" s="36"/>
      <c r="Z73" s="37"/>
      <c r="AB73" s="33"/>
      <c r="AC73" s="34"/>
      <c r="AD73" s="35"/>
      <c r="AE73" s="36"/>
      <c r="AF73" s="37"/>
      <c r="AH73" s="33"/>
      <c r="AI73" s="34"/>
      <c r="AJ73" s="35"/>
      <c r="AK73" s="36"/>
      <c r="AL73" s="37"/>
      <c r="AN73" s="33"/>
      <c r="AO73" s="34"/>
      <c r="AP73" s="35"/>
      <c r="AQ73" s="36"/>
      <c r="AR73" s="37"/>
      <c r="AT73" s="33"/>
      <c r="AU73" s="34"/>
      <c r="AV73" s="35"/>
      <c r="AW73" s="36"/>
      <c r="AX73" s="37"/>
      <c r="AZ73" s="33"/>
      <c r="BA73" s="34"/>
      <c r="BB73" s="35"/>
      <c r="BC73" s="36"/>
      <c r="BD73" s="37"/>
      <c r="BF73" s="33"/>
      <c r="BG73" s="34"/>
      <c r="BH73" s="35"/>
      <c r="BI73" s="36"/>
      <c r="BJ73" s="37"/>
      <c r="BL73" s="33"/>
      <c r="BM73" s="34"/>
      <c r="BN73" s="35"/>
      <c r="BO73" s="36"/>
      <c r="BP73" s="37"/>
      <c r="BR73" s="33"/>
      <c r="BS73" s="34"/>
      <c r="BT73" s="35"/>
      <c r="BU73" s="36"/>
      <c r="BV73" s="37"/>
      <c r="BX73" s="33"/>
      <c r="BY73" s="34"/>
      <c r="BZ73" s="35"/>
      <c r="CA73" s="36"/>
      <c r="CB73" s="37"/>
      <c r="CD73" s="33"/>
      <c r="CE73" s="34"/>
      <c r="CF73" s="35"/>
      <c r="CG73" s="36"/>
      <c r="CH73" s="37"/>
      <c r="CJ73" s="33"/>
      <c r="CK73" s="34"/>
      <c r="CL73" s="35"/>
      <c r="CM73" s="36"/>
      <c r="CN73" s="37"/>
      <c r="CP73" s="33"/>
      <c r="CQ73" s="34"/>
      <c r="CR73" s="35"/>
      <c r="CS73" s="36"/>
      <c r="CT73" s="37"/>
      <c r="CV73" s="33"/>
      <c r="CW73" s="34"/>
      <c r="CX73" s="35"/>
      <c r="CY73" s="36"/>
      <c r="CZ73" s="37"/>
      <c r="DA73" s="30">
        <f t="shared" si="11"/>
        <v>0</v>
      </c>
      <c r="DB73" s="31" t="e">
        <f>DA73*#REF!</f>
        <v>#REF!</v>
      </c>
      <c r="DC73" s="32" t="e">
        <f>DA73*#REF!</f>
        <v>#REF!</v>
      </c>
      <c r="DE73" s="33"/>
      <c r="DF73" s="34"/>
      <c r="DG73" s="35"/>
      <c r="DH73" s="36"/>
      <c r="DI73" s="37"/>
      <c r="DJ73" s="30">
        <f t="shared" si="12"/>
        <v>0</v>
      </c>
      <c r="DK73" s="31" t="e">
        <f>DJ73*#REF!</f>
        <v>#REF!</v>
      </c>
      <c r="DL73" s="32" t="e">
        <f>DJ73*#REF!</f>
        <v>#REF!</v>
      </c>
      <c r="DN73" s="33"/>
      <c r="DO73" s="34"/>
      <c r="DP73" s="35"/>
      <c r="DQ73" s="36"/>
      <c r="DR73" s="37"/>
      <c r="DS73" s="30">
        <f t="shared" si="13"/>
        <v>0</v>
      </c>
      <c r="DT73" s="31" t="e">
        <f>DS73*#REF!</f>
        <v>#REF!</v>
      </c>
      <c r="DU73" s="32" t="e">
        <f>DS73*#REF!</f>
        <v>#REF!</v>
      </c>
      <c r="DW73" s="33"/>
      <c r="DX73" s="34"/>
      <c r="DY73" s="35"/>
      <c r="DZ73" s="36"/>
      <c r="EA73" s="37"/>
      <c r="EB73" s="30">
        <f t="shared" si="14"/>
        <v>0</v>
      </c>
      <c r="EC73" s="31" t="e">
        <f>EB73*#REF!</f>
        <v>#REF!</v>
      </c>
      <c r="ED73" s="32" t="e">
        <f>EB73*#REF!</f>
        <v>#REF!</v>
      </c>
      <c r="EF73" s="33"/>
      <c r="EG73" s="34"/>
      <c r="EH73" s="35"/>
      <c r="EI73" s="36"/>
      <c r="EJ73" s="37"/>
      <c r="EK73" s="30">
        <f t="shared" si="15"/>
        <v>0</v>
      </c>
      <c r="EL73" s="31" t="e">
        <f>EK73*#REF!</f>
        <v>#REF!</v>
      </c>
      <c r="EM73" s="32" t="e">
        <f>EK73*#REF!</f>
        <v>#REF!</v>
      </c>
      <c r="EO73" s="33"/>
      <c r="EP73" s="34"/>
      <c r="EQ73" s="35"/>
      <c r="ER73" s="36"/>
      <c r="ES73" s="37"/>
      <c r="ET73" s="30">
        <f t="shared" si="16"/>
        <v>0</v>
      </c>
      <c r="EU73" s="31" t="e">
        <f>ET73*#REF!</f>
        <v>#REF!</v>
      </c>
      <c r="EV73" s="32" t="e">
        <f>ET73*#REF!</f>
        <v>#REF!</v>
      </c>
      <c r="EX73" s="33"/>
      <c r="EY73" s="34"/>
      <c r="EZ73" s="35"/>
      <c r="FA73" s="36"/>
      <c r="FB73" s="37"/>
      <c r="FC73" s="30">
        <f t="shared" si="17"/>
        <v>0</v>
      </c>
      <c r="FD73" s="31" t="e">
        <f>FC73*#REF!</f>
        <v>#REF!</v>
      </c>
      <c r="FE73" s="32" t="e">
        <f>FC73*#REF!</f>
        <v>#REF!</v>
      </c>
      <c r="FG73" s="33"/>
      <c r="FH73" s="34"/>
      <c r="FI73" s="35"/>
      <c r="FJ73" s="36"/>
      <c r="FK73" s="37"/>
      <c r="FL73" s="30">
        <f t="shared" si="18"/>
        <v>0</v>
      </c>
      <c r="FM73" s="31" t="e">
        <f>FL73*#REF!</f>
        <v>#REF!</v>
      </c>
      <c r="FN73" s="32" t="e">
        <f>FL73*#REF!</f>
        <v>#REF!</v>
      </c>
      <c r="FP73" s="33"/>
      <c r="FQ73" s="34"/>
      <c r="FR73" s="35"/>
      <c r="FS73" s="36"/>
      <c r="FT73" s="37"/>
      <c r="FU73" s="30">
        <f t="shared" si="19"/>
        <v>0</v>
      </c>
      <c r="FV73" s="31" t="e">
        <f>FU73*#REF!</f>
        <v>#REF!</v>
      </c>
      <c r="FW73" s="32" t="e">
        <f>FU73*#REF!</f>
        <v>#REF!</v>
      </c>
      <c r="FY73" s="33"/>
      <c r="FZ73" s="34"/>
      <c r="GA73" s="35"/>
      <c r="GB73" s="36"/>
      <c r="GC73" s="37"/>
      <c r="GD73" s="30">
        <f t="shared" si="20"/>
        <v>0</v>
      </c>
      <c r="GE73" s="31" t="e">
        <f>GD73*#REF!</f>
        <v>#REF!</v>
      </c>
      <c r="GF73" s="32" t="e">
        <f>GD73*#REF!</f>
        <v>#REF!</v>
      </c>
      <c r="GH73" s="33"/>
      <c r="GI73" s="34"/>
      <c r="GJ73" s="35"/>
      <c r="GK73" s="36"/>
      <c r="GL73" s="37"/>
      <c r="GM73" s="30">
        <f t="shared" si="21"/>
        <v>0</v>
      </c>
      <c r="GN73" s="31" t="e">
        <f>GM73*#REF!</f>
        <v>#REF!</v>
      </c>
      <c r="GO73" s="32" t="e">
        <f>GM73*#REF!</f>
        <v>#REF!</v>
      </c>
      <c r="GQ73" s="38">
        <f>_xlfn.MAXIFS(I73:GO73,$I$5:$GO$5,"Staff #")</f>
        <v>0</v>
      </c>
      <c r="GR73" s="39">
        <v>0</v>
      </c>
    </row>
    <row r="74" spans="2:200" ht="15" x14ac:dyDescent="0.25">
      <c r="B74" s="22"/>
      <c r="C74" s="23"/>
      <c r="D74" s="24" t="str">
        <f>IF(C74="","",_xlfn.XLOOKUP(C74,'[3]Control Sheet'!$L$5:$L$104,'[3]Control Sheet'!$M$5:$M$104,"",0))</f>
        <v/>
      </c>
      <c r="E74" s="24" t="str">
        <f>IF(B74="","",_xlfn.XLOOKUP(B74,'[3]Control Sheet'!$D$5:$D$64,'[3]Control Sheet'!$F$5:$F$64,"",0))</f>
        <v/>
      </c>
      <c r="F74" s="24" t="str">
        <f>IF(B74="","",_xlfn.XLOOKUP(B74,'[3]Control Sheet'!$D$5:$D$64,'[3]Control Sheet'!$E$5:$E$64,"",0))</f>
        <v/>
      </c>
      <c r="I74" s="33"/>
      <c r="J74" s="34"/>
      <c r="K74" s="35"/>
      <c r="L74" s="36"/>
      <c r="M74" s="37"/>
      <c r="P74" s="33"/>
      <c r="Q74" s="34"/>
      <c r="R74" s="35"/>
      <c r="S74" s="36"/>
      <c r="T74" s="37"/>
      <c r="V74" s="33"/>
      <c r="W74" s="34"/>
      <c r="X74" s="35"/>
      <c r="Y74" s="36"/>
      <c r="Z74" s="37"/>
      <c r="AB74" s="33"/>
      <c r="AC74" s="34"/>
      <c r="AD74" s="35"/>
      <c r="AE74" s="36"/>
      <c r="AF74" s="37"/>
      <c r="AH74" s="33"/>
      <c r="AI74" s="34"/>
      <c r="AJ74" s="35"/>
      <c r="AK74" s="36"/>
      <c r="AL74" s="37"/>
      <c r="AN74" s="33"/>
      <c r="AO74" s="34"/>
      <c r="AP74" s="35"/>
      <c r="AQ74" s="36"/>
      <c r="AR74" s="37"/>
      <c r="AT74" s="33"/>
      <c r="AU74" s="34"/>
      <c r="AV74" s="35"/>
      <c r="AW74" s="36"/>
      <c r="AX74" s="37"/>
      <c r="AZ74" s="33"/>
      <c r="BA74" s="34"/>
      <c r="BB74" s="35"/>
      <c r="BC74" s="36"/>
      <c r="BD74" s="37"/>
      <c r="BF74" s="33"/>
      <c r="BG74" s="34"/>
      <c r="BH74" s="35"/>
      <c r="BI74" s="36"/>
      <c r="BJ74" s="37"/>
      <c r="BL74" s="33"/>
      <c r="BM74" s="34"/>
      <c r="BN74" s="35"/>
      <c r="BO74" s="36"/>
      <c r="BP74" s="37"/>
      <c r="BR74" s="33"/>
      <c r="BS74" s="34"/>
      <c r="BT74" s="35"/>
      <c r="BU74" s="36"/>
      <c r="BV74" s="37"/>
      <c r="BX74" s="33"/>
      <c r="BY74" s="34"/>
      <c r="BZ74" s="35"/>
      <c r="CA74" s="36"/>
      <c r="CB74" s="37"/>
      <c r="CD74" s="33"/>
      <c r="CE74" s="34"/>
      <c r="CF74" s="35"/>
      <c r="CG74" s="36"/>
      <c r="CH74" s="37"/>
      <c r="CJ74" s="33"/>
      <c r="CK74" s="34"/>
      <c r="CL74" s="35"/>
      <c r="CM74" s="36"/>
      <c r="CN74" s="37"/>
      <c r="CP74" s="33"/>
      <c r="CQ74" s="34"/>
      <c r="CR74" s="35"/>
      <c r="CS74" s="36"/>
      <c r="CT74" s="37"/>
      <c r="CV74" s="33"/>
      <c r="CW74" s="34"/>
      <c r="CX74" s="35"/>
      <c r="CY74" s="36"/>
      <c r="CZ74" s="37"/>
      <c r="DA74" s="30">
        <f t="shared" si="11"/>
        <v>0</v>
      </c>
      <c r="DB74" s="31" t="e">
        <f>DA74*#REF!</f>
        <v>#REF!</v>
      </c>
      <c r="DC74" s="32" t="e">
        <f>DA74*#REF!</f>
        <v>#REF!</v>
      </c>
      <c r="DE74" s="33"/>
      <c r="DF74" s="34"/>
      <c r="DG74" s="35"/>
      <c r="DH74" s="36"/>
      <c r="DI74" s="37"/>
      <c r="DJ74" s="30">
        <f t="shared" si="12"/>
        <v>0</v>
      </c>
      <c r="DK74" s="31" t="e">
        <f>DJ74*#REF!</f>
        <v>#REF!</v>
      </c>
      <c r="DL74" s="32" t="e">
        <f>DJ74*#REF!</f>
        <v>#REF!</v>
      </c>
      <c r="DN74" s="33"/>
      <c r="DO74" s="34"/>
      <c r="DP74" s="35"/>
      <c r="DQ74" s="36"/>
      <c r="DR74" s="37"/>
      <c r="DS74" s="30">
        <f t="shared" si="13"/>
        <v>0</v>
      </c>
      <c r="DT74" s="31" t="e">
        <f>DS74*#REF!</f>
        <v>#REF!</v>
      </c>
      <c r="DU74" s="32" t="e">
        <f>DS74*#REF!</f>
        <v>#REF!</v>
      </c>
      <c r="DW74" s="33"/>
      <c r="DX74" s="34"/>
      <c r="DY74" s="35"/>
      <c r="DZ74" s="36"/>
      <c r="EA74" s="37"/>
      <c r="EB74" s="30">
        <f t="shared" si="14"/>
        <v>0</v>
      </c>
      <c r="EC74" s="31" t="e">
        <f>EB74*#REF!</f>
        <v>#REF!</v>
      </c>
      <c r="ED74" s="32" t="e">
        <f>EB74*#REF!</f>
        <v>#REF!</v>
      </c>
      <c r="EF74" s="33"/>
      <c r="EG74" s="34"/>
      <c r="EH74" s="35"/>
      <c r="EI74" s="36"/>
      <c r="EJ74" s="37"/>
      <c r="EK74" s="30">
        <f t="shared" si="15"/>
        <v>0</v>
      </c>
      <c r="EL74" s="31" t="e">
        <f>EK74*#REF!</f>
        <v>#REF!</v>
      </c>
      <c r="EM74" s="32" t="e">
        <f>EK74*#REF!</f>
        <v>#REF!</v>
      </c>
      <c r="EO74" s="33"/>
      <c r="EP74" s="34"/>
      <c r="EQ74" s="35"/>
      <c r="ER74" s="36"/>
      <c r="ES74" s="37"/>
      <c r="ET74" s="30">
        <f t="shared" si="16"/>
        <v>0</v>
      </c>
      <c r="EU74" s="31" t="e">
        <f>ET74*#REF!</f>
        <v>#REF!</v>
      </c>
      <c r="EV74" s="32" t="e">
        <f>ET74*#REF!</f>
        <v>#REF!</v>
      </c>
      <c r="EX74" s="33"/>
      <c r="EY74" s="34"/>
      <c r="EZ74" s="35"/>
      <c r="FA74" s="36"/>
      <c r="FB74" s="37"/>
      <c r="FC74" s="30">
        <f t="shared" si="17"/>
        <v>0</v>
      </c>
      <c r="FD74" s="31" t="e">
        <f>FC74*#REF!</f>
        <v>#REF!</v>
      </c>
      <c r="FE74" s="32" t="e">
        <f>FC74*#REF!</f>
        <v>#REF!</v>
      </c>
      <c r="FG74" s="33"/>
      <c r="FH74" s="34"/>
      <c r="FI74" s="35"/>
      <c r="FJ74" s="36"/>
      <c r="FK74" s="37"/>
      <c r="FL74" s="30">
        <f t="shared" si="18"/>
        <v>0</v>
      </c>
      <c r="FM74" s="31" t="e">
        <f>FL74*#REF!</f>
        <v>#REF!</v>
      </c>
      <c r="FN74" s="32" t="e">
        <f>FL74*#REF!</f>
        <v>#REF!</v>
      </c>
      <c r="FP74" s="33"/>
      <c r="FQ74" s="34"/>
      <c r="FR74" s="35"/>
      <c r="FS74" s="36"/>
      <c r="FT74" s="37"/>
      <c r="FU74" s="30">
        <f t="shared" si="19"/>
        <v>0</v>
      </c>
      <c r="FV74" s="31" t="e">
        <f>FU74*#REF!</f>
        <v>#REF!</v>
      </c>
      <c r="FW74" s="32" t="e">
        <f>FU74*#REF!</f>
        <v>#REF!</v>
      </c>
      <c r="FY74" s="33"/>
      <c r="FZ74" s="34"/>
      <c r="GA74" s="35"/>
      <c r="GB74" s="36"/>
      <c r="GC74" s="37"/>
      <c r="GD74" s="30">
        <f t="shared" si="20"/>
        <v>0</v>
      </c>
      <c r="GE74" s="31" t="e">
        <f>GD74*#REF!</f>
        <v>#REF!</v>
      </c>
      <c r="GF74" s="32" t="e">
        <f>GD74*#REF!</f>
        <v>#REF!</v>
      </c>
      <c r="GH74" s="33"/>
      <c r="GI74" s="34"/>
      <c r="GJ74" s="35"/>
      <c r="GK74" s="36"/>
      <c r="GL74" s="37"/>
      <c r="GM74" s="30">
        <f t="shared" si="21"/>
        <v>0</v>
      </c>
      <c r="GN74" s="31" t="e">
        <f>GM74*#REF!</f>
        <v>#REF!</v>
      </c>
      <c r="GO74" s="32" t="e">
        <f>GM74*#REF!</f>
        <v>#REF!</v>
      </c>
      <c r="GQ74" s="38">
        <f>_xlfn.MAXIFS(I74:GO74,$I$5:$GO$5,"Staff #")</f>
        <v>0</v>
      </c>
      <c r="GR74" s="39">
        <v>0</v>
      </c>
    </row>
    <row r="75" spans="2:200" ht="15" x14ac:dyDescent="0.25">
      <c r="B75" s="22"/>
      <c r="C75" s="23"/>
      <c r="D75" s="24" t="str">
        <f>IF(C75="","",_xlfn.XLOOKUP(C75,'[3]Control Sheet'!$L$5:$L$104,'[3]Control Sheet'!$M$5:$M$104,"",0))</f>
        <v/>
      </c>
      <c r="E75" s="24" t="str">
        <f>IF(B75="","",_xlfn.XLOOKUP(B75,'[3]Control Sheet'!$D$5:$D$64,'[3]Control Sheet'!$F$5:$F$64,"",0))</f>
        <v/>
      </c>
      <c r="F75" s="24" t="str">
        <f>IF(B75="","",_xlfn.XLOOKUP(B75,'[3]Control Sheet'!$D$5:$D$64,'[3]Control Sheet'!$E$5:$E$64,"",0))</f>
        <v/>
      </c>
      <c r="I75" s="33"/>
      <c r="J75" s="34"/>
      <c r="K75" s="35"/>
      <c r="L75" s="36"/>
      <c r="M75" s="37"/>
      <c r="P75" s="33"/>
      <c r="Q75" s="34"/>
      <c r="R75" s="35"/>
      <c r="S75" s="36"/>
      <c r="T75" s="37"/>
      <c r="V75" s="33"/>
      <c r="W75" s="34"/>
      <c r="X75" s="35"/>
      <c r="Y75" s="36"/>
      <c r="Z75" s="37"/>
      <c r="AB75" s="33"/>
      <c r="AC75" s="34"/>
      <c r="AD75" s="35"/>
      <c r="AE75" s="36"/>
      <c r="AF75" s="37"/>
      <c r="AH75" s="33"/>
      <c r="AI75" s="34"/>
      <c r="AJ75" s="35"/>
      <c r="AK75" s="36"/>
      <c r="AL75" s="37"/>
      <c r="AN75" s="33"/>
      <c r="AO75" s="34"/>
      <c r="AP75" s="35"/>
      <c r="AQ75" s="36"/>
      <c r="AR75" s="37"/>
      <c r="AT75" s="33"/>
      <c r="AU75" s="34"/>
      <c r="AV75" s="35"/>
      <c r="AW75" s="36"/>
      <c r="AX75" s="37"/>
      <c r="AZ75" s="33"/>
      <c r="BA75" s="34"/>
      <c r="BB75" s="35"/>
      <c r="BC75" s="36"/>
      <c r="BD75" s="37"/>
      <c r="BF75" s="33"/>
      <c r="BG75" s="34"/>
      <c r="BH75" s="35"/>
      <c r="BI75" s="36"/>
      <c r="BJ75" s="37"/>
      <c r="BL75" s="33"/>
      <c r="BM75" s="34"/>
      <c r="BN75" s="35"/>
      <c r="BO75" s="36"/>
      <c r="BP75" s="37"/>
      <c r="BR75" s="33"/>
      <c r="BS75" s="34"/>
      <c r="BT75" s="35"/>
      <c r="BU75" s="36"/>
      <c r="BV75" s="37"/>
      <c r="BX75" s="33"/>
      <c r="BY75" s="34"/>
      <c r="BZ75" s="35"/>
      <c r="CA75" s="36"/>
      <c r="CB75" s="37"/>
      <c r="CD75" s="33"/>
      <c r="CE75" s="34"/>
      <c r="CF75" s="35"/>
      <c r="CG75" s="36"/>
      <c r="CH75" s="37"/>
      <c r="CJ75" s="33"/>
      <c r="CK75" s="34"/>
      <c r="CL75" s="35"/>
      <c r="CM75" s="36"/>
      <c r="CN75" s="37"/>
      <c r="CP75" s="33"/>
      <c r="CQ75" s="34"/>
      <c r="CR75" s="35"/>
      <c r="CS75" s="36"/>
      <c r="CT75" s="37"/>
      <c r="CV75" s="33"/>
      <c r="CW75" s="34"/>
      <c r="CX75" s="35"/>
      <c r="CY75" s="36"/>
      <c r="CZ75" s="37"/>
      <c r="DA75" s="30">
        <f t="shared" si="11"/>
        <v>0</v>
      </c>
      <c r="DB75" s="31" t="e">
        <f>DA75*#REF!</f>
        <v>#REF!</v>
      </c>
      <c r="DC75" s="32" t="e">
        <f>DA75*#REF!</f>
        <v>#REF!</v>
      </c>
      <c r="DE75" s="33"/>
      <c r="DF75" s="34"/>
      <c r="DG75" s="35"/>
      <c r="DH75" s="36"/>
      <c r="DI75" s="37"/>
      <c r="DJ75" s="30">
        <f t="shared" si="12"/>
        <v>0</v>
      </c>
      <c r="DK75" s="31" t="e">
        <f>DJ75*#REF!</f>
        <v>#REF!</v>
      </c>
      <c r="DL75" s="32" t="e">
        <f>DJ75*#REF!</f>
        <v>#REF!</v>
      </c>
      <c r="DN75" s="33"/>
      <c r="DO75" s="34"/>
      <c r="DP75" s="35"/>
      <c r="DQ75" s="36"/>
      <c r="DR75" s="37"/>
      <c r="DS75" s="30">
        <f t="shared" si="13"/>
        <v>0</v>
      </c>
      <c r="DT75" s="31" t="e">
        <f>DS75*#REF!</f>
        <v>#REF!</v>
      </c>
      <c r="DU75" s="32" t="e">
        <f>DS75*#REF!</f>
        <v>#REF!</v>
      </c>
      <c r="DW75" s="33"/>
      <c r="DX75" s="34"/>
      <c r="DY75" s="35"/>
      <c r="DZ75" s="36"/>
      <c r="EA75" s="37"/>
      <c r="EB75" s="30">
        <f t="shared" si="14"/>
        <v>0</v>
      </c>
      <c r="EC75" s="31" t="e">
        <f>EB75*#REF!</f>
        <v>#REF!</v>
      </c>
      <c r="ED75" s="32" t="e">
        <f>EB75*#REF!</f>
        <v>#REF!</v>
      </c>
      <c r="EF75" s="33"/>
      <c r="EG75" s="34"/>
      <c r="EH75" s="35"/>
      <c r="EI75" s="36"/>
      <c r="EJ75" s="37"/>
      <c r="EK75" s="30">
        <f t="shared" si="15"/>
        <v>0</v>
      </c>
      <c r="EL75" s="31" t="e">
        <f>EK75*#REF!</f>
        <v>#REF!</v>
      </c>
      <c r="EM75" s="32" t="e">
        <f>EK75*#REF!</f>
        <v>#REF!</v>
      </c>
      <c r="EO75" s="33"/>
      <c r="EP75" s="34"/>
      <c r="EQ75" s="35"/>
      <c r="ER75" s="36"/>
      <c r="ES75" s="37"/>
      <c r="ET75" s="30">
        <f t="shared" si="16"/>
        <v>0</v>
      </c>
      <c r="EU75" s="31" t="e">
        <f>ET75*#REF!</f>
        <v>#REF!</v>
      </c>
      <c r="EV75" s="32" t="e">
        <f>ET75*#REF!</f>
        <v>#REF!</v>
      </c>
      <c r="EX75" s="33"/>
      <c r="EY75" s="34"/>
      <c r="EZ75" s="35"/>
      <c r="FA75" s="36"/>
      <c r="FB75" s="37"/>
      <c r="FC75" s="30">
        <f t="shared" si="17"/>
        <v>0</v>
      </c>
      <c r="FD75" s="31" t="e">
        <f>FC75*#REF!</f>
        <v>#REF!</v>
      </c>
      <c r="FE75" s="32" t="e">
        <f>FC75*#REF!</f>
        <v>#REF!</v>
      </c>
      <c r="FG75" s="33"/>
      <c r="FH75" s="34"/>
      <c r="FI75" s="35"/>
      <c r="FJ75" s="36"/>
      <c r="FK75" s="37"/>
      <c r="FL75" s="30">
        <f t="shared" si="18"/>
        <v>0</v>
      </c>
      <c r="FM75" s="31" t="e">
        <f>FL75*#REF!</f>
        <v>#REF!</v>
      </c>
      <c r="FN75" s="32" t="e">
        <f>FL75*#REF!</f>
        <v>#REF!</v>
      </c>
      <c r="FP75" s="33"/>
      <c r="FQ75" s="34"/>
      <c r="FR75" s="35"/>
      <c r="FS75" s="36"/>
      <c r="FT75" s="37"/>
      <c r="FU75" s="30">
        <f t="shared" si="19"/>
        <v>0</v>
      </c>
      <c r="FV75" s="31" t="e">
        <f>FU75*#REF!</f>
        <v>#REF!</v>
      </c>
      <c r="FW75" s="32" t="e">
        <f>FU75*#REF!</f>
        <v>#REF!</v>
      </c>
      <c r="FY75" s="33"/>
      <c r="FZ75" s="34"/>
      <c r="GA75" s="35"/>
      <c r="GB75" s="36"/>
      <c r="GC75" s="37"/>
      <c r="GD75" s="30">
        <f t="shared" si="20"/>
        <v>0</v>
      </c>
      <c r="GE75" s="31" t="e">
        <f>GD75*#REF!</f>
        <v>#REF!</v>
      </c>
      <c r="GF75" s="32" t="e">
        <f>GD75*#REF!</f>
        <v>#REF!</v>
      </c>
      <c r="GH75" s="33"/>
      <c r="GI75" s="34"/>
      <c r="GJ75" s="35"/>
      <c r="GK75" s="36"/>
      <c r="GL75" s="37"/>
      <c r="GM75" s="30">
        <f t="shared" si="21"/>
        <v>0</v>
      </c>
      <c r="GN75" s="31" t="e">
        <f>GM75*#REF!</f>
        <v>#REF!</v>
      </c>
      <c r="GO75" s="32" t="e">
        <f>GM75*#REF!</f>
        <v>#REF!</v>
      </c>
      <c r="GQ75" s="38">
        <f>_xlfn.MAXIFS(I75:GO75,$I$5:$GO$5,"Staff #")</f>
        <v>0</v>
      </c>
      <c r="GR75" s="39">
        <v>0</v>
      </c>
    </row>
    <row r="76" spans="2:200" ht="15" x14ac:dyDescent="0.25">
      <c r="B76" s="22"/>
      <c r="C76" s="23"/>
      <c r="D76" s="24" t="str">
        <f>IF(C76="","",_xlfn.XLOOKUP(C76,'[3]Control Sheet'!$L$5:$L$104,'[3]Control Sheet'!$M$5:$M$104,"",0))</f>
        <v/>
      </c>
      <c r="E76" s="24" t="str">
        <f>IF(B76="","",_xlfn.XLOOKUP(B76,'[3]Control Sheet'!$D$5:$D$64,'[3]Control Sheet'!$F$5:$F$64,"",0))</f>
        <v/>
      </c>
      <c r="F76" s="24" t="str">
        <f>IF(B76="","",_xlfn.XLOOKUP(B76,'[3]Control Sheet'!$D$5:$D$64,'[3]Control Sheet'!$E$5:$E$64,"",0))</f>
        <v/>
      </c>
      <c r="I76" s="33"/>
      <c r="J76" s="34"/>
      <c r="K76" s="35"/>
      <c r="L76" s="36"/>
      <c r="M76" s="37"/>
      <c r="P76" s="33"/>
      <c r="Q76" s="34"/>
      <c r="R76" s="35"/>
      <c r="S76" s="36"/>
      <c r="T76" s="37"/>
      <c r="V76" s="33"/>
      <c r="W76" s="34"/>
      <c r="X76" s="35"/>
      <c r="Y76" s="36"/>
      <c r="Z76" s="37"/>
      <c r="AB76" s="33"/>
      <c r="AC76" s="34"/>
      <c r="AD76" s="35"/>
      <c r="AE76" s="36"/>
      <c r="AF76" s="37"/>
      <c r="AH76" s="33"/>
      <c r="AI76" s="34"/>
      <c r="AJ76" s="35"/>
      <c r="AK76" s="36"/>
      <c r="AL76" s="37"/>
      <c r="AN76" s="33"/>
      <c r="AO76" s="34"/>
      <c r="AP76" s="35"/>
      <c r="AQ76" s="36"/>
      <c r="AR76" s="37"/>
      <c r="AT76" s="33"/>
      <c r="AU76" s="34"/>
      <c r="AV76" s="35"/>
      <c r="AW76" s="36"/>
      <c r="AX76" s="37"/>
      <c r="AZ76" s="33"/>
      <c r="BA76" s="34"/>
      <c r="BB76" s="35"/>
      <c r="BC76" s="36"/>
      <c r="BD76" s="37"/>
      <c r="BF76" s="33"/>
      <c r="BG76" s="34"/>
      <c r="BH76" s="35"/>
      <c r="BI76" s="36"/>
      <c r="BJ76" s="37"/>
      <c r="BL76" s="33"/>
      <c r="BM76" s="34"/>
      <c r="BN76" s="35"/>
      <c r="BO76" s="36"/>
      <c r="BP76" s="37"/>
      <c r="BR76" s="33"/>
      <c r="BS76" s="34"/>
      <c r="BT76" s="35"/>
      <c r="BU76" s="36"/>
      <c r="BV76" s="37"/>
      <c r="BX76" s="33"/>
      <c r="BY76" s="34"/>
      <c r="BZ76" s="35"/>
      <c r="CA76" s="36"/>
      <c r="CB76" s="37"/>
      <c r="CD76" s="33"/>
      <c r="CE76" s="34"/>
      <c r="CF76" s="35"/>
      <c r="CG76" s="36"/>
      <c r="CH76" s="37"/>
      <c r="CJ76" s="33"/>
      <c r="CK76" s="34"/>
      <c r="CL76" s="35"/>
      <c r="CM76" s="36"/>
      <c r="CN76" s="37"/>
      <c r="CP76" s="33"/>
      <c r="CQ76" s="34"/>
      <c r="CR76" s="35"/>
      <c r="CS76" s="36"/>
      <c r="CT76" s="37"/>
      <c r="CV76" s="33"/>
      <c r="CW76" s="34"/>
      <c r="CX76" s="35"/>
      <c r="CY76" s="36"/>
      <c r="CZ76" s="37"/>
      <c r="DA76" s="30">
        <f t="shared" si="11"/>
        <v>0</v>
      </c>
      <c r="DB76" s="31" t="e">
        <f>DA76*#REF!</f>
        <v>#REF!</v>
      </c>
      <c r="DC76" s="32" t="e">
        <f>DA76*#REF!</f>
        <v>#REF!</v>
      </c>
      <c r="DE76" s="33"/>
      <c r="DF76" s="34"/>
      <c r="DG76" s="35"/>
      <c r="DH76" s="36"/>
      <c r="DI76" s="37"/>
      <c r="DJ76" s="30">
        <f t="shared" si="12"/>
        <v>0</v>
      </c>
      <c r="DK76" s="31" t="e">
        <f>DJ76*#REF!</f>
        <v>#REF!</v>
      </c>
      <c r="DL76" s="32" t="e">
        <f>DJ76*#REF!</f>
        <v>#REF!</v>
      </c>
      <c r="DN76" s="33"/>
      <c r="DO76" s="34"/>
      <c r="DP76" s="35"/>
      <c r="DQ76" s="36"/>
      <c r="DR76" s="37"/>
      <c r="DS76" s="30">
        <f t="shared" si="13"/>
        <v>0</v>
      </c>
      <c r="DT76" s="31" t="e">
        <f>DS76*#REF!</f>
        <v>#REF!</v>
      </c>
      <c r="DU76" s="32" t="e">
        <f>DS76*#REF!</f>
        <v>#REF!</v>
      </c>
      <c r="DW76" s="33"/>
      <c r="DX76" s="34"/>
      <c r="DY76" s="35"/>
      <c r="DZ76" s="36"/>
      <c r="EA76" s="37"/>
      <c r="EB76" s="30">
        <f t="shared" si="14"/>
        <v>0</v>
      </c>
      <c r="EC76" s="31" t="e">
        <f>EB76*#REF!</f>
        <v>#REF!</v>
      </c>
      <c r="ED76" s="32" t="e">
        <f>EB76*#REF!</f>
        <v>#REF!</v>
      </c>
      <c r="EF76" s="33"/>
      <c r="EG76" s="34"/>
      <c r="EH76" s="35"/>
      <c r="EI76" s="36"/>
      <c r="EJ76" s="37"/>
      <c r="EK76" s="30">
        <f t="shared" si="15"/>
        <v>0</v>
      </c>
      <c r="EL76" s="31" t="e">
        <f>EK76*#REF!</f>
        <v>#REF!</v>
      </c>
      <c r="EM76" s="32" t="e">
        <f>EK76*#REF!</f>
        <v>#REF!</v>
      </c>
      <c r="EO76" s="33"/>
      <c r="EP76" s="34"/>
      <c r="EQ76" s="35"/>
      <c r="ER76" s="36"/>
      <c r="ES76" s="37"/>
      <c r="ET76" s="30">
        <f t="shared" si="16"/>
        <v>0</v>
      </c>
      <c r="EU76" s="31" t="e">
        <f>ET76*#REF!</f>
        <v>#REF!</v>
      </c>
      <c r="EV76" s="32" t="e">
        <f>ET76*#REF!</f>
        <v>#REF!</v>
      </c>
      <c r="EX76" s="33"/>
      <c r="EY76" s="34"/>
      <c r="EZ76" s="35"/>
      <c r="FA76" s="36"/>
      <c r="FB76" s="37"/>
      <c r="FC76" s="30">
        <f t="shared" si="17"/>
        <v>0</v>
      </c>
      <c r="FD76" s="31" t="e">
        <f>FC76*#REF!</f>
        <v>#REF!</v>
      </c>
      <c r="FE76" s="32" t="e">
        <f>FC76*#REF!</f>
        <v>#REF!</v>
      </c>
      <c r="FG76" s="33"/>
      <c r="FH76" s="34"/>
      <c r="FI76" s="35"/>
      <c r="FJ76" s="36"/>
      <c r="FK76" s="37"/>
      <c r="FL76" s="30">
        <f t="shared" si="18"/>
        <v>0</v>
      </c>
      <c r="FM76" s="31" t="e">
        <f>FL76*#REF!</f>
        <v>#REF!</v>
      </c>
      <c r="FN76" s="32" t="e">
        <f>FL76*#REF!</f>
        <v>#REF!</v>
      </c>
      <c r="FP76" s="33"/>
      <c r="FQ76" s="34"/>
      <c r="FR76" s="35"/>
      <c r="FS76" s="36"/>
      <c r="FT76" s="37"/>
      <c r="FU76" s="30">
        <f t="shared" si="19"/>
        <v>0</v>
      </c>
      <c r="FV76" s="31" t="e">
        <f>FU76*#REF!</f>
        <v>#REF!</v>
      </c>
      <c r="FW76" s="32" t="e">
        <f>FU76*#REF!</f>
        <v>#REF!</v>
      </c>
      <c r="FY76" s="33"/>
      <c r="FZ76" s="34"/>
      <c r="GA76" s="35"/>
      <c r="GB76" s="36"/>
      <c r="GC76" s="37"/>
      <c r="GD76" s="30">
        <f t="shared" si="20"/>
        <v>0</v>
      </c>
      <c r="GE76" s="31" t="e">
        <f>GD76*#REF!</f>
        <v>#REF!</v>
      </c>
      <c r="GF76" s="32" t="e">
        <f>GD76*#REF!</f>
        <v>#REF!</v>
      </c>
      <c r="GH76" s="33"/>
      <c r="GI76" s="34"/>
      <c r="GJ76" s="35"/>
      <c r="GK76" s="36"/>
      <c r="GL76" s="37"/>
      <c r="GM76" s="30">
        <f t="shared" si="21"/>
        <v>0</v>
      </c>
      <c r="GN76" s="31" t="e">
        <f>GM76*#REF!</f>
        <v>#REF!</v>
      </c>
      <c r="GO76" s="32" t="e">
        <f>GM76*#REF!</f>
        <v>#REF!</v>
      </c>
      <c r="GQ76" s="38">
        <f>_xlfn.MAXIFS(I76:GO76,$I$5:$GO$5,"Staff #")</f>
        <v>0</v>
      </c>
      <c r="GR76" s="39">
        <v>0</v>
      </c>
    </row>
    <row r="77" spans="2:200" ht="15" x14ac:dyDescent="0.25">
      <c r="B77" s="22"/>
      <c r="C77" s="23"/>
      <c r="D77" s="24" t="str">
        <f>IF(C77="","",_xlfn.XLOOKUP(C77,'[3]Control Sheet'!$L$5:$L$104,'[3]Control Sheet'!$M$5:$M$104,"",0))</f>
        <v/>
      </c>
      <c r="E77" s="24" t="str">
        <f>IF(B77="","",_xlfn.XLOOKUP(B77,'[3]Control Sheet'!$D$5:$D$64,'[3]Control Sheet'!$F$5:$F$64,"",0))</f>
        <v/>
      </c>
      <c r="F77" s="24" t="str">
        <f>IF(B77="","",_xlfn.XLOOKUP(B77,'[3]Control Sheet'!$D$5:$D$64,'[3]Control Sheet'!$E$5:$E$64,"",0))</f>
        <v/>
      </c>
      <c r="I77" s="33"/>
      <c r="J77" s="34"/>
      <c r="K77" s="35"/>
      <c r="L77" s="36"/>
      <c r="M77" s="37"/>
      <c r="P77" s="33"/>
      <c r="Q77" s="34"/>
      <c r="R77" s="35"/>
      <c r="S77" s="36"/>
      <c r="T77" s="37"/>
      <c r="V77" s="33"/>
      <c r="W77" s="34"/>
      <c r="X77" s="35"/>
      <c r="Y77" s="36"/>
      <c r="Z77" s="37"/>
      <c r="AB77" s="33"/>
      <c r="AC77" s="34"/>
      <c r="AD77" s="35"/>
      <c r="AE77" s="36"/>
      <c r="AF77" s="37"/>
      <c r="AH77" s="33"/>
      <c r="AI77" s="34"/>
      <c r="AJ77" s="35"/>
      <c r="AK77" s="36"/>
      <c r="AL77" s="37"/>
      <c r="AN77" s="33"/>
      <c r="AO77" s="34"/>
      <c r="AP77" s="35"/>
      <c r="AQ77" s="36"/>
      <c r="AR77" s="37"/>
      <c r="AT77" s="33"/>
      <c r="AU77" s="34"/>
      <c r="AV77" s="35"/>
      <c r="AW77" s="36"/>
      <c r="AX77" s="37"/>
      <c r="AZ77" s="33"/>
      <c r="BA77" s="34"/>
      <c r="BB77" s="35"/>
      <c r="BC77" s="36"/>
      <c r="BD77" s="37"/>
      <c r="BF77" s="33"/>
      <c r="BG77" s="34"/>
      <c r="BH77" s="35"/>
      <c r="BI77" s="36"/>
      <c r="BJ77" s="37"/>
      <c r="BL77" s="33"/>
      <c r="BM77" s="34"/>
      <c r="BN77" s="35"/>
      <c r="BO77" s="36"/>
      <c r="BP77" s="37"/>
      <c r="BR77" s="33"/>
      <c r="BS77" s="34"/>
      <c r="BT77" s="35"/>
      <c r="BU77" s="36"/>
      <c r="BV77" s="37"/>
      <c r="BX77" s="33"/>
      <c r="BY77" s="34"/>
      <c r="BZ77" s="35"/>
      <c r="CA77" s="36"/>
      <c r="CB77" s="37"/>
      <c r="CD77" s="33"/>
      <c r="CE77" s="34"/>
      <c r="CF77" s="35"/>
      <c r="CG77" s="36"/>
      <c r="CH77" s="37"/>
      <c r="CJ77" s="33"/>
      <c r="CK77" s="34"/>
      <c r="CL77" s="35"/>
      <c r="CM77" s="36"/>
      <c r="CN77" s="37"/>
      <c r="CP77" s="33"/>
      <c r="CQ77" s="34"/>
      <c r="CR77" s="35"/>
      <c r="CS77" s="36"/>
      <c r="CT77" s="37"/>
      <c r="CV77" s="33"/>
      <c r="CW77" s="34"/>
      <c r="CX77" s="35"/>
      <c r="CY77" s="36"/>
      <c r="CZ77" s="37"/>
      <c r="DA77" s="30">
        <f t="shared" si="11"/>
        <v>0</v>
      </c>
      <c r="DB77" s="31" t="e">
        <f>DA77*#REF!</f>
        <v>#REF!</v>
      </c>
      <c r="DC77" s="32" t="e">
        <f>DA77*#REF!</f>
        <v>#REF!</v>
      </c>
      <c r="DE77" s="33"/>
      <c r="DF77" s="34"/>
      <c r="DG77" s="35"/>
      <c r="DH77" s="36"/>
      <c r="DI77" s="37"/>
      <c r="DJ77" s="30">
        <f t="shared" si="12"/>
        <v>0</v>
      </c>
      <c r="DK77" s="31" t="e">
        <f>DJ77*#REF!</f>
        <v>#REF!</v>
      </c>
      <c r="DL77" s="32" t="e">
        <f>DJ77*#REF!</f>
        <v>#REF!</v>
      </c>
      <c r="DN77" s="33"/>
      <c r="DO77" s="34"/>
      <c r="DP77" s="35"/>
      <c r="DQ77" s="36"/>
      <c r="DR77" s="37"/>
      <c r="DS77" s="30">
        <f t="shared" si="13"/>
        <v>0</v>
      </c>
      <c r="DT77" s="31" t="e">
        <f>DS77*#REF!</f>
        <v>#REF!</v>
      </c>
      <c r="DU77" s="32" t="e">
        <f>DS77*#REF!</f>
        <v>#REF!</v>
      </c>
      <c r="DW77" s="33"/>
      <c r="DX77" s="34"/>
      <c r="DY77" s="35"/>
      <c r="DZ77" s="36"/>
      <c r="EA77" s="37"/>
      <c r="EB77" s="30">
        <f t="shared" si="14"/>
        <v>0</v>
      </c>
      <c r="EC77" s="31" t="e">
        <f>EB77*#REF!</f>
        <v>#REF!</v>
      </c>
      <c r="ED77" s="32" t="e">
        <f>EB77*#REF!</f>
        <v>#REF!</v>
      </c>
      <c r="EF77" s="33"/>
      <c r="EG77" s="34"/>
      <c r="EH77" s="35"/>
      <c r="EI77" s="36"/>
      <c r="EJ77" s="37"/>
      <c r="EK77" s="30">
        <f t="shared" si="15"/>
        <v>0</v>
      </c>
      <c r="EL77" s="31" t="e">
        <f>EK77*#REF!</f>
        <v>#REF!</v>
      </c>
      <c r="EM77" s="32" t="e">
        <f>EK77*#REF!</f>
        <v>#REF!</v>
      </c>
      <c r="EO77" s="33"/>
      <c r="EP77" s="34"/>
      <c r="EQ77" s="35"/>
      <c r="ER77" s="36"/>
      <c r="ES77" s="37"/>
      <c r="ET77" s="30">
        <f t="shared" si="16"/>
        <v>0</v>
      </c>
      <c r="EU77" s="31" t="e">
        <f>ET77*#REF!</f>
        <v>#REF!</v>
      </c>
      <c r="EV77" s="32" t="e">
        <f>ET77*#REF!</f>
        <v>#REF!</v>
      </c>
      <c r="EX77" s="33"/>
      <c r="EY77" s="34"/>
      <c r="EZ77" s="35"/>
      <c r="FA77" s="36"/>
      <c r="FB77" s="37"/>
      <c r="FC77" s="30">
        <f t="shared" si="17"/>
        <v>0</v>
      </c>
      <c r="FD77" s="31" t="e">
        <f>FC77*#REF!</f>
        <v>#REF!</v>
      </c>
      <c r="FE77" s="32" t="e">
        <f>FC77*#REF!</f>
        <v>#REF!</v>
      </c>
      <c r="FG77" s="33"/>
      <c r="FH77" s="34"/>
      <c r="FI77" s="35"/>
      <c r="FJ77" s="36"/>
      <c r="FK77" s="37"/>
      <c r="FL77" s="30">
        <f t="shared" si="18"/>
        <v>0</v>
      </c>
      <c r="FM77" s="31" t="e">
        <f>FL77*#REF!</f>
        <v>#REF!</v>
      </c>
      <c r="FN77" s="32" t="e">
        <f>FL77*#REF!</f>
        <v>#REF!</v>
      </c>
      <c r="FP77" s="33"/>
      <c r="FQ77" s="34"/>
      <c r="FR77" s="35"/>
      <c r="FS77" s="36"/>
      <c r="FT77" s="37"/>
      <c r="FU77" s="30">
        <f t="shared" si="19"/>
        <v>0</v>
      </c>
      <c r="FV77" s="31" t="e">
        <f>FU77*#REF!</f>
        <v>#REF!</v>
      </c>
      <c r="FW77" s="32" t="e">
        <f>FU77*#REF!</f>
        <v>#REF!</v>
      </c>
      <c r="FY77" s="33"/>
      <c r="FZ77" s="34"/>
      <c r="GA77" s="35"/>
      <c r="GB77" s="36"/>
      <c r="GC77" s="37"/>
      <c r="GD77" s="30">
        <f t="shared" si="20"/>
        <v>0</v>
      </c>
      <c r="GE77" s="31" t="e">
        <f>GD77*#REF!</f>
        <v>#REF!</v>
      </c>
      <c r="GF77" s="32" t="e">
        <f>GD77*#REF!</f>
        <v>#REF!</v>
      </c>
      <c r="GH77" s="33"/>
      <c r="GI77" s="34"/>
      <c r="GJ77" s="35"/>
      <c r="GK77" s="36"/>
      <c r="GL77" s="37"/>
      <c r="GM77" s="30">
        <f t="shared" si="21"/>
        <v>0</v>
      </c>
      <c r="GN77" s="31" t="e">
        <f>GM77*#REF!</f>
        <v>#REF!</v>
      </c>
      <c r="GO77" s="32" t="e">
        <f>GM77*#REF!</f>
        <v>#REF!</v>
      </c>
      <c r="GQ77" s="38">
        <f>_xlfn.MAXIFS(I77:GO77,$I$5:$GO$5,"Staff #")</f>
        <v>0</v>
      </c>
      <c r="GR77" s="39">
        <v>0</v>
      </c>
    </row>
    <row r="78" spans="2:200" ht="15" x14ac:dyDescent="0.25">
      <c r="B78" s="22"/>
      <c r="C78" s="23"/>
      <c r="D78" s="24" t="str">
        <f>IF(C78="","",_xlfn.XLOOKUP(C78,'[3]Control Sheet'!$L$5:$L$104,'[3]Control Sheet'!$M$5:$M$104,"",0))</f>
        <v/>
      </c>
      <c r="E78" s="24" t="str">
        <f>IF(B78="","",_xlfn.XLOOKUP(B78,'[3]Control Sheet'!$D$5:$D$64,'[3]Control Sheet'!$F$5:$F$64,"",0))</f>
        <v/>
      </c>
      <c r="F78" s="24" t="str">
        <f>IF(B78="","",_xlfn.XLOOKUP(B78,'[3]Control Sheet'!$D$5:$D$64,'[3]Control Sheet'!$E$5:$E$64,"",0))</f>
        <v/>
      </c>
      <c r="I78" s="33"/>
      <c r="J78" s="34"/>
      <c r="K78" s="35"/>
      <c r="L78" s="36"/>
      <c r="M78" s="37"/>
      <c r="P78" s="33"/>
      <c r="Q78" s="34"/>
      <c r="R78" s="35"/>
      <c r="S78" s="36"/>
      <c r="T78" s="37"/>
      <c r="V78" s="33"/>
      <c r="W78" s="34"/>
      <c r="X78" s="35"/>
      <c r="Y78" s="36"/>
      <c r="Z78" s="37"/>
      <c r="AB78" s="33"/>
      <c r="AC78" s="34"/>
      <c r="AD78" s="35"/>
      <c r="AE78" s="36"/>
      <c r="AF78" s="37"/>
      <c r="AH78" s="33"/>
      <c r="AI78" s="34"/>
      <c r="AJ78" s="35"/>
      <c r="AK78" s="36"/>
      <c r="AL78" s="37"/>
      <c r="AN78" s="33"/>
      <c r="AO78" s="34"/>
      <c r="AP78" s="35"/>
      <c r="AQ78" s="36"/>
      <c r="AR78" s="37"/>
      <c r="AT78" s="33"/>
      <c r="AU78" s="34"/>
      <c r="AV78" s="35"/>
      <c r="AW78" s="36"/>
      <c r="AX78" s="37"/>
      <c r="AZ78" s="33"/>
      <c r="BA78" s="34"/>
      <c r="BB78" s="35"/>
      <c r="BC78" s="36"/>
      <c r="BD78" s="37"/>
      <c r="BF78" s="33"/>
      <c r="BG78" s="34"/>
      <c r="BH78" s="35"/>
      <c r="BI78" s="36"/>
      <c r="BJ78" s="37"/>
      <c r="BL78" s="33"/>
      <c r="BM78" s="34"/>
      <c r="BN78" s="35"/>
      <c r="BO78" s="36"/>
      <c r="BP78" s="37"/>
      <c r="BR78" s="33"/>
      <c r="BS78" s="34"/>
      <c r="BT78" s="35"/>
      <c r="BU78" s="36"/>
      <c r="BV78" s="37"/>
      <c r="BX78" s="33"/>
      <c r="BY78" s="34"/>
      <c r="BZ78" s="35"/>
      <c r="CA78" s="36"/>
      <c r="CB78" s="37"/>
      <c r="CD78" s="33"/>
      <c r="CE78" s="34"/>
      <c r="CF78" s="35"/>
      <c r="CG78" s="36"/>
      <c r="CH78" s="37"/>
      <c r="CJ78" s="33"/>
      <c r="CK78" s="34"/>
      <c r="CL78" s="35"/>
      <c r="CM78" s="36"/>
      <c r="CN78" s="37"/>
      <c r="CP78" s="33"/>
      <c r="CQ78" s="34"/>
      <c r="CR78" s="35"/>
      <c r="CS78" s="36"/>
      <c r="CT78" s="37"/>
      <c r="CV78" s="33"/>
      <c r="CW78" s="34"/>
      <c r="CX78" s="35"/>
      <c r="CY78" s="36"/>
      <c r="CZ78" s="37"/>
      <c r="DA78" s="30">
        <f t="shared" si="11"/>
        <v>0</v>
      </c>
      <c r="DB78" s="31" t="e">
        <f>DA78*#REF!</f>
        <v>#REF!</v>
      </c>
      <c r="DC78" s="32" t="e">
        <f>DA78*#REF!</f>
        <v>#REF!</v>
      </c>
      <c r="DE78" s="33"/>
      <c r="DF78" s="34"/>
      <c r="DG78" s="35"/>
      <c r="DH78" s="36"/>
      <c r="DI78" s="37"/>
      <c r="DJ78" s="30">
        <f t="shared" si="12"/>
        <v>0</v>
      </c>
      <c r="DK78" s="31" t="e">
        <f>DJ78*#REF!</f>
        <v>#REF!</v>
      </c>
      <c r="DL78" s="32" t="e">
        <f>DJ78*#REF!</f>
        <v>#REF!</v>
      </c>
      <c r="DN78" s="33"/>
      <c r="DO78" s="34"/>
      <c r="DP78" s="35"/>
      <c r="DQ78" s="36"/>
      <c r="DR78" s="37"/>
      <c r="DS78" s="30">
        <f t="shared" si="13"/>
        <v>0</v>
      </c>
      <c r="DT78" s="31" t="e">
        <f>DS78*#REF!</f>
        <v>#REF!</v>
      </c>
      <c r="DU78" s="32" t="e">
        <f>DS78*#REF!</f>
        <v>#REF!</v>
      </c>
      <c r="DW78" s="33"/>
      <c r="DX78" s="34"/>
      <c r="DY78" s="35"/>
      <c r="DZ78" s="36"/>
      <c r="EA78" s="37"/>
      <c r="EB78" s="30">
        <f t="shared" si="14"/>
        <v>0</v>
      </c>
      <c r="EC78" s="31" t="e">
        <f>EB78*#REF!</f>
        <v>#REF!</v>
      </c>
      <c r="ED78" s="32" t="e">
        <f>EB78*#REF!</f>
        <v>#REF!</v>
      </c>
      <c r="EF78" s="33"/>
      <c r="EG78" s="34"/>
      <c r="EH78" s="35"/>
      <c r="EI78" s="36"/>
      <c r="EJ78" s="37"/>
      <c r="EK78" s="30">
        <f t="shared" si="15"/>
        <v>0</v>
      </c>
      <c r="EL78" s="31" t="e">
        <f>EK78*#REF!</f>
        <v>#REF!</v>
      </c>
      <c r="EM78" s="32" t="e">
        <f>EK78*#REF!</f>
        <v>#REF!</v>
      </c>
      <c r="EO78" s="33"/>
      <c r="EP78" s="34"/>
      <c r="EQ78" s="35"/>
      <c r="ER78" s="36"/>
      <c r="ES78" s="37"/>
      <c r="ET78" s="30">
        <f t="shared" si="16"/>
        <v>0</v>
      </c>
      <c r="EU78" s="31" t="e">
        <f>ET78*#REF!</f>
        <v>#REF!</v>
      </c>
      <c r="EV78" s="32" t="e">
        <f>ET78*#REF!</f>
        <v>#REF!</v>
      </c>
      <c r="EX78" s="33"/>
      <c r="EY78" s="34"/>
      <c r="EZ78" s="35"/>
      <c r="FA78" s="36"/>
      <c r="FB78" s="37"/>
      <c r="FC78" s="30">
        <f t="shared" si="17"/>
        <v>0</v>
      </c>
      <c r="FD78" s="31" t="e">
        <f>FC78*#REF!</f>
        <v>#REF!</v>
      </c>
      <c r="FE78" s="32" t="e">
        <f>FC78*#REF!</f>
        <v>#REF!</v>
      </c>
      <c r="FG78" s="33"/>
      <c r="FH78" s="34"/>
      <c r="FI78" s="35"/>
      <c r="FJ78" s="36"/>
      <c r="FK78" s="37"/>
      <c r="FL78" s="30">
        <f t="shared" si="18"/>
        <v>0</v>
      </c>
      <c r="FM78" s="31" t="e">
        <f>FL78*#REF!</f>
        <v>#REF!</v>
      </c>
      <c r="FN78" s="32" t="e">
        <f>FL78*#REF!</f>
        <v>#REF!</v>
      </c>
      <c r="FP78" s="33"/>
      <c r="FQ78" s="34"/>
      <c r="FR78" s="35"/>
      <c r="FS78" s="36"/>
      <c r="FT78" s="37"/>
      <c r="FU78" s="30">
        <f t="shared" si="19"/>
        <v>0</v>
      </c>
      <c r="FV78" s="31" t="e">
        <f>FU78*#REF!</f>
        <v>#REF!</v>
      </c>
      <c r="FW78" s="32" t="e">
        <f>FU78*#REF!</f>
        <v>#REF!</v>
      </c>
      <c r="FY78" s="33"/>
      <c r="FZ78" s="34"/>
      <c r="GA78" s="35"/>
      <c r="GB78" s="36"/>
      <c r="GC78" s="37"/>
      <c r="GD78" s="30">
        <f t="shared" si="20"/>
        <v>0</v>
      </c>
      <c r="GE78" s="31" t="e">
        <f>GD78*#REF!</f>
        <v>#REF!</v>
      </c>
      <c r="GF78" s="32" t="e">
        <f>GD78*#REF!</f>
        <v>#REF!</v>
      </c>
      <c r="GH78" s="33"/>
      <c r="GI78" s="34"/>
      <c r="GJ78" s="35"/>
      <c r="GK78" s="36"/>
      <c r="GL78" s="37"/>
      <c r="GM78" s="30">
        <f t="shared" si="21"/>
        <v>0</v>
      </c>
      <c r="GN78" s="31" t="e">
        <f>GM78*#REF!</f>
        <v>#REF!</v>
      </c>
      <c r="GO78" s="32" t="e">
        <f>GM78*#REF!</f>
        <v>#REF!</v>
      </c>
      <c r="GQ78" s="38">
        <f>_xlfn.MAXIFS(I78:GO78,$I$5:$GO$5,"Staff #")</f>
        <v>0</v>
      </c>
      <c r="GR78" s="39">
        <v>0</v>
      </c>
    </row>
    <row r="79" spans="2:200" ht="15" x14ac:dyDescent="0.25">
      <c r="B79" s="22"/>
      <c r="C79" s="23"/>
      <c r="D79" s="24" t="str">
        <f>IF(C79="","",_xlfn.XLOOKUP(C79,'[3]Control Sheet'!$L$5:$L$104,'[3]Control Sheet'!$M$5:$M$104,"",0))</f>
        <v/>
      </c>
      <c r="E79" s="24" t="str">
        <f>IF(B79="","",_xlfn.XLOOKUP(B79,'[3]Control Sheet'!$D$5:$D$64,'[3]Control Sheet'!$F$5:$F$64,"",0))</f>
        <v/>
      </c>
      <c r="F79" s="24" t="str">
        <f>IF(B79="","",_xlfn.XLOOKUP(B79,'[3]Control Sheet'!$D$5:$D$64,'[3]Control Sheet'!$E$5:$E$64,"",0))</f>
        <v/>
      </c>
      <c r="I79" s="33"/>
      <c r="J79" s="34"/>
      <c r="K79" s="35"/>
      <c r="L79" s="36"/>
      <c r="M79" s="37"/>
      <c r="P79" s="33"/>
      <c r="Q79" s="34"/>
      <c r="R79" s="35"/>
      <c r="S79" s="36"/>
      <c r="T79" s="37"/>
      <c r="V79" s="33"/>
      <c r="W79" s="34"/>
      <c r="X79" s="35"/>
      <c r="Y79" s="36"/>
      <c r="Z79" s="37"/>
      <c r="AB79" s="33"/>
      <c r="AC79" s="34"/>
      <c r="AD79" s="35"/>
      <c r="AE79" s="36"/>
      <c r="AF79" s="37"/>
      <c r="AH79" s="33"/>
      <c r="AI79" s="34"/>
      <c r="AJ79" s="35"/>
      <c r="AK79" s="36"/>
      <c r="AL79" s="37"/>
      <c r="AN79" s="33"/>
      <c r="AO79" s="34"/>
      <c r="AP79" s="35"/>
      <c r="AQ79" s="36"/>
      <c r="AR79" s="37"/>
      <c r="AT79" s="33"/>
      <c r="AU79" s="34"/>
      <c r="AV79" s="35"/>
      <c r="AW79" s="36"/>
      <c r="AX79" s="37"/>
      <c r="AZ79" s="33"/>
      <c r="BA79" s="34"/>
      <c r="BB79" s="35"/>
      <c r="BC79" s="36"/>
      <c r="BD79" s="37"/>
      <c r="BF79" s="33"/>
      <c r="BG79" s="34"/>
      <c r="BH79" s="35"/>
      <c r="BI79" s="36"/>
      <c r="BJ79" s="37"/>
      <c r="BL79" s="33"/>
      <c r="BM79" s="34"/>
      <c r="BN79" s="35"/>
      <c r="BO79" s="36"/>
      <c r="BP79" s="37"/>
      <c r="BR79" s="33"/>
      <c r="BS79" s="34"/>
      <c r="BT79" s="35"/>
      <c r="BU79" s="36"/>
      <c r="BV79" s="37"/>
      <c r="BX79" s="33"/>
      <c r="BY79" s="34"/>
      <c r="BZ79" s="35"/>
      <c r="CA79" s="36"/>
      <c r="CB79" s="37"/>
      <c r="CD79" s="33"/>
      <c r="CE79" s="34"/>
      <c r="CF79" s="35"/>
      <c r="CG79" s="36"/>
      <c r="CH79" s="37"/>
      <c r="CJ79" s="33"/>
      <c r="CK79" s="34"/>
      <c r="CL79" s="35"/>
      <c r="CM79" s="36"/>
      <c r="CN79" s="37"/>
      <c r="CP79" s="33"/>
      <c r="CQ79" s="34"/>
      <c r="CR79" s="35"/>
      <c r="CS79" s="36"/>
      <c r="CT79" s="37"/>
      <c r="CV79" s="33"/>
      <c r="CW79" s="34"/>
      <c r="CX79" s="35"/>
      <c r="CY79" s="36"/>
      <c r="CZ79" s="37"/>
      <c r="DA79" s="30">
        <f t="shared" si="11"/>
        <v>0</v>
      </c>
      <c r="DB79" s="31" t="e">
        <f>DA79*#REF!</f>
        <v>#REF!</v>
      </c>
      <c r="DC79" s="32" t="e">
        <f>DA79*#REF!</f>
        <v>#REF!</v>
      </c>
      <c r="DE79" s="33"/>
      <c r="DF79" s="34"/>
      <c r="DG79" s="35"/>
      <c r="DH79" s="36"/>
      <c r="DI79" s="37"/>
      <c r="DJ79" s="30">
        <f t="shared" si="12"/>
        <v>0</v>
      </c>
      <c r="DK79" s="31" t="e">
        <f>DJ79*#REF!</f>
        <v>#REF!</v>
      </c>
      <c r="DL79" s="32" t="e">
        <f>DJ79*#REF!</f>
        <v>#REF!</v>
      </c>
      <c r="DN79" s="33"/>
      <c r="DO79" s="34"/>
      <c r="DP79" s="35"/>
      <c r="DQ79" s="36"/>
      <c r="DR79" s="37"/>
      <c r="DS79" s="30">
        <f t="shared" si="13"/>
        <v>0</v>
      </c>
      <c r="DT79" s="31" t="e">
        <f>DS79*#REF!</f>
        <v>#REF!</v>
      </c>
      <c r="DU79" s="32" t="e">
        <f>DS79*#REF!</f>
        <v>#REF!</v>
      </c>
      <c r="DW79" s="33"/>
      <c r="DX79" s="34"/>
      <c r="DY79" s="35"/>
      <c r="DZ79" s="36"/>
      <c r="EA79" s="37"/>
      <c r="EB79" s="30">
        <f t="shared" si="14"/>
        <v>0</v>
      </c>
      <c r="EC79" s="31" t="e">
        <f>EB79*#REF!</f>
        <v>#REF!</v>
      </c>
      <c r="ED79" s="32" t="e">
        <f>EB79*#REF!</f>
        <v>#REF!</v>
      </c>
      <c r="EF79" s="33"/>
      <c r="EG79" s="34"/>
      <c r="EH79" s="35"/>
      <c r="EI79" s="36"/>
      <c r="EJ79" s="37"/>
      <c r="EK79" s="30">
        <f t="shared" si="15"/>
        <v>0</v>
      </c>
      <c r="EL79" s="31" t="e">
        <f>EK79*#REF!</f>
        <v>#REF!</v>
      </c>
      <c r="EM79" s="32" t="e">
        <f>EK79*#REF!</f>
        <v>#REF!</v>
      </c>
      <c r="EO79" s="33"/>
      <c r="EP79" s="34"/>
      <c r="EQ79" s="35"/>
      <c r="ER79" s="36"/>
      <c r="ES79" s="37"/>
      <c r="ET79" s="30">
        <f t="shared" si="16"/>
        <v>0</v>
      </c>
      <c r="EU79" s="31" t="e">
        <f>ET79*#REF!</f>
        <v>#REF!</v>
      </c>
      <c r="EV79" s="32" t="e">
        <f>ET79*#REF!</f>
        <v>#REF!</v>
      </c>
      <c r="EX79" s="33"/>
      <c r="EY79" s="34"/>
      <c r="EZ79" s="35"/>
      <c r="FA79" s="36"/>
      <c r="FB79" s="37"/>
      <c r="FC79" s="30">
        <f t="shared" si="17"/>
        <v>0</v>
      </c>
      <c r="FD79" s="31" t="e">
        <f>FC79*#REF!</f>
        <v>#REF!</v>
      </c>
      <c r="FE79" s="32" t="e">
        <f>FC79*#REF!</f>
        <v>#REF!</v>
      </c>
      <c r="FG79" s="33"/>
      <c r="FH79" s="34"/>
      <c r="FI79" s="35"/>
      <c r="FJ79" s="36"/>
      <c r="FK79" s="37"/>
      <c r="FL79" s="30">
        <f t="shared" si="18"/>
        <v>0</v>
      </c>
      <c r="FM79" s="31" t="e">
        <f>FL79*#REF!</f>
        <v>#REF!</v>
      </c>
      <c r="FN79" s="32" t="e">
        <f>FL79*#REF!</f>
        <v>#REF!</v>
      </c>
      <c r="FP79" s="33"/>
      <c r="FQ79" s="34"/>
      <c r="FR79" s="35"/>
      <c r="FS79" s="36"/>
      <c r="FT79" s="37"/>
      <c r="FU79" s="30">
        <f t="shared" si="19"/>
        <v>0</v>
      </c>
      <c r="FV79" s="31" t="e">
        <f>FU79*#REF!</f>
        <v>#REF!</v>
      </c>
      <c r="FW79" s="32" t="e">
        <f>FU79*#REF!</f>
        <v>#REF!</v>
      </c>
      <c r="FY79" s="33"/>
      <c r="FZ79" s="34"/>
      <c r="GA79" s="35"/>
      <c r="GB79" s="36"/>
      <c r="GC79" s="37"/>
      <c r="GD79" s="30">
        <f t="shared" si="20"/>
        <v>0</v>
      </c>
      <c r="GE79" s="31" t="e">
        <f>GD79*#REF!</f>
        <v>#REF!</v>
      </c>
      <c r="GF79" s="32" t="e">
        <f>GD79*#REF!</f>
        <v>#REF!</v>
      </c>
      <c r="GH79" s="33"/>
      <c r="GI79" s="34"/>
      <c r="GJ79" s="35"/>
      <c r="GK79" s="36"/>
      <c r="GL79" s="37"/>
      <c r="GM79" s="30">
        <f t="shared" si="21"/>
        <v>0</v>
      </c>
      <c r="GN79" s="31" t="e">
        <f>GM79*#REF!</f>
        <v>#REF!</v>
      </c>
      <c r="GO79" s="32" t="e">
        <f>GM79*#REF!</f>
        <v>#REF!</v>
      </c>
      <c r="GQ79" s="38">
        <f>_xlfn.MAXIFS(I79:GO79,$I$5:$GO$5,"Staff #")</f>
        <v>0</v>
      </c>
      <c r="GR79" s="39">
        <v>0</v>
      </c>
    </row>
    <row r="80" spans="2:200" ht="15" x14ac:dyDescent="0.25">
      <c r="B80" s="22"/>
      <c r="C80" s="23"/>
      <c r="D80" s="24" t="str">
        <f>IF(C80="","",_xlfn.XLOOKUP(C80,'[3]Control Sheet'!$L$5:$L$104,'[3]Control Sheet'!$M$5:$M$104,"",0))</f>
        <v/>
      </c>
      <c r="E80" s="24" t="str">
        <f>IF(B80="","",_xlfn.XLOOKUP(B80,'[3]Control Sheet'!$D$5:$D$64,'[3]Control Sheet'!$F$5:$F$64,"",0))</f>
        <v/>
      </c>
      <c r="F80" s="24" t="str">
        <f>IF(B80="","",_xlfn.XLOOKUP(B80,'[3]Control Sheet'!$D$5:$D$64,'[3]Control Sheet'!$E$5:$E$64,"",0))</f>
        <v/>
      </c>
      <c r="I80" s="33"/>
      <c r="J80" s="34"/>
      <c r="K80" s="35"/>
      <c r="L80" s="36"/>
      <c r="M80" s="37"/>
      <c r="P80" s="33"/>
      <c r="Q80" s="34"/>
      <c r="R80" s="35"/>
      <c r="S80" s="36"/>
      <c r="T80" s="37"/>
      <c r="V80" s="33"/>
      <c r="W80" s="34"/>
      <c r="X80" s="35"/>
      <c r="Y80" s="36"/>
      <c r="Z80" s="37"/>
      <c r="AB80" s="33"/>
      <c r="AC80" s="34"/>
      <c r="AD80" s="35"/>
      <c r="AE80" s="36"/>
      <c r="AF80" s="37"/>
      <c r="AH80" s="33"/>
      <c r="AI80" s="34"/>
      <c r="AJ80" s="35"/>
      <c r="AK80" s="36"/>
      <c r="AL80" s="37"/>
      <c r="AN80" s="33"/>
      <c r="AO80" s="34"/>
      <c r="AP80" s="35"/>
      <c r="AQ80" s="36"/>
      <c r="AR80" s="37"/>
      <c r="AT80" s="33"/>
      <c r="AU80" s="34"/>
      <c r="AV80" s="35"/>
      <c r="AW80" s="36"/>
      <c r="AX80" s="37"/>
      <c r="AZ80" s="33"/>
      <c r="BA80" s="34"/>
      <c r="BB80" s="35"/>
      <c r="BC80" s="36"/>
      <c r="BD80" s="37"/>
      <c r="BF80" s="33"/>
      <c r="BG80" s="34"/>
      <c r="BH80" s="35"/>
      <c r="BI80" s="36"/>
      <c r="BJ80" s="37"/>
      <c r="BL80" s="33"/>
      <c r="BM80" s="34"/>
      <c r="BN80" s="35"/>
      <c r="BO80" s="36"/>
      <c r="BP80" s="37"/>
      <c r="BR80" s="33"/>
      <c r="BS80" s="34"/>
      <c r="BT80" s="35"/>
      <c r="BU80" s="36"/>
      <c r="BV80" s="37"/>
      <c r="BX80" s="33"/>
      <c r="BY80" s="34"/>
      <c r="BZ80" s="35"/>
      <c r="CA80" s="36"/>
      <c r="CB80" s="37"/>
      <c r="CD80" s="33"/>
      <c r="CE80" s="34"/>
      <c r="CF80" s="35"/>
      <c r="CG80" s="36"/>
      <c r="CH80" s="37"/>
      <c r="CJ80" s="33"/>
      <c r="CK80" s="34"/>
      <c r="CL80" s="35"/>
      <c r="CM80" s="36"/>
      <c r="CN80" s="37"/>
      <c r="CP80" s="33"/>
      <c r="CQ80" s="34"/>
      <c r="CR80" s="35"/>
      <c r="CS80" s="36"/>
      <c r="CT80" s="37"/>
      <c r="CV80" s="33"/>
      <c r="CW80" s="34"/>
      <c r="CX80" s="35"/>
      <c r="CY80" s="36"/>
      <c r="CZ80" s="37"/>
      <c r="DA80" s="30">
        <f t="shared" si="11"/>
        <v>0</v>
      </c>
      <c r="DB80" s="31" t="e">
        <f>DA80*#REF!</f>
        <v>#REF!</v>
      </c>
      <c r="DC80" s="32" t="e">
        <f>DA80*#REF!</f>
        <v>#REF!</v>
      </c>
      <c r="DE80" s="33"/>
      <c r="DF80" s="34"/>
      <c r="DG80" s="35"/>
      <c r="DH80" s="36"/>
      <c r="DI80" s="37"/>
      <c r="DJ80" s="30">
        <f t="shared" si="12"/>
        <v>0</v>
      </c>
      <c r="DK80" s="31" t="e">
        <f>DJ80*#REF!</f>
        <v>#REF!</v>
      </c>
      <c r="DL80" s="32" t="e">
        <f>DJ80*#REF!</f>
        <v>#REF!</v>
      </c>
      <c r="DN80" s="33"/>
      <c r="DO80" s="34"/>
      <c r="DP80" s="35"/>
      <c r="DQ80" s="36"/>
      <c r="DR80" s="37"/>
      <c r="DS80" s="30">
        <f t="shared" si="13"/>
        <v>0</v>
      </c>
      <c r="DT80" s="31" t="e">
        <f>DS80*#REF!</f>
        <v>#REF!</v>
      </c>
      <c r="DU80" s="32" t="e">
        <f>DS80*#REF!</f>
        <v>#REF!</v>
      </c>
      <c r="DW80" s="33"/>
      <c r="DX80" s="34"/>
      <c r="DY80" s="35"/>
      <c r="DZ80" s="36"/>
      <c r="EA80" s="37"/>
      <c r="EB80" s="30">
        <f t="shared" si="14"/>
        <v>0</v>
      </c>
      <c r="EC80" s="31" t="e">
        <f>EB80*#REF!</f>
        <v>#REF!</v>
      </c>
      <c r="ED80" s="32" t="e">
        <f>EB80*#REF!</f>
        <v>#REF!</v>
      </c>
      <c r="EF80" s="33"/>
      <c r="EG80" s="34"/>
      <c r="EH80" s="35"/>
      <c r="EI80" s="36"/>
      <c r="EJ80" s="37"/>
      <c r="EK80" s="30">
        <f t="shared" si="15"/>
        <v>0</v>
      </c>
      <c r="EL80" s="31" t="e">
        <f>EK80*#REF!</f>
        <v>#REF!</v>
      </c>
      <c r="EM80" s="32" t="e">
        <f>EK80*#REF!</f>
        <v>#REF!</v>
      </c>
      <c r="EO80" s="33"/>
      <c r="EP80" s="34"/>
      <c r="EQ80" s="35"/>
      <c r="ER80" s="36"/>
      <c r="ES80" s="37"/>
      <c r="ET80" s="30">
        <f t="shared" si="16"/>
        <v>0</v>
      </c>
      <c r="EU80" s="31" t="e">
        <f>ET80*#REF!</f>
        <v>#REF!</v>
      </c>
      <c r="EV80" s="32" t="e">
        <f>ET80*#REF!</f>
        <v>#REF!</v>
      </c>
      <c r="EX80" s="33"/>
      <c r="EY80" s="34"/>
      <c r="EZ80" s="35"/>
      <c r="FA80" s="36"/>
      <c r="FB80" s="37"/>
      <c r="FC80" s="30">
        <f t="shared" si="17"/>
        <v>0</v>
      </c>
      <c r="FD80" s="31" t="e">
        <f>FC80*#REF!</f>
        <v>#REF!</v>
      </c>
      <c r="FE80" s="32" t="e">
        <f>FC80*#REF!</f>
        <v>#REF!</v>
      </c>
      <c r="FG80" s="33"/>
      <c r="FH80" s="34"/>
      <c r="FI80" s="35"/>
      <c r="FJ80" s="36"/>
      <c r="FK80" s="37"/>
      <c r="FL80" s="30">
        <f t="shared" si="18"/>
        <v>0</v>
      </c>
      <c r="FM80" s="31" t="e">
        <f>FL80*#REF!</f>
        <v>#REF!</v>
      </c>
      <c r="FN80" s="32" t="e">
        <f>FL80*#REF!</f>
        <v>#REF!</v>
      </c>
      <c r="FP80" s="33"/>
      <c r="FQ80" s="34"/>
      <c r="FR80" s="35"/>
      <c r="FS80" s="36"/>
      <c r="FT80" s="37"/>
      <c r="FU80" s="30">
        <f t="shared" si="19"/>
        <v>0</v>
      </c>
      <c r="FV80" s="31" t="e">
        <f>FU80*#REF!</f>
        <v>#REF!</v>
      </c>
      <c r="FW80" s="32" t="e">
        <f>FU80*#REF!</f>
        <v>#REF!</v>
      </c>
      <c r="FY80" s="33"/>
      <c r="FZ80" s="34"/>
      <c r="GA80" s="35"/>
      <c r="GB80" s="36"/>
      <c r="GC80" s="37"/>
      <c r="GD80" s="30">
        <f t="shared" si="20"/>
        <v>0</v>
      </c>
      <c r="GE80" s="31" t="e">
        <f>GD80*#REF!</f>
        <v>#REF!</v>
      </c>
      <c r="GF80" s="32" t="e">
        <f>GD80*#REF!</f>
        <v>#REF!</v>
      </c>
      <c r="GH80" s="33"/>
      <c r="GI80" s="34"/>
      <c r="GJ80" s="35"/>
      <c r="GK80" s="36"/>
      <c r="GL80" s="37"/>
      <c r="GM80" s="30">
        <f t="shared" si="21"/>
        <v>0</v>
      </c>
      <c r="GN80" s="31" t="e">
        <f>GM80*#REF!</f>
        <v>#REF!</v>
      </c>
      <c r="GO80" s="32" t="e">
        <f>GM80*#REF!</f>
        <v>#REF!</v>
      </c>
      <c r="GQ80" s="38">
        <f>_xlfn.MAXIFS(I80:GO80,$I$5:$GO$5,"Staff #")</f>
        <v>0</v>
      </c>
      <c r="GR80" s="39">
        <v>0</v>
      </c>
    </row>
    <row r="81" spans="2:200" ht="15" x14ac:dyDescent="0.25">
      <c r="B81" s="22"/>
      <c r="C81" s="23"/>
      <c r="D81" s="24" t="str">
        <f>IF(C81="","",_xlfn.XLOOKUP(C81,'[3]Control Sheet'!$L$5:$L$104,'[3]Control Sheet'!$M$5:$M$104,"",0))</f>
        <v/>
      </c>
      <c r="E81" s="24" t="str">
        <f>IF(B81="","",_xlfn.XLOOKUP(B81,'[3]Control Sheet'!$D$5:$D$64,'[3]Control Sheet'!$F$5:$F$64,"",0))</f>
        <v/>
      </c>
      <c r="F81" s="24" t="str">
        <f>IF(B81="","",_xlfn.XLOOKUP(B81,'[3]Control Sheet'!$D$5:$D$64,'[3]Control Sheet'!$E$5:$E$64,"",0))</f>
        <v/>
      </c>
      <c r="I81" s="33"/>
      <c r="J81" s="34"/>
      <c r="K81" s="35"/>
      <c r="L81" s="36"/>
      <c r="M81" s="37"/>
      <c r="P81" s="33"/>
      <c r="Q81" s="34"/>
      <c r="R81" s="35"/>
      <c r="S81" s="36"/>
      <c r="T81" s="37"/>
      <c r="V81" s="33"/>
      <c r="W81" s="34"/>
      <c r="X81" s="35"/>
      <c r="Y81" s="36"/>
      <c r="Z81" s="37"/>
      <c r="AB81" s="33"/>
      <c r="AC81" s="34"/>
      <c r="AD81" s="35"/>
      <c r="AE81" s="36"/>
      <c r="AF81" s="37"/>
      <c r="AH81" s="33"/>
      <c r="AI81" s="34"/>
      <c r="AJ81" s="35"/>
      <c r="AK81" s="36"/>
      <c r="AL81" s="37"/>
      <c r="AN81" s="33"/>
      <c r="AO81" s="34"/>
      <c r="AP81" s="35"/>
      <c r="AQ81" s="36"/>
      <c r="AR81" s="37"/>
      <c r="AT81" s="33"/>
      <c r="AU81" s="34"/>
      <c r="AV81" s="35"/>
      <c r="AW81" s="36"/>
      <c r="AX81" s="37"/>
      <c r="AZ81" s="33"/>
      <c r="BA81" s="34"/>
      <c r="BB81" s="35"/>
      <c r="BC81" s="36"/>
      <c r="BD81" s="37"/>
      <c r="BF81" s="33"/>
      <c r="BG81" s="34"/>
      <c r="BH81" s="35"/>
      <c r="BI81" s="36"/>
      <c r="BJ81" s="37"/>
      <c r="BL81" s="33"/>
      <c r="BM81" s="34"/>
      <c r="BN81" s="35"/>
      <c r="BO81" s="36"/>
      <c r="BP81" s="37"/>
      <c r="BR81" s="33"/>
      <c r="BS81" s="34"/>
      <c r="BT81" s="35"/>
      <c r="BU81" s="36"/>
      <c r="BV81" s="37"/>
      <c r="BX81" s="33"/>
      <c r="BY81" s="34"/>
      <c r="BZ81" s="35"/>
      <c r="CA81" s="36"/>
      <c r="CB81" s="37"/>
      <c r="CD81" s="33"/>
      <c r="CE81" s="34"/>
      <c r="CF81" s="35"/>
      <c r="CG81" s="36"/>
      <c r="CH81" s="37"/>
      <c r="CJ81" s="33"/>
      <c r="CK81" s="34"/>
      <c r="CL81" s="35"/>
      <c r="CM81" s="36"/>
      <c r="CN81" s="37"/>
      <c r="CP81" s="33"/>
      <c r="CQ81" s="34"/>
      <c r="CR81" s="35"/>
      <c r="CS81" s="36"/>
      <c r="CT81" s="37"/>
      <c r="CV81" s="33"/>
      <c r="CW81" s="34"/>
      <c r="CX81" s="35"/>
      <c r="CY81" s="36"/>
      <c r="CZ81" s="37"/>
      <c r="DA81" s="30">
        <f t="shared" si="11"/>
        <v>0</v>
      </c>
      <c r="DB81" s="31" t="e">
        <f>DA81*#REF!</f>
        <v>#REF!</v>
      </c>
      <c r="DC81" s="32" t="e">
        <f>DA81*#REF!</f>
        <v>#REF!</v>
      </c>
      <c r="DE81" s="33"/>
      <c r="DF81" s="34"/>
      <c r="DG81" s="35"/>
      <c r="DH81" s="36"/>
      <c r="DI81" s="37"/>
      <c r="DJ81" s="30">
        <f t="shared" si="12"/>
        <v>0</v>
      </c>
      <c r="DK81" s="31" t="e">
        <f>DJ81*#REF!</f>
        <v>#REF!</v>
      </c>
      <c r="DL81" s="32" t="e">
        <f>DJ81*#REF!</f>
        <v>#REF!</v>
      </c>
      <c r="DN81" s="33"/>
      <c r="DO81" s="34"/>
      <c r="DP81" s="35"/>
      <c r="DQ81" s="36"/>
      <c r="DR81" s="37"/>
      <c r="DS81" s="30">
        <f t="shared" si="13"/>
        <v>0</v>
      </c>
      <c r="DT81" s="31" t="e">
        <f>DS81*#REF!</f>
        <v>#REF!</v>
      </c>
      <c r="DU81" s="32" t="e">
        <f>DS81*#REF!</f>
        <v>#REF!</v>
      </c>
      <c r="DW81" s="33"/>
      <c r="DX81" s="34"/>
      <c r="DY81" s="35"/>
      <c r="DZ81" s="36"/>
      <c r="EA81" s="37"/>
      <c r="EB81" s="30">
        <f t="shared" si="14"/>
        <v>0</v>
      </c>
      <c r="EC81" s="31" t="e">
        <f>EB81*#REF!</f>
        <v>#REF!</v>
      </c>
      <c r="ED81" s="32" t="e">
        <f>EB81*#REF!</f>
        <v>#REF!</v>
      </c>
      <c r="EF81" s="33"/>
      <c r="EG81" s="34"/>
      <c r="EH81" s="35"/>
      <c r="EI81" s="36"/>
      <c r="EJ81" s="37"/>
      <c r="EK81" s="30">
        <f t="shared" si="15"/>
        <v>0</v>
      </c>
      <c r="EL81" s="31" t="e">
        <f>EK81*#REF!</f>
        <v>#REF!</v>
      </c>
      <c r="EM81" s="32" t="e">
        <f>EK81*#REF!</f>
        <v>#REF!</v>
      </c>
      <c r="EO81" s="33"/>
      <c r="EP81" s="34"/>
      <c r="EQ81" s="35"/>
      <c r="ER81" s="36"/>
      <c r="ES81" s="37"/>
      <c r="ET81" s="30">
        <f t="shared" si="16"/>
        <v>0</v>
      </c>
      <c r="EU81" s="31" t="e">
        <f>ET81*#REF!</f>
        <v>#REF!</v>
      </c>
      <c r="EV81" s="32" t="e">
        <f>ET81*#REF!</f>
        <v>#REF!</v>
      </c>
      <c r="EX81" s="33"/>
      <c r="EY81" s="34"/>
      <c r="EZ81" s="35"/>
      <c r="FA81" s="36"/>
      <c r="FB81" s="37"/>
      <c r="FC81" s="30">
        <f t="shared" si="17"/>
        <v>0</v>
      </c>
      <c r="FD81" s="31" t="e">
        <f>FC81*#REF!</f>
        <v>#REF!</v>
      </c>
      <c r="FE81" s="32" t="e">
        <f>FC81*#REF!</f>
        <v>#REF!</v>
      </c>
      <c r="FG81" s="33"/>
      <c r="FH81" s="34"/>
      <c r="FI81" s="35"/>
      <c r="FJ81" s="36"/>
      <c r="FK81" s="37"/>
      <c r="FL81" s="30">
        <f t="shared" si="18"/>
        <v>0</v>
      </c>
      <c r="FM81" s="31" t="e">
        <f>FL81*#REF!</f>
        <v>#REF!</v>
      </c>
      <c r="FN81" s="32" t="e">
        <f>FL81*#REF!</f>
        <v>#REF!</v>
      </c>
      <c r="FP81" s="33"/>
      <c r="FQ81" s="34"/>
      <c r="FR81" s="35"/>
      <c r="FS81" s="36"/>
      <c r="FT81" s="37"/>
      <c r="FU81" s="30">
        <f t="shared" si="19"/>
        <v>0</v>
      </c>
      <c r="FV81" s="31" t="e">
        <f>FU81*#REF!</f>
        <v>#REF!</v>
      </c>
      <c r="FW81" s="32" t="e">
        <f>FU81*#REF!</f>
        <v>#REF!</v>
      </c>
      <c r="FY81" s="33"/>
      <c r="FZ81" s="34"/>
      <c r="GA81" s="35"/>
      <c r="GB81" s="36"/>
      <c r="GC81" s="37"/>
      <c r="GD81" s="30">
        <f t="shared" si="20"/>
        <v>0</v>
      </c>
      <c r="GE81" s="31" t="e">
        <f>GD81*#REF!</f>
        <v>#REF!</v>
      </c>
      <c r="GF81" s="32" t="e">
        <f>GD81*#REF!</f>
        <v>#REF!</v>
      </c>
      <c r="GH81" s="33"/>
      <c r="GI81" s="34"/>
      <c r="GJ81" s="35"/>
      <c r="GK81" s="36"/>
      <c r="GL81" s="37"/>
      <c r="GM81" s="30">
        <f t="shared" si="21"/>
        <v>0</v>
      </c>
      <c r="GN81" s="31" t="e">
        <f>GM81*#REF!</f>
        <v>#REF!</v>
      </c>
      <c r="GO81" s="32" t="e">
        <f>GM81*#REF!</f>
        <v>#REF!</v>
      </c>
      <c r="GQ81" s="38">
        <f>_xlfn.MAXIFS(I81:GO81,$I$5:$GO$5,"Staff #")</f>
        <v>0</v>
      </c>
      <c r="GR81" s="39">
        <v>0</v>
      </c>
    </row>
    <row r="82" spans="2:200" ht="15" x14ac:dyDescent="0.25">
      <c r="B82" s="22"/>
      <c r="C82" s="23"/>
      <c r="D82" s="24" t="str">
        <f>IF(C82="","",_xlfn.XLOOKUP(C82,'[3]Control Sheet'!$L$5:$L$104,'[3]Control Sheet'!$M$5:$M$104,"",0))</f>
        <v/>
      </c>
      <c r="E82" s="24" t="str">
        <f>IF(B82="","",_xlfn.XLOOKUP(B82,'[3]Control Sheet'!$D$5:$D$64,'[3]Control Sheet'!$F$5:$F$64,"",0))</f>
        <v/>
      </c>
      <c r="F82" s="24" t="str">
        <f>IF(B82="","",_xlfn.XLOOKUP(B82,'[3]Control Sheet'!$D$5:$D$64,'[3]Control Sheet'!$E$5:$E$64,"",0))</f>
        <v/>
      </c>
      <c r="I82" s="33"/>
      <c r="J82" s="34"/>
      <c r="K82" s="35"/>
      <c r="L82" s="36"/>
      <c r="M82" s="37"/>
      <c r="P82" s="33"/>
      <c r="Q82" s="34"/>
      <c r="R82" s="35"/>
      <c r="S82" s="36"/>
      <c r="T82" s="37"/>
      <c r="V82" s="33"/>
      <c r="W82" s="34"/>
      <c r="X82" s="35"/>
      <c r="Y82" s="36"/>
      <c r="Z82" s="37"/>
      <c r="AB82" s="33"/>
      <c r="AC82" s="34"/>
      <c r="AD82" s="35"/>
      <c r="AE82" s="36"/>
      <c r="AF82" s="37"/>
      <c r="AH82" s="33"/>
      <c r="AI82" s="34"/>
      <c r="AJ82" s="35"/>
      <c r="AK82" s="36"/>
      <c r="AL82" s="37"/>
      <c r="AN82" s="33"/>
      <c r="AO82" s="34"/>
      <c r="AP82" s="35"/>
      <c r="AQ82" s="36"/>
      <c r="AR82" s="37"/>
      <c r="AT82" s="33"/>
      <c r="AU82" s="34"/>
      <c r="AV82" s="35"/>
      <c r="AW82" s="36"/>
      <c r="AX82" s="37"/>
      <c r="AZ82" s="33"/>
      <c r="BA82" s="34"/>
      <c r="BB82" s="35"/>
      <c r="BC82" s="36"/>
      <c r="BD82" s="37"/>
      <c r="BF82" s="33"/>
      <c r="BG82" s="34"/>
      <c r="BH82" s="35"/>
      <c r="BI82" s="36"/>
      <c r="BJ82" s="37"/>
      <c r="BL82" s="33"/>
      <c r="BM82" s="34"/>
      <c r="BN82" s="35"/>
      <c r="BO82" s="36"/>
      <c r="BP82" s="37"/>
      <c r="BR82" s="33"/>
      <c r="BS82" s="34"/>
      <c r="BT82" s="35"/>
      <c r="BU82" s="36"/>
      <c r="BV82" s="37"/>
      <c r="BX82" s="33"/>
      <c r="BY82" s="34"/>
      <c r="BZ82" s="35"/>
      <c r="CA82" s="36"/>
      <c r="CB82" s="37"/>
      <c r="CD82" s="33"/>
      <c r="CE82" s="34"/>
      <c r="CF82" s="35"/>
      <c r="CG82" s="36"/>
      <c r="CH82" s="37"/>
      <c r="CJ82" s="33"/>
      <c r="CK82" s="34"/>
      <c r="CL82" s="35"/>
      <c r="CM82" s="36"/>
      <c r="CN82" s="37"/>
      <c r="CP82" s="33"/>
      <c r="CQ82" s="34"/>
      <c r="CR82" s="35"/>
      <c r="CS82" s="36"/>
      <c r="CT82" s="37"/>
      <c r="CV82" s="33"/>
      <c r="CW82" s="34"/>
      <c r="CX82" s="35"/>
      <c r="CY82" s="36"/>
      <c r="CZ82" s="37"/>
      <c r="DA82" s="30">
        <f t="shared" si="11"/>
        <v>0</v>
      </c>
      <c r="DB82" s="31" t="e">
        <f>DA82*#REF!</f>
        <v>#REF!</v>
      </c>
      <c r="DC82" s="32" t="e">
        <f>DA82*#REF!</f>
        <v>#REF!</v>
      </c>
      <c r="DE82" s="33"/>
      <c r="DF82" s="34"/>
      <c r="DG82" s="35"/>
      <c r="DH82" s="36"/>
      <c r="DI82" s="37"/>
      <c r="DJ82" s="30">
        <f t="shared" si="12"/>
        <v>0</v>
      </c>
      <c r="DK82" s="31" t="e">
        <f>DJ82*#REF!</f>
        <v>#REF!</v>
      </c>
      <c r="DL82" s="32" t="e">
        <f>DJ82*#REF!</f>
        <v>#REF!</v>
      </c>
      <c r="DN82" s="33"/>
      <c r="DO82" s="34"/>
      <c r="DP82" s="35"/>
      <c r="DQ82" s="36"/>
      <c r="DR82" s="37"/>
      <c r="DS82" s="30">
        <f t="shared" si="13"/>
        <v>0</v>
      </c>
      <c r="DT82" s="31" t="e">
        <f>DS82*#REF!</f>
        <v>#REF!</v>
      </c>
      <c r="DU82" s="32" t="e">
        <f>DS82*#REF!</f>
        <v>#REF!</v>
      </c>
      <c r="DW82" s="33"/>
      <c r="DX82" s="34"/>
      <c r="DY82" s="35"/>
      <c r="DZ82" s="36"/>
      <c r="EA82" s="37"/>
      <c r="EB82" s="30">
        <f t="shared" si="14"/>
        <v>0</v>
      </c>
      <c r="EC82" s="31" t="e">
        <f>EB82*#REF!</f>
        <v>#REF!</v>
      </c>
      <c r="ED82" s="32" t="e">
        <f>EB82*#REF!</f>
        <v>#REF!</v>
      </c>
      <c r="EF82" s="33"/>
      <c r="EG82" s="34"/>
      <c r="EH82" s="35"/>
      <c r="EI82" s="36"/>
      <c r="EJ82" s="37"/>
      <c r="EK82" s="30">
        <f t="shared" si="15"/>
        <v>0</v>
      </c>
      <c r="EL82" s="31" t="e">
        <f>EK82*#REF!</f>
        <v>#REF!</v>
      </c>
      <c r="EM82" s="32" t="e">
        <f>EK82*#REF!</f>
        <v>#REF!</v>
      </c>
      <c r="EO82" s="33"/>
      <c r="EP82" s="34"/>
      <c r="EQ82" s="35"/>
      <c r="ER82" s="36"/>
      <c r="ES82" s="37"/>
      <c r="ET82" s="30">
        <f t="shared" si="16"/>
        <v>0</v>
      </c>
      <c r="EU82" s="31" t="e">
        <f>ET82*#REF!</f>
        <v>#REF!</v>
      </c>
      <c r="EV82" s="32" t="e">
        <f>ET82*#REF!</f>
        <v>#REF!</v>
      </c>
      <c r="EX82" s="33"/>
      <c r="EY82" s="34"/>
      <c r="EZ82" s="35"/>
      <c r="FA82" s="36"/>
      <c r="FB82" s="37"/>
      <c r="FC82" s="30">
        <f t="shared" si="17"/>
        <v>0</v>
      </c>
      <c r="FD82" s="31" t="e">
        <f>FC82*#REF!</f>
        <v>#REF!</v>
      </c>
      <c r="FE82" s="32" t="e">
        <f>FC82*#REF!</f>
        <v>#REF!</v>
      </c>
      <c r="FG82" s="33"/>
      <c r="FH82" s="34"/>
      <c r="FI82" s="35"/>
      <c r="FJ82" s="36"/>
      <c r="FK82" s="37"/>
      <c r="FL82" s="30">
        <f t="shared" si="18"/>
        <v>0</v>
      </c>
      <c r="FM82" s="31" t="e">
        <f>FL82*#REF!</f>
        <v>#REF!</v>
      </c>
      <c r="FN82" s="32" t="e">
        <f>FL82*#REF!</f>
        <v>#REF!</v>
      </c>
      <c r="FP82" s="33"/>
      <c r="FQ82" s="34"/>
      <c r="FR82" s="35"/>
      <c r="FS82" s="36"/>
      <c r="FT82" s="37"/>
      <c r="FU82" s="30">
        <f t="shared" si="19"/>
        <v>0</v>
      </c>
      <c r="FV82" s="31" t="e">
        <f>FU82*#REF!</f>
        <v>#REF!</v>
      </c>
      <c r="FW82" s="32" t="e">
        <f>FU82*#REF!</f>
        <v>#REF!</v>
      </c>
      <c r="FY82" s="33"/>
      <c r="FZ82" s="34"/>
      <c r="GA82" s="35"/>
      <c r="GB82" s="36"/>
      <c r="GC82" s="37"/>
      <c r="GD82" s="30">
        <f t="shared" si="20"/>
        <v>0</v>
      </c>
      <c r="GE82" s="31" t="e">
        <f>GD82*#REF!</f>
        <v>#REF!</v>
      </c>
      <c r="GF82" s="32" t="e">
        <f>GD82*#REF!</f>
        <v>#REF!</v>
      </c>
      <c r="GH82" s="33"/>
      <c r="GI82" s="34"/>
      <c r="GJ82" s="35"/>
      <c r="GK82" s="36"/>
      <c r="GL82" s="37"/>
      <c r="GM82" s="30">
        <f t="shared" si="21"/>
        <v>0</v>
      </c>
      <c r="GN82" s="31" t="e">
        <f>GM82*#REF!</f>
        <v>#REF!</v>
      </c>
      <c r="GO82" s="32" t="e">
        <f>GM82*#REF!</f>
        <v>#REF!</v>
      </c>
      <c r="GQ82" s="38">
        <f>_xlfn.MAXIFS(I82:GO82,$I$5:$GO$5,"Staff #")</f>
        <v>0</v>
      </c>
      <c r="GR82" s="39">
        <v>0</v>
      </c>
    </row>
    <row r="83" spans="2:200" ht="15" x14ac:dyDescent="0.25">
      <c r="B83" s="22"/>
      <c r="C83" s="23"/>
      <c r="D83" s="24" t="str">
        <f>IF(C83="","",_xlfn.XLOOKUP(C83,'[3]Control Sheet'!$L$5:$L$104,'[3]Control Sheet'!$M$5:$M$104,"",0))</f>
        <v/>
      </c>
      <c r="E83" s="24" t="str">
        <f>IF(B83="","",_xlfn.XLOOKUP(B83,'[3]Control Sheet'!$D$5:$D$64,'[3]Control Sheet'!$F$5:$F$64,"",0))</f>
        <v/>
      </c>
      <c r="F83" s="24" t="str">
        <f>IF(B83="","",_xlfn.XLOOKUP(B83,'[3]Control Sheet'!$D$5:$D$64,'[3]Control Sheet'!$E$5:$E$64,"",0))</f>
        <v/>
      </c>
      <c r="I83" s="33"/>
      <c r="J83" s="34"/>
      <c r="K83" s="35"/>
      <c r="L83" s="36"/>
      <c r="M83" s="37"/>
      <c r="P83" s="33"/>
      <c r="Q83" s="34"/>
      <c r="R83" s="35"/>
      <c r="S83" s="36"/>
      <c r="T83" s="37"/>
      <c r="V83" s="33"/>
      <c r="W83" s="34"/>
      <c r="X83" s="35"/>
      <c r="Y83" s="36"/>
      <c r="Z83" s="37"/>
      <c r="AB83" s="33"/>
      <c r="AC83" s="34"/>
      <c r="AD83" s="35"/>
      <c r="AE83" s="36"/>
      <c r="AF83" s="37"/>
      <c r="AH83" s="33"/>
      <c r="AI83" s="34"/>
      <c r="AJ83" s="35"/>
      <c r="AK83" s="36"/>
      <c r="AL83" s="37"/>
      <c r="AN83" s="33"/>
      <c r="AO83" s="34"/>
      <c r="AP83" s="35"/>
      <c r="AQ83" s="36"/>
      <c r="AR83" s="37"/>
      <c r="AT83" s="33"/>
      <c r="AU83" s="34"/>
      <c r="AV83" s="35"/>
      <c r="AW83" s="36"/>
      <c r="AX83" s="37"/>
      <c r="AZ83" s="33"/>
      <c r="BA83" s="34"/>
      <c r="BB83" s="35"/>
      <c r="BC83" s="36"/>
      <c r="BD83" s="37"/>
      <c r="BF83" s="33"/>
      <c r="BG83" s="34"/>
      <c r="BH83" s="35"/>
      <c r="BI83" s="36"/>
      <c r="BJ83" s="37"/>
      <c r="BL83" s="33"/>
      <c r="BM83" s="34"/>
      <c r="BN83" s="35"/>
      <c r="BO83" s="36"/>
      <c r="BP83" s="37"/>
      <c r="BR83" s="33"/>
      <c r="BS83" s="34"/>
      <c r="BT83" s="35"/>
      <c r="BU83" s="36"/>
      <c r="BV83" s="37"/>
      <c r="BX83" s="33"/>
      <c r="BY83" s="34"/>
      <c r="BZ83" s="35"/>
      <c r="CA83" s="36"/>
      <c r="CB83" s="37"/>
      <c r="CD83" s="33"/>
      <c r="CE83" s="34"/>
      <c r="CF83" s="35"/>
      <c r="CG83" s="36"/>
      <c r="CH83" s="37"/>
      <c r="CJ83" s="33"/>
      <c r="CK83" s="34"/>
      <c r="CL83" s="35"/>
      <c r="CM83" s="36"/>
      <c r="CN83" s="37"/>
      <c r="CP83" s="33"/>
      <c r="CQ83" s="34"/>
      <c r="CR83" s="35"/>
      <c r="CS83" s="36"/>
      <c r="CT83" s="37"/>
      <c r="CV83" s="33"/>
      <c r="CW83" s="34"/>
      <c r="CX83" s="35"/>
      <c r="CY83" s="36"/>
      <c r="CZ83" s="37"/>
      <c r="DA83" s="30">
        <f t="shared" si="11"/>
        <v>0</v>
      </c>
      <c r="DB83" s="31" t="e">
        <f>DA83*#REF!</f>
        <v>#REF!</v>
      </c>
      <c r="DC83" s="32" t="e">
        <f>DA83*#REF!</f>
        <v>#REF!</v>
      </c>
      <c r="DE83" s="33"/>
      <c r="DF83" s="34"/>
      <c r="DG83" s="35"/>
      <c r="DH83" s="36"/>
      <c r="DI83" s="37"/>
      <c r="DJ83" s="30">
        <f t="shared" si="12"/>
        <v>0</v>
      </c>
      <c r="DK83" s="31" t="e">
        <f>DJ83*#REF!</f>
        <v>#REF!</v>
      </c>
      <c r="DL83" s="32" t="e">
        <f>DJ83*#REF!</f>
        <v>#REF!</v>
      </c>
      <c r="DN83" s="33"/>
      <c r="DO83" s="34"/>
      <c r="DP83" s="35"/>
      <c r="DQ83" s="36"/>
      <c r="DR83" s="37"/>
      <c r="DS83" s="30">
        <f t="shared" si="13"/>
        <v>0</v>
      </c>
      <c r="DT83" s="31" t="e">
        <f>DS83*#REF!</f>
        <v>#REF!</v>
      </c>
      <c r="DU83" s="32" t="e">
        <f>DS83*#REF!</f>
        <v>#REF!</v>
      </c>
      <c r="DW83" s="33"/>
      <c r="DX83" s="34"/>
      <c r="DY83" s="35"/>
      <c r="DZ83" s="36"/>
      <c r="EA83" s="37"/>
      <c r="EB83" s="30">
        <f t="shared" si="14"/>
        <v>0</v>
      </c>
      <c r="EC83" s="31" t="e">
        <f>EB83*#REF!</f>
        <v>#REF!</v>
      </c>
      <c r="ED83" s="32" t="e">
        <f>EB83*#REF!</f>
        <v>#REF!</v>
      </c>
      <c r="EF83" s="33"/>
      <c r="EG83" s="34"/>
      <c r="EH83" s="35"/>
      <c r="EI83" s="36"/>
      <c r="EJ83" s="37"/>
      <c r="EK83" s="30">
        <f t="shared" si="15"/>
        <v>0</v>
      </c>
      <c r="EL83" s="31" t="e">
        <f>EK83*#REF!</f>
        <v>#REF!</v>
      </c>
      <c r="EM83" s="32" t="e">
        <f>EK83*#REF!</f>
        <v>#REF!</v>
      </c>
      <c r="EO83" s="33"/>
      <c r="EP83" s="34"/>
      <c r="EQ83" s="35"/>
      <c r="ER83" s="36"/>
      <c r="ES83" s="37"/>
      <c r="ET83" s="30">
        <f t="shared" si="16"/>
        <v>0</v>
      </c>
      <c r="EU83" s="31" t="e">
        <f>ET83*#REF!</f>
        <v>#REF!</v>
      </c>
      <c r="EV83" s="32" t="e">
        <f>ET83*#REF!</f>
        <v>#REF!</v>
      </c>
      <c r="EX83" s="33"/>
      <c r="EY83" s="34"/>
      <c r="EZ83" s="35"/>
      <c r="FA83" s="36"/>
      <c r="FB83" s="37"/>
      <c r="FC83" s="30">
        <f t="shared" si="17"/>
        <v>0</v>
      </c>
      <c r="FD83" s="31" t="e">
        <f>FC83*#REF!</f>
        <v>#REF!</v>
      </c>
      <c r="FE83" s="32" t="e">
        <f>FC83*#REF!</f>
        <v>#REF!</v>
      </c>
      <c r="FG83" s="33"/>
      <c r="FH83" s="34"/>
      <c r="FI83" s="35"/>
      <c r="FJ83" s="36"/>
      <c r="FK83" s="37"/>
      <c r="FL83" s="30">
        <f t="shared" si="18"/>
        <v>0</v>
      </c>
      <c r="FM83" s="31" t="e">
        <f>FL83*#REF!</f>
        <v>#REF!</v>
      </c>
      <c r="FN83" s="32" t="e">
        <f>FL83*#REF!</f>
        <v>#REF!</v>
      </c>
      <c r="FP83" s="33"/>
      <c r="FQ83" s="34"/>
      <c r="FR83" s="35"/>
      <c r="FS83" s="36"/>
      <c r="FT83" s="37"/>
      <c r="FU83" s="30">
        <f t="shared" si="19"/>
        <v>0</v>
      </c>
      <c r="FV83" s="31" t="e">
        <f>FU83*#REF!</f>
        <v>#REF!</v>
      </c>
      <c r="FW83" s="32" t="e">
        <f>FU83*#REF!</f>
        <v>#REF!</v>
      </c>
      <c r="FY83" s="33"/>
      <c r="FZ83" s="34"/>
      <c r="GA83" s="35"/>
      <c r="GB83" s="36"/>
      <c r="GC83" s="37"/>
      <c r="GD83" s="30">
        <f t="shared" si="20"/>
        <v>0</v>
      </c>
      <c r="GE83" s="31" t="e">
        <f>GD83*#REF!</f>
        <v>#REF!</v>
      </c>
      <c r="GF83" s="32" t="e">
        <f>GD83*#REF!</f>
        <v>#REF!</v>
      </c>
      <c r="GH83" s="33"/>
      <c r="GI83" s="34"/>
      <c r="GJ83" s="35"/>
      <c r="GK83" s="36"/>
      <c r="GL83" s="37"/>
      <c r="GM83" s="30">
        <f t="shared" si="21"/>
        <v>0</v>
      </c>
      <c r="GN83" s="31" t="e">
        <f>GM83*#REF!</f>
        <v>#REF!</v>
      </c>
      <c r="GO83" s="32" t="e">
        <f>GM83*#REF!</f>
        <v>#REF!</v>
      </c>
      <c r="GQ83" s="38">
        <f>_xlfn.MAXIFS(I83:GO83,$I$5:$GO$5,"Staff #")</f>
        <v>0</v>
      </c>
      <c r="GR83" s="39">
        <v>0</v>
      </c>
    </row>
    <row r="84" spans="2:200" ht="15" x14ac:dyDescent="0.25">
      <c r="B84" s="22"/>
      <c r="C84" s="23"/>
      <c r="D84" s="24" t="str">
        <f>IF(C84="","",_xlfn.XLOOKUP(C84,'[3]Control Sheet'!$L$5:$L$104,'[3]Control Sheet'!$M$5:$M$104,"",0))</f>
        <v/>
      </c>
      <c r="E84" s="24" t="str">
        <f>IF(B84="","",_xlfn.XLOOKUP(B84,'[3]Control Sheet'!$D$5:$D$64,'[3]Control Sheet'!$F$5:$F$64,"",0))</f>
        <v/>
      </c>
      <c r="F84" s="24" t="str">
        <f>IF(B84="","",_xlfn.XLOOKUP(B84,'[3]Control Sheet'!$D$5:$D$64,'[3]Control Sheet'!$E$5:$E$64,"",0))</f>
        <v/>
      </c>
      <c r="I84" s="33"/>
      <c r="J84" s="34"/>
      <c r="K84" s="35"/>
      <c r="L84" s="36"/>
      <c r="M84" s="37"/>
      <c r="P84" s="33"/>
      <c r="Q84" s="34"/>
      <c r="R84" s="35"/>
      <c r="S84" s="36"/>
      <c r="T84" s="37"/>
      <c r="V84" s="33"/>
      <c r="W84" s="34"/>
      <c r="X84" s="35"/>
      <c r="Y84" s="36"/>
      <c r="Z84" s="37"/>
      <c r="AB84" s="33"/>
      <c r="AC84" s="34"/>
      <c r="AD84" s="35"/>
      <c r="AE84" s="36"/>
      <c r="AF84" s="37"/>
      <c r="AH84" s="33"/>
      <c r="AI84" s="34"/>
      <c r="AJ84" s="35"/>
      <c r="AK84" s="36"/>
      <c r="AL84" s="37"/>
      <c r="AN84" s="33"/>
      <c r="AO84" s="34"/>
      <c r="AP84" s="35"/>
      <c r="AQ84" s="36"/>
      <c r="AR84" s="37"/>
      <c r="AT84" s="33"/>
      <c r="AU84" s="34"/>
      <c r="AV84" s="35"/>
      <c r="AW84" s="36"/>
      <c r="AX84" s="37"/>
      <c r="AZ84" s="33"/>
      <c r="BA84" s="34"/>
      <c r="BB84" s="35"/>
      <c r="BC84" s="36"/>
      <c r="BD84" s="37"/>
      <c r="BF84" s="33"/>
      <c r="BG84" s="34"/>
      <c r="BH84" s="35"/>
      <c r="BI84" s="36"/>
      <c r="BJ84" s="37"/>
      <c r="BL84" s="33"/>
      <c r="BM84" s="34"/>
      <c r="BN84" s="35"/>
      <c r="BO84" s="36"/>
      <c r="BP84" s="37"/>
      <c r="BR84" s="33"/>
      <c r="BS84" s="34"/>
      <c r="BT84" s="35"/>
      <c r="BU84" s="36"/>
      <c r="BV84" s="37"/>
      <c r="BX84" s="33"/>
      <c r="BY84" s="34"/>
      <c r="BZ84" s="35"/>
      <c r="CA84" s="36"/>
      <c r="CB84" s="37"/>
      <c r="CD84" s="33"/>
      <c r="CE84" s="34"/>
      <c r="CF84" s="35"/>
      <c r="CG84" s="36"/>
      <c r="CH84" s="37"/>
      <c r="CJ84" s="33"/>
      <c r="CK84" s="34"/>
      <c r="CL84" s="35"/>
      <c r="CM84" s="36"/>
      <c r="CN84" s="37"/>
      <c r="CP84" s="33"/>
      <c r="CQ84" s="34"/>
      <c r="CR84" s="35"/>
      <c r="CS84" s="36"/>
      <c r="CT84" s="37"/>
      <c r="CV84" s="33"/>
      <c r="CW84" s="34"/>
      <c r="CX84" s="35"/>
      <c r="CY84" s="36"/>
      <c r="CZ84" s="37"/>
      <c r="DA84" s="30">
        <f t="shared" si="11"/>
        <v>0</v>
      </c>
      <c r="DB84" s="31" t="e">
        <f>DA84*#REF!</f>
        <v>#REF!</v>
      </c>
      <c r="DC84" s="32" t="e">
        <f>DA84*#REF!</f>
        <v>#REF!</v>
      </c>
      <c r="DE84" s="33"/>
      <c r="DF84" s="34"/>
      <c r="DG84" s="35"/>
      <c r="DH84" s="36"/>
      <c r="DI84" s="37"/>
      <c r="DJ84" s="30">
        <f t="shared" si="12"/>
        <v>0</v>
      </c>
      <c r="DK84" s="31" t="e">
        <f>DJ84*#REF!</f>
        <v>#REF!</v>
      </c>
      <c r="DL84" s="32" t="e">
        <f>DJ84*#REF!</f>
        <v>#REF!</v>
      </c>
      <c r="DN84" s="33"/>
      <c r="DO84" s="34"/>
      <c r="DP84" s="35"/>
      <c r="DQ84" s="36"/>
      <c r="DR84" s="37"/>
      <c r="DS84" s="30">
        <f t="shared" si="13"/>
        <v>0</v>
      </c>
      <c r="DT84" s="31" t="e">
        <f>DS84*#REF!</f>
        <v>#REF!</v>
      </c>
      <c r="DU84" s="32" t="e">
        <f>DS84*#REF!</f>
        <v>#REF!</v>
      </c>
      <c r="DW84" s="33"/>
      <c r="DX84" s="34"/>
      <c r="DY84" s="35"/>
      <c r="DZ84" s="36"/>
      <c r="EA84" s="37"/>
      <c r="EB84" s="30">
        <f t="shared" si="14"/>
        <v>0</v>
      </c>
      <c r="EC84" s="31" t="e">
        <f>EB84*#REF!</f>
        <v>#REF!</v>
      </c>
      <c r="ED84" s="32" t="e">
        <f>EB84*#REF!</f>
        <v>#REF!</v>
      </c>
      <c r="EF84" s="33"/>
      <c r="EG84" s="34"/>
      <c r="EH84" s="35"/>
      <c r="EI84" s="36"/>
      <c r="EJ84" s="37"/>
      <c r="EK84" s="30">
        <f t="shared" si="15"/>
        <v>0</v>
      </c>
      <c r="EL84" s="31" t="e">
        <f>EK84*#REF!</f>
        <v>#REF!</v>
      </c>
      <c r="EM84" s="32" t="e">
        <f>EK84*#REF!</f>
        <v>#REF!</v>
      </c>
      <c r="EO84" s="33"/>
      <c r="EP84" s="34"/>
      <c r="EQ84" s="35"/>
      <c r="ER84" s="36"/>
      <c r="ES84" s="37"/>
      <c r="ET84" s="30">
        <f t="shared" si="16"/>
        <v>0</v>
      </c>
      <c r="EU84" s="31" t="e">
        <f>ET84*#REF!</f>
        <v>#REF!</v>
      </c>
      <c r="EV84" s="32" t="e">
        <f>ET84*#REF!</f>
        <v>#REF!</v>
      </c>
      <c r="EX84" s="33"/>
      <c r="EY84" s="34"/>
      <c r="EZ84" s="35"/>
      <c r="FA84" s="36"/>
      <c r="FB84" s="37"/>
      <c r="FC84" s="30">
        <f t="shared" si="17"/>
        <v>0</v>
      </c>
      <c r="FD84" s="31" t="e">
        <f>FC84*#REF!</f>
        <v>#REF!</v>
      </c>
      <c r="FE84" s="32" t="e">
        <f>FC84*#REF!</f>
        <v>#REF!</v>
      </c>
      <c r="FG84" s="33"/>
      <c r="FH84" s="34"/>
      <c r="FI84" s="35"/>
      <c r="FJ84" s="36"/>
      <c r="FK84" s="37"/>
      <c r="FL84" s="30">
        <f t="shared" si="18"/>
        <v>0</v>
      </c>
      <c r="FM84" s="31" t="e">
        <f>FL84*#REF!</f>
        <v>#REF!</v>
      </c>
      <c r="FN84" s="32" t="e">
        <f>FL84*#REF!</f>
        <v>#REF!</v>
      </c>
      <c r="FP84" s="33"/>
      <c r="FQ84" s="34"/>
      <c r="FR84" s="35"/>
      <c r="FS84" s="36"/>
      <c r="FT84" s="37"/>
      <c r="FU84" s="30">
        <f t="shared" si="19"/>
        <v>0</v>
      </c>
      <c r="FV84" s="31" t="e">
        <f>FU84*#REF!</f>
        <v>#REF!</v>
      </c>
      <c r="FW84" s="32" t="e">
        <f>FU84*#REF!</f>
        <v>#REF!</v>
      </c>
      <c r="FY84" s="33"/>
      <c r="FZ84" s="34"/>
      <c r="GA84" s="35"/>
      <c r="GB84" s="36"/>
      <c r="GC84" s="37"/>
      <c r="GD84" s="30">
        <f t="shared" si="20"/>
        <v>0</v>
      </c>
      <c r="GE84" s="31" t="e">
        <f>GD84*#REF!</f>
        <v>#REF!</v>
      </c>
      <c r="GF84" s="32" t="e">
        <f>GD84*#REF!</f>
        <v>#REF!</v>
      </c>
      <c r="GH84" s="33"/>
      <c r="GI84" s="34"/>
      <c r="GJ84" s="35"/>
      <c r="GK84" s="36"/>
      <c r="GL84" s="37"/>
      <c r="GM84" s="30">
        <f t="shared" si="21"/>
        <v>0</v>
      </c>
      <c r="GN84" s="31" t="e">
        <f>GM84*#REF!</f>
        <v>#REF!</v>
      </c>
      <c r="GO84" s="32" t="e">
        <f>GM84*#REF!</f>
        <v>#REF!</v>
      </c>
      <c r="GQ84" s="38">
        <f>_xlfn.MAXIFS(I84:GO84,$I$5:$GO$5,"Staff #")</f>
        <v>0</v>
      </c>
      <c r="GR84" s="39">
        <v>0</v>
      </c>
    </row>
    <row r="85" spans="2:200" ht="15" x14ac:dyDescent="0.25">
      <c r="B85" s="22"/>
      <c r="C85" s="23"/>
      <c r="D85" s="24" t="str">
        <f>IF(C85="","",_xlfn.XLOOKUP(C85,'[3]Control Sheet'!$L$5:$L$104,'[3]Control Sheet'!$M$5:$M$104,"",0))</f>
        <v/>
      </c>
      <c r="E85" s="24" t="str">
        <f>IF(B85="","",_xlfn.XLOOKUP(B85,'[3]Control Sheet'!$D$5:$D$64,'[3]Control Sheet'!$F$5:$F$64,"",0))</f>
        <v/>
      </c>
      <c r="F85" s="24" t="str">
        <f>IF(B85="","",_xlfn.XLOOKUP(B85,'[3]Control Sheet'!$D$5:$D$64,'[3]Control Sheet'!$E$5:$E$64,"",0))</f>
        <v/>
      </c>
      <c r="I85" s="33"/>
      <c r="J85" s="34"/>
      <c r="K85" s="35"/>
      <c r="L85" s="36"/>
      <c r="M85" s="37"/>
      <c r="P85" s="33"/>
      <c r="Q85" s="34"/>
      <c r="R85" s="35"/>
      <c r="S85" s="36"/>
      <c r="T85" s="37"/>
      <c r="V85" s="33"/>
      <c r="W85" s="34"/>
      <c r="X85" s="35"/>
      <c r="Y85" s="36"/>
      <c r="Z85" s="37"/>
      <c r="AB85" s="33"/>
      <c r="AC85" s="34"/>
      <c r="AD85" s="35"/>
      <c r="AE85" s="36"/>
      <c r="AF85" s="37"/>
      <c r="AH85" s="33"/>
      <c r="AI85" s="34"/>
      <c r="AJ85" s="35"/>
      <c r="AK85" s="36"/>
      <c r="AL85" s="37"/>
      <c r="AN85" s="33"/>
      <c r="AO85" s="34"/>
      <c r="AP85" s="35"/>
      <c r="AQ85" s="36"/>
      <c r="AR85" s="37"/>
      <c r="AT85" s="33"/>
      <c r="AU85" s="34"/>
      <c r="AV85" s="35"/>
      <c r="AW85" s="36"/>
      <c r="AX85" s="37"/>
      <c r="AZ85" s="33"/>
      <c r="BA85" s="34"/>
      <c r="BB85" s="35"/>
      <c r="BC85" s="36"/>
      <c r="BD85" s="37"/>
      <c r="BF85" s="33"/>
      <c r="BG85" s="34"/>
      <c r="BH85" s="35"/>
      <c r="BI85" s="36"/>
      <c r="BJ85" s="37"/>
      <c r="BL85" s="33"/>
      <c r="BM85" s="34"/>
      <c r="BN85" s="35"/>
      <c r="BO85" s="36"/>
      <c r="BP85" s="37"/>
      <c r="BR85" s="33"/>
      <c r="BS85" s="34"/>
      <c r="BT85" s="35"/>
      <c r="BU85" s="36"/>
      <c r="BV85" s="37"/>
      <c r="BX85" s="33"/>
      <c r="BY85" s="34"/>
      <c r="BZ85" s="35"/>
      <c r="CA85" s="36"/>
      <c r="CB85" s="37"/>
      <c r="CD85" s="33"/>
      <c r="CE85" s="34"/>
      <c r="CF85" s="35"/>
      <c r="CG85" s="36"/>
      <c r="CH85" s="37"/>
      <c r="CJ85" s="33"/>
      <c r="CK85" s="34"/>
      <c r="CL85" s="35"/>
      <c r="CM85" s="36"/>
      <c r="CN85" s="37"/>
      <c r="CP85" s="33"/>
      <c r="CQ85" s="34"/>
      <c r="CR85" s="35"/>
      <c r="CS85" s="36"/>
      <c r="CT85" s="37"/>
      <c r="CV85" s="33"/>
      <c r="CW85" s="34"/>
      <c r="CX85" s="35"/>
      <c r="CY85" s="36"/>
      <c r="CZ85" s="37"/>
      <c r="DA85" s="30">
        <f t="shared" si="11"/>
        <v>0</v>
      </c>
      <c r="DB85" s="31" t="e">
        <f>DA85*#REF!</f>
        <v>#REF!</v>
      </c>
      <c r="DC85" s="32" t="e">
        <f>DA85*#REF!</f>
        <v>#REF!</v>
      </c>
      <c r="DE85" s="33"/>
      <c r="DF85" s="34"/>
      <c r="DG85" s="35"/>
      <c r="DH85" s="36"/>
      <c r="DI85" s="37"/>
      <c r="DJ85" s="30">
        <f t="shared" si="12"/>
        <v>0</v>
      </c>
      <c r="DK85" s="31" t="e">
        <f>DJ85*#REF!</f>
        <v>#REF!</v>
      </c>
      <c r="DL85" s="32" t="e">
        <f>DJ85*#REF!</f>
        <v>#REF!</v>
      </c>
      <c r="DN85" s="33"/>
      <c r="DO85" s="34"/>
      <c r="DP85" s="35"/>
      <c r="DQ85" s="36"/>
      <c r="DR85" s="37"/>
      <c r="DS85" s="30">
        <f t="shared" si="13"/>
        <v>0</v>
      </c>
      <c r="DT85" s="31" t="e">
        <f>DS85*#REF!</f>
        <v>#REF!</v>
      </c>
      <c r="DU85" s="32" t="e">
        <f>DS85*#REF!</f>
        <v>#REF!</v>
      </c>
      <c r="DW85" s="33"/>
      <c r="DX85" s="34"/>
      <c r="DY85" s="35"/>
      <c r="DZ85" s="36"/>
      <c r="EA85" s="37"/>
      <c r="EB85" s="30">
        <f t="shared" si="14"/>
        <v>0</v>
      </c>
      <c r="EC85" s="31" t="e">
        <f>EB85*#REF!</f>
        <v>#REF!</v>
      </c>
      <c r="ED85" s="32" t="e">
        <f>EB85*#REF!</f>
        <v>#REF!</v>
      </c>
      <c r="EF85" s="33"/>
      <c r="EG85" s="34"/>
      <c r="EH85" s="35"/>
      <c r="EI85" s="36"/>
      <c r="EJ85" s="37"/>
      <c r="EK85" s="30">
        <f t="shared" si="15"/>
        <v>0</v>
      </c>
      <c r="EL85" s="31" t="e">
        <f>EK85*#REF!</f>
        <v>#REF!</v>
      </c>
      <c r="EM85" s="32" t="e">
        <f>EK85*#REF!</f>
        <v>#REF!</v>
      </c>
      <c r="EO85" s="33"/>
      <c r="EP85" s="34"/>
      <c r="EQ85" s="35"/>
      <c r="ER85" s="36"/>
      <c r="ES85" s="37"/>
      <c r="ET85" s="30">
        <f t="shared" si="16"/>
        <v>0</v>
      </c>
      <c r="EU85" s="31" t="e">
        <f>ET85*#REF!</f>
        <v>#REF!</v>
      </c>
      <c r="EV85" s="32" t="e">
        <f>ET85*#REF!</f>
        <v>#REF!</v>
      </c>
      <c r="EX85" s="33"/>
      <c r="EY85" s="34"/>
      <c r="EZ85" s="35"/>
      <c r="FA85" s="36"/>
      <c r="FB85" s="37"/>
      <c r="FC85" s="30">
        <f t="shared" si="17"/>
        <v>0</v>
      </c>
      <c r="FD85" s="31" t="e">
        <f>FC85*#REF!</f>
        <v>#REF!</v>
      </c>
      <c r="FE85" s="32" t="e">
        <f>FC85*#REF!</f>
        <v>#REF!</v>
      </c>
      <c r="FG85" s="33"/>
      <c r="FH85" s="34"/>
      <c r="FI85" s="35"/>
      <c r="FJ85" s="36"/>
      <c r="FK85" s="37"/>
      <c r="FL85" s="30">
        <f t="shared" si="18"/>
        <v>0</v>
      </c>
      <c r="FM85" s="31" t="e">
        <f>FL85*#REF!</f>
        <v>#REF!</v>
      </c>
      <c r="FN85" s="32" t="e">
        <f>FL85*#REF!</f>
        <v>#REF!</v>
      </c>
      <c r="FP85" s="33"/>
      <c r="FQ85" s="34"/>
      <c r="FR85" s="35"/>
      <c r="FS85" s="36"/>
      <c r="FT85" s="37"/>
      <c r="FU85" s="30">
        <f t="shared" si="19"/>
        <v>0</v>
      </c>
      <c r="FV85" s="31" t="e">
        <f>FU85*#REF!</f>
        <v>#REF!</v>
      </c>
      <c r="FW85" s="32" t="e">
        <f>FU85*#REF!</f>
        <v>#REF!</v>
      </c>
      <c r="FY85" s="33"/>
      <c r="FZ85" s="34"/>
      <c r="GA85" s="35"/>
      <c r="GB85" s="36"/>
      <c r="GC85" s="37"/>
      <c r="GD85" s="30">
        <f t="shared" si="20"/>
        <v>0</v>
      </c>
      <c r="GE85" s="31" t="e">
        <f>GD85*#REF!</f>
        <v>#REF!</v>
      </c>
      <c r="GF85" s="32" t="e">
        <f>GD85*#REF!</f>
        <v>#REF!</v>
      </c>
      <c r="GH85" s="33"/>
      <c r="GI85" s="34"/>
      <c r="GJ85" s="35"/>
      <c r="GK85" s="36"/>
      <c r="GL85" s="37"/>
      <c r="GM85" s="30">
        <f t="shared" si="21"/>
        <v>0</v>
      </c>
      <c r="GN85" s="31" t="e">
        <f>GM85*#REF!</f>
        <v>#REF!</v>
      </c>
      <c r="GO85" s="32" t="e">
        <f>GM85*#REF!</f>
        <v>#REF!</v>
      </c>
      <c r="GQ85" s="38">
        <f>_xlfn.MAXIFS(I85:GO85,$I$5:$GO$5,"Staff #")</f>
        <v>0</v>
      </c>
      <c r="GR85" s="39">
        <v>0</v>
      </c>
    </row>
    <row r="86" spans="2:200" ht="15" x14ac:dyDescent="0.25">
      <c r="B86" s="22"/>
      <c r="C86" s="23"/>
      <c r="D86" s="24" t="str">
        <f>IF(C86="","",_xlfn.XLOOKUP(C86,'[3]Control Sheet'!$L$5:$L$104,'[3]Control Sheet'!$M$5:$M$104,"",0))</f>
        <v/>
      </c>
      <c r="E86" s="24" t="str">
        <f>IF(B86="","",_xlfn.XLOOKUP(B86,'[3]Control Sheet'!$D$5:$D$64,'[3]Control Sheet'!$F$5:$F$64,"",0))</f>
        <v/>
      </c>
      <c r="F86" s="24" t="str">
        <f>IF(B86="","",_xlfn.XLOOKUP(B86,'[3]Control Sheet'!$D$5:$D$64,'[3]Control Sheet'!$E$5:$E$64,"",0))</f>
        <v/>
      </c>
      <c r="I86" s="33"/>
      <c r="J86" s="34"/>
      <c r="K86" s="35"/>
      <c r="L86" s="36"/>
      <c r="M86" s="37"/>
      <c r="P86" s="33"/>
      <c r="Q86" s="34"/>
      <c r="R86" s="35"/>
      <c r="S86" s="36"/>
      <c r="T86" s="37"/>
      <c r="V86" s="33"/>
      <c r="W86" s="34"/>
      <c r="X86" s="35"/>
      <c r="Y86" s="36"/>
      <c r="Z86" s="37"/>
      <c r="AB86" s="33"/>
      <c r="AC86" s="34"/>
      <c r="AD86" s="35"/>
      <c r="AE86" s="36"/>
      <c r="AF86" s="37"/>
      <c r="AH86" s="33"/>
      <c r="AI86" s="34"/>
      <c r="AJ86" s="35"/>
      <c r="AK86" s="36"/>
      <c r="AL86" s="37"/>
      <c r="AN86" s="33"/>
      <c r="AO86" s="34"/>
      <c r="AP86" s="35"/>
      <c r="AQ86" s="36"/>
      <c r="AR86" s="37"/>
      <c r="AT86" s="33"/>
      <c r="AU86" s="34"/>
      <c r="AV86" s="35"/>
      <c r="AW86" s="36"/>
      <c r="AX86" s="37"/>
      <c r="AZ86" s="33"/>
      <c r="BA86" s="34"/>
      <c r="BB86" s="35"/>
      <c r="BC86" s="36"/>
      <c r="BD86" s="37"/>
      <c r="BF86" s="33"/>
      <c r="BG86" s="34"/>
      <c r="BH86" s="35"/>
      <c r="BI86" s="36"/>
      <c r="BJ86" s="37"/>
      <c r="BL86" s="33"/>
      <c r="BM86" s="34"/>
      <c r="BN86" s="35"/>
      <c r="BO86" s="36"/>
      <c r="BP86" s="37"/>
      <c r="BR86" s="33"/>
      <c r="BS86" s="34"/>
      <c r="BT86" s="35"/>
      <c r="BU86" s="36"/>
      <c r="BV86" s="37"/>
      <c r="BX86" s="33"/>
      <c r="BY86" s="34"/>
      <c r="BZ86" s="35"/>
      <c r="CA86" s="36"/>
      <c r="CB86" s="37"/>
      <c r="CD86" s="33"/>
      <c r="CE86" s="34"/>
      <c r="CF86" s="35"/>
      <c r="CG86" s="36"/>
      <c r="CH86" s="37"/>
      <c r="CJ86" s="33"/>
      <c r="CK86" s="34"/>
      <c r="CL86" s="35"/>
      <c r="CM86" s="36"/>
      <c r="CN86" s="37"/>
      <c r="CP86" s="33"/>
      <c r="CQ86" s="34"/>
      <c r="CR86" s="35"/>
      <c r="CS86" s="36"/>
      <c r="CT86" s="37"/>
      <c r="CV86" s="33"/>
      <c r="CW86" s="34"/>
      <c r="CX86" s="35"/>
      <c r="CY86" s="36"/>
      <c r="CZ86" s="37"/>
      <c r="DA86" s="30">
        <f t="shared" si="11"/>
        <v>0</v>
      </c>
      <c r="DB86" s="31" t="e">
        <f>DA86*#REF!</f>
        <v>#REF!</v>
      </c>
      <c r="DC86" s="32" t="e">
        <f>DA86*#REF!</f>
        <v>#REF!</v>
      </c>
      <c r="DE86" s="33"/>
      <c r="DF86" s="34"/>
      <c r="DG86" s="35"/>
      <c r="DH86" s="36"/>
      <c r="DI86" s="37"/>
      <c r="DJ86" s="30">
        <f t="shared" si="12"/>
        <v>0</v>
      </c>
      <c r="DK86" s="31" t="e">
        <f>DJ86*#REF!</f>
        <v>#REF!</v>
      </c>
      <c r="DL86" s="32" t="e">
        <f>DJ86*#REF!</f>
        <v>#REF!</v>
      </c>
      <c r="DN86" s="33"/>
      <c r="DO86" s="34"/>
      <c r="DP86" s="35"/>
      <c r="DQ86" s="36"/>
      <c r="DR86" s="37"/>
      <c r="DS86" s="30">
        <f t="shared" si="13"/>
        <v>0</v>
      </c>
      <c r="DT86" s="31" t="e">
        <f>DS86*#REF!</f>
        <v>#REF!</v>
      </c>
      <c r="DU86" s="32" t="e">
        <f>DS86*#REF!</f>
        <v>#REF!</v>
      </c>
      <c r="DW86" s="33"/>
      <c r="DX86" s="34"/>
      <c r="DY86" s="35"/>
      <c r="DZ86" s="36"/>
      <c r="EA86" s="37"/>
      <c r="EB86" s="30">
        <f t="shared" si="14"/>
        <v>0</v>
      </c>
      <c r="EC86" s="31" t="e">
        <f>EB86*#REF!</f>
        <v>#REF!</v>
      </c>
      <c r="ED86" s="32" t="e">
        <f>EB86*#REF!</f>
        <v>#REF!</v>
      </c>
      <c r="EF86" s="33"/>
      <c r="EG86" s="34"/>
      <c r="EH86" s="35"/>
      <c r="EI86" s="36"/>
      <c r="EJ86" s="37"/>
      <c r="EK86" s="30">
        <f t="shared" si="15"/>
        <v>0</v>
      </c>
      <c r="EL86" s="31" t="e">
        <f>EK86*#REF!</f>
        <v>#REF!</v>
      </c>
      <c r="EM86" s="32" t="e">
        <f>EK86*#REF!</f>
        <v>#REF!</v>
      </c>
      <c r="EO86" s="33"/>
      <c r="EP86" s="34"/>
      <c r="EQ86" s="35"/>
      <c r="ER86" s="36"/>
      <c r="ES86" s="37"/>
      <c r="ET86" s="30">
        <f t="shared" si="16"/>
        <v>0</v>
      </c>
      <c r="EU86" s="31" t="e">
        <f>ET86*#REF!</f>
        <v>#REF!</v>
      </c>
      <c r="EV86" s="32" t="e">
        <f>ET86*#REF!</f>
        <v>#REF!</v>
      </c>
      <c r="EX86" s="33"/>
      <c r="EY86" s="34"/>
      <c r="EZ86" s="35"/>
      <c r="FA86" s="36"/>
      <c r="FB86" s="37"/>
      <c r="FC86" s="30">
        <f t="shared" si="17"/>
        <v>0</v>
      </c>
      <c r="FD86" s="31" t="e">
        <f>FC86*#REF!</f>
        <v>#REF!</v>
      </c>
      <c r="FE86" s="32" t="e">
        <f>FC86*#REF!</f>
        <v>#REF!</v>
      </c>
      <c r="FG86" s="33"/>
      <c r="FH86" s="34"/>
      <c r="FI86" s="35"/>
      <c r="FJ86" s="36"/>
      <c r="FK86" s="37"/>
      <c r="FL86" s="30">
        <f t="shared" si="18"/>
        <v>0</v>
      </c>
      <c r="FM86" s="31" t="e">
        <f>FL86*#REF!</f>
        <v>#REF!</v>
      </c>
      <c r="FN86" s="32" t="e">
        <f>FL86*#REF!</f>
        <v>#REF!</v>
      </c>
      <c r="FP86" s="33"/>
      <c r="FQ86" s="34"/>
      <c r="FR86" s="35"/>
      <c r="FS86" s="36"/>
      <c r="FT86" s="37"/>
      <c r="FU86" s="30">
        <f t="shared" si="19"/>
        <v>0</v>
      </c>
      <c r="FV86" s="31" t="e">
        <f>FU86*#REF!</f>
        <v>#REF!</v>
      </c>
      <c r="FW86" s="32" t="e">
        <f>FU86*#REF!</f>
        <v>#REF!</v>
      </c>
      <c r="FY86" s="33"/>
      <c r="FZ86" s="34"/>
      <c r="GA86" s="35"/>
      <c r="GB86" s="36"/>
      <c r="GC86" s="37"/>
      <c r="GD86" s="30">
        <f t="shared" si="20"/>
        <v>0</v>
      </c>
      <c r="GE86" s="31" t="e">
        <f>GD86*#REF!</f>
        <v>#REF!</v>
      </c>
      <c r="GF86" s="32" t="e">
        <f>GD86*#REF!</f>
        <v>#REF!</v>
      </c>
      <c r="GH86" s="33"/>
      <c r="GI86" s="34"/>
      <c r="GJ86" s="35"/>
      <c r="GK86" s="36"/>
      <c r="GL86" s="37"/>
      <c r="GM86" s="30">
        <f t="shared" si="21"/>
        <v>0</v>
      </c>
      <c r="GN86" s="31" t="e">
        <f>GM86*#REF!</f>
        <v>#REF!</v>
      </c>
      <c r="GO86" s="32" t="e">
        <f>GM86*#REF!</f>
        <v>#REF!</v>
      </c>
      <c r="GQ86" s="38">
        <f>_xlfn.MAXIFS(I86:GO86,$I$5:$GO$5,"Staff #")</f>
        <v>0</v>
      </c>
      <c r="GR86" s="39">
        <v>0</v>
      </c>
    </row>
    <row r="87" spans="2:200" ht="15" x14ac:dyDescent="0.25">
      <c r="B87" s="22"/>
      <c r="C87" s="23"/>
      <c r="D87" s="24" t="str">
        <f>IF(C87="","",_xlfn.XLOOKUP(C87,'[3]Control Sheet'!$L$5:$L$104,'[3]Control Sheet'!$M$5:$M$104,"",0))</f>
        <v/>
      </c>
      <c r="E87" s="24" t="str">
        <f>IF(B87="","",_xlfn.XLOOKUP(B87,'[3]Control Sheet'!$D$5:$D$64,'[3]Control Sheet'!$F$5:$F$64,"",0))</f>
        <v/>
      </c>
      <c r="F87" s="24" t="str">
        <f>IF(B87="","",_xlfn.XLOOKUP(B87,'[3]Control Sheet'!$D$5:$D$64,'[3]Control Sheet'!$E$5:$E$64,"",0))</f>
        <v/>
      </c>
      <c r="I87" s="33"/>
      <c r="J87" s="34"/>
      <c r="K87" s="35"/>
      <c r="L87" s="36"/>
      <c r="M87" s="37"/>
      <c r="P87" s="33"/>
      <c r="Q87" s="34"/>
      <c r="R87" s="35"/>
      <c r="S87" s="36"/>
      <c r="T87" s="37"/>
      <c r="V87" s="33"/>
      <c r="W87" s="34"/>
      <c r="X87" s="35"/>
      <c r="Y87" s="36"/>
      <c r="Z87" s="37"/>
      <c r="AB87" s="33"/>
      <c r="AC87" s="34"/>
      <c r="AD87" s="35"/>
      <c r="AE87" s="36"/>
      <c r="AF87" s="37"/>
      <c r="AH87" s="33"/>
      <c r="AI87" s="34"/>
      <c r="AJ87" s="35"/>
      <c r="AK87" s="36"/>
      <c r="AL87" s="37"/>
      <c r="AN87" s="33"/>
      <c r="AO87" s="34"/>
      <c r="AP87" s="35"/>
      <c r="AQ87" s="36"/>
      <c r="AR87" s="37"/>
      <c r="AT87" s="33"/>
      <c r="AU87" s="34"/>
      <c r="AV87" s="35"/>
      <c r="AW87" s="36"/>
      <c r="AX87" s="37"/>
      <c r="AZ87" s="33"/>
      <c r="BA87" s="34"/>
      <c r="BB87" s="35"/>
      <c r="BC87" s="36"/>
      <c r="BD87" s="37"/>
      <c r="BF87" s="33"/>
      <c r="BG87" s="34"/>
      <c r="BH87" s="35"/>
      <c r="BI87" s="36"/>
      <c r="BJ87" s="37"/>
      <c r="BL87" s="33"/>
      <c r="BM87" s="34"/>
      <c r="BN87" s="35"/>
      <c r="BO87" s="36"/>
      <c r="BP87" s="37"/>
      <c r="BR87" s="33"/>
      <c r="BS87" s="34"/>
      <c r="BT87" s="35"/>
      <c r="BU87" s="36"/>
      <c r="BV87" s="37"/>
      <c r="BX87" s="33"/>
      <c r="BY87" s="34"/>
      <c r="BZ87" s="35"/>
      <c r="CA87" s="36"/>
      <c r="CB87" s="37"/>
      <c r="CD87" s="33"/>
      <c r="CE87" s="34"/>
      <c r="CF87" s="35"/>
      <c r="CG87" s="36"/>
      <c r="CH87" s="37"/>
      <c r="CJ87" s="33"/>
      <c r="CK87" s="34"/>
      <c r="CL87" s="35"/>
      <c r="CM87" s="36"/>
      <c r="CN87" s="37"/>
      <c r="CP87" s="33"/>
      <c r="CQ87" s="34"/>
      <c r="CR87" s="35"/>
      <c r="CS87" s="36"/>
      <c r="CT87" s="37"/>
      <c r="CV87" s="33"/>
      <c r="CW87" s="34"/>
      <c r="CX87" s="35"/>
      <c r="CY87" s="36"/>
      <c r="CZ87" s="37"/>
      <c r="DA87" s="30">
        <f t="shared" si="11"/>
        <v>0</v>
      </c>
      <c r="DB87" s="31" t="e">
        <f>DA87*#REF!</f>
        <v>#REF!</v>
      </c>
      <c r="DC87" s="32" t="e">
        <f>DA87*#REF!</f>
        <v>#REF!</v>
      </c>
      <c r="DE87" s="33"/>
      <c r="DF87" s="34"/>
      <c r="DG87" s="35"/>
      <c r="DH87" s="36"/>
      <c r="DI87" s="37"/>
      <c r="DJ87" s="30">
        <f t="shared" si="12"/>
        <v>0</v>
      </c>
      <c r="DK87" s="31" t="e">
        <f>DJ87*#REF!</f>
        <v>#REF!</v>
      </c>
      <c r="DL87" s="32" t="e">
        <f>DJ87*#REF!</f>
        <v>#REF!</v>
      </c>
      <c r="DN87" s="33"/>
      <c r="DO87" s="34"/>
      <c r="DP87" s="35"/>
      <c r="DQ87" s="36"/>
      <c r="DR87" s="37"/>
      <c r="DS87" s="30">
        <f t="shared" si="13"/>
        <v>0</v>
      </c>
      <c r="DT87" s="31" t="e">
        <f>DS87*#REF!</f>
        <v>#REF!</v>
      </c>
      <c r="DU87" s="32" t="e">
        <f>DS87*#REF!</f>
        <v>#REF!</v>
      </c>
      <c r="DW87" s="33"/>
      <c r="DX87" s="34"/>
      <c r="DY87" s="35"/>
      <c r="DZ87" s="36"/>
      <c r="EA87" s="37"/>
      <c r="EB87" s="30">
        <f t="shared" si="14"/>
        <v>0</v>
      </c>
      <c r="EC87" s="31" t="e">
        <f>EB87*#REF!</f>
        <v>#REF!</v>
      </c>
      <c r="ED87" s="32" t="e">
        <f>EB87*#REF!</f>
        <v>#REF!</v>
      </c>
      <c r="EF87" s="33"/>
      <c r="EG87" s="34"/>
      <c r="EH87" s="35"/>
      <c r="EI87" s="36"/>
      <c r="EJ87" s="37"/>
      <c r="EK87" s="30">
        <f t="shared" si="15"/>
        <v>0</v>
      </c>
      <c r="EL87" s="31" t="e">
        <f>EK87*#REF!</f>
        <v>#REF!</v>
      </c>
      <c r="EM87" s="32" t="e">
        <f>EK87*#REF!</f>
        <v>#REF!</v>
      </c>
      <c r="EO87" s="33"/>
      <c r="EP87" s="34"/>
      <c r="EQ87" s="35"/>
      <c r="ER87" s="36"/>
      <c r="ES87" s="37"/>
      <c r="ET87" s="30">
        <f t="shared" si="16"/>
        <v>0</v>
      </c>
      <c r="EU87" s="31" t="e">
        <f>ET87*#REF!</f>
        <v>#REF!</v>
      </c>
      <c r="EV87" s="32" t="e">
        <f>ET87*#REF!</f>
        <v>#REF!</v>
      </c>
      <c r="EX87" s="33"/>
      <c r="EY87" s="34"/>
      <c r="EZ87" s="35"/>
      <c r="FA87" s="36"/>
      <c r="FB87" s="37"/>
      <c r="FC87" s="30">
        <f t="shared" si="17"/>
        <v>0</v>
      </c>
      <c r="FD87" s="31" t="e">
        <f>FC87*#REF!</f>
        <v>#REF!</v>
      </c>
      <c r="FE87" s="32" t="e">
        <f>FC87*#REF!</f>
        <v>#REF!</v>
      </c>
      <c r="FG87" s="33"/>
      <c r="FH87" s="34"/>
      <c r="FI87" s="35"/>
      <c r="FJ87" s="36"/>
      <c r="FK87" s="37"/>
      <c r="FL87" s="30">
        <f t="shared" si="18"/>
        <v>0</v>
      </c>
      <c r="FM87" s="31" t="e">
        <f>FL87*#REF!</f>
        <v>#REF!</v>
      </c>
      <c r="FN87" s="32" t="e">
        <f>FL87*#REF!</f>
        <v>#REF!</v>
      </c>
      <c r="FP87" s="33"/>
      <c r="FQ87" s="34"/>
      <c r="FR87" s="35"/>
      <c r="FS87" s="36"/>
      <c r="FT87" s="37"/>
      <c r="FU87" s="30">
        <f t="shared" si="19"/>
        <v>0</v>
      </c>
      <c r="FV87" s="31" t="e">
        <f>FU87*#REF!</f>
        <v>#REF!</v>
      </c>
      <c r="FW87" s="32" t="e">
        <f>FU87*#REF!</f>
        <v>#REF!</v>
      </c>
      <c r="FY87" s="33"/>
      <c r="FZ87" s="34"/>
      <c r="GA87" s="35"/>
      <c r="GB87" s="36"/>
      <c r="GC87" s="37"/>
      <c r="GD87" s="30">
        <f t="shared" si="20"/>
        <v>0</v>
      </c>
      <c r="GE87" s="31" t="e">
        <f>GD87*#REF!</f>
        <v>#REF!</v>
      </c>
      <c r="GF87" s="32" t="e">
        <f>GD87*#REF!</f>
        <v>#REF!</v>
      </c>
      <c r="GH87" s="33"/>
      <c r="GI87" s="34"/>
      <c r="GJ87" s="35"/>
      <c r="GK87" s="36"/>
      <c r="GL87" s="37"/>
      <c r="GM87" s="30">
        <f t="shared" si="21"/>
        <v>0</v>
      </c>
      <c r="GN87" s="31" t="e">
        <f>GM87*#REF!</f>
        <v>#REF!</v>
      </c>
      <c r="GO87" s="32" t="e">
        <f>GM87*#REF!</f>
        <v>#REF!</v>
      </c>
      <c r="GQ87" s="38">
        <f>_xlfn.MAXIFS(I87:GO87,$I$5:$GO$5,"Staff #")</f>
        <v>0</v>
      </c>
      <c r="GR87" s="39">
        <v>0</v>
      </c>
    </row>
    <row r="88" spans="2:200" ht="15" x14ac:dyDescent="0.25">
      <c r="B88" s="22"/>
      <c r="C88" s="23"/>
      <c r="D88" s="24" t="str">
        <f>IF(C88="","",_xlfn.XLOOKUP(C88,'[3]Control Sheet'!$L$5:$L$104,'[3]Control Sheet'!$M$5:$M$104,"",0))</f>
        <v/>
      </c>
      <c r="E88" s="24" t="str">
        <f>IF(B88="","",_xlfn.XLOOKUP(B88,'[3]Control Sheet'!$D$5:$D$64,'[3]Control Sheet'!$F$5:$F$64,"",0))</f>
        <v/>
      </c>
      <c r="F88" s="24" t="str">
        <f>IF(B88="","",_xlfn.XLOOKUP(B88,'[3]Control Sheet'!$D$5:$D$64,'[3]Control Sheet'!$E$5:$E$64,"",0))</f>
        <v/>
      </c>
      <c r="I88" s="33"/>
      <c r="J88" s="34"/>
      <c r="K88" s="35"/>
      <c r="L88" s="36"/>
      <c r="M88" s="37"/>
      <c r="P88" s="33"/>
      <c r="Q88" s="34"/>
      <c r="R88" s="35"/>
      <c r="S88" s="36"/>
      <c r="T88" s="37"/>
      <c r="V88" s="33"/>
      <c r="W88" s="34"/>
      <c r="X88" s="35"/>
      <c r="Y88" s="36"/>
      <c r="Z88" s="37"/>
      <c r="AB88" s="33"/>
      <c r="AC88" s="34"/>
      <c r="AD88" s="35"/>
      <c r="AE88" s="36"/>
      <c r="AF88" s="37"/>
      <c r="AH88" s="33"/>
      <c r="AI88" s="34"/>
      <c r="AJ88" s="35"/>
      <c r="AK88" s="36"/>
      <c r="AL88" s="37"/>
      <c r="AN88" s="33"/>
      <c r="AO88" s="34"/>
      <c r="AP88" s="35"/>
      <c r="AQ88" s="36"/>
      <c r="AR88" s="37"/>
      <c r="AT88" s="33"/>
      <c r="AU88" s="34"/>
      <c r="AV88" s="35"/>
      <c r="AW88" s="36"/>
      <c r="AX88" s="37"/>
      <c r="AZ88" s="33"/>
      <c r="BA88" s="34"/>
      <c r="BB88" s="35"/>
      <c r="BC88" s="36"/>
      <c r="BD88" s="37"/>
      <c r="BF88" s="33"/>
      <c r="BG88" s="34"/>
      <c r="BH88" s="35"/>
      <c r="BI88" s="36"/>
      <c r="BJ88" s="37"/>
      <c r="BL88" s="33"/>
      <c r="BM88" s="34"/>
      <c r="BN88" s="35"/>
      <c r="BO88" s="36"/>
      <c r="BP88" s="37"/>
      <c r="BR88" s="33"/>
      <c r="BS88" s="34"/>
      <c r="BT88" s="35"/>
      <c r="BU88" s="36"/>
      <c r="BV88" s="37"/>
      <c r="BX88" s="33"/>
      <c r="BY88" s="34"/>
      <c r="BZ88" s="35"/>
      <c r="CA88" s="36"/>
      <c r="CB88" s="37"/>
      <c r="CD88" s="33"/>
      <c r="CE88" s="34"/>
      <c r="CF88" s="35"/>
      <c r="CG88" s="36"/>
      <c r="CH88" s="37"/>
      <c r="CJ88" s="33"/>
      <c r="CK88" s="34"/>
      <c r="CL88" s="35"/>
      <c r="CM88" s="36"/>
      <c r="CN88" s="37"/>
      <c r="CP88" s="33"/>
      <c r="CQ88" s="34"/>
      <c r="CR88" s="35"/>
      <c r="CS88" s="36"/>
      <c r="CT88" s="37"/>
      <c r="CV88" s="33"/>
      <c r="CW88" s="34"/>
      <c r="CX88" s="35"/>
      <c r="CY88" s="36"/>
      <c r="CZ88" s="37"/>
      <c r="DA88" s="30">
        <f t="shared" si="11"/>
        <v>0</v>
      </c>
      <c r="DB88" s="31" t="e">
        <f>DA88*#REF!</f>
        <v>#REF!</v>
      </c>
      <c r="DC88" s="32" t="e">
        <f>DA88*#REF!</f>
        <v>#REF!</v>
      </c>
      <c r="DE88" s="33"/>
      <c r="DF88" s="34"/>
      <c r="DG88" s="35"/>
      <c r="DH88" s="36"/>
      <c r="DI88" s="37"/>
      <c r="DJ88" s="30">
        <f t="shared" si="12"/>
        <v>0</v>
      </c>
      <c r="DK88" s="31" t="e">
        <f>DJ88*#REF!</f>
        <v>#REF!</v>
      </c>
      <c r="DL88" s="32" t="e">
        <f>DJ88*#REF!</f>
        <v>#REF!</v>
      </c>
      <c r="DN88" s="33"/>
      <c r="DO88" s="34"/>
      <c r="DP88" s="35"/>
      <c r="DQ88" s="36"/>
      <c r="DR88" s="37"/>
      <c r="DS88" s="30">
        <f t="shared" si="13"/>
        <v>0</v>
      </c>
      <c r="DT88" s="31" t="e">
        <f>DS88*#REF!</f>
        <v>#REF!</v>
      </c>
      <c r="DU88" s="32" t="e">
        <f>DS88*#REF!</f>
        <v>#REF!</v>
      </c>
      <c r="DW88" s="33"/>
      <c r="DX88" s="34"/>
      <c r="DY88" s="35"/>
      <c r="DZ88" s="36"/>
      <c r="EA88" s="37"/>
      <c r="EB88" s="30">
        <f t="shared" si="14"/>
        <v>0</v>
      </c>
      <c r="EC88" s="31" t="e">
        <f>EB88*#REF!</f>
        <v>#REF!</v>
      </c>
      <c r="ED88" s="32" t="e">
        <f>EB88*#REF!</f>
        <v>#REF!</v>
      </c>
      <c r="EF88" s="33"/>
      <c r="EG88" s="34"/>
      <c r="EH88" s="35"/>
      <c r="EI88" s="36"/>
      <c r="EJ88" s="37"/>
      <c r="EK88" s="30">
        <f t="shared" si="15"/>
        <v>0</v>
      </c>
      <c r="EL88" s="31" t="e">
        <f>EK88*#REF!</f>
        <v>#REF!</v>
      </c>
      <c r="EM88" s="32" t="e">
        <f>EK88*#REF!</f>
        <v>#REF!</v>
      </c>
      <c r="EO88" s="33"/>
      <c r="EP88" s="34"/>
      <c r="EQ88" s="35"/>
      <c r="ER88" s="36"/>
      <c r="ES88" s="37"/>
      <c r="ET88" s="30">
        <f t="shared" si="16"/>
        <v>0</v>
      </c>
      <c r="EU88" s="31" t="e">
        <f>ET88*#REF!</f>
        <v>#REF!</v>
      </c>
      <c r="EV88" s="32" t="e">
        <f>ET88*#REF!</f>
        <v>#REF!</v>
      </c>
      <c r="EX88" s="33"/>
      <c r="EY88" s="34"/>
      <c r="EZ88" s="35"/>
      <c r="FA88" s="36"/>
      <c r="FB88" s="37"/>
      <c r="FC88" s="30">
        <f t="shared" si="17"/>
        <v>0</v>
      </c>
      <c r="FD88" s="31" t="e">
        <f>FC88*#REF!</f>
        <v>#REF!</v>
      </c>
      <c r="FE88" s="32" t="e">
        <f>FC88*#REF!</f>
        <v>#REF!</v>
      </c>
      <c r="FG88" s="33"/>
      <c r="FH88" s="34"/>
      <c r="FI88" s="35"/>
      <c r="FJ88" s="36"/>
      <c r="FK88" s="37"/>
      <c r="FL88" s="30">
        <f t="shared" si="18"/>
        <v>0</v>
      </c>
      <c r="FM88" s="31" t="e">
        <f>FL88*#REF!</f>
        <v>#REF!</v>
      </c>
      <c r="FN88" s="32" t="e">
        <f>FL88*#REF!</f>
        <v>#REF!</v>
      </c>
      <c r="FP88" s="33"/>
      <c r="FQ88" s="34"/>
      <c r="FR88" s="35"/>
      <c r="FS88" s="36"/>
      <c r="FT88" s="37"/>
      <c r="FU88" s="30">
        <f t="shared" si="19"/>
        <v>0</v>
      </c>
      <c r="FV88" s="31" t="e">
        <f>FU88*#REF!</f>
        <v>#REF!</v>
      </c>
      <c r="FW88" s="32" t="e">
        <f>FU88*#REF!</f>
        <v>#REF!</v>
      </c>
      <c r="FY88" s="33"/>
      <c r="FZ88" s="34"/>
      <c r="GA88" s="35"/>
      <c r="GB88" s="36"/>
      <c r="GC88" s="37"/>
      <c r="GD88" s="30">
        <f t="shared" si="20"/>
        <v>0</v>
      </c>
      <c r="GE88" s="31" t="e">
        <f>GD88*#REF!</f>
        <v>#REF!</v>
      </c>
      <c r="GF88" s="32" t="e">
        <f>GD88*#REF!</f>
        <v>#REF!</v>
      </c>
      <c r="GH88" s="33"/>
      <c r="GI88" s="34"/>
      <c r="GJ88" s="35"/>
      <c r="GK88" s="36"/>
      <c r="GL88" s="37"/>
      <c r="GM88" s="30">
        <f t="shared" si="21"/>
        <v>0</v>
      </c>
      <c r="GN88" s="31" t="e">
        <f>GM88*#REF!</f>
        <v>#REF!</v>
      </c>
      <c r="GO88" s="32" t="e">
        <f>GM88*#REF!</f>
        <v>#REF!</v>
      </c>
      <c r="GQ88" s="38">
        <f>_xlfn.MAXIFS(I88:GO88,$I$5:$GO$5,"Staff #")</f>
        <v>0</v>
      </c>
      <c r="GR88" s="39">
        <v>0</v>
      </c>
    </row>
    <row r="89" spans="2:200" ht="15" x14ac:dyDescent="0.25">
      <c r="B89" s="22"/>
      <c r="C89" s="23"/>
      <c r="D89" s="24" t="str">
        <f>IF(C89="","",_xlfn.XLOOKUP(C89,'[3]Control Sheet'!$L$5:$L$104,'[3]Control Sheet'!$M$5:$M$104,"",0))</f>
        <v/>
      </c>
      <c r="E89" s="24" t="str">
        <f>IF(B89="","",_xlfn.XLOOKUP(B89,'[3]Control Sheet'!$D$5:$D$64,'[3]Control Sheet'!$F$5:$F$64,"",0))</f>
        <v/>
      </c>
      <c r="F89" s="24" t="str">
        <f>IF(B89="","",_xlfn.XLOOKUP(B89,'[3]Control Sheet'!$D$5:$D$64,'[3]Control Sheet'!$E$5:$E$64,"",0))</f>
        <v/>
      </c>
      <c r="I89" s="33"/>
      <c r="J89" s="34"/>
      <c r="K89" s="35"/>
      <c r="L89" s="36"/>
      <c r="M89" s="37"/>
      <c r="P89" s="33"/>
      <c r="Q89" s="34"/>
      <c r="R89" s="35"/>
      <c r="S89" s="36"/>
      <c r="T89" s="37"/>
      <c r="V89" s="33"/>
      <c r="W89" s="34"/>
      <c r="X89" s="35"/>
      <c r="Y89" s="36"/>
      <c r="Z89" s="37"/>
      <c r="AB89" s="33"/>
      <c r="AC89" s="34"/>
      <c r="AD89" s="35"/>
      <c r="AE89" s="36"/>
      <c r="AF89" s="37"/>
      <c r="AH89" s="33"/>
      <c r="AI89" s="34"/>
      <c r="AJ89" s="35"/>
      <c r="AK89" s="36"/>
      <c r="AL89" s="37"/>
      <c r="AN89" s="33"/>
      <c r="AO89" s="34"/>
      <c r="AP89" s="35"/>
      <c r="AQ89" s="36"/>
      <c r="AR89" s="37"/>
      <c r="AT89" s="33"/>
      <c r="AU89" s="34"/>
      <c r="AV89" s="35"/>
      <c r="AW89" s="36"/>
      <c r="AX89" s="37"/>
      <c r="AZ89" s="33"/>
      <c r="BA89" s="34"/>
      <c r="BB89" s="35"/>
      <c r="BC89" s="36"/>
      <c r="BD89" s="37"/>
      <c r="BF89" s="33"/>
      <c r="BG89" s="34"/>
      <c r="BH89" s="35"/>
      <c r="BI89" s="36"/>
      <c r="BJ89" s="37"/>
      <c r="BL89" s="33"/>
      <c r="BM89" s="34"/>
      <c r="BN89" s="35"/>
      <c r="BO89" s="36"/>
      <c r="BP89" s="37"/>
      <c r="BR89" s="33"/>
      <c r="BS89" s="34"/>
      <c r="BT89" s="35"/>
      <c r="BU89" s="36"/>
      <c r="BV89" s="37"/>
      <c r="BX89" s="33"/>
      <c r="BY89" s="34"/>
      <c r="BZ89" s="35"/>
      <c r="CA89" s="36"/>
      <c r="CB89" s="37"/>
      <c r="CD89" s="33"/>
      <c r="CE89" s="34"/>
      <c r="CF89" s="35"/>
      <c r="CG89" s="36"/>
      <c r="CH89" s="37"/>
      <c r="CJ89" s="33"/>
      <c r="CK89" s="34"/>
      <c r="CL89" s="35"/>
      <c r="CM89" s="36"/>
      <c r="CN89" s="37"/>
      <c r="CP89" s="33"/>
      <c r="CQ89" s="34"/>
      <c r="CR89" s="35"/>
      <c r="CS89" s="36"/>
      <c r="CT89" s="37"/>
      <c r="CV89" s="33"/>
      <c r="CW89" s="34"/>
      <c r="CX89" s="35"/>
      <c r="CY89" s="36"/>
      <c r="CZ89" s="37"/>
      <c r="DA89" s="30">
        <f t="shared" si="11"/>
        <v>0</v>
      </c>
      <c r="DB89" s="31" t="e">
        <f>DA89*#REF!</f>
        <v>#REF!</v>
      </c>
      <c r="DC89" s="32" t="e">
        <f>DA89*#REF!</f>
        <v>#REF!</v>
      </c>
      <c r="DE89" s="33"/>
      <c r="DF89" s="34"/>
      <c r="DG89" s="35"/>
      <c r="DH89" s="36"/>
      <c r="DI89" s="37"/>
      <c r="DJ89" s="30">
        <f t="shared" si="12"/>
        <v>0</v>
      </c>
      <c r="DK89" s="31" t="e">
        <f>DJ89*#REF!</f>
        <v>#REF!</v>
      </c>
      <c r="DL89" s="32" t="e">
        <f>DJ89*#REF!</f>
        <v>#REF!</v>
      </c>
      <c r="DN89" s="33"/>
      <c r="DO89" s="34"/>
      <c r="DP89" s="35"/>
      <c r="DQ89" s="36"/>
      <c r="DR89" s="37"/>
      <c r="DS89" s="30">
        <f t="shared" si="13"/>
        <v>0</v>
      </c>
      <c r="DT89" s="31" t="e">
        <f>DS89*#REF!</f>
        <v>#REF!</v>
      </c>
      <c r="DU89" s="32" t="e">
        <f>DS89*#REF!</f>
        <v>#REF!</v>
      </c>
      <c r="DW89" s="33"/>
      <c r="DX89" s="34"/>
      <c r="DY89" s="35"/>
      <c r="DZ89" s="36"/>
      <c r="EA89" s="37"/>
      <c r="EB89" s="30">
        <f t="shared" si="14"/>
        <v>0</v>
      </c>
      <c r="EC89" s="31" t="e">
        <f>EB89*#REF!</f>
        <v>#REF!</v>
      </c>
      <c r="ED89" s="32" t="e">
        <f>EB89*#REF!</f>
        <v>#REF!</v>
      </c>
      <c r="EF89" s="33"/>
      <c r="EG89" s="34"/>
      <c r="EH89" s="35"/>
      <c r="EI89" s="36"/>
      <c r="EJ89" s="37"/>
      <c r="EK89" s="30">
        <f t="shared" si="15"/>
        <v>0</v>
      </c>
      <c r="EL89" s="31" t="e">
        <f>EK89*#REF!</f>
        <v>#REF!</v>
      </c>
      <c r="EM89" s="32" t="e">
        <f>EK89*#REF!</f>
        <v>#REF!</v>
      </c>
      <c r="EO89" s="33"/>
      <c r="EP89" s="34"/>
      <c r="EQ89" s="35"/>
      <c r="ER89" s="36"/>
      <c r="ES89" s="37"/>
      <c r="ET89" s="30">
        <f t="shared" si="16"/>
        <v>0</v>
      </c>
      <c r="EU89" s="31" t="e">
        <f>ET89*#REF!</f>
        <v>#REF!</v>
      </c>
      <c r="EV89" s="32" t="e">
        <f>ET89*#REF!</f>
        <v>#REF!</v>
      </c>
      <c r="EX89" s="33"/>
      <c r="EY89" s="34"/>
      <c r="EZ89" s="35"/>
      <c r="FA89" s="36"/>
      <c r="FB89" s="37"/>
      <c r="FC89" s="30">
        <f t="shared" si="17"/>
        <v>0</v>
      </c>
      <c r="FD89" s="31" t="e">
        <f>FC89*#REF!</f>
        <v>#REF!</v>
      </c>
      <c r="FE89" s="32" t="e">
        <f>FC89*#REF!</f>
        <v>#REF!</v>
      </c>
      <c r="FG89" s="33"/>
      <c r="FH89" s="34"/>
      <c r="FI89" s="35"/>
      <c r="FJ89" s="36"/>
      <c r="FK89" s="37"/>
      <c r="FL89" s="30">
        <f t="shared" si="18"/>
        <v>0</v>
      </c>
      <c r="FM89" s="31" t="e">
        <f>FL89*#REF!</f>
        <v>#REF!</v>
      </c>
      <c r="FN89" s="32" t="e">
        <f>FL89*#REF!</f>
        <v>#REF!</v>
      </c>
      <c r="FP89" s="33"/>
      <c r="FQ89" s="34"/>
      <c r="FR89" s="35"/>
      <c r="FS89" s="36"/>
      <c r="FT89" s="37"/>
      <c r="FU89" s="30">
        <f t="shared" si="19"/>
        <v>0</v>
      </c>
      <c r="FV89" s="31" t="e">
        <f>FU89*#REF!</f>
        <v>#REF!</v>
      </c>
      <c r="FW89" s="32" t="e">
        <f>FU89*#REF!</f>
        <v>#REF!</v>
      </c>
      <c r="FY89" s="33"/>
      <c r="FZ89" s="34"/>
      <c r="GA89" s="35"/>
      <c r="GB89" s="36"/>
      <c r="GC89" s="37"/>
      <c r="GD89" s="30">
        <f t="shared" si="20"/>
        <v>0</v>
      </c>
      <c r="GE89" s="31" t="e">
        <f>GD89*#REF!</f>
        <v>#REF!</v>
      </c>
      <c r="GF89" s="32" t="e">
        <f>GD89*#REF!</f>
        <v>#REF!</v>
      </c>
      <c r="GH89" s="33"/>
      <c r="GI89" s="34"/>
      <c r="GJ89" s="35"/>
      <c r="GK89" s="36"/>
      <c r="GL89" s="37"/>
      <c r="GM89" s="30">
        <f t="shared" si="21"/>
        <v>0</v>
      </c>
      <c r="GN89" s="31" t="e">
        <f>GM89*#REF!</f>
        <v>#REF!</v>
      </c>
      <c r="GO89" s="32" t="e">
        <f>GM89*#REF!</f>
        <v>#REF!</v>
      </c>
      <c r="GQ89" s="38">
        <f>_xlfn.MAXIFS(I89:GO89,$I$5:$GO$5,"Staff #")</f>
        <v>0</v>
      </c>
      <c r="GR89" s="39">
        <v>0</v>
      </c>
    </row>
    <row r="90" spans="2:200" ht="15" x14ac:dyDescent="0.25">
      <c r="B90" s="22"/>
      <c r="C90" s="23"/>
      <c r="D90" s="24" t="str">
        <f>IF(C90="","",_xlfn.XLOOKUP(C90,'[3]Control Sheet'!$L$5:$L$104,'[3]Control Sheet'!$M$5:$M$104,"",0))</f>
        <v/>
      </c>
      <c r="E90" s="24" t="str">
        <f>IF(B90="","",_xlfn.XLOOKUP(B90,'[3]Control Sheet'!$D$5:$D$64,'[3]Control Sheet'!$F$5:$F$64,"",0))</f>
        <v/>
      </c>
      <c r="F90" s="24" t="str">
        <f>IF(B90="","",_xlfn.XLOOKUP(B90,'[3]Control Sheet'!$D$5:$D$64,'[3]Control Sheet'!$E$5:$E$64,"",0))</f>
        <v/>
      </c>
      <c r="I90" s="33"/>
      <c r="J90" s="34"/>
      <c r="K90" s="35"/>
      <c r="L90" s="36"/>
      <c r="M90" s="37"/>
      <c r="P90" s="33"/>
      <c r="Q90" s="34"/>
      <c r="R90" s="35"/>
      <c r="S90" s="36"/>
      <c r="T90" s="37"/>
      <c r="V90" s="33"/>
      <c r="W90" s="34"/>
      <c r="X90" s="35"/>
      <c r="Y90" s="36"/>
      <c r="Z90" s="37"/>
      <c r="AB90" s="33"/>
      <c r="AC90" s="34"/>
      <c r="AD90" s="35"/>
      <c r="AE90" s="36"/>
      <c r="AF90" s="37"/>
      <c r="AH90" s="33"/>
      <c r="AI90" s="34"/>
      <c r="AJ90" s="35"/>
      <c r="AK90" s="36"/>
      <c r="AL90" s="37"/>
      <c r="AN90" s="33"/>
      <c r="AO90" s="34"/>
      <c r="AP90" s="35"/>
      <c r="AQ90" s="36"/>
      <c r="AR90" s="37"/>
      <c r="AT90" s="33"/>
      <c r="AU90" s="34"/>
      <c r="AV90" s="35"/>
      <c r="AW90" s="36"/>
      <c r="AX90" s="37"/>
      <c r="AZ90" s="33"/>
      <c r="BA90" s="34"/>
      <c r="BB90" s="35"/>
      <c r="BC90" s="36"/>
      <c r="BD90" s="37"/>
      <c r="BF90" s="33"/>
      <c r="BG90" s="34"/>
      <c r="BH90" s="35"/>
      <c r="BI90" s="36"/>
      <c r="BJ90" s="37"/>
      <c r="BL90" s="33"/>
      <c r="BM90" s="34"/>
      <c r="BN90" s="35"/>
      <c r="BO90" s="36"/>
      <c r="BP90" s="37"/>
      <c r="BR90" s="33"/>
      <c r="BS90" s="34"/>
      <c r="BT90" s="35"/>
      <c r="BU90" s="36"/>
      <c r="BV90" s="37"/>
      <c r="BX90" s="33"/>
      <c r="BY90" s="34"/>
      <c r="BZ90" s="35"/>
      <c r="CA90" s="36"/>
      <c r="CB90" s="37"/>
      <c r="CD90" s="33"/>
      <c r="CE90" s="34"/>
      <c r="CF90" s="35"/>
      <c r="CG90" s="36"/>
      <c r="CH90" s="37"/>
      <c r="CJ90" s="33"/>
      <c r="CK90" s="34"/>
      <c r="CL90" s="35"/>
      <c r="CM90" s="36"/>
      <c r="CN90" s="37"/>
      <c r="CP90" s="33"/>
      <c r="CQ90" s="34"/>
      <c r="CR90" s="35"/>
      <c r="CS90" s="36"/>
      <c r="CT90" s="37"/>
      <c r="CV90" s="33"/>
      <c r="CW90" s="34"/>
      <c r="CX90" s="35"/>
      <c r="CY90" s="36"/>
      <c r="CZ90" s="37"/>
      <c r="DA90" s="30">
        <f t="shared" si="11"/>
        <v>0</v>
      </c>
      <c r="DB90" s="31" t="e">
        <f>DA90*#REF!</f>
        <v>#REF!</v>
      </c>
      <c r="DC90" s="32" t="e">
        <f>DA90*#REF!</f>
        <v>#REF!</v>
      </c>
      <c r="DE90" s="33"/>
      <c r="DF90" s="34"/>
      <c r="DG90" s="35"/>
      <c r="DH90" s="36"/>
      <c r="DI90" s="37"/>
      <c r="DJ90" s="30">
        <f t="shared" si="12"/>
        <v>0</v>
      </c>
      <c r="DK90" s="31" t="e">
        <f>DJ90*#REF!</f>
        <v>#REF!</v>
      </c>
      <c r="DL90" s="32" t="e">
        <f>DJ90*#REF!</f>
        <v>#REF!</v>
      </c>
      <c r="DN90" s="33"/>
      <c r="DO90" s="34"/>
      <c r="DP90" s="35"/>
      <c r="DQ90" s="36"/>
      <c r="DR90" s="37"/>
      <c r="DS90" s="30">
        <f t="shared" si="13"/>
        <v>0</v>
      </c>
      <c r="DT90" s="31" t="e">
        <f>DS90*#REF!</f>
        <v>#REF!</v>
      </c>
      <c r="DU90" s="32" t="e">
        <f>DS90*#REF!</f>
        <v>#REF!</v>
      </c>
      <c r="DW90" s="33"/>
      <c r="DX90" s="34"/>
      <c r="DY90" s="35"/>
      <c r="DZ90" s="36"/>
      <c r="EA90" s="37"/>
      <c r="EB90" s="30">
        <f t="shared" si="14"/>
        <v>0</v>
      </c>
      <c r="EC90" s="31" t="e">
        <f>EB90*#REF!</f>
        <v>#REF!</v>
      </c>
      <c r="ED90" s="32" t="e">
        <f>EB90*#REF!</f>
        <v>#REF!</v>
      </c>
      <c r="EF90" s="33"/>
      <c r="EG90" s="34"/>
      <c r="EH90" s="35"/>
      <c r="EI90" s="36"/>
      <c r="EJ90" s="37"/>
      <c r="EK90" s="30">
        <f t="shared" si="15"/>
        <v>0</v>
      </c>
      <c r="EL90" s="31" t="e">
        <f>EK90*#REF!</f>
        <v>#REF!</v>
      </c>
      <c r="EM90" s="32" t="e">
        <f>EK90*#REF!</f>
        <v>#REF!</v>
      </c>
      <c r="EO90" s="33"/>
      <c r="EP90" s="34"/>
      <c r="EQ90" s="35"/>
      <c r="ER90" s="36"/>
      <c r="ES90" s="37"/>
      <c r="ET90" s="30">
        <f t="shared" si="16"/>
        <v>0</v>
      </c>
      <c r="EU90" s="31" t="e">
        <f>ET90*#REF!</f>
        <v>#REF!</v>
      </c>
      <c r="EV90" s="32" t="e">
        <f>ET90*#REF!</f>
        <v>#REF!</v>
      </c>
      <c r="EX90" s="33"/>
      <c r="EY90" s="34"/>
      <c r="EZ90" s="35"/>
      <c r="FA90" s="36"/>
      <c r="FB90" s="37"/>
      <c r="FC90" s="30">
        <f t="shared" si="17"/>
        <v>0</v>
      </c>
      <c r="FD90" s="31" t="e">
        <f>FC90*#REF!</f>
        <v>#REF!</v>
      </c>
      <c r="FE90" s="32" t="e">
        <f>FC90*#REF!</f>
        <v>#REF!</v>
      </c>
      <c r="FG90" s="33"/>
      <c r="FH90" s="34"/>
      <c r="FI90" s="35"/>
      <c r="FJ90" s="36"/>
      <c r="FK90" s="37"/>
      <c r="FL90" s="30">
        <f t="shared" si="18"/>
        <v>0</v>
      </c>
      <c r="FM90" s="31" t="e">
        <f>FL90*#REF!</f>
        <v>#REF!</v>
      </c>
      <c r="FN90" s="32" t="e">
        <f>FL90*#REF!</f>
        <v>#REF!</v>
      </c>
      <c r="FP90" s="33"/>
      <c r="FQ90" s="34"/>
      <c r="FR90" s="35"/>
      <c r="FS90" s="36"/>
      <c r="FT90" s="37"/>
      <c r="FU90" s="30">
        <f t="shared" si="19"/>
        <v>0</v>
      </c>
      <c r="FV90" s="31" t="e">
        <f>FU90*#REF!</f>
        <v>#REF!</v>
      </c>
      <c r="FW90" s="32" t="e">
        <f>FU90*#REF!</f>
        <v>#REF!</v>
      </c>
      <c r="FY90" s="33"/>
      <c r="FZ90" s="34"/>
      <c r="GA90" s="35"/>
      <c r="GB90" s="36"/>
      <c r="GC90" s="37"/>
      <c r="GD90" s="30">
        <f t="shared" si="20"/>
        <v>0</v>
      </c>
      <c r="GE90" s="31" t="e">
        <f>GD90*#REF!</f>
        <v>#REF!</v>
      </c>
      <c r="GF90" s="32" t="e">
        <f>GD90*#REF!</f>
        <v>#REF!</v>
      </c>
      <c r="GH90" s="33"/>
      <c r="GI90" s="34"/>
      <c r="GJ90" s="35"/>
      <c r="GK90" s="36"/>
      <c r="GL90" s="37"/>
      <c r="GM90" s="30">
        <f t="shared" si="21"/>
        <v>0</v>
      </c>
      <c r="GN90" s="31" t="e">
        <f>GM90*#REF!</f>
        <v>#REF!</v>
      </c>
      <c r="GO90" s="32" t="e">
        <f>GM90*#REF!</f>
        <v>#REF!</v>
      </c>
      <c r="GQ90" s="38">
        <f>_xlfn.MAXIFS(I90:GO90,$I$5:$GO$5,"Staff #")</f>
        <v>0</v>
      </c>
      <c r="GR90" s="39">
        <v>0</v>
      </c>
    </row>
    <row r="91" spans="2:200" ht="15" x14ac:dyDescent="0.25">
      <c r="B91" s="22"/>
      <c r="C91" s="23"/>
      <c r="D91" s="24" t="str">
        <f>IF(C91="","",_xlfn.XLOOKUP(C91,'[3]Control Sheet'!$L$5:$L$104,'[3]Control Sheet'!$M$5:$M$104,"",0))</f>
        <v/>
      </c>
      <c r="E91" s="24" t="str">
        <f>IF(B91="","",_xlfn.XLOOKUP(B91,'[3]Control Sheet'!$D$5:$D$64,'[3]Control Sheet'!$F$5:$F$64,"",0))</f>
        <v/>
      </c>
      <c r="F91" s="24" t="str">
        <f>IF(B91="","",_xlfn.XLOOKUP(B91,'[3]Control Sheet'!$D$5:$D$64,'[3]Control Sheet'!$E$5:$E$64,"",0))</f>
        <v/>
      </c>
      <c r="I91" s="33"/>
      <c r="J91" s="34"/>
      <c r="K91" s="35"/>
      <c r="L91" s="36"/>
      <c r="M91" s="37"/>
      <c r="P91" s="33"/>
      <c r="Q91" s="34"/>
      <c r="R91" s="35"/>
      <c r="S91" s="36"/>
      <c r="T91" s="37"/>
      <c r="V91" s="33"/>
      <c r="W91" s="34"/>
      <c r="X91" s="35"/>
      <c r="Y91" s="36"/>
      <c r="Z91" s="37"/>
      <c r="AB91" s="33"/>
      <c r="AC91" s="34"/>
      <c r="AD91" s="35"/>
      <c r="AE91" s="36"/>
      <c r="AF91" s="37"/>
      <c r="AH91" s="33"/>
      <c r="AI91" s="34"/>
      <c r="AJ91" s="35"/>
      <c r="AK91" s="36"/>
      <c r="AL91" s="37"/>
      <c r="AN91" s="33"/>
      <c r="AO91" s="34"/>
      <c r="AP91" s="35"/>
      <c r="AQ91" s="36"/>
      <c r="AR91" s="37"/>
      <c r="AT91" s="33"/>
      <c r="AU91" s="34"/>
      <c r="AV91" s="35"/>
      <c r="AW91" s="36"/>
      <c r="AX91" s="37"/>
      <c r="AZ91" s="33"/>
      <c r="BA91" s="34"/>
      <c r="BB91" s="35"/>
      <c r="BC91" s="36"/>
      <c r="BD91" s="37"/>
      <c r="BF91" s="33"/>
      <c r="BG91" s="34"/>
      <c r="BH91" s="35"/>
      <c r="BI91" s="36"/>
      <c r="BJ91" s="37"/>
      <c r="BL91" s="33"/>
      <c r="BM91" s="34"/>
      <c r="BN91" s="35"/>
      <c r="BO91" s="36"/>
      <c r="BP91" s="37"/>
      <c r="BR91" s="33"/>
      <c r="BS91" s="34"/>
      <c r="BT91" s="35"/>
      <c r="BU91" s="36"/>
      <c r="BV91" s="37"/>
      <c r="BX91" s="33"/>
      <c r="BY91" s="34"/>
      <c r="BZ91" s="35"/>
      <c r="CA91" s="36"/>
      <c r="CB91" s="37"/>
      <c r="CD91" s="33"/>
      <c r="CE91" s="34"/>
      <c r="CF91" s="35"/>
      <c r="CG91" s="36"/>
      <c r="CH91" s="37"/>
      <c r="CJ91" s="33"/>
      <c r="CK91" s="34"/>
      <c r="CL91" s="35"/>
      <c r="CM91" s="36"/>
      <c r="CN91" s="37"/>
      <c r="CP91" s="33"/>
      <c r="CQ91" s="34"/>
      <c r="CR91" s="35"/>
      <c r="CS91" s="36"/>
      <c r="CT91" s="37"/>
      <c r="CV91" s="33"/>
      <c r="CW91" s="34"/>
      <c r="CX91" s="35"/>
      <c r="CY91" s="36"/>
      <c r="CZ91" s="37"/>
      <c r="DA91" s="30">
        <f t="shared" si="11"/>
        <v>0</v>
      </c>
      <c r="DB91" s="31" t="e">
        <f>DA91*#REF!</f>
        <v>#REF!</v>
      </c>
      <c r="DC91" s="32" t="e">
        <f>DA91*#REF!</f>
        <v>#REF!</v>
      </c>
      <c r="DE91" s="33"/>
      <c r="DF91" s="34"/>
      <c r="DG91" s="35"/>
      <c r="DH91" s="36"/>
      <c r="DI91" s="37"/>
      <c r="DJ91" s="30">
        <f t="shared" si="12"/>
        <v>0</v>
      </c>
      <c r="DK91" s="31" t="e">
        <f>DJ91*#REF!</f>
        <v>#REF!</v>
      </c>
      <c r="DL91" s="32" t="e">
        <f>DJ91*#REF!</f>
        <v>#REF!</v>
      </c>
      <c r="DN91" s="33"/>
      <c r="DO91" s="34"/>
      <c r="DP91" s="35"/>
      <c r="DQ91" s="36"/>
      <c r="DR91" s="37"/>
      <c r="DS91" s="30">
        <f t="shared" si="13"/>
        <v>0</v>
      </c>
      <c r="DT91" s="31" t="e">
        <f>DS91*#REF!</f>
        <v>#REF!</v>
      </c>
      <c r="DU91" s="32" t="e">
        <f>DS91*#REF!</f>
        <v>#REF!</v>
      </c>
      <c r="DW91" s="33"/>
      <c r="DX91" s="34"/>
      <c r="DY91" s="35"/>
      <c r="DZ91" s="36"/>
      <c r="EA91" s="37"/>
      <c r="EB91" s="30">
        <f t="shared" si="14"/>
        <v>0</v>
      </c>
      <c r="EC91" s="31" t="e">
        <f>EB91*#REF!</f>
        <v>#REF!</v>
      </c>
      <c r="ED91" s="32" t="e">
        <f>EB91*#REF!</f>
        <v>#REF!</v>
      </c>
      <c r="EF91" s="33"/>
      <c r="EG91" s="34"/>
      <c r="EH91" s="35"/>
      <c r="EI91" s="36"/>
      <c r="EJ91" s="37"/>
      <c r="EK91" s="30">
        <f t="shared" si="15"/>
        <v>0</v>
      </c>
      <c r="EL91" s="31" t="e">
        <f>EK91*#REF!</f>
        <v>#REF!</v>
      </c>
      <c r="EM91" s="32" t="e">
        <f>EK91*#REF!</f>
        <v>#REF!</v>
      </c>
      <c r="EO91" s="33"/>
      <c r="EP91" s="34"/>
      <c r="EQ91" s="35"/>
      <c r="ER91" s="36"/>
      <c r="ES91" s="37"/>
      <c r="ET91" s="30">
        <f t="shared" si="16"/>
        <v>0</v>
      </c>
      <c r="EU91" s="31" t="e">
        <f>ET91*#REF!</f>
        <v>#REF!</v>
      </c>
      <c r="EV91" s="32" t="e">
        <f>ET91*#REF!</f>
        <v>#REF!</v>
      </c>
      <c r="EX91" s="33"/>
      <c r="EY91" s="34"/>
      <c r="EZ91" s="35"/>
      <c r="FA91" s="36"/>
      <c r="FB91" s="37"/>
      <c r="FC91" s="30">
        <f t="shared" si="17"/>
        <v>0</v>
      </c>
      <c r="FD91" s="31" t="e">
        <f>FC91*#REF!</f>
        <v>#REF!</v>
      </c>
      <c r="FE91" s="32" t="e">
        <f>FC91*#REF!</f>
        <v>#REF!</v>
      </c>
      <c r="FG91" s="33"/>
      <c r="FH91" s="34"/>
      <c r="FI91" s="35"/>
      <c r="FJ91" s="36"/>
      <c r="FK91" s="37"/>
      <c r="FL91" s="30">
        <f t="shared" si="18"/>
        <v>0</v>
      </c>
      <c r="FM91" s="31" t="e">
        <f>FL91*#REF!</f>
        <v>#REF!</v>
      </c>
      <c r="FN91" s="32" t="e">
        <f>FL91*#REF!</f>
        <v>#REF!</v>
      </c>
      <c r="FP91" s="33"/>
      <c r="FQ91" s="34"/>
      <c r="FR91" s="35"/>
      <c r="FS91" s="36"/>
      <c r="FT91" s="37"/>
      <c r="FU91" s="30">
        <f t="shared" si="19"/>
        <v>0</v>
      </c>
      <c r="FV91" s="31" t="e">
        <f>FU91*#REF!</f>
        <v>#REF!</v>
      </c>
      <c r="FW91" s="32" t="e">
        <f>FU91*#REF!</f>
        <v>#REF!</v>
      </c>
      <c r="FY91" s="33"/>
      <c r="FZ91" s="34"/>
      <c r="GA91" s="35"/>
      <c r="GB91" s="36"/>
      <c r="GC91" s="37"/>
      <c r="GD91" s="30">
        <f t="shared" si="20"/>
        <v>0</v>
      </c>
      <c r="GE91" s="31" t="e">
        <f>GD91*#REF!</f>
        <v>#REF!</v>
      </c>
      <c r="GF91" s="32" t="e">
        <f>GD91*#REF!</f>
        <v>#REF!</v>
      </c>
      <c r="GH91" s="33"/>
      <c r="GI91" s="34"/>
      <c r="GJ91" s="35"/>
      <c r="GK91" s="36"/>
      <c r="GL91" s="37"/>
      <c r="GM91" s="30">
        <f t="shared" si="21"/>
        <v>0</v>
      </c>
      <c r="GN91" s="31" t="e">
        <f>GM91*#REF!</f>
        <v>#REF!</v>
      </c>
      <c r="GO91" s="32" t="e">
        <f>GM91*#REF!</f>
        <v>#REF!</v>
      </c>
      <c r="GQ91" s="38">
        <f>_xlfn.MAXIFS(I91:GO91,$I$5:$GO$5,"Staff #")</f>
        <v>0</v>
      </c>
      <c r="GR91" s="39">
        <v>0</v>
      </c>
    </row>
    <row r="92" spans="2:200" ht="15" x14ac:dyDescent="0.25">
      <c r="B92" s="22"/>
      <c r="C92" s="23"/>
      <c r="D92" s="24" t="str">
        <f>IF(C92="","",_xlfn.XLOOKUP(C92,'[3]Control Sheet'!$L$5:$L$104,'[3]Control Sheet'!$M$5:$M$104,"",0))</f>
        <v/>
      </c>
      <c r="E92" s="24" t="str">
        <f>IF(B92="","",_xlfn.XLOOKUP(B92,'[3]Control Sheet'!$D$5:$D$64,'[3]Control Sheet'!$F$5:$F$64,"",0))</f>
        <v/>
      </c>
      <c r="F92" s="24" t="str">
        <f>IF(B92="","",_xlfn.XLOOKUP(B92,'[3]Control Sheet'!$D$5:$D$64,'[3]Control Sheet'!$E$5:$E$64,"",0))</f>
        <v/>
      </c>
      <c r="I92" s="33"/>
      <c r="J92" s="34"/>
      <c r="K92" s="35"/>
      <c r="L92" s="36"/>
      <c r="M92" s="37"/>
      <c r="P92" s="33"/>
      <c r="Q92" s="34"/>
      <c r="R92" s="35"/>
      <c r="S92" s="36"/>
      <c r="T92" s="37"/>
      <c r="V92" s="33"/>
      <c r="W92" s="34"/>
      <c r="X92" s="35"/>
      <c r="Y92" s="36"/>
      <c r="Z92" s="37"/>
      <c r="AB92" s="33"/>
      <c r="AC92" s="34"/>
      <c r="AD92" s="35"/>
      <c r="AE92" s="36"/>
      <c r="AF92" s="37"/>
      <c r="AH92" s="33"/>
      <c r="AI92" s="34"/>
      <c r="AJ92" s="35"/>
      <c r="AK92" s="36"/>
      <c r="AL92" s="37"/>
      <c r="AN92" s="33"/>
      <c r="AO92" s="34"/>
      <c r="AP92" s="35"/>
      <c r="AQ92" s="36"/>
      <c r="AR92" s="37"/>
      <c r="AT92" s="33"/>
      <c r="AU92" s="34"/>
      <c r="AV92" s="35"/>
      <c r="AW92" s="36"/>
      <c r="AX92" s="37"/>
      <c r="AZ92" s="33"/>
      <c r="BA92" s="34"/>
      <c r="BB92" s="35"/>
      <c r="BC92" s="36"/>
      <c r="BD92" s="37"/>
      <c r="BF92" s="33"/>
      <c r="BG92" s="34"/>
      <c r="BH92" s="35"/>
      <c r="BI92" s="36"/>
      <c r="BJ92" s="37"/>
      <c r="BL92" s="33"/>
      <c r="BM92" s="34"/>
      <c r="BN92" s="35"/>
      <c r="BO92" s="36"/>
      <c r="BP92" s="37"/>
      <c r="BR92" s="33"/>
      <c r="BS92" s="34"/>
      <c r="BT92" s="35"/>
      <c r="BU92" s="36"/>
      <c r="BV92" s="37"/>
      <c r="BX92" s="33"/>
      <c r="BY92" s="34"/>
      <c r="BZ92" s="35"/>
      <c r="CA92" s="36"/>
      <c r="CB92" s="37"/>
      <c r="CD92" s="33"/>
      <c r="CE92" s="34"/>
      <c r="CF92" s="35"/>
      <c r="CG92" s="36"/>
      <c r="CH92" s="37"/>
      <c r="CJ92" s="33"/>
      <c r="CK92" s="34"/>
      <c r="CL92" s="35"/>
      <c r="CM92" s="36"/>
      <c r="CN92" s="37"/>
      <c r="CP92" s="33"/>
      <c r="CQ92" s="34"/>
      <c r="CR92" s="35"/>
      <c r="CS92" s="36"/>
      <c r="CT92" s="37"/>
      <c r="CV92" s="33"/>
      <c r="CW92" s="34"/>
      <c r="CX92" s="35"/>
      <c r="CY92" s="36"/>
      <c r="CZ92" s="37"/>
      <c r="DA92" s="30">
        <f t="shared" si="11"/>
        <v>0</v>
      </c>
      <c r="DB92" s="31" t="e">
        <f>DA92*#REF!</f>
        <v>#REF!</v>
      </c>
      <c r="DC92" s="32" t="e">
        <f>DA92*#REF!</f>
        <v>#REF!</v>
      </c>
      <c r="DE92" s="33"/>
      <c r="DF92" s="34"/>
      <c r="DG92" s="35"/>
      <c r="DH92" s="36"/>
      <c r="DI92" s="37"/>
      <c r="DJ92" s="30">
        <f t="shared" si="12"/>
        <v>0</v>
      </c>
      <c r="DK92" s="31" t="e">
        <f>DJ92*#REF!</f>
        <v>#REF!</v>
      </c>
      <c r="DL92" s="32" t="e">
        <f>DJ92*#REF!</f>
        <v>#REF!</v>
      </c>
      <c r="DN92" s="33"/>
      <c r="DO92" s="34"/>
      <c r="DP92" s="35"/>
      <c r="DQ92" s="36"/>
      <c r="DR92" s="37"/>
      <c r="DS92" s="30">
        <f t="shared" si="13"/>
        <v>0</v>
      </c>
      <c r="DT92" s="31" t="e">
        <f>DS92*#REF!</f>
        <v>#REF!</v>
      </c>
      <c r="DU92" s="32" t="e">
        <f>DS92*#REF!</f>
        <v>#REF!</v>
      </c>
      <c r="DW92" s="33"/>
      <c r="DX92" s="34"/>
      <c r="DY92" s="35"/>
      <c r="DZ92" s="36"/>
      <c r="EA92" s="37"/>
      <c r="EB92" s="30">
        <f t="shared" si="14"/>
        <v>0</v>
      </c>
      <c r="EC92" s="31" t="e">
        <f>EB92*#REF!</f>
        <v>#REF!</v>
      </c>
      <c r="ED92" s="32" t="e">
        <f>EB92*#REF!</f>
        <v>#REF!</v>
      </c>
      <c r="EF92" s="33"/>
      <c r="EG92" s="34"/>
      <c r="EH92" s="35"/>
      <c r="EI92" s="36"/>
      <c r="EJ92" s="37"/>
      <c r="EK92" s="30">
        <f t="shared" si="15"/>
        <v>0</v>
      </c>
      <c r="EL92" s="31" t="e">
        <f>EK92*#REF!</f>
        <v>#REF!</v>
      </c>
      <c r="EM92" s="32" t="e">
        <f>EK92*#REF!</f>
        <v>#REF!</v>
      </c>
      <c r="EO92" s="33"/>
      <c r="EP92" s="34"/>
      <c r="EQ92" s="35"/>
      <c r="ER92" s="36"/>
      <c r="ES92" s="37"/>
      <c r="ET92" s="30">
        <f t="shared" si="16"/>
        <v>0</v>
      </c>
      <c r="EU92" s="31" t="e">
        <f>ET92*#REF!</f>
        <v>#REF!</v>
      </c>
      <c r="EV92" s="32" t="e">
        <f>ET92*#REF!</f>
        <v>#REF!</v>
      </c>
      <c r="EX92" s="33"/>
      <c r="EY92" s="34"/>
      <c r="EZ92" s="35"/>
      <c r="FA92" s="36"/>
      <c r="FB92" s="37"/>
      <c r="FC92" s="30">
        <f t="shared" si="17"/>
        <v>0</v>
      </c>
      <c r="FD92" s="31" t="e">
        <f>FC92*#REF!</f>
        <v>#REF!</v>
      </c>
      <c r="FE92" s="32" t="e">
        <f>FC92*#REF!</f>
        <v>#REF!</v>
      </c>
      <c r="FG92" s="33"/>
      <c r="FH92" s="34"/>
      <c r="FI92" s="35"/>
      <c r="FJ92" s="36"/>
      <c r="FK92" s="37"/>
      <c r="FL92" s="30">
        <f t="shared" si="18"/>
        <v>0</v>
      </c>
      <c r="FM92" s="31" t="e">
        <f>FL92*#REF!</f>
        <v>#REF!</v>
      </c>
      <c r="FN92" s="32" t="e">
        <f>FL92*#REF!</f>
        <v>#REF!</v>
      </c>
      <c r="FP92" s="33"/>
      <c r="FQ92" s="34"/>
      <c r="FR92" s="35"/>
      <c r="FS92" s="36"/>
      <c r="FT92" s="37"/>
      <c r="FU92" s="30">
        <f t="shared" si="19"/>
        <v>0</v>
      </c>
      <c r="FV92" s="31" t="e">
        <f>FU92*#REF!</f>
        <v>#REF!</v>
      </c>
      <c r="FW92" s="32" t="e">
        <f>FU92*#REF!</f>
        <v>#REF!</v>
      </c>
      <c r="FY92" s="33"/>
      <c r="FZ92" s="34"/>
      <c r="GA92" s="35"/>
      <c r="GB92" s="36"/>
      <c r="GC92" s="37"/>
      <c r="GD92" s="30">
        <f t="shared" si="20"/>
        <v>0</v>
      </c>
      <c r="GE92" s="31" t="e">
        <f>GD92*#REF!</f>
        <v>#REF!</v>
      </c>
      <c r="GF92" s="32" t="e">
        <f>GD92*#REF!</f>
        <v>#REF!</v>
      </c>
      <c r="GH92" s="33"/>
      <c r="GI92" s="34"/>
      <c r="GJ92" s="35"/>
      <c r="GK92" s="36"/>
      <c r="GL92" s="37"/>
      <c r="GM92" s="30">
        <f t="shared" si="21"/>
        <v>0</v>
      </c>
      <c r="GN92" s="31" t="e">
        <f>GM92*#REF!</f>
        <v>#REF!</v>
      </c>
      <c r="GO92" s="32" t="e">
        <f>GM92*#REF!</f>
        <v>#REF!</v>
      </c>
      <c r="GQ92" s="38">
        <f>_xlfn.MAXIFS(I92:GO92,$I$5:$GO$5,"Staff #")</f>
        <v>0</v>
      </c>
      <c r="GR92" s="39">
        <v>0</v>
      </c>
    </row>
    <row r="93" spans="2:200" ht="15" x14ac:dyDescent="0.25">
      <c r="B93" s="22"/>
      <c r="C93" s="23"/>
      <c r="D93" s="24" t="str">
        <f>IF(C93="","",_xlfn.XLOOKUP(C93,'[3]Control Sheet'!$L$5:$L$104,'[3]Control Sheet'!$M$5:$M$104,"",0))</f>
        <v/>
      </c>
      <c r="E93" s="24" t="str">
        <f>IF(B93="","",_xlfn.XLOOKUP(B93,'[3]Control Sheet'!$D$5:$D$64,'[3]Control Sheet'!$F$5:$F$64,"",0))</f>
        <v/>
      </c>
      <c r="F93" s="24" t="str">
        <f>IF(B93="","",_xlfn.XLOOKUP(B93,'[3]Control Sheet'!$D$5:$D$64,'[3]Control Sheet'!$E$5:$E$64,"",0))</f>
        <v/>
      </c>
      <c r="I93" s="33"/>
      <c r="J93" s="34"/>
      <c r="K93" s="35"/>
      <c r="L93" s="36"/>
      <c r="M93" s="37"/>
      <c r="P93" s="33"/>
      <c r="Q93" s="34"/>
      <c r="R93" s="35"/>
      <c r="S93" s="36"/>
      <c r="T93" s="37"/>
      <c r="V93" s="33"/>
      <c r="W93" s="34"/>
      <c r="X93" s="35"/>
      <c r="Y93" s="36"/>
      <c r="Z93" s="37"/>
      <c r="AB93" s="33"/>
      <c r="AC93" s="34"/>
      <c r="AD93" s="35"/>
      <c r="AE93" s="36"/>
      <c r="AF93" s="37"/>
      <c r="AH93" s="33"/>
      <c r="AI93" s="34"/>
      <c r="AJ93" s="35"/>
      <c r="AK93" s="36"/>
      <c r="AL93" s="37"/>
      <c r="AN93" s="33"/>
      <c r="AO93" s="34"/>
      <c r="AP93" s="35"/>
      <c r="AQ93" s="36"/>
      <c r="AR93" s="37"/>
      <c r="AT93" s="33"/>
      <c r="AU93" s="34"/>
      <c r="AV93" s="35"/>
      <c r="AW93" s="36"/>
      <c r="AX93" s="37"/>
      <c r="AZ93" s="33"/>
      <c r="BA93" s="34"/>
      <c r="BB93" s="35"/>
      <c r="BC93" s="36"/>
      <c r="BD93" s="37"/>
      <c r="BF93" s="33"/>
      <c r="BG93" s="34"/>
      <c r="BH93" s="35"/>
      <c r="BI93" s="36"/>
      <c r="BJ93" s="37"/>
      <c r="BL93" s="33"/>
      <c r="BM93" s="34"/>
      <c r="BN93" s="35"/>
      <c r="BO93" s="36"/>
      <c r="BP93" s="37"/>
      <c r="BR93" s="33"/>
      <c r="BS93" s="34"/>
      <c r="BT93" s="35"/>
      <c r="BU93" s="36"/>
      <c r="BV93" s="37"/>
      <c r="BX93" s="33"/>
      <c r="BY93" s="34"/>
      <c r="BZ93" s="35"/>
      <c r="CA93" s="36"/>
      <c r="CB93" s="37"/>
      <c r="CD93" s="33"/>
      <c r="CE93" s="34"/>
      <c r="CF93" s="35"/>
      <c r="CG93" s="36"/>
      <c r="CH93" s="37"/>
      <c r="CJ93" s="33"/>
      <c r="CK93" s="34"/>
      <c r="CL93" s="35"/>
      <c r="CM93" s="36"/>
      <c r="CN93" s="37"/>
      <c r="CP93" s="33"/>
      <c r="CQ93" s="34"/>
      <c r="CR93" s="35"/>
      <c r="CS93" s="36"/>
      <c r="CT93" s="37"/>
      <c r="CV93" s="33"/>
      <c r="CW93" s="34"/>
      <c r="CX93" s="35"/>
      <c r="CY93" s="36"/>
      <c r="CZ93" s="37"/>
      <c r="DA93" s="30">
        <f t="shared" si="11"/>
        <v>0</v>
      </c>
      <c r="DB93" s="31" t="e">
        <f>DA93*#REF!</f>
        <v>#REF!</v>
      </c>
      <c r="DC93" s="32" t="e">
        <f>DA93*#REF!</f>
        <v>#REF!</v>
      </c>
      <c r="DE93" s="33"/>
      <c r="DF93" s="34"/>
      <c r="DG93" s="35"/>
      <c r="DH93" s="36"/>
      <c r="DI93" s="37"/>
      <c r="DJ93" s="30">
        <f t="shared" si="12"/>
        <v>0</v>
      </c>
      <c r="DK93" s="31" t="e">
        <f>DJ93*#REF!</f>
        <v>#REF!</v>
      </c>
      <c r="DL93" s="32" t="e">
        <f>DJ93*#REF!</f>
        <v>#REF!</v>
      </c>
      <c r="DN93" s="33"/>
      <c r="DO93" s="34"/>
      <c r="DP93" s="35"/>
      <c r="DQ93" s="36"/>
      <c r="DR93" s="37"/>
      <c r="DS93" s="30">
        <f t="shared" si="13"/>
        <v>0</v>
      </c>
      <c r="DT93" s="31" t="e">
        <f>DS93*#REF!</f>
        <v>#REF!</v>
      </c>
      <c r="DU93" s="32" t="e">
        <f>DS93*#REF!</f>
        <v>#REF!</v>
      </c>
      <c r="DW93" s="33"/>
      <c r="DX93" s="34"/>
      <c r="DY93" s="35"/>
      <c r="DZ93" s="36"/>
      <c r="EA93" s="37"/>
      <c r="EB93" s="30">
        <f t="shared" si="14"/>
        <v>0</v>
      </c>
      <c r="EC93" s="31" t="e">
        <f>EB93*#REF!</f>
        <v>#REF!</v>
      </c>
      <c r="ED93" s="32" t="e">
        <f>EB93*#REF!</f>
        <v>#REF!</v>
      </c>
      <c r="EF93" s="33"/>
      <c r="EG93" s="34"/>
      <c r="EH93" s="35"/>
      <c r="EI93" s="36"/>
      <c r="EJ93" s="37"/>
      <c r="EK93" s="30">
        <f t="shared" si="15"/>
        <v>0</v>
      </c>
      <c r="EL93" s="31" t="e">
        <f>EK93*#REF!</f>
        <v>#REF!</v>
      </c>
      <c r="EM93" s="32" t="e">
        <f>EK93*#REF!</f>
        <v>#REF!</v>
      </c>
      <c r="EO93" s="33"/>
      <c r="EP93" s="34"/>
      <c r="EQ93" s="35"/>
      <c r="ER93" s="36"/>
      <c r="ES93" s="37"/>
      <c r="ET93" s="30">
        <f t="shared" si="16"/>
        <v>0</v>
      </c>
      <c r="EU93" s="31" t="e">
        <f>ET93*#REF!</f>
        <v>#REF!</v>
      </c>
      <c r="EV93" s="32" t="e">
        <f>ET93*#REF!</f>
        <v>#REF!</v>
      </c>
      <c r="EX93" s="33"/>
      <c r="EY93" s="34"/>
      <c r="EZ93" s="35"/>
      <c r="FA93" s="36"/>
      <c r="FB93" s="37"/>
      <c r="FC93" s="30">
        <f t="shared" si="17"/>
        <v>0</v>
      </c>
      <c r="FD93" s="31" t="e">
        <f>FC93*#REF!</f>
        <v>#REF!</v>
      </c>
      <c r="FE93" s="32" t="e">
        <f>FC93*#REF!</f>
        <v>#REF!</v>
      </c>
      <c r="FG93" s="33"/>
      <c r="FH93" s="34"/>
      <c r="FI93" s="35"/>
      <c r="FJ93" s="36"/>
      <c r="FK93" s="37"/>
      <c r="FL93" s="30">
        <f t="shared" si="18"/>
        <v>0</v>
      </c>
      <c r="FM93" s="31" t="e">
        <f>FL93*#REF!</f>
        <v>#REF!</v>
      </c>
      <c r="FN93" s="32" t="e">
        <f>FL93*#REF!</f>
        <v>#REF!</v>
      </c>
      <c r="FP93" s="33"/>
      <c r="FQ93" s="34"/>
      <c r="FR93" s="35"/>
      <c r="FS93" s="36"/>
      <c r="FT93" s="37"/>
      <c r="FU93" s="30">
        <f t="shared" si="19"/>
        <v>0</v>
      </c>
      <c r="FV93" s="31" t="e">
        <f>FU93*#REF!</f>
        <v>#REF!</v>
      </c>
      <c r="FW93" s="32" t="e">
        <f>FU93*#REF!</f>
        <v>#REF!</v>
      </c>
      <c r="FY93" s="33"/>
      <c r="FZ93" s="34"/>
      <c r="GA93" s="35"/>
      <c r="GB93" s="36"/>
      <c r="GC93" s="37"/>
      <c r="GD93" s="30">
        <f t="shared" si="20"/>
        <v>0</v>
      </c>
      <c r="GE93" s="31" t="e">
        <f>GD93*#REF!</f>
        <v>#REF!</v>
      </c>
      <c r="GF93" s="32" t="e">
        <f>GD93*#REF!</f>
        <v>#REF!</v>
      </c>
      <c r="GH93" s="33"/>
      <c r="GI93" s="34"/>
      <c r="GJ93" s="35"/>
      <c r="GK93" s="36"/>
      <c r="GL93" s="37"/>
      <c r="GM93" s="30">
        <f t="shared" si="21"/>
        <v>0</v>
      </c>
      <c r="GN93" s="31" t="e">
        <f>GM93*#REF!</f>
        <v>#REF!</v>
      </c>
      <c r="GO93" s="32" t="e">
        <f>GM93*#REF!</f>
        <v>#REF!</v>
      </c>
      <c r="GQ93" s="38">
        <f>_xlfn.MAXIFS(I93:GO93,$I$5:$GO$5,"Staff #")</f>
        <v>0</v>
      </c>
      <c r="GR93" s="39">
        <v>0</v>
      </c>
    </row>
    <row r="94" spans="2:200" ht="15" x14ac:dyDescent="0.25">
      <c r="B94" s="22"/>
      <c r="C94" s="23"/>
      <c r="D94" s="24" t="str">
        <f>IF(C94="","",_xlfn.XLOOKUP(C94,'[3]Control Sheet'!$L$5:$L$104,'[3]Control Sheet'!$M$5:$M$104,"",0))</f>
        <v/>
      </c>
      <c r="E94" s="24" t="str">
        <f>IF(B94="","",_xlfn.XLOOKUP(B94,'[3]Control Sheet'!$D$5:$D$64,'[3]Control Sheet'!$F$5:$F$64,"",0))</f>
        <v/>
      </c>
      <c r="F94" s="24" t="str">
        <f>IF(B94="","",_xlfn.XLOOKUP(B94,'[3]Control Sheet'!$D$5:$D$64,'[3]Control Sheet'!$E$5:$E$64,"",0))</f>
        <v/>
      </c>
      <c r="I94" s="33"/>
      <c r="J94" s="34"/>
      <c r="K94" s="35"/>
      <c r="L94" s="36"/>
      <c r="M94" s="37"/>
      <c r="P94" s="33"/>
      <c r="Q94" s="34"/>
      <c r="R94" s="35"/>
      <c r="S94" s="36"/>
      <c r="T94" s="37"/>
      <c r="V94" s="33"/>
      <c r="W94" s="34"/>
      <c r="X94" s="35"/>
      <c r="Y94" s="36"/>
      <c r="Z94" s="37"/>
      <c r="AB94" s="33"/>
      <c r="AC94" s="34"/>
      <c r="AD94" s="35"/>
      <c r="AE94" s="36"/>
      <c r="AF94" s="37"/>
      <c r="AH94" s="33"/>
      <c r="AI94" s="34"/>
      <c r="AJ94" s="35"/>
      <c r="AK94" s="36"/>
      <c r="AL94" s="37"/>
      <c r="AN94" s="33"/>
      <c r="AO94" s="34"/>
      <c r="AP94" s="35"/>
      <c r="AQ94" s="36"/>
      <c r="AR94" s="37"/>
      <c r="AT94" s="33"/>
      <c r="AU94" s="34"/>
      <c r="AV94" s="35"/>
      <c r="AW94" s="36"/>
      <c r="AX94" s="37"/>
      <c r="AZ94" s="33"/>
      <c r="BA94" s="34"/>
      <c r="BB94" s="35"/>
      <c r="BC94" s="36"/>
      <c r="BD94" s="37"/>
      <c r="BF94" s="33"/>
      <c r="BG94" s="34"/>
      <c r="BH94" s="35"/>
      <c r="BI94" s="36"/>
      <c r="BJ94" s="37"/>
      <c r="BL94" s="33"/>
      <c r="BM94" s="34"/>
      <c r="BN94" s="35"/>
      <c r="BO94" s="36"/>
      <c r="BP94" s="37"/>
      <c r="BR94" s="33"/>
      <c r="BS94" s="34"/>
      <c r="BT94" s="35"/>
      <c r="BU94" s="36"/>
      <c r="BV94" s="37"/>
      <c r="BX94" s="33"/>
      <c r="BY94" s="34"/>
      <c r="BZ94" s="35"/>
      <c r="CA94" s="36"/>
      <c r="CB94" s="37"/>
      <c r="CD94" s="33"/>
      <c r="CE94" s="34"/>
      <c r="CF94" s="35"/>
      <c r="CG94" s="36"/>
      <c r="CH94" s="37"/>
      <c r="CJ94" s="33"/>
      <c r="CK94" s="34"/>
      <c r="CL94" s="35"/>
      <c r="CM94" s="36"/>
      <c r="CN94" s="37"/>
      <c r="CP94" s="33"/>
      <c r="CQ94" s="34"/>
      <c r="CR94" s="35"/>
      <c r="CS94" s="36"/>
      <c r="CT94" s="37"/>
      <c r="CV94" s="33"/>
      <c r="CW94" s="34"/>
      <c r="CX94" s="35"/>
      <c r="CY94" s="36"/>
      <c r="CZ94" s="37"/>
      <c r="DA94" s="30">
        <f t="shared" si="11"/>
        <v>0</v>
      </c>
      <c r="DB94" s="31" t="e">
        <f>DA94*#REF!</f>
        <v>#REF!</v>
      </c>
      <c r="DC94" s="32" t="e">
        <f>DA94*#REF!</f>
        <v>#REF!</v>
      </c>
      <c r="DE94" s="33"/>
      <c r="DF94" s="34"/>
      <c r="DG94" s="35"/>
      <c r="DH94" s="36"/>
      <c r="DI94" s="37"/>
      <c r="DJ94" s="30">
        <f t="shared" si="12"/>
        <v>0</v>
      </c>
      <c r="DK94" s="31" t="e">
        <f>DJ94*#REF!</f>
        <v>#REF!</v>
      </c>
      <c r="DL94" s="32" t="e">
        <f>DJ94*#REF!</f>
        <v>#REF!</v>
      </c>
      <c r="DN94" s="33"/>
      <c r="DO94" s="34"/>
      <c r="DP94" s="35"/>
      <c r="DQ94" s="36"/>
      <c r="DR94" s="37"/>
      <c r="DS94" s="30">
        <f t="shared" si="13"/>
        <v>0</v>
      </c>
      <c r="DT94" s="31" t="e">
        <f>DS94*#REF!</f>
        <v>#REF!</v>
      </c>
      <c r="DU94" s="32" t="e">
        <f>DS94*#REF!</f>
        <v>#REF!</v>
      </c>
      <c r="DW94" s="33"/>
      <c r="DX94" s="34"/>
      <c r="DY94" s="35"/>
      <c r="DZ94" s="36"/>
      <c r="EA94" s="37"/>
      <c r="EB94" s="30">
        <f t="shared" si="14"/>
        <v>0</v>
      </c>
      <c r="EC94" s="31" t="e">
        <f>EB94*#REF!</f>
        <v>#REF!</v>
      </c>
      <c r="ED94" s="32" t="e">
        <f>EB94*#REF!</f>
        <v>#REF!</v>
      </c>
      <c r="EF94" s="33"/>
      <c r="EG94" s="34"/>
      <c r="EH94" s="35"/>
      <c r="EI94" s="36"/>
      <c r="EJ94" s="37"/>
      <c r="EK94" s="30">
        <f t="shared" si="15"/>
        <v>0</v>
      </c>
      <c r="EL94" s="31" t="e">
        <f>EK94*#REF!</f>
        <v>#REF!</v>
      </c>
      <c r="EM94" s="32" t="e">
        <f>EK94*#REF!</f>
        <v>#REF!</v>
      </c>
      <c r="EO94" s="33"/>
      <c r="EP94" s="34"/>
      <c r="EQ94" s="35"/>
      <c r="ER94" s="36"/>
      <c r="ES94" s="37"/>
      <c r="ET94" s="30">
        <f t="shared" si="16"/>
        <v>0</v>
      </c>
      <c r="EU94" s="31" t="e">
        <f>ET94*#REF!</f>
        <v>#REF!</v>
      </c>
      <c r="EV94" s="32" t="e">
        <f>ET94*#REF!</f>
        <v>#REF!</v>
      </c>
      <c r="EX94" s="33"/>
      <c r="EY94" s="34"/>
      <c r="EZ94" s="35"/>
      <c r="FA94" s="36"/>
      <c r="FB94" s="37"/>
      <c r="FC94" s="30">
        <f t="shared" si="17"/>
        <v>0</v>
      </c>
      <c r="FD94" s="31" t="e">
        <f>FC94*#REF!</f>
        <v>#REF!</v>
      </c>
      <c r="FE94" s="32" t="e">
        <f>FC94*#REF!</f>
        <v>#REF!</v>
      </c>
      <c r="FG94" s="33"/>
      <c r="FH94" s="34"/>
      <c r="FI94" s="35"/>
      <c r="FJ94" s="36"/>
      <c r="FK94" s="37"/>
      <c r="FL94" s="30">
        <f t="shared" si="18"/>
        <v>0</v>
      </c>
      <c r="FM94" s="31" t="e">
        <f>FL94*#REF!</f>
        <v>#REF!</v>
      </c>
      <c r="FN94" s="32" t="e">
        <f>FL94*#REF!</f>
        <v>#REF!</v>
      </c>
      <c r="FP94" s="33"/>
      <c r="FQ94" s="34"/>
      <c r="FR94" s="35"/>
      <c r="FS94" s="36"/>
      <c r="FT94" s="37"/>
      <c r="FU94" s="30">
        <f t="shared" si="19"/>
        <v>0</v>
      </c>
      <c r="FV94" s="31" t="e">
        <f>FU94*#REF!</f>
        <v>#REF!</v>
      </c>
      <c r="FW94" s="32" t="e">
        <f>FU94*#REF!</f>
        <v>#REF!</v>
      </c>
      <c r="FY94" s="33"/>
      <c r="FZ94" s="34"/>
      <c r="GA94" s="35"/>
      <c r="GB94" s="36"/>
      <c r="GC94" s="37"/>
      <c r="GD94" s="30">
        <f t="shared" si="20"/>
        <v>0</v>
      </c>
      <c r="GE94" s="31" t="e">
        <f>GD94*#REF!</f>
        <v>#REF!</v>
      </c>
      <c r="GF94" s="32" t="e">
        <f>GD94*#REF!</f>
        <v>#REF!</v>
      </c>
      <c r="GH94" s="33"/>
      <c r="GI94" s="34"/>
      <c r="GJ94" s="35"/>
      <c r="GK94" s="36"/>
      <c r="GL94" s="37"/>
      <c r="GM94" s="30">
        <f t="shared" si="21"/>
        <v>0</v>
      </c>
      <c r="GN94" s="31" t="e">
        <f>GM94*#REF!</f>
        <v>#REF!</v>
      </c>
      <c r="GO94" s="32" t="e">
        <f>GM94*#REF!</f>
        <v>#REF!</v>
      </c>
      <c r="GQ94" s="38">
        <f>_xlfn.MAXIFS(I94:GO94,$I$5:$GO$5,"Staff #")</f>
        <v>0</v>
      </c>
      <c r="GR94" s="39">
        <v>0</v>
      </c>
    </row>
    <row r="95" spans="2:200" ht="15" x14ac:dyDescent="0.25">
      <c r="B95" s="22"/>
      <c r="C95" s="23"/>
      <c r="D95" s="24" t="str">
        <f>IF(C95="","",_xlfn.XLOOKUP(C95,'[3]Control Sheet'!$L$5:$L$104,'[3]Control Sheet'!$M$5:$M$104,"",0))</f>
        <v/>
      </c>
      <c r="E95" s="24" t="str">
        <f>IF(B95="","",_xlfn.XLOOKUP(B95,'[3]Control Sheet'!$D$5:$D$64,'[3]Control Sheet'!$F$5:$F$64,"",0))</f>
        <v/>
      </c>
      <c r="F95" s="24" t="str">
        <f>IF(B95="","",_xlfn.XLOOKUP(B95,'[3]Control Sheet'!$D$5:$D$64,'[3]Control Sheet'!$E$5:$E$64,"",0))</f>
        <v/>
      </c>
      <c r="I95" s="33"/>
      <c r="J95" s="34"/>
      <c r="K95" s="35"/>
      <c r="L95" s="36"/>
      <c r="M95" s="37"/>
      <c r="P95" s="33"/>
      <c r="Q95" s="34"/>
      <c r="R95" s="35"/>
      <c r="S95" s="36"/>
      <c r="T95" s="37"/>
      <c r="V95" s="33"/>
      <c r="W95" s="34"/>
      <c r="X95" s="35"/>
      <c r="Y95" s="36"/>
      <c r="Z95" s="37"/>
      <c r="AB95" s="33"/>
      <c r="AC95" s="34"/>
      <c r="AD95" s="35"/>
      <c r="AE95" s="36"/>
      <c r="AF95" s="37"/>
      <c r="AH95" s="33"/>
      <c r="AI95" s="34"/>
      <c r="AJ95" s="35"/>
      <c r="AK95" s="36"/>
      <c r="AL95" s="37"/>
      <c r="AN95" s="33"/>
      <c r="AO95" s="34"/>
      <c r="AP95" s="35"/>
      <c r="AQ95" s="36"/>
      <c r="AR95" s="37"/>
      <c r="AT95" s="33"/>
      <c r="AU95" s="34"/>
      <c r="AV95" s="35"/>
      <c r="AW95" s="36"/>
      <c r="AX95" s="37"/>
      <c r="AZ95" s="33"/>
      <c r="BA95" s="34"/>
      <c r="BB95" s="35"/>
      <c r="BC95" s="36"/>
      <c r="BD95" s="37"/>
      <c r="BF95" s="33"/>
      <c r="BG95" s="34"/>
      <c r="BH95" s="35"/>
      <c r="BI95" s="36"/>
      <c r="BJ95" s="37"/>
      <c r="BL95" s="33"/>
      <c r="BM95" s="34"/>
      <c r="BN95" s="35"/>
      <c r="BO95" s="36"/>
      <c r="BP95" s="37"/>
      <c r="BR95" s="33"/>
      <c r="BS95" s="34"/>
      <c r="BT95" s="35"/>
      <c r="BU95" s="36"/>
      <c r="BV95" s="37"/>
      <c r="BX95" s="33"/>
      <c r="BY95" s="34"/>
      <c r="BZ95" s="35"/>
      <c r="CA95" s="36"/>
      <c r="CB95" s="37"/>
      <c r="CD95" s="33"/>
      <c r="CE95" s="34"/>
      <c r="CF95" s="35"/>
      <c r="CG95" s="36"/>
      <c r="CH95" s="37"/>
      <c r="CJ95" s="33"/>
      <c r="CK95" s="34"/>
      <c r="CL95" s="35"/>
      <c r="CM95" s="36"/>
      <c r="CN95" s="37"/>
      <c r="CP95" s="33"/>
      <c r="CQ95" s="34"/>
      <c r="CR95" s="35"/>
      <c r="CS95" s="36"/>
      <c r="CT95" s="37"/>
      <c r="CV95" s="33"/>
      <c r="CW95" s="34"/>
      <c r="CX95" s="35"/>
      <c r="CY95" s="36"/>
      <c r="CZ95" s="37"/>
      <c r="DA95" s="30">
        <f t="shared" si="11"/>
        <v>0</v>
      </c>
      <c r="DB95" s="31" t="e">
        <f>DA95*#REF!</f>
        <v>#REF!</v>
      </c>
      <c r="DC95" s="32" t="e">
        <f>DA95*#REF!</f>
        <v>#REF!</v>
      </c>
      <c r="DE95" s="33"/>
      <c r="DF95" s="34"/>
      <c r="DG95" s="35"/>
      <c r="DH95" s="36"/>
      <c r="DI95" s="37"/>
      <c r="DJ95" s="30">
        <f t="shared" si="12"/>
        <v>0</v>
      </c>
      <c r="DK95" s="31" t="e">
        <f>DJ95*#REF!</f>
        <v>#REF!</v>
      </c>
      <c r="DL95" s="32" t="e">
        <f>DJ95*#REF!</f>
        <v>#REF!</v>
      </c>
      <c r="DN95" s="33"/>
      <c r="DO95" s="34"/>
      <c r="DP95" s="35"/>
      <c r="DQ95" s="36"/>
      <c r="DR95" s="37"/>
      <c r="DS95" s="30">
        <f t="shared" si="13"/>
        <v>0</v>
      </c>
      <c r="DT95" s="31" t="e">
        <f>DS95*#REF!</f>
        <v>#REF!</v>
      </c>
      <c r="DU95" s="32" t="e">
        <f>DS95*#REF!</f>
        <v>#REF!</v>
      </c>
      <c r="DW95" s="33"/>
      <c r="DX95" s="34"/>
      <c r="DY95" s="35"/>
      <c r="DZ95" s="36"/>
      <c r="EA95" s="37"/>
      <c r="EB95" s="30">
        <f t="shared" si="14"/>
        <v>0</v>
      </c>
      <c r="EC95" s="31" t="e">
        <f>EB95*#REF!</f>
        <v>#REF!</v>
      </c>
      <c r="ED95" s="32" t="e">
        <f>EB95*#REF!</f>
        <v>#REF!</v>
      </c>
      <c r="EF95" s="33"/>
      <c r="EG95" s="34"/>
      <c r="EH95" s="35"/>
      <c r="EI95" s="36"/>
      <c r="EJ95" s="37"/>
      <c r="EK95" s="30">
        <f t="shared" si="15"/>
        <v>0</v>
      </c>
      <c r="EL95" s="31" t="e">
        <f>EK95*#REF!</f>
        <v>#REF!</v>
      </c>
      <c r="EM95" s="32" t="e">
        <f>EK95*#REF!</f>
        <v>#REF!</v>
      </c>
      <c r="EO95" s="33"/>
      <c r="EP95" s="34"/>
      <c r="EQ95" s="35"/>
      <c r="ER95" s="36"/>
      <c r="ES95" s="37"/>
      <c r="ET95" s="30">
        <f t="shared" si="16"/>
        <v>0</v>
      </c>
      <c r="EU95" s="31" t="e">
        <f>ET95*#REF!</f>
        <v>#REF!</v>
      </c>
      <c r="EV95" s="32" t="e">
        <f>ET95*#REF!</f>
        <v>#REF!</v>
      </c>
      <c r="EX95" s="33"/>
      <c r="EY95" s="34"/>
      <c r="EZ95" s="35"/>
      <c r="FA95" s="36"/>
      <c r="FB95" s="37"/>
      <c r="FC95" s="30">
        <f t="shared" si="17"/>
        <v>0</v>
      </c>
      <c r="FD95" s="31" t="e">
        <f>FC95*#REF!</f>
        <v>#REF!</v>
      </c>
      <c r="FE95" s="32" t="e">
        <f>FC95*#REF!</f>
        <v>#REF!</v>
      </c>
      <c r="FG95" s="33"/>
      <c r="FH95" s="34"/>
      <c r="FI95" s="35"/>
      <c r="FJ95" s="36"/>
      <c r="FK95" s="37"/>
      <c r="FL95" s="30">
        <f t="shared" si="18"/>
        <v>0</v>
      </c>
      <c r="FM95" s="31" t="e">
        <f>FL95*#REF!</f>
        <v>#REF!</v>
      </c>
      <c r="FN95" s="32" t="e">
        <f>FL95*#REF!</f>
        <v>#REF!</v>
      </c>
      <c r="FP95" s="33"/>
      <c r="FQ95" s="34"/>
      <c r="FR95" s="35"/>
      <c r="FS95" s="36"/>
      <c r="FT95" s="37"/>
      <c r="FU95" s="30">
        <f t="shared" si="19"/>
        <v>0</v>
      </c>
      <c r="FV95" s="31" t="e">
        <f>FU95*#REF!</f>
        <v>#REF!</v>
      </c>
      <c r="FW95" s="32" t="e">
        <f>FU95*#REF!</f>
        <v>#REF!</v>
      </c>
      <c r="FY95" s="33"/>
      <c r="FZ95" s="34"/>
      <c r="GA95" s="35"/>
      <c r="GB95" s="36"/>
      <c r="GC95" s="37"/>
      <c r="GD95" s="30">
        <f t="shared" si="20"/>
        <v>0</v>
      </c>
      <c r="GE95" s="31" t="e">
        <f>GD95*#REF!</f>
        <v>#REF!</v>
      </c>
      <c r="GF95" s="32" t="e">
        <f>GD95*#REF!</f>
        <v>#REF!</v>
      </c>
      <c r="GH95" s="33"/>
      <c r="GI95" s="34"/>
      <c r="GJ95" s="35"/>
      <c r="GK95" s="36"/>
      <c r="GL95" s="37"/>
      <c r="GM95" s="30">
        <f t="shared" si="21"/>
        <v>0</v>
      </c>
      <c r="GN95" s="31" t="e">
        <f>GM95*#REF!</f>
        <v>#REF!</v>
      </c>
      <c r="GO95" s="32" t="e">
        <f>GM95*#REF!</f>
        <v>#REF!</v>
      </c>
      <c r="GQ95" s="38">
        <f>_xlfn.MAXIFS(I95:GO95,$I$5:$GO$5,"Staff #")</f>
        <v>0</v>
      </c>
      <c r="GR95" s="39">
        <v>0</v>
      </c>
    </row>
    <row r="96" spans="2:200" ht="15" x14ac:dyDescent="0.25">
      <c r="B96" s="22"/>
      <c r="C96" s="23"/>
      <c r="D96" s="24" t="str">
        <f>IF(C96="","",_xlfn.XLOOKUP(C96,'[3]Control Sheet'!$L$5:$L$104,'[3]Control Sheet'!$M$5:$M$104,"",0))</f>
        <v/>
      </c>
      <c r="E96" s="24" t="str">
        <f>IF(B96="","",_xlfn.XLOOKUP(B96,'[3]Control Sheet'!$D$5:$D$64,'[3]Control Sheet'!$F$5:$F$64,"",0))</f>
        <v/>
      </c>
      <c r="F96" s="24" t="str">
        <f>IF(B96="","",_xlfn.XLOOKUP(B96,'[3]Control Sheet'!$D$5:$D$64,'[3]Control Sheet'!$E$5:$E$64,"",0))</f>
        <v/>
      </c>
      <c r="I96" s="33"/>
      <c r="J96" s="34"/>
      <c r="K96" s="35"/>
      <c r="L96" s="36"/>
      <c r="M96" s="37"/>
      <c r="P96" s="33"/>
      <c r="Q96" s="34"/>
      <c r="R96" s="35"/>
      <c r="S96" s="36"/>
      <c r="T96" s="37"/>
      <c r="V96" s="33"/>
      <c r="W96" s="34"/>
      <c r="X96" s="35"/>
      <c r="Y96" s="36"/>
      <c r="Z96" s="37"/>
      <c r="AB96" s="33"/>
      <c r="AC96" s="34"/>
      <c r="AD96" s="35"/>
      <c r="AE96" s="36"/>
      <c r="AF96" s="37"/>
      <c r="AH96" s="33"/>
      <c r="AI96" s="34"/>
      <c r="AJ96" s="35"/>
      <c r="AK96" s="36"/>
      <c r="AL96" s="37"/>
      <c r="AN96" s="33"/>
      <c r="AO96" s="34"/>
      <c r="AP96" s="35"/>
      <c r="AQ96" s="36"/>
      <c r="AR96" s="37"/>
      <c r="AT96" s="33"/>
      <c r="AU96" s="34"/>
      <c r="AV96" s="35"/>
      <c r="AW96" s="36"/>
      <c r="AX96" s="37"/>
      <c r="AZ96" s="33"/>
      <c r="BA96" s="34"/>
      <c r="BB96" s="35"/>
      <c r="BC96" s="36"/>
      <c r="BD96" s="37"/>
      <c r="BF96" s="33"/>
      <c r="BG96" s="34"/>
      <c r="BH96" s="35"/>
      <c r="BI96" s="36"/>
      <c r="BJ96" s="37"/>
      <c r="BL96" s="33"/>
      <c r="BM96" s="34"/>
      <c r="BN96" s="35"/>
      <c r="BO96" s="36"/>
      <c r="BP96" s="37"/>
      <c r="BR96" s="33"/>
      <c r="BS96" s="34"/>
      <c r="BT96" s="35"/>
      <c r="BU96" s="36"/>
      <c r="BV96" s="37"/>
      <c r="BX96" s="33"/>
      <c r="BY96" s="34"/>
      <c r="BZ96" s="35"/>
      <c r="CA96" s="36"/>
      <c r="CB96" s="37"/>
      <c r="CD96" s="33"/>
      <c r="CE96" s="34"/>
      <c r="CF96" s="35"/>
      <c r="CG96" s="36"/>
      <c r="CH96" s="37"/>
      <c r="CJ96" s="33"/>
      <c r="CK96" s="34"/>
      <c r="CL96" s="35"/>
      <c r="CM96" s="36"/>
      <c r="CN96" s="37"/>
      <c r="CP96" s="33"/>
      <c r="CQ96" s="34"/>
      <c r="CR96" s="35"/>
      <c r="CS96" s="36"/>
      <c r="CT96" s="37"/>
      <c r="CV96" s="33"/>
      <c r="CW96" s="34"/>
      <c r="CX96" s="35"/>
      <c r="CY96" s="36"/>
      <c r="CZ96" s="37"/>
      <c r="DA96" s="30">
        <f t="shared" si="11"/>
        <v>0</v>
      </c>
      <c r="DB96" s="31" t="e">
        <f>DA96*#REF!</f>
        <v>#REF!</v>
      </c>
      <c r="DC96" s="32" t="e">
        <f>DA96*#REF!</f>
        <v>#REF!</v>
      </c>
      <c r="DE96" s="33"/>
      <c r="DF96" s="34"/>
      <c r="DG96" s="35"/>
      <c r="DH96" s="36"/>
      <c r="DI96" s="37"/>
      <c r="DJ96" s="30">
        <f t="shared" si="12"/>
        <v>0</v>
      </c>
      <c r="DK96" s="31" t="e">
        <f>DJ96*#REF!</f>
        <v>#REF!</v>
      </c>
      <c r="DL96" s="32" t="e">
        <f>DJ96*#REF!</f>
        <v>#REF!</v>
      </c>
      <c r="DN96" s="33"/>
      <c r="DO96" s="34"/>
      <c r="DP96" s="35"/>
      <c r="DQ96" s="36"/>
      <c r="DR96" s="37"/>
      <c r="DS96" s="30">
        <f t="shared" si="13"/>
        <v>0</v>
      </c>
      <c r="DT96" s="31" t="e">
        <f>DS96*#REF!</f>
        <v>#REF!</v>
      </c>
      <c r="DU96" s="32" t="e">
        <f>DS96*#REF!</f>
        <v>#REF!</v>
      </c>
      <c r="DW96" s="33"/>
      <c r="DX96" s="34"/>
      <c r="DY96" s="35"/>
      <c r="DZ96" s="36"/>
      <c r="EA96" s="37"/>
      <c r="EB96" s="30">
        <f t="shared" si="14"/>
        <v>0</v>
      </c>
      <c r="EC96" s="31" t="e">
        <f>EB96*#REF!</f>
        <v>#REF!</v>
      </c>
      <c r="ED96" s="32" t="e">
        <f>EB96*#REF!</f>
        <v>#REF!</v>
      </c>
      <c r="EF96" s="33"/>
      <c r="EG96" s="34"/>
      <c r="EH96" s="35"/>
      <c r="EI96" s="36"/>
      <c r="EJ96" s="37"/>
      <c r="EK96" s="30">
        <f t="shared" si="15"/>
        <v>0</v>
      </c>
      <c r="EL96" s="31" t="e">
        <f>EK96*#REF!</f>
        <v>#REF!</v>
      </c>
      <c r="EM96" s="32" t="e">
        <f>EK96*#REF!</f>
        <v>#REF!</v>
      </c>
      <c r="EO96" s="33"/>
      <c r="EP96" s="34"/>
      <c r="EQ96" s="35"/>
      <c r="ER96" s="36"/>
      <c r="ES96" s="37"/>
      <c r="ET96" s="30">
        <f t="shared" si="16"/>
        <v>0</v>
      </c>
      <c r="EU96" s="31" t="e">
        <f>ET96*#REF!</f>
        <v>#REF!</v>
      </c>
      <c r="EV96" s="32" t="e">
        <f>ET96*#REF!</f>
        <v>#REF!</v>
      </c>
      <c r="EX96" s="33"/>
      <c r="EY96" s="34"/>
      <c r="EZ96" s="35"/>
      <c r="FA96" s="36"/>
      <c r="FB96" s="37"/>
      <c r="FC96" s="30">
        <f t="shared" si="17"/>
        <v>0</v>
      </c>
      <c r="FD96" s="31" t="e">
        <f>FC96*#REF!</f>
        <v>#REF!</v>
      </c>
      <c r="FE96" s="32" t="e">
        <f>FC96*#REF!</f>
        <v>#REF!</v>
      </c>
      <c r="FG96" s="33"/>
      <c r="FH96" s="34"/>
      <c r="FI96" s="35"/>
      <c r="FJ96" s="36"/>
      <c r="FK96" s="37"/>
      <c r="FL96" s="30">
        <f t="shared" si="18"/>
        <v>0</v>
      </c>
      <c r="FM96" s="31" t="e">
        <f>FL96*#REF!</f>
        <v>#REF!</v>
      </c>
      <c r="FN96" s="32" t="e">
        <f>FL96*#REF!</f>
        <v>#REF!</v>
      </c>
      <c r="FP96" s="33"/>
      <c r="FQ96" s="34"/>
      <c r="FR96" s="35"/>
      <c r="FS96" s="36"/>
      <c r="FT96" s="37"/>
      <c r="FU96" s="30">
        <f t="shared" si="19"/>
        <v>0</v>
      </c>
      <c r="FV96" s="31" t="e">
        <f>FU96*#REF!</f>
        <v>#REF!</v>
      </c>
      <c r="FW96" s="32" t="e">
        <f>FU96*#REF!</f>
        <v>#REF!</v>
      </c>
      <c r="FY96" s="33"/>
      <c r="FZ96" s="34"/>
      <c r="GA96" s="35"/>
      <c r="GB96" s="36"/>
      <c r="GC96" s="37"/>
      <c r="GD96" s="30">
        <f t="shared" si="20"/>
        <v>0</v>
      </c>
      <c r="GE96" s="31" t="e">
        <f>GD96*#REF!</f>
        <v>#REF!</v>
      </c>
      <c r="GF96" s="32" t="e">
        <f>GD96*#REF!</f>
        <v>#REF!</v>
      </c>
      <c r="GH96" s="33"/>
      <c r="GI96" s="34"/>
      <c r="GJ96" s="35"/>
      <c r="GK96" s="36"/>
      <c r="GL96" s="37"/>
      <c r="GM96" s="30">
        <f t="shared" si="21"/>
        <v>0</v>
      </c>
      <c r="GN96" s="31" t="e">
        <f>GM96*#REF!</f>
        <v>#REF!</v>
      </c>
      <c r="GO96" s="32" t="e">
        <f>GM96*#REF!</f>
        <v>#REF!</v>
      </c>
      <c r="GQ96" s="38">
        <f>_xlfn.MAXIFS(I96:GO96,$I$5:$GO$5,"Staff #")</f>
        <v>0</v>
      </c>
      <c r="GR96" s="39">
        <v>0</v>
      </c>
    </row>
    <row r="97" spans="2:200" ht="15" x14ac:dyDescent="0.25">
      <c r="B97" s="22"/>
      <c r="C97" s="23"/>
      <c r="D97" s="24" t="str">
        <f>IF(C97="","",_xlfn.XLOOKUP(C97,'[3]Control Sheet'!$L$5:$L$104,'[3]Control Sheet'!$M$5:$M$104,"",0))</f>
        <v/>
      </c>
      <c r="E97" s="24" t="str">
        <f>IF(B97="","",_xlfn.XLOOKUP(B97,'[3]Control Sheet'!$D$5:$D$64,'[3]Control Sheet'!$F$5:$F$64,"",0))</f>
        <v/>
      </c>
      <c r="F97" s="24" t="str">
        <f>IF(B97="","",_xlfn.XLOOKUP(B97,'[3]Control Sheet'!$D$5:$D$64,'[3]Control Sheet'!$E$5:$E$64,"",0))</f>
        <v/>
      </c>
      <c r="I97" s="33"/>
      <c r="J97" s="34"/>
      <c r="K97" s="35"/>
      <c r="L97" s="36"/>
      <c r="M97" s="37"/>
      <c r="P97" s="33"/>
      <c r="Q97" s="34"/>
      <c r="R97" s="35"/>
      <c r="S97" s="36"/>
      <c r="T97" s="37"/>
      <c r="V97" s="33"/>
      <c r="W97" s="34"/>
      <c r="X97" s="35"/>
      <c r="Y97" s="36"/>
      <c r="Z97" s="37"/>
      <c r="AB97" s="33"/>
      <c r="AC97" s="34"/>
      <c r="AD97" s="35"/>
      <c r="AE97" s="36"/>
      <c r="AF97" s="37"/>
      <c r="AH97" s="33"/>
      <c r="AI97" s="34"/>
      <c r="AJ97" s="35"/>
      <c r="AK97" s="36"/>
      <c r="AL97" s="37"/>
      <c r="AN97" s="33"/>
      <c r="AO97" s="34"/>
      <c r="AP97" s="35"/>
      <c r="AQ97" s="36"/>
      <c r="AR97" s="37"/>
      <c r="AT97" s="33"/>
      <c r="AU97" s="34"/>
      <c r="AV97" s="35"/>
      <c r="AW97" s="36"/>
      <c r="AX97" s="37"/>
      <c r="AZ97" s="33"/>
      <c r="BA97" s="34"/>
      <c r="BB97" s="35"/>
      <c r="BC97" s="36"/>
      <c r="BD97" s="37"/>
      <c r="BF97" s="33"/>
      <c r="BG97" s="34"/>
      <c r="BH97" s="35"/>
      <c r="BI97" s="36"/>
      <c r="BJ97" s="37"/>
      <c r="BL97" s="33"/>
      <c r="BM97" s="34"/>
      <c r="BN97" s="35"/>
      <c r="BO97" s="36"/>
      <c r="BP97" s="37"/>
      <c r="BR97" s="33"/>
      <c r="BS97" s="34"/>
      <c r="BT97" s="35"/>
      <c r="BU97" s="36"/>
      <c r="BV97" s="37"/>
      <c r="BX97" s="33"/>
      <c r="BY97" s="34"/>
      <c r="BZ97" s="35"/>
      <c r="CA97" s="36"/>
      <c r="CB97" s="37"/>
      <c r="CD97" s="33"/>
      <c r="CE97" s="34"/>
      <c r="CF97" s="35"/>
      <c r="CG97" s="36"/>
      <c r="CH97" s="37"/>
      <c r="CJ97" s="33"/>
      <c r="CK97" s="34"/>
      <c r="CL97" s="35"/>
      <c r="CM97" s="36"/>
      <c r="CN97" s="37"/>
      <c r="CP97" s="33"/>
      <c r="CQ97" s="34"/>
      <c r="CR97" s="35"/>
      <c r="CS97" s="36"/>
      <c r="CT97" s="37"/>
      <c r="CV97" s="33"/>
      <c r="CW97" s="34"/>
      <c r="CX97" s="35"/>
      <c r="CY97" s="36"/>
      <c r="CZ97" s="37"/>
      <c r="DA97" s="30">
        <f t="shared" si="11"/>
        <v>0</v>
      </c>
      <c r="DB97" s="31" t="e">
        <f>DA97*#REF!</f>
        <v>#REF!</v>
      </c>
      <c r="DC97" s="32" t="e">
        <f>DA97*#REF!</f>
        <v>#REF!</v>
      </c>
      <c r="DE97" s="33"/>
      <c r="DF97" s="34"/>
      <c r="DG97" s="35"/>
      <c r="DH97" s="36"/>
      <c r="DI97" s="37"/>
      <c r="DJ97" s="30">
        <f t="shared" si="12"/>
        <v>0</v>
      </c>
      <c r="DK97" s="31" t="e">
        <f>DJ97*#REF!</f>
        <v>#REF!</v>
      </c>
      <c r="DL97" s="32" t="e">
        <f>DJ97*#REF!</f>
        <v>#REF!</v>
      </c>
      <c r="DN97" s="33"/>
      <c r="DO97" s="34"/>
      <c r="DP97" s="35"/>
      <c r="DQ97" s="36"/>
      <c r="DR97" s="37"/>
      <c r="DS97" s="30">
        <f t="shared" si="13"/>
        <v>0</v>
      </c>
      <c r="DT97" s="31" t="e">
        <f>DS97*#REF!</f>
        <v>#REF!</v>
      </c>
      <c r="DU97" s="32" t="e">
        <f>DS97*#REF!</f>
        <v>#REF!</v>
      </c>
      <c r="DW97" s="33"/>
      <c r="DX97" s="34"/>
      <c r="DY97" s="35"/>
      <c r="DZ97" s="36"/>
      <c r="EA97" s="37"/>
      <c r="EB97" s="30">
        <f t="shared" si="14"/>
        <v>0</v>
      </c>
      <c r="EC97" s="31" t="e">
        <f>EB97*#REF!</f>
        <v>#REF!</v>
      </c>
      <c r="ED97" s="32" t="e">
        <f>EB97*#REF!</f>
        <v>#REF!</v>
      </c>
      <c r="EF97" s="33"/>
      <c r="EG97" s="34"/>
      <c r="EH97" s="35"/>
      <c r="EI97" s="36"/>
      <c r="EJ97" s="37"/>
      <c r="EK97" s="30">
        <f t="shared" si="15"/>
        <v>0</v>
      </c>
      <c r="EL97" s="31" t="e">
        <f>EK97*#REF!</f>
        <v>#REF!</v>
      </c>
      <c r="EM97" s="32" t="e">
        <f>EK97*#REF!</f>
        <v>#REF!</v>
      </c>
      <c r="EO97" s="33"/>
      <c r="EP97" s="34"/>
      <c r="EQ97" s="35"/>
      <c r="ER97" s="36"/>
      <c r="ES97" s="37"/>
      <c r="ET97" s="30">
        <f t="shared" si="16"/>
        <v>0</v>
      </c>
      <c r="EU97" s="31" t="e">
        <f>ET97*#REF!</f>
        <v>#REF!</v>
      </c>
      <c r="EV97" s="32" t="e">
        <f>ET97*#REF!</f>
        <v>#REF!</v>
      </c>
      <c r="EX97" s="33"/>
      <c r="EY97" s="34"/>
      <c r="EZ97" s="35"/>
      <c r="FA97" s="36"/>
      <c r="FB97" s="37"/>
      <c r="FC97" s="30">
        <f t="shared" si="17"/>
        <v>0</v>
      </c>
      <c r="FD97" s="31" t="e">
        <f>FC97*#REF!</f>
        <v>#REF!</v>
      </c>
      <c r="FE97" s="32" t="e">
        <f>FC97*#REF!</f>
        <v>#REF!</v>
      </c>
      <c r="FG97" s="33"/>
      <c r="FH97" s="34"/>
      <c r="FI97" s="35"/>
      <c r="FJ97" s="36"/>
      <c r="FK97" s="37"/>
      <c r="FL97" s="30">
        <f t="shared" si="18"/>
        <v>0</v>
      </c>
      <c r="FM97" s="31" t="e">
        <f>FL97*#REF!</f>
        <v>#REF!</v>
      </c>
      <c r="FN97" s="32" t="e">
        <f>FL97*#REF!</f>
        <v>#REF!</v>
      </c>
      <c r="FP97" s="33"/>
      <c r="FQ97" s="34"/>
      <c r="FR97" s="35"/>
      <c r="FS97" s="36"/>
      <c r="FT97" s="37"/>
      <c r="FU97" s="30">
        <f t="shared" si="19"/>
        <v>0</v>
      </c>
      <c r="FV97" s="31" t="e">
        <f>FU97*#REF!</f>
        <v>#REF!</v>
      </c>
      <c r="FW97" s="32" t="e">
        <f>FU97*#REF!</f>
        <v>#REF!</v>
      </c>
      <c r="FY97" s="33"/>
      <c r="FZ97" s="34"/>
      <c r="GA97" s="35"/>
      <c r="GB97" s="36"/>
      <c r="GC97" s="37"/>
      <c r="GD97" s="30">
        <f t="shared" si="20"/>
        <v>0</v>
      </c>
      <c r="GE97" s="31" t="e">
        <f>GD97*#REF!</f>
        <v>#REF!</v>
      </c>
      <c r="GF97" s="32" t="e">
        <f>GD97*#REF!</f>
        <v>#REF!</v>
      </c>
      <c r="GH97" s="33"/>
      <c r="GI97" s="34"/>
      <c r="GJ97" s="35"/>
      <c r="GK97" s="36"/>
      <c r="GL97" s="37"/>
      <c r="GM97" s="30">
        <f t="shared" si="21"/>
        <v>0</v>
      </c>
      <c r="GN97" s="31" t="e">
        <f>GM97*#REF!</f>
        <v>#REF!</v>
      </c>
      <c r="GO97" s="32" t="e">
        <f>GM97*#REF!</f>
        <v>#REF!</v>
      </c>
      <c r="GQ97" s="38">
        <f>_xlfn.MAXIFS(I97:GO97,$I$5:$GO$5,"Staff #")</f>
        <v>0</v>
      </c>
      <c r="GR97" s="39">
        <v>0</v>
      </c>
    </row>
    <row r="98" spans="2:200" ht="15" x14ac:dyDescent="0.25">
      <c r="B98" s="22"/>
      <c r="C98" s="23"/>
      <c r="D98" s="24" t="str">
        <f>IF(C98="","",_xlfn.XLOOKUP(C98,'[3]Control Sheet'!$L$5:$L$104,'[3]Control Sheet'!$M$5:$M$104,"",0))</f>
        <v/>
      </c>
      <c r="E98" s="24" t="str">
        <f>IF(B98="","",_xlfn.XLOOKUP(B98,'[3]Control Sheet'!$D$5:$D$64,'[3]Control Sheet'!$F$5:$F$64,"",0))</f>
        <v/>
      </c>
      <c r="F98" s="24" t="str">
        <f>IF(B98="","",_xlfn.XLOOKUP(B98,'[3]Control Sheet'!$D$5:$D$64,'[3]Control Sheet'!$E$5:$E$64,"",0))</f>
        <v/>
      </c>
      <c r="I98" s="33"/>
      <c r="J98" s="34"/>
      <c r="K98" s="35"/>
      <c r="L98" s="36"/>
      <c r="M98" s="37"/>
      <c r="P98" s="33"/>
      <c r="Q98" s="34"/>
      <c r="R98" s="35"/>
      <c r="S98" s="36"/>
      <c r="T98" s="37"/>
      <c r="V98" s="33"/>
      <c r="W98" s="34"/>
      <c r="X98" s="35"/>
      <c r="Y98" s="36"/>
      <c r="Z98" s="37"/>
      <c r="AB98" s="33"/>
      <c r="AC98" s="34"/>
      <c r="AD98" s="35"/>
      <c r="AE98" s="36"/>
      <c r="AF98" s="37"/>
      <c r="AH98" s="33"/>
      <c r="AI98" s="34"/>
      <c r="AJ98" s="35"/>
      <c r="AK98" s="36"/>
      <c r="AL98" s="37"/>
      <c r="AN98" s="33"/>
      <c r="AO98" s="34"/>
      <c r="AP98" s="35"/>
      <c r="AQ98" s="36"/>
      <c r="AR98" s="37"/>
      <c r="AT98" s="33"/>
      <c r="AU98" s="34"/>
      <c r="AV98" s="35"/>
      <c r="AW98" s="36"/>
      <c r="AX98" s="37"/>
      <c r="AZ98" s="33"/>
      <c r="BA98" s="34"/>
      <c r="BB98" s="35"/>
      <c r="BC98" s="36"/>
      <c r="BD98" s="37"/>
      <c r="BF98" s="33"/>
      <c r="BG98" s="34"/>
      <c r="BH98" s="35"/>
      <c r="BI98" s="36"/>
      <c r="BJ98" s="37"/>
      <c r="BL98" s="33"/>
      <c r="BM98" s="34"/>
      <c r="BN98" s="35"/>
      <c r="BO98" s="36"/>
      <c r="BP98" s="37"/>
      <c r="BR98" s="33"/>
      <c r="BS98" s="34"/>
      <c r="BT98" s="35"/>
      <c r="BU98" s="36"/>
      <c r="BV98" s="37"/>
      <c r="BX98" s="33"/>
      <c r="BY98" s="34"/>
      <c r="BZ98" s="35"/>
      <c r="CA98" s="36"/>
      <c r="CB98" s="37"/>
      <c r="CD98" s="33"/>
      <c r="CE98" s="34"/>
      <c r="CF98" s="35"/>
      <c r="CG98" s="36"/>
      <c r="CH98" s="37"/>
      <c r="CJ98" s="33"/>
      <c r="CK98" s="34"/>
      <c r="CL98" s="35"/>
      <c r="CM98" s="36"/>
      <c r="CN98" s="37"/>
      <c r="CP98" s="33"/>
      <c r="CQ98" s="34"/>
      <c r="CR98" s="35"/>
      <c r="CS98" s="36"/>
      <c r="CT98" s="37"/>
      <c r="CV98" s="33"/>
      <c r="CW98" s="34"/>
      <c r="CX98" s="35"/>
      <c r="CY98" s="36"/>
      <c r="CZ98" s="37"/>
      <c r="DA98" s="30">
        <f t="shared" si="11"/>
        <v>0</v>
      </c>
      <c r="DB98" s="31" t="e">
        <f>DA98*#REF!</f>
        <v>#REF!</v>
      </c>
      <c r="DC98" s="32" t="e">
        <f>DA98*#REF!</f>
        <v>#REF!</v>
      </c>
      <c r="DE98" s="33"/>
      <c r="DF98" s="34"/>
      <c r="DG98" s="35"/>
      <c r="DH98" s="36"/>
      <c r="DI98" s="37"/>
      <c r="DJ98" s="30">
        <f t="shared" si="12"/>
        <v>0</v>
      </c>
      <c r="DK98" s="31" t="e">
        <f>DJ98*#REF!</f>
        <v>#REF!</v>
      </c>
      <c r="DL98" s="32" t="e">
        <f>DJ98*#REF!</f>
        <v>#REF!</v>
      </c>
      <c r="DN98" s="33"/>
      <c r="DO98" s="34"/>
      <c r="DP98" s="35"/>
      <c r="DQ98" s="36"/>
      <c r="DR98" s="37"/>
      <c r="DS98" s="30">
        <f t="shared" si="13"/>
        <v>0</v>
      </c>
      <c r="DT98" s="31" t="e">
        <f>DS98*#REF!</f>
        <v>#REF!</v>
      </c>
      <c r="DU98" s="32" t="e">
        <f>DS98*#REF!</f>
        <v>#REF!</v>
      </c>
      <c r="DW98" s="33"/>
      <c r="DX98" s="34"/>
      <c r="DY98" s="35"/>
      <c r="DZ98" s="36"/>
      <c r="EA98" s="37"/>
      <c r="EB98" s="30">
        <f t="shared" si="14"/>
        <v>0</v>
      </c>
      <c r="EC98" s="31" t="e">
        <f>EB98*#REF!</f>
        <v>#REF!</v>
      </c>
      <c r="ED98" s="32" t="e">
        <f>EB98*#REF!</f>
        <v>#REF!</v>
      </c>
      <c r="EF98" s="33"/>
      <c r="EG98" s="34"/>
      <c r="EH98" s="35"/>
      <c r="EI98" s="36"/>
      <c r="EJ98" s="37"/>
      <c r="EK98" s="30">
        <f t="shared" si="15"/>
        <v>0</v>
      </c>
      <c r="EL98" s="31" t="e">
        <f>EK98*#REF!</f>
        <v>#REF!</v>
      </c>
      <c r="EM98" s="32" t="e">
        <f>EK98*#REF!</f>
        <v>#REF!</v>
      </c>
      <c r="EO98" s="33"/>
      <c r="EP98" s="34"/>
      <c r="EQ98" s="35"/>
      <c r="ER98" s="36"/>
      <c r="ES98" s="37"/>
      <c r="ET98" s="30">
        <f t="shared" si="16"/>
        <v>0</v>
      </c>
      <c r="EU98" s="31" t="e">
        <f>ET98*#REF!</f>
        <v>#REF!</v>
      </c>
      <c r="EV98" s="32" t="e">
        <f>ET98*#REF!</f>
        <v>#REF!</v>
      </c>
      <c r="EX98" s="33"/>
      <c r="EY98" s="34"/>
      <c r="EZ98" s="35"/>
      <c r="FA98" s="36"/>
      <c r="FB98" s="37"/>
      <c r="FC98" s="30">
        <f t="shared" si="17"/>
        <v>0</v>
      </c>
      <c r="FD98" s="31" t="e">
        <f>FC98*#REF!</f>
        <v>#REF!</v>
      </c>
      <c r="FE98" s="32" t="e">
        <f>FC98*#REF!</f>
        <v>#REF!</v>
      </c>
      <c r="FG98" s="33"/>
      <c r="FH98" s="34"/>
      <c r="FI98" s="35"/>
      <c r="FJ98" s="36"/>
      <c r="FK98" s="37"/>
      <c r="FL98" s="30">
        <f t="shared" si="18"/>
        <v>0</v>
      </c>
      <c r="FM98" s="31" t="e">
        <f>FL98*#REF!</f>
        <v>#REF!</v>
      </c>
      <c r="FN98" s="32" t="e">
        <f>FL98*#REF!</f>
        <v>#REF!</v>
      </c>
      <c r="FP98" s="33"/>
      <c r="FQ98" s="34"/>
      <c r="FR98" s="35"/>
      <c r="FS98" s="36"/>
      <c r="FT98" s="37"/>
      <c r="FU98" s="30">
        <f t="shared" si="19"/>
        <v>0</v>
      </c>
      <c r="FV98" s="31" t="e">
        <f>FU98*#REF!</f>
        <v>#REF!</v>
      </c>
      <c r="FW98" s="32" t="e">
        <f>FU98*#REF!</f>
        <v>#REF!</v>
      </c>
      <c r="FY98" s="33"/>
      <c r="FZ98" s="34"/>
      <c r="GA98" s="35"/>
      <c r="GB98" s="36"/>
      <c r="GC98" s="37"/>
      <c r="GD98" s="30">
        <f t="shared" si="20"/>
        <v>0</v>
      </c>
      <c r="GE98" s="31" t="e">
        <f>GD98*#REF!</f>
        <v>#REF!</v>
      </c>
      <c r="GF98" s="32" t="e">
        <f>GD98*#REF!</f>
        <v>#REF!</v>
      </c>
      <c r="GH98" s="33"/>
      <c r="GI98" s="34"/>
      <c r="GJ98" s="35"/>
      <c r="GK98" s="36"/>
      <c r="GL98" s="37"/>
      <c r="GM98" s="30">
        <f t="shared" si="21"/>
        <v>0</v>
      </c>
      <c r="GN98" s="31" t="e">
        <f>GM98*#REF!</f>
        <v>#REF!</v>
      </c>
      <c r="GO98" s="32" t="e">
        <f>GM98*#REF!</f>
        <v>#REF!</v>
      </c>
      <c r="GQ98" s="38">
        <f>_xlfn.MAXIFS(I98:GO98,$I$5:$GO$5,"Staff #")</f>
        <v>0</v>
      </c>
      <c r="GR98" s="39">
        <v>0</v>
      </c>
    </row>
    <row r="99" spans="2:200" ht="15" x14ac:dyDescent="0.25">
      <c r="B99" s="22"/>
      <c r="C99" s="23"/>
      <c r="D99" s="24" t="str">
        <f>IF(C99="","",_xlfn.XLOOKUP(C99,'[3]Control Sheet'!$L$5:$L$104,'[3]Control Sheet'!$M$5:$M$104,"",0))</f>
        <v/>
      </c>
      <c r="E99" s="24" t="str">
        <f>IF(B99="","",_xlfn.XLOOKUP(B99,'[3]Control Sheet'!$D$5:$D$64,'[3]Control Sheet'!$F$5:$F$64,"",0))</f>
        <v/>
      </c>
      <c r="F99" s="24" t="str">
        <f>IF(B99="","",_xlfn.XLOOKUP(B99,'[3]Control Sheet'!$D$5:$D$64,'[3]Control Sheet'!$E$5:$E$64,"",0))</f>
        <v/>
      </c>
      <c r="I99" s="33"/>
      <c r="J99" s="34"/>
      <c r="K99" s="35"/>
      <c r="L99" s="36"/>
      <c r="M99" s="37"/>
      <c r="P99" s="33"/>
      <c r="Q99" s="34"/>
      <c r="R99" s="35"/>
      <c r="S99" s="36"/>
      <c r="T99" s="37"/>
      <c r="V99" s="33"/>
      <c r="W99" s="34"/>
      <c r="X99" s="35"/>
      <c r="Y99" s="36"/>
      <c r="Z99" s="37"/>
      <c r="AB99" s="33"/>
      <c r="AC99" s="34"/>
      <c r="AD99" s="35"/>
      <c r="AE99" s="36"/>
      <c r="AF99" s="37"/>
      <c r="AH99" s="33"/>
      <c r="AI99" s="34"/>
      <c r="AJ99" s="35"/>
      <c r="AK99" s="36"/>
      <c r="AL99" s="37"/>
      <c r="AN99" s="33"/>
      <c r="AO99" s="34"/>
      <c r="AP99" s="35"/>
      <c r="AQ99" s="36"/>
      <c r="AR99" s="37"/>
      <c r="AT99" s="33"/>
      <c r="AU99" s="34"/>
      <c r="AV99" s="35"/>
      <c r="AW99" s="36"/>
      <c r="AX99" s="37"/>
      <c r="AZ99" s="33"/>
      <c r="BA99" s="34"/>
      <c r="BB99" s="35"/>
      <c r="BC99" s="36"/>
      <c r="BD99" s="37"/>
      <c r="BF99" s="33"/>
      <c r="BG99" s="34"/>
      <c r="BH99" s="35"/>
      <c r="BI99" s="36"/>
      <c r="BJ99" s="37"/>
      <c r="BL99" s="33"/>
      <c r="BM99" s="34"/>
      <c r="BN99" s="35"/>
      <c r="BO99" s="36"/>
      <c r="BP99" s="37"/>
      <c r="BR99" s="33"/>
      <c r="BS99" s="34"/>
      <c r="BT99" s="35"/>
      <c r="BU99" s="36"/>
      <c r="BV99" s="37"/>
      <c r="BX99" s="33"/>
      <c r="BY99" s="34"/>
      <c r="BZ99" s="35"/>
      <c r="CA99" s="36"/>
      <c r="CB99" s="37"/>
      <c r="CD99" s="33"/>
      <c r="CE99" s="34"/>
      <c r="CF99" s="35"/>
      <c r="CG99" s="36"/>
      <c r="CH99" s="37"/>
      <c r="CJ99" s="33"/>
      <c r="CK99" s="34"/>
      <c r="CL99" s="35"/>
      <c r="CM99" s="36"/>
      <c r="CN99" s="37"/>
      <c r="CP99" s="33"/>
      <c r="CQ99" s="34"/>
      <c r="CR99" s="35"/>
      <c r="CS99" s="36"/>
      <c r="CT99" s="37"/>
      <c r="CV99" s="33"/>
      <c r="CW99" s="34"/>
      <c r="CX99" s="35"/>
      <c r="CY99" s="36"/>
      <c r="CZ99" s="37"/>
      <c r="DA99" s="30">
        <f t="shared" si="11"/>
        <v>0</v>
      </c>
      <c r="DB99" s="31" t="e">
        <f>DA99*#REF!</f>
        <v>#REF!</v>
      </c>
      <c r="DC99" s="32" t="e">
        <f>DA99*#REF!</f>
        <v>#REF!</v>
      </c>
      <c r="DE99" s="33"/>
      <c r="DF99" s="34"/>
      <c r="DG99" s="35"/>
      <c r="DH99" s="36"/>
      <c r="DI99" s="37"/>
      <c r="DJ99" s="30">
        <f t="shared" si="12"/>
        <v>0</v>
      </c>
      <c r="DK99" s="31" t="e">
        <f>DJ99*#REF!</f>
        <v>#REF!</v>
      </c>
      <c r="DL99" s="32" t="e">
        <f>DJ99*#REF!</f>
        <v>#REF!</v>
      </c>
      <c r="DN99" s="33"/>
      <c r="DO99" s="34"/>
      <c r="DP99" s="35"/>
      <c r="DQ99" s="36"/>
      <c r="DR99" s="37"/>
      <c r="DS99" s="30">
        <f t="shared" si="13"/>
        <v>0</v>
      </c>
      <c r="DT99" s="31" t="e">
        <f>DS99*#REF!</f>
        <v>#REF!</v>
      </c>
      <c r="DU99" s="32" t="e">
        <f>DS99*#REF!</f>
        <v>#REF!</v>
      </c>
      <c r="DW99" s="33"/>
      <c r="DX99" s="34"/>
      <c r="DY99" s="35"/>
      <c r="DZ99" s="36"/>
      <c r="EA99" s="37"/>
      <c r="EB99" s="30">
        <f t="shared" si="14"/>
        <v>0</v>
      </c>
      <c r="EC99" s="31" t="e">
        <f>EB99*#REF!</f>
        <v>#REF!</v>
      </c>
      <c r="ED99" s="32" t="e">
        <f>EB99*#REF!</f>
        <v>#REF!</v>
      </c>
      <c r="EF99" s="33"/>
      <c r="EG99" s="34"/>
      <c r="EH99" s="35"/>
      <c r="EI99" s="36"/>
      <c r="EJ99" s="37"/>
      <c r="EK99" s="30">
        <f t="shared" si="15"/>
        <v>0</v>
      </c>
      <c r="EL99" s="31" t="e">
        <f>EK99*#REF!</f>
        <v>#REF!</v>
      </c>
      <c r="EM99" s="32" t="e">
        <f>EK99*#REF!</f>
        <v>#REF!</v>
      </c>
      <c r="EO99" s="33"/>
      <c r="EP99" s="34"/>
      <c r="EQ99" s="35"/>
      <c r="ER99" s="36"/>
      <c r="ES99" s="37"/>
      <c r="ET99" s="30">
        <f t="shared" si="16"/>
        <v>0</v>
      </c>
      <c r="EU99" s="31" t="e">
        <f>ET99*#REF!</f>
        <v>#REF!</v>
      </c>
      <c r="EV99" s="32" t="e">
        <f>ET99*#REF!</f>
        <v>#REF!</v>
      </c>
      <c r="EX99" s="33"/>
      <c r="EY99" s="34"/>
      <c r="EZ99" s="35"/>
      <c r="FA99" s="36"/>
      <c r="FB99" s="37"/>
      <c r="FC99" s="30">
        <f t="shared" si="17"/>
        <v>0</v>
      </c>
      <c r="FD99" s="31" t="e">
        <f>FC99*#REF!</f>
        <v>#REF!</v>
      </c>
      <c r="FE99" s="32" t="e">
        <f>FC99*#REF!</f>
        <v>#REF!</v>
      </c>
      <c r="FG99" s="33"/>
      <c r="FH99" s="34"/>
      <c r="FI99" s="35"/>
      <c r="FJ99" s="36"/>
      <c r="FK99" s="37"/>
      <c r="FL99" s="30">
        <f t="shared" si="18"/>
        <v>0</v>
      </c>
      <c r="FM99" s="31" t="e">
        <f>FL99*#REF!</f>
        <v>#REF!</v>
      </c>
      <c r="FN99" s="32" t="e">
        <f>FL99*#REF!</f>
        <v>#REF!</v>
      </c>
      <c r="FP99" s="33"/>
      <c r="FQ99" s="34"/>
      <c r="FR99" s="35"/>
      <c r="FS99" s="36"/>
      <c r="FT99" s="37"/>
      <c r="FU99" s="30">
        <f t="shared" si="19"/>
        <v>0</v>
      </c>
      <c r="FV99" s="31" t="e">
        <f>FU99*#REF!</f>
        <v>#REF!</v>
      </c>
      <c r="FW99" s="32" t="e">
        <f>FU99*#REF!</f>
        <v>#REF!</v>
      </c>
      <c r="FY99" s="33"/>
      <c r="FZ99" s="34"/>
      <c r="GA99" s="35"/>
      <c r="GB99" s="36"/>
      <c r="GC99" s="37"/>
      <c r="GD99" s="30">
        <f t="shared" si="20"/>
        <v>0</v>
      </c>
      <c r="GE99" s="31" t="e">
        <f>GD99*#REF!</f>
        <v>#REF!</v>
      </c>
      <c r="GF99" s="32" t="e">
        <f>GD99*#REF!</f>
        <v>#REF!</v>
      </c>
      <c r="GH99" s="33"/>
      <c r="GI99" s="34"/>
      <c r="GJ99" s="35"/>
      <c r="GK99" s="36"/>
      <c r="GL99" s="37"/>
      <c r="GM99" s="30">
        <f t="shared" si="21"/>
        <v>0</v>
      </c>
      <c r="GN99" s="31" t="e">
        <f>GM99*#REF!</f>
        <v>#REF!</v>
      </c>
      <c r="GO99" s="32" t="e">
        <f>GM99*#REF!</f>
        <v>#REF!</v>
      </c>
      <c r="GQ99" s="38">
        <f>_xlfn.MAXIFS(I99:GO99,$I$5:$GO$5,"Staff #")</f>
        <v>0</v>
      </c>
      <c r="GR99" s="39">
        <v>0</v>
      </c>
    </row>
    <row r="100" spans="2:200" ht="15" x14ac:dyDescent="0.25">
      <c r="B100" s="22"/>
      <c r="C100" s="23"/>
      <c r="D100" s="24" t="str">
        <f>IF(C100="","",_xlfn.XLOOKUP(C100,'[3]Control Sheet'!$L$5:$L$104,'[3]Control Sheet'!$M$5:$M$104,"",0))</f>
        <v/>
      </c>
      <c r="E100" s="24" t="str">
        <f>IF(B100="","",_xlfn.XLOOKUP(B100,'[3]Control Sheet'!$D$5:$D$64,'[3]Control Sheet'!$F$5:$F$64,"",0))</f>
        <v/>
      </c>
      <c r="F100" s="24" t="str">
        <f>IF(B100="","",_xlfn.XLOOKUP(B100,'[3]Control Sheet'!$D$5:$D$64,'[3]Control Sheet'!$E$5:$E$64,"",0))</f>
        <v/>
      </c>
      <c r="I100" s="33"/>
      <c r="J100" s="34"/>
      <c r="K100" s="35"/>
      <c r="L100" s="36"/>
      <c r="M100" s="37"/>
      <c r="P100" s="33"/>
      <c r="Q100" s="34"/>
      <c r="R100" s="35"/>
      <c r="S100" s="36"/>
      <c r="T100" s="37"/>
      <c r="V100" s="33"/>
      <c r="W100" s="34"/>
      <c r="X100" s="35"/>
      <c r="Y100" s="36"/>
      <c r="Z100" s="37"/>
      <c r="AB100" s="33"/>
      <c r="AC100" s="34"/>
      <c r="AD100" s="35"/>
      <c r="AE100" s="36"/>
      <c r="AF100" s="37"/>
      <c r="AH100" s="33"/>
      <c r="AI100" s="34"/>
      <c r="AJ100" s="35"/>
      <c r="AK100" s="36"/>
      <c r="AL100" s="37"/>
      <c r="AN100" s="33"/>
      <c r="AO100" s="34"/>
      <c r="AP100" s="35"/>
      <c r="AQ100" s="36"/>
      <c r="AR100" s="37"/>
      <c r="AT100" s="33"/>
      <c r="AU100" s="34"/>
      <c r="AV100" s="35"/>
      <c r="AW100" s="36"/>
      <c r="AX100" s="37"/>
      <c r="AZ100" s="33"/>
      <c r="BA100" s="34"/>
      <c r="BB100" s="35"/>
      <c r="BC100" s="36"/>
      <c r="BD100" s="37"/>
      <c r="BF100" s="33"/>
      <c r="BG100" s="34"/>
      <c r="BH100" s="35"/>
      <c r="BI100" s="36"/>
      <c r="BJ100" s="37"/>
      <c r="BL100" s="33"/>
      <c r="BM100" s="34"/>
      <c r="BN100" s="35"/>
      <c r="BO100" s="36"/>
      <c r="BP100" s="37"/>
      <c r="BR100" s="33"/>
      <c r="BS100" s="34"/>
      <c r="BT100" s="35"/>
      <c r="BU100" s="36"/>
      <c r="BV100" s="37"/>
      <c r="BX100" s="33"/>
      <c r="BY100" s="34"/>
      <c r="BZ100" s="35"/>
      <c r="CA100" s="36"/>
      <c r="CB100" s="37"/>
      <c r="CD100" s="33"/>
      <c r="CE100" s="34"/>
      <c r="CF100" s="35"/>
      <c r="CG100" s="36"/>
      <c r="CH100" s="37"/>
      <c r="CJ100" s="33"/>
      <c r="CK100" s="34"/>
      <c r="CL100" s="35"/>
      <c r="CM100" s="36"/>
      <c r="CN100" s="37"/>
      <c r="CP100" s="33"/>
      <c r="CQ100" s="34"/>
      <c r="CR100" s="35"/>
      <c r="CS100" s="36"/>
      <c r="CT100" s="37"/>
      <c r="CV100" s="33"/>
      <c r="CW100" s="34"/>
      <c r="CX100" s="35"/>
      <c r="CY100" s="36"/>
      <c r="CZ100" s="37"/>
      <c r="DA100" s="30">
        <f t="shared" si="11"/>
        <v>0</v>
      </c>
      <c r="DB100" s="31" t="e">
        <f>DA100*#REF!</f>
        <v>#REF!</v>
      </c>
      <c r="DC100" s="32" t="e">
        <f>DA100*#REF!</f>
        <v>#REF!</v>
      </c>
      <c r="DE100" s="33"/>
      <c r="DF100" s="34"/>
      <c r="DG100" s="35"/>
      <c r="DH100" s="36"/>
      <c r="DI100" s="37"/>
      <c r="DJ100" s="30">
        <f t="shared" si="12"/>
        <v>0</v>
      </c>
      <c r="DK100" s="31" t="e">
        <f>DJ100*#REF!</f>
        <v>#REF!</v>
      </c>
      <c r="DL100" s="32" t="e">
        <f>DJ100*#REF!</f>
        <v>#REF!</v>
      </c>
      <c r="DN100" s="33"/>
      <c r="DO100" s="34"/>
      <c r="DP100" s="35"/>
      <c r="DQ100" s="36"/>
      <c r="DR100" s="37"/>
      <c r="DS100" s="30">
        <f t="shared" si="13"/>
        <v>0</v>
      </c>
      <c r="DT100" s="31" t="e">
        <f>DS100*#REF!</f>
        <v>#REF!</v>
      </c>
      <c r="DU100" s="32" t="e">
        <f>DS100*#REF!</f>
        <v>#REF!</v>
      </c>
      <c r="DW100" s="33"/>
      <c r="DX100" s="34"/>
      <c r="DY100" s="35"/>
      <c r="DZ100" s="36"/>
      <c r="EA100" s="37"/>
      <c r="EB100" s="30">
        <f t="shared" si="14"/>
        <v>0</v>
      </c>
      <c r="EC100" s="31" t="e">
        <f>EB100*#REF!</f>
        <v>#REF!</v>
      </c>
      <c r="ED100" s="32" t="e">
        <f>EB100*#REF!</f>
        <v>#REF!</v>
      </c>
      <c r="EF100" s="33"/>
      <c r="EG100" s="34"/>
      <c r="EH100" s="35"/>
      <c r="EI100" s="36"/>
      <c r="EJ100" s="37"/>
      <c r="EK100" s="30">
        <f t="shared" si="15"/>
        <v>0</v>
      </c>
      <c r="EL100" s="31" t="e">
        <f>EK100*#REF!</f>
        <v>#REF!</v>
      </c>
      <c r="EM100" s="32" t="e">
        <f>EK100*#REF!</f>
        <v>#REF!</v>
      </c>
      <c r="EO100" s="33"/>
      <c r="EP100" s="34"/>
      <c r="EQ100" s="35"/>
      <c r="ER100" s="36"/>
      <c r="ES100" s="37"/>
      <c r="ET100" s="30">
        <f t="shared" si="16"/>
        <v>0</v>
      </c>
      <c r="EU100" s="31" t="e">
        <f>ET100*#REF!</f>
        <v>#REF!</v>
      </c>
      <c r="EV100" s="32" t="e">
        <f>ET100*#REF!</f>
        <v>#REF!</v>
      </c>
      <c r="EX100" s="33"/>
      <c r="EY100" s="34"/>
      <c r="EZ100" s="35"/>
      <c r="FA100" s="36"/>
      <c r="FB100" s="37"/>
      <c r="FC100" s="30">
        <f t="shared" si="17"/>
        <v>0</v>
      </c>
      <c r="FD100" s="31" t="e">
        <f>FC100*#REF!</f>
        <v>#REF!</v>
      </c>
      <c r="FE100" s="32" t="e">
        <f>FC100*#REF!</f>
        <v>#REF!</v>
      </c>
      <c r="FG100" s="33"/>
      <c r="FH100" s="34"/>
      <c r="FI100" s="35"/>
      <c r="FJ100" s="36"/>
      <c r="FK100" s="37"/>
      <c r="FL100" s="30">
        <f t="shared" si="18"/>
        <v>0</v>
      </c>
      <c r="FM100" s="31" t="e">
        <f>FL100*#REF!</f>
        <v>#REF!</v>
      </c>
      <c r="FN100" s="32" t="e">
        <f>FL100*#REF!</f>
        <v>#REF!</v>
      </c>
      <c r="FP100" s="33"/>
      <c r="FQ100" s="34"/>
      <c r="FR100" s="35"/>
      <c r="FS100" s="36"/>
      <c r="FT100" s="37"/>
      <c r="FU100" s="30">
        <f t="shared" si="19"/>
        <v>0</v>
      </c>
      <c r="FV100" s="31" t="e">
        <f>FU100*#REF!</f>
        <v>#REF!</v>
      </c>
      <c r="FW100" s="32" t="e">
        <f>FU100*#REF!</f>
        <v>#REF!</v>
      </c>
      <c r="FY100" s="33"/>
      <c r="FZ100" s="34"/>
      <c r="GA100" s="35"/>
      <c r="GB100" s="36"/>
      <c r="GC100" s="37"/>
      <c r="GD100" s="30">
        <f t="shared" si="20"/>
        <v>0</v>
      </c>
      <c r="GE100" s="31" t="e">
        <f>GD100*#REF!</f>
        <v>#REF!</v>
      </c>
      <c r="GF100" s="32" t="e">
        <f>GD100*#REF!</f>
        <v>#REF!</v>
      </c>
      <c r="GH100" s="33"/>
      <c r="GI100" s="34"/>
      <c r="GJ100" s="35"/>
      <c r="GK100" s="36"/>
      <c r="GL100" s="37"/>
      <c r="GM100" s="30">
        <f t="shared" si="21"/>
        <v>0</v>
      </c>
      <c r="GN100" s="31" t="e">
        <f>GM100*#REF!</f>
        <v>#REF!</v>
      </c>
      <c r="GO100" s="32" t="e">
        <f>GM100*#REF!</f>
        <v>#REF!</v>
      </c>
      <c r="GQ100" s="38">
        <f>_xlfn.MAXIFS(I100:GO100,$I$5:$GO$5,"Staff #")</f>
        <v>0</v>
      </c>
      <c r="GR100" s="39">
        <v>0</v>
      </c>
    </row>
    <row r="101" spans="2:200" ht="15" x14ac:dyDescent="0.25">
      <c r="B101" s="22"/>
      <c r="C101" s="23"/>
      <c r="D101" s="24" t="str">
        <f>IF(C101="","",_xlfn.XLOOKUP(C101,'[3]Control Sheet'!$L$5:$L$104,'[3]Control Sheet'!$M$5:$M$104,"",0))</f>
        <v/>
      </c>
      <c r="E101" s="24" t="str">
        <f>IF(B101="","",_xlfn.XLOOKUP(B101,'[3]Control Sheet'!$D$5:$D$64,'[3]Control Sheet'!$F$5:$F$64,"",0))</f>
        <v/>
      </c>
      <c r="F101" s="24" t="str">
        <f>IF(B101="","",_xlfn.XLOOKUP(B101,'[3]Control Sheet'!$D$5:$D$64,'[3]Control Sheet'!$E$5:$E$64,"",0))</f>
        <v/>
      </c>
      <c r="I101" s="33"/>
      <c r="J101" s="34"/>
      <c r="K101" s="35"/>
      <c r="L101" s="36"/>
      <c r="M101" s="37"/>
      <c r="P101" s="33"/>
      <c r="Q101" s="34"/>
      <c r="R101" s="35"/>
      <c r="S101" s="36"/>
      <c r="T101" s="37"/>
      <c r="V101" s="33"/>
      <c r="W101" s="34"/>
      <c r="X101" s="35"/>
      <c r="Y101" s="36"/>
      <c r="Z101" s="37"/>
      <c r="AB101" s="33"/>
      <c r="AC101" s="34"/>
      <c r="AD101" s="35"/>
      <c r="AE101" s="36"/>
      <c r="AF101" s="37"/>
      <c r="AH101" s="33"/>
      <c r="AI101" s="34"/>
      <c r="AJ101" s="35"/>
      <c r="AK101" s="36"/>
      <c r="AL101" s="37"/>
      <c r="AN101" s="33"/>
      <c r="AO101" s="34"/>
      <c r="AP101" s="35"/>
      <c r="AQ101" s="36"/>
      <c r="AR101" s="37"/>
      <c r="AT101" s="33"/>
      <c r="AU101" s="34"/>
      <c r="AV101" s="35"/>
      <c r="AW101" s="36"/>
      <c r="AX101" s="37"/>
      <c r="AZ101" s="33"/>
      <c r="BA101" s="34"/>
      <c r="BB101" s="35"/>
      <c r="BC101" s="36"/>
      <c r="BD101" s="37"/>
      <c r="BF101" s="33"/>
      <c r="BG101" s="34"/>
      <c r="BH101" s="35"/>
      <c r="BI101" s="36"/>
      <c r="BJ101" s="37"/>
      <c r="BL101" s="33"/>
      <c r="BM101" s="34"/>
      <c r="BN101" s="35"/>
      <c r="BO101" s="36"/>
      <c r="BP101" s="37"/>
      <c r="BR101" s="33"/>
      <c r="BS101" s="34"/>
      <c r="BT101" s="35"/>
      <c r="BU101" s="36"/>
      <c r="BV101" s="37"/>
      <c r="BX101" s="33"/>
      <c r="BY101" s="34"/>
      <c r="BZ101" s="35"/>
      <c r="CA101" s="36"/>
      <c r="CB101" s="37"/>
      <c r="CD101" s="33"/>
      <c r="CE101" s="34"/>
      <c r="CF101" s="35"/>
      <c r="CG101" s="36"/>
      <c r="CH101" s="37"/>
      <c r="CJ101" s="33"/>
      <c r="CK101" s="34"/>
      <c r="CL101" s="35"/>
      <c r="CM101" s="36"/>
      <c r="CN101" s="37"/>
      <c r="CP101" s="33"/>
      <c r="CQ101" s="34"/>
      <c r="CR101" s="35"/>
      <c r="CS101" s="36"/>
      <c r="CT101" s="37"/>
      <c r="CV101" s="33"/>
      <c r="CW101" s="34"/>
      <c r="CX101" s="35"/>
      <c r="CY101" s="36"/>
      <c r="CZ101" s="37"/>
      <c r="DA101" s="30">
        <f t="shared" si="11"/>
        <v>0</v>
      </c>
      <c r="DB101" s="31" t="e">
        <f>DA101*#REF!</f>
        <v>#REF!</v>
      </c>
      <c r="DC101" s="32" t="e">
        <f>DA101*#REF!</f>
        <v>#REF!</v>
      </c>
      <c r="DE101" s="33"/>
      <c r="DF101" s="34"/>
      <c r="DG101" s="35"/>
      <c r="DH101" s="36"/>
      <c r="DI101" s="37"/>
      <c r="DJ101" s="30">
        <f t="shared" si="12"/>
        <v>0</v>
      </c>
      <c r="DK101" s="31" t="e">
        <f>DJ101*#REF!</f>
        <v>#REF!</v>
      </c>
      <c r="DL101" s="32" t="e">
        <f>DJ101*#REF!</f>
        <v>#REF!</v>
      </c>
      <c r="DN101" s="33"/>
      <c r="DO101" s="34"/>
      <c r="DP101" s="35"/>
      <c r="DQ101" s="36"/>
      <c r="DR101" s="37"/>
      <c r="DS101" s="30">
        <f t="shared" si="13"/>
        <v>0</v>
      </c>
      <c r="DT101" s="31" t="e">
        <f>DS101*#REF!</f>
        <v>#REF!</v>
      </c>
      <c r="DU101" s="32" t="e">
        <f>DS101*#REF!</f>
        <v>#REF!</v>
      </c>
      <c r="DW101" s="33"/>
      <c r="DX101" s="34"/>
      <c r="DY101" s="35"/>
      <c r="DZ101" s="36"/>
      <c r="EA101" s="37"/>
      <c r="EB101" s="30">
        <f t="shared" si="14"/>
        <v>0</v>
      </c>
      <c r="EC101" s="31" t="e">
        <f>EB101*#REF!</f>
        <v>#REF!</v>
      </c>
      <c r="ED101" s="32" t="e">
        <f>EB101*#REF!</f>
        <v>#REF!</v>
      </c>
      <c r="EF101" s="33"/>
      <c r="EG101" s="34"/>
      <c r="EH101" s="35"/>
      <c r="EI101" s="36"/>
      <c r="EJ101" s="37"/>
      <c r="EK101" s="30">
        <f t="shared" si="15"/>
        <v>0</v>
      </c>
      <c r="EL101" s="31" t="e">
        <f>EK101*#REF!</f>
        <v>#REF!</v>
      </c>
      <c r="EM101" s="32" t="e">
        <f>EK101*#REF!</f>
        <v>#REF!</v>
      </c>
      <c r="EO101" s="33"/>
      <c r="EP101" s="34"/>
      <c r="EQ101" s="35"/>
      <c r="ER101" s="36"/>
      <c r="ES101" s="37"/>
      <c r="ET101" s="30">
        <f t="shared" si="16"/>
        <v>0</v>
      </c>
      <c r="EU101" s="31" t="e">
        <f>ET101*#REF!</f>
        <v>#REF!</v>
      </c>
      <c r="EV101" s="32" t="e">
        <f>ET101*#REF!</f>
        <v>#REF!</v>
      </c>
      <c r="EX101" s="33"/>
      <c r="EY101" s="34"/>
      <c r="EZ101" s="35"/>
      <c r="FA101" s="36"/>
      <c r="FB101" s="37"/>
      <c r="FC101" s="30">
        <f t="shared" si="17"/>
        <v>0</v>
      </c>
      <c r="FD101" s="31" t="e">
        <f>FC101*#REF!</f>
        <v>#REF!</v>
      </c>
      <c r="FE101" s="32" t="e">
        <f>FC101*#REF!</f>
        <v>#REF!</v>
      </c>
      <c r="FG101" s="33"/>
      <c r="FH101" s="34"/>
      <c r="FI101" s="35"/>
      <c r="FJ101" s="36"/>
      <c r="FK101" s="37"/>
      <c r="FL101" s="30">
        <f t="shared" si="18"/>
        <v>0</v>
      </c>
      <c r="FM101" s="31" t="e">
        <f>FL101*#REF!</f>
        <v>#REF!</v>
      </c>
      <c r="FN101" s="32" t="e">
        <f>FL101*#REF!</f>
        <v>#REF!</v>
      </c>
      <c r="FP101" s="33"/>
      <c r="FQ101" s="34"/>
      <c r="FR101" s="35"/>
      <c r="FS101" s="36"/>
      <c r="FT101" s="37"/>
      <c r="FU101" s="30">
        <f t="shared" si="19"/>
        <v>0</v>
      </c>
      <c r="FV101" s="31" t="e">
        <f>FU101*#REF!</f>
        <v>#REF!</v>
      </c>
      <c r="FW101" s="32" t="e">
        <f>FU101*#REF!</f>
        <v>#REF!</v>
      </c>
      <c r="FY101" s="33"/>
      <c r="FZ101" s="34"/>
      <c r="GA101" s="35"/>
      <c r="GB101" s="36"/>
      <c r="GC101" s="37"/>
      <c r="GD101" s="30">
        <f t="shared" si="20"/>
        <v>0</v>
      </c>
      <c r="GE101" s="31" t="e">
        <f>GD101*#REF!</f>
        <v>#REF!</v>
      </c>
      <c r="GF101" s="32" t="e">
        <f>GD101*#REF!</f>
        <v>#REF!</v>
      </c>
      <c r="GH101" s="33"/>
      <c r="GI101" s="34"/>
      <c r="GJ101" s="35"/>
      <c r="GK101" s="36"/>
      <c r="GL101" s="37"/>
      <c r="GM101" s="30">
        <f t="shared" si="21"/>
        <v>0</v>
      </c>
      <c r="GN101" s="31" t="e">
        <f>GM101*#REF!</f>
        <v>#REF!</v>
      </c>
      <c r="GO101" s="32" t="e">
        <f>GM101*#REF!</f>
        <v>#REF!</v>
      </c>
      <c r="GQ101" s="38">
        <f>_xlfn.MAXIFS(I101:GO101,$I$5:$GO$5,"Staff #")</f>
        <v>0</v>
      </c>
      <c r="GR101" s="39">
        <v>0</v>
      </c>
    </row>
    <row r="102" spans="2:200" ht="15" x14ac:dyDescent="0.25">
      <c r="B102" s="22"/>
      <c r="C102" s="23"/>
      <c r="D102" s="24" t="str">
        <f>IF(C102="","",_xlfn.XLOOKUP(C102,'[3]Control Sheet'!$L$5:$L$104,'[3]Control Sheet'!$M$5:$M$104,"",0))</f>
        <v/>
      </c>
      <c r="E102" s="24" t="str">
        <f>IF(B102="","",_xlfn.XLOOKUP(B102,'[3]Control Sheet'!$D$5:$D$64,'[3]Control Sheet'!$F$5:$F$64,"",0))</f>
        <v/>
      </c>
      <c r="F102" s="24" t="str">
        <f>IF(B102="","",_xlfn.XLOOKUP(B102,'[3]Control Sheet'!$D$5:$D$64,'[3]Control Sheet'!$E$5:$E$64,"",0))</f>
        <v/>
      </c>
      <c r="I102" s="33"/>
      <c r="J102" s="34"/>
      <c r="K102" s="35"/>
      <c r="L102" s="36"/>
      <c r="M102" s="37"/>
      <c r="P102" s="33"/>
      <c r="Q102" s="34"/>
      <c r="R102" s="35"/>
      <c r="S102" s="36"/>
      <c r="T102" s="37"/>
      <c r="V102" s="33"/>
      <c r="W102" s="34"/>
      <c r="X102" s="35"/>
      <c r="Y102" s="36"/>
      <c r="Z102" s="37"/>
      <c r="AB102" s="33"/>
      <c r="AC102" s="34"/>
      <c r="AD102" s="35"/>
      <c r="AE102" s="36"/>
      <c r="AF102" s="37"/>
      <c r="AH102" s="33"/>
      <c r="AI102" s="34"/>
      <c r="AJ102" s="35"/>
      <c r="AK102" s="36"/>
      <c r="AL102" s="37"/>
      <c r="AN102" s="33"/>
      <c r="AO102" s="34"/>
      <c r="AP102" s="35"/>
      <c r="AQ102" s="36"/>
      <c r="AR102" s="37"/>
      <c r="AT102" s="33"/>
      <c r="AU102" s="34"/>
      <c r="AV102" s="35"/>
      <c r="AW102" s="36"/>
      <c r="AX102" s="37"/>
      <c r="AZ102" s="33"/>
      <c r="BA102" s="34"/>
      <c r="BB102" s="35"/>
      <c r="BC102" s="36"/>
      <c r="BD102" s="37"/>
      <c r="BF102" s="33"/>
      <c r="BG102" s="34"/>
      <c r="BH102" s="35"/>
      <c r="BI102" s="36"/>
      <c r="BJ102" s="37"/>
      <c r="BL102" s="33"/>
      <c r="BM102" s="34"/>
      <c r="BN102" s="35"/>
      <c r="BO102" s="36"/>
      <c r="BP102" s="37"/>
      <c r="BR102" s="33"/>
      <c r="BS102" s="34"/>
      <c r="BT102" s="35"/>
      <c r="BU102" s="36"/>
      <c r="BV102" s="37"/>
      <c r="BX102" s="33"/>
      <c r="BY102" s="34"/>
      <c r="BZ102" s="35"/>
      <c r="CA102" s="36"/>
      <c r="CB102" s="37"/>
      <c r="CD102" s="33"/>
      <c r="CE102" s="34"/>
      <c r="CF102" s="35"/>
      <c r="CG102" s="36"/>
      <c r="CH102" s="37"/>
      <c r="CJ102" s="33"/>
      <c r="CK102" s="34"/>
      <c r="CL102" s="35"/>
      <c r="CM102" s="36"/>
      <c r="CN102" s="37"/>
      <c r="CP102" s="33"/>
      <c r="CQ102" s="34"/>
      <c r="CR102" s="35"/>
      <c r="CS102" s="36"/>
      <c r="CT102" s="37"/>
      <c r="CV102" s="33"/>
      <c r="CW102" s="34"/>
      <c r="CX102" s="35"/>
      <c r="CY102" s="36"/>
      <c r="CZ102" s="37"/>
      <c r="DA102" s="30">
        <f t="shared" si="11"/>
        <v>0</v>
      </c>
      <c r="DB102" s="31" t="e">
        <f>DA102*#REF!</f>
        <v>#REF!</v>
      </c>
      <c r="DC102" s="32" t="e">
        <f>DA102*#REF!</f>
        <v>#REF!</v>
      </c>
      <c r="DE102" s="33"/>
      <c r="DF102" s="34"/>
      <c r="DG102" s="35"/>
      <c r="DH102" s="36"/>
      <c r="DI102" s="37"/>
      <c r="DJ102" s="30">
        <f t="shared" si="12"/>
        <v>0</v>
      </c>
      <c r="DK102" s="31" t="e">
        <f>DJ102*#REF!</f>
        <v>#REF!</v>
      </c>
      <c r="DL102" s="32" t="e">
        <f>DJ102*#REF!</f>
        <v>#REF!</v>
      </c>
      <c r="DN102" s="33"/>
      <c r="DO102" s="34"/>
      <c r="DP102" s="35"/>
      <c r="DQ102" s="36"/>
      <c r="DR102" s="37"/>
      <c r="DS102" s="30">
        <f t="shared" si="13"/>
        <v>0</v>
      </c>
      <c r="DT102" s="31" t="e">
        <f>DS102*#REF!</f>
        <v>#REF!</v>
      </c>
      <c r="DU102" s="32" t="e">
        <f>DS102*#REF!</f>
        <v>#REF!</v>
      </c>
      <c r="DW102" s="33"/>
      <c r="DX102" s="34"/>
      <c r="DY102" s="35"/>
      <c r="DZ102" s="36"/>
      <c r="EA102" s="37"/>
      <c r="EB102" s="30">
        <f t="shared" si="14"/>
        <v>0</v>
      </c>
      <c r="EC102" s="31" t="e">
        <f>EB102*#REF!</f>
        <v>#REF!</v>
      </c>
      <c r="ED102" s="32" t="e">
        <f>EB102*#REF!</f>
        <v>#REF!</v>
      </c>
      <c r="EF102" s="33"/>
      <c r="EG102" s="34"/>
      <c r="EH102" s="35"/>
      <c r="EI102" s="36"/>
      <c r="EJ102" s="37"/>
      <c r="EK102" s="30">
        <f t="shared" si="15"/>
        <v>0</v>
      </c>
      <c r="EL102" s="31" t="e">
        <f>EK102*#REF!</f>
        <v>#REF!</v>
      </c>
      <c r="EM102" s="32" t="e">
        <f>EK102*#REF!</f>
        <v>#REF!</v>
      </c>
      <c r="EO102" s="33"/>
      <c r="EP102" s="34"/>
      <c r="EQ102" s="35"/>
      <c r="ER102" s="36"/>
      <c r="ES102" s="37"/>
      <c r="ET102" s="30">
        <f t="shared" si="16"/>
        <v>0</v>
      </c>
      <c r="EU102" s="31" t="e">
        <f>ET102*#REF!</f>
        <v>#REF!</v>
      </c>
      <c r="EV102" s="32" t="e">
        <f>ET102*#REF!</f>
        <v>#REF!</v>
      </c>
      <c r="EX102" s="33"/>
      <c r="EY102" s="34"/>
      <c r="EZ102" s="35"/>
      <c r="FA102" s="36"/>
      <c r="FB102" s="37"/>
      <c r="FC102" s="30">
        <f t="shared" si="17"/>
        <v>0</v>
      </c>
      <c r="FD102" s="31" t="e">
        <f>FC102*#REF!</f>
        <v>#REF!</v>
      </c>
      <c r="FE102" s="32" t="e">
        <f>FC102*#REF!</f>
        <v>#REF!</v>
      </c>
      <c r="FG102" s="33"/>
      <c r="FH102" s="34"/>
      <c r="FI102" s="35"/>
      <c r="FJ102" s="36"/>
      <c r="FK102" s="37"/>
      <c r="FL102" s="30">
        <f t="shared" si="18"/>
        <v>0</v>
      </c>
      <c r="FM102" s="31" t="e">
        <f>FL102*#REF!</f>
        <v>#REF!</v>
      </c>
      <c r="FN102" s="32" t="e">
        <f>FL102*#REF!</f>
        <v>#REF!</v>
      </c>
      <c r="FP102" s="33"/>
      <c r="FQ102" s="34"/>
      <c r="FR102" s="35"/>
      <c r="FS102" s="36"/>
      <c r="FT102" s="37"/>
      <c r="FU102" s="30">
        <f t="shared" si="19"/>
        <v>0</v>
      </c>
      <c r="FV102" s="31" t="e">
        <f>FU102*#REF!</f>
        <v>#REF!</v>
      </c>
      <c r="FW102" s="32" t="e">
        <f>FU102*#REF!</f>
        <v>#REF!</v>
      </c>
      <c r="FY102" s="33"/>
      <c r="FZ102" s="34"/>
      <c r="GA102" s="35"/>
      <c r="GB102" s="36"/>
      <c r="GC102" s="37"/>
      <c r="GD102" s="30">
        <f t="shared" si="20"/>
        <v>0</v>
      </c>
      <c r="GE102" s="31" t="e">
        <f>GD102*#REF!</f>
        <v>#REF!</v>
      </c>
      <c r="GF102" s="32" t="e">
        <f>GD102*#REF!</f>
        <v>#REF!</v>
      </c>
      <c r="GH102" s="33"/>
      <c r="GI102" s="34"/>
      <c r="GJ102" s="35"/>
      <c r="GK102" s="36"/>
      <c r="GL102" s="37"/>
      <c r="GM102" s="30">
        <f t="shared" si="21"/>
        <v>0</v>
      </c>
      <c r="GN102" s="31" t="e">
        <f>GM102*#REF!</f>
        <v>#REF!</v>
      </c>
      <c r="GO102" s="32" t="e">
        <f>GM102*#REF!</f>
        <v>#REF!</v>
      </c>
      <c r="GQ102" s="38">
        <f>_xlfn.MAXIFS(I102:GO102,$I$5:$GO$5,"Staff #")</f>
        <v>0</v>
      </c>
      <c r="GR102" s="39">
        <v>0</v>
      </c>
    </row>
    <row r="103" spans="2:200" ht="15" x14ac:dyDescent="0.25">
      <c r="B103" s="22"/>
      <c r="C103" s="23"/>
      <c r="D103" s="24" t="str">
        <f>IF(C103="","",_xlfn.XLOOKUP(C103,'[3]Control Sheet'!$L$5:$L$104,'[3]Control Sheet'!$M$5:$M$104,"",0))</f>
        <v/>
      </c>
      <c r="E103" s="24" t="str">
        <f>IF(B103="","",_xlfn.XLOOKUP(B103,'[3]Control Sheet'!$D$5:$D$64,'[3]Control Sheet'!$F$5:$F$64,"",0))</f>
        <v/>
      </c>
      <c r="F103" s="24" t="str">
        <f>IF(B103="","",_xlfn.XLOOKUP(B103,'[3]Control Sheet'!$D$5:$D$64,'[3]Control Sheet'!$E$5:$E$64,"",0))</f>
        <v/>
      </c>
      <c r="I103" s="33"/>
      <c r="J103" s="34"/>
      <c r="K103" s="35"/>
      <c r="L103" s="36"/>
      <c r="M103" s="37"/>
      <c r="P103" s="33"/>
      <c r="Q103" s="34"/>
      <c r="R103" s="35"/>
      <c r="S103" s="36"/>
      <c r="T103" s="37"/>
      <c r="V103" s="33"/>
      <c r="W103" s="34"/>
      <c r="X103" s="35"/>
      <c r="Y103" s="36"/>
      <c r="Z103" s="37"/>
      <c r="AB103" s="33"/>
      <c r="AC103" s="34"/>
      <c r="AD103" s="35"/>
      <c r="AE103" s="36"/>
      <c r="AF103" s="37"/>
      <c r="AH103" s="33"/>
      <c r="AI103" s="34"/>
      <c r="AJ103" s="35"/>
      <c r="AK103" s="36"/>
      <c r="AL103" s="37"/>
      <c r="AN103" s="33"/>
      <c r="AO103" s="34"/>
      <c r="AP103" s="35"/>
      <c r="AQ103" s="36"/>
      <c r="AR103" s="37"/>
      <c r="AT103" s="33"/>
      <c r="AU103" s="34"/>
      <c r="AV103" s="35"/>
      <c r="AW103" s="36"/>
      <c r="AX103" s="37"/>
      <c r="AZ103" s="33"/>
      <c r="BA103" s="34"/>
      <c r="BB103" s="35"/>
      <c r="BC103" s="36"/>
      <c r="BD103" s="37"/>
      <c r="BF103" s="33"/>
      <c r="BG103" s="34"/>
      <c r="BH103" s="35"/>
      <c r="BI103" s="36"/>
      <c r="BJ103" s="37"/>
      <c r="BL103" s="33"/>
      <c r="BM103" s="34"/>
      <c r="BN103" s="35"/>
      <c r="BO103" s="36"/>
      <c r="BP103" s="37"/>
      <c r="BR103" s="33"/>
      <c r="BS103" s="34"/>
      <c r="BT103" s="35"/>
      <c r="BU103" s="36"/>
      <c r="BV103" s="37"/>
      <c r="BX103" s="33"/>
      <c r="BY103" s="34"/>
      <c r="BZ103" s="35"/>
      <c r="CA103" s="36"/>
      <c r="CB103" s="37"/>
      <c r="CD103" s="33"/>
      <c r="CE103" s="34"/>
      <c r="CF103" s="35"/>
      <c r="CG103" s="36"/>
      <c r="CH103" s="37"/>
      <c r="CJ103" s="33"/>
      <c r="CK103" s="34"/>
      <c r="CL103" s="35"/>
      <c r="CM103" s="36"/>
      <c r="CN103" s="37"/>
      <c r="CP103" s="33"/>
      <c r="CQ103" s="34"/>
      <c r="CR103" s="35"/>
      <c r="CS103" s="36"/>
      <c r="CT103" s="37"/>
      <c r="CV103" s="33"/>
      <c r="CW103" s="34"/>
      <c r="CX103" s="35"/>
      <c r="CY103" s="36"/>
      <c r="CZ103" s="37"/>
      <c r="DA103" s="30">
        <f t="shared" si="11"/>
        <v>0</v>
      </c>
      <c r="DB103" s="31" t="e">
        <f>DA103*#REF!</f>
        <v>#REF!</v>
      </c>
      <c r="DC103" s="32" t="e">
        <f>DA103*#REF!</f>
        <v>#REF!</v>
      </c>
      <c r="DE103" s="33"/>
      <c r="DF103" s="34"/>
      <c r="DG103" s="35"/>
      <c r="DH103" s="36"/>
      <c r="DI103" s="37"/>
      <c r="DJ103" s="30">
        <f t="shared" si="12"/>
        <v>0</v>
      </c>
      <c r="DK103" s="31" t="e">
        <f>DJ103*#REF!</f>
        <v>#REF!</v>
      </c>
      <c r="DL103" s="32" t="e">
        <f>DJ103*#REF!</f>
        <v>#REF!</v>
      </c>
      <c r="DN103" s="33"/>
      <c r="DO103" s="34"/>
      <c r="DP103" s="35"/>
      <c r="DQ103" s="36"/>
      <c r="DR103" s="37"/>
      <c r="DS103" s="30">
        <f t="shared" si="13"/>
        <v>0</v>
      </c>
      <c r="DT103" s="31" t="e">
        <f>DS103*#REF!</f>
        <v>#REF!</v>
      </c>
      <c r="DU103" s="32" t="e">
        <f>DS103*#REF!</f>
        <v>#REF!</v>
      </c>
      <c r="DW103" s="33"/>
      <c r="DX103" s="34"/>
      <c r="DY103" s="35"/>
      <c r="DZ103" s="36"/>
      <c r="EA103" s="37"/>
      <c r="EB103" s="30">
        <f t="shared" si="14"/>
        <v>0</v>
      </c>
      <c r="EC103" s="31" t="e">
        <f>EB103*#REF!</f>
        <v>#REF!</v>
      </c>
      <c r="ED103" s="32" t="e">
        <f>EB103*#REF!</f>
        <v>#REF!</v>
      </c>
      <c r="EF103" s="33"/>
      <c r="EG103" s="34"/>
      <c r="EH103" s="35"/>
      <c r="EI103" s="36"/>
      <c r="EJ103" s="37"/>
      <c r="EK103" s="30">
        <f t="shared" si="15"/>
        <v>0</v>
      </c>
      <c r="EL103" s="31" t="e">
        <f>EK103*#REF!</f>
        <v>#REF!</v>
      </c>
      <c r="EM103" s="32" t="e">
        <f>EK103*#REF!</f>
        <v>#REF!</v>
      </c>
      <c r="EO103" s="33"/>
      <c r="EP103" s="34"/>
      <c r="EQ103" s="35"/>
      <c r="ER103" s="36"/>
      <c r="ES103" s="37"/>
      <c r="ET103" s="30">
        <f t="shared" si="16"/>
        <v>0</v>
      </c>
      <c r="EU103" s="31" t="e">
        <f>ET103*#REF!</f>
        <v>#REF!</v>
      </c>
      <c r="EV103" s="32" t="e">
        <f>ET103*#REF!</f>
        <v>#REF!</v>
      </c>
      <c r="EX103" s="33"/>
      <c r="EY103" s="34"/>
      <c r="EZ103" s="35"/>
      <c r="FA103" s="36"/>
      <c r="FB103" s="37"/>
      <c r="FC103" s="30">
        <f t="shared" si="17"/>
        <v>0</v>
      </c>
      <c r="FD103" s="31" t="e">
        <f>FC103*#REF!</f>
        <v>#REF!</v>
      </c>
      <c r="FE103" s="32" t="e">
        <f>FC103*#REF!</f>
        <v>#REF!</v>
      </c>
      <c r="FG103" s="33"/>
      <c r="FH103" s="34"/>
      <c r="FI103" s="35"/>
      <c r="FJ103" s="36"/>
      <c r="FK103" s="37"/>
      <c r="FL103" s="30">
        <f t="shared" si="18"/>
        <v>0</v>
      </c>
      <c r="FM103" s="31" t="e">
        <f>FL103*#REF!</f>
        <v>#REF!</v>
      </c>
      <c r="FN103" s="32" t="e">
        <f>FL103*#REF!</f>
        <v>#REF!</v>
      </c>
      <c r="FP103" s="33"/>
      <c r="FQ103" s="34"/>
      <c r="FR103" s="35"/>
      <c r="FS103" s="36"/>
      <c r="FT103" s="37"/>
      <c r="FU103" s="30">
        <f t="shared" si="19"/>
        <v>0</v>
      </c>
      <c r="FV103" s="31" t="e">
        <f>FU103*#REF!</f>
        <v>#REF!</v>
      </c>
      <c r="FW103" s="32" t="e">
        <f>FU103*#REF!</f>
        <v>#REF!</v>
      </c>
      <c r="FY103" s="33"/>
      <c r="FZ103" s="34"/>
      <c r="GA103" s="35"/>
      <c r="GB103" s="36"/>
      <c r="GC103" s="37"/>
      <c r="GD103" s="30">
        <f t="shared" si="20"/>
        <v>0</v>
      </c>
      <c r="GE103" s="31" t="e">
        <f>GD103*#REF!</f>
        <v>#REF!</v>
      </c>
      <c r="GF103" s="32" t="e">
        <f>GD103*#REF!</f>
        <v>#REF!</v>
      </c>
      <c r="GH103" s="33"/>
      <c r="GI103" s="34"/>
      <c r="GJ103" s="35"/>
      <c r="GK103" s="36"/>
      <c r="GL103" s="37"/>
      <c r="GM103" s="30">
        <f t="shared" si="21"/>
        <v>0</v>
      </c>
      <c r="GN103" s="31" t="e">
        <f>GM103*#REF!</f>
        <v>#REF!</v>
      </c>
      <c r="GO103" s="32" t="e">
        <f>GM103*#REF!</f>
        <v>#REF!</v>
      </c>
      <c r="GQ103" s="38">
        <f>_xlfn.MAXIFS(I103:GO103,$I$5:$GO$5,"Staff #")</f>
        <v>0</v>
      </c>
      <c r="GR103" s="39">
        <v>0</v>
      </c>
    </row>
    <row r="104" spans="2:200" ht="15" x14ac:dyDescent="0.25">
      <c r="B104" s="22"/>
      <c r="C104" s="23"/>
      <c r="D104" s="24" t="str">
        <f>IF(C104="","",_xlfn.XLOOKUP(C104,'[3]Control Sheet'!$L$5:$L$104,'[3]Control Sheet'!$M$5:$M$104,"",0))</f>
        <v/>
      </c>
      <c r="E104" s="24" t="str">
        <f>IF(B104="","",_xlfn.XLOOKUP(B104,'[3]Control Sheet'!$D$5:$D$64,'[3]Control Sheet'!$F$5:$F$64,"",0))</f>
        <v/>
      </c>
      <c r="F104" s="24" t="str">
        <f>IF(B104="","",_xlfn.XLOOKUP(B104,'[3]Control Sheet'!$D$5:$D$64,'[3]Control Sheet'!$E$5:$E$64,"",0))</f>
        <v/>
      </c>
      <c r="I104" s="33"/>
      <c r="J104" s="34"/>
      <c r="K104" s="35"/>
      <c r="L104" s="36"/>
      <c r="M104" s="37"/>
      <c r="P104" s="33"/>
      <c r="Q104" s="34"/>
      <c r="R104" s="35"/>
      <c r="S104" s="36"/>
      <c r="T104" s="37"/>
      <c r="V104" s="33"/>
      <c r="W104" s="34"/>
      <c r="X104" s="35"/>
      <c r="Y104" s="36"/>
      <c r="Z104" s="37"/>
      <c r="AB104" s="33"/>
      <c r="AC104" s="34"/>
      <c r="AD104" s="35"/>
      <c r="AE104" s="36"/>
      <c r="AF104" s="37"/>
      <c r="AH104" s="33"/>
      <c r="AI104" s="34"/>
      <c r="AJ104" s="35"/>
      <c r="AK104" s="36"/>
      <c r="AL104" s="37"/>
      <c r="AN104" s="33"/>
      <c r="AO104" s="34"/>
      <c r="AP104" s="35"/>
      <c r="AQ104" s="36"/>
      <c r="AR104" s="37"/>
      <c r="AT104" s="33"/>
      <c r="AU104" s="34"/>
      <c r="AV104" s="35"/>
      <c r="AW104" s="36"/>
      <c r="AX104" s="37"/>
      <c r="AZ104" s="33"/>
      <c r="BA104" s="34"/>
      <c r="BB104" s="35"/>
      <c r="BC104" s="36"/>
      <c r="BD104" s="37"/>
      <c r="BF104" s="33"/>
      <c r="BG104" s="34"/>
      <c r="BH104" s="35"/>
      <c r="BI104" s="36"/>
      <c r="BJ104" s="37"/>
      <c r="BL104" s="33"/>
      <c r="BM104" s="34"/>
      <c r="BN104" s="35"/>
      <c r="BO104" s="36"/>
      <c r="BP104" s="37"/>
      <c r="BR104" s="33"/>
      <c r="BS104" s="34"/>
      <c r="BT104" s="35"/>
      <c r="BU104" s="36"/>
      <c r="BV104" s="37"/>
      <c r="BX104" s="33"/>
      <c r="BY104" s="34"/>
      <c r="BZ104" s="35"/>
      <c r="CA104" s="36"/>
      <c r="CB104" s="37"/>
      <c r="CD104" s="33"/>
      <c r="CE104" s="34"/>
      <c r="CF104" s="35"/>
      <c r="CG104" s="36"/>
      <c r="CH104" s="37"/>
      <c r="CJ104" s="33"/>
      <c r="CK104" s="34"/>
      <c r="CL104" s="35"/>
      <c r="CM104" s="36"/>
      <c r="CN104" s="37"/>
      <c r="CP104" s="33"/>
      <c r="CQ104" s="34"/>
      <c r="CR104" s="35"/>
      <c r="CS104" s="36"/>
      <c r="CT104" s="37"/>
      <c r="CV104" s="33"/>
      <c r="CW104" s="34"/>
      <c r="CX104" s="35"/>
      <c r="CY104" s="36"/>
      <c r="CZ104" s="37"/>
      <c r="DA104" s="30">
        <f t="shared" si="11"/>
        <v>0</v>
      </c>
      <c r="DB104" s="31" t="e">
        <f>DA104*#REF!</f>
        <v>#REF!</v>
      </c>
      <c r="DC104" s="32" t="e">
        <f>DA104*#REF!</f>
        <v>#REF!</v>
      </c>
      <c r="DE104" s="33"/>
      <c r="DF104" s="34"/>
      <c r="DG104" s="35"/>
      <c r="DH104" s="36"/>
      <c r="DI104" s="37"/>
      <c r="DJ104" s="30">
        <f t="shared" si="12"/>
        <v>0</v>
      </c>
      <c r="DK104" s="31" t="e">
        <f>DJ104*#REF!</f>
        <v>#REF!</v>
      </c>
      <c r="DL104" s="32" t="e">
        <f>DJ104*#REF!</f>
        <v>#REF!</v>
      </c>
      <c r="DN104" s="33"/>
      <c r="DO104" s="34"/>
      <c r="DP104" s="35"/>
      <c r="DQ104" s="36"/>
      <c r="DR104" s="37"/>
      <c r="DS104" s="30">
        <f t="shared" si="13"/>
        <v>0</v>
      </c>
      <c r="DT104" s="31" t="e">
        <f>DS104*#REF!</f>
        <v>#REF!</v>
      </c>
      <c r="DU104" s="32" t="e">
        <f>DS104*#REF!</f>
        <v>#REF!</v>
      </c>
      <c r="DW104" s="33"/>
      <c r="DX104" s="34"/>
      <c r="DY104" s="35"/>
      <c r="DZ104" s="36"/>
      <c r="EA104" s="37"/>
      <c r="EB104" s="30">
        <f t="shared" si="14"/>
        <v>0</v>
      </c>
      <c r="EC104" s="31" t="e">
        <f>EB104*#REF!</f>
        <v>#REF!</v>
      </c>
      <c r="ED104" s="32" t="e">
        <f>EB104*#REF!</f>
        <v>#REF!</v>
      </c>
      <c r="EF104" s="33"/>
      <c r="EG104" s="34"/>
      <c r="EH104" s="35"/>
      <c r="EI104" s="36"/>
      <c r="EJ104" s="37"/>
      <c r="EK104" s="30">
        <f t="shared" si="15"/>
        <v>0</v>
      </c>
      <c r="EL104" s="31" t="e">
        <f>EK104*#REF!</f>
        <v>#REF!</v>
      </c>
      <c r="EM104" s="32" t="e">
        <f>EK104*#REF!</f>
        <v>#REF!</v>
      </c>
      <c r="EO104" s="33"/>
      <c r="EP104" s="34"/>
      <c r="EQ104" s="35"/>
      <c r="ER104" s="36"/>
      <c r="ES104" s="37"/>
      <c r="ET104" s="30">
        <f t="shared" si="16"/>
        <v>0</v>
      </c>
      <c r="EU104" s="31" t="e">
        <f>ET104*#REF!</f>
        <v>#REF!</v>
      </c>
      <c r="EV104" s="32" t="e">
        <f>ET104*#REF!</f>
        <v>#REF!</v>
      </c>
      <c r="EX104" s="33"/>
      <c r="EY104" s="34"/>
      <c r="EZ104" s="35"/>
      <c r="FA104" s="36"/>
      <c r="FB104" s="37"/>
      <c r="FC104" s="30">
        <f t="shared" si="17"/>
        <v>0</v>
      </c>
      <c r="FD104" s="31" t="e">
        <f>FC104*#REF!</f>
        <v>#REF!</v>
      </c>
      <c r="FE104" s="32" t="e">
        <f>FC104*#REF!</f>
        <v>#REF!</v>
      </c>
      <c r="FG104" s="33"/>
      <c r="FH104" s="34"/>
      <c r="FI104" s="35"/>
      <c r="FJ104" s="36"/>
      <c r="FK104" s="37"/>
      <c r="FL104" s="30">
        <f t="shared" si="18"/>
        <v>0</v>
      </c>
      <c r="FM104" s="31" t="e">
        <f>FL104*#REF!</f>
        <v>#REF!</v>
      </c>
      <c r="FN104" s="32" t="e">
        <f>FL104*#REF!</f>
        <v>#REF!</v>
      </c>
      <c r="FP104" s="33"/>
      <c r="FQ104" s="34"/>
      <c r="FR104" s="35"/>
      <c r="FS104" s="36"/>
      <c r="FT104" s="37"/>
      <c r="FU104" s="30">
        <f t="shared" si="19"/>
        <v>0</v>
      </c>
      <c r="FV104" s="31" t="e">
        <f>FU104*#REF!</f>
        <v>#REF!</v>
      </c>
      <c r="FW104" s="32" t="e">
        <f>FU104*#REF!</f>
        <v>#REF!</v>
      </c>
      <c r="FY104" s="33"/>
      <c r="FZ104" s="34"/>
      <c r="GA104" s="35"/>
      <c r="GB104" s="36"/>
      <c r="GC104" s="37"/>
      <c r="GD104" s="30">
        <f t="shared" si="20"/>
        <v>0</v>
      </c>
      <c r="GE104" s="31" t="e">
        <f>GD104*#REF!</f>
        <v>#REF!</v>
      </c>
      <c r="GF104" s="32" t="e">
        <f>GD104*#REF!</f>
        <v>#REF!</v>
      </c>
      <c r="GH104" s="33"/>
      <c r="GI104" s="34"/>
      <c r="GJ104" s="35"/>
      <c r="GK104" s="36"/>
      <c r="GL104" s="37"/>
      <c r="GM104" s="30">
        <f t="shared" si="21"/>
        <v>0</v>
      </c>
      <c r="GN104" s="31" t="e">
        <f>GM104*#REF!</f>
        <v>#REF!</v>
      </c>
      <c r="GO104" s="32" t="e">
        <f>GM104*#REF!</f>
        <v>#REF!</v>
      </c>
      <c r="GQ104" s="38">
        <f>_xlfn.MAXIFS(I104:GO104,$I$5:$GO$5,"Staff #")</f>
        <v>0</v>
      </c>
      <c r="GR104" s="39">
        <v>0</v>
      </c>
    </row>
    <row r="105" spans="2:200" ht="15" x14ac:dyDescent="0.25">
      <c r="B105" s="22"/>
      <c r="C105" s="23"/>
      <c r="D105" s="24" t="str">
        <f>IF(C105="","",_xlfn.XLOOKUP(C105,'[3]Control Sheet'!$L$5:$L$104,'[3]Control Sheet'!$M$5:$M$104,"",0))</f>
        <v/>
      </c>
      <c r="E105" s="24" t="str">
        <f>IF(B105="","",_xlfn.XLOOKUP(B105,'[3]Control Sheet'!$D$5:$D$64,'[3]Control Sheet'!$F$5:$F$64,"",0))</f>
        <v/>
      </c>
      <c r="F105" s="24" t="str">
        <f>IF(B105="","",_xlfn.XLOOKUP(B105,'[3]Control Sheet'!$D$5:$D$64,'[3]Control Sheet'!$E$5:$E$64,"",0))</f>
        <v/>
      </c>
      <c r="I105" s="33"/>
      <c r="J105" s="34"/>
      <c r="K105" s="35"/>
      <c r="L105" s="36"/>
      <c r="M105" s="37"/>
      <c r="P105" s="33"/>
      <c r="Q105" s="34"/>
      <c r="R105" s="35"/>
      <c r="S105" s="36"/>
      <c r="T105" s="37"/>
      <c r="V105" s="33"/>
      <c r="W105" s="34"/>
      <c r="X105" s="35"/>
      <c r="Y105" s="36"/>
      <c r="Z105" s="37"/>
      <c r="AB105" s="33"/>
      <c r="AC105" s="34"/>
      <c r="AD105" s="35"/>
      <c r="AE105" s="36"/>
      <c r="AF105" s="37"/>
      <c r="AH105" s="33"/>
      <c r="AI105" s="34"/>
      <c r="AJ105" s="35"/>
      <c r="AK105" s="36"/>
      <c r="AL105" s="37"/>
      <c r="AN105" s="33"/>
      <c r="AO105" s="34"/>
      <c r="AP105" s="35"/>
      <c r="AQ105" s="36"/>
      <c r="AR105" s="37"/>
      <c r="AT105" s="33"/>
      <c r="AU105" s="34"/>
      <c r="AV105" s="35"/>
      <c r="AW105" s="36"/>
      <c r="AX105" s="37"/>
      <c r="AZ105" s="33"/>
      <c r="BA105" s="34"/>
      <c r="BB105" s="35"/>
      <c r="BC105" s="36"/>
      <c r="BD105" s="37"/>
      <c r="BF105" s="33"/>
      <c r="BG105" s="34"/>
      <c r="BH105" s="35"/>
      <c r="BI105" s="36"/>
      <c r="BJ105" s="37"/>
      <c r="BL105" s="33"/>
      <c r="BM105" s="34"/>
      <c r="BN105" s="35"/>
      <c r="BO105" s="36"/>
      <c r="BP105" s="37"/>
      <c r="BR105" s="33"/>
      <c r="BS105" s="34"/>
      <c r="BT105" s="35"/>
      <c r="BU105" s="36"/>
      <c r="BV105" s="37"/>
      <c r="BX105" s="33"/>
      <c r="BY105" s="34"/>
      <c r="BZ105" s="35"/>
      <c r="CA105" s="36"/>
      <c r="CB105" s="37"/>
      <c r="CD105" s="33"/>
      <c r="CE105" s="34"/>
      <c r="CF105" s="35"/>
      <c r="CG105" s="36"/>
      <c r="CH105" s="37"/>
      <c r="CJ105" s="33"/>
      <c r="CK105" s="34"/>
      <c r="CL105" s="35"/>
      <c r="CM105" s="36"/>
      <c r="CN105" s="37"/>
      <c r="CP105" s="33"/>
      <c r="CQ105" s="34"/>
      <c r="CR105" s="35"/>
      <c r="CS105" s="36"/>
      <c r="CT105" s="37"/>
      <c r="CV105" s="33"/>
      <c r="CW105" s="34"/>
      <c r="CX105" s="35"/>
      <c r="CY105" s="36"/>
      <c r="CZ105" s="37"/>
      <c r="DA105" s="30">
        <f t="shared" si="11"/>
        <v>0</v>
      </c>
      <c r="DB105" s="31" t="e">
        <f>DA105*#REF!</f>
        <v>#REF!</v>
      </c>
      <c r="DC105" s="32" t="e">
        <f>DA105*#REF!</f>
        <v>#REF!</v>
      </c>
      <c r="DE105" s="33"/>
      <c r="DF105" s="34"/>
      <c r="DG105" s="35"/>
      <c r="DH105" s="36"/>
      <c r="DI105" s="37"/>
      <c r="DJ105" s="30">
        <f t="shared" si="12"/>
        <v>0</v>
      </c>
      <c r="DK105" s="31" t="e">
        <f>DJ105*#REF!</f>
        <v>#REF!</v>
      </c>
      <c r="DL105" s="32" t="e">
        <f>DJ105*#REF!</f>
        <v>#REF!</v>
      </c>
      <c r="DN105" s="33"/>
      <c r="DO105" s="34"/>
      <c r="DP105" s="35"/>
      <c r="DQ105" s="36"/>
      <c r="DR105" s="37"/>
      <c r="DS105" s="30">
        <f t="shared" si="13"/>
        <v>0</v>
      </c>
      <c r="DT105" s="31" t="e">
        <f>DS105*#REF!</f>
        <v>#REF!</v>
      </c>
      <c r="DU105" s="32" t="e">
        <f>DS105*#REF!</f>
        <v>#REF!</v>
      </c>
      <c r="DW105" s="33"/>
      <c r="DX105" s="34"/>
      <c r="DY105" s="35"/>
      <c r="DZ105" s="36"/>
      <c r="EA105" s="37"/>
      <c r="EB105" s="30">
        <f t="shared" si="14"/>
        <v>0</v>
      </c>
      <c r="EC105" s="31" t="e">
        <f>EB105*#REF!</f>
        <v>#REF!</v>
      </c>
      <c r="ED105" s="32" t="e">
        <f>EB105*#REF!</f>
        <v>#REF!</v>
      </c>
      <c r="EF105" s="33"/>
      <c r="EG105" s="34"/>
      <c r="EH105" s="35"/>
      <c r="EI105" s="36"/>
      <c r="EJ105" s="37"/>
      <c r="EK105" s="30">
        <f t="shared" si="15"/>
        <v>0</v>
      </c>
      <c r="EL105" s="31" t="e">
        <f>EK105*#REF!</f>
        <v>#REF!</v>
      </c>
      <c r="EM105" s="32" t="e">
        <f>EK105*#REF!</f>
        <v>#REF!</v>
      </c>
      <c r="EO105" s="33"/>
      <c r="EP105" s="34"/>
      <c r="EQ105" s="35"/>
      <c r="ER105" s="36"/>
      <c r="ES105" s="37"/>
      <c r="ET105" s="30">
        <f t="shared" si="16"/>
        <v>0</v>
      </c>
      <c r="EU105" s="31" t="e">
        <f>ET105*#REF!</f>
        <v>#REF!</v>
      </c>
      <c r="EV105" s="32" t="e">
        <f>ET105*#REF!</f>
        <v>#REF!</v>
      </c>
      <c r="EX105" s="33"/>
      <c r="EY105" s="34"/>
      <c r="EZ105" s="35"/>
      <c r="FA105" s="36"/>
      <c r="FB105" s="37"/>
      <c r="FC105" s="30">
        <f t="shared" si="17"/>
        <v>0</v>
      </c>
      <c r="FD105" s="31" t="e">
        <f>FC105*#REF!</f>
        <v>#REF!</v>
      </c>
      <c r="FE105" s="32" t="e">
        <f>FC105*#REF!</f>
        <v>#REF!</v>
      </c>
      <c r="FG105" s="33"/>
      <c r="FH105" s="34"/>
      <c r="FI105" s="35"/>
      <c r="FJ105" s="36"/>
      <c r="FK105" s="37"/>
      <c r="FL105" s="30">
        <f t="shared" si="18"/>
        <v>0</v>
      </c>
      <c r="FM105" s="31" t="e">
        <f>FL105*#REF!</f>
        <v>#REF!</v>
      </c>
      <c r="FN105" s="32" t="e">
        <f>FL105*#REF!</f>
        <v>#REF!</v>
      </c>
      <c r="FP105" s="33"/>
      <c r="FQ105" s="34"/>
      <c r="FR105" s="35"/>
      <c r="FS105" s="36"/>
      <c r="FT105" s="37"/>
      <c r="FU105" s="30">
        <f t="shared" si="19"/>
        <v>0</v>
      </c>
      <c r="FV105" s="31" t="e">
        <f>FU105*#REF!</f>
        <v>#REF!</v>
      </c>
      <c r="FW105" s="32" t="e">
        <f>FU105*#REF!</f>
        <v>#REF!</v>
      </c>
      <c r="FY105" s="33"/>
      <c r="FZ105" s="34"/>
      <c r="GA105" s="35"/>
      <c r="GB105" s="36"/>
      <c r="GC105" s="37"/>
      <c r="GD105" s="30">
        <f t="shared" si="20"/>
        <v>0</v>
      </c>
      <c r="GE105" s="31" t="e">
        <f>GD105*#REF!</f>
        <v>#REF!</v>
      </c>
      <c r="GF105" s="32" t="e">
        <f>GD105*#REF!</f>
        <v>#REF!</v>
      </c>
      <c r="GH105" s="33"/>
      <c r="GI105" s="34"/>
      <c r="GJ105" s="35"/>
      <c r="GK105" s="36"/>
      <c r="GL105" s="37"/>
      <c r="GM105" s="30">
        <f t="shared" si="21"/>
        <v>0</v>
      </c>
      <c r="GN105" s="31" t="e">
        <f>GM105*#REF!</f>
        <v>#REF!</v>
      </c>
      <c r="GO105" s="32" t="e">
        <f>GM105*#REF!</f>
        <v>#REF!</v>
      </c>
      <c r="GQ105" s="38">
        <f>_xlfn.MAXIFS(I105:GO105,$I$5:$GO$5,"Staff #")</f>
        <v>0</v>
      </c>
      <c r="GR105" s="39">
        <v>0</v>
      </c>
    </row>
    <row r="106" spans="2:200" ht="15" x14ac:dyDescent="0.25">
      <c r="B106" s="22"/>
      <c r="C106" s="23"/>
      <c r="D106" s="24" t="str">
        <f>IF(C106="","",_xlfn.XLOOKUP(C106,'[3]Control Sheet'!$L$5:$L$104,'[3]Control Sheet'!$M$5:$M$104,"",0))</f>
        <v/>
      </c>
      <c r="E106" s="24" t="str">
        <f>IF(B106="","",_xlfn.XLOOKUP(B106,'[3]Control Sheet'!$D$5:$D$64,'[3]Control Sheet'!$F$5:$F$64,"",0))</f>
        <v/>
      </c>
      <c r="F106" s="24" t="str">
        <f>IF(B106="","",_xlfn.XLOOKUP(B106,'[3]Control Sheet'!$D$5:$D$64,'[3]Control Sheet'!$E$5:$E$64,"",0))</f>
        <v/>
      </c>
      <c r="I106" s="33"/>
      <c r="J106" s="34"/>
      <c r="K106" s="35"/>
      <c r="L106" s="36"/>
      <c r="M106" s="37"/>
      <c r="P106" s="33"/>
      <c r="Q106" s="34"/>
      <c r="R106" s="35"/>
      <c r="S106" s="36"/>
      <c r="T106" s="37"/>
      <c r="V106" s="33"/>
      <c r="W106" s="34"/>
      <c r="X106" s="35"/>
      <c r="Y106" s="36"/>
      <c r="Z106" s="37"/>
      <c r="AB106" s="33"/>
      <c r="AC106" s="34"/>
      <c r="AD106" s="35"/>
      <c r="AE106" s="36"/>
      <c r="AF106" s="37"/>
      <c r="AH106" s="33"/>
      <c r="AI106" s="34"/>
      <c r="AJ106" s="35"/>
      <c r="AK106" s="36"/>
      <c r="AL106" s="37"/>
      <c r="AN106" s="33"/>
      <c r="AO106" s="34"/>
      <c r="AP106" s="35"/>
      <c r="AQ106" s="36"/>
      <c r="AR106" s="37"/>
      <c r="AT106" s="33"/>
      <c r="AU106" s="34"/>
      <c r="AV106" s="35"/>
      <c r="AW106" s="36"/>
      <c r="AX106" s="37"/>
      <c r="AZ106" s="33"/>
      <c r="BA106" s="34"/>
      <c r="BB106" s="35"/>
      <c r="BC106" s="36"/>
      <c r="BD106" s="37"/>
      <c r="BF106" s="33"/>
      <c r="BG106" s="34"/>
      <c r="BH106" s="35"/>
      <c r="BI106" s="36"/>
      <c r="BJ106" s="37"/>
      <c r="BL106" s="33"/>
      <c r="BM106" s="34"/>
      <c r="BN106" s="35"/>
      <c r="BO106" s="36"/>
      <c r="BP106" s="37"/>
      <c r="BR106" s="33"/>
      <c r="BS106" s="34"/>
      <c r="BT106" s="35"/>
      <c r="BU106" s="36"/>
      <c r="BV106" s="37"/>
      <c r="BX106" s="33"/>
      <c r="BY106" s="34"/>
      <c r="BZ106" s="35"/>
      <c r="CA106" s="36"/>
      <c r="CB106" s="37"/>
      <c r="CD106" s="33"/>
      <c r="CE106" s="34"/>
      <c r="CF106" s="35"/>
      <c r="CG106" s="36"/>
      <c r="CH106" s="37"/>
      <c r="CJ106" s="33"/>
      <c r="CK106" s="34"/>
      <c r="CL106" s="35"/>
      <c r="CM106" s="36"/>
      <c r="CN106" s="37"/>
      <c r="CP106" s="33"/>
      <c r="CQ106" s="34"/>
      <c r="CR106" s="35"/>
      <c r="CS106" s="36"/>
      <c r="CT106" s="37"/>
      <c r="CV106" s="33"/>
      <c r="CW106" s="34"/>
      <c r="CX106" s="35"/>
      <c r="CY106" s="36"/>
      <c r="CZ106" s="37"/>
      <c r="DA106" s="30">
        <f t="shared" si="11"/>
        <v>0</v>
      </c>
      <c r="DB106" s="31" t="e">
        <f>DA106*#REF!</f>
        <v>#REF!</v>
      </c>
      <c r="DC106" s="32" t="e">
        <f>DA106*#REF!</f>
        <v>#REF!</v>
      </c>
      <c r="DE106" s="33"/>
      <c r="DF106" s="34"/>
      <c r="DG106" s="35"/>
      <c r="DH106" s="36"/>
      <c r="DI106" s="37"/>
      <c r="DJ106" s="30">
        <f t="shared" si="12"/>
        <v>0</v>
      </c>
      <c r="DK106" s="31" t="e">
        <f>DJ106*#REF!</f>
        <v>#REF!</v>
      </c>
      <c r="DL106" s="32" t="e">
        <f>DJ106*#REF!</f>
        <v>#REF!</v>
      </c>
      <c r="DN106" s="33"/>
      <c r="DO106" s="34"/>
      <c r="DP106" s="35"/>
      <c r="DQ106" s="36"/>
      <c r="DR106" s="37"/>
      <c r="DS106" s="30">
        <f t="shared" si="13"/>
        <v>0</v>
      </c>
      <c r="DT106" s="31" t="e">
        <f>DS106*#REF!</f>
        <v>#REF!</v>
      </c>
      <c r="DU106" s="32" t="e">
        <f>DS106*#REF!</f>
        <v>#REF!</v>
      </c>
      <c r="DW106" s="33"/>
      <c r="DX106" s="34"/>
      <c r="DY106" s="35"/>
      <c r="DZ106" s="36"/>
      <c r="EA106" s="37"/>
      <c r="EB106" s="30">
        <f t="shared" si="14"/>
        <v>0</v>
      </c>
      <c r="EC106" s="31" t="e">
        <f>EB106*#REF!</f>
        <v>#REF!</v>
      </c>
      <c r="ED106" s="32" t="e">
        <f>EB106*#REF!</f>
        <v>#REF!</v>
      </c>
      <c r="EF106" s="33"/>
      <c r="EG106" s="34"/>
      <c r="EH106" s="35"/>
      <c r="EI106" s="36"/>
      <c r="EJ106" s="37"/>
      <c r="EK106" s="30">
        <f t="shared" si="15"/>
        <v>0</v>
      </c>
      <c r="EL106" s="31" t="e">
        <f>EK106*#REF!</f>
        <v>#REF!</v>
      </c>
      <c r="EM106" s="32" t="e">
        <f>EK106*#REF!</f>
        <v>#REF!</v>
      </c>
      <c r="EO106" s="33"/>
      <c r="EP106" s="34"/>
      <c r="EQ106" s="35"/>
      <c r="ER106" s="36"/>
      <c r="ES106" s="37"/>
      <c r="ET106" s="30">
        <f t="shared" si="16"/>
        <v>0</v>
      </c>
      <c r="EU106" s="31" t="e">
        <f>ET106*#REF!</f>
        <v>#REF!</v>
      </c>
      <c r="EV106" s="32" t="e">
        <f>ET106*#REF!</f>
        <v>#REF!</v>
      </c>
      <c r="EX106" s="33"/>
      <c r="EY106" s="34"/>
      <c r="EZ106" s="35"/>
      <c r="FA106" s="36"/>
      <c r="FB106" s="37"/>
      <c r="FC106" s="30">
        <f t="shared" si="17"/>
        <v>0</v>
      </c>
      <c r="FD106" s="31" t="e">
        <f>FC106*#REF!</f>
        <v>#REF!</v>
      </c>
      <c r="FE106" s="32" t="e">
        <f>FC106*#REF!</f>
        <v>#REF!</v>
      </c>
      <c r="FG106" s="33"/>
      <c r="FH106" s="34"/>
      <c r="FI106" s="35"/>
      <c r="FJ106" s="36"/>
      <c r="FK106" s="37"/>
      <c r="FL106" s="30">
        <f t="shared" si="18"/>
        <v>0</v>
      </c>
      <c r="FM106" s="31" t="e">
        <f>FL106*#REF!</f>
        <v>#REF!</v>
      </c>
      <c r="FN106" s="32" t="e">
        <f>FL106*#REF!</f>
        <v>#REF!</v>
      </c>
      <c r="FP106" s="33"/>
      <c r="FQ106" s="34"/>
      <c r="FR106" s="35"/>
      <c r="FS106" s="36"/>
      <c r="FT106" s="37"/>
      <c r="FU106" s="30">
        <f t="shared" si="19"/>
        <v>0</v>
      </c>
      <c r="FV106" s="31" t="e">
        <f>FU106*#REF!</f>
        <v>#REF!</v>
      </c>
      <c r="FW106" s="32" t="e">
        <f>FU106*#REF!</f>
        <v>#REF!</v>
      </c>
      <c r="FY106" s="33"/>
      <c r="FZ106" s="34"/>
      <c r="GA106" s="35"/>
      <c r="GB106" s="36"/>
      <c r="GC106" s="37"/>
      <c r="GD106" s="30">
        <f t="shared" si="20"/>
        <v>0</v>
      </c>
      <c r="GE106" s="31" t="e">
        <f>GD106*#REF!</f>
        <v>#REF!</v>
      </c>
      <c r="GF106" s="32" t="e">
        <f>GD106*#REF!</f>
        <v>#REF!</v>
      </c>
      <c r="GH106" s="33"/>
      <c r="GI106" s="34"/>
      <c r="GJ106" s="35"/>
      <c r="GK106" s="36"/>
      <c r="GL106" s="37"/>
      <c r="GM106" s="30">
        <f t="shared" si="21"/>
        <v>0</v>
      </c>
      <c r="GN106" s="31" t="e">
        <f>GM106*#REF!</f>
        <v>#REF!</v>
      </c>
      <c r="GO106" s="32" t="e">
        <f>GM106*#REF!</f>
        <v>#REF!</v>
      </c>
      <c r="GQ106" s="38">
        <f>_xlfn.MAXIFS(I106:GO106,$I$5:$GO$5,"Staff #")</f>
        <v>0</v>
      </c>
      <c r="GR106" s="39">
        <v>0</v>
      </c>
    </row>
    <row r="107" spans="2:200" ht="15" x14ac:dyDescent="0.25">
      <c r="B107" s="22"/>
      <c r="C107" s="23"/>
      <c r="D107" s="24" t="str">
        <f>IF(C107="","",_xlfn.XLOOKUP(C107,'[3]Control Sheet'!$L$5:$L$104,'[3]Control Sheet'!$M$5:$M$104,"",0))</f>
        <v/>
      </c>
      <c r="E107" s="24" t="str">
        <f>IF(B107="","",_xlfn.XLOOKUP(B107,'[3]Control Sheet'!$D$5:$D$64,'[3]Control Sheet'!$F$5:$F$64,"",0))</f>
        <v/>
      </c>
      <c r="F107" s="24" t="str">
        <f>IF(B107="","",_xlfn.XLOOKUP(B107,'[3]Control Sheet'!$D$5:$D$64,'[3]Control Sheet'!$E$5:$E$64,"",0))</f>
        <v/>
      </c>
      <c r="I107" s="33"/>
      <c r="J107" s="34"/>
      <c r="K107" s="35"/>
      <c r="L107" s="36"/>
      <c r="M107" s="37"/>
      <c r="P107" s="33"/>
      <c r="Q107" s="34"/>
      <c r="R107" s="35"/>
      <c r="S107" s="36"/>
      <c r="T107" s="37"/>
      <c r="V107" s="33"/>
      <c r="W107" s="34"/>
      <c r="X107" s="35"/>
      <c r="Y107" s="36"/>
      <c r="Z107" s="37"/>
      <c r="AB107" s="33"/>
      <c r="AC107" s="34"/>
      <c r="AD107" s="35"/>
      <c r="AE107" s="36"/>
      <c r="AF107" s="37"/>
      <c r="AH107" s="33"/>
      <c r="AI107" s="34"/>
      <c r="AJ107" s="35"/>
      <c r="AK107" s="36"/>
      <c r="AL107" s="37"/>
      <c r="AN107" s="33"/>
      <c r="AO107" s="34"/>
      <c r="AP107" s="35"/>
      <c r="AQ107" s="36"/>
      <c r="AR107" s="37"/>
      <c r="AT107" s="33"/>
      <c r="AU107" s="34"/>
      <c r="AV107" s="35"/>
      <c r="AW107" s="36"/>
      <c r="AX107" s="37"/>
      <c r="AZ107" s="33"/>
      <c r="BA107" s="34"/>
      <c r="BB107" s="35"/>
      <c r="BC107" s="36"/>
      <c r="BD107" s="37"/>
      <c r="BF107" s="33"/>
      <c r="BG107" s="34"/>
      <c r="BH107" s="35"/>
      <c r="BI107" s="36"/>
      <c r="BJ107" s="37"/>
      <c r="BL107" s="33"/>
      <c r="BM107" s="34"/>
      <c r="BN107" s="35"/>
      <c r="BO107" s="36"/>
      <c r="BP107" s="37"/>
      <c r="BR107" s="33"/>
      <c r="BS107" s="34"/>
      <c r="BT107" s="35"/>
      <c r="BU107" s="36"/>
      <c r="BV107" s="37"/>
      <c r="BX107" s="33"/>
      <c r="BY107" s="34"/>
      <c r="BZ107" s="35"/>
      <c r="CA107" s="36"/>
      <c r="CB107" s="37"/>
      <c r="CD107" s="33"/>
      <c r="CE107" s="34"/>
      <c r="CF107" s="35"/>
      <c r="CG107" s="36"/>
      <c r="CH107" s="37"/>
      <c r="CJ107" s="33"/>
      <c r="CK107" s="34"/>
      <c r="CL107" s="35"/>
      <c r="CM107" s="36"/>
      <c r="CN107" s="37"/>
      <c r="CP107" s="33"/>
      <c r="CQ107" s="34"/>
      <c r="CR107" s="35"/>
      <c r="CS107" s="36"/>
      <c r="CT107" s="37"/>
      <c r="CV107" s="33"/>
      <c r="CW107" s="34"/>
      <c r="CX107" s="35"/>
      <c r="CY107" s="36"/>
      <c r="CZ107" s="37"/>
      <c r="DA107" s="30">
        <f t="shared" si="11"/>
        <v>0</v>
      </c>
      <c r="DB107" s="31" t="e">
        <f>DA107*#REF!</f>
        <v>#REF!</v>
      </c>
      <c r="DC107" s="32" t="e">
        <f>DA107*#REF!</f>
        <v>#REF!</v>
      </c>
      <c r="DE107" s="33"/>
      <c r="DF107" s="34"/>
      <c r="DG107" s="35"/>
      <c r="DH107" s="36"/>
      <c r="DI107" s="37"/>
      <c r="DJ107" s="30">
        <f t="shared" si="12"/>
        <v>0</v>
      </c>
      <c r="DK107" s="31" t="e">
        <f>DJ107*#REF!</f>
        <v>#REF!</v>
      </c>
      <c r="DL107" s="32" t="e">
        <f>DJ107*#REF!</f>
        <v>#REF!</v>
      </c>
      <c r="DN107" s="33"/>
      <c r="DO107" s="34"/>
      <c r="DP107" s="35"/>
      <c r="DQ107" s="36"/>
      <c r="DR107" s="37"/>
      <c r="DS107" s="30">
        <f t="shared" si="13"/>
        <v>0</v>
      </c>
      <c r="DT107" s="31" t="e">
        <f>DS107*#REF!</f>
        <v>#REF!</v>
      </c>
      <c r="DU107" s="32" t="e">
        <f>DS107*#REF!</f>
        <v>#REF!</v>
      </c>
      <c r="DW107" s="33"/>
      <c r="DX107" s="34"/>
      <c r="DY107" s="35"/>
      <c r="DZ107" s="36"/>
      <c r="EA107" s="37"/>
      <c r="EB107" s="30">
        <f t="shared" si="14"/>
        <v>0</v>
      </c>
      <c r="EC107" s="31" t="e">
        <f>EB107*#REF!</f>
        <v>#REF!</v>
      </c>
      <c r="ED107" s="32" t="e">
        <f>EB107*#REF!</f>
        <v>#REF!</v>
      </c>
      <c r="EF107" s="33"/>
      <c r="EG107" s="34"/>
      <c r="EH107" s="35"/>
      <c r="EI107" s="36"/>
      <c r="EJ107" s="37"/>
      <c r="EK107" s="30">
        <f t="shared" si="15"/>
        <v>0</v>
      </c>
      <c r="EL107" s="31" t="e">
        <f>EK107*#REF!</f>
        <v>#REF!</v>
      </c>
      <c r="EM107" s="32" t="e">
        <f>EK107*#REF!</f>
        <v>#REF!</v>
      </c>
      <c r="EO107" s="33"/>
      <c r="EP107" s="34"/>
      <c r="EQ107" s="35"/>
      <c r="ER107" s="36"/>
      <c r="ES107" s="37"/>
      <c r="ET107" s="30">
        <f t="shared" si="16"/>
        <v>0</v>
      </c>
      <c r="EU107" s="31" t="e">
        <f>ET107*#REF!</f>
        <v>#REF!</v>
      </c>
      <c r="EV107" s="32" t="e">
        <f>ET107*#REF!</f>
        <v>#REF!</v>
      </c>
      <c r="EX107" s="33"/>
      <c r="EY107" s="34"/>
      <c r="EZ107" s="35"/>
      <c r="FA107" s="36"/>
      <c r="FB107" s="37"/>
      <c r="FC107" s="30">
        <f t="shared" si="17"/>
        <v>0</v>
      </c>
      <c r="FD107" s="31" t="e">
        <f>FC107*#REF!</f>
        <v>#REF!</v>
      </c>
      <c r="FE107" s="32" t="e">
        <f>FC107*#REF!</f>
        <v>#REF!</v>
      </c>
      <c r="FG107" s="33"/>
      <c r="FH107" s="34"/>
      <c r="FI107" s="35"/>
      <c r="FJ107" s="36"/>
      <c r="FK107" s="37"/>
      <c r="FL107" s="30">
        <f t="shared" si="18"/>
        <v>0</v>
      </c>
      <c r="FM107" s="31" t="e">
        <f>FL107*#REF!</f>
        <v>#REF!</v>
      </c>
      <c r="FN107" s="32" t="e">
        <f>FL107*#REF!</f>
        <v>#REF!</v>
      </c>
      <c r="FP107" s="33"/>
      <c r="FQ107" s="34"/>
      <c r="FR107" s="35"/>
      <c r="FS107" s="36"/>
      <c r="FT107" s="37"/>
      <c r="FU107" s="30">
        <f t="shared" si="19"/>
        <v>0</v>
      </c>
      <c r="FV107" s="31" t="e">
        <f>FU107*#REF!</f>
        <v>#REF!</v>
      </c>
      <c r="FW107" s="32" t="e">
        <f>FU107*#REF!</f>
        <v>#REF!</v>
      </c>
      <c r="FY107" s="33"/>
      <c r="FZ107" s="34"/>
      <c r="GA107" s="35"/>
      <c r="GB107" s="36"/>
      <c r="GC107" s="37"/>
      <c r="GD107" s="30">
        <f t="shared" si="20"/>
        <v>0</v>
      </c>
      <c r="GE107" s="31" t="e">
        <f>GD107*#REF!</f>
        <v>#REF!</v>
      </c>
      <c r="GF107" s="32" t="e">
        <f>GD107*#REF!</f>
        <v>#REF!</v>
      </c>
      <c r="GH107" s="33"/>
      <c r="GI107" s="34"/>
      <c r="GJ107" s="35"/>
      <c r="GK107" s="36"/>
      <c r="GL107" s="37"/>
      <c r="GM107" s="30">
        <f t="shared" si="21"/>
        <v>0</v>
      </c>
      <c r="GN107" s="31" t="e">
        <f>GM107*#REF!</f>
        <v>#REF!</v>
      </c>
      <c r="GO107" s="32" t="e">
        <f>GM107*#REF!</f>
        <v>#REF!</v>
      </c>
      <c r="GQ107" s="38">
        <f>_xlfn.MAXIFS(I107:GO107,$I$5:$GO$5,"Staff #")</f>
        <v>0</v>
      </c>
      <c r="GR107" s="39">
        <v>0</v>
      </c>
    </row>
    <row r="108" spans="2:200" ht="15" x14ac:dyDescent="0.25">
      <c r="B108" s="22"/>
      <c r="C108" s="23"/>
      <c r="D108" s="24" t="str">
        <f>IF(C108="","",_xlfn.XLOOKUP(C108,'[3]Control Sheet'!$L$5:$L$104,'[3]Control Sheet'!$M$5:$M$104,"",0))</f>
        <v/>
      </c>
      <c r="E108" s="24" t="str">
        <f>IF(B108="","",_xlfn.XLOOKUP(B108,'[3]Control Sheet'!$D$5:$D$64,'[3]Control Sheet'!$F$5:$F$64,"",0))</f>
        <v/>
      </c>
      <c r="F108" s="24" t="str">
        <f>IF(B108="","",_xlfn.XLOOKUP(B108,'[3]Control Sheet'!$D$5:$D$64,'[3]Control Sheet'!$E$5:$E$64,"",0))</f>
        <v/>
      </c>
      <c r="I108" s="33"/>
      <c r="J108" s="34"/>
      <c r="K108" s="35"/>
      <c r="L108" s="36"/>
      <c r="M108" s="37"/>
      <c r="P108" s="33"/>
      <c r="Q108" s="34"/>
      <c r="R108" s="35"/>
      <c r="S108" s="36"/>
      <c r="T108" s="37"/>
      <c r="V108" s="33"/>
      <c r="W108" s="34"/>
      <c r="X108" s="35"/>
      <c r="Y108" s="36"/>
      <c r="Z108" s="37"/>
      <c r="AB108" s="33"/>
      <c r="AC108" s="34"/>
      <c r="AD108" s="35"/>
      <c r="AE108" s="36"/>
      <c r="AF108" s="37"/>
      <c r="AH108" s="33"/>
      <c r="AI108" s="34"/>
      <c r="AJ108" s="35"/>
      <c r="AK108" s="36"/>
      <c r="AL108" s="37"/>
      <c r="AN108" s="33"/>
      <c r="AO108" s="34"/>
      <c r="AP108" s="35"/>
      <c r="AQ108" s="36"/>
      <c r="AR108" s="37"/>
      <c r="AT108" s="33"/>
      <c r="AU108" s="34"/>
      <c r="AV108" s="35"/>
      <c r="AW108" s="36"/>
      <c r="AX108" s="37"/>
      <c r="AZ108" s="33"/>
      <c r="BA108" s="34"/>
      <c r="BB108" s="35"/>
      <c r="BC108" s="36"/>
      <c r="BD108" s="37"/>
      <c r="BF108" s="33"/>
      <c r="BG108" s="34"/>
      <c r="BH108" s="35"/>
      <c r="BI108" s="36"/>
      <c r="BJ108" s="37"/>
      <c r="BL108" s="33"/>
      <c r="BM108" s="34"/>
      <c r="BN108" s="35"/>
      <c r="BO108" s="36"/>
      <c r="BP108" s="37"/>
      <c r="BR108" s="33"/>
      <c r="BS108" s="34"/>
      <c r="BT108" s="35"/>
      <c r="BU108" s="36"/>
      <c r="BV108" s="37"/>
      <c r="BX108" s="33"/>
      <c r="BY108" s="34"/>
      <c r="BZ108" s="35"/>
      <c r="CA108" s="36"/>
      <c r="CB108" s="37"/>
      <c r="CD108" s="33"/>
      <c r="CE108" s="34"/>
      <c r="CF108" s="35"/>
      <c r="CG108" s="36"/>
      <c r="CH108" s="37"/>
      <c r="CJ108" s="33"/>
      <c r="CK108" s="34"/>
      <c r="CL108" s="35"/>
      <c r="CM108" s="36"/>
      <c r="CN108" s="37"/>
      <c r="CP108" s="33"/>
      <c r="CQ108" s="34"/>
      <c r="CR108" s="35"/>
      <c r="CS108" s="36"/>
      <c r="CT108" s="37"/>
      <c r="CV108" s="33"/>
      <c r="CW108" s="34"/>
      <c r="CX108" s="35"/>
      <c r="CY108" s="36"/>
      <c r="CZ108" s="37"/>
      <c r="DA108" s="30">
        <f t="shared" si="11"/>
        <v>0</v>
      </c>
      <c r="DB108" s="31" t="e">
        <f>DA108*#REF!</f>
        <v>#REF!</v>
      </c>
      <c r="DC108" s="32" t="e">
        <f>DA108*#REF!</f>
        <v>#REF!</v>
      </c>
      <c r="DE108" s="33"/>
      <c r="DF108" s="34"/>
      <c r="DG108" s="35"/>
      <c r="DH108" s="36"/>
      <c r="DI108" s="37"/>
      <c r="DJ108" s="30">
        <f t="shared" si="12"/>
        <v>0</v>
      </c>
      <c r="DK108" s="31" t="e">
        <f>DJ108*#REF!</f>
        <v>#REF!</v>
      </c>
      <c r="DL108" s="32" t="e">
        <f>DJ108*#REF!</f>
        <v>#REF!</v>
      </c>
      <c r="DN108" s="33"/>
      <c r="DO108" s="34"/>
      <c r="DP108" s="35"/>
      <c r="DQ108" s="36"/>
      <c r="DR108" s="37"/>
      <c r="DS108" s="30">
        <f t="shared" si="13"/>
        <v>0</v>
      </c>
      <c r="DT108" s="31" t="e">
        <f>DS108*#REF!</f>
        <v>#REF!</v>
      </c>
      <c r="DU108" s="32" t="e">
        <f>DS108*#REF!</f>
        <v>#REF!</v>
      </c>
      <c r="DW108" s="33"/>
      <c r="DX108" s="34"/>
      <c r="DY108" s="35"/>
      <c r="DZ108" s="36"/>
      <c r="EA108" s="37"/>
      <c r="EB108" s="30">
        <f t="shared" si="14"/>
        <v>0</v>
      </c>
      <c r="EC108" s="31" t="e">
        <f>EB108*#REF!</f>
        <v>#REF!</v>
      </c>
      <c r="ED108" s="32" t="e">
        <f>EB108*#REF!</f>
        <v>#REF!</v>
      </c>
      <c r="EF108" s="33"/>
      <c r="EG108" s="34"/>
      <c r="EH108" s="35"/>
      <c r="EI108" s="36"/>
      <c r="EJ108" s="37"/>
      <c r="EK108" s="30">
        <f t="shared" si="15"/>
        <v>0</v>
      </c>
      <c r="EL108" s="31" t="e">
        <f>EK108*#REF!</f>
        <v>#REF!</v>
      </c>
      <c r="EM108" s="32" t="e">
        <f>EK108*#REF!</f>
        <v>#REF!</v>
      </c>
      <c r="EO108" s="33"/>
      <c r="EP108" s="34"/>
      <c r="EQ108" s="35"/>
      <c r="ER108" s="36"/>
      <c r="ES108" s="37"/>
      <c r="ET108" s="30">
        <f t="shared" si="16"/>
        <v>0</v>
      </c>
      <c r="EU108" s="31" t="e">
        <f>ET108*#REF!</f>
        <v>#REF!</v>
      </c>
      <c r="EV108" s="32" t="e">
        <f>ET108*#REF!</f>
        <v>#REF!</v>
      </c>
      <c r="EX108" s="33"/>
      <c r="EY108" s="34"/>
      <c r="EZ108" s="35"/>
      <c r="FA108" s="36"/>
      <c r="FB108" s="37"/>
      <c r="FC108" s="30">
        <f t="shared" si="17"/>
        <v>0</v>
      </c>
      <c r="FD108" s="31" t="e">
        <f>FC108*#REF!</f>
        <v>#REF!</v>
      </c>
      <c r="FE108" s="32" t="e">
        <f>FC108*#REF!</f>
        <v>#REF!</v>
      </c>
      <c r="FG108" s="33"/>
      <c r="FH108" s="34"/>
      <c r="FI108" s="35"/>
      <c r="FJ108" s="36"/>
      <c r="FK108" s="37"/>
      <c r="FL108" s="30">
        <f t="shared" si="18"/>
        <v>0</v>
      </c>
      <c r="FM108" s="31" t="e">
        <f>FL108*#REF!</f>
        <v>#REF!</v>
      </c>
      <c r="FN108" s="32" t="e">
        <f>FL108*#REF!</f>
        <v>#REF!</v>
      </c>
      <c r="FP108" s="33"/>
      <c r="FQ108" s="34"/>
      <c r="FR108" s="35"/>
      <c r="FS108" s="36"/>
      <c r="FT108" s="37"/>
      <c r="FU108" s="30">
        <f t="shared" si="19"/>
        <v>0</v>
      </c>
      <c r="FV108" s="31" t="e">
        <f>FU108*#REF!</f>
        <v>#REF!</v>
      </c>
      <c r="FW108" s="32" t="e">
        <f>FU108*#REF!</f>
        <v>#REF!</v>
      </c>
      <c r="FY108" s="33"/>
      <c r="FZ108" s="34"/>
      <c r="GA108" s="35"/>
      <c r="GB108" s="36"/>
      <c r="GC108" s="37"/>
      <c r="GD108" s="30">
        <f t="shared" si="20"/>
        <v>0</v>
      </c>
      <c r="GE108" s="31" t="e">
        <f>GD108*#REF!</f>
        <v>#REF!</v>
      </c>
      <c r="GF108" s="32" t="e">
        <f>GD108*#REF!</f>
        <v>#REF!</v>
      </c>
      <c r="GH108" s="33"/>
      <c r="GI108" s="34"/>
      <c r="GJ108" s="35"/>
      <c r="GK108" s="36"/>
      <c r="GL108" s="37"/>
      <c r="GM108" s="30">
        <f t="shared" si="21"/>
        <v>0</v>
      </c>
      <c r="GN108" s="31" t="e">
        <f>GM108*#REF!</f>
        <v>#REF!</v>
      </c>
      <c r="GO108" s="32" t="e">
        <f>GM108*#REF!</f>
        <v>#REF!</v>
      </c>
      <c r="GQ108" s="38">
        <f>_xlfn.MAXIFS(I108:GO108,$I$5:$GO$5,"Staff #")</f>
        <v>0</v>
      </c>
      <c r="GR108" s="39">
        <v>0</v>
      </c>
    </row>
    <row r="109" spans="2:200" ht="15" x14ac:dyDescent="0.25">
      <c r="B109" s="22"/>
      <c r="C109" s="23"/>
      <c r="D109" s="24" t="str">
        <f>IF(C109="","",_xlfn.XLOOKUP(C109,'[3]Control Sheet'!$L$5:$L$104,'[3]Control Sheet'!$M$5:$M$104,"",0))</f>
        <v/>
      </c>
      <c r="E109" s="24" t="str">
        <f>IF(B109="","",_xlfn.XLOOKUP(B109,'[3]Control Sheet'!$D$5:$D$64,'[3]Control Sheet'!$F$5:$F$64,"",0))</f>
        <v/>
      </c>
      <c r="F109" s="24" t="str">
        <f>IF(B109="","",_xlfn.XLOOKUP(B109,'[3]Control Sheet'!$D$5:$D$64,'[3]Control Sheet'!$E$5:$E$64,"",0))</f>
        <v/>
      </c>
      <c r="I109" s="33"/>
      <c r="J109" s="34"/>
      <c r="K109" s="35"/>
      <c r="L109" s="36"/>
      <c r="M109" s="37"/>
      <c r="P109" s="33"/>
      <c r="Q109" s="34"/>
      <c r="R109" s="35"/>
      <c r="S109" s="36"/>
      <c r="T109" s="37"/>
      <c r="V109" s="33"/>
      <c r="W109" s="34"/>
      <c r="X109" s="35"/>
      <c r="Y109" s="36"/>
      <c r="Z109" s="37"/>
      <c r="AB109" s="33"/>
      <c r="AC109" s="34"/>
      <c r="AD109" s="35"/>
      <c r="AE109" s="36"/>
      <c r="AF109" s="37"/>
      <c r="AH109" s="33"/>
      <c r="AI109" s="34"/>
      <c r="AJ109" s="35"/>
      <c r="AK109" s="36"/>
      <c r="AL109" s="37"/>
      <c r="AN109" s="33"/>
      <c r="AO109" s="34"/>
      <c r="AP109" s="35"/>
      <c r="AQ109" s="36"/>
      <c r="AR109" s="37"/>
      <c r="AT109" s="33"/>
      <c r="AU109" s="34"/>
      <c r="AV109" s="35"/>
      <c r="AW109" s="36"/>
      <c r="AX109" s="37"/>
      <c r="AZ109" s="33"/>
      <c r="BA109" s="34"/>
      <c r="BB109" s="35"/>
      <c r="BC109" s="36"/>
      <c r="BD109" s="37"/>
      <c r="BF109" s="33"/>
      <c r="BG109" s="34"/>
      <c r="BH109" s="35"/>
      <c r="BI109" s="36"/>
      <c r="BJ109" s="37"/>
      <c r="BL109" s="33"/>
      <c r="BM109" s="34"/>
      <c r="BN109" s="35"/>
      <c r="BO109" s="36"/>
      <c r="BP109" s="37"/>
      <c r="BR109" s="33"/>
      <c r="BS109" s="34"/>
      <c r="BT109" s="35"/>
      <c r="BU109" s="36"/>
      <c r="BV109" s="37"/>
      <c r="BX109" s="33"/>
      <c r="BY109" s="34"/>
      <c r="BZ109" s="35"/>
      <c r="CA109" s="36"/>
      <c r="CB109" s="37"/>
      <c r="CD109" s="33"/>
      <c r="CE109" s="34"/>
      <c r="CF109" s="35"/>
      <c r="CG109" s="36"/>
      <c r="CH109" s="37"/>
      <c r="CJ109" s="33"/>
      <c r="CK109" s="34"/>
      <c r="CL109" s="35"/>
      <c r="CM109" s="36"/>
      <c r="CN109" s="37"/>
      <c r="CP109" s="33"/>
      <c r="CQ109" s="34"/>
      <c r="CR109" s="35"/>
      <c r="CS109" s="36"/>
      <c r="CT109" s="37"/>
      <c r="CV109" s="33"/>
      <c r="CW109" s="34"/>
      <c r="CX109" s="35"/>
      <c r="CY109" s="36"/>
      <c r="CZ109" s="37"/>
      <c r="DA109" s="30">
        <f t="shared" si="11"/>
        <v>0</v>
      </c>
      <c r="DB109" s="31" t="e">
        <f>DA109*#REF!</f>
        <v>#REF!</v>
      </c>
      <c r="DC109" s="32" t="e">
        <f>DA109*#REF!</f>
        <v>#REF!</v>
      </c>
      <c r="DE109" s="33"/>
      <c r="DF109" s="34"/>
      <c r="DG109" s="35"/>
      <c r="DH109" s="36"/>
      <c r="DI109" s="37"/>
      <c r="DJ109" s="30">
        <f t="shared" si="12"/>
        <v>0</v>
      </c>
      <c r="DK109" s="31" t="e">
        <f>DJ109*#REF!</f>
        <v>#REF!</v>
      </c>
      <c r="DL109" s="32" t="e">
        <f>DJ109*#REF!</f>
        <v>#REF!</v>
      </c>
      <c r="DN109" s="33"/>
      <c r="DO109" s="34"/>
      <c r="DP109" s="35"/>
      <c r="DQ109" s="36"/>
      <c r="DR109" s="37"/>
      <c r="DS109" s="30">
        <f t="shared" si="13"/>
        <v>0</v>
      </c>
      <c r="DT109" s="31" t="e">
        <f>DS109*#REF!</f>
        <v>#REF!</v>
      </c>
      <c r="DU109" s="32" t="e">
        <f>DS109*#REF!</f>
        <v>#REF!</v>
      </c>
      <c r="DW109" s="33"/>
      <c r="DX109" s="34"/>
      <c r="DY109" s="35"/>
      <c r="DZ109" s="36"/>
      <c r="EA109" s="37"/>
      <c r="EB109" s="30">
        <f t="shared" si="14"/>
        <v>0</v>
      </c>
      <c r="EC109" s="31" t="e">
        <f>EB109*#REF!</f>
        <v>#REF!</v>
      </c>
      <c r="ED109" s="32" t="e">
        <f>EB109*#REF!</f>
        <v>#REF!</v>
      </c>
      <c r="EF109" s="33"/>
      <c r="EG109" s="34"/>
      <c r="EH109" s="35"/>
      <c r="EI109" s="36"/>
      <c r="EJ109" s="37"/>
      <c r="EK109" s="30">
        <f t="shared" si="15"/>
        <v>0</v>
      </c>
      <c r="EL109" s="31" t="e">
        <f>EK109*#REF!</f>
        <v>#REF!</v>
      </c>
      <c r="EM109" s="32" t="e">
        <f>EK109*#REF!</f>
        <v>#REF!</v>
      </c>
      <c r="EO109" s="33"/>
      <c r="EP109" s="34"/>
      <c r="EQ109" s="35"/>
      <c r="ER109" s="36"/>
      <c r="ES109" s="37"/>
      <c r="ET109" s="30">
        <f t="shared" si="16"/>
        <v>0</v>
      </c>
      <c r="EU109" s="31" t="e">
        <f>ET109*#REF!</f>
        <v>#REF!</v>
      </c>
      <c r="EV109" s="32" t="e">
        <f>ET109*#REF!</f>
        <v>#REF!</v>
      </c>
      <c r="EX109" s="33"/>
      <c r="EY109" s="34"/>
      <c r="EZ109" s="35"/>
      <c r="FA109" s="36"/>
      <c r="FB109" s="37"/>
      <c r="FC109" s="30">
        <f t="shared" si="17"/>
        <v>0</v>
      </c>
      <c r="FD109" s="31" t="e">
        <f>FC109*#REF!</f>
        <v>#REF!</v>
      </c>
      <c r="FE109" s="32" t="e">
        <f>FC109*#REF!</f>
        <v>#REF!</v>
      </c>
      <c r="FG109" s="33"/>
      <c r="FH109" s="34"/>
      <c r="FI109" s="35"/>
      <c r="FJ109" s="36"/>
      <c r="FK109" s="37"/>
      <c r="FL109" s="30">
        <f t="shared" si="18"/>
        <v>0</v>
      </c>
      <c r="FM109" s="31" t="e">
        <f>FL109*#REF!</f>
        <v>#REF!</v>
      </c>
      <c r="FN109" s="32" t="e">
        <f>FL109*#REF!</f>
        <v>#REF!</v>
      </c>
      <c r="FP109" s="33"/>
      <c r="FQ109" s="34"/>
      <c r="FR109" s="35"/>
      <c r="FS109" s="36"/>
      <c r="FT109" s="37"/>
      <c r="FU109" s="30">
        <f t="shared" si="19"/>
        <v>0</v>
      </c>
      <c r="FV109" s="31" t="e">
        <f>FU109*#REF!</f>
        <v>#REF!</v>
      </c>
      <c r="FW109" s="32" t="e">
        <f>FU109*#REF!</f>
        <v>#REF!</v>
      </c>
      <c r="FY109" s="33"/>
      <c r="FZ109" s="34"/>
      <c r="GA109" s="35"/>
      <c r="GB109" s="36"/>
      <c r="GC109" s="37"/>
      <c r="GD109" s="30">
        <f t="shared" si="20"/>
        <v>0</v>
      </c>
      <c r="GE109" s="31" t="e">
        <f>GD109*#REF!</f>
        <v>#REF!</v>
      </c>
      <c r="GF109" s="32" t="e">
        <f>GD109*#REF!</f>
        <v>#REF!</v>
      </c>
      <c r="GH109" s="33"/>
      <c r="GI109" s="34"/>
      <c r="GJ109" s="35"/>
      <c r="GK109" s="36"/>
      <c r="GL109" s="37"/>
      <c r="GM109" s="30">
        <f t="shared" si="21"/>
        <v>0</v>
      </c>
      <c r="GN109" s="31" t="e">
        <f>GM109*#REF!</f>
        <v>#REF!</v>
      </c>
      <c r="GO109" s="32" t="e">
        <f>GM109*#REF!</f>
        <v>#REF!</v>
      </c>
      <c r="GQ109" s="38">
        <f>_xlfn.MAXIFS(I109:GO109,$I$5:$GO$5,"Staff #")</f>
        <v>0</v>
      </c>
      <c r="GR109" s="39">
        <v>0</v>
      </c>
    </row>
    <row r="110" spans="2:200" ht="15" x14ac:dyDescent="0.25">
      <c r="B110" s="22"/>
      <c r="C110" s="23"/>
      <c r="D110" s="24" t="str">
        <f>IF(C110="","",_xlfn.XLOOKUP(C110,'[3]Control Sheet'!$L$5:$L$104,'[3]Control Sheet'!$M$5:$M$104,"",0))</f>
        <v/>
      </c>
      <c r="E110" s="24" t="str">
        <f>IF(B110="","",_xlfn.XLOOKUP(B110,'[3]Control Sheet'!$D$5:$D$64,'[3]Control Sheet'!$F$5:$F$64,"",0))</f>
        <v/>
      </c>
      <c r="F110" s="24" t="str">
        <f>IF(B110="","",_xlfn.XLOOKUP(B110,'[3]Control Sheet'!$D$5:$D$64,'[3]Control Sheet'!$E$5:$E$64,"",0))</f>
        <v/>
      </c>
      <c r="I110" s="33"/>
      <c r="J110" s="34"/>
      <c r="K110" s="35"/>
      <c r="L110" s="36"/>
      <c r="M110" s="37"/>
      <c r="P110" s="33"/>
      <c r="Q110" s="34"/>
      <c r="R110" s="35"/>
      <c r="S110" s="36"/>
      <c r="T110" s="37"/>
      <c r="V110" s="33"/>
      <c r="W110" s="34"/>
      <c r="X110" s="35"/>
      <c r="Y110" s="36"/>
      <c r="Z110" s="37"/>
      <c r="AB110" s="33"/>
      <c r="AC110" s="34"/>
      <c r="AD110" s="35"/>
      <c r="AE110" s="36"/>
      <c r="AF110" s="37"/>
      <c r="AH110" s="33"/>
      <c r="AI110" s="34"/>
      <c r="AJ110" s="35"/>
      <c r="AK110" s="36"/>
      <c r="AL110" s="37"/>
      <c r="AN110" s="33"/>
      <c r="AO110" s="34"/>
      <c r="AP110" s="35"/>
      <c r="AQ110" s="36"/>
      <c r="AR110" s="37"/>
      <c r="AT110" s="33"/>
      <c r="AU110" s="34"/>
      <c r="AV110" s="35"/>
      <c r="AW110" s="36"/>
      <c r="AX110" s="37"/>
      <c r="AZ110" s="33"/>
      <c r="BA110" s="34"/>
      <c r="BB110" s="35"/>
      <c r="BC110" s="36"/>
      <c r="BD110" s="37"/>
      <c r="BF110" s="33"/>
      <c r="BG110" s="34"/>
      <c r="BH110" s="35"/>
      <c r="BI110" s="36"/>
      <c r="BJ110" s="37"/>
      <c r="BL110" s="33"/>
      <c r="BM110" s="34"/>
      <c r="BN110" s="35"/>
      <c r="BO110" s="36"/>
      <c r="BP110" s="37"/>
      <c r="BR110" s="33"/>
      <c r="BS110" s="34"/>
      <c r="BT110" s="35"/>
      <c r="BU110" s="36"/>
      <c r="BV110" s="37"/>
      <c r="BX110" s="33"/>
      <c r="BY110" s="34"/>
      <c r="BZ110" s="35"/>
      <c r="CA110" s="36"/>
      <c r="CB110" s="37"/>
      <c r="CD110" s="33"/>
      <c r="CE110" s="34"/>
      <c r="CF110" s="35"/>
      <c r="CG110" s="36"/>
      <c r="CH110" s="37"/>
      <c r="CJ110" s="33"/>
      <c r="CK110" s="34"/>
      <c r="CL110" s="35"/>
      <c r="CM110" s="36"/>
      <c r="CN110" s="37"/>
      <c r="CP110" s="33"/>
      <c r="CQ110" s="34"/>
      <c r="CR110" s="35"/>
      <c r="CS110" s="36"/>
      <c r="CT110" s="37"/>
      <c r="CV110" s="33"/>
      <c r="CW110" s="34"/>
      <c r="CX110" s="35"/>
      <c r="CY110" s="36"/>
      <c r="CZ110" s="37"/>
      <c r="DA110" s="30">
        <f t="shared" si="11"/>
        <v>0</v>
      </c>
      <c r="DB110" s="31" t="e">
        <f>DA110*#REF!</f>
        <v>#REF!</v>
      </c>
      <c r="DC110" s="32" t="e">
        <f>DA110*#REF!</f>
        <v>#REF!</v>
      </c>
      <c r="DE110" s="33"/>
      <c r="DF110" s="34"/>
      <c r="DG110" s="35"/>
      <c r="DH110" s="36"/>
      <c r="DI110" s="37"/>
      <c r="DJ110" s="30">
        <f t="shared" si="12"/>
        <v>0</v>
      </c>
      <c r="DK110" s="31" t="e">
        <f>DJ110*#REF!</f>
        <v>#REF!</v>
      </c>
      <c r="DL110" s="32" t="e">
        <f>DJ110*#REF!</f>
        <v>#REF!</v>
      </c>
      <c r="DN110" s="33"/>
      <c r="DO110" s="34"/>
      <c r="DP110" s="35"/>
      <c r="DQ110" s="36"/>
      <c r="DR110" s="37"/>
      <c r="DS110" s="30">
        <f t="shared" si="13"/>
        <v>0</v>
      </c>
      <c r="DT110" s="31" t="e">
        <f>DS110*#REF!</f>
        <v>#REF!</v>
      </c>
      <c r="DU110" s="32" t="e">
        <f>DS110*#REF!</f>
        <v>#REF!</v>
      </c>
      <c r="DW110" s="33"/>
      <c r="DX110" s="34"/>
      <c r="DY110" s="35"/>
      <c r="DZ110" s="36"/>
      <c r="EA110" s="37"/>
      <c r="EB110" s="30">
        <f t="shared" si="14"/>
        <v>0</v>
      </c>
      <c r="EC110" s="31" t="e">
        <f>EB110*#REF!</f>
        <v>#REF!</v>
      </c>
      <c r="ED110" s="32" t="e">
        <f>EB110*#REF!</f>
        <v>#REF!</v>
      </c>
      <c r="EF110" s="33"/>
      <c r="EG110" s="34"/>
      <c r="EH110" s="35"/>
      <c r="EI110" s="36"/>
      <c r="EJ110" s="37"/>
      <c r="EK110" s="30">
        <f t="shared" si="15"/>
        <v>0</v>
      </c>
      <c r="EL110" s="31" t="e">
        <f>EK110*#REF!</f>
        <v>#REF!</v>
      </c>
      <c r="EM110" s="32" t="e">
        <f>EK110*#REF!</f>
        <v>#REF!</v>
      </c>
      <c r="EO110" s="33"/>
      <c r="EP110" s="34"/>
      <c r="EQ110" s="35"/>
      <c r="ER110" s="36"/>
      <c r="ES110" s="37"/>
      <c r="ET110" s="30">
        <f t="shared" si="16"/>
        <v>0</v>
      </c>
      <c r="EU110" s="31" t="e">
        <f>ET110*#REF!</f>
        <v>#REF!</v>
      </c>
      <c r="EV110" s="32" t="e">
        <f>ET110*#REF!</f>
        <v>#REF!</v>
      </c>
      <c r="EX110" s="33"/>
      <c r="EY110" s="34"/>
      <c r="EZ110" s="35"/>
      <c r="FA110" s="36"/>
      <c r="FB110" s="37"/>
      <c r="FC110" s="30">
        <f t="shared" si="17"/>
        <v>0</v>
      </c>
      <c r="FD110" s="31" t="e">
        <f>FC110*#REF!</f>
        <v>#REF!</v>
      </c>
      <c r="FE110" s="32" t="e">
        <f>FC110*#REF!</f>
        <v>#REF!</v>
      </c>
      <c r="FG110" s="33"/>
      <c r="FH110" s="34"/>
      <c r="FI110" s="35"/>
      <c r="FJ110" s="36"/>
      <c r="FK110" s="37"/>
      <c r="FL110" s="30">
        <f t="shared" si="18"/>
        <v>0</v>
      </c>
      <c r="FM110" s="31" t="e">
        <f>FL110*#REF!</f>
        <v>#REF!</v>
      </c>
      <c r="FN110" s="32" t="e">
        <f>FL110*#REF!</f>
        <v>#REF!</v>
      </c>
      <c r="FP110" s="33"/>
      <c r="FQ110" s="34"/>
      <c r="FR110" s="35"/>
      <c r="FS110" s="36"/>
      <c r="FT110" s="37"/>
      <c r="FU110" s="30">
        <f t="shared" si="19"/>
        <v>0</v>
      </c>
      <c r="FV110" s="31" t="e">
        <f>FU110*#REF!</f>
        <v>#REF!</v>
      </c>
      <c r="FW110" s="32" t="e">
        <f>FU110*#REF!</f>
        <v>#REF!</v>
      </c>
      <c r="FY110" s="33"/>
      <c r="FZ110" s="34"/>
      <c r="GA110" s="35"/>
      <c r="GB110" s="36"/>
      <c r="GC110" s="37"/>
      <c r="GD110" s="30">
        <f t="shared" si="20"/>
        <v>0</v>
      </c>
      <c r="GE110" s="31" t="e">
        <f>GD110*#REF!</f>
        <v>#REF!</v>
      </c>
      <c r="GF110" s="32" t="e">
        <f>GD110*#REF!</f>
        <v>#REF!</v>
      </c>
      <c r="GH110" s="33"/>
      <c r="GI110" s="34"/>
      <c r="GJ110" s="35"/>
      <c r="GK110" s="36"/>
      <c r="GL110" s="37"/>
      <c r="GM110" s="30">
        <f t="shared" si="21"/>
        <v>0</v>
      </c>
      <c r="GN110" s="31" t="e">
        <f>GM110*#REF!</f>
        <v>#REF!</v>
      </c>
      <c r="GO110" s="32" t="e">
        <f>GM110*#REF!</f>
        <v>#REF!</v>
      </c>
      <c r="GQ110" s="38">
        <f>_xlfn.MAXIFS(I110:GO110,$I$5:$GO$5,"Staff #")</f>
        <v>0</v>
      </c>
      <c r="GR110" s="39">
        <v>0</v>
      </c>
    </row>
    <row r="111" spans="2:200" ht="15" x14ac:dyDescent="0.25">
      <c r="B111" s="22"/>
      <c r="C111" s="23"/>
      <c r="D111" s="24" t="str">
        <f>IF(C111="","",_xlfn.XLOOKUP(C111,'[3]Control Sheet'!$L$5:$L$104,'[3]Control Sheet'!$M$5:$M$104,"",0))</f>
        <v/>
      </c>
      <c r="E111" s="24" t="str">
        <f>IF(B111="","",_xlfn.XLOOKUP(B111,'[3]Control Sheet'!$D$5:$D$64,'[3]Control Sheet'!$F$5:$F$64,"",0))</f>
        <v/>
      </c>
      <c r="F111" s="24" t="str">
        <f>IF(B111="","",_xlfn.XLOOKUP(B111,'[3]Control Sheet'!$D$5:$D$64,'[3]Control Sheet'!$E$5:$E$64,"",0))</f>
        <v/>
      </c>
      <c r="I111" s="33"/>
      <c r="J111" s="34"/>
      <c r="K111" s="35"/>
      <c r="L111" s="36"/>
      <c r="M111" s="37"/>
      <c r="P111" s="33"/>
      <c r="Q111" s="34"/>
      <c r="R111" s="35"/>
      <c r="S111" s="36"/>
      <c r="T111" s="37"/>
      <c r="V111" s="33"/>
      <c r="W111" s="34"/>
      <c r="X111" s="35"/>
      <c r="Y111" s="36"/>
      <c r="Z111" s="37"/>
      <c r="AB111" s="33"/>
      <c r="AC111" s="34"/>
      <c r="AD111" s="35"/>
      <c r="AE111" s="36"/>
      <c r="AF111" s="37"/>
      <c r="AH111" s="33"/>
      <c r="AI111" s="34"/>
      <c r="AJ111" s="35"/>
      <c r="AK111" s="36"/>
      <c r="AL111" s="37"/>
      <c r="AN111" s="33"/>
      <c r="AO111" s="34"/>
      <c r="AP111" s="35"/>
      <c r="AQ111" s="36"/>
      <c r="AR111" s="37"/>
      <c r="AT111" s="33"/>
      <c r="AU111" s="34"/>
      <c r="AV111" s="35"/>
      <c r="AW111" s="36"/>
      <c r="AX111" s="37"/>
      <c r="AZ111" s="33"/>
      <c r="BA111" s="34"/>
      <c r="BB111" s="35"/>
      <c r="BC111" s="36"/>
      <c r="BD111" s="37"/>
      <c r="BF111" s="33"/>
      <c r="BG111" s="34"/>
      <c r="BH111" s="35"/>
      <c r="BI111" s="36"/>
      <c r="BJ111" s="37"/>
      <c r="BL111" s="33"/>
      <c r="BM111" s="34"/>
      <c r="BN111" s="35"/>
      <c r="BO111" s="36"/>
      <c r="BP111" s="37"/>
      <c r="BR111" s="33"/>
      <c r="BS111" s="34"/>
      <c r="BT111" s="35"/>
      <c r="BU111" s="36"/>
      <c r="BV111" s="37"/>
      <c r="BX111" s="33"/>
      <c r="BY111" s="34"/>
      <c r="BZ111" s="35"/>
      <c r="CA111" s="36"/>
      <c r="CB111" s="37"/>
      <c r="CD111" s="33"/>
      <c r="CE111" s="34"/>
      <c r="CF111" s="35"/>
      <c r="CG111" s="36"/>
      <c r="CH111" s="37"/>
      <c r="CJ111" s="33"/>
      <c r="CK111" s="34"/>
      <c r="CL111" s="35"/>
      <c r="CM111" s="36"/>
      <c r="CN111" s="37"/>
      <c r="CP111" s="33"/>
      <c r="CQ111" s="34"/>
      <c r="CR111" s="35"/>
      <c r="CS111" s="36"/>
      <c r="CT111" s="37"/>
      <c r="CV111" s="33"/>
      <c r="CW111" s="34"/>
      <c r="CX111" s="35"/>
      <c r="CY111" s="36"/>
      <c r="CZ111" s="37"/>
      <c r="DA111" s="30">
        <f t="shared" si="11"/>
        <v>0</v>
      </c>
      <c r="DB111" s="31" t="e">
        <f>DA111*#REF!</f>
        <v>#REF!</v>
      </c>
      <c r="DC111" s="32" t="e">
        <f>DA111*#REF!</f>
        <v>#REF!</v>
      </c>
      <c r="DE111" s="33"/>
      <c r="DF111" s="34"/>
      <c r="DG111" s="35"/>
      <c r="DH111" s="36"/>
      <c r="DI111" s="37"/>
      <c r="DJ111" s="30">
        <f t="shared" si="12"/>
        <v>0</v>
      </c>
      <c r="DK111" s="31" t="e">
        <f>DJ111*#REF!</f>
        <v>#REF!</v>
      </c>
      <c r="DL111" s="32" t="e">
        <f>DJ111*#REF!</f>
        <v>#REF!</v>
      </c>
      <c r="DN111" s="33"/>
      <c r="DO111" s="34"/>
      <c r="DP111" s="35"/>
      <c r="DQ111" s="36"/>
      <c r="DR111" s="37"/>
      <c r="DS111" s="30">
        <f t="shared" si="13"/>
        <v>0</v>
      </c>
      <c r="DT111" s="31" t="e">
        <f>DS111*#REF!</f>
        <v>#REF!</v>
      </c>
      <c r="DU111" s="32" t="e">
        <f>DS111*#REF!</f>
        <v>#REF!</v>
      </c>
      <c r="DW111" s="33"/>
      <c r="DX111" s="34"/>
      <c r="DY111" s="35"/>
      <c r="DZ111" s="36"/>
      <c r="EA111" s="37"/>
      <c r="EB111" s="30">
        <f t="shared" si="14"/>
        <v>0</v>
      </c>
      <c r="EC111" s="31" t="e">
        <f>EB111*#REF!</f>
        <v>#REF!</v>
      </c>
      <c r="ED111" s="32" t="e">
        <f>EB111*#REF!</f>
        <v>#REF!</v>
      </c>
      <c r="EF111" s="33"/>
      <c r="EG111" s="34"/>
      <c r="EH111" s="35"/>
      <c r="EI111" s="36"/>
      <c r="EJ111" s="37"/>
      <c r="EK111" s="30">
        <f t="shared" si="15"/>
        <v>0</v>
      </c>
      <c r="EL111" s="31" t="e">
        <f>EK111*#REF!</f>
        <v>#REF!</v>
      </c>
      <c r="EM111" s="32" t="e">
        <f>EK111*#REF!</f>
        <v>#REF!</v>
      </c>
      <c r="EO111" s="33"/>
      <c r="EP111" s="34"/>
      <c r="EQ111" s="35"/>
      <c r="ER111" s="36"/>
      <c r="ES111" s="37"/>
      <c r="ET111" s="30">
        <f t="shared" si="16"/>
        <v>0</v>
      </c>
      <c r="EU111" s="31" t="e">
        <f>ET111*#REF!</f>
        <v>#REF!</v>
      </c>
      <c r="EV111" s="32" t="e">
        <f>ET111*#REF!</f>
        <v>#REF!</v>
      </c>
      <c r="EX111" s="33"/>
      <c r="EY111" s="34"/>
      <c r="EZ111" s="35"/>
      <c r="FA111" s="36"/>
      <c r="FB111" s="37"/>
      <c r="FC111" s="30">
        <f t="shared" si="17"/>
        <v>0</v>
      </c>
      <c r="FD111" s="31" t="e">
        <f>FC111*#REF!</f>
        <v>#REF!</v>
      </c>
      <c r="FE111" s="32" t="e">
        <f>FC111*#REF!</f>
        <v>#REF!</v>
      </c>
      <c r="FG111" s="33"/>
      <c r="FH111" s="34"/>
      <c r="FI111" s="35"/>
      <c r="FJ111" s="36"/>
      <c r="FK111" s="37"/>
      <c r="FL111" s="30">
        <f t="shared" si="18"/>
        <v>0</v>
      </c>
      <c r="FM111" s="31" t="e">
        <f>FL111*#REF!</f>
        <v>#REF!</v>
      </c>
      <c r="FN111" s="32" t="e">
        <f>FL111*#REF!</f>
        <v>#REF!</v>
      </c>
      <c r="FP111" s="33"/>
      <c r="FQ111" s="34"/>
      <c r="FR111" s="35"/>
      <c r="FS111" s="36"/>
      <c r="FT111" s="37"/>
      <c r="FU111" s="30">
        <f t="shared" si="19"/>
        <v>0</v>
      </c>
      <c r="FV111" s="31" t="e">
        <f>FU111*#REF!</f>
        <v>#REF!</v>
      </c>
      <c r="FW111" s="32" t="e">
        <f>FU111*#REF!</f>
        <v>#REF!</v>
      </c>
      <c r="FY111" s="33"/>
      <c r="FZ111" s="34"/>
      <c r="GA111" s="35"/>
      <c r="GB111" s="36"/>
      <c r="GC111" s="37"/>
      <c r="GD111" s="30">
        <f t="shared" si="20"/>
        <v>0</v>
      </c>
      <c r="GE111" s="31" t="e">
        <f>GD111*#REF!</f>
        <v>#REF!</v>
      </c>
      <c r="GF111" s="32" t="e">
        <f>GD111*#REF!</f>
        <v>#REF!</v>
      </c>
      <c r="GH111" s="33"/>
      <c r="GI111" s="34"/>
      <c r="GJ111" s="35"/>
      <c r="GK111" s="36"/>
      <c r="GL111" s="37"/>
      <c r="GM111" s="30">
        <f t="shared" si="21"/>
        <v>0</v>
      </c>
      <c r="GN111" s="31" t="e">
        <f>GM111*#REF!</f>
        <v>#REF!</v>
      </c>
      <c r="GO111" s="32" t="e">
        <f>GM111*#REF!</f>
        <v>#REF!</v>
      </c>
      <c r="GQ111" s="38">
        <f>_xlfn.MAXIFS(I111:GO111,$I$5:$GO$5,"Staff #")</f>
        <v>0</v>
      </c>
      <c r="GR111" s="39">
        <v>0</v>
      </c>
    </row>
    <row r="112" spans="2:200" ht="15" x14ac:dyDescent="0.25">
      <c r="B112" s="22"/>
      <c r="C112" s="23"/>
      <c r="D112" s="24" t="str">
        <f>IF(C112="","",_xlfn.XLOOKUP(C112,'[3]Control Sheet'!$L$5:$L$104,'[3]Control Sheet'!$M$5:$M$104,"",0))</f>
        <v/>
      </c>
      <c r="E112" s="24" t="str">
        <f>IF(B112="","",_xlfn.XLOOKUP(B112,'[3]Control Sheet'!$D$5:$D$64,'[3]Control Sheet'!$F$5:$F$64,"",0))</f>
        <v/>
      </c>
      <c r="F112" s="24" t="str">
        <f>IF(B112="","",_xlfn.XLOOKUP(B112,'[3]Control Sheet'!$D$5:$D$64,'[3]Control Sheet'!$E$5:$E$64,"",0))</f>
        <v/>
      </c>
      <c r="I112" s="33"/>
      <c r="J112" s="34"/>
      <c r="K112" s="35"/>
      <c r="L112" s="36"/>
      <c r="M112" s="37"/>
      <c r="P112" s="33"/>
      <c r="Q112" s="34"/>
      <c r="R112" s="35"/>
      <c r="S112" s="36"/>
      <c r="T112" s="37"/>
      <c r="V112" s="33"/>
      <c r="W112" s="34"/>
      <c r="X112" s="35"/>
      <c r="Y112" s="36"/>
      <c r="Z112" s="37"/>
      <c r="AB112" s="33"/>
      <c r="AC112" s="34"/>
      <c r="AD112" s="35"/>
      <c r="AE112" s="36"/>
      <c r="AF112" s="37"/>
      <c r="AH112" s="33"/>
      <c r="AI112" s="34"/>
      <c r="AJ112" s="35"/>
      <c r="AK112" s="36"/>
      <c r="AL112" s="37"/>
      <c r="AN112" s="33"/>
      <c r="AO112" s="34"/>
      <c r="AP112" s="35"/>
      <c r="AQ112" s="36"/>
      <c r="AR112" s="37"/>
      <c r="AT112" s="33"/>
      <c r="AU112" s="34"/>
      <c r="AV112" s="35"/>
      <c r="AW112" s="36"/>
      <c r="AX112" s="37"/>
      <c r="AZ112" s="33"/>
      <c r="BA112" s="34"/>
      <c r="BB112" s="35"/>
      <c r="BC112" s="36"/>
      <c r="BD112" s="37"/>
      <c r="BF112" s="33"/>
      <c r="BG112" s="34"/>
      <c r="BH112" s="35"/>
      <c r="BI112" s="36"/>
      <c r="BJ112" s="37"/>
      <c r="BL112" s="33"/>
      <c r="BM112" s="34"/>
      <c r="BN112" s="35"/>
      <c r="BO112" s="36"/>
      <c r="BP112" s="37"/>
      <c r="BR112" s="33"/>
      <c r="BS112" s="34"/>
      <c r="BT112" s="35"/>
      <c r="BU112" s="36"/>
      <c r="BV112" s="37"/>
      <c r="BX112" s="33"/>
      <c r="BY112" s="34"/>
      <c r="BZ112" s="35"/>
      <c r="CA112" s="36"/>
      <c r="CB112" s="37"/>
      <c r="CD112" s="33"/>
      <c r="CE112" s="34"/>
      <c r="CF112" s="35"/>
      <c r="CG112" s="36"/>
      <c r="CH112" s="37"/>
      <c r="CJ112" s="33"/>
      <c r="CK112" s="34"/>
      <c r="CL112" s="35"/>
      <c r="CM112" s="36"/>
      <c r="CN112" s="37"/>
      <c r="CP112" s="33"/>
      <c r="CQ112" s="34"/>
      <c r="CR112" s="35"/>
      <c r="CS112" s="36"/>
      <c r="CT112" s="37"/>
      <c r="CV112" s="33"/>
      <c r="CW112" s="34"/>
      <c r="CX112" s="35"/>
      <c r="CY112" s="36"/>
      <c r="CZ112" s="37"/>
      <c r="DA112" s="30">
        <f t="shared" si="11"/>
        <v>0</v>
      </c>
      <c r="DB112" s="31" t="e">
        <f>DA112*#REF!</f>
        <v>#REF!</v>
      </c>
      <c r="DC112" s="32" t="e">
        <f>DA112*#REF!</f>
        <v>#REF!</v>
      </c>
      <c r="DE112" s="33"/>
      <c r="DF112" s="34"/>
      <c r="DG112" s="35"/>
      <c r="DH112" s="36"/>
      <c r="DI112" s="37"/>
      <c r="DJ112" s="30">
        <f t="shared" si="12"/>
        <v>0</v>
      </c>
      <c r="DK112" s="31" t="e">
        <f>DJ112*#REF!</f>
        <v>#REF!</v>
      </c>
      <c r="DL112" s="32" t="e">
        <f>DJ112*#REF!</f>
        <v>#REF!</v>
      </c>
      <c r="DN112" s="33"/>
      <c r="DO112" s="34"/>
      <c r="DP112" s="35"/>
      <c r="DQ112" s="36"/>
      <c r="DR112" s="37"/>
      <c r="DS112" s="30">
        <f t="shared" si="13"/>
        <v>0</v>
      </c>
      <c r="DT112" s="31" t="e">
        <f>DS112*#REF!</f>
        <v>#REF!</v>
      </c>
      <c r="DU112" s="32" t="e">
        <f>DS112*#REF!</f>
        <v>#REF!</v>
      </c>
      <c r="DW112" s="33"/>
      <c r="DX112" s="34"/>
      <c r="DY112" s="35"/>
      <c r="DZ112" s="36"/>
      <c r="EA112" s="37"/>
      <c r="EB112" s="30">
        <f t="shared" si="14"/>
        <v>0</v>
      </c>
      <c r="EC112" s="31" t="e">
        <f>EB112*#REF!</f>
        <v>#REF!</v>
      </c>
      <c r="ED112" s="32" t="e">
        <f>EB112*#REF!</f>
        <v>#REF!</v>
      </c>
      <c r="EF112" s="33"/>
      <c r="EG112" s="34"/>
      <c r="EH112" s="35"/>
      <c r="EI112" s="36"/>
      <c r="EJ112" s="37"/>
      <c r="EK112" s="30">
        <f t="shared" si="15"/>
        <v>0</v>
      </c>
      <c r="EL112" s="31" t="e">
        <f>EK112*#REF!</f>
        <v>#REF!</v>
      </c>
      <c r="EM112" s="32" t="e">
        <f>EK112*#REF!</f>
        <v>#REF!</v>
      </c>
      <c r="EO112" s="33"/>
      <c r="EP112" s="34"/>
      <c r="EQ112" s="35"/>
      <c r="ER112" s="36"/>
      <c r="ES112" s="37"/>
      <c r="ET112" s="30">
        <f t="shared" si="16"/>
        <v>0</v>
      </c>
      <c r="EU112" s="31" t="e">
        <f>ET112*#REF!</f>
        <v>#REF!</v>
      </c>
      <c r="EV112" s="32" t="e">
        <f>ET112*#REF!</f>
        <v>#REF!</v>
      </c>
      <c r="EX112" s="33"/>
      <c r="EY112" s="34"/>
      <c r="EZ112" s="35"/>
      <c r="FA112" s="36"/>
      <c r="FB112" s="37"/>
      <c r="FC112" s="30">
        <f t="shared" si="17"/>
        <v>0</v>
      </c>
      <c r="FD112" s="31" t="e">
        <f>FC112*#REF!</f>
        <v>#REF!</v>
      </c>
      <c r="FE112" s="32" t="e">
        <f>FC112*#REF!</f>
        <v>#REF!</v>
      </c>
      <c r="FG112" s="33"/>
      <c r="FH112" s="34"/>
      <c r="FI112" s="35"/>
      <c r="FJ112" s="36"/>
      <c r="FK112" s="37"/>
      <c r="FL112" s="30">
        <f t="shared" si="18"/>
        <v>0</v>
      </c>
      <c r="FM112" s="31" t="e">
        <f>FL112*#REF!</f>
        <v>#REF!</v>
      </c>
      <c r="FN112" s="32" t="e">
        <f>FL112*#REF!</f>
        <v>#REF!</v>
      </c>
      <c r="FP112" s="33"/>
      <c r="FQ112" s="34"/>
      <c r="FR112" s="35"/>
      <c r="FS112" s="36"/>
      <c r="FT112" s="37"/>
      <c r="FU112" s="30">
        <f t="shared" si="19"/>
        <v>0</v>
      </c>
      <c r="FV112" s="31" t="e">
        <f>FU112*#REF!</f>
        <v>#REF!</v>
      </c>
      <c r="FW112" s="32" t="e">
        <f>FU112*#REF!</f>
        <v>#REF!</v>
      </c>
      <c r="FY112" s="33"/>
      <c r="FZ112" s="34"/>
      <c r="GA112" s="35"/>
      <c r="GB112" s="36"/>
      <c r="GC112" s="37"/>
      <c r="GD112" s="30">
        <f t="shared" si="20"/>
        <v>0</v>
      </c>
      <c r="GE112" s="31" t="e">
        <f>GD112*#REF!</f>
        <v>#REF!</v>
      </c>
      <c r="GF112" s="32" t="e">
        <f>GD112*#REF!</f>
        <v>#REF!</v>
      </c>
      <c r="GH112" s="33"/>
      <c r="GI112" s="34"/>
      <c r="GJ112" s="35"/>
      <c r="GK112" s="36"/>
      <c r="GL112" s="37"/>
      <c r="GM112" s="30">
        <f t="shared" si="21"/>
        <v>0</v>
      </c>
      <c r="GN112" s="31" t="e">
        <f>GM112*#REF!</f>
        <v>#REF!</v>
      </c>
      <c r="GO112" s="32" t="e">
        <f>GM112*#REF!</f>
        <v>#REF!</v>
      </c>
      <c r="GQ112" s="38">
        <f>_xlfn.MAXIFS(I112:GO112,$I$5:$GO$5,"Staff #")</f>
        <v>0</v>
      </c>
      <c r="GR112" s="39">
        <v>0</v>
      </c>
    </row>
    <row r="113" spans="2:200" ht="15" x14ac:dyDescent="0.25">
      <c r="B113" s="22"/>
      <c r="C113" s="23"/>
      <c r="D113" s="24" t="str">
        <f>IF(C113="","",_xlfn.XLOOKUP(C113,'[3]Control Sheet'!$L$5:$L$104,'[3]Control Sheet'!$M$5:$M$104,"",0))</f>
        <v/>
      </c>
      <c r="E113" s="24" t="str">
        <f>IF(B113="","",_xlfn.XLOOKUP(B113,'[3]Control Sheet'!$D$5:$D$64,'[3]Control Sheet'!$F$5:$F$64,"",0))</f>
        <v/>
      </c>
      <c r="F113" s="24" t="str">
        <f>IF(B113="","",_xlfn.XLOOKUP(B113,'[3]Control Sheet'!$D$5:$D$64,'[3]Control Sheet'!$E$5:$E$64,"",0))</f>
        <v/>
      </c>
      <c r="I113" s="33"/>
      <c r="J113" s="34"/>
      <c r="K113" s="35"/>
      <c r="L113" s="36"/>
      <c r="M113" s="37"/>
      <c r="P113" s="33"/>
      <c r="Q113" s="34"/>
      <c r="R113" s="35"/>
      <c r="S113" s="36"/>
      <c r="T113" s="37"/>
      <c r="V113" s="33"/>
      <c r="W113" s="34"/>
      <c r="X113" s="35"/>
      <c r="Y113" s="36"/>
      <c r="Z113" s="37"/>
      <c r="AB113" s="33"/>
      <c r="AC113" s="34"/>
      <c r="AD113" s="35"/>
      <c r="AE113" s="36"/>
      <c r="AF113" s="37"/>
      <c r="AH113" s="33"/>
      <c r="AI113" s="34"/>
      <c r="AJ113" s="35"/>
      <c r="AK113" s="36"/>
      <c r="AL113" s="37"/>
      <c r="AN113" s="33"/>
      <c r="AO113" s="34"/>
      <c r="AP113" s="35"/>
      <c r="AQ113" s="36"/>
      <c r="AR113" s="37"/>
      <c r="AT113" s="33"/>
      <c r="AU113" s="34"/>
      <c r="AV113" s="35"/>
      <c r="AW113" s="36"/>
      <c r="AX113" s="37"/>
      <c r="AZ113" s="33"/>
      <c r="BA113" s="34"/>
      <c r="BB113" s="35"/>
      <c r="BC113" s="36"/>
      <c r="BD113" s="37"/>
      <c r="BF113" s="33"/>
      <c r="BG113" s="34"/>
      <c r="BH113" s="35"/>
      <c r="BI113" s="36"/>
      <c r="BJ113" s="37"/>
      <c r="BL113" s="33"/>
      <c r="BM113" s="34"/>
      <c r="BN113" s="35"/>
      <c r="BO113" s="36"/>
      <c r="BP113" s="37"/>
      <c r="BR113" s="33"/>
      <c r="BS113" s="34"/>
      <c r="BT113" s="35"/>
      <c r="BU113" s="36"/>
      <c r="BV113" s="37"/>
      <c r="BX113" s="33"/>
      <c r="BY113" s="34"/>
      <c r="BZ113" s="35"/>
      <c r="CA113" s="36"/>
      <c r="CB113" s="37"/>
      <c r="CD113" s="33"/>
      <c r="CE113" s="34"/>
      <c r="CF113" s="35"/>
      <c r="CG113" s="36"/>
      <c r="CH113" s="37"/>
      <c r="CJ113" s="33"/>
      <c r="CK113" s="34"/>
      <c r="CL113" s="35"/>
      <c r="CM113" s="36"/>
      <c r="CN113" s="37"/>
      <c r="CP113" s="33"/>
      <c r="CQ113" s="34"/>
      <c r="CR113" s="35"/>
      <c r="CS113" s="36"/>
      <c r="CT113" s="37"/>
      <c r="CV113" s="33"/>
      <c r="CW113" s="34"/>
      <c r="CX113" s="35"/>
      <c r="CY113" s="36"/>
      <c r="CZ113" s="37"/>
      <c r="DA113" s="30">
        <f t="shared" si="11"/>
        <v>0</v>
      </c>
      <c r="DB113" s="31" t="e">
        <f>DA113*#REF!</f>
        <v>#REF!</v>
      </c>
      <c r="DC113" s="32" t="e">
        <f>DA113*#REF!</f>
        <v>#REF!</v>
      </c>
      <c r="DE113" s="33"/>
      <c r="DF113" s="34"/>
      <c r="DG113" s="35"/>
      <c r="DH113" s="36"/>
      <c r="DI113" s="37"/>
      <c r="DJ113" s="30">
        <f t="shared" si="12"/>
        <v>0</v>
      </c>
      <c r="DK113" s="31" t="e">
        <f>DJ113*#REF!</f>
        <v>#REF!</v>
      </c>
      <c r="DL113" s="32" t="e">
        <f>DJ113*#REF!</f>
        <v>#REF!</v>
      </c>
      <c r="DN113" s="33"/>
      <c r="DO113" s="34"/>
      <c r="DP113" s="35"/>
      <c r="DQ113" s="36"/>
      <c r="DR113" s="37"/>
      <c r="DS113" s="30">
        <f t="shared" si="13"/>
        <v>0</v>
      </c>
      <c r="DT113" s="31" t="e">
        <f>DS113*#REF!</f>
        <v>#REF!</v>
      </c>
      <c r="DU113" s="32" t="e">
        <f>DS113*#REF!</f>
        <v>#REF!</v>
      </c>
      <c r="DW113" s="33"/>
      <c r="DX113" s="34"/>
      <c r="DY113" s="35"/>
      <c r="DZ113" s="36"/>
      <c r="EA113" s="37"/>
      <c r="EB113" s="30">
        <f t="shared" si="14"/>
        <v>0</v>
      </c>
      <c r="EC113" s="31" t="e">
        <f>EB113*#REF!</f>
        <v>#REF!</v>
      </c>
      <c r="ED113" s="32" t="e">
        <f>EB113*#REF!</f>
        <v>#REF!</v>
      </c>
      <c r="EF113" s="33"/>
      <c r="EG113" s="34"/>
      <c r="EH113" s="35"/>
      <c r="EI113" s="36"/>
      <c r="EJ113" s="37"/>
      <c r="EK113" s="30">
        <f t="shared" si="15"/>
        <v>0</v>
      </c>
      <c r="EL113" s="31" t="e">
        <f>EK113*#REF!</f>
        <v>#REF!</v>
      </c>
      <c r="EM113" s="32" t="e">
        <f>EK113*#REF!</f>
        <v>#REF!</v>
      </c>
      <c r="EO113" s="33"/>
      <c r="EP113" s="34"/>
      <c r="EQ113" s="35"/>
      <c r="ER113" s="36"/>
      <c r="ES113" s="37"/>
      <c r="ET113" s="30">
        <f t="shared" si="16"/>
        <v>0</v>
      </c>
      <c r="EU113" s="31" t="e">
        <f>ET113*#REF!</f>
        <v>#REF!</v>
      </c>
      <c r="EV113" s="32" t="e">
        <f>ET113*#REF!</f>
        <v>#REF!</v>
      </c>
      <c r="EX113" s="33"/>
      <c r="EY113" s="34"/>
      <c r="EZ113" s="35"/>
      <c r="FA113" s="36"/>
      <c r="FB113" s="37"/>
      <c r="FC113" s="30">
        <f t="shared" si="17"/>
        <v>0</v>
      </c>
      <c r="FD113" s="31" t="e">
        <f>FC113*#REF!</f>
        <v>#REF!</v>
      </c>
      <c r="FE113" s="32" t="e">
        <f>FC113*#REF!</f>
        <v>#REF!</v>
      </c>
      <c r="FG113" s="33"/>
      <c r="FH113" s="34"/>
      <c r="FI113" s="35"/>
      <c r="FJ113" s="36"/>
      <c r="FK113" s="37"/>
      <c r="FL113" s="30">
        <f t="shared" si="18"/>
        <v>0</v>
      </c>
      <c r="FM113" s="31" t="e">
        <f>FL113*#REF!</f>
        <v>#REF!</v>
      </c>
      <c r="FN113" s="32" t="e">
        <f>FL113*#REF!</f>
        <v>#REF!</v>
      </c>
      <c r="FP113" s="33"/>
      <c r="FQ113" s="34"/>
      <c r="FR113" s="35"/>
      <c r="FS113" s="36"/>
      <c r="FT113" s="37"/>
      <c r="FU113" s="30">
        <f t="shared" si="19"/>
        <v>0</v>
      </c>
      <c r="FV113" s="31" t="e">
        <f>FU113*#REF!</f>
        <v>#REF!</v>
      </c>
      <c r="FW113" s="32" t="e">
        <f>FU113*#REF!</f>
        <v>#REF!</v>
      </c>
      <c r="FY113" s="33"/>
      <c r="FZ113" s="34"/>
      <c r="GA113" s="35"/>
      <c r="GB113" s="36"/>
      <c r="GC113" s="37"/>
      <c r="GD113" s="30">
        <f t="shared" si="20"/>
        <v>0</v>
      </c>
      <c r="GE113" s="31" t="e">
        <f>GD113*#REF!</f>
        <v>#REF!</v>
      </c>
      <c r="GF113" s="32" t="e">
        <f>GD113*#REF!</f>
        <v>#REF!</v>
      </c>
      <c r="GH113" s="33"/>
      <c r="GI113" s="34"/>
      <c r="GJ113" s="35"/>
      <c r="GK113" s="36"/>
      <c r="GL113" s="37"/>
      <c r="GM113" s="30">
        <f t="shared" si="21"/>
        <v>0</v>
      </c>
      <c r="GN113" s="31" t="e">
        <f>GM113*#REF!</f>
        <v>#REF!</v>
      </c>
      <c r="GO113" s="32" t="e">
        <f>GM113*#REF!</f>
        <v>#REF!</v>
      </c>
      <c r="GQ113" s="38">
        <f>_xlfn.MAXIFS(I113:GO113,$I$5:$GO$5,"Staff #")</f>
        <v>0</v>
      </c>
      <c r="GR113" s="39">
        <v>0</v>
      </c>
    </row>
    <row r="114" spans="2:200" ht="15" x14ac:dyDescent="0.25">
      <c r="B114" s="22"/>
      <c r="C114" s="23"/>
      <c r="D114" s="24" t="str">
        <f>IF(C114="","",_xlfn.XLOOKUP(C114,'[3]Control Sheet'!$L$5:$L$104,'[3]Control Sheet'!$M$5:$M$104,"",0))</f>
        <v/>
      </c>
      <c r="E114" s="24" t="str">
        <f>IF(B114="","",_xlfn.XLOOKUP(B114,'[3]Control Sheet'!$D$5:$D$64,'[3]Control Sheet'!$F$5:$F$64,"",0))</f>
        <v/>
      </c>
      <c r="F114" s="24" t="str">
        <f>IF(B114="","",_xlfn.XLOOKUP(B114,'[3]Control Sheet'!$D$5:$D$64,'[3]Control Sheet'!$E$5:$E$64,"",0))</f>
        <v/>
      </c>
      <c r="I114" s="33"/>
      <c r="J114" s="34"/>
      <c r="K114" s="35"/>
      <c r="L114" s="36"/>
      <c r="M114" s="37"/>
      <c r="P114" s="33"/>
      <c r="Q114" s="34"/>
      <c r="R114" s="35"/>
      <c r="S114" s="36"/>
      <c r="T114" s="37"/>
      <c r="V114" s="33"/>
      <c r="W114" s="34"/>
      <c r="X114" s="35"/>
      <c r="Y114" s="36"/>
      <c r="Z114" s="37"/>
      <c r="AB114" s="33"/>
      <c r="AC114" s="34"/>
      <c r="AD114" s="35"/>
      <c r="AE114" s="36"/>
      <c r="AF114" s="37"/>
      <c r="AH114" s="33"/>
      <c r="AI114" s="34"/>
      <c r="AJ114" s="35"/>
      <c r="AK114" s="36"/>
      <c r="AL114" s="37"/>
      <c r="AN114" s="33"/>
      <c r="AO114" s="34"/>
      <c r="AP114" s="35"/>
      <c r="AQ114" s="36"/>
      <c r="AR114" s="37"/>
      <c r="AT114" s="33"/>
      <c r="AU114" s="34"/>
      <c r="AV114" s="35"/>
      <c r="AW114" s="36"/>
      <c r="AX114" s="37"/>
      <c r="AZ114" s="33"/>
      <c r="BA114" s="34"/>
      <c r="BB114" s="35"/>
      <c r="BC114" s="36"/>
      <c r="BD114" s="37"/>
      <c r="BF114" s="33"/>
      <c r="BG114" s="34"/>
      <c r="BH114" s="35"/>
      <c r="BI114" s="36"/>
      <c r="BJ114" s="37"/>
      <c r="BL114" s="33"/>
      <c r="BM114" s="34"/>
      <c r="BN114" s="35"/>
      <c r="BO114" s="36"/>
      <c r="BP114" s="37"/>
      <c r="BR114" s="33"/>
      <c r="BS114" s="34"/>
      <c r="BT114" s="35"/>
      <c r="BU114" s="36"/>
      <c r="BV114" s="37"/>
      <c r="BX114" s="33"/>
      <c r="BY114" s="34"/>
      <c r="BZ114" s="35"/>
      <c r="CA114" s="36"/>
      <c r="CB114" s="37"/>
      <c r="CD114" s="33"/>
      <c r="CE114" s="34"/>
      <c r="CF114" s="35"/>
      <c r="CG114" s="36"/>
      <c r="CH114" s="37"/>
      <c r="CJ114" s="33"/>
      <c r="CK114" s="34"/>
      <c r="CL114" s="35"/>
      <c r="CM114" s="36"/>
      <c r="CN114" s="37"/>
      <c r="CP114" s="33"/>
      <c r="CQ114" s="34"/>
      <c r="CR114" s="35"/>
      <c r="CS114" s="36"/>
      <c r="CT114" s="37"/>
      <c r="CV114" s="33"/>
      <c r="CW114" s="34"/>
      <c r="CX114" s="35"/>
      <c r="CY114" s="36"/>
      <c r="CZ114" s="37"/>
      <c r="DA114" s="30">
        <f t="shared" si="11"/>
        <v>0</v>
      </c>
      <c r="DB114" s="31" t="e">
        <f>DA114*#REF!</f>
        <v>#REF!</v>
      </c>
      <c r="DC114" s="32" t="e">
        <f>DA114*#REF!</f>
        <v>#REF!</v>
      </c>
      <c r="DE114" s="33"/>
      <c r="DF114" s="34"/>
      <c r="DG114" s="35"/>
      <c r="DH114" s="36"/>
      <c r="DI114" s="37"/>
      <c r="DJ114" s="30">
        <f t="shared" si="12"/>
        <v>0</v>
      </c>
      <c r="DK114" s="31" t="e">
        <f>DJ114*#REF!</f>
        <v>#REF!</v>
      </c>
      <c r="DL114" s="32" t="e">
        <f>DJ114*#REF!</f>
        <v>#REF!</v>
      </c>
      <c r="DN114" s="33"/>
      <c r="DO114" s="34"/>
      <c r="DP114" s="35"/>
      <c r="DQ114" s="36"/>
      <c r="DR114" s="37"/>
      <c r="DS114" s="30">
        <f t="shared" si="13"/>
        <v>0</v>
      </c>
      <c r="DT114" s="31" t="e">
        <f>DS114*#REF!</f>
        <v>#REF!</v>
      </c>
      <c r="DU114" s="32" t="e">
        <f>DS114*#REF!</f>
        <v>#REF!</v>
      </c>
      <c r="DW114" s="33"/>
      <c r="DX114" s="34"/>
      <c r="DY114" s="35"/>
      <c r="DZ114" s="36"/>
      <c r="EA114" s="37"/>
      <c r="EB114" s="30">
        <f t="shared" si="14"/>
        <v>0</v>
      </c>
      <c r="EC114" s="31" t="e">
        <f>EB114*#REF!</f>
        <v>#REF!</v>
      </c>
      <c r="ED114" s="32" t="e">
        <f>EB114*#REF!</f>
        <v>#REF!</v>
      </c>
      <c r="EF114" s="33"/>
      <c r="EG114" s="34"/>
      <c r="EH114" s="35"/>
      <c r="EI114" s="36"/>
      <c r="EJ114" s="37"/>
      <c r="EK114" s="30">
        <f t="shared" si="15"/>
        <v>0</v>
      </c>
      <c r="EL114" s="31" t="e">
        <f>EK114*#REF!</f>
        <v>#REF!</v>
      </c>
      <c r="EM114" s="32" t="e">
        <f>EK114*#REF!</f>
        <v>#REF!</v>
      </c>
      <c r="EO114" s="33"/>
      <c r="EP114" s="34"/>
      <c r="EQ114" s="35"/>
      <c r="ER114" s="36"/>
      <c r="ES114" s="37"/>
      <c r="ET114" s="30">
        <f t="shared" si="16"/>
        <v>0</v>
      </c>
      <c r="EU114" s="31" t="e">
        <f>ET114*#REF!</f>
        <v>#REF!</v>
      </c>
      <c r="EV114" s="32" t="e">
        <f>ET114*#REF!</f>
        <v>#REF!</v>
      </c>
      <c r="EX114" s="33"/>
      <c r="EY114" s="34"/>
      <c r="EZ114" s="35"/>
      <c r="FA114" s="36"/>
      <c r="FB114" s="37"/>
      <c r="FC114" s="30">
        <f t="shared" si="17"/>
        <v>0</v>
      </c>
      <c r="FD114" s="31" t="e">
        <f>FC114*#REF!</f>
        <v>#REF!</v>
      </c>
      <c r="FE114" s="32" t="e">
        <f>FC114*#REF!</f>
        <v>#REF!</v>
      </c>
      <c r="FG114" s="33"/>
      <c r="FH114" s="34"/>
      <c r="FI114" s="35"/>
      <c r="FJ114" s="36"/>
      <c r="FK114" s="37"/>
      <c r="FL114" s="30">
        <f t="shared" si="18"/>
        <v>0</v>
      </c>
      <c r="FM114" s="31" t="e">
        <f>FL114*#REF!</f>
        <v>#REF!</v>
      </c>
      <c r="FN114" s="32" t="e">
        <f>FL114*#REF!</f>
        <v>#REF!</v>
      </c>
      <c r="FP114" s="33"/>
      <c r="FQ114" s="34"/>
      <c r="FR114" s="35"/>
      <c r="FS114" s="36"/>
      <c r="FT114" s="37"/>
      <c r="FU114" s="30">
        <f t="shared" si="19"/>
        <v>0</v>
      </c>
      <c r="FV114" s="31" t="e">
        <f>FU114*#REF!</f>
        <v>#REF!</v>
      </c>
      <c r="FW114" s="32" t="e">
        <f>FU114*#REF!</f>
        <v>#REF!</v>
      </c>
      <c r="FY114" s="33"/>
      <c r="FZ114" s="34"/>
      <c r="GA114" s="35"/>
      <c r="GB114" s="36"/>
      <c r="GC114" s="37"/>
      <c r="GD114" s="30">
        <f t="shared" si="20"/>
        <v>0</v>
      </c>
      <c r="GE114" s="31" t="e">
        <f>GD114*#REF!</f>
        <v>#REF!</v>
      </c>
      <c r="GF114" s="32" t="e">
        <f>GD114*#REF!</f>
        <v>#REF!</v>
      </c>
      <c r="GH114" s="33"/>
      <c r="GI114" s="34"/>
      <c r="GJ114" s="35"/>
      <c r="GK114" s="36"/>
      <c r="GL114" s="37"/>
      <c r="GM114" s="30">
        <f t="shared" si="21"/>
        <v>0</v>
      </c>
      <c r="GN114" s="31" t="e">
        <f>GM114*#REF!</f>
        <v>#REF!</v>
      </c>
      <c r="GO114" s="32" t="e">
        <f>GM114*#REF!</f>
        <v>#REF!</v>
      </c>
      <c r="GQ114" s="38">
        <f>_xlfn.MAXIFS(I114:GO114,$I$5:$GO$5,"Staff #")</f>
        <v>0</v>
      </c>
      <c r="GR114" s="39">
        <v>0</v>
      </c>
    </row>
    <row r="115" spans="2:200" ht="15" x14ac:dyDescent="0.25">
      <c r="B115" s="22"/>
      <c r="C115" s="23"/>
      <c r="D115" s="24" t="str">
        <f>IF(C115="","",_xlfn.XLOOKUP(C115,'[3]Control Sheet'!$L$5:$L$104,'[3]Control Sheet'!$M$5:$M$104,"",0))</f>
        <v/>
      </c>
      <c r="E115" s="24" t="str">
        <f>IF(B115="","",_xlfn.XLOOKUP(B115,'[3]Control Sheet'!$D$5:$D$64,'[3]Control Sheet'!$F$5:$F$64,"",0))</f>
        <v/>
      </c>
      <c r="F115" s="24" t="str">
        <f>IF(B115="","",_xlfn.XLOOKUP(B115,'[3]Control Sheet'!$D$5:$D$64,'[3]Control Sheet'!$E$5:$E$64,"",0))</f>
        <v/>
      </c>
      <c r="I115" s="33"/>
      <c r="J115" s="34"/>
      <c r="K115" s="35"/>
      <c r="L115" s="36"/>
      <c r="M115" s="37"/>
      <c r="P115" s="33"/>
      <c r="Q115" s="34"/>
      <c r="R115" s="35"/>
      <c r="S115" s="36"/>
      <c r="T115" s="37"/>
      <c r="V115" s="33"/>
      <c r="W115" s="34"/>
      <c r="X115" s="35"/>
      <c r="Y115" s="36"/>
      <c r="Z115" s="37"/>
      <c r="AB115" s="33"/>
      <c r="AC115" s="34"/>
      <c r="AD115" s="35"/>
      <c r="AE115" s="36"/>
      <c r="AF115" s="37"/>
      <c r="AH115" s="33"/>
      <c r="AI115" s="34"/>
      <c r="AJ115" s="35"/>
      <c r="AK115" s="36"/>
      <c r="AL115" s="37"/>
      <c r="AN115" s="33"/>
      <c r="AO115" s="34"/>
      <c r="AP115" s="35"/>
      <c r="AQ115" s="36"/>
      <c r="AR115" s="37"/>
      <c r="AT115" s="33"/>
      <c r="AU115" s="34"/>
      <c r="AV115" s="35"/>
      <c r="AW115" s="36"/>
      <c r="AX115" s="37"/>
      <c r="AZ115" s="33"/>
      <c r="BA115" s="34"/>
      <c r="BB115" s="35"/>
      <c r="BC115" s="36"/>
      <c r="BD115" s="37"/>
      <c r="BF115" s="33"/>
      <c r="BG115" s="34"/>
      <c r="BH115" s="35"/>
      <c r="BI115" s="36"/>
      <c r="BJ115" s="37"/>
      <c r="BL115" s="33"/>
      <c r="BM115" s="34"/>
      <c r="BN115" s="35"/>
      <c r="BO115" s="36"/>
      <c r="BP115" s="37"/>
      <c r="BR115" s="33"/>
      <c r="BS115" s="34"/>
      <c r="BT115" s="35"/>
      <c r="BU115" s="36"/>
      <c r="BV115" s="37"/>
      <c r="BX115" s="33"/>
      <c r="BY115" s="34"/>
      <c r="BZ115" s="35"/>
      <c r="CA115" s="36"/>
      <c r="CB115" s="37"/>
      <c r="CD115" s="33"/>
      <c r="CE115" s="34"/>
      <c r="CF115" s="35"/>
      <c r="CG115" s="36"/>
      <c r="CH115" s="37"/>
      <c r="CJ115" s="33"/>
      <c r="CK115" s="34"/>
      <c r="CL115" s="35"/>
      <c r="CM115" s="36"/>
      <c r="CN115" s="37"/>
      <c r="CP115" s="33"/>
      <c r="CQ115" s="34"/>
      <c r="CR115" s="35"/>
      <c r="CS115" s="36"/>
      <c r="CT115" s="37"/>
      <c r="CV115" s="33"/>
      <c r="CW115" s="34"/>
      <c r="CX115" s="35"/>
      <c r="CY115" s="36"/>
      <c r="CZ115" s="37"/>
      <c r="DA115" s="30">
        <f t="shared" si="11"/>
        <v>0</v>
      </c>
      <c r="DB115" s="31" t="e">
        <f>DA115*#REF!</f>
        <v>#REF!</v>
      </c>
      <c r="DC115" s="32" t="e">
        <f>DA115*#REF!</f>
        <v>#REF!</v>
      </c>
      <c r="DE115" s="33"/>
      <c r="DF115" s="34"/>
      <c r="DG115" s="35"/>
      <c r="DH115" s="36"/>
      <c r="DI115" s="37"/>
      <c r="DJ115" s="30">
        <f t="shared" si="12"/>
        <v>0</v>
      </c>
      <c r="DK115" s="31" t="e">
        <f>DJ115*#REF!</f>
        <v>#REF!</v>
      </c>
      <c r="DL115" s="32" t="e">
        <f>DJ115*#REF!</f>
        <v>#REF!</v>
      </c>
      <c r="DN115" s="33"/>
      <c r="DO115" s="34"/>
      <c r="DP115" s="35"/>
      <c r="DQ115" s="36"/>
      <c r="DR115" s="37"/>
      <c r="DS115" s="30">
        <f t="shared" si="13"/>
        <v>0</v>
      </c>
      <c r="DT115" s="31" t="e">
        <f>DS115*#REF!</f>
        <v>#REF!</v>
      </c>
      <c r="DU115" s="32" t="e">
        <f>DS115*#REF!</f>
        <v>#REF!</v>
      </c>
      <c r="DW115" s="33"/>
      <c r="DX115" s="34"/>
      <c r="DY115" s="35"/>
      <c r="DZ115" s="36"/>
      <c r="EA115" s="37"/>
      <c r="EB115" s="30">
        <f t="shared" si="14"/>
        <v>0</v>
      </c>
      <c r="EC115" s="31" t="e">
        <f>EB115*#REF!</f>
        <v>#REF!</v>
      </c>
      <c r="ED115" s="32" t="e">
        <f>EB115*#REF!</f>
        <v>#REF!</v>
      </c>
      <c r="EF115" s="33"/>
      <c r="EG115" s="34"/>
      <c r="EH115" s="35"/>
      <c r="EI115" s="36"/>
      <c r="EJ115" s="37"/>
      <c r="EK115" s="30">
        <f t="shared" si="15"/>
        <v>0</v>
      </c>
      <c r="EL115" s="31" t="e">
        <f>EK115*#REF!</f>
        <v>#REF!</v>
      </c>
      <c r="EM115" s="32" t="e">
        <f>EK115*#REF!</f>
        <v>#REF!</v>
      </c>
      <c r="EO115" s="33"/>
      <c r="EP115" s="34"/>
      <c r="EQ115" s="35"/>
      <c r="ER115" s="36"/>
      <c r="ES115" s="37"/>
      <c r="ET115" s="30">
        <f t="shared" si="16"/>
        <v>0</v>
      </c>
      <c r="EU115" s="31" t="e">
        <f>ET115*#REF!</f>
        <v>#REF!</v>
      </c>
      <c r="EV115" s="32" t="e">
        <f>ET115*#REF!</f>
        <v>#REF!</v>
      </c>
      <c r="EX115" s="33"/>
      <c r="EY115" s="34"/>
      <c r="EZ115" s="35"/>
      <c r="FA115" s="36"/>
      <c r="FB115" s="37"/>
      <c r="FC115" s="30">
        <f t="shared" si="17"/>
        <v>0</v>
      </c>
      <c r="FD115" s="31" t="e">
        <f>FC115*#REF!</f>
        <v>#REF!</v>
      </c>
      <c r="FE115" s="32" t="e">
        <f>FC115*#REF!</f>
        <v>#REF!</v>
      </c>
      <c r="FG115" s="33"/>
      <c r="FH115" s="34"/>
      <c r="FI115" s="35"/>
      <c r="FJ115" s="36"/>
      <c r="FK115" s="37"/>
      <c r="FL115" s="30">
        <f t="shared" si="18"/>
        <v>0</v>
      </c>
      <c r="FM115" s="31" t="e">
        <f>FL115*#REF!</f>
        <v>#REF!</v>
      </c>
      <c r="FN115" s="32" t="e">
        <f>FL115*#REF!</f>
        <v>#REF!</v>
      </c>
      <c r="FP115" s="33"/>
      <c r="FQ115" s="34"/>
      <c r="FR115" s="35"/>
      <c r="FS115" s="36"/>
      <c r="FT115" s="37"/>
      <c r="FU115" s="30">
        <f t="shared" si="19"/>
        <v>0</v>
      </c>
      <c r="FV115" s="31" t="e">
        <f>FU115*#REF!</f>
        <v>#REF!</v>
      </c>
      <c r="FW115" s="32" t="e">
        <f>FU115*#REF!</f>
        <v>#REF!</v>
      </c>
      <c r="FY115" s="33"/>
      <c r="FZ115" s="34"/>
      <c r="GA115" s="35"/>
      <c r="GB115" s="36"/>
      <c r="GC115" s="37"/>
      <c r="GD115" s="30">
        <f t="shared" si="20"/>
        <v>0</v>
      </c>
      <c r="GE115" s="31" t="e">
        <f>GD115*#REF!</f>
        <v>#REF!</v>
      </c>
      <c r="GF115" s="32" t="e">
        <f>GD115*#REF!</f>
        <v>#REF!</v>
      </c>
      <c r="GH115" s="33"/>
      <c r="GI115" s="34"/>
      <c r="GJ115" s="35"/>
      <c r="GK115" s="36"/>
      <c r="GL115" s="37"/>
      <c r="GM115" s="30">
        <f t="shared" si="21"/>
        <v>0</v>
      </c>
      <c r="GN115" s="31" t="e">
        <f>GM115*#REF!</f>
        <v>#REF!</v>
      </c>
      <c r="GO115" s="32" t="e">
        <f>GM115*#REF!</f>
        <v>#REF!</v>
      </c>
      <c r="GQ115" s="38">
        <f>_xlfn.MAXIFS(I115:GO115,$I$5:$GO$5,"Staff #")</f>
        <v>0</v>
      </c>
      <c r="GR115" s="39">
        <v>0</v>
      </c>
    </row>
    <row r="116" spans="2:200" ht="15" x14ac:dyDescent="0.25">
      <c r="B116" s="22"/>
      <c r="C116" s="23"/>
      <c r="D116" s="24" t="str">
        <f>IF(C116="","",_xlfn.XLOOKUP(C116,'[3]Control Sheet'!$L$5:$L$104,'[3]Control Sheet'!$M$5:$M$104,"",0))</f>
        <v/>
      </c>
      <c r="E116" s="24" t="str">
        <f>IF(B116="","",_xlfn.XLOOKUP(B116,'[3]Control Sheet'!$D$5:$D$64,'[3]Control Sheet'!$F$5:$F$64,"",0))</f>
        <v/>
      </c>
      <c r="F116" s="24" t="str">
        <f>IF(B116="","",_xlfn.XLOOKUP(B116,'[3]Control Sheet'!$D$5:$D$64,'[3]Control Sheet'!$E$5:$E$64,"",0))</f>
        <v/>
      </c>
      <c r="I116" s="33"/>
      <c r="J116" s="34"/>
      <c r="K116" s="35"/>
      <c r="L116" s="36"/>
      <c r="M116" s="37"/>
      <c r="P116" s="33"/>
      <c r="Q116" s="34"/>
      <c r="R116" s="35"/>
      <c r="S116" s="36"/>
      <c r="T116" s="37"/>
      <c r="V116" s="33"/>
      <c r="W116" s="34"/>
      <c r="X116" s="35"/>
      <c r="Y116" s="36"/>
      <c r="Z116" s="37"/>
      <c r="AB116" s="33"/>
      <c r="AC116" s="34"/>
      <c r="AD116" s="35"/>
      <c r="AE116" s="36"/>
      <c r="AF116" s="37"/>
      <c r="AH116" s="33"/>
      <c r="AI116" s="34"/>
      <c r="AJ116" s="35"/>
      <c r="AK116" s="36"/>
      <c r="AL116" s="37"/>
      <c r="AN116" s="33"/>
      <c r="AO116" s="34"/>
      <c r="AP116" s="35"/>
      <c r="AQ116" s="36"/>
      <c r="AR116" s="37"/>
      <c r="AT116" s="33"/>
      <c r="AU116" s="34"/>
      <c r="AV116" s="35"/>
      <c r="AW116" s="36"/>
      <c r="AX116" s="37"/>
      <c r="AZ116" s="33"/>
      <c r="BA116" s="34"/>
      <c r="BB116" s="35"/>
      <c r="BC116" s="36"/>
      <c r="BD116" s="37"/>
      <c r="BF116" s="33"/>
      <c r="BG116" s="34"/>
      <c r="BH116" s="35"/>
      <c r="BI116" s="36"/>
      <c r="BJ116" s="37"/>
      <c r="BL116" s="33"/>
      <c r="BM116" s="34"/>
      <c r="BN116" s="35"/>
      <c r="BO116" s="36"/>
      <c r="BP116" s="37"/>
      <c r="BR116" s="33"/>
      <c r="BS116" s="34"/>
      <c r="BT116" s="35"/>
      <c r="BU116" s="36"/>
      <c r="BV116" s="37"/>
      <c r="BX116" s="33"/>
      <c r="BY116" s="34"/>
      <c r="BZ116" s="35"/>
      <c r="CA116" s="36"/>
      <c r="CB116" s="37"/>
      <c r="CD116" s="33"/>
      <c r="CE116" s="34"/>
      <c r="CF116" s="35"/>
      <c r="CG116" s="36"/>
      <c r="CH116" s="37"/>
      <c r="CJ116" s="33"/>
      <c r="CK116" s="34"/>
      <c r="CL116" s="35"/>
      <c r="CM116" s="36"/>
      <c r="CN116" s="37"/>
      <c r="CP116" s="33"/>
      <c r="CQ116" s="34"/>
      <c r="CR116" s="35"/>
      <c r="CS116" s="36"/>
      <c r="CT116" s="37"/>
      <c r="CV116" s="33"/>
      <c r="CW116" s="34"/>
      <c r="CX116" s="35"/>
      <c r="CY116" s="36"/>
      <c r="CZ116" s="37"/>
      <c r="DA116" s="30">
        <f t="shared" si="11"/>
        <v>0</v>
      </c>
      <c r="DB116" s="31" t="e">
        <f>DA116*#REF!</f>
        <v>#REF!</v>
      </c>
      <c r="DC116" s="32" t="e">
        <f>DA116*#REF!</f>
        <v>#REF!</v>
      </c>
      <c r="DE116" s="33"/>
      <c r="DF116" s="34"/>
      <c r="DG116" s="35"/>
      <c r="DH116" s="36"/>
      <c r="DI116" s="37"/>
      <c r="DJ116" s="30">
        <f t="shared" si="12"/>
        <v>0</v>
      </c>
      <c r="DK116" s="31" t="e">
        <f>DJ116*#REF!</f>
        <v>#REF!</v>
      </c>
      <c r="DL116" s="32" t="e">
        <f>DJ116*#REF!</f>
        <v>#REF!</v>
      </c>
      <c r="DN116" s="33"/>
      <c r="DO116" s="34"/>
      <c r="DP116" s="35"/>
      <c r="DQ116" s="36"/>
      <c r="DR116" s="37"/>
      <c r="DS116" s="30">
        <f t="shared" si="13"/>
        <v>0</v>
      </c>
      <c r="DT116" s="31" t="e">
        <f>DS116*#REF!</f>
        <v>#REF!</v>
      </c>
      <c r="DU116" s="32" t="e">
        <f>DS116*#REF!</f>
        <v>#REF!</v>
      </c>
      <c r="DW116" s="33"/>
      <c r="DX116" s="34"/>
      <c r="DY116" s="35"/>
      <c r="DZ116" s="36"/>
      <c r="EA116" s="37"/>
      <c r="EB116" s="30">
        <f t="shared" si="14"/>
        <v>0</v>
      </c>
      <c r="EC116" s="31" t="e">
        <f>EB116*#REF!</f>
        <v>#REF!</v>
      </c>
      <c r="ED116" s="32" t="e">
        <f>EB116*#REF!</f>
        <v>#REF!</v>
      </c>
      <c r="EF116" s="33"/>
      <c r="EG116" s="34"/>
      <c r="EH116" s="35"/>
      <c r="EI116" s="36"/>
      <c r="EJ116" s="37"/>
      <c r="EK116" s="30">
        <f t="shared" si="15"/>
        <v>0</v>
      </c>
      <c r="EL116" s="31" t="e">
        <f>EK116*#REF!</f>
        <v>#REF!</v>
      </c>
      <c r="EM116" s="32" t="e">
        <f>EK116*#REF!</f>
        <v>#REF!</v>
      </c>
      <c r="EO116" s="33"/>
      <c r="EP116" s="34"/>
      <c r="EQ116" s="35"/>
      <c r="ER116" s="36"/>
      <c r="ES116" s="37"/>
      <c r="ET116" s="30">
        <f t="shared" si="16"/>
        <v>0</v>
      </c>
      <c r="EU116" s="31" t="e">
        <f>ET116*#REF!</f>
        <v>#REF!</v>
      </c>
      <c r="EV116" s="32" t="e">
        <f>ET116*#REF!</f>
        <v>#REF!</v>
      </c>
      <c r="EX116" s="33"/>
      <c r="EY116" s="34"/>
      <c r="EZ116" s="35"/>
      <c r="FA116" s="36"/>
      <c r="FB116" s="37"/>
      <c r="FC116" s="30">
        <f t="shared" si="17"/>
        <v>0</v>
      </c>
      <c r="FD116" s="31" t="e">
        <f>FC116*#REF!</f>
        <v>#REF!</v>
      </c>
      <c r="FE116" s="32" t="e">
        <f>FC116*#REF!</f>
        <v>#REF!</v>
      </c>
      <c r="FG116" s="33"/>
      <c r="FH116" s="34"/>
      <c r="FI116" s="35"/>
      <c r="FJ116" s="36"/>
      <c r="FK116" s="37"/>
      <c r="FL116" s="30">
        <f t="shared" si="18"/>
        <v>0</v>
      </c>
      <c r="FM116" s="31" t="e">
        <f>FL116*#REF!</f>
        <v>#REF!</v>
      </c>
      <c r="FN116" s="32" t="e">
        <f>FL116*#REF!</f>
        <v>#REF!</v>
      </c>
      <c r="FP116" s="33"/>
      <c r="FQ116" s="34"/>
      <c r="FR116" s="35"/>
      <c r="FS116" s="36"/>
      <c r="FT116" s="37"/>
      <c r="FU116" s="30">
        <f t="shared" si="19"/>
        <v>0</v>
      </c>
      <c r="FV116" s="31" t="e">
        <f>FU116*#REF!</f>
        <v>#REF!</v>
      </c>
      <c r="FW116" s="32" t="e">
        <f>FU116*#REF!</f>
        <v>#REF!</v>
      </c>
      <c r="FY116" s="33"/>
      <c r="FZ116" s="34"/>
      <c r="GA116" s="35"/>
      <c r="GB116" s="36"/>
      <c r="GC116" s="37"/>
      <c r="GD116" s="30">
        <f t="shared" si="20"/>
        <v>0</v>
      </c>
      <c r="GE116" s="31" t="e">
        <f>GD116*#REF!</f>
        <v>#REF!</v>
      </c>
      <c r="GF116" s="32" t="e">
        <f>GD116*#REF!</f>
        <v>#REF!</v>
      </c>
      <c r="GH116" s="33"/>
      <c r="GI116" s="34"/>
      <c r="GJ116" s="35"/>
      <c r="GK116" s="36"/>
      <c r="GL116" s="37"/>
      <c r="GM116" s="30">
        <f t="shared" si="21"/>
        <v>0</v>
      </c>
      <c r="GN116" s="31" t="e">
        <f>GM116*#REF!</f>
        <v>#REF!</v>
      </c>
      <c r="GO116" s="32" t="e">
        <f>GM116*#REF!</f>
        <v>#REF!</v>
      </c>
      <c r="GQ116" s="38">
        <f>_xlfn.MAXIFS(I116:GO116,$I$5:$GO$5,"Staff #")</f>
        <v>0</v>
      </c>
      <c r="GR116" s="39">
        <v>0</v>
      </c>
    </row>
    <row r="117" spans="2:200" ht="15" x14ac:dyDescent="0.25">
      <c r="B117" s="22"/>
      <c r="C117" s="23"/>
      <c r="D117" s="24" t="str">
        <f>IF(C117="","",_xlfn.XLOOKUP(C117,'[3]Control Sheet'!$L$5:$L$104,'[3]Control Sheet'!$M$5:$M$104,"",0))</f>
        <v/>
      </c>
      <c r="E117" s="24" t="str">
        <f>IF(B117="","",_xlfn.XLOOKUP(B117,'[3]Control Sheet'!$D$5:$D$64,'[3]Control Sheet'!$F$5:$F$64,"",0))</f>
        <v/>
      </c>
      <c r="F117" s="24" t="str">
        <f>IF(B117="","",_xlfn.XLOOKUP(B117,'[3]Control Sheet'!$D$5:$D$64,'[3]Control Sheet'!$E$5:$E$64,"",0))</f>
        <v/>
      </c>
      <c r="I117" s="33"/>
      <c r="J117" s="34"/>
      <c r="K117" s="35"/>
      <c r="L117" s="36"/>
      <c r="M117" s="37"/>
      <c r="P117" s="33"/>
      <c r="Q117" s="34"/>
      <c r="R117" s="35"/>
      <c r="S117" s="36"/>
      <c r="T117" s="37"/>
      <c r="V117" s="33"/>
      <c r="W117" s="34"/>
      <c r="X117" s="35"/>
      <c r="Y117" s="36"/>
      <c r="Z117" s="37"/>
      <c r="AB117" s="33"/>
      <c r="AC117" s="34"/>
      <c r="AD117" s="35"/>
      <c r="AE117" s="36"/>
      <c r="AF117" s="37"/>
      <c r="AH117" s="33"/>
      <c r="AI117" s="34"/>
      <c r="AJ117" s="35"/>
      <c r="AK117" s="36"/>
      <c r="AL117" s="37"/>
      <c r="AN117" s="33"/>
      <c r="AO117" s="34"/>
      <c r="AP117" s="35"/>
      <c r="AQ117" s="36"/>
      <c r="AR117" s="37"/>
      <c r="AT117" s="33"/>
      <c r="AU117" s="34"/>
      <c r="AV117" s="35"/>
      <c r="AW117" s="36"/>
      <c r="AX117" s="37"/>
      <c r="AZ117" s="33"/>
      <c r="BA117" s="34"/>
      <c r="BB117" s="35"/>
      <c r="BC117" s="36"/>
      <c r="BD117" s="37"/>
      <c r="BF117" s="33"/>
      <c r="BG117" s="34"/>
      <c r="BH117" s="35"/>
      <c r="BI117" s="36"/>
      <c r="BJ117" s="37"/>
      <c r="BL117" s="33"/>
      <c r="BM117" s="34"/>
      <c r="BN117" s="35"/>
      <c r="BO117" s="36"/>
      <c r="BP117" s="37"/>
      <c r="BR117" s="33"/>
      <c r="BS117" s="34"/>
      <c r="BT117" s="35"/>
      <c r="BU117" s="36"/>
      <c r="BV117" s="37"/>
      <c r="BX117" s="33"/>
      <c r="BY117" s="34"/>
      <c r="BZ117" s="35"/>
      <c r="CA117" s="36"/>
      <c r="CB117" s="37"/>
      <c r="CD117" s="33"/>
      <c r="CE117" s="34"/>
      <c r="CF117" s="35"/>
      <c r="CG117" s="36"/>
      <c r="CH117" s="37"/>
      <c r="CJ117" s="33"/>
      <c r="CK117" s="34"/>
      <c r="CL117" s="35"/>
      <c r="CM117" s="36"/>
      <c r="CN117" s="37"/>
      <c r="CP117" s="33"/>
      <c r="CQ117" s="34"/>
      <c r="CR117" s="35"/>
      <c r="CS117" s="36"/>
      <c r="CT117" s="37"/>
      <c r="CV117" s="33"/>
      <c r="CW117" s="34"/>
      <c r="CX117" s="35"/>
      <c r="CY117" s="36"/>
      <c r="CZ117" s="37"/>
      <c r="DA117" s="30">
        <f t="shared" si="11"/>
        <v>0</v>
      </c>
      <c r="DB117" s="31" t="e">
        <f>DA117*#REF!</f>
        <v>#REF!</v>
      </c>
      <c r="DC117" s="32" t="e">
        <f>DA117*#REF!</f>
        <v>#REF!</v>
      </c>
      <c r="DE117" s="33"/>
      <c r="DF117" s="34"/>
      <c r="DG117" s="35"/>
      <c r="DH117" s="36"/>
      <c r="DI117" s="37"/>
      <c r="DJ117" s="30">
        <f t="shared" si="12"/>
        <v>0</v>
      </c>
      <c r="DK117" s="31" t="e">
        <f>DJ117*#REF!</f>
        <v>#REF!</v>
      </c>
      <c r="DL117" s="32" t="e">
        <f>DJ117*#REF!</f>
        <v>#REF!</v>
      </c>
      <c r="DN117" s="33"/>
      <c r="DO117" s="34"/>
      <c r="DP117" s="35"/>
      <c r="DQ117" s="36"/>
      <c r="DR117" s="37"/>
      <c r="DS117" s="30">
        <f t="shared" si="13"/>
        <v>0</v>
      </c>
      <c r="DT117" s="31" t="e">
        <f>DS117*#REF!</f>
        <v>#REF!</v>
      </c>
      <c r="DU117" s="32" t="e">
        <f>DS117*#REF!</f>
        <v>#REF!</v>
      </c>
      <c r="DW117" s="33"/>
      <c r="DX117" s="34"/>
      <c r="DY117" s="35"/>
      <c r="DZ117" s="36"/>
      <c r="EA117" s="37"/>
      <c r="EB117" s="30">
        <f t="shared" si="14"/>
        <v>0</v>
      </c>
      <c r="EC117" s="31" t="e">
        <f>EB117*#REF!</f>
        <v>#REF!</v>
      </c>
      <c r="ED117" s="32" t="e">
        <f>EB117*#REF!</f>
        <v>#REF!</v>
      </c>
      <c r="EF117" s="33"/>
      <c r="EG117" s="34"/>
      <c r="EH117" s="35"/>
      <c r="EI117" s="36"/>
      <c r="EJ117" s="37"/>
      <c r="EK117" s="30">
        <f t="shared" si="15"/>
        <v>0</v>
      </c>
      <c r="EL117" s="31" t="e">
        <f>EK117*#REF!</f>
        <v>#REF!</v>
      </c>
      <c r="EM117" s="32" t="e">
        <f>EK117*#REF!</f>
        <v>#REF!</v>
      </c>
      <c r="EO117" s="33"/>
      <c r="EP117" s="34"/>
      <c r="EQ117" s="35"/>
      <c r="ER117" s="36"/>
      <c r="ES117" s="37"/>
      <c r="ET117" s="30">
        <f t="shared" si="16"/>
        <v>0</v>
      </c>
      <c r="EU117" s="31" t="e">
        <f>ET117*#REF!</f>
        <v>#REF!</v>
      </c>
      <c r="EV117" s="32" t="e">
        <f>ET117*#REF!</f>
        <v>#REF!</v>
      </c>
      <c r="EX117" s="33"/>
      <c r="EY117" s="34"/>
      <c r="EZ117" s="35"/>
      <c r="FA117" s="36"/>
      <c r="FB117" s="37"/>
      <c r="FC117" s="30">
        <f t="shared" si="17"/>
        <v>0</v>
      </c>
      <c r="FD117" s="31" t="e">
        <f>FC117*#REF!</f>
        <v>#REF!</v>
      </c>
      <c r="FE117" s="32" t="e">
        <f>FC117*#REF!</f>
        <v>#REF!</v>
      </c>
      <c r="FG117" s="33"/>
      <c r="FH117" s="34"/>
      <c r="FI117" s="35"/>
      <c r="FJ117" s="36"/>
      <c r="FK117" s="37"/>
      <c r="FL117" s="30">
        <f t="shared" si="18"/>
        <v>0</v>
      </c>
      <c r="FM117" s="31" t="e">
        <f>FL117*#REF!</f>
        <v>#REF!</v>
      </c>
      <c r="FN117" s="32" t="e">
        <f>FL117*#REF!</f>
        <v>#REF!</v>
      </c>
      <c r="FP117" s="33"/>
      <c r="FQ117" s="34"/>
      <c r="FR117" s="35"/>
      <c r="FS117" s="36"/>
      <c r="FT117" s="37"/>
      <c r="FU117" s="30">
        <f t="shared" si="19"/>
        <v>0</v>
      </c>
      <c r="FV117" s="31" t="e">
        <f>FU117*#REF!</f>
        <v>#REF!</v>
      </c>
      <c r="FW117" s="32" t="e">
        <f>FU117*#REF!</f>
        <v>#REF!</v>
      </c>
      <c r="FY117" s="33"/>
      <c r="FZ117" s="34"/>
      <c r="GA117" s="35"/>
      <c r="GB117" s="36"/>
      <c r="GC117" s="37"/>
      <c r="GD117" s="30">
        <f t="shared" si="20"/>
        <v>0</v>
      </c>
      <c r="GE117" s="31" t="e">
        <f>GD117*#REF!</f>
        <v>#REF!</v>
      </c>
      <c r="GF117" s="32" t="e">
        <f>GD117*#REF!</f>
        <v>#REF!</v>
      </c>
      <c r="GH117" s="33"/>
      <c r="GI117" s="34"/>
      <c r="GJ117" s="35"/>
      <c r="GK117" s="36"/>
      <c r="GL117" s="37"/>
      <c r="GM117" s="30">
        <f t="shared" si="21"/>
        <v>0</v>
      </c>
      <c r="GN117" s="31" t="e">
        <f>GM117*#REF!</f>
        <v>#REF!</v>
      </c>
      <c r="GO117" s="32" t="e">
        <f>GM117*#REF!</f>
        <v>#REF!</v>
      </c>
      <c r="GQ117" s="38">
        <f>_xlfn.MAXIFS(I117:GO117,$I$5:$GO$5,"Staff #")</f>
        <v>0</v>
      </c>
      <c r="GR117" s="39">
        <v>0</v>
      </c>
    </row>
    <row r="118" spans="2:200" ht="15" x14ac:dyDescent="0.25">
      <c r="B118" s="22"/>
      <c r="C118" s="23"/>
      <c r="D118" s="24" t="str">
        <f>IF(C118="","",_xlfn.XLOOKUP(C118,'[3]Control Sheet'!$L$5:$L$104,'[3]Control Sheet'!$M$5:$M$104,"",0))</f>
        <v/>
      </c>
      <c r="E118" s="24" t="str">
        <f>IF(B118="","",_xlfn.XLOOKUP(B118,'[3]Control Sheet'!$D$5:$D$64,'[3]Control Sheet'!$F$5:$F$64,"",0))</f>
        <v/>
      </c>
      <c r="F118" s="24" t="str">
        <f>IF(B118="","",_xlfn.XLOOKUP(B118,'[3]Control Sheet'!$D$5:$D$64,'[3]Control Sheet'!$E$5:$E$64,"",0))</f>
        <v/>
      </c>
      <c r="I118" s="33"/>
      <c r="J118" s="34"/>
      <c r="K118" s="35"/>
      <c r="L118" s="36"/>
      <c r="M118" s="37"/>
      <c r="P118" s="33"/>
      <c r="Q118" s="34"/>
      <c r="R118" s="35"/>
      <c r="S118" s="36"/>
      <c r="T118" s="37"/>
      <c r="V118" s="33"/>
      <c r="W118" s="34"/>
      <c r="X118" s="35"/>
      <c r="Y118" s="36"/>
      <c r="Z118" s="37"/>
      <c r="AB118" s="33"/>
      <c r="AC118" s="34"/>
      <c r="AD118" s="35"/>
      <c r="AE118" s="36"/>
      <c r="AF118" s="37"/>
      <c r="AH118" s="33"/>
      <c r="AI118" s="34"/>
      <c r="AJ118" s="35"/>
      <c r="AK118" s="36"/>
      <c r="AL118" s="37"/>
      <c r="AN118" s="33"/>
      <c r="AO118" s="34"/>
      <c r="AP118" s="35"/>
      <c r="AQ118" s="36"/>
      <c r="AR118" s="37"/>
      <c r="AT118" s="33"/>
      <c r="AU118" s="34"/>
      <c r="AV118" s="35"/>
      <c r="AW118" s="36"/>
      <c r="AX118" s="37"/>
      <c r="AZ118" s="33"/>
      <c r="BA118" s="34"/>
      <c r="BB118" s="35"/>
      <c r="BC118" s="36"/>
      <c r="BD118" s="37"/>
      <c r="BF118" s="33"/>
      <c r="BG118" s="34"/>
      <c r="BH118" s="35"/>
      <c r="BI118" s="36"/>
      <c r="BJ118" s="37"/>
      <c r="BL118" s="33"/>
      <c r="BM118" s="34"/>
      <c r="BN118" s="35"/>
      <c r="BO118" s="36"/>
      <c r="BP118" s="37"/>
      <c r="BR118" s="33"/>
      <c r="BS118" s="34"/>
      <c r="BT118" s="35"/>
      <c r="BU118" s="36"/>
      <c r="BV118" s="37"/>
      <c r="BX118" s="33"/>
      <c r="BY118" s="34"/>
      <c r="BZ118" s="35"/>
      <c r="CA118" s="36"/>
      <c r="CB118" s="37"/>
      <c r="CD118" s="33"/>
      <c r="CE118" s="34"/>
      <c r="CF118" s="35"/>
      <c r="CG118" s="36"/>
      <c r="CH118" s="37"/>
      <c r="CJ118" s="33"/>
      <c r="CK118" s="34"/>
      <c r="CL118" s="35"/>
      <c r="CM118" s="36"/>
      <c r="CN118" s="37"/>
      <c r="CP118" s="33"/>
      <c r="CQ118" s="34"/>
      <c r="CR118" s="35"/>
      <c r="CS118" s="36"/>
      <c r="CT118" s="37"/>
      <c r="CV118" s="33"/>
      <c r="CW118" s="34"/>
      <c r="CX118" s="35"/>
      <c r="CY118" s="36"/>
      <c r="CZ118" s="37"/>
      <c r="DA118" s="30">
        <f t="shared" si="11"/>
        <v>0</v>
      </c>
      <c r="DB118" s="31" t="e">
        <f>DA118*#REF!</f>
        <v>#REF!</v>
      </c>
      <c r="DC118" s="32" t="e">
        <f>DA118*#REF!</f>
        <v>#REF!</v>
      </c>
      <c r="DE118" s="33"/>
      <c r="DF118" s="34"/>
      <c r="DG118" s="35"/>
      <c r="DH118" s="36"/>
      <c r="DI118" s="37"/>
      <c r="DJ118" s="30">
        <f t="shared" si="12"/>
        <v>0</v>
      </c>
      <c r="DK118" s="31" t="e">
        <f>DJ118*#REF!</f>
        <v>#REF!</v>
      </c>
      <c r="DL118" s="32" t="e">
        <f>DJ118*#REF!</f>
        <v>#REF!</v>
      </c>
      <c r="DN118" s="33"/>
      <c r="DO118" s="34"/>
      <c r="DP118" s="35"/>
      <c r="DQ118" s="36"/>
      <c r="DR118" s="37"/>
      <c r="DS118" s="30">
        <f t="shared" si="13"/>
        <v>0</v>
      </c>
      <c r="DT118" s="31" t="e">
        <f>DS118*#REF!</f>
        <v>#REF!</v>
      </c>
      <c r="DU118" s="32" t="e">
        <f>DS118*#REF!</f>
        <v>#REF!</v>
      </c>
      <c r="DW118" s="33"/>
      <c r="DX118" s="34"/>
      <c r="DY118" s="35"/>
      <c r="DZ118" s="36"/>
      <c r="EA118" s="37"/>
      <c r="EB118" s="30">
        <f t="shared" si="14"/>
        <v>0</v>
      </c>
      <c r="EC118" s="31" t="e">
        <f>EB118*#REF!</f>
        <v>#REF!</v>
      </c>
      <c r="ED118" s="32" t="e">
        <f>EB118*#REF!</f>
        <v>#REF!</v>
      </c>
      <c r="EF118" s="33"/>
      <c r="EG118" s="34"/>
      <c r="EH118" s="35"/>
      <c r="EI118" s="36"/>
      <c r="EJ118" s="37"/>
      <c r="EK118" s="30">
        <f t="shared" si="15"/>
        <v>0</v>
      </c>
      <c r="EL118" s="31" t="e">
        <f>EK118*#REF!</f>
        <v>#REF!</v>
      </c>
      <c r="EM118" s="32" t="e">
        <f>EK118*#REF!</f>
        <v>#REF!</v>
      </c>
      <c r="EO118" s="33"/>
      <c r="EP118" s="34"/>
      <c r="EQ118" s="35"/>
      <c r="ER118" s="36"/>
      <c r="ES118" s="37"/>
      <c r="ET118" s="30">
        <f t="shared" si="16"/>
        <v>0</v>
      </c>
      <c r="EU118" s="31" t="e">
        <f>ET118*#REF!</f>
        <v>#REF!</v>
      </c>
      <c r="EV118" s="32" t="e">
        <f>ET118*#REF!</f>
        <v>#REF!</v>
      </c>
      <c r="EX118" s="33"/>
      <c r="EY118" s="34"/>
      <c r="EZ118" s="35"/>
      <c r="FA118" s="36"/>
      <c r="FB118" s="37"/>
      <c r="FC118" s="30">
        <f t="shared" si="17"/>
        <v>0</v>
      </c>
      <c r="FD118" s="31" t="e">
        <f>FC118*#REF!</f>
        <v>#REF!</v>
      </c>
      <c r="FE118" s="32" t="e">
        <f>FC118*#REF!</f>
        <v>#REF!</v>
      </c>
      <c r="FG118" s="33"/>
      <c r="FH118" s="34"/>
      <c r="FI118" s="35"/>
      <c r="FJ118" s="36"/>
      <c r="FK118" s="37"/>
      <c r="FL118" s="30">
        <f t="shared" si="18"/>
        <v>0</v>
      </c>
      <c r="FM118" s="31" t="e">
        <f>FL118*#REF!</f>
        <v>#REF!</v>
      </c>
      <c r="FN118" s="32" t="e">
        <f>FL118*#REF!</f>
        <v>#REF!</v>
      </c>
      <c r="FP118" s="33"/>
      <c r="FQ118" s="34"/>
      <c r="FR118" s="35"/>
      <c r="FS118" s="36"/>
      <c r="FT118" s="37"/>
      <c r="FU118" s="30">
        <f t="shared" si="19"/>
        <v>0</v>
      </c>
      <c r="FV118" s="31" t="e">
        <f>FU118*#REF!</f>
        <v>#REF!</v>
      </c>
      <c r="FW118" s="32" t="e">
        <f>FU118*#REF!</f>
        <v>#REF!</v>
      </c>
      <c r="FY118" s="33"/>
      <c r="FZ118" s="34"/>
      <c r="GA118" s="35"/>
      <c r="GB118" s="36"/>
      <c r="GC118" s="37"/>
      <c r="GD118" s="30">
        <f t="shared" si="20"/>
        <v>0</v>
      </c>
      <c r="GE118" s="31" t="e">
        <f>GD118*#REF!</f>
        <v>#REF!</v>
      </c>
      <c r="GF118" s="32" t="e">
        <f>GD118*#REF!</f>
        <v>#REF!</v>
      </c>
      <c r="GH118" s="33"/>
      <c r="GI118" s="34"/>
      <c r="GJ118" s="35"/>
      <c r="GK118" s="36"/>
      <c r="GL118" s="37"/>
      <c r="GM118" s="30">
        <f t="shared" si="21"/>
        <v>0</v>
      </c>
      <c r="GN118" s="31" t="e">
        <f>GM118*#REF!</f>
        <v>#REF!</v>
      </c>
      <c r="GO118" s="32" t="e">
        <f>GM118*#REF!</f>
        <v>#REF!</v>
      </c>
      <c r="GQ118" s="38">
        <f>_xlfn.MAXIFS(I118:GO118,$I$5:$GO$5,"Staff #")</f>
        <v>0</v>
      </c>
      <c r="GR118" s="39">
        <v>0</v>
      </c>
    </row>
    <row r="119" spans="2:200" ht="15" x14ac:dyDescent="0.25">
      <c r="B119" s="22"/>
      <c r="C119" s="23"/>
      <c r="D119" s="24" t="str">
        <f>IF(C119="","",_xlfn.XLOOKUP(C119,'[3]Control Sheet'!$L$5:$L$104,'[3]Control Sheet'!$M$5:$M$104,"",0))</f>
        <v/>
      </c>
      <c r="E119" s="24" t="str">
        <f>IF(B119="","",_xlfn.XLOOKUP(B119,'[3]Control Sheet'!$D$5:$D$64,'[3]Control Sheet'!$F$5:$F$64,"",0))</f>
        <v/>
      </c>
      <c r="F119" s="24" t="str">
        <f>IF(B119="","",_xlfn.XLOOKUP(B119,'[3]Control Sheet'!$D$5:$D$64,'[3]Control Sheet'!$E$5:$E$64,"",0))</f>
        <v/>
      </c>
      <c r="I119" s="33"/>
      <c r="J119" s="34"/>
      <c r="K119" s="35"/>
      <c r="L119" s="36"/>
      <c r="M119" s="37"/>
      <c r="P119" s="33"/>
      <c r="Q119" s="34"/>
      <c r="R119" s="35"/>
      <c r="S119" s="36"/>
      <c r="T119" s="37"/>
      <c r="V119" s="33"/>
      <c r="W119" s="34"/>
      <c r="X119" s="35"/>
      <c r="Y119" s="36"/>
      <c r="Z119" s="37"/>
      <c r="AB119" s="33"/>
      <c r="AC119" s="34"/>
      <c r="AD119" s="35"/>
      <c r="AE119" s="36"/>
      <c r="AF119" s="37"/>
      <c r="AH119" s="33"/>
      <c r="AI119" s="34"/>
      <c r="AJ119" s="35"/>
      <c r="AK119" s="36"/>
      <c r="AL119" s="37"/>
      <c r="AN119" s="33"/>
      <c r="AO119" s="34"/>
      <c r="AP119" s="35"/>
      <c r="AQ119" s="36"/>
      <c r="AR119" s="37"/>
      <c r="AT119" s="33"/>
      <c r="AU119" s="34"/>
      <c r="AV119" s="35"/>
      <c r="AW119" s="36"/>
      <c r="AX119" s="37"/>
      <c r="AZ119" s="33"/>
      <c r="BA119" s="34"/>
      <c r="BB119" s="35"/>
      <c r="BC119" s="36"/>
      <c r="BD119" s="37"/>
      <c r="BF119" s="33"/>
      <c r="BG119" s="34"/>
      <c r="BH119" s="35"/>
      <c r="BI119" s="36"/>
      <c r="BJ119" s="37"/>
      <c r="BL119" s="33"/>
      <c r="BM119" s="34"/>
      <c r="BN119" s="35"/>
      <c r="BO119" s="36"/>
      <c r="BP119" s="37"/>
      <c r="BR119" s="33"/>
      <c r="BS119" s="34"/>
      <c r="BT119" s="35"/>
      <c r="BU119" s="36"/>
      <c r="BV119" s="37"/>
      <c r="BX119" s="33"/>
      <c r="BY119" s="34"/>
      <c r="BZ119" s="35"/>
      <c r="CA119" s="36"/>
      <c r="CB119" s="37"/>
      <c r="CD119" s="33"/>
      <c r="CE119" s="34"/>
      <c r="CF119" s="35"/>
      <c r="CG119" s="36"/>
      <c r="CH119" s="37"/>
      <c r="CJ119" s="33"/>
      <c r="CK119" s="34"/>
      <c r="CL119" s="35"/>
      <c r="CM119" s="36"/>
      <c r="CN119" s="37"/>
      <c r="CP119" s="33"/>
      <c r="CQ119" s="34"/>
      <c r="CR119" s="35"/>
      <c r="CS119" s="36"/>
      <c r="CT119" s="37"/>
      <c r="CV119" s="33"/>
      <c r="CW119" s="34"/>
      <c r="CX119" s="35"/>
      <c r="CY119" s="36"/>
      <c r="CZ119" s="37"/>
      <c r="DA119" s="30">
        <f t="shared" si="11"/>
        <v>0</v>
      </c>
      <c r="DB119" s="31" t="e">
        <f>DA119*#REF!</f>
        <v>#REF!</v>
      </c>
      <c r="DC119" s="32" t="e">
        <f>DA119*#REF!</f>
        <v>#REF!</v>
      </c>
      <c r="DE119" s="33"/>
      <c r="DF119" s="34"/>
      <c r="DG119" s="35"/>
      <c r="DH119" s="36"/>
      <c r="DI119" s="37"/>
      <c r="DJ119" s="30">
        <f t="shared" si="12"/>
        <v>0</v>
      </c>
      <c r="DK119" s="31" t="e">
        <f>DJ119*#REF!</f>
        <v>#REF!</v>
      </c>
      <c r="DL119" s="32" t="e">
        <f>DJ119*#REF!</f>
        <v>#REF!</v>
      </c>
      <c r="DN119" s="33"/>
      <c r="DO119" s="34"/>
      <c r="DP119" s="35"/>
      <c r="DQ119" s="36"/>
      <c r="DR119" s="37"/>
      <c r="DS119" s="30">
        <f t="shared" si="13"/>
        <v>0</v>
      </c>
      <c r="DT119" s="31" t="e">
        <f>DS119*#REF!</f>
        <v>#REF!</v>
      </c>
      <c r="DU119" s="32" t="e">
        <f>DS119*#REF!</f>
        <v>#REF!</v>
      </c>
      <c r="DW119" s="33"/>
      <c r="DX119" s="34"/>
      <c r="DY119" s="35"/>
      <c r="DZ119" s="36"/>
      <c r="EA119" s="37"/>
      <c r="EB119" s="30">
        <f t="shared" si="14"/>
        <v>0</v>
      </c>
      <c r="EC119" s="31" t="e">
        <f>EB119*#REF!</f>
        <v>#REF!</v>
      </c>
      <c r="ED119" s="32" t="e">
        <f>EB119*#REF!</f>
        <v>#REF!</v>
      </c>
      <c r="EF119" s="33"/>
      <c r="EG119" s="34"/>
      <c r="EH119" s="35"/>
      <c r="EI119" s="36"/>
      <c r="EJ119" s="37"/>
      <c r="EK119" s="30">
        <f t="shared" si="15"/>
        <v>0</v>
      </c>
      <c r="EL119" s="31" t="e">
        <f>EK119*#REF!</f>
        <v>#REF!</v>
      </c>
      <c r="EM119" s="32" t="e">
        <f>EK119*#REF!</f>
        <v>#REF!</v>
      </c>
      <c r="EO119" s="33"/>
      <c r="EP119" s="34"/>
      <c r="EQ119" s="35"/>
      <c r="ER119" s="36"/>
      <c r="ES119" s="37"/>
      <c r="ET119" s="30">
        <f t="shared" si="16"/>
        <v>0</v>
      </c>
      <c r="EU119" s="31" t="e">
        <f>ET119*#REF!</f>
        <v>#REF!</v>
      </c>
      <c r="EV119" s="32" t="e">
        <f>ET119*#REF!</f>
        <v>#REF!</v>
      </c>
      <c r="EX119" s="33"/>
      <c r="EY119" s="34"/>
      <c r="EZ119" s="35"/>
      <c r="FA119" s="36"/>
      <c r="FB119" s="37"/>
      <c r="FC119" s="30">
        <f t="shared" si="17"/>
        <v>0</v>
      </c>
      <c r="FD119" s="31" t="e">
        <f>FC119*#REF!</f>
        <v>#REF!</v>
      </c>
      <c r="FE119" s="32" t="e">
        <f>FC119*#REF!</f>
        <v>#REF!</v>
      </c>
      <c r="FG119" s="33"/>
      <c r="FH119" s="34"/>
      <c r="FI119" s="35"/>
      <c r="FJ119" s="36"/>
      <c r="FK119" s="37"/>
      <c r="FL119" s="30">
        <f t="shared" si="18"/>
        <v>0</v>
      </c>
      <c r="FM119" s="31" t="e">
        <f>FL119*#REF!</f>
        <v>#REF!</v>
      </c>
      <c r="FN119" s="32" t="e">
        <f>FL119*#REF!</f>
        <v>#REF!</v>
      </c>
      <c r="FP119" s="33"/>
      <c r="FQ119" s="34"/>
      <c r="FR119" s="35"/>
      <c r="FS119" s="36"/>
      <c r="FT119" s="37"/>
      <c r="FU119" s="30">
        <f t="shared" si="19"/>
        <v>0</v>
      </c>
      <c r="FV119" s="31" t="e">
        <f>FU119*#REF!</f>
        <v>#REF!</v>
      </c>
      <c r="FW119" s="32" t="e">
        <f>FU119*#REF!</f>
        <v>#REF!</v>
      </c>
      <c r="FY119" s="33"/>
      <c r="FZ119" s="34"/>
      <c r="GA119" s="35"/>
      <c r="GB119" s="36"/>
      <c r="GC119" s="37"/>
      <c r="GD119" s="30">
        <f t="shared" si="20"/>
        <v>0</v>
      </c>
      <c r="GE119" s="31" t="e">
        <f>GD119*#REF!</f>
        <v>#REF!</v>
      </c>
      <c r="GF119" s="32" t="e">
        <f>GD119*#REF!</f>
        <v>#REF!</v>
      </c>
      <c r="GH119" s="33"/>
      <c r="GI119" s="34"/>
      <c r="GJ119" s="35"/>
      <c r="GK119" s="36"/>
      <c r="GL119" s="37"/>
      <c r="GM119" s="30">
        <f t="shared" si="21"/>
        <v>0</v>
      </c>
      <c r="GN119" s="31" t="e">
        <f>GM119*#REF!</f>
        <v>#REF!</v>
      </c>
      <c r="GO119" s="32" t="e">
        <f>GM119*#REF!</f>
        <v>#REF!</v>
      </c>
      <c r="GQ119" s="38">
        <f>_xlfn.MAXIFS(I119:GO119,$I$5:$GO$5,"Staff #")</f>
        <v>0</v>
      </c>
      <c r="GR119" s="39">
        <v>0</v>
      </c>
    </row>
    <row r="120" spans="2:200" ht="15" x14ac:dyDescent="0.25">
      <c r="B120" s="22"/>
      <c r="C120" s="23"/>
      <c r="D120" s="24" t="str">
        <f>IF(C120="","",_xlfn.XLOOKUP(C120,'[3]Control Sheet'!$L$5:$L$104,'[3]Control Sheet'!$M$5:$M$104,"",0))</f>
        <v/>
      </c>
      <c r="E120" s="24" t="str">
        <f>IF(B120="","",_xlfn.XLOOKUP(B120,'[3]Control Sheet'!$D$5:$D$64,'[3]Control Sheet'!$F$5:$F$64,"",0))</f>
        <v/>
      </c>
      <c r="F120" s="24" t="str">
        <f>IF(B120="","",_xlfn.XLOOKUP(B120,'[3]Control Sheet'!$D$5:$D$64,'[3]Control Sheet'!$E$5:$E$64,"",0))</f>
        <v/>
      </c>
      <c r="I120" s="33"/>
      <c r="J120" s="34"/>
      <c r="K120" s="35"/>
      <c r="L120" s="36"/>
      <c r="M120" s="37"/>
      <c r="P120" s="33"/>
      <c r="Q120" s="34"/>
      <c r="R120" s="35"/>
      <c r="S120" s="36"/>
      <c r="T120" s="37"/>
      <c r="V120" s="33"/>
      <c r="W120" s="34"/>
      <c r="X120" s="35"/>
      <c r="Y120" s="36"/>
      <c r="Z120" s="37"/>
      <c r="AB120" s="33"/>
      <c r="AC120" s="34"/>
      <c r="AD120" s="35"/>
      <c r="AE120" s="36"/>
      <c r="AF120" s="37"/>
      <c r="AH120" s="33"/>
      <c r="AI120" s="34"/>
      <c r="AJ120" s="35"/>
      <c r="AK120" s="36"/>
      <c r="AL120" s="37"/>
      <c r="AN120" s="33"/>
      <c r="AO120" s="34"/>
      <c r="AP120" s="35"/>
      <c r="AQ120" s="36"/>
      <c r="AR120" s="37"/>
      <c r="AT120" s="33"/>
      <c r="AU120" s="34"/>
      <c r="AV120" s="35"/>
      <c r="AW120" s="36"/>
      <c r="AX120" s="37"/>
      <c r="AZ120" s="33"/>
      <c r="BA120" s="34"/>
      <c r="BB120" s="35"/>
      <c r="BC120" s="36"/>
      <c r="BD120" s="37"/>
      <c r="BF120" s="33"/>
      <c r="BG120" s="34"/>
      <c r="BH120" s="35"/>
      <c r="BI120" s="36"/>
      <c r="BJ120" s="37"/>
      <c r="BL120" s="33"/>
      <c r="BM120" s="34"/>
      <c r="BN120" s="35"/>
      <c r="BO120" s="36"/>
      <c r="BP120" s="37"/>
      <c r="BR120" s="33"/>
      <c r="BS120" s="34"/>
      <c r="BT120" s="35"/>
      <c r="BU120" s="36"/>
      <c r="BV120" s="37"/>
      <c r="BX120" s="33"/>
      <c r="BY120" s="34"/>
      <c r="BZ120" s="35"/>
      <c r="CA120" s="36"/>
      <c r="CB120" s="37"/>
      <c r="CD120" s="33"/>
      <c r="CE120" s="34"/>
      <c r="CF120" s="35"/>
      <c r="CG120" s="36"/>
      <c r="CH120" s="37"/>
      <c r="CJ120" s="33"/>
      <c r="CK120" s="34"/>
      <c r="CL120" s="35"/>
      <c r="CM120" s="36"/>
      <c r="CN120" s="37"/>
      <c r="CP120" s="33"/>
      <c r="CQ120" s="34"/>
      <c r="CR120" s="35"/>
      <c r="CS120" s="36"/>
      <c r="CT120" s="37"/>
      <c r="CV120" s="33"/>
      <c r="CW120" s="34"/>
      <c r="CX120" s="35"/>
      <c r="CY120" s="36"/>
      <c r="CZ120" s="37"/>
      <c r="DA120" s="30">
        <f t="shared" si="11"/>
        <v>0</v>
      </c>
      <c r="DB120" s="31" t="e">
        <f>DA120*#REF!</f>
        <v>#REF!</v>
      </c>
      <c r="DC120" s="32" t="e">
        <f>DA120*#REF!</f>
        <v>#REF!</v>
      </c>
      <c r="DE120" s="33"/>
      <c r="DF120" s="34"/>
      <c r="DG120" s="35"/>
      <c r="DH120" s="36"/>
      <c r="DI120" s="37"/>
      <c r="DJ120" s="30">
        <f t="shared" si="12"/>
        <v>0</v>
      </c>
      <c r="DK120" s="31" t="e">
        <f>DJ120*#REF!</f>
        <v>#REF!</v>
      </c>
      <c r="DL120" s="32" t="e">
        <f>DJ120*#REF!</f>
        <v>#REF!</v>
      </c>
      <c r="DN120" s="33"/>
      <c r="DO120" s="34"/>
      <c r="DP120" s="35"/>
      <c r="DQ120" s="36"/>
      <c r="DR120" s="37"/>
      <c r="DS120" s="30">
        <f t="shared" si="13"/>
        <v>0</v>
      </c>
      <c r="DT120" s="31" t="e">
        <f>DS120*#REF!</f>
        <v>#REF!</v>
      </c>
      <c r="DU120" s="32" t="e">
        <f>DS120*#REF!</f>
        <v>#REF!</v>
      </c>
      <c r="DW120" s="33"/>
      <c r="DX120" s="34"/>
      <c r="DY120" s="35"/>
      <c r="DZ120" s="36"/>
      <c r="EA120" s="37"/>
      <c r="EB120" s="30">
        <f t="shared" si="14"/>
        <v>0</v>
      </c>
      <c r="EC120" s="31" t="e">
        <f>EB120*#REF!</f>
        <v>#REF!</v>
      </c>
      <c r="ED120" s="32" t="e">
        <f>EB120*#REF!</f>
        <v>#REF!</v>
      </c>
      <c r="EF120" s="33"/>
      <c r="EG120" s="34"/>
      <c r="EH120" s="35"/>
      <c r="EI120" s="36"/>
      <c r="EJ120" s="37"/>
      <c r="EK120" s="30">
        <f t="shared" si="15"/>
        <v>0</v>
      </c>
      <c r="EL120" s="31" t="e">
        <f>EK120*#REF!</f>
        <v>#REF!</v>
      </c>
      <c r="EM120" s="32" t="e">
        <f>EK120*#REF!</f>
        <v>#REF!</v>
      </c>
      <c r="EO120" s="33"/>
      <c r="EP120" s="34"/>
      <c r="EQ120" s="35"/>
      <c r="ER120" s="36"/>
      <c r="ES120" s="37"/>
      <c r="ET120" s="30">
        <f t="shared" si="16"/>
        <v>0</v>
      </c>
      <c r="EU120" s="31" t="e">
        <f>ET120*#REF!</f>
        <v>#REF!</v>
      </c>
      <c r="EV120" s="32" t="e">
        <f>ET120*#REF!</f>
        <v>#REF!</v>
      </c>
      <c r="EX120" s="33"/>
      <c r="EY120" s="34"/>
      <c r="EZ120" s="35"/>
      <c r="FA120" s="36"/>
      <c r="FB120" s="37"/>
      <c r="FC120" s="30">
        <f t="shared" si="17"/>
        <v>0</v>
      </c>
      <c r="FD120" s="31" t="e">
        <f>FC120*#REF!</f>
        <v>#REF!</v>
      </c>
      <c r="FE120" s="32" t="e">
        <f>FC120*#REF!</f>
        <v>#REF!</v>
      </c>
      <c r="FG120" s="33"/>
      <c r="FH120" s="34"/>
      <c r="FI120" s="35"/>
      <c r="FJ120" s="36"/>
      <c r="FK120" s="37"/>
      <c r="FL120" s="30">
        <f t="shared" si="18"/>
        <v>0</v>
      </c>
      <c r="FM120" s="31" t="e">
        <f>FL120*#REF!</f>
        <v>#REF!</v>
      </c>
      <c r="FN120" s="32" t="e">
        <f>FL120*#REF!</f>
        <v>#REF!</v>
      </c>
      <c r="FP120" s="33"/>
      <c r="FQ120" s="34"/>
      <c r="FR120" s="35"/>
      <c r="FS120" s="36"/>
      <c r="FT120" s="37"/>
      <c r="FU120" s="30">
        <f t="shared" si="19"/>
        <v>0</v>
      </c>
      <c r="FV120" s="31" t="e">
        <f>FU120*#REF!</f>
        <v>#REF!</v>
      </c>
      <c r="FW120" s="32" t="e">
        <f>FU120*#REF!</f>
        <v>#REF!</v>
      </c>
      <c r="FY120" s="33"/>
      <c r="FZ120" s="34"/>
      <c r="GA120" s="35"/>
      <c r="GB120" s="36"/>
      <c r="GC120" s="37"/>
      <c r="GD120" s="30">
        <f t="shared" si="20"/>
        <v>0</v>
      </c>
      <c r="GE120" s="31" t="e">
        <f>GD120*#REF!</f>
        <v>#REF!</v>
      </c>
      <c r="GF120" s="32" t="e">
        <f>GD120*#REF!</f>
        <v>#REF!</v>
      </c>
      <c r="GH120" s="33"/>
      <c r="GI120" s="34"/>
      <c r="GJ120" s="35"/>
      <c r="GK120" s="36"/>
      <c r="GL120" s="37"/>
      <c r="GM120" s="30">
        <f t="shared" si="21"/>
        <v>0</v>
      </c>
      <c r="GN120" s="31" t="e">
        <f>GM120*#REF!</f>
        <v>#REF!</v>
      </c>
      <c r="GO120" s="32" t="e">
        <f>GM120*#REF!</f>
        <v>#REF!</v>
      </c>
      <c r="GQ120" s="38">
        <f>_xlfn.MAXIFS(I120:GO120,$I$5:$GO$5,"Staff #")</f>
        <v>0</v>
      </c>
      <c r="GR120" s="39">
        <v>0</v>
      </c>
    </row>
    <row r="121" spans="2:200" ht="15" x14ac:dyDescent="0.25">
      <c r="B121" s="22"/>
      <c r="C121" s="23"/>
      <c r="D121" s="24" t="str">
        <f>IF(C121="","",_xlfn.XLOOKUP(C121,'[3]Control Sheet'!$L$5:$L$104,'[3]Control Sheet'!$M$5:$M$104,"",0))</f>
        <v/>
      </c>
      <c r="E121" s="24" t="str">
        <f>IF(B121="","",_xlfn.XLOOKUP(B121,'[3]Control Sheet'!$D$5:$D$64,'[3]Control Sheet'!$F$5:$F$64,"",0))</f>
        <v/>
      </c>
      <c r="F121" s="24" t="str">
        <f>IF(B121="","",_xlfn.XLOOKUP(B121,'[3]Control Sheet'!$D$5:$D$64,'[3]Control Sheet'!$E$5:$E$64,"",0))</f>
        <v/>
      </c>
      <c r="I121" s="33"/>
      <c r="J121" s="34"/>
      <c r="K121" s="35"/>
      <c r="L121" s="36"/>
      <c r="M121" s="37"/>
      <c r="P121" s="33"/>
      <c r="Q121" s="34"/>
      <c r="R121" s="35"/>
      <c r="S121" s="36"/>
      <c r="T121" s="37"/>
      <c r="V121" s="33"/>
      <c r="W121" s="34"/>
      <c r="X121" s="35"/>
      <c r="Y121" s="36"/>
      <c r="Z121" s="37"/>
      <c r="AB121" s="33"/>
      <c r="AC121" s="34"/>
      <c r="AD121" s="35"/>
      <c r="AE121" s="36"/>
      <c r="AF121" s="37"/>
      <c r="AH121" s="33"/>
      <c r="AI121" s="34"/>
      <c r="AJ121" s="35"/>
      <c r="AK121" s="36"/>
      <c r="AL121" s="37"/>
      <c r="AN121" s="33"/>
      <c r="AO121" s="34"/>
      <c r="AP121" s="35"/>
      <c r="AQ121" s="36"/>
      <c r="AR121" s="37"/>
      <c r="AT121" s="33"/>
      <c r="AU121" s="34"/>
      <c r="AV121" s="35"/>
      <c r="AW121" s="36"/>
      <c r="AX121" s="37"/>
      <c r="AZ121" s="33"/>
      <c r="BA121" s="34"/>
      <c r="BB121" s="35"/>
      <c r="BC121" s="36"/>
      <c r="BD121" s="37"/>
      <c r="BF121" s="33"/>
      <c r="BG121" s="34"/>
      <c r="BH121" s="35"/>
      <c r="BI121" s="36"/>
      <c r="BJ121" s="37"/>
      <c r="BL121" s="33"/>
      <c r="BM121" s="34"/>
      <c r="BN121" s="35"/>
      <c r="BO121" s="36"/>
      <c r="BP121" s="37"/>
      <c r="BR121" s="33"/>
      <c r="BS121" s="34"/>
      <c r="BT121" s="35"/>
      <c r="BU121" s="36"/>
      <c r="BV121" s="37"/>
      <c r="BX121" s="33"/>
      <c r="BY121" s="34"/>
      <c r="BZ121" s="35"/>
      <c r="CA121" s="36"/>
      <c r="CB121" s="37"/>
      <c r="CD121" s="33"/>
      <c r="CE121" s="34"/>
      <c r="CF121" s="35"/>
      <c r="CG121" s="36"/>
      <c r="CH121" s="37"/>
      <c r="CJ121" s="33"/>
      <c r="CK121" s="34"/>
      <c r="CL121" s="35"/>
      <c r="CM121" s="36"/>
      <c r="CN121" s="37"/>
      <c r="CP121" s="33"/>
      <c r="CQ121" s="34"/>
      <c r="CR121" s="35"/>
      <c r="CS121" s="36"/>
      <c r="CT121" s="37"/>
      <c r="CV121" s="33"/>
      <c r="CW121" s="34"/>
      <c r="CX121" s="35"/>
      <c r="CY121" s="36"/>
      <c r="CZ121" s="37"/>
      <c r="DA121" s="30">
        <f t="shared" si="11"/>
        <v>0</v>
      </c>
      <c r="DB121" s="31" t="e">
        <f>DA121*#REF!</f>
        <v>#REF!</v>
      </c>
      <c r="DC121" s="32" t="e">
        <f>DA121*#REF!</f>
        <v>#REF!</v>
      </c>
      <c r="DE121" s="33"/>
      <c r="DF121" s="34"/>
      <c r="DG121" s="35"/>
      <c r="DH121" s="36"/>
      <c r="DI121" s="37"/>
      <c r="DJ121" s="30">
        <f t="shared" si="12"/>
        <v>0</v>
      </c>
      <c r="DK121" s="31" t="e">
        <f>DJ121*#REF!</f>
        <v>#REF!</v>
      </c>
      <c r="DL121" s="32" t="e">
        <f>DJ121*#REF!</f>
        <v>#REF!</v>
      </c>
      <c r="DN121" s="33"/>
      <c r="DO121" s="34"/>
      <c r="DP121" s="35"/>
      <c r="DQ121" s="36"/>
      <c r="DR121" s="37"/>
      <c r="DS121" s="30">
        <f t="shared" si="13"/>
        <v>0</v>
      </c>
      <c r="DT121" s="31" t="e">
        <f>DS121*#REF!</f>
        <v>#REF!</v>
      </c>
      <c r="DU121" s="32" t="e">
        <f>DS121*#REF!</f>
        <v>#REF!</v>
      </c>
      <c r="DW121" s="33"/>
      <c r="DX121" s="34"/>
      <c r="DY121" s="35"/>
      <c r="DZ121" s="36"/>
      <c r="EA121" s="37"/>
      <c r="EB121" s="30">
        <f t="shared" si="14"/>
        <v>0</v>
      </c>
      <c r="EC121" s="31" t="e">
        <f>EB121*#REF!</f>
        <v>#REF!</v>
      </c>
      <c r="ED121" s="32" t="e">
        <f>EB121*#REF!</f>
        <v>#REF!</v>
      </c>
      <c r="EF121" s="33"/>
      <c r="EG121" s="34"/>
      <c r="EH121" s="35"/>
      <c r="EI121" s="36"/>
      <c r="EJ121" s="37"/>
      <c r="EK121" s="30">
        <f t="shared" si="15"/>
        <v>0</v>
      </c>
      <c r="EL121" s="31" t="e">
        <f>EK121*#REF!</f>
        <v>#REF!</v>
      </c>
      <c r="EM121" s="32" t="e">
        <f>EK121*#REF!</f>
        <v>#REF!</v>
      </c>
      <c r="EO121" s="33"/>
      <c r="EP121" s="34"/>
      <c r="EQ121" s="35"/>
      <c r="ER121" s="36"/>
      <c r="ES121" s="37"/>
      <c r="ET121" s="30">
        <f t="shared" si="16"/>
        <v>0</v>
      </c>
      <c r="EU121" s="31" t="e">
        <f>ET121*#REF!</f>
        <v>#REF!</v>
      </c>
      <c r="EV121" s="32" t="e">
        <f>ET121*#REF!</f>
        <v>#REF!</v>
      </c>
      <c r="EX121" s="33"/>
      <c r="EY121" s="34"/>
      <c r="EZ121" s="35"/>
      <c r="FA121" s="36"/>
      <c r="FB121" s="37"/>
      <c r="FC121" s="30">
        <f t="shared" si="17"/>
        <v>0</v>
      </c>
      <c r="FD121" s="31" t="e">
        <f>FC121*#REF!</f>
        <v>#REF!</v>
      </c>
      <c r="FE121" s="32" t="e">
        <f>FC121*#REF!</f>
        <v>#REF!</v>
      </c>
      <c r="FG121" s="33"/>
      <c r="FH121" s="34"/>
      <c r="FI121" s="35"/>
      <c r="FJ121" s="36"/>
      <c r="FK121" s="37"/>
      <c r="FL121" s="30">
        <f t="shared" si="18"/>
        <v>0</v>
      </c>
      <c r="FM121" s="31" t="e">
        <f>FL121*#REF!</f>
        <v>#REF!</v>
      </c>
      <c r="FN121" s="32" t="e">
        <f>FL121*#REF!</f>
        <v>#REF!</v>
      </c>
      <c r="FP121" s="33"/>
      <c r="FQ121" s="34"/>
      <c r="FR121" s="35"/>
      <c r="FS121" s="36"/>
      <c r="FT121" s="37"/>
      <c r="FU121" s="30">
        <f t="shared" si="19"/>
        <v>0</v>
      </c>
      <c r="FV121" s="31" t="e">
        <f>FU121*#REF!</f>
        <v>#REF!</v>
      </c>
      <c r="FW121" s="32" t="e">
        <f>FU121*#REF!</f>
        <v>#REF!</v>
      </c>
      <c r="FY121" s="33"/>
      <c r="FZ121" s="34"/>
      <c r="GA121" s="35"/>
      <c r="GB121" s="36"/>
      <c r="GC121" s="37"/>
      <c r="GD121" s="30">
        <f t="shared" si="20"/>
        <v>0</v>
      </c>
      <c r="GE121" s="31" t="e">
        <f>GD121*#REF!</f>
        <v>#REF!</v>
      </c>
      <c r="GF121" s="32" t="e">
        <f>GD121*#REF!</f>
        <v>#REF!</v>
      </c>
      <c r="GH121" s="33"/>
      <c r="GI121" s="34"/>
      <c r="GJ121" s="35"/>
      <c r="GK121" s="36"/>
      <c r="GL121" s="37"/>
      <c r="GM121" s="30">
        <f t="shared" si="21"/>
        <v>0</v>
      </c>
      <c r="GN121" s="31" t="e">
        <f>GM121*#REF!</f>
        <v>#REF!</v>
      </c>
      <c r="GO121" s="32" t="e">
        <f>GM121*#REF!</f>
        <v>#REF!</v>
      </c>
      <c r="GQ121" s="38">
        <f>_xlfn.MAXIFS(I121:GO121,$I$5:$GO$5,"Staff #")</f>
        <v>0</v>
      </c>
      <c r="GR121" s="39">
        <v>0</v>
      </c>
    </row>
    <row r="122" spans="2:200" ht="15" x14ac:dyDescent="0.25">
      <c r="B122" s="22"/>
      <c r="C122" s="23"/>
      <c r="D122" s="24" t="str">
        <f>IF(C122="","",_xlfn.XLOOKUP(C122,'[3]Control Sheet'!$L$5:$L$104,'[3]Control Sheet'!$M$5:$M$104,"",0))</f>
        <v/>
      </c>
      <c r="E122" s="24" t="str">
        <f>IF(B122="","",_xlfn.XLOOKUP(B122,'[3]Control Sheet'!$D$5:$D$64,'[3]Control Sheet'!$F$5:$F$64,"",0))</f>
        <v/>
      </c>
      <c r="F122" s="24" t="str">
        <f>IF(B122="","",_xlfn.XLOOKUP(B122,'[3]Control Sheet'!$D$5:$D$64,'[3]Control Sheet'!$E$5:$E$64,"",0))</f>
        <v/>
      </c>
      <c r="I122" s="33"/>
      <c r="J122" s="34"/>
      <c r="K122" s="35"/>
      <c r="L122" s="36"/>
      <c r="M122" s="37"/>
      <c r="P122" s="33"/>
      <c r="Q122" s="34"/>
      <c r="R122" s="35"/>
      <c r="S122" s="36"/>
      <c r="T122" s="37"/>
      <c r="V122" s="33"/>
      <c r="W122" s="34"/>
      <c r="X122" s="35"/>
      <c r="Y122" s="36"/>
      <c r="Z122" s="37"/>
      <c r="AB122" s="33"/>
      <c r="AC122" s="34"/>
      <c r="AD122" s="35"/>
      <c r="AE122" s="36"/>
      <c r="AF122" s="37"/>
      <c r="AH122" s="33"/>
      <c r="AI122" s="34"/>
      <c r="AJ122" s="35"/>
      <c r="AK122" s="36"/>
      <c r="AL122" s="37"/>
      <c r="AN122" s="33"/>
      <c r="AO122" s="34"/>
      <c r="AP122" s="35"/>
      <c r="AQ122" s="36"/>
      <c r="AR122" s="37"/>
      <c r="AT122" s="33"/>
      <c r="AU122" s="34"/>
      <c r="AV122" s="35"/>
      <c r="AW122" s="36"/>
      <c r="AX122" s="37"/>
      <c r="AZ122" s="33"/>
      <c r="BA122" s="34"/>
      <c r="BB122" s="35"/>
      <c r="BC122" s="36"/>
      <c r="BD122" s="37"/>
      <c r="BF122" s="33"/>
      <c r="BG122" s="34"/>
      <c r="BH122" s="35"/>
      <c r="BI122" s="36"/>
      <c r="BJ122" s="37"/>
      <c r="BL122" s="33"/>
      <c r="BM122" s="34"/>
      <c r="BN122" s="35"/>
      <c r="BO122" s="36"/>
      <c r="BP122" s="37"/>
      <c r="BR122" s="33"/>
      <c r="BS122" s="34"/>
      <c r="BT122" s="35"/>
      <c r="BU122" s="36"/>
      <c r="BV122" s="37"/>
      <c r="BX122" s="33"/>
      <c r="BY122" s="34"/>
      <c r="BZ122" s="35"/>
      <c r="CA122" s="36"/>
      <c r="CB122" s="37"/>
      <c r="CD122" s="33"/>
      <c r="CE122" s="34"/>
      <c r="CF122" s="35"/>
      <c r="CG122" s="36"/>
      <c r="CH122" s="37"/>
      <c r="CJ122" s="33"/>
      <c r="CK122" s="34"/>
      <c r="CL122" s="35"/>
      <c r="CM122" s="36"/>
      <c r="CN122" s="37"/>
      <c r="CP122" s="33"/>
      <c r="CQ122" s="34"/>
      <c r="CR122" s="35"/>
      <c r="CS122" s="36"/>
      <c r="CT122" s="37"/>
      <c r="CV122" s="33"/>
      <c r="CW122" s="34"/>
      <c r="CX122" s="35"/>
      <c r="CY122" s="36"/>
      <c r="CZ122" s="37"/>
      <c r="DA122" s="30">
        <f t="shared" si="11"/>
        <v>0</v>
      </c>
      <c r="DB122" s="31" t="e">
        <f>DA122*#REF!</f>
        <v>#REF!</v>
      </c>
      <c r="DC122" s="32" t="e">
        <f>DA122*#REF!</f>
        <v>#REF!</v>
      </c>
      <c r="DE122" s="33"/>
      <c r="DF122" s="34"/>
      <c r="DG122" s="35"/>
      <c r="DH122" s="36"/>
      <c r="DI122" s="37"/>
      <c r="DJ122" s="30">
        <f t="shared" si="12"/>
        <v>0</v>
      </c>
      <c r="DK122" s="31" t="e">
        <f>DJ122*#REF!</f>
        <v>#REF!</v>
      </c>
      <c r="DL122" s="32" t="e">
        <f>DJ122*#REF!</f>
        <v>#REF!</v>
      </c>
      <c r="DN122" s="33"/>
      <c r="DO122" s="34"/>
      <c r="DP122" s="35"/>
      <c r="DQ122" s="36"/>
      <c r="DR122" s="37"/>
      <c r="DS122" s="30">
        <f t="shared" si="13"/>
        <v>0</v>
      </c>
      <c r="DT122" s="31" t="e">
        <f>DS122*#REF!</f>
        <v>#REF!</v>
      </c>
      <c r="DU122" s="32" t="e">
        <f>DS122*#REF!</f>
        <v>#REF!</v>
      </c>
      <c r="DW122" s="33"/>
      <c r="DX122" s="34"/>
      <c r="DY122" s="35"/>
      <c r="DZ122" s="36"/>
      <c r="EA122" s="37"/>
      <c r="EB122" s="30">
        <f t="shared" si="14"/>
        <v>0</v>
      </c>
      <c r="EC122" s="31" t="e">
        <f>EB122*#REF!</f>
        <v>#REF!</v>
      </c>
      <c r="ED122" s="32" t="e">
        <f>EB122*#REF!</f>
        <v>#REF!</v>
      </c>
      <c r="EF122" s="33"/>
      <c r="EG122" s="34"/>
      <c r="EH122" s="35"/>
      <c r="EI122" s="36"/>
      <c r="EJ122" s="37"/>
      <c r="EK122" s="30">
        <f t="shared" si="15"/>
        <v>0</v>
      </c>
      <c r="EL122" s="31" t="e">
        <f>EK122*#REF!</f>
        <v>#REF!</v>
      </c>
      <c r="EM122" s="32" t="e">
        <f>EK122*#REF!</f>
        <v>#REF!</v>
      </c>
      <c r="EO122" s="33"/>
      <c r="EP122" s="34"/>
      <c r="EQ122" s="35"/>
      <c r="ER122" s="36"/>
      <c r="ES122" s="37"/>
      <c r="ET122" s="30">
        <f t="shared" si="16"/>
        <v>0</v>
      </c>
      <c r="EU122" s="31" t="e">
        <f>ET122*#REF!</f>
        <v>#REF!</v>
      </c>
      <c r="EV122" s="32" t="e">
        <f>ET122*#REF!</f>
        <v>#REF!</v>
      </c>
      <c r="EX122" s="33"/>
      <c r="EY122" s="34"/>
      <c r="EZ122" s="35"/>
      <c r="FA122" s="36"/>
      <c r="FB122" s="37"/>
      <c r="FC122" s="30">
        <f t="shared" si="17"/>
        <v>0</v>
      </c>
      <c r="FD122" s="31" t="e">
        <f>FC122*#REF!</f>
        <v>#REF!</v>
      </c>
      <c r="FE122" s="32" t="e">
        <f>FC122*#REF!</f>
        <v>#REF!</v>
      </c>
      <c r="FG122" s="33"/>
      <c r="FH122" s="34"/>
      <c r="FI122" s="35"/>
      <c r="FJ122" s="36"/>
      <c r="FK122" s="37"/>
      <c r="FL122" s="30">
        <f t="shared" si="18"/>
        <v>0</v>
      </c>
      <c r="FM122" s="31" t="e">
        <f>FL122*#REF!</f>
        <v>#REF!</v>
      </c>
      <c r="FN122" s="32" t="e">
        <f>FL122*#REF!</f>
        <v>#REF!</v>
      </c>
      <c r="FP122" s="33"/>
      <c r="FQ122" s="34"/>
      <c r="FR122" s="35"/>
      <c r="FS122" s="36"/>
      <c r="FT122" s="37"/>
      <c r="FU122" s="30">
        <f t="shared" si="19"/>
        <v>0</v>
      </c>
      <c r="FV122" s="31" t="e">
        <f>FU122*#REF!</f>
        <v>#REF!</v>
      </c>
      <c r="FW122" s="32" t="e">
        <f>FU122*#REF!</f>
        <v>#REF!</v>
      </c>
      <c r="FY122" s="33"/>
      <c r="FZ122" s="34"/>
      <c r="GA122" s="35"/>
      <c r="GB122" s="36"/>
      <c r="GC122" s="37"/>
      <c r="GD122" s="30">
        <f t="shared" si="20"/>
        <v>0</v>
      </c>
      <c r="GE122" s="31" t="e">
        <f>GD122*#REF!</f>
        <v>#REF!</v>
      </c>
      <c r="GF122" s="32" t="e">
        <f>GD122*#REF!</f>
        <v>#REF!</v>
      </c>
      <c r="GH122" s="33"/>
      <c r="GI122" s="34"/>
      <c r="GJ122" s="35"/>
      <c r="GK122" s="36"/>
      <c r="GL122" s="37"/>
      <c r="GM122" s="30">
        <f t="shared" si="21"/>
        <v>0</v>
      </c>
      <c r="GN122" s="31" t="e">
        <f>GM122*#REF!</f>
        <v>#REF!</v>
      </c>
      <c r="GO122" s="32" t="e">
        <f>GM122*#REF!</f>
        <v>#REF!</v>
      </c>
      <c r="GQ122" s="38">
        <f>_xlfn.MAXIFS(I122:GO122,$I$5:$GO$5,"Staff #")</f>
        <v>0</v>
      </c>
      <c r="GR122" s="39">
        <v>0</v>
      </c>
    </row>
    <row r="123" spans="2:200" ht="15" x14ac:dyDescent="0.25">
      <c r="B123" s="22"/>
      <c r="C123" s="23"/>
      <c r="D123" s="24" t="str">
        <f>IF(C123="","",_xlfn.XLOOKUP(C123,'[3]Control Sheet'!$L$5:$L$104,'[3]Control Sheet'!$M$5:$M$104,"",0))</f>
        <v/>
      </c>
      <c r="E123" s="24" t="str">
        <f>IF(B123="","",_xlfn.XLOOKUP(B123,'[3]Control Sheet'!$D$5:$D$64,'[3]Control Sheet'!$F$5:$F$64,"",0))</f>
        <v/>
      </c>
      <c r="F123" s="24" t="str">
        <f>IF(B123="","",_xlfn.XLOOKUP(B123,'[3]Control Sheet'!$D$5:$D$64,'[3]Control Sheet'!$E$5:$E$64,"",0))</f>
        <v/>
      </c>
      <c r="I123" s="33"/>
      <c r="J123" s="34"/>
      <c r="K123" s="35"/>
      <c r="L123" s="36"/>
      <c r="M123" s="37"/>
      <c r="P123" s="33"/>
      <c r="Q123" s="34"/>
      <c r="R123" s="35"/>
      <c r="S123" s="36"/>
      <c r="T123" s="37"/>
      <c r="V123" s="33"/>
      <c r="W123" s="34"/>
      <c r="X123" s="35"/>
      <c r="Y123" s="36"/>
      <c r="Z123" s="37"/>
      <c r="AB123" s="33"/>
      <c r="AC123" s="34"/>
      <c r="AD123" s="35"/>
      <c r="AE123" s="36"/>
      <c r="AF123" s="37"/>
      <c r="AH123" s="33"/>
      <c r="AI123" s="34"/>
      <c r="AJ123" s="35"/>
      <c r="AK123" s="36"/>
      <c r="AL123" s="37"/>
      <c r="AN123" s="33"/>
      <c r="AO123" s="34"/>
      <c r="AP123" s="35"/>
      <c r="AQ123" s="36"/>
      <c r="AR123" s="37"/>
      <c r="AT123" s="33"/>
      <c r="AU123" s="34"/>
      <c r="AV123" s="35"/>
      <c r="AW123" s="36"/>
      <c r="AX123" s="37"/>
      <c r="AZ123" s="33"/>
      <c r="BA123" s="34"/>
      <c r="BB123" s="35"/>
      <c r="BC123" s="36"/>
      <c r="BD123" s="37"/>
      <c r="BF123" s="33"/>
      <c r="BG123" s="34"/>
      <c r="BH123" s="35"/>
      <c r="BI123" s="36"/>
      <c r="BJ123" s="37"/>
      <c r="BL123" s="33"/>
      <c r="BM123" s="34"/>
      <c r="BN123" s="35"/>
      <c r="BO123" s="36"/>
      <c r="BP123" s="37"/>
      <c r="BR123" s="33"/>
      <c r="BS123" s="34"/>
      <c r="BT123" s="35"/>
      <c r="BU123" s="36"/>
      <c r="BV123" s="37"/>
      <c r="BX123" s="33"/>
      <c r="BY123" s="34"/>
      <c r="BZ123" s="35"/>
      <c r="CA123" s="36"/>
      <c r="CB123" s="37"/>
      <c r="CD123" s="33"/>
      <c r="CE123" s="34"/>
      <c r="CF123" s="35"/>
      <c r="CG123" s="36"/>
      <c r="CH123" s="37"/>
      <c r="CJ123" s="33"/>
      <c r="CK123" s="34"/>
      <c r="CL123" s="35"/>
      <c r="CM123" s="36"/>
      <c r="CN123" s="37"/>
      <c r="CP123" s="33"/>
      <c r="CQ123" s="34"/>
      <c r="CR123" s="35"/>
      <c r="CS123" s="36"/>
      <c r="CT123" s="37"/>
      <c r="CV123" s="33"/>
      <c r="CW123" s="34"/>
      <c r="CX123" s="35"/>
      <c r="CY123" s="36"/>
      <c r="CZ123" s="37"/>
      <c r="DA123" s="30">
        <f t="shared" si="11"/>
        <v>0</v>
      </c>
      <c r="DB123" s="31" t="e">
        <f>DA123*#REF!</f>
        <v>#REF!</v>
      </c>
      <c r="DC123" s="32" t="e">
        <f>DA123*#REF!</f>
        <v>#REF!</v>
      </c>
      <c r="DE123" s="33"/>
      <c r="DF123" s="34"/>
      <c r="DG123" s="35"/>
      <c r="DH123" s="36"/>
      <c r="DI123" s="37"/>
      <c r="DJ123" s="30">
        <f t="shared" si="12"/>
        <v>0</v>
      </c>
      <c r="DK123" s="31" t="e">
        <f>DJ123*#REF!</f>
        <v>#REF!</v>
      </c>
      <c r="DL123" s="32" t="e">
        <f>DJ123*#REF!</f>
        <v>#REF!</v>
      </c>
      <c r="DN123" s="33"/>
      <c r="DO123" s="34"/>
      <c r="DP123" s="35"/>
      <c r="DQ123" s="36"/>
      <c r="DR123" s="37"/>
      <c r="DS123" s="30">
        <f t="shared" si="13"/>
        <v>0</v>
      </c>
      <c r="DT123" s="31" t="e">
        <f>DS123*#REF!</f>
        <v>#REF!</v>
      </c>
      <c r="DU123" s="32" t="e">
        <f>DS123*#REF!</f>
        <v>#REF!</v>
      </c>
      <c r="DW123" s="33"/>
      <c r="DX123" s="34"/>
      <c r="DY123" s="35"/>
      <c r="DZ123" s="36"/>
      <c r="EA123" s="37"/>
      <c r="EB123" s="30">
        <f t="shared" si="14"/>
        <v>0</v>
      </c>
      <c r="EC123" s="31" t="e">
        <f>EB123*#REF!</f>
        <v>#REF!</v>
      </c>
      <c r="ED123" s="32" t="e">
        <f>EB123*#REF!</f>
        <v>#REF!</v>
      </c>
      <c r="EF123" s="33"/>
      <c r="EG123" s="34"/>
      <c r="EH123" s="35"/>
      <c r="EI123" s="36"/>
      <c r="EJ123" s="37"/>
      <c r="EK123" s="30">
        <f t="shared" si="15"/>
        <v>0</v>
      </c>
      <c r="EL123" s="31" t="e">
        <f>EK123*#REF!</f>
        <v>#REF!</v>
      </c>
      <c r="EM123" s="32" t="e">
        <f>EK123*#REF!</f>
        <v>#REF!</v>
      </c>
      <c r="EO123" s="33"/>
      <c r="EP123" s="34"/>
      <c r="EQ123" s="35"/>
      <c r="ER123" s="36"/>
      <c r="ES123" s="37"/>
      <c r="ET123" s="30">
        <f t="shared" si="16"/>
        <v>0</v>
      </c>
      <c r="EU123" s="31" t="e">
        <f>ET123*#REF!</f>
        <v>#REF!</v>
      </c>
      <c r="EV123" s="32" t="e">
        <f>ET123*#REF!</f>
        <v>#REF!</v>
      </c>
      <c r="EX123" s="33"/>
      <c r="EY123" s="34"/>
      <c r="EZ123" s="35"/>
      <c r="FA123" s="36"/>
      <c r="FB123" s="37"/>
      <c r="FC123" s="30">
        <f t="shared" si="17"/>
        <v>0</v>
      </c>
      <c r="FD123" s="31" t="e">
        <f>FC123*#REF!</f>
        <v>#REF!</v>
      </c>
      <c r="FE123" s="32" t="e">
        <f>FC123*#REF!</f>
        <v>#REF!</v>
      </c>
      <c r="FG123" s="33"/>
      <c r="FH123" s="34"/>
      <c r="FI123" s="35"/>
      <c r="FJ123" s="36"/>
      <c r="FK123" s="37"/>
      <c r="FL123" s="30">
        <f t="shared" si="18"/>
        <v>0</v>
      </c>
      <c r="FM123" s="31" t="e">
        <f>FL123*#REF!</f>
        <v>#REF!</v>
      </c>
      <c r="FN123" s="32" t="e">
        <f>FL123*#REF!</f>
        <v>#REF!</v>
      </c>
      <c r="FP123" s="33"/>
      <c r="FQ123" s="34"/>
      <c r="FR123" s="35"/>
      <c r="FS123" s="36"/>
      <c r="FT123" s="37"/>
      <c r="FU123" s="30">
        <f t="shared" si="19"/>
        <v>0</v>
      </c>
      <c r="FV123" s="31" t="e">
        <f>FU123*#REF!</f>
        <v>#REF!</v>
      </c>
      <c r="FW123" s="32" t="e">
        <f>FU123*#REF!</f>
        <v>#REF!</v>
      </c>
      <c r="FY123" s="33"/>
      <c r="FZ123" s="34"/>
      <c r="GA123" s="35"/>
      <c r="GB123" s="36"/>
      <c r="GC123" s="37"/>
      <c r="GD123" s="30">
        <f t="shared" si="20"/>
        <v>0</v>
      </c>
      <c r="GE123" s="31" t="e">
        <f>GD123*#REF!</f>
        <v>#REF!</v>
      </c>
      <c r="GF123" s="32" t="e">
        <f>GD123*#REF!</f>
        <v>#REF!</v>
      </c>
      <c r="GH123" s="33"/>
      <c r="GI123" s="34"/>
      <c r="GJ123" s="35"/>
      <c r="GK123" s="36"/>
      <c r="GL123" s="37"/>
      <c r="GM123" s="30">
        <f t="shared" si="21"/>
        <v>0</v>
      </c>
      <c r="GN123" s="31" t="e">
        <f>GM123*#REF!</f>
        <v>#REF!</v>
      </c>
      <c r="GO123" s="32" t="e">
        <f>GM123*#REF!</f>
        <v>#REF!</v>
      </c>
      <c r="GQ123" s="38">
        <f>_xlfn.MAXIFS(I123:GO123,$I$5:$GO$5,"Staff #")</f>
        <v>0</v>
      </c>
      <c r="GR123" s="39">
        <v>0</v>
      </c>
    </row>
    <row r="124" spans="2:200" ht="15" x14ac:dyDescent="0.25">
      <c r="B124" s="22"/>
      <c r="C124" s="23"/>
      <c r="D124" s="24" t="str">
        <f>IF(C124="","",_xlfn.XLOOKUP(C124,'[3]Control Sheet'!$L$5:$L$104,'[3]Control Sheet'!$M$5:$M$104,"",0))</f>
        <v/>
      </c>
      <c r="E124" s="24" t="str">
        <f>IF(B124="","",_xlfn.XLOOKUP(B124,'[3]Control Sheet'!$D$5:$D$64,'[3]Control Sheet'!$F$5:$F$64,"",0))</f>
        <v/>
      </c>
      <c r="F124" s="24" t="str">
        <f>IF(B124="","",_xlfn.XLOOKUP(B124,'[3]Control Sheet'!$D$5:$D$64,'[3]Control Sheet'!$E$5:$E$64,"",0))</f>
        <v/>
      </c>
      <c r="I124" s="33"/>
      <c r="J124" s="34"/>
      <c r="K124" s="35"/>
      <c r="L124" s="36"/>
      <c r="M124" s="37"/>
      <c r="P124" s="33"/>
      <c r="Q124" s="34"/>
      <c r="R124" s="35"/>
      <c r="S124" s="36"/>
      <c r="T124" s="37"/>
      <c r="V124" s="33"/>
      <c r="W124" s="34"/>
      <c r="X124" s="35"/>
      <c r="Y124" s="36"/>
      <c r="Z124" s="37"/>
      <c r="AB124" s="33"/>
      <c r="AC124" s="34"/>
      <c r="AD124" s="35"/>
      <c r="AE124" s="36"/>
      <c r="AF124" s="37"/>
      <c r="AH124" s="33"/>
      <c r="AI124" s="34"/>
      <c r="AJ124" s="35"/>
      <c r="AK124" s="36"/>
      <c r="AL124" s="37"/>
      <c r="AN124" s="33"/>
      <c r="AO124" s="34"/>
      <c r="AP124" s="35"/>
      <c r="AQ124" s="36"/>
      <c r="AR124" s="37"/>
      <c r="AT124" s="33"/>
      <c r="AU124" s="34"/>
      <c r="AV124" s="35"/>
      <c r="AW124" s="36"/>
      <c r="AX124" s="37"/>
      <c r="AZ124" s="33"/>
      <c r="BA124" s="34"/>
      <c r="BB124" s="35"/>
      <c r="BC124" s="36"/>
      <c r="BD124" s="37"/>
      <c r="BF124" s="33"/>
      <c r="BG124" s="34"/>
      <c r="BH124" s="35"/>
      <c r="BI124" s="36"/>
      <c r="BJ124" s="37"/>
      <c r="BL124" s="33"/>
      <c r="BM124" s="34"/>
      <c r="BN124" s="35"/>
      <c r="BO124" s="36"/>
      <c r="BP124" s="37"/>
      <c r="BR124" s="33"/>
      <c r="BS124" s="34"/>
      <c r="BT124" s="35"/>
      <c r="BU124" s="36"/>
      <c r="BV124" s="37"/>
      <c r="BX124" s="33"/>
      <c r="BY124" s="34"/>
      <c r="BZ124" s="35"/>
      <c r="CA124" s="36"/>
      <c r="CB124" s="37"/>
      <c r="CD124" s="33"/>
      <c r="CE124" s="34"/>
      <c r="CF124" s="35"/>
      <c r="CG124" s="36"/>
      <c r="CH124" s="37"/>
      <c r="CJ124" s="33"/>
      <c r="CK124" s="34"/>
      <c r="CL124" s="35"/>
      <c r="CM124" s="36"/>
      <c r="CN124" s="37"/>
      <c r="CP124" s="33"/>
      <c r="CQ124" s="34"/>
      <c r="CR124" s="35"/>
      <c r="CS124" s="36"/>
      <c r="CT124" s="37"/>
      <c r="CV124" s="33"/>
      <c r="CW124" s="34"/>
      <c r="CX124" s="35"/>
      <c r="CY124" s="36"/>
      <c r="CZ124" s="37"/>
      <c r="DA124" s="30">
        <f t="shared" si="11"/>
        <v>0</v>
      </c>
      <c r="DB124" s="31" t="e">
        <f>DA124*#REF!</f>
        <v>#REF!</v>
      </c>
      <c r="DC124" s="32" t="e">
        <f>DA124*#REF!</f>
        <v>#REF!</v>
      </c>
      <c r="DE124" s="33"/>
      <c r="DF124" s="34"/>
      <c r="DG124" s="35"/>
      <c r="DH124" s="36"/>
      <c r="DI124" s="37"/>
      <c r="DJ124" s="30">
        <f t="shared" si="12"/>
        <v>0</v>
      </c>
      <c r="DK124" s="31" t="e">
        <f>DJ124*#REF!</f>
        <v>#REF!</v>
      </c>
      <c r="DL124" s="32" t="e">
        <f>DJ124*#REF!</f>
        <v>#REF!</v>
      </c>
      <c r="DN124" s="33"/>
      <c r="DO124" s="34"/>
      <c r="DP124" s="35"/>
      <c r="DQ124" s="36"/>
      <c r="DR124" s="37"/>
      <c r="DS124" s="30">
        <f t="shared" si="13"/>
        <v>0</v>
      </c>
      <c r="DT124" s="31" t="e">
        <f>DS124*#REF!</f>
        <v>#REF!</v>
      </c>
      <c r="DU124" s="32" t="e">
        <f>DS124*#REF!</f>
        <v>#REF!</v>
      </c>
      <c r="DW124" s="33"/>
      <c r="DX124" s="34"/>
      <c r="DY124" s="35"/>
      <c r="DZ124" s="36"/>
      <c r="EA124" s="37"/>
      <c r="EB124" s="30">
        <f t="shared" si="14"/>
        <v>0</v>
      </c>
      <c r="EC124" s="31" t="e">
        <f>EB124*#REF!</f>
        <v>#REF!</v>
      </c>
      <c r="ED124" s="32" t="e">
        <f>EB124*#REF!</f>
        <v>#REF!</v>
      </c>
      <c r="EF124" s="33"/>
      <c r="EG124" s="34"/>
      <c r="EH124" s="35"/>
      <c r="EI124" s="36"/>
      <c r="EJ124" s="37"/>
      <c r="EK124" s="30">
        <f t="shared" si="15"/>
        <v>0</v>
      </c>
      <c r="EL124" s="31" t="e">
        <f>EK124*#REF!</f>
        <v>#REF!</v>
      </c>
      <c r="EM124" s="32" t="e">
        <f>EK124*#REF!</f>
        <v>#REF!</v>
      </c>
      <c r="EO124" s="33"/>
      <c r="EP124" s="34"/>
      <c r="EQ124" s="35"/>
      <c r="ER124" s="36"/>
      <c r="ES124" s="37"/>
      <c r="ET124" s="30">
        <f t="shared" si="16"/>
        <v>0</v>
      </c>
      <c r="EU124" s="31" t="e">
        <f>ET124*#REF!</f>
        <v>#REF!</v>
      </c>
      <c r="EV124" s="32" t="e">
        <f>ET124*#REF!</f>
        <v>#REF!</v>
      </c>
      <c r="EX124" s="33"/>
      <c r="EY124" s="34"/>
      <c r="EZ124" s="35"/>
      <c r="FA124" s="36"/>
      <c r="FB124" s="37"/>
      <c r="FC124" s="30">
        <f t="shared" si="17"/>
        <v>0</v>
      </c>
      <c r="FD124" s="31" t="e">
        <f>FC124*#REF!</f>
        <v>#REF!</v>
      </c>
      <c r="FE124" s="32" t="e">
        <f>FC124*#REF!</f>
        <v>#REF!</v>
      </c>
      <c r="FG124" s="33"/>
      <c r="FH124" s="34"/>
      <c r="FI124" s="35"/>
      <c r="FJ124" s="36"/>
      <c r="FK124" s="37"/>
      <c r="FL124" s="30">
        <f t="shared" si="18"/>
        <v>0</v>
      </c>
      <c r="FM124" s="31" t="e">
        <f>FL124*#REF!</f>
        <v>#REF!</v>
      </c>
      <c r="FN124" s="32" t="e">
        <f>FL124*#REF!</f>
        <v>#REF!</v>
      </c>
      <c r="FP124" s="33"/>
      <c r="FQ124" s="34"/>
      <c r="FR124" s="35"/>
      <c r="FS124" s="36"/>
      <c r="FT124" s="37"/>
      <c r="FU124" s="30">
        <f t="shared" si="19"/>
        <v>0</v>
      </c>
      <c r="FV124" s="31" t="e">
        <f>FU124*#REF!</f>
        <v>#REF!</v>
      </c>
      <c r="FW124" s="32" t="e">
        <f>FU124*#REF!</f>
        <v>#REF!</v>
      </c>
      <c r="FY124" s="33"/>
      <c r="FZ124" s="34"/>
      <c r="GA124" s="35"/>
      <c r="GB124" s="36"/>
      <c r="GC124" s="37"/>
      <c r="GD124" s="30">
        <f t="shared" si="20"/>
        <v>0</v>
      </c>
      <c r="GE124" s="31" t="e">
        <f>GD124*#REF!</f>
        <v>#REF!</v>
      </c>
      <c r="GF124" s="32" t="e">
        <f>GD124*#REF!</f>
        <v>#REF!</v>
      </c>
      <c r="GH124" s="33"/>
      <c r="GI124" s="34"/>
      <c r="GJ124" s="35"/>
      <c r="GK124" s="36"/>
      <c r="GL124" s="37"/>
      <c r="GM124" s="30">
        <f t="shared" si="21"/>
        <v>0</v>
      </c>
      <c r="GN124" s="31" t="e">
        <f>GM124*#REF!</f>
        <v>#REF!</v>
      </c>
      <c r="GO124" s="32" t="e">
        <f>GM124*#REF!</f>
        <v>#REF!</v>
      </c>
      <c r="GQ124" s="38">
        <f>_xlfn.MAXIFS(I124:GO124,$I$5:$GO$5,"Staff #")</f>
        <v>0</v>
      </c>
      <c r="GR124" s="39">
        <v>0</v>
      </c>
    </row>
    <row r="125" spans="2:200" ht="15" x14ac:dyDescent="0.25">
      <c r="B125" s="22"/>
      <c r="C125" s="23"/>
      <c r="D125" s="24" t="str">
        <f>IF(C125="","",_xlfn.XLOOKUP(C125,'[3]Control Sheet'!$L$5:$L$104,'[3]Control Sheet'!$M$5:$M$104,"",0))</f>
        <v/>
      </c>
      <c r="E125" s="24" t="str">
        <f>IF(B125="","",_xlfn.XLOOKUP(B125,'[3]Control Sheet'!$D$5:$D$64,'[3]Control Sheet'!$F$5:$F$64,"",0))</f>
        <v/>
      </c>
      <c r="F125" s="24" t="str">
        <f>IF(B125="","",_xlfn.XLOOKUP(B125,'[3]Control Sheet'!$D$5:$D$64,'[3]Control Sheet'!$E$5:$E$64,"",0))</f>
        <v/>
      </c>
      <c r="I125" s="33"/>
      <c r="J125" s="34"/>
      <c r="K125" s="35"/>
      <c r="L125" s="36"/>
      <c r="M125" s="37"/>
      <c r="P125" s="33"/>
      <c r="Q125" s="34"/>
      <c r="R125" s="35"/>
      <c r="S125" s="36"/>
      <c r="T125" s="37"/>
      <c r="V125" s="33"/>
      <c r="W125" s="34"/>
      <c r="X125" s="35"/>
      <c r="Y125" s="36"/>
      <c r="Z125" s="37"/>
      <c r="AB125" s="33"/>
      <c r="AC125" s="34"/>
      <c r="AD125" s="35"/>
      <c r="AE125" s="36"/>
      <c r="AF125" s="37"/>
      <c r="AH125" s="33"/>
      <c r="AI125" s="34"/>
      <c r="AJ125" s="35"/>
      <c r="AK125" s="36"/>
      <c r="AL125" s="37"/>
      <c r="AN125" s="33"/>
      <c r="AO125" s="34"/>
      <c r="AP125" s="35"/>
      <c r="AQ125" s="36"/>
      <c r="AR125" s="37"/>
      <c r="AT125" s="33"/>
      <c r="AU125" s="34"/>
      <c r="AV125" s="35"/>
      <c r="AW125" s="36"/>
      <c r="AX125" s="37"/>
      <c r="AZ125" s="33"/>
      <c r="BA125" s="34"/>
      <c r="BB125" s="35"/>
      <c r="BC125" s="36"/>
      <c r="BD125" s="37"/>
      <c r="BF125" s="33"/>
      <c r="BG125" s="34"/>
      <c r="BH125" s="35"/>
      <c r="BI125" s="36"/>
      <c r="BJ125" s="37"/>
      <c r="BL125" s="33"/>
      <c r="BM125" s="34"/>
      <c r="BN125" s="35"/>
      <c r="BO125" s="36"/>
      <c r="BP125" s="37"/>
      <c r="BR125" s="33"/>
      <c r="BS125" s="34"/>
      <c r="BT125" s="35"/>
      <c r="BU125" s="36"/>
      <c r="BV125" s="37"/>
      <c r="BX125" s="33"/>
      <c r="BY125" s="34"/>
      <c r="BZ125" s="35"/>
      <c r="CA125" s="36"/>
      <c r="CB125" s="37"/>
      <c r="CD125" s="33"/>
      <c r="CE125" s="34"/>
      <c r="CF125" s="35"/>
      <c r="CG125" s="36"/>
      <c r="CH125" s="37"/>
      <c r="CJ125" s="33"/>
      <c r="CK125" s="34"/>
      <c r="CL125" s="35"/>
      <c r="CM125" s="36"/>
      <c r="CN125" s="37"/>
      <c r="CP125" s="33"/>
      <c r="CQ125" s="34"/>
      <c r="CR125" s="35"/>
      <c r="CS125" s="36"/>
      <c r="CT125" s="37"/>
      <c r="CV125" s="33"/>
      <c r="CW125" s="34"/>
      <c r="CX125" s="35"/>
      <c r="CY125" s="36"/>
      <c r="CZ125" s="37"/>
      <c r="DA125" s="30">
        <f t="shared" si="11"/>
        <v>0</v>
      </c>
      <c r="DB125" s="31" t="e">
        <f>DA125*#REF!</f>
        <v>#REF!</v>
      </c>
      <c r="DC125" s="32" t="e">
        <f>DA125*#REF!</f>
        <v>#REF!</v>
      </c>
      <c r="DE125" s="33"/>
      <c r="DF125" s="34"/>
      <c r="DG125" s="35"/>
      <c r="DH125" s="36"/>
      <c r="DI125" s="37"/>
      <c r="DJ125" s="30">
        <f t="shared" si="12"/>
        <v>0</v>
      </c>
      <c r="DK125" s="31" t="e">
        <f>DJ125*#REF!</f>
        <v>#REF!</v>
      </c>
      <c r="DL125" s="32" t="e">
        <f>DJ125*#REF!</f>
        <v>#REF!</v>
      </c>
      <c r="DN125" s="33"/>
      <c r="DO125" s="34"/>
      <c r="DP125" s="35"/>
      <c r="DQ125" s="36"/>
      <c r="DR125" s="37"/>
      <c r="DS125" s="30">
        <f t="shared" si="13"/>
        <v>0</v>
      </c>
      <c r="DT125" s="31" t="e">
        <f>DS125*#REF!</f>
        <v>#REF!</v>
      </c>
      <c r="DU125" s="32" t="e">
        <f>DS125*#REF!</f>
        <v>#REF!</v>
      </c>
      <c r="DW125" s="33"/>
      <c r="DX125" s="34"/>
      <c r="DY125" s="35"/>
      <c r="DZ125" s="36"/>
      <c r="EA125" s="37"/>
      <c r="EB125" s="30">
        <f t="shared" si="14"/>
        <v>0</v>
      </c>
      <c r="EC125" s="31" t="e">
        <f>EB125*#REF!</f>
        <v>#REF!</v>
      </c>
      <c r="ED125" s="32" t="e">
        <f>EB125*#REF!</f>
        <v>#REF!</v>
      </c>
      <c r="EF125" s="33"/>
      <c r="EG125" s="34"/>
      <c r="EH125" s="35"/>
      <c r="EI125" s="36"/>
      <c r="EJ125" s="37"/>
      <c r="EK125" s="30">
        <f t="shared" si="15"/>
        <v>0</v>
      </c>
      <c r="EL125" s="31" t="e">
        <f>EK125*#REF!</f>
        <v>#REF!</v>
      </c>
      <c r="EM125" s="32" t="e">
        <f>EK125*#REF!</f>
        <v>#REF!</v>
      </c>
      <c r="EO125" s="33"/>
      <c r="EP125" s="34"/>
      <c r="EQ125" s="35"/>
      <c r="ER125" s="36"/>
      <c r="ES125" s="37"/>
      <c r="ET125" s="30">
        <f t="shared" si="16"/>
        <v>0</v>
      </c>
      <c r="EU125" s="31" t="e">
        <f>ET125*#REF!</f>
        <v>#REF!</v>
      </c>
      <c r="EV125" s="32" t="e">
        <f>ET125*#REF!</f>
        <v>#REF!</v>
      </c>
      <c r="EX125" s="33"/>
      <c r="EY125" s="34"/>
      <c r="EZ125" s="35"/>
      <c r="FA125" s="36"/>
      <c r="FB125" s="37"/>
      <c r="FC125" s="30">
        <f t="shared" si="17"/>
        <v>0</v>
      </c>
      <c r="FD125" s="31" t="e">
        <f>FC125*#REF!</f>
        <v>#REF!</v>
      </c>
      <c r="FE125" s="32" t="e">
        <f>FC125*#REF!</f>
        <v>#REF!</v>
      </c>
      <c r="FG125" s="33"/>
      <c r="FH125" s="34"/>
      <c r="FI125" s="35"/>
      <c r="FJ125" s="36"/>
      <c r="FK125" s="37"/>
      <c r="FL125" s="30">
        <f t="shared" si="18"/>
        <v>0</v>
      </c>
      <c r="FM125" s="31" t="e">
        <f>FL125*#REF!</f>
        <v>#REF!</v>
      </c>
      <c r="FN125" s="32" t="e">
        <f>FL125*#REF!</f>
        <v>#REF!</v>
      </c>
      <c r="FP125" s="33"/>
      <c r="FQ125" s="34"/>
      <c r="FR125" s="35"/>
      <c r="FS125" s="36"/>
      <c r="FT125" s="37"/>
      <c r="FU125" s="30">
        <f t="shared" si="19"/>
        <v>0</v>
      </c>
      <c r="FV125" s="31" t="e">
        <f>FU125*#REF!</f>
        <v>#REF!</v>
      </c>
      <c r="FW125" s="32" t="e">
        <f>FU125*#REF!</f>
        <v>#REF!</v>
      </c>
      <c r="FY125" s="33"/>
      <c r="FZ125" s="34"/>
      <c r="GA125" s="35"/>
      <c r="GB125" s="36"/>
      <c r="GC125" s="37"/>
      <c r="GD125" s="30">
        <f t="shared" si="20"/>
        <v>0</v>
      </c>
      <c r="GE125" s="31" t="e">
        <f>GD125*#REF!</f>
        <v>#REF!</v>
      </c>
      <c r="GF125" s="32" t="e">
        <f>GD125*#REF!</f>
        <v>#REF!</v>
      </c>
      <c r="GH125" s="33"/>
      <c r="GI125" s="34"/>
      <c r="GJ125" s="35"/>
      <c r="GK125" s="36"/>
      <c r="GL125" s="37"/>
      <c r="GM125" s="30">
        <f t="shared" si="21"/>
        <v>0</v>
      </c>
      <c r="GN125" s="31" t="e">
        <f>GM125*#REF!</f>
        <v>#REF!</v>
      </c>
      <c r="GO125" s="32" t="e">
        <f>GM125*#REF!</f>
        <v>#REF!</v>
      </c>
      <c r="GQ125" s="38">
        <f>_xlfn.MAXIFS(I125:GO125,$I$5:$GO$5,"Staff #")</f>
        <v>0</v>
      </c>
      <c r="GR125" s="39">
        <v>0</v>
      </c>
    </row>
    <row r="126" spans="2:200" ht="15" x14ac:dyDescent="0.25">
      <c r="B126" s="22"/>
      <c r="C126" s="23"/>
      <c r="D126" s="24" t="str">
        <f>IF(C126="","",_xlfn.XLOOKUP(C126,'[3]Control Sheet'!$L$5:$L$104,'[3]Control Sheet'!$M$5:$M$104,"",0))</f>
        <v/>
      </c>
      <c r="E126" s="24" t="str">
        <f>IF(B126="","",_xlfn.XLOOKUP(B126,'[3]Control Sheet'!$D$5:$D$64,'[3]Control Sheet'!$F$5:$F$64,"",0))</f>
        <v/>
      </c>
      <c r="F126" s="24" t="str">
        <f>IF(B126="","",_xlfn.XLOOKUP(B126,'[3]Control Sheet'!$D$5:$D$64,'[3]Control Sheet'!$E$5:$E$64,"",0))</f>
        <v/>
      </c>
      <c r="I126" s="33"/>
      <c r="J126" s="34"/>
      <c r="K126" s="35"/>
      <c r="L126" s="36"/>
      <c r="M126" s="37"/>
      <c r="P126" s="33"/>
      <c r="Q126" s="34"/>
      <c r="R126" s="35"/>
      <c r="S126" s="36"/>
      <c r="T126" s="37"/>
      <c r="V126" s="33"/>
      <c r="W126" s="34"/>
      <c r="X126" s="35"/>
      <c r="Y126" s="36"/>
      <c r="Z126" s="37"/>
      <c r="AB126" s="33"/>
      <c r="AC126" s="34"/>
      <c r="AD126" s="35"/>
      <c r="AE126" s="36"/>
      <c r="AF126" s="37"/>
      <c r="AH126" s="33"/>
      <c r="AI126" s="34"/>
      <c r="AJ126" s="35"/>
      <c r="AK126" s="36"/>
      <c r="AL126" s="37"/>
      <c r="AN126" s="33"/>
      <c r="AO126" s="34"/>
      <c r="AP126" s="35"/>
      <c r="AQ126" s="36"/>
      <c r="AR126" s="37"/>
      <c r="AT126" s="33"/>
      <c r="AU126" s="34"/>
      <c r="AV126" s="35"/>
      <c r="AW126" s="36"/>
      <c r="AX126" s="37"/>
      <c r="AZ126" s="33"/>
      <c r="BA126" s="34"/>
      <c r="BB126" s="35"/>
      <c r="BC126" s="36"/>
      <c r="BD126" s="37"/>
      <c r="BF126" s="33"/>
      <c r="BG126" s="34"/>
      <c r="BH126" s="35"/>
      <c r="BI126" s="36"/>
      <c r="BJ126" s="37"/>
      <c r="BL126" s="33"/>
      <c r="BM126" s="34"/>
      <c r="BN126" s="35"/>
      <c r="BO126" s="36"/>
      <c r="BP126" s="37"/>
      <c r="BR126" s="33"/>
      <c r="BS126" s="34"/>
      <c r="BT126" s="35"/>
      <c r="BU126" s="36"/>
      <c r="BV126" s="37"/>
      <c r="BX126" s="33"/>
      <c r="BY126" s="34"/>
      <c r="BZ126" s="35"/>
      <c r="CA126" s="36"/>
      <c r="CB126" s="37"/>
      <c r="CD126" s="33"/>
      <c r="CE126" s="34"/>
      <c r="CF126" s="35"/>
      <c r="CG126" s="36"/>
      <c r="CH126" s="37"/>
      <c r="CJ126" s="33"/>
      <c r="CK126" s="34"/>
      <c r="CL126" s="35"/>
      <c r="CM126" s="36"/>
      <c r="CN126" s="37"/>
      <c r="CP126" s="33"/>
      <c r="CQ126" s="34"/>
      <c r="CR126" s="35"/>
      <c r="CS126" s="36"/>
      <c r="CT126" s="37"/>
      <c r="CV126" s="33"/>
      <c r="CW126" s="34"/>
      <c r="CX126" s="35"/>
      <c r="CY126" s="36"/>
      <c r="CZ126" s="37"/>
      <c r="DA126" s="30">
        <f t="shared" si="11"/>
        <v>0</v>
      </c>
      <c r="DB126" s="31" t="e">
        <f>DA126*#REF!</f>
        <v>#REF!</v>
      </c>
      <c r="DC126" s="32" t="e">
        <f>DA126*#REF!</f>
        <v>#REF!</v>
      </c>
      <c r="DE126" s="33"/>
      <c r="DF126" s="34"/>
      <c r="DG126" s="35"/>
      <c r="DH126" s="36"/>
      <c r="DI126" s="37"/>
      <c r="DJ126" s="30">
        <f t="shared" si="12"/>
        <v>0</v>
      </c>
      <c r="DK126" s="31" t="e">
        <f>DJ126*#REF!</f>
        <v>#REF!</v>
      </c>
      <c r="DL126" s="32" t="e">
        <f>DJ126*#REF!</f>
        <v>#REF!</v>
      </c>
      <c r="DN126" s="33"/>
      <c r="DO126" s="34"/>
      <c r="DP126" s="35"/>
      <c r="DQ126" s="36"/>
      <c r="DR126" s="37"/>
      <c r="DS126" s="30">
        <f t="shared" si="13"/>
        <v>0</v>
      </c>
      <c r="DT126" s="31" t="e">
        <f>DS126*#REF!</f>
        <v>#REF!</v>
      </c>
      <c r="DU126" s="32" t="e">
        <f>DS126*#REF!</f>
        <v>#REF!</v>
      </c>
      <c r="DW126" s="33"/>
      <c r="DX126" s="34"/>
      <c r="DY126" s="35"/>
      <c r="DZ126" s="36"/>
      <c r="EA126" s="37"/>
      <c r="EB126" s="30">
        <f t="shared" si="14"/>
        <v>0</v>
      </c>
      <c r="EC126" s="31" t="e">
        <f>EB126*#REF!</f>
        <v>#REF!</v>
      </c>
      <c r="ED126" s="32" t="e">
        <f>EB126*#REF!</f>
        <v>#REF!</v>
      </c>
      <c r="EF126" s="33"/>
      <c r="EG126" s="34"/>
      <c r="EH126" s="35"/>
      <c r="EI126" s="36"/>
      <c r="EJ126" s="37"/>
      <c r="EK126" s="30">
        <f t="shared" si="15"/>
        <v>0</v>
      </c>
      <c r="EL126" s="31" t="e">
        <f>EK126*#REF!</f>
        <v>#REF!</v>
      </c>
      <c r="EM126" s="32" t="e">
        <f>EK126*#REF!</f>
        <v>#REF!</v>
      </c>
      <c r="EO126" s="33"/>
      <c r="EP126" s="34"/>
      <c r="EQ126" s="35"/>
      <c r="ER126" s="36"/>
      <c r="ES126" s="37"/>
      <c r="ET126" s="30">
        <f t="shared" si="16"/>
        <v>0</v>
      </c>
      <c r="EU126" s="31" t="e">
        <f>ET126*#REF!</f>
        <v>#REF!</v>
      </c>
      <c r="EV126" s="32" t="e">
        <f>ET126*#REF!</f>
        <v>#REF!</v>
      </c>
      <c r="EX126" s="33"/>
      <c r="EY126" s="34"/>
      <c r="EZ126" s="35"/>
      <c r="FA126" s="36"/>
      <c r="FB126" s="37"/>
      <c r="FC126" s="30">
        <f t="shared" si="17"/>
        <v>0</v>
      </c>
      <c r="FD126" s="31" t="e">
        <f>FC126*#REF!</f>
        <v>#REF!</v>
      </c>
      <c r="FE126" s="32" t="e">
        <f>FC126*#REF!</f>
        <v>#REF!</v>
      </c>
      <c r="FG126" s="33"/>
      <c r="FH126" s="34"/>
      <c r="FI126" s="35"/>
      <c r="FJ126" s="36"/>
      <c r="FK126" s="37"/>
      <c r="FL126" s="30">
        <f t="shared" si="18"/>
        <v>0</v>
      </c>
      <c r="FM126" s="31" t="e">
        <f>FL126*#REF!</f>
        <v>#REF!</v>
      </c>
      <c r="FN126" s="32" t="e">
        <f>FL126*#REF!</f>
        <v>#REF!</v>
      </c>
      <c r="FP126" s="33"/>
      <c r="FQ126" s="34"/>
      <c r="FR126" s="35"/>
      <c r="FS126" s="36"/>
      <c r="FT126" s="37"/>
      <c r="FU126" s="30">
        <f t="shared" si="19"/>
        <v>0</v>
      </c>
      <c r="FV126" s="31" t="e">
        <f>FU126*#REF!</f>
        <v>#REF!</v>
      </c>
      <c r="FW126" s="32" t="e">
        <f>FU126*#REF!</f>
        <v>#REF!</v>
      </c>
      <c r="FY126" s="33"/>
      <c r="FZ126" s="34"/>
      <c r="GA126" s="35"/>
      <c r="GB126" s="36"/>
      <c r="GC126" s="37"/>
      <c r="GD126" s="30">
        <f t="shared" si="20"/>
        <v>0</v>
      </c>
      <c r="GE126" s="31" t="e">
        <f>GD126*#REF!</f>
        <v>#REF!</v>
      </c>
      <c r="GF126" s="32" t="e">
        <f>GD126*#REF!</f>
        <v>#REF!</v>
      </c>
      <c r="GH126" s="33"/>
      <c r="GI126" s="34"/>
      <c r="GJ126" s="35"/>
      <c r="GK126" s="36"/>
      <c r="GL126" s="37"/>
      <c r="GM126" s="30">
        <f t="shared" si="21"/>
        <v>0</v>
      </c>
      <c r="GN126" s="31" t="e">
        <f>GM126*#REF!</f>
        <v>#REF!</v>
      </c>
      <c r="GO126" s="32" t="e">
        <f>GM126*#REF!</f>
        <v>#REF!</v>
      </c>
      <c r="GQ126" s="38">
        <f>_xlfn.MAXIFS(I126:GO126,$I$5:$GO$5,"Staff #")</f>
        <v>0</v>
      </c>
      <c r="GR126" s="39">
        <v>0</v>
      </c>
    </row>
    <row r="127" spans="2:200" ht="15" x14ac:dyDescent="0.25">
      <c r="B127" s="22"/>
      <c r="C127" s="23"/>
      <c r="D127" s="24" t="str">
        <f>IF(C127="","",_xlfn.XLOOKUP(C127,'[3]Control Sheet'!$L$5:$L$104,'[3]Control Sheet'!$M$5:$M$104,"",0))</f>
        <v/>
      </c>
      <c r="E127" s="24" t="str">
        <f>IF(B127="","",_xlfn.XLOOKUP(B127,'[3]Control Sheet'!$D$5:$D$64,'[3]Control Sheet'!$F$5:$F$64,"",0))</f>
        <v/>
      </c>
      <c r="F127" s="24" t="str">
        <f>IF(B127="","",_xlfn.XLOOKUP(B127,'[3]Control Sheet'!$D$5:$D$64,'[3]Control Sheet'!$E$5:$E$64,"",0))</f>
        <v/>
      </c>
      <c r="I127" s="33"/>
      <c r="J127" s="34"/>
      <c r="K127" s="35"/>
      <c r="L127" s="36"/>
      <c r="M127" s="37"/>
      <c r="P127" s="33"/>
      <c r="Q127" s="34"/>
      <c r="R127" s="35"/>
      <c r="S127" s="36"/>
      <c r="T127" s="37"/>
      <c r="V127" s="33"/>
      <c r="W127" s="34"/>
      <c r="X127" s="35"/>
      <c r="Y127" s="36"/>
      <c r="Z127" s="37"/>
      <c r="AB127" s="33"/>
      <c r="AC127" s="34"/>
      <c r="AD127" s="35"/>
      <c r="AE127" s="36"/>
      <c r="AF127" s="37"/>
      <c r="AH127" s="33"/>
      <c r="AI127" s="34"/>
      <c r="AJ127" s="35"/>
      <c r="AK127" s="36"/>
      <c r="AL127" s="37"/>
      <c r="AN127" s="33"/>
      <c r="AO127" s="34"/>
      <c r="AP127" s="35"/>
      <c r="AQ127" s="36"/>
      <c r="AR127" s="37"/>
      <c r="AT127" s="33"/>
      <c r="AU127" s="34"/>
      <c r="AV127" s="35"/>
      <c r="AW127" s="36"/>
      <c r="AX127" s="37"/>
      <c r="AZ127" s="33"/>
      <c r="BA127" s="34"/>
      <c r="BB127" s="35"/>
      <c r="BC127" s="36"/>
      <c r="BD127" s="37"/>
      <c r="BF127" s="33"/>
      <c r="BG127" s="34"/>
      <c r="BH127" s="35"/>
      <c r="BI127" s="36"/>
      <c r="BJ127" s="37"/>
      <c r="BL127" s="33"/>
      <c r="BM127" s="34"/>
      <c r="BN127" s="35"/>
      <c r="BO127" s="36"/>
      <c r="BP127" s="37"/>
      <c r="BR127" s="33"/>
      <c r="BS127" s="34"/>
      <c r="BT127" s="35"/>
      <c r="BU127" s="36"/>
      <c r="BV127" s="37"/>
      <c r="BX127" s="33"/>
      <c r="BY127" s="34"/>
      <c r="BZ127" s="35"/>
      <c r="CA127" s="36"/>
      <c r="CB127" s="37"/>
      <c r="CD127" s="33"/>
      <c r="CE127" s="34"/>
      <c r="CF127" s="35"/>
      <c r="CG127" s="36"/>
      <c r="CH127" s="37"/>
      <c r="CJ127" s="33"/>
      <c r="CK127" s="34"/>
      <c r="CL127" s="35"/>
      <c r="CM127" s="36"/>
      <c r="CN127" s="37"/>
      <c r="CP127" s="33"/>
      <c r="CQ127" s="34"/>
      <c r="CR127" s="35"/>
      <c r="CS127" s="36"/>
      <c r="CT127" s="37"/>
      <c r="CV127" s="33"/>
      <c r="CW127" s="34"/>
      <c r="CX127" s="35"/>
      <c r="CY127" s="36"/>
      <c r="CZ127" s="37"/>
      <c r="DA127" s="30">
        <f t="shared" si="11"/>
        <v>0</v>
      </c>
      <c r="DB127" s="31" t="e">
        <f>DA127*#REF!</f>
        <v>#REF!</v>
      </c>
      <c r="DC127" s="32" t="e">
        <f>DA127*#REF!</f>
        <v>#REF!</v>
      </c>
      <c r="DE127" s="33"/>
      <c r="DF127" s="34"/>
      <c r="DG127" s="35"/>
      <c r="DH127" s="36"/>
      <c r="DI127" s="37"/>
      <c r="DJ127" s="30">
        <f t="shared" si="12"/>
        <v>0</v>
      </c>
      <c r="DK127" s="31" t="e">
        <f>DJ127*#REF!</f>
        <v>#REF!</v>
      </c>
      <c r="DL127" s="32" t="e">
        <f>DJ127*#REF!</f>
        <v>#REF!</v>
      </c>
      <c r="DN127" s="33"/>
      <c r="DO127" s="34"/>
      <c r="DP127" s="35"/>
      <c r="DQ127" s="36"/>
      <c r="DR127" s="37"/>
      <c r="DS127" s="30">
        <f t="shared" si="13"/>
        <v>0</v>
      </c>
      <c r="DT127" s="31" t="e">
        <f>DS127*#REF!</f>
        <v>#REF!</v>
      </c>
      <c r="DU127" s="32" t="e">
        <f>DS127*#REF!</f>
        <v>#REF!</v>
      </c>
      <c r="DW127" s="33"/>
      <c r="DX127" s="34"/>
      <c r="DY127" s="35"/>
      <c r="DZ127" s="36"/>
      <c r="EA127" s="37"/>
      <c r="EB127" s="30">
        <f t="shared" si="14"/>
        <v>0</v>
      </c>
      <c r="EC127" s="31" t="e">
        <f>EB127*#REF!</f>
        <v>#REF!</v>
      </c>
      <c r="ED127" s="32" t="e">
        <f>EB127*#REF!</f>
        <v>#REF!</v>
      </c>
      <c r="EF127" s="33"/>
      <c r="EG127" s="34"/>
      <c r="EH127" s="35"/>
      <c r="EI127" s="36"/>
      <c r="EJ127" s="37"/>
      <c r="EK127" s="30">
        <f t="shared" si="15"/>
        <v>0</v>
      </c>
      <c r="EL127" s="31" t="e">
        <f>EK127*#REF!</f>
        <v>#REF!</v>
      </c>
      <c r="EM127" s="32" t="e">
        <f>EK127*#REF!</f>
        <v>#REF!</v>
      </c>
      <c r="EO127" s="33"/>
      <c r="EP127" s="34"/>
      <c r="EQ127" s="35"/>
      <c r="ER127" s="36"/>
      <c r="ES127" s="37"/>
      <c r="ET127" s="30">
        <f t="shared" si="16"/>
        <v>0</v>
      </c>
      <c r="EU127" s="31" t="e">
        <f>ET127*#REF!</f>
        <v>#REF!</v>
      </c>
      <c r="EV127" s="32" t="e">
        <f>ET127*#REF!</f>
        <v>#REF!</v>
      </c>
      <c r="EX127" s="33"/>
      <c r="EY127" s="34"/>
      <c r="EZ127" s="35"/>
      <c r="FA127" s="36"/>
      <c r="FB127" s="37"/>
      <c r="FC127" s="30">
        <f t="shared" si="17"/>
        <v>0</v>
      </c>
      <c r="FD127" s="31" t="e">
        <f>FC127*#REF!</f>
        <v>#REF!</v>
      </c>
      <c r="FE127" s="32" t="e">
        <f>FC127*#REF!</f>
        <v>#REF!</v>
      </c>
      <c r="FG127" s="33"/>
      <c r="FH127" s="34"/>
      <c r="FI127" s="35"/>
      <c r="FJ127" s="36"/>
      <c r="FK127" s="37"/>
      <c r="FL127" s="30">
        <f t="shared" si="18"/>
        <v>0</v>
      </c>
      <c r="FM127" s="31" t="e">
        <f>FL127*#REF!</f>
        <v>#REF!</v>
      </c>
      <c r="FN127" s="32" t="e">
        <f>FL127*#REF!</f>
        <v>#REF!</v>
      </c>
      <c r="FP127" s="33"/>
      <c r="FQ127" s="34"/>
      <c r="FR127" s="35"/>
      <c r="FS127" s="36"/>
      <c r="FT127" s="37"/>
      <c r="FU127" s="30">
        <f t="shared" si="19"/>
        <v>0</v>
      </c>
      <c r="FV127" s="31" t="e">
        <f>FU127*#REF!</f>
        <v>#REF!</v>
      </c>
      <c r="FW127" s="32" t="e">
        <f>FU127*#REF!</f>
        <v>#REF!</v>
      </c>
      <c r="FY127" s="33"/>
      <c r="FZ127" s="34"/>
      <c r="GA127" s="35"/>
      <c r="GB127" s="36"/>
      <c r="GC127" s="37"/>
      <c r="GD127" s="30">
        <f t="shared" si="20"/>
        <v>0</v>
      </c>
      <c r="GE127" s="31" t="e">
        <f>GD127*#REF!</f>
        <v>#REF!</v>
      </c>
      <c r="GF127" s="32" t="e">
        <f>GD127*#REF!</f>
        <v>#REF!</v>
      </c>
      <c r="GH127" s="33"/>
      <c r="GI127" s="34"/>
      <c r="GJ127" s="35"/>
      <c r="GK127" s="36"/>
      <c r="GL127" s="37"/>
      <c r="GM127" s="30">
        <f t="shared" si="21"/>
        <v>0</v>
      </c>
      <c r="GN127" s="31" t="e">
        <f>GM127*#REF!</f>
        <v>#REF!</v>
      </c>
      <c r="GO127" s="32" t="e">
        <f>GM127*#REF!</f>
        <v>#REF!</v>
      </c>
      <c r="GQ127" s="38">
        <f>_xlfn.MAXIFS(I127:GO127,$I$5:$GO$5,"Staff #")</f>
        <v>0</v>
      </c>
      <c r="GR127" s="39">
        <v>0</v>
      </c>
    </row>
    <row r="128" spans="2:200" ht="15" x14ac:dyDescent="0.25">
      <c r="B128" s="22"/>
      <c r="C128" s="23"/>
      <c r="D128" s="24" t="str">
        <f>IF(C128="","",_xlfn.XLOOKUP(C128,'[3]Control Sheet'!$L$5:$L$104,'[3]Control Sheet'!$M$5:$M$104,"",0))</f>
        <v/>
      </c>
      <c r="E128" s="24" t="str">
        <f>IF(B128="","",_xlfn.XLOOKUP(B128,'[3]Control Sheet'!$D$5:$D$64,'[3]Control Sheet'!$F$5:$F$64,"",0))</f>
        <v/>
      </c>
      <c r="F128" s="24" t="str">
        <f>IF(B128="","",_xlfn.XLOOKUP(B128,'[3]Control Sheet'!$D$5:$D$64,'[3]Control Sheet'!$E$5:$E$64,"",0))</f>
        <v/>
      </c>
      <c r="I128" s="33"/>
      <c r="J128" s="34"/>
      <c r="K128" s="35"/>
      <c r="L128" s="36"/>
      <c r="M128" s="37"/>
      <c r="P128" s="33"/>
      <c r="Q128" s="34"/>
      <c r="R128" s="35"/>
      <c r="S128" s="36"/>
      <c r="T128" s="37"/>
      <c r="V128" s="33"/>
      <c r="W128" s="34"/>
      <c r="X128" s="35"/>
      <c r="Y128" s="36"/>
      <c r="Z128" s="37"/>
      <c r="AB128" s="33"/>
      <c r="AC128" s="34"/>
      <c r="AD128" s="35"/>
      <c r="AE128" s="36"/>
      <c r="AF128" s="37"/>
      <c r="AH128" s="33"/>
      <c r="AI128" s="34"/>
      <c r="AJ128" s="35"/>
      <c r="AK128" s="36"/>
      <c r="AL128" s="37"/>
      <c r="AN128" s="33"/>
      <c r="AO128" s="34"/>
      <c r="AP128" s="35"/>
      <c r="AQ128" s="36"/>
      <c r="AR128" s="37"/>
      <c r="AT128" s="33"/>
      <c r="AU128" s="34"/>
      <c r="AV128" s="35"/>
      <c r="AW128" s="36"/>
      <c r="AX128" s="37"/>
      <c r="AZ128" s="33"/>
      <c r="BA128" s="34"/>
      <c r="BB128" s="35"/>
      <c r="BC128" s="36"/>
      <c r="BD128" s="37"/>
      <c r="BF128" s="33"/>
      <c r="BG128" s="34"/>
      <c r="BH128" s="35"/>
      <c r="BI128" s="36"/>
      <c r="BJ128" s="37"/>
      <c r="BL128" s="33"/>
      <c r="BM128" s="34"/>
      <c r="BN128" s="35"/>
      <c r="BO128" s="36"/>
      <c r="BP128" s="37"/>
      <c r="BR128" s="33"/>
      <c r="BS128" s="34"/>
      <c r="BT128" s="35"/>
      <c r="BU128" s="36"/>
      <c r="BV128" s="37"/>
      <c r="BX128" s="33"/>
      <c r="BY128" s="34"/>
      <c r="BZ128" s="35"/>
      <c r="CA128" s="36"/>
      <c r="CB128" s="37"/>
      <c r="CD128" s="33"/>
      <c r="CE128" s="34"/>
      <c r="CF128" s="35"/>
      <c r="CG128" s="36"/>
      <c r="CH128" s="37"/>
      <c r="CJ128" s="33"/>
      <c r="CK128" s="34"/>
      <c r="CL128" s="35"/>
      <c r="CM128" s="36"/>
      <c r="CN128" s="37"/>
      <c r="CP128" s="33"/>
      <c r="CQ128" s="34"/>
      <c r="CR128" s="35"/>
      <c r="CS128" s="36"/>
      <c r="CT128" s="37"/>
      <c r="CV128" s="33"/>
      <c r="CW128" s="34"/>
      <c r="CX128" s="35"/>
      <c r="CY128" s="36"/>
      <c r="CZ128" s="37"/>
      <c r="DA128" s="30">
        <f t="shared" si="11"/>
        <v>0</v>
      </c>
      <c r="DB128" s="31" t="e">
        <f>DA128*#REF!</f>
        <v>#REF!</v>
      </c>
      <c r="DC128" s="32" t="e">
        <f>DA128*#REF!</f>
        <v>#REF!</v>
      </c>
      <c r="DE128" s="33"/>
      <c r="DF128" s="34"/>
      <c r="DG128" s="35"/>
      <c r="DH128" s="36"/>
      <c r="DI128" s="37"/>
      <c r="DJ128" s="30">
        <f t="shared" si="12"/>
        <v>0</v>
      </c>
      <c r="DK128" s="31" t="e">
        <f>DJ128*#REF!</f>
        <v>#REF!</v>
      </c>
      <c r="DL128" s="32" t="e">
        <f>DJ128*#REF!</f>
        <v>#REF!</v>
      </c>
      <c r="DN128" s="33"/>
      <c r="DO128" s="34"/>
      <c r="DP128" s="35"/>
      <c r="DQ128" s="36"/>
      <c r="DR128" s="37"/>
      <c r="DS128" s="30">
        <f t="shared" si="13"/>
        <v>0</v>
      </c>
      <c r="DT128" s="31" t="e">
        <f>DS128*#REF!</f>
        <v>#REF!</v>
      </c>
      <c r="DU128" s="32" t="e">
        <f>DS128*#REF!</f>
        <v>#REF!</v>
      </c>
      <c r="DW128" s="33"/>
      <c r="DX128" s="34"/>
      <c r="DY128" s="35"/>
      <c r="DZ128" s="36"/>
      <c r="EA128" s="37"/>
      <c r="EB128" s="30">
        <f t="shared" si="14"/>
        <v>0</v>
      </c>
      <c r="EC128" s="31" t="e">
        <f>EB128*#REF!</f>
        <v>#REF!</v>
      </c>
      <c r="ED128" s="32" t="e">
        <f>EB128*#REF!</f>
        <v>#REF!</v>
      </c>
      <c r="EF128" s="33"/>
      <c r="EG128" s="34"/>
      <c r="EH128" s="35"/>
      <c r="EI128" s="36"/>
      <c r="EJ128" s="37"/>
      <c r="EK128" s="30">
        <f t="shared" si="15"/>
        <v>0</v>
      </c>
      <c r="EL128" s="31" t="e">
        <f>EK128*#REF!</f>
        <v>#REF!</v>
      </c>
      <c r="EM128" s="32" t="e">
        <f>EK128*#REF!</f>
        <v>#REF!</v>
      </c>
      <c r="EO128" s="33"/>
      <c r="EP128" s="34"/>
      <c r="EQ128" s="35"/>
      <c r="ER128" s="36"/>
      <c r="ES128" s="37"/>
      <c r="ET128" s="30">
        <f t="shared" si="16"/>
        <v>0</v>
      </c>
      <c r="EU128" s="31" t="e">
        <f>ET128*#REF!</f>
        <v>#REF!</v>
      </c>
      <c r="EV128" s="32" t="e">
        <f>ET128*#REF!</f>
        <v>#REF!</v>
      </c>
      <c r="EX128" s="33"/>
      <c r="EY128" s="34"/>
      <c r="EZ128" s="35"/>
      <c r="FA128" s="36"/>
      <c r="FB128" s="37"/>
      <c r="FC128" s="30">
        <f t="shared" si="17"/>
        <v>0</v>
      </c>
      <c r="FD128" s="31" t="e">
        <f>FC128*#REF!</f>
        <v>#REF!</v>
      </c>
      <c r="FE128" s="32" t="e">
        <f>FC128*#REF!</f>
        <v>#REF!</v>
      </c>
      <c r="FG128" s="33"/>
      <c r="FH128" s="34"/>
      <c r="FI128" s="35"/>
      <c r="FJ128" s="36"/>
      <c r="FK128" s="37"/>
      <c r="FL128" s="30">
        <f t="shared" si="18"/>
        <v>0</v>
      </c>
      <c r="FM128" s="31" t="e">
        <f>FL128*#REF!</f>
        <v>#REF!</v>
      </c>
      <c r="FN128" s="32" t="e">
        <f>FL128*#REF!</f>
        <v>#REF!</v>
      </c>
      <c r="FP128" s="33"/>
      <c r="FQ128" s="34"/>
      <c r="FR128" s="35"/>
      <c r="FS128" s="36"/>
      <c r="FT128" s="37"/>
      <c r="FU128" s="30">
        <f t="shared" si="19"/>
        <v>0</v>
      </c>
      <c r="FV128" s="31" t="e">
        <f>FU128*#REF!</f>
        <v>#REF!</v>
      </c>
      <c r="FW128" s="32" t="e">
        <f>FU128*#REF!</f>
        <v>#REF!</v>
      </c>
      <c r="FY128" s="33"/>
      <c r="FZ128" s="34"/>
      <c r="GA128" s="35"/>
      <c r="GB128" s="36"/>
      <c r="GC128" s="37"/>
      <c r="GD128" s="30">
        <f t="shared" si="20"/>
        <v>0</v>
      </c>
      <c r="GE128" s="31" t="e">
        <f>GD128*#REF!</f>
        <v>#REF!</v>
      </c>
      <c r="GF128" s="32" t="e">
        <f>GD128*#REF!</f>
        <v>#REF!</v>
      </c>
      <c r="GH128" s="33"/>
      <c r="GI128" s="34"/>
      <c r="GJ128" s="35"/>
      <c r="GK128" s="36"/>
      <c r="GL128" s="37"/>
      <c r="GM128" s="30">
        <f t="shared" si="21"/>
        <v>0</v>
      </c>
      <c r="GN128" s="31" t="e">
        <f>GM128*#REF!</f>
        <v>#REF!</v>
      </c>
      <c r="GO128" s="32" t="e">
        <f>GM128*#REF!</f>
        <v>#REF!</v>
      </c>
      <c r="GQ128" s="38">
        <f>_xlfn.MAXIFS(I128:GO128,$I$5:$GO$5,"Staff #")</f>
        <v>0</v>
      </c>
      <c r="GR128" s="39">
        <v>0</v>
      </c>
    </row>
    <row r="129" spans="2:200" ht="15" x14ac:dyDescent="0.25">
      <c r="B129" s="22"/>
      <c r="C129" s="23"/>
      <c r="D129" s="24" t="str">
        <f>IF(C129="","",_xlfn.XLOOKUP(C129,'[3]Control Sheet'!$L$5:$L$104,'[3]Control Sheet'!$M$5:$M$104,"",0))</f>
        <v/>
      </c>
      <c r="E129" s="24" t="str">
        <f>IF(B129="","",_xlfn.XLOOKUP(B129,'[3]Control Sheet'!$D$5:$D$64,'[3]Control Sheet'!$F$5:$F$64,"",0))</f>
        <v/>
      </c>
      <c r="F129" s="24" t="str">
        <f>IF(B129="","",_xlfn.XLOOKUP(B129,'[3]Control Sheet'!$D$5:$D$64,'[3]Control Sheet'!$E$5:$E$64,"",0))</f>
        <v/>
      </c>
      <c r="I129" s="33"/>
      <c r="J129" s="34"/>
      <c r="K129" s="35"/>
      <c r="L129" s="36"/>
      <c r="M129" s="37"/>
      <c r="P129" s="33"/>
      <c r="Q129" s="34"/>
      <c r="R129" s="35"/>
      <c r="S129" s="36"/>
      <c r="T129" s="37"/>
      <c r="V129" s="33"/>
      <c r="W129" s="34"/>
      <c r="X129" s="35"/>
      <c r="Y129" s="36"/>
      <c r="Z129" s="37"/>
      <c r="AB129" s="33"/>
      <c r="AC129" s="34"/>
      <c r="AD129" s="35"/>
      <c r="AE129" s="36"/>
      <c r="AF129" s="37"/>
      <c r="AH129" s="33"/>
      <c r="AI129" s="34"/>
      <c r="AJ129" s="35"/>
      <c r="AK129" s="36"/>
      <c r="AL129" s="37"/>
      <c r="AN129" s="33"/>
      <c r="AO129" s="34"/>
      <c r="AP129" s="35"/>
      <c r="AQ129" s="36"/>
      <c r="AR129" s="37"/>
      <c r="AT129" s="33"/>
      <c r="AU129" s="34"/>
      <c r="AV129" s="35"/>
      <c r="AW129" s="36"/>
      <c r="AX129" s="37"/>
      <c r="AZ129" s="33"/>
      <c r="BA129" s="34"/>
      <c r="BB129" s="35"/>
      <c r="BC129" s="36"/>
      <c r="BD129" s="37"/>
      <c r="BF129" s="33"/>
      <c r="BG129" s="34"/>
      <c r="BH129" s="35"/>
      <c r="BI129" s="36"/>
      <c r="BJ129" s="37"/>
      <c r="BL129" s="33"/>
      <c r="BM129" s="34"/>
      <c r="BN129" s="35"/>
      <c r="BO129" s="36"/>
      <c r="BP129" s="37"/>
      <c r="BR129" s="33"/>
      <c r="BS129" s="34"/>
      <c r="BT129" s="35"/>
      <c r="BU129" s="36"/>
      <c r="BV129" s="37"/>
      <c r="BX129" s="33"/>
      <c r="BY129" s="34"/>
      <c r="BZ129" s="35"/>
      <c r="CA129" s="36"/>
      <c r="CB129" s="37"/>
      <c r="CD129" s="33"/>
      <c r="CE129" s="34"/>
      <c r="CF129" s="35"/>
      <c r="CG129" s="36"/>
      <c r="CH129" s="37"/>
      <c r="CJ129" s="33"/>
      <c r="CK129" s="34"/>
      <c r="CL129" s="35"/>
      <c r="CM129" s="36"/>
      <c r="CN129" s="37"/>
      <c r="CP129" s="33"/>
      <c r="CQ129" s="34"/>
      <c r="CR129" s="35"/>
      <c r="CS129" s="36"/>
      <c r="CT129" s="37"/>
      <c r="CV129" s="33"/>
      <c r="CW129" s="34"/>
      <c r="CX129" s="35"/>
      <c r="CY129" s="36"/>
      <c r="CZ129" s="37"/>
      <c r="DA129" s="30">
        <f t="shared" si="11"/>
        <v>0</v>
      </c>
      <c r="DB129" s="31" t="e">
        <f>DA129*#REF!</f>
        <v>#REF!</v>
      </c>
      <c r="DC129" s="32" t="e">
        <f>DA129*#REF!</f>
        <v>#REF!</v>
      </c>
      <c r="DE129" s="33"/>
      <c r="DF129" s="34"/>
      <c r="DG129" s="35"/>
      <c r="DH129" s="36"/>
      <c r="DI129" s="37"/>
      <c r="DJ129" s="30">
        <f t="shared" si="12"/>
        <v>0</v>
      </c>
      <c r="DK129" s="31" t="e">
        <f>DJ129*#REF!</f>
        <v>#REF!</v>
      </c>
      <c r="DL129" s="32" t="e">
        <f>DJ129*#REF!</f>
        <v>#REF!</v>
      </c>
      <c r="DN129" s="33"/>
      <c r="DO129" s="34"/>
      <c r="DP129" s="35"/>
      <c r="DQ129" s="36"/>
      <c r="DR129" s="37"/>
      <c r="DS129" s="30">
        <f t="shared" si="13"/>
        <v>0</v>
      </c>
      <c r="DT129" s="31" t="e">
        <f>DS129*#REF!</f>
        <v>#REF!</v>
      </c>
      <c r="DU129" s="32" t="e">
        <f>DS129*#REF!</f>
        <v>#REF!</v>
      </c>
      <c r="DW129" s="33"/>
      <c r="DX129" s="34"/>
      <c r="DY129" s="35"/>
      <c r="DZ129" s="36"/>
      <c r="EA129" s="37"/>
      <c r="EB129" s="30">
        <f t="shared" si="14"/>
        <v>0</v>
      </c>
      <c r="EC129" s="31" t="e">
        <f>EB129*#REF!</f>
        <v>#REF!</v>
      </c>
      <c r="ED129" s="32" t="e">
        <f>EB129*#REF!</f>
        <v>#REF!</v>
      </c>
      <c r="EF129" s="33"/>
      <c r="EG129" s="34"/>
      <c r="EH129" s="35"/>
      <c r="EI129" s="36"/>
      <c r="EJ129" s="37"/>
      <c r="EK129" s="30">
        <f t="shared" si="15"/>
        <v>0</v>
      </c>
      <c r="EL129" s="31" t="e">
        <f>EK129*#REF!</f>
        <v>#REF!</v>
      </c>
      <c r="EM129" s="32" t="e">
        <f>EK129*#REF!</f>
        <v>#REF!</v>
      </c>
      <c r="EO129" s="33"/>
      <c r="EP129" s="34"/>
      <c r="EQ129" s="35"/>
      <c r="ER129" s="36"/>
      <c r="ES129" s="37"/>
      <c r="ET129" s="30">
        <f t="shared" si="16"/>
        <v>0</v>
      </c>
      <c r="EU129" s="31" t="e">
        <f>ET129*#REF!</f>
        <v>#REF!</v>
      </c>
      <c r="EV129" s="32" t="e">
        <f>ET129*#REF!</f>
        <v>#REF!</v>
      </c>
      <c r="EX129" s="33"/>
      <c r="EY129" s="34"/>
      <c r="EZ129" s="35"/>
      <c r="FA129" s="36"/>
      <c r="FB129" s="37"/>
      <c r="FC129" s="30">
        <f t="shared" si="17"/>
        <v>0</v>
      </c>
      <c r="FD129" s="31" t="e">
        <f>FC129*#REF!</f>
        <v>#REF!</v>
      </c>
      <c r="FE129" s="32" t="e">
        <f>FC129*#REF!</f>
        <v>#REF!</v>
      </c>
      <c r="FG129" s="33"/>
      <c r="FH129" s="34"/>
      <c r="FI129" s="35"/>
      <c r="FJ129" s="36"/>
      <c r="FK129" s="37"/>
      <c r="FL129" s="30">
        <f t="shared" si="18"/>
        <v>0</v>
      </c>
      <c r="FM129" s="31" t="e">
        <f>FL129*#REF!</f>
        <v>#REF!</v>
      </c>
      <c r="FN129" s="32" t="e">
        <f>FL129*#REF!</f>
        <v>#REF!</v>
      </c>
      <c r="FP129" s="33"/>
      <c r="FQ129" s="34"/>
      <c r="FR129" s="35"/>
      <c r="FS129" s="36"/>
      <c r="FT129" s="37"/>
      <c r="FU129" s="30">
        <f t="shared" si="19"/>
        <v>0</v>
      </c>
      <c r="FV129" s="31" t="e">
        <f>FU129*#REF!</f>
        <v>#REF!</v>
      </c>
      <c r="FW129" s="32" t="e">
        <f>FU129*#REF!</f>
        <v>#REF!</v>
      </c>
      <c r="FY129" s="33"/>
      <c r="FZ129" s="34"/>
      <c r="GA129" s="35"/>
      <c r="GB129" s="36"/>
      <c r="GC129" s="37"/>
      <c r="GD129" s="30">
        <f t="shared" si="20"/>
        <v>0</v>
      </c>
      <c r="GE129" s="31" t="e">
        <f>GD129*#REF!</f>
        <v>#REF!</v>
      </c>
      <c r="GF129" s="32" t="e">
        <f>GD129*#REF!</f>
        <v>#REF!</v>
      </c>
      <c r="GH129" s="33"/>
      <c r="GI129" s="34"/>
      <c r="GJ129" s="35"/>
      <c r="GK129" s="36"/>
      <c r="GL129" s="37"/>
      <c r="GM129" s="30">
        <f t="shared" si="21"/>
        <v>0</v>
      </c>
      <c r="GN129" s="31" t="e">
        <f>GM129*#REF!</f>
        <v>#REF!</v>
      </c>
      <c r="GO129" s="32" t="e">
        <f>GM129*#REF!</f>
        <v>#REF!</v>
      </c>
      <c r="GQ129" s="38">
        <f>_xlfn.MAXIFS(I129:GO129,$I$5:$GO$5,"Staff #")</f>
        <v>0</v>
      </c>
      <c r="GR129" s="39">
        <v>0</v>
      </c>
    </row>
    <row r="130" spans="2:200" ht="15" x14ac:dyDescent="0.25">
      <c r="B130" s="22"/>
      <c r="C130" s="23"/>
      <c r="D130" s="24" t="str">
        <f>IF(C130="","",_xlfn.XLOOKUP(C130,'[3]Control Sheet'!$L$5:$L$104,'[3]Control Sheet'!$M$5:$M$104,"",0))</f>
        <v/>
      </c>
      <c r="E130" s="24" t="str">
        <f>IF(B130="","",_xlfn.XLOOKUP(B130,'[3]Control Sheet'!$D$5:$D$64,'[3]Control Sheet'!$F$5:$F$64,"",0))</f>
        <v/>
      </c>
      <c r="F130" s="24" t="str">
        <f>IF(B130="","",_xlfn.XLOOKUP(B130,'[3]Control Sheet'!$D$5:$D$64,'[3]Control Sheet'!$E$5:$E$64,"",0))</f>
        <v/>
      </c>
      <c r="I130" s="33"/>
      <c r="J130" s="34"/>
      <c r="K130" s="35"/>
      <c r="L130" s="36"/>
      <c r="M130" s="37"/>
      <c r="P130" s="33"/>
      <c r="Q130" s="34"/>
      <c r="R130" s="35"/>
      <c r="S130" s="36"/>
      <c r="T130" s="37"/>
      <c r="V130" s="33"/>
      <c r="W130" s="34"/>
      <c r="X130" s="35"/>
      <c r="Y130" s="36"/>
      <c r="Z130" s="37"/>
      <c r="AB130" s="33"/>
      <c r="AC130" s="34"/>
      <c r="AD130" s="35"/>
      <c r="AE130" s="36"/>
      <c r="AF130" s="37"/>
      <c r="AH130" s="33"/>
      <c r="AI130" s="34"/>
      <c r="AJ130" s="35"/>
      <c r="AK130" s="36"/>
      <c r="AL130" s="37"/>
      <c r="AN130" s="33"/>
      <c r="AO130" s="34"/>
      <c r="AP130" s="35"/>
      <c r="AQ130" s="36"/>
      <c r="AR130" s="37"/>
      <c r="AT130" s="33"/>
      <c r="AU130" s="34"/>
      <c r="AV130" s="35"/>
      <c r="AW130" s="36"/>
      <c r="AX130" s="37"/>
      <c r="AZ130" s="33"/>
      <c r="BA130" s="34"/>
      <c r="BB130" s="35"/>
      <c r="BC130" s="36"/>
      <c r="BD130" s="37"/>
      <c r="BF130" s="33"/>
      <c r="BG130" s="34"/>
      <c r="BH130" s="35"/>
      <c r="BI130" s="36"/>
      <c r="BJ130" s="37"/>
      <c r="BL130" s="33"/>
      <c r="BM130" s="34"/>
      <c r="BN130" s="35"/>
      <c r="BO130" s="36"/>
      <c r="BP130" s="37"/>
      <c r="BR130" s="33"/>
      <c r="BS130" s="34"/>
      <c r="BT130" s="35"/>
      <c r="BU130" s="36"/>
      <c r="BV130" s="37"/>
      <c r="BX130" s="33"/>
      <c r="BY130" s="34"/>
      <c r="BZ130" s="35"/>
      <c r="CA130" s="36"/>
      <c r="CB130" s="37"/>
      <c r="CD130" s="33"/>
      <c r="CE130" s="34"/>
      <c r="CF130" s="35"/>
      <c r="CG130" s="36"/>
      <c r="CH130" s="37"/>
      <c r="CJ130" s="33"/>
      <c r="CK130" s="34"/>
      <c r="CL130" s="35"/>
      <c r="CM130" s="36"/>
      <c r="CN130" s="37"/>
      <c r="CP130" s="33"/>
      <c r="CQ130" s="34"/>
      <c r="CR130" s="35"/>
      <c r="CS130" s="36"/>
      <c r="CT130" s="37"/>
      <c r="CV130" s="33"/>
      <c r="CW130" s="34"/>
      <c r="CX130" s="35"/>
      <c r="CY130" s="36"/>
      <c r="CZ130" s="37"/>
      <c r="DA130" s="30">
        <f t="shared" si="11"/>
        <v>0</v>
      </c>
      <c r="DB130" s="31" t="e">
        <f>DA130*#REF!</f>
        <v>#REF!</v>
      </c>
      <c r="DC130" s="32" t="e">
        <f>DA130*#REF!</f>
        <v>#REF!</v>
      </c>
      <c r="DE130" s="33"/>
      <c r="DF130" s="34"/>
      <c r="DG130" s="35"/>
      <c r="DH130" s="36"/>
      <c r="DI130" s="37"/>
      <c r="DJ130" s="30">
        <f t="shared" si="12"/>
        <v>0</v>
      </c>
      <c r="DK130" s="31" t="e">
        <f>DJ130*#REF!</f>
        <v>#REF!</v>
      </c>
      <c r="DL130" s="32" t="e">
        <f>DJ130*#REF!</f>
        <v>#REF!</v>
      </c>
      <c r="DN130" s="33"/>
      <c r="DO130" s="34"/>
      <c r="DP130" s="35"/>
      <c r="DQ130" s="36"/>
      <c r="DR130" s="37"/>
      <c r="DS130" s="30">
        <f t="shared" si="13"/>
        <v>0</v>
      </c>
      <c r="DT130" s="31" t="e">
        <f>DS130*#REF!</f>
        <v>#REF!</v>
      </c>
      <c r="DU130" s="32" t="e">
        <f>DS130*#REF!</f>
        <v>#REF!</v>
      </c>
      <c r="DW130" s="33"/>
      <c r="DX130" s="34"/>
      <c r="DY130" s="35"/>
      <c r="DZ130" s="36"/>
      <c r="EA130" s="37"/>
      <c r="EB130" s="30">
        <f t="shared" si="14"/>
        <v>0</v>
      </c>
      <c r="EC130" s="31" t="e">
        <f>EB130*#REF!</f>
        <v>#REF!</v>
      </c>
      <c r="ED130" s="32" t="e">
        <f>EB130*#REF!</f>
        <v>#REF!</v>
      </c>
      <c r="EF130" s="33"/>
      <c r="EG130" s="34"/>
      <c r="EH130" s="35"/>
      <c r="EI130" s="36"/>
      <c r="EJ130" s="37"/>
      <c r="EK130" s="30">
        <f t="shared" si="15"/>
        <v>0</v>
      </c>
      <c r="EL130" s="31" t="e">
        <f>EK130*#REF!</f>
        <v>#REF!</v>
      </c>
      <c r="EM130" s="32" t="e">
        <f>EK130*#REF!</f>
        <v>#REF!</v>
      </c>
      <c r="EO130" s="33"/>
      <c r="EP130" s="34"/>
      <c r="EQ130" s="35"/>
      <c r="ER130" s="36"/>
      <c r="ES130" s="37"/>
      <c r="ET130" s="30">
        <f t="shared" si="16"/>
        <v>0</v>
      </c>
      <c r="EU130" s="31" t="e">
        <f>ET130*#REF!</f>
        <v>#REF!</v>
      </c>
      <c r="EV130" s="32" t="e">
        <f>ET130*#REF!</f>
        <v>#REF!</v>
      </c>
      <c r="EX130" s="33"/>
      <c r="EY130" s="34"/>
      <c r="EZ130" s="35"/>
      <c r="FA130" s="36"/>
      <c r="FB130" s="37"/>
      <c r="FC130" s="30">
        <f t="shared" si="17"/>
        <v>0</v>
      </c>
      <c r="FD130" s="31" t="e">
        <f>FC130*#REF!</f>
        <v>#REF!</v>
      </c>
      <c r="FE130" s="32" t="e">
        <f>FC130*#REF!</f>
        <v>#REF!</v>
      </c>
      <c r="FG130" s="33"/>
      <c r="FH130" s="34"/>
      <c r="FI130" s="35"/>
      <c r="FJ130" s="36"/>
      <c r="FK130" s="37"/>
      <c r="FL130" s="30">
        <f t="shared" si="18"/>
        <v>0</v>
      </c>
      <c r="FM130" s="31" t="e">
        <f>FL130*#REF!</f>
        <v>#REF!</v>
      </c>
      <c r="FN130" s="32" t="e">
        <f>FL130*#REF!</f>
        <v>#REF!</v>
      </c>
      <c r="FP130" s="33"/>
      <c r="FQ130" s="34"/>
      <c r="FR130" s="35"/>
      <c r="FS130" s="36"/>
      <c r="FT130" s="37"/>
      <c r="FU130" s="30">
        <f t="shared" si="19"/>
        <v>0</v>
      </c>
      <c r="FV130" s="31" t="e">
        <f>FU130*#REF!</f>
        <v>#REF!</v>
      </c>
      <c r="FW130" s="32" t="e">
        <f>FU130*#REF!</f>
        <v>#REF!</v>
      </c>
      <c r="FY130" s="33"/>
      <c r="FZ130" s="34"/>
      <c r="GA130" s="35"/>
      <c r="GB130" s="36"/>
      <c r="GC130" s="37"/>
      <c r="GD130" s="30">
        <f t="shared" si="20"/>
        <v>0</v>
      </c>
      <c r="GE130" s="31" t="e">
        <f>GD130*#REF!</f>
        <v>#REF!</v>
      </c>
      <c r="GF130" s="32" t="e">
        <f>GD130*#REF!</f>
        <v>#REF!</v>
      </c>
      <c r="GH130" s="33"/>
      <c r="GI130" s="34"/>
      <c r="GJ130" s="35"/>
      <c r="GK130" s="36"/>
      <c r="GL130" s="37"/>
      <c r="GM130" s="30">
        <f t="shared" si="21"/>
        <v>0</v>
      </c>
      <c r="GN130" s="31" t="e">
        <f>GM130*#REF!</f>
        <v>#REF!</v>
      </c>
      <c r="GO130" s="32" t="e">
        <f>GM130*#REF!</f>
        <v>#REF!</v>
      </c>
      <c r="GQ130" s="38">
        <f>_xlfn.MAXIFS(I130:GO130,$I$5:$GO$5,"Staff #")</f>
        <v>0</v>
      </c>
      <c r="GR130" s="39">
        <v>0</v>
      </c>
    </row>
    <row r="131" spans="2:200" ht="15" x14ac:dyDescent="0.25">
      <c r="B131" s="22"/>
      <c r="C131" s="23"/>
      <c r="D131" s="24" t="str">
        <f>IF(C131="","",_xlfn.XLOOKUP(C131,'[3]Control Sheet'!$L$5:$L$104,'[3]Control Sheet'!$M$5:$M$104,"",0))</f>
        <v/>
      </c>
      <c r="E131" s="24" t="str">
        <f>IF(B131="","",_xlfn.XLOOKUP(B131,'[3]Control Sheet'!$D$5:$D$64,'[3]Control Sheet'!$F$5:$F$64,"",0))</f>
        <v/>
      </c>
      <c r="F131" s="24" t="str">
        <f>IF(B131="","",_xlfn.XLOOKUP(B131,'[3]Control Sheet'!$D$5:$D$64,'[3]Control Sheet'!$E$5:$E$64,"",0))</f>
        <v/>
      </c>
      <c r="I131" s="33"/>
      <c r="J131" s="34"/>
      <c r="K131" s="35"/>
      <c r="L131" s="36"/>
      <c r="M131" s="37"/>
      <c r="P131" s="33"/>
      <c r="Q131" s="34"/>
      <c r="R131" s="35"/>
      <c r="S131" s="36"/>
      <c r="T131" s="37"/>
      <c r="V131" s="33"/>
      <c r="W131" s="34"/>
      <c r="X131" s="35"/>
      <c r="Y131" s="36"/>
      <c r="Z131" s="37"/>
      <c r="AB131" s="33"/>
      <c r="AC131" s="34"/>
      <c r="AD131" s="35"/>
      <c r="AE131" s="36"/>
      <c r="AF131" s="37"/>
      <c r="AH131" s="33"/>
      <c r="AI131" s="34"/>
      <c r="AJ131" s="35"/>
      <c r="AK131" s="36"/>
      <c r="AL131" s="37"/>
      <c r="AN131" s="33"/>
      <c r="AO131" s="34"/>
      <c r="AP131" s="35"/>
      <c r="AQ131" s="36"/>
      <c r="AR131" s="37"/>
      <c r="AT131" s="33"/>
      <c r="AU131" s="34"/>
      <c r="AV131" s="35"/>
      <c r="AW131" s="36"/>
      <c r="AX131" s="37"/>
      <c r="AZ131" s="33"/>
      <c r="BA131" s="34"/>
      <c r="BB131" s="35"/>
      <c r="BC131" s="36"/>
      <c r="BD131" s="37"/>
      <c r="BF131" s="33"/>
      <c r="BG131" s="34"/>
      <c r="BH131" s="35"/>
      <c r="BI131" s="36"/>
      <c r="BJ131" s="37"/>
      <c r="BL131" s="33"/>
      <c r="BM131" s="34"/>
      <c r="BN131" s="35"/>
      <c r="BO131" s="36"/>
      <c r="BP131" s="37"/>
      <c r="BR131" s="33"/>
      <c r="BS131" s="34"/>
      <c r="BT131" s="35"/>
      <c r="BU131" s="36"/>
      <c r="BV131" s="37"/>
      <c r="BX131" s="33"/>
      <c r="BY131" s="34"/>
      <c r="BZ131" s="35"/>
      <c r="CA131" s="36"/>
      <c r="CB131" s="37"/>
      <c r="CD131" s="33"/>
      <c r="CE131" s="34"/>
      <c r="CF131" s="35"/>
      <c r="CG131" s="36"/>
      <c r="CH131" s="37"/>
      <c r="CJ131" s="33"/>
      <c r="CK131" s="34"/>
      <c r="CL131" s="35"/>
      <c r="CM131" s="36"/>
      <c r="CN131" s="37"/>
      <c r="CP131" s="33"/>
      <c r="CQ131" s="34"/>
      <c r="CR131" s="35"/>
      <c r="CS131" s="36"/>
      <c r="CT131" s="37"/>
      <c r="CV131" s="33"/>
      <c r="CW131" s="34"/>
      <c r="CX131" s="35"/>
      <c r="CY131" s="36"/>
      <c r="CZ131" s="37"/>
      <c r="DA131" s="30">
        <f t="shared" si="11"/>
        <v>0</v>
      </c>
      <c r="DB131" s="31" t="e">
        <f>DA131*#REF!</f>
        <v>#REF!</v>
      </c>
      <c r="DC131" s="32" t="e">
        <f>DA131*#REF!</f>
        <v>#REF!</v>
      </c>
      <c r="DE131" s="33"/>
      <c r="DF131" s="34"/>
      <c r="DG131" s="35"/>
      <c r="DH131" s="36"/>
      <c r="DI131" s="37"/>
      <c r="DJ131" s="30">
        <f t="shared" si="12"/>
        <v>0</v>
      </c>
      <c r="DK131" s="31" t="e">
        <f>DJ131*#REF!</f>
        <v>#REF!</v>
      </c>
      <c r="DL131" s="32" t="e">
        <f>DJ131*#REF!</f>
        <v>#REF!</v>
      </c>
      <c r="DN131" s="33"/>
      <c r="DO131" s="34"/>
      <c r="DP131" s="35"/>
      <c r="DQ131" s="36"/>
      <c r="DR131" s="37"/>
      <c r="DS131" s="30">
        <f t="shared" si="13"/>
        <v>0</v>
      </c>
      <c r="DT131" s="31" t="e">
        <f>DS131*#REF!</f>
        <v>#REF!</v>
      </c>
      <c r="DU131" s="32" t="e">
        <f>DS131*#REF!</f>
        <v>#REF!</v>
      </c>
      <c r="DW131" s="33"/>
      <c r="DX131" s="34"/>
      <c r="DY131" s="35"/>
      <c r="DZ131" s="36"/>
      <c r="EA131" s="37"/>
      <c r="EB131" s="30">
        <f t="shared" si="14"/>
        <v>0</v>
      </c>
      <c r="EC131" s="31" t="e">
        <f>EB131*#REF!</f>
        <v>#REF!</v>
      </c>
      <c r="ED131" s="32" t="e">
        <f>EB131*#REF!</f>
        <v>#REF!</v>
      </c>
      <c r="EF131" s="33"/>
      <c r="EG131" s="34"/>
      <c r="EH131" s="35"/>
      <c r="EI131" s="36"/>
      <c r="EJ131" s="37"/>
      <c r="EK131" s="30">
        <f t="shared" si="15"/>
        <v>0</v>
      </c>
      <c r="EL131" s="31" t="e">
        <f>EK131*#REF!</f>
        <v>#REF!</v>
      </c>
      <c r="EM131" s="32" t="e">
        <f>EK131*#REF!</f>
        <v>#REF!</v>
      </c>
      <c r="EO131" s="33"/>
      <c r="EP131" s="34"/>
      <c r="EQ131" s="35"/>
      <c r="ER131" s="36"/>
      <c r="ES131" s="37"/>
      <c r="ET131" s="30">
        <f t="shared" si="16"/>
        <v>0</v>
      </c>
      <c r="EU131" s="31" t="e">
        <f>ET131*#REF!</f>
        <v>#REF!</v>
      </c>
      <c r="EV131" s="32" t="e">
        <f>ET131*#REF!</f>
        <v>#REF!</v>
      </c>
      <c r="EX131" s="33"/>
      <c r="EY131" s="34"/>
      <c r="EZ131" s="35"/>
      <c r="FA131" s="36"/>
      <c r="FB131" s="37"/>
      <c r="FC131" s="30">
        <f t="shared" si="17"/>
        <v>0</v>
      </c>
      <c r="FD131" s="31" t="e">
        <f>FC131*#REF!</f>
        <v>#REF!</v>
      </c>
      <c r="FE131" s="32" t="e">
        <f>FC131*#REF!</f>
        <v>#REF!</v>
      </c>
      <c r="FG131" s="33"/>
      <c r="FH131" s="34"/>
      <c r="FI131" s="35"/>
      <c r="FJ131" s="36"/>
      <c r="FK131" s="37"/>
      <c r="FL131" s="30">
        <f t="shared" si="18"/>
        <v>0</v>
      </c>
      <c r="FM131" s="31" t="e">
        <f>FL131*#REF!</f>
        <v>#REF!</v>
      </c>
      <c r="FN131" s="32" t="e">
        <f>FL131*#REF!</f>
        <v>#REF!</v>
      </c>
      <c r="FP131" s="33"/>
      <c r="FQ131" s="34"/>
      <c r="FR131" s="35"/>
      <c r="FS131" s="36"/>
      <c r="FT131" s="37"/>
      <c r="FU131" s="30">
        <f t="shared" si="19"/>
        <v>0</v>
      </c>
      <c r="FV131" s="31" t="e">
        <f>FU131*#REF!</f>
        <v>#REF!</v>
      </c>
      <c r="FW131" s="32" t="e">
        <f>FU131*#REF!</f>
        <v>#REF!</v>
      </c>
      <c r="FY131" s="33"/>
      <c r="FZ131" s="34"/>
      <c r="GA131" s="35"/>
      <c r="GB131" s="36"/>
      <c r="GC131" s="37"/>
      <c r="GD131" s="30">
        <f t="shared" si="20"/>
        <v>0</v>
      </c>
      <c r="GE131" s="31" t="e">
        <f>GD131*#REF!</f>
        <v>#REF!</v>
      </c>
      <c r="GF131" s="32" t="e">
        <f>GD131*#REF!</f>
        <v>#REF!</v>
      </c>
      <c r="GH131" s="33"/>
      <c r="GI131" s="34"/>
      <c r="GJ131" s="35"/>
      <c r="GK131" s="36"/>
      <c r="GL131" s="37"/>
      <c r="GM131" s="30">
        <f t="shared" si="21"/>
        <v>0</v>
      </c>
      <c r="GN131" s="31" t="e">
        <f>GM131*#REF!</f>
        <v>#REF!</v>
      </c>
      <c r="GO131" s="32" t="e">
        <f>GM131*#REF!</f>
        <v>#REF!</v>
      </c>
      <c r="GQ131" s="38">
        <f>_xlfn.MAXIFS(I131:GO131,$I$5:$GO$5,"Staff #")</f>
        <v>0</v>
      </c>
      <c r="GR131" s="39">
        <v>0</v>
      </c>
    </row>
    <row r="132" spans="2:200" ht="15" x14ac:dyDescent="0.25">
      <c r="B132" s="22"/>
      <c r="C132" s="23"/>
      <c r="D132" s="24" t="str">
        <f>IF(C132="","",_xlfn.XLOOKUP(C132,'[3]Control Sheet'!$L$5:$L$104,'[3]Control Sheet'!$M$5:$M$104,"",0))</f>
        <v/>
      </c>
      <c r="E132" s="24" t="str">
        <f>IF(B132="","",_xlfn.XLOOKUP(B132,'[3]Control Sheet'!$D$5:$D$64,'[3]Control Sheet'!$F$5:$F$64,"",0))</f>
        <v/>
      </c>
      <c r="F132" s="24" t="str">
        <f>IF(B132="","",_xlfn.XLOOKUP(B132,'[3]Control Sheet'!$D$5:$D$64,'[3]Control Sheet'!$E$5:$E$64,"",0))</f>
        <v/>
      </c>
      <c r="I132" s="33"/>
      <c r="J132" s="34"/>
      <c r="K132" s="35"/>
      <c r="L132" s="36"/>
      <c r="M132" s="37"/>
      <c r="P132" s="33"/>
      <c r="Q132" s="34"/>
      <c r="R132" s="35"/>
      <c r="S132" s="36"/>
      <c r="T132" s="37"/>
      <c r="V132" s="33"/>
      <c r="W132" s="34"/>
      <c r="X132" s="35"/>
      <c r="Y132" s="36"/>
      <c r="Z132" s="37"/>
      <c r="AB132" s="33"/>
      <c r="AC132" s="34"/>
      <c r="AD132" s="35"/>
      <c r="AE132" s="36"/>
      <c r="AF132" s="37"/>
      <c r="AH132" s="33"/>
      <c r="AI132" s="34"/>
      <c r="AJ132" s="35"/>
      <c r="AK132" s="36"/>
      <c r="AL132" s="37"/>
      <c r="AN132" s="33"/>
      <c r="AO132" s="34"/>
      <c r="AP132" s="35"/>
      <c r="AQ132" s="36"/>
      <c r="AR132" s="37"/>
      <c r="AT132" s="33"/>
      <c r="AU132" s="34"/>
      <c r="AV132" s="35"/>
      <c r="AW132" s="36"/>
      <c r="AX132" s="37"/>
      <c r="AZ132" s="33"/>
      <c r="BA132" s="34"/>
      <c r="BB132" s="35"/>
      <c r="BC132" s="36"/>
      <c r="BD132" s="37"/>
      <c r="BF132" s="33"/>
      <c r="BG132" s="34"/>
      <c r="BH132" s="35"/>
      <c r="BI132" s="36"/>
      <c r="BJ132" s="37"/>
      <c r="BL132" s="33"/>
      <c r="BM132" s="34"/>
      <c r="BN132" s="35"/>
      <c r="BO132" s="36"/>
      <c r="BP132" s="37"/>
      <c r="BR132" s="33"/>
      <c r="BS132" s="34"/>
      <c r="BT132" s="35"/>
      <c r="BU132" s="36"/>
      <c r="BV132" s="37"/>
      <c r="BX132" s="33"/>
      <c r="BY132" s="34"/>
      <c r="BZ132" s="35"/>
      <c r="CA132" s="36"/>
      <c r="CB132" s="37"/>
      <c r="CD132" s="33"/>
      <c r="CE132" s="34"/>
      <c r="CF132" s="35"/>
      <c r="CG132" s="36"/>
      <c r="CH132" s="37"/>
      <c r="CJ132" s="33"/>
      <c r="CK132" s="34"/>
      <c r="CL132" s="35"/>
      <c r="CM132" s="36"/>
      <c r="CN132" s="37"/>
      <c r="CP132" s="33"/>
      <c r="CQ132" s="34"/>
      <c r="CR132" s="35"/>
      <c r="CS132" s="36"/>
      <c r="CT132" s="37"/>
      <c r="CV132" s="33"/>
      <c r="CW132" s="34"/>
      <c r="CX132" s="35"/>
      <c r="CY132" s="36"/>
      <c r="CZ132" s="37"/>
      <c r="DA132" s="30">
        <f t="shared" si="11"/>
        <v>0</v>
      </c>
      <c r="DB132" s="31" t="e">
        <f>DA132*#REF!</f>
        <v>#REF!</v>
      </c>
      <c r="DC132" s="32" t="e">
        <f>DA132*#REF!</f>
        <v>#REF!</v>
      </c>
      <c r="DE132" s="33"/>
      <c r="DF132" s="34"/>
      <c r="DG132" s="35"/>
      <c r="DH132" s="36"/>
      <c r="DI132" s="37"/>
      <c r="DJ132" s="30">
        <f t="shared" si="12"/>
        <v>0</v>
      </c>
      <c r="DK132" s="31" t="e">
        <f>DJ132*#REF!</f>
        <v>#REF!</v>
      </c>
      <c r="DL132" s="32" t="e">
        <f>DJ132*#REF!</f>
        <v>#REF!</v>
      </c>
      <c r="DN132" s="33"/>
      <c r="DO132" s="34"/>
      <c r="DP132" s="35"/>
      <c r="DQ132" s="36"/>
      <c r="DR132" s="37"/>
      <c r="DS132" s="30">
        <f t="shared" si="13"/>
        <v>0</v>
      </c>
      <c r="DT132" s="31" t="e">
        <f>DS132*#REF!</f>
        <v>#REF!</v>
      </c>
      <c r="DU132" s="32" t="e">
        <f>DS132*#REF!</f>
        <v>#REF!</v>
      </c>
      <c r="DW132" s="33"/>
      <c r="DX132" s="34"/>
      <c r="DY132" s="35"/>
      <c r="DZ132" s="36"/>
      <c r="EA132" s="37"/>
      <c r="EB132" s="30">
        <f t="shared" si="14"/>
        <v>0</v>
      </c>
      <c r="EC132" s="31" t="e">
        <f>EB132*#REF!</f>
        <v>#REF!</v>
      </c>
      <c r="ED132" s="32" t="e">
        <f>EB132*#REF!</f>
        <v>#REF!</v>
      </c>
      <c r="EF132" s="33"/>
      <c r="EG132" s="34"/>
      <c r="EH132" s="35"/>
      <c r="EI132" s="36"/>
      <c r="EJ132" s="37"/>
      <c r="EK132" s="30">
        <f t="shared" si="15"/>
        <v>0</v>
      </c>
      <c r="EL132" s="31" t="e">
        <f>EK132*#REF!</f>
        <v>#REF!</v>
      </c>
      <c r="EM132" s="32" t="e">
        <f>EK132*#REF!</f>
        <v>#REF!</v>
      </c>
      <c r="EO132" s="33"/>
      <c r="EP132" s="34"/>
      <c r="EQ132" s="35"/>
      <c r="ER132" s="36"/>
      <c r="ES132" s="37"/>
      <c r="ET132" s="30">
        <f t="shared" si="16"/>
        <v>0</v>
      </c>
      <c r="EU132" s="31" t="e">
        <f>ET132*#REF!</f>
        <v>#REF!</v>
      </c>
      <c r="EV132" s="32" t="e">
        <f>ET132*#REF!</f>
        <v>#REF!</v>
      </c>
      <c r="EX132" s="33"/>
      <c r="EY132" s="34"/>
      <c r="EZ132" s="35"/>
      <c r="FA132" s="36"/>
      <c r="FB132" s="37"/>
      <c r="FC132" s="30">
        <f t="shared" si="17"/>
        <v>0</v>
      </c>
      <c r="FD132" s="31" t="e">
        <f>FC132*#REF!</f>
        <v>#REF!</v>
      </c>
      <c r="FE132" s="32" t="e">
        <f>FC132*#REF!</f>
        <v>#REF!</v>
      </c>
      <c r="FG132" s="33"/>
      <c r="FH132" s="34"/>
      <c r="FI132" s="35"/>
      <c r="FJ132" s="36"/>
      <c r="FK132" s="37"/>
      <c r="FL132" s="30">
        <f t="shared" si="18"/>
        <v>0</v>
      </c>
      <c r="FM132" s="31" t="e">
        <f>FL132*#REF!</f>
        <v>#REF!</v>
      </c>
      <c r="FN132" s="32" t="e">
        <f>FL132*#REF!</f>
        <v>#REF!</v>
      </c>
      <c r="FP132" s="33"/>
      <c r="FQ132" s="34"/>
      <c r="FR132" s="35"/>
      <c r="FS132" s="36"/>
      <c r="FT132" s="37"/>
      <c r="FU132" s="30">
        <f t="shared" si="19"/>
        <v>0</v>
      </c>
      <c r="FV132" s="31" t="e">
        <f>FU132*#REF!</f>
        <v>#REF!</v>
      </c>
      <c r="FW132" s="32" t="e">
        <f>FU132*#REF!</f>
        <v>#REF!</v>
      </c>
      <c r="FY132" s="33"/>
      <c r="FZ132" s="34"/>
      <c r="GA132" s="35"/>
      <c r="GB132" s="36"/>
      <c r="GC132" s="37"/>
      <c r="GD132" s="30">
        <f t="shared" si="20"/>
        <v>0</v>
      </c>
      <c r="GE132" s="31" t="e">
        <f>GD132*#REF!</f>
        <v>#REF!</v>
      </c>
      <c r="GF132" s="32" t="e">
        <f>GD132*#REF!</f>
        <v>#REF!</v>
      </c>
      <c r="GH132" s="33"/>
      <c r="GI132" s="34"/>
      <c r="GJ132" s="35"/>
      <c r="GK132" s="36"/>
      <c r="GL132" s="37"/>
      <c r="GM132" s="30">
        <f t="shared" si="21"/>
        <v>0</v>
      </c>
      <c r="GN132" s="31" t="e">
        <f>GM132*#REF!</f>
        <v>#REF!</v>
      </c>
      <c r="GO132" s="32" t="e">
        <f>GM132*#REF!</f>
        <v>#REF!</v>
      </c>
      <c r="GQ132" s="38">
        <f>_xlfn.MAXIFS(I132:GO132,$I$5:$GO$5,"Staff #")</f>
        <v>0</v>
      </c>
      <c r="GR132" s="39">
        <v>0</v>
      </c>
    </row>
    <row r="133" spans="2:200" ht="15" x14ac:dyDescent="0.25">
      <c r="B133" s="22"/>
      <c r="C133" s="23"/>
      <c r="D133" s="24" t="str">
        <f>IF(C133="","",_xlfn.XLOOKUP(C133,'[3]Control Sheet'!$L$5:$L$104,'[3]Control Sheet'!$M$5:$M$104,"",0))</f>
        <v/>
      </c>
      <c r="E133" s="24" t="str">
        <f>IF(B133="","",_xlfn.XLOOKUP(B133,'[3]Control Sheet'!$D$5:$D$64,'[3]Control Sheet'!$F$5:$F$64,"",0))</f>
        <v/>
      </c>
      <c r="F133" s="24" t="str">
        <f>IF(B133="","",_xlfn.XLOOKUP(B133,'[3]Control Sheet'!$D$5:$D$64,'[3]Control Sheet'!$E$5:$E$64,"",0))</f>
        <v/>
      </c>
      <c r="I133" s="33"/>
      <c r="J133" s="34"/>
      <c r="K133" s="35"/>
      <c r="L133" s="36"/>
      <c r="M133" s="37"/>
      <c r="P133" s="33"/>
      <c r="Q133" s="34"/>
      <c r="R133" s="35"/>
      <c r="S133" s="36"/>
      <c r="T133" s="37"/>
      <c r="V133" s="33"/>
      <c r="W133" s="34"/>
      <c r="X133" s="35"/>
      <c r="Y133" s="36"/>
      <c r="Z133" s="37"/>
      <c r="AB133" s="33"/>
      <c r="AC133" s="34"/>
      <c r="AD133" s="35"/>
      <c r="AE133" s="36"/>
      <c r="AF133" s="37"/>
      <c r="AH133" s="33"/>
      <c r="AI133" s="34"/>
      <c r="AJ133" s="35"/>
      <c r="AK133" s="36"/>
      <c r="AL133" s="37"/>
      <c r="AN133" s="33"/>
      <c r="AO133" s="34"/>
      <c r="AP133" s="35"/>
      <c r="AQ133" s="36"/>
      <c r="AR133" s="37"/>
      <c r="AT133" s="33"/>
      <c r="AU133" s="34"/>
      <c r="AV133" s="35"/>
      <c r="AW133" s="36"/>
      <c r="AX133" s="37"/>
      <c r="AZ133" s="33"/>
      <c r="BA133" s="34"/>
      <c r="BB133" s="35"/>
      <c r="BC133" s="36"/>
      <c r="BD133" s="37"/>
      <c r="BF133" s="33"/>
      <c r="BG133" s="34"/>
      <c r="BH133" s="35"/>
      <c r="BI133" s="36"/>
      <c r="BJ133" s="37"/>
      <c r="BL133" s="33"/>
      <c r="BM133" s="34"/>
      <c r="BN133" s="35"/>
      <c r="BO133" s="36"/>
      <c r="BP133" s="37"/>
      <c r="BR133" s="33"/>
      <c r="BS133" s="34"/>
      <c r="BT133" s="35"/>
      <c r="BU133" s="36"/>
      <c r="BV133" s="37"/>
      <c r="BX133" s="33"/>
      <c r="BY133" s="34"/>
      <c r="BZ133" s="35"/>
      <c r="CA133" s="36"/>
      <c r="CB133" s="37"/>
      <c r="CD133" s="33"/>
      <c r="CE133" s="34"/>
      <c r="CF133" s="35"/>
      <c r="CG133" s="36"/>
      <c r="CH133" s="37"/>
      <c r="CJ133" s="33"/>
      <c r="CK133" s="34"/>
      <c r="CL133" s="35"/>
      <c r="CM133" s="36"/>
      <c r="CN133" s="37"/>
      <c r="CP133" s="33"/>
      <c r="CQ133" s="34"/>
      <c r="CR133" s="35"/>
      <c r="CS133" s="36"/>
      <c r="CT133" s="37"/>
      <c r="CV133" s="33"/>
      <c r="CW133" s="34"/>
      <c r="CX133" s="35"/>
      <c r="CY133" s="36"/>
      <c r="CZ133" s="37"/>
      <c r="DA133" s="30">
        <f t="shared" si="11"/>
        <v>0</v>
      </c>
      <c r="DB133" s="31" t="e">
        <f>DA133*#REF!</f>
        <v>#REF!</v>
      </c>
      <c r="DC133" s="32" t="e">
        <f>DA133*#REF!</f>
        <v>#REF!</v>
      </c>
      <c r="DE133" s="33"/>
      <c r="DF133" s="34"/>
      <c r="DG133" s="35"/>
      <c r="DH133" s="36"/>
      <c r="DI133" s="37"/>
      <c r="DJ133" s="30">
        <f t="shared" si="12"/>
        <v>0</v>
      </c>
      <c r="DK133" s="31" t="e">
        <f>DJ133*#REF!</f>
        <v>#REF!</v>
      </c>
      <c r="DL133" s="32" t="e">
        <f>DJ133*#REF!</f>
        <v>#REF!</v>
      </c>
      <c r="DN133" s="33"/>
      <c r="DO133" s="34"/>
      <c r="DP133" s="35"/>
      <c r="DQ133" s="36"/>
      <c r="DR133" s="37"/>
      <c r="DS133" s="30">
        <f t="shared" si="13"/>
        <v>0</v>
      </c>
      <c r="DT133" s="31" t="e">
        <f>DS133*#REF!</f>
        <v>#REF!</v>
      </c>
      <c r="DU133" s="32" t="e">
        <f>DS133*#REF!</f>
        <v>#REF!</v>
      </c>
      <c r="DW133" s="33"/>
      <c r="DX133" s="34"/>
      <c r="DY133" s="35"/>
      <c r="DZ133" s="36"/>
      <c r="EA133" s="37"/>
      <c r="EB133" s="30">
        <f t="shared" si="14"/>
        <v>0</v>
      </c>
      <c r="EC133" s="31" t="e">
        <f>EB133*#REF!</f>
        <v>#REF!</v>
      </c>
      <c r="ED133" s="32" t="e">
        <f>EB133*#REF!</f>
        <v>#REF!</v>
      </c>
      <c r="EF133" s="33"/>
      <c r="EG133" s="34"/>
      <c r="EH133" s="35"/>
      <c r="EI133" s="36"/>
      <c r="EJ133" s="37"/>
      <c r="EK133" s="30">
        <f t="shared" si="15"/>
        <v>0</v>
      </c>
      <c r="EL133" s="31" t="e">
        <f>EK133*#REF!</f>
        <v>#REF!</v>
      </c>
      <c r="EM133" s="32" t="e">
        <f>EK133*#REF!</f>
        <v>#REF!</v>
      </c>
      <c r="EO133" s="33"/>
      <c r="EP133" s="34"/>
      <c r="EQ133" s="35"/>
      <c r="ER133" s="36"/>
      <c r="ES133" s="37"/>
      <c r="ET133" s="30">
        <f t="shared" si="16"/>
        <v>0</v>
      </c>
      <c r="EU133" s="31" t="e">
        <f>ET133*#REF!</f>
        <v>#REF!</v>
      </c>
      <c r="EV133" s="32" t="e">
        <f>ET133*#REF!</f>
        <v>#REF!</v>
      </c>
      <c r="EX133" s="33"/>
      <c r="EY133" s="34"/>
      <c r="EZ133" s="35"/>
      <c r="FA133" s="36"/>
      <c r="FB133" s="37"/>
      <c r="FC133" s="30">
        <f t="shared" si="17"/>
        <v>0</v>
      </c>
      <c r="FD133" s="31" t="e">
        <f>FC133*#REF!</f>
        <v>#REF!</v>
      </c>
      <c r="FE133" s="32" t="e">
        <f>FC133*#REF!</f>
        <v>#REF!</v>
      </c>
      <c r="FG133" s="33"/>
      <c r="FH133" s="34"/>
      <c r="FI133" s="35"/>
      <c r="FJ133" s="36"/>
      <c r="FK133" s="37"/>
      <c r="FL133" s="30">
        <f t="shared" si="18"/>
        <v>0</v>
      </c>
      <c r="FM133" s="31" t="e">
        <f>FL133*#REF!</f>
        <v>#REF!</v>
      </c>
      <c r="FN133" s="32" t="e">
        <f>FL133*#REF!</f>
        <v>#REF!</v>
      </c>
      <c r="FP133" s="33"/>
      <c r="FQ133" s="34"/>
      <c r="FR133" s="35"/>
      <c r="FS133" s="36"/>
      <c r="FT133" s="37"/>
      <c r="FU133" s="30">
        <f t="shared" si="19"/>
        <v>0</v>
      </c>
      <c r="FV133" s="31" t="e">
        <f>FU133*#REF!</f>
        <v>#REF!</v>
      </c>
      <c r="FW133" s="32" t="e">
        <f>FU133*#REF!</f>
        <v>#REF!</v>
      </c>
      <c r="FY133" s="33"/>
      <c r="FZ133" s="34"/>
      <c r="GA133" s="35"/>
      <c r="GB133" s="36"/>
      <c r="GC133" s="37"/>
      <c r="GD133" s="30">
        <f t="shared" si="20"/>
        <v>0</v>
      </c>
      <c r="GE133" s="31" t="e">
        <f>GD133*#REF!</f>
        <v>#REF!</v>
      </c>
      <c r="GF133" s="32" t="e">
        <f>GD133*#REF!</f>
        <v>#REF!</v>
      </c>
      <c r="GH133" s="33"/>
      <c r="GI133" s="34"/>
      <c r="GJ133" s="35"/>
      <c r="GK133" s="36"/>
      <c r="GL133" s="37"/>
      <c r="GM133" s="30">
        <f t="shared" si="21"/>
        <v>0</v>
      </c>
      <c r="GN133" s="31" t="e">
        <f>GM133*#REF!</f>
        <v>#REF!</v>
      </c>
      <c r="GO133" s="32" t="e">
        <f>GM133*#REF!</f>
        <v>#REF!</v>
      </c>
      <c r="GQ133" s="38">
        <f>_xlfn.MAXIFS(I133:GO133,$I$5:$GO$5,"Staff #")</f>
        <v>0</v>
      </c>
      <c r="GR133" s="39">
        <v>0</v>
      </c>
    </row>
    <row r="134" spans="2:200" ht="15" x14ac:dyDescent="0.25">
      <c r="B134" s="22"/>
      <c r="C134" s="23"/>
      <c r="D134" s="24" t="str">
        <f>IF(C134="","",_xlfn.XLOOKUP(C134,'[3]Control Sheet'!$L$5:$L$104,'[3]Control Sheet'!$M$5:$M$104,"",0))</f>
        <v/>
      </c>
      <c r="E134" s="24" t="str">
        <f>IF(B134="","",_xlfn.XLOOKUP(B134,'[3]Control Sheet'!$D$5:$D$64,'[3]Control Sheet'!$F$5:$F$64,"",0))</f>
        <v/>
      </c>
      <c r="F134" s="24" t="str">
        <f>IF(B134="","",_xlfn.XLOOKUP(B134,'[3]Control Sheet'!$D$5:$D$64,'[3]Control Sheet'!$E$5:$E$64,"",0))</f>
        <v/>
      </c>
      <c r="I134" s="33"/>
      <c r="J134" s="34"/>
      <c r="K134" s="35"/>
      <c r="L134" s="36"/>
      <c r="M134" s="37"/>
      <c r="P134" s="33"/>
      <c r="Q134" s="34"/>
      <c r="R134" s="35"/>
      <c r="S134" s="36"/>
      <c r="T134" s="37"/>
      <c r="V134" s="33"/>
      <c r="W134" s="34"/>
      <c r="X134" s="35"/>
      <c r="Y134" s="36"/>
      <c r="Z134" s="37"/>
      <c r="AB134" s="33"/>
      <c r="AC134" s="34"/>
      <c r="AD134" s="35"/>
      <c r="AE134" s="36"/>
      <c r="AF134" s="37"/>
      <c r="AH134" s="33"/>
      <c r="AI134" s="34"/>
      <c r="AJ134" s="35"/>
      <c r="AK134" s="36"/>
      <c r="AL134" s="37"/>
      <c r="AN134" s="33"/>
      <c r="AO134" s="34"/>
      <c r="AP134" s="35"/>
      <c r="AQ134" s="36"/>
      <c r="AR134" s="37"/>
      <c r="AT134" s="33"/>
      <c r="AU134" s="34"/>
      <c r="AV134" s="35"/>
      <c r="AW134" s="36"/>
      <c r="AX134" s="37"/>
      <c r="AZ134" s="33"/>
      <c r="BA134" s="34"/>
      <c r="BB134" s="35"/>
      <c r="BC134" s="36"/>
      <c r="BD134" s="37"/>
      <c r="BF134" s="33"/>
      <c r="BG134" s="34"/>
      <c r="BH134" s="35"/>
      <c r="BI134" s="36"/>
      <c r="BJ134" s="37"/>
      <c r="BL134" s="33"/>
      <c r="BM134" s="34"/>
      <c r="BN134" s="35"/>
      <c r="BO134" s="36"/>
      <c r="BP134" s="37"/>
      <c r="BR134" s="33"/>
      <c r="BS134" s="34"/>
      <c r="BT134" s="35"/>
      <c r="BU134" s="36"/>
      <c r="BV134" s="37"/>
      <c r="BX134" s="33"/>
      <c r="BY134" s="34"/>
      <c r="BZ134" s="35"/>
      <c r="CA134" s="36"/>
      <c r="CB134" s="37"/>
      <c r="CD134" s="33"/>
      <c r="CE134" s="34"/>
      <c r="CF134" s="35"/>
      <c r="CG134" s="36"/>
      <c r="CH134" s="37"/>
      <c r="CJ134" s="33"/>
      <c r="CK134" s="34"/>
      <c r="CL134" s="35"/>
      <c r="CM134" s="36"/>
      <c r="CN134" s="37"/>
      <c r="CP134" s="33"/>
      <c r="CQ134" s="34"/>
      <c r="CR134" s="35"/>
      <c r="CS134" s="36"/>
      <c r="CT134" s="37"/>
      <c r="CV134" s="33"/>
      <c r="CW134" s="34"/>
      <c r="CX134" s="35"/>
      <c r="CY134" s="36"/>
      <c r="CZ134" s="37"/>
      <c r="DA134" s="30">
        <f t="shared" ref="DA134:DA197" si="22">IF(SUM((CW134-CV134)*24,-CX134/60)*CY134&gt;=0,SUM((CW134-CV134)*24,-CX134/60)*CY134,0)</f>
        <v>0</v>
      </c>
      <c r="DB134" s="31" t="e">
        <f>DA134*#REF!</f>
        <v>#REF!</v>
      </c>
      <c r="DC134" s="32" t="e">
        <f>DA134*#REF!</f>
        <v>#REF!</v>
      </c>
      <c r="DE134" s="33"/>
      <c r="DF134" s="34"/>
      <c r="DG134" s="35"/>
      <c r="DH134" s="36"/>
      <c r="DI134" s="37"/>
      <c r="DJ134" s="30">
        <f t="shared" ref="DJ134:DJ197" si="23">IF(SUM((DF134-DE134)*24,-DG134/60)*DH134&gt;=0,SUM((DF134-DE134)*24,-DG134/60)*DH134,0)</f>
        <v>0</v>
      </c>
      <c r="DK134" s="31" t="e">
        <f>DJ134*#REF!</f>
        <v>#REF!</v>
      </c>
      <c r="DL134" s="32" t="e">
        <f>DJ134*#REF!</f>
        <v>#REF!</v>
      </c>
      <c r="DN134" s="33"/>
      <c r="DO134" s="34"/>
      <c r="DP134" s="35"/>
      <c r="DQ134" s="36"/>
      <c r="DR134" s="37"/>
      <c r="DS134" s="30">
        <f t="shared" ref="DS134:DS197" si="24">IF(SUM((DO134-DN134)*24,-DP134/60)*DQ134&gt;=0,SUM((DO134-DN134)*24,-DP134/60)*DQ134,0)</f>
        <v>0</v>
      </c>
      <c r="DT134" s="31" t="e">
        <f>DS134*#REF!</f>
        <v>#REF!</v>
      </c>
      <c r="DU134" s="32" t="e">
        <f>DS134*#REF!</f>
        <v>#REF!</v>
      </c>
      <c r="DW134" s="33"/>
      <c r="DX134" s="34"/>
      <c r="DY134" s="35"/>
      <c r="DZ134" s="36"/>
      <c r="EA134" s="37"/>
      <c r="EB134" s="30">
        <f t="shared" ref="EB134:EB197" si="25">IF(SUM((DX134-DW134)*24,-DY134/60)*DZ134&gt;=0,SUM((DX134-DW134)*24,-DY134/60)*DZ134,0)</f>
        <v>0</v>
      </c>
      <c r="EC134" s="31" t="e">
        <f>EB134*#REF!</f>
        <v>#REF!</v>
      </c>
      <c r="ED134" s="32" t="e">
        <f>EB134*#REF!</f>
        <v>#REF!</v>
      </c>
      <c r="EF134" s="33"/>
      <c r="EG134" s="34"/>
      <c r="EH134" s="35"/>
      <c r="EI134" s="36"/>
      <c r="EJ134" s="37"/>
      <c r="EK134" s="30">
        <f t="shared" ref="EK134:EK197" si="26">IF(SUM((EG134-EF134)*24,-EH134/60)*EI134&gt;=0,SUM((EG134-EF134)*24,-EH134/60)*EI134,0)</f>
        <v>0</v>
      </c>
      <c r="EL134" s="31" t="e">
        <f>EK134*#REF!</f>
        <v>#REF!</v>
      </c>
      <c r="EM134" s="32" t="e">
        <f>EK134*#REF!</f>
        <v>#REF!</v>
      </c>
      <c r="EO134" s="33"/>
      <c r="EP134" s="34"/>
      <c r="EQ134" s="35"/>
      <c r="ER134" s="36"/>
      <c r="ES134" s="37"/>
      <c r="ET134" s="30">
        <f t="shared" ref="ET134:ET197" si="27">IF(SUM((EP134-EO134)*24,-EQ134/60)*ER134&gt;=0,SUM((EP134-EO134)*24,-EQ134/60)*ER134,0)</f>
        <v>0</v>
      </c>
      <c r="EU134" s="31" t="e">
        <f>ET134*#REF!</f>
        <v>#REF!</v>
      </c>
      <c r="EV134" s="32" t="e">
        <f>ET134*#REF!</f>
        <v>#REF!</v>
      </c>
      <c r="EX134" s="33"/>
      <c r="EY134" s="34"/>
      <c r="EZ134" s="35"/>
      <c r="FA134" s="36"/>
      <c r="FB134" s="37"/>
      <c r="FC134" s="30">
        <f t="shared" ref="FC134:FC197" si="28">IF(SUM((EY134-EX134)*24,-EZ134/60)*FA134&gt;=0,SUM((EY134-EX134)*24,-EZ134/60)*FA134,0)</f>
        <v>0</v>
      </c>
      <c r="FD134" s="31" t="e">
        <f>FC134*#REF!</f>
        <v>#REF!</v>
      </c>
      <c r="FE134" s="32" t="e">
        <f>FC134*#REF!</f>
        <v>#REF!</v>
      </c>
      <c r="FG134" s="33"/>
      <c r="FH134" s="34"/>
      <c r="FI134" s="35"/>
      <c r="FJ134" s="36"/>
      <c r="FK134" s="37"/>
      <c r="FL134" s="30">
        <f t="shared" ref="FL134:FL197" si="29">IF(SUM((FH134-FG134)*24,-FI134/60)*FJ134&gt;=0,SUM((FH134-FG134)*24,-FI134/60)*FJ134,0)</f>
        <v>0</v>
      </c>
      <c r="FM134" s="31" t="e">
        <f>FL134*#REF!</f>
        <v>#REF!</v>
      </c>
      <c r="FN134" s="32" t="e">
        <f>FL134*#REF!</f>
        <v>#REF!</v>
      </c>
      <c r="FP134" s="33"/>
      <c r="FQ134" s="34"/>
      <c r="FR134" s="35"/>
      <c r="FS134" s="36"/>
      <c r="FT134" s="37"/>
      <c r="FU134" s="30">
        <f t="shared" ref="FU134:FU197" si="30">IF(SUM((FQ134-FP134)*24,-FR134/60)*FS134&gt;=0,SUM((FQ134-FP134)*24,-FR134/60)*FS134,0)</f>
        <v>0</v>
      </c>
      <c r="FV134" s="31" t="e">
        <f>FU134*#REF!</f>
        <v>#REF!</v>
      </c>
      <c r="FW134" s="32" t="e">
        <f>FU134*#REF!</f>
        <v>#REF!</v>
      </c>
      <c r="FY134" s="33"/>
      <c r="FZ134" s="34"/>
      <c r="GA134" s="35"/>
      <c r="GB134" s="36"/>
      <c r="GC134" s="37"/>
      <c r="GD134" s="30">
        <f t="shared" ref="GD134:GD197" si="31">IF(SUM((FZ134-FY134)*24,-GA134/60)*GB134&gt;=0,SUM((FZ134-FY134)*24,-GA134/60)*GB134,0)</f>
        <v>0</v>
      </c>
      <c r="GE134" s="31" t="e">
        <f>GD134*#REF!</f>
        <v>#REF!</v>
      </c>
      <c r="GF134" s="32" t="e">
        <f>GD134*#REF!</f>
        <v>#REF!</v>
      </c>
      <c r="GH134" s="33"/>
      <c r="GI134" s="34"/>
      <c r="GJ134" s="35"/>
      <c r="GK134" s="36"/>
      <c r="GL134" s="37"/>
      <c r="GM134" s="30">
        <f t="shared" ref="GM134:GM197" si="32">IF(SUM((GI134-GH134)*24,-GJ134/60)*GK134&gt;=0,SUM((GI134-GH134)*24,-GJ134/60)*GK134,0)</f>
        <v>0</v>
      </c>
      <c r="GN134" s="31" t="e">
        <f>GM134*#REF!</f>
        <v>#REF!</v>
      </c>
      <c r="GO134" s="32" t="e">
        <f>GM134*#REF!</f>
        <v>#REF!</v>
      </c>
      <c r="GQ134" s="38">
        <f>_xlfn.MAXIFS(I134:GO134,$I$5:$GO$5,"Staff #")</f>
        <v>0</v>
      </c>
      <c r="GR134" s="39">
        <v>0</v>
      </c>
    </row>
    <row r="135" spans="2:200" ht="15" x14ac:dyDescent="0.25">
      <c r="B135" s="22"/>
      <c r="C135" s="23"/>
      <c r="D135" s="24" t="str">
        <f>IF(C135="","",_xlfn.XLOOKUP(C135,'[3]Control Sheet'!$L$5:$L$104,'[3]Control Sheet'!$M$5:$M$104,"",0))</f>
        <v/>
      </c>
      <c r="E135" s="24" t="str">
        <f>IF(B135="","",_xlfn.XLOOKUP(B135,'[3]Control Sheet'!$D$5:$D$64,'[3]Control Sheet'!$F$5:$F$64,"",0))</f>
        <v/>
      </c>
      <c r="F135" s="24" t="str">
        <f>IF(B135="","",_xlfn.XLOOKUP(B135,'[3]Control Sheet'!$D$5:$D$64,'[3]Control Sheet'!$E$5:$E$64,"",0))</f>
        <v/>
      </c>
      <c r="I135" s="33"/>
      <c r="J135" s="34"/>
      <c r="K135" s="35"/>
      <c r="L135" s="36"/>
      <c r="M135" s="37"/>
      <c r="P135" s="33"/>
      <c r="Q135" s="34"/>
      <c r="R135" s="35"/>
      <c r="S135" s="36"/>
      <c r="T135" s="37"/>
      <c r="V135" s="33"/>
      <c r="W135" s="34"/>
      <c r="X135" s="35"/>
      <c r="Y135" s="36"/>
      <c r="Z135" s="37"/>
      <c r="AB135" s="33"/>
      <c r="AC135" s="34"/>
      <c r="AD135" s="35"/>
      <c r="AE135" s="36"/>
      <c r="AF135" s="37"/>
      <c r="AH135" s="33"/>
      <c r="AI135" s="34"/>
      <c r="AJ135" s="35"/>
      <c r="AK135" s="36"/>
      <c r="AL135" s="37"/>
      <c r="AN135" s="33"/>
      <c r="AO135" s="34"/>
      <c r="AP135" s="35"/>
      <c r="AQ135" s="36"/>
      <c r="AR135" s="37"/>
      <c r="AT135" s="33"/>
      <c r="AU135" s="34"/>
      <c r="AV135" s="35"/>
      <c r="AW135" s="36"/>
      <c r="AX135" s="37"/>
      <c r="AZ135" s="33"/>
      <c r="BA135" s="34"/>
      <c r="BB135" s="35"/>
      <c r="BC135" s="36"/>
      <c r="BD135" s="37"/>
      <c r="BF135" s="33"/>
      <c r="BG135" s="34"/>
      <c r="BH135" s="35"/>
      <c r="BI135" s="36"/>
      <c r="BJ135" s="37"/>
      <c r="BL135" s="33"/>
      <c r="BM135" s="34"/>
      <c r="BN135" s="35"/>
      <c r="BO135" s="36"/>
      <c r="BP135" s="37"/>
      <c r="BR135" s="33"/>
      <c r="BS135" s="34"/>
      <c r="BT135" s="35"/>
      <c r="BU135" s="36"/>
      <c r="BV135" s="37"/>
      <c r="BX135" s="33"/>
      <c r="BY135" s="34"/>
      <c r="BZ135" s="35"/>
      <c r="CA135" s="36"/>
      <c r="CB135" s="37"/>
      <c r="CD135" s="33"/>
      <c r="CE135" s="34"/>
      <c r="CF135" s="35"/>
      <c r="CG135" s="36"/>
      <c r="CH135" s="37"/>
      <c r="CJ135" s="33"/>
      <c r="CK135" s="34"/>
      <c r="CL135" s="35"/>
      <c r="CM135" s="36"/>
      <c r="CN135" s="37"/>
      <c r="CP135" s="33"/>
      <c r="CQ135" s="34"/>
      <c r="CR135" s="35"/>
      <c r="CS135" s="36"/>
      <c r="CT135" s="37"/>
      <c r="CV135" s="33"/>
      <c r="CW135" s="34"/>
      <c r="CX135" s="35"/>
      <c r="CY135" s="36"/>
      <c r="CZ135" s="37"/>
      <c r="DA135" s="30">
        <f t="shared" si="22"/>
        <v>0</v>
      </c>
      <c r="DB135" s="31" t="e">
        <f>DA135*#REF!</f>
        <v>#REF!</v>
      </c>
      <c r="DC135" s="32" t="e">
        <f>DA135*#REF!</f>
        <v>#REF!</v>
      </c>
      <c r="DE135" s="33"/>
      <c r="DF135" s="34"/>
      <c r="DG135" s="35"/>
      <c r="DH135" s="36"/>
      <c r="DI135" s="37"/>
      <c r="DJ135" s="30">
        <f t="shared" si="23"/>
        <v>0</v>
      </c>
      <c r="DK135" s="31" t="e">
        <f>DJ135*#REF!</f>
        <v>#REF!</v>
      </c>
      <c r="DL135" s="32" t="e">
        <f>DJ135*#REF!</f>
        <v>#REF!</v>
      </c>
      <c r="DN135" s="33"/>
      <c r="DO135" s="34"/>
      <c r="DP135" s="35"/>
      <c r="DQ135" s="36"/>
      <c r="DR135" s="37"/>
      <c r="DS135" s="30">
        <f t="shared" si="24"/>
        <v>0</v>
      </c>
      <c r="DT135" s="31" t="e">
        <f>DS135*#REF!</f>
        <v>#REF!</v>
      </c>
      <c r="DU135" s="32" t="e">
        <f>DS135*#REF!</f>
        <v>#REF!</v>
      </c>
      <c r="DW135" s="33"/>
      <c r="DX135" s="34"/>
      <c r="DY135" s="35"/>
      <c r="DZ135" s="36"/>
      <c r="EA135" s="37"/>
      <c r="EB135" s="30">
        <f t="shared" si="25"/>
        <v>0</v>
      </c>
      <c r="EC135" s="31" t="e">
        <f>EB135*#REF!</f>
        <v>#REF!</v>
      </c>
      <c r="ED135" s="32" t="e">
        <f>EB135*#REF!</f>
        <v>#REF!</v>
      </c>
      <c r="EF135" s="33"/>
      <c r="EG135" s="34"/>
      <c r="EH135" s="35"/>
      <c r="EI135" s="36"/>
      <c r="EJ135" s="37"/>
      <c r="EK135" s="30">
        <f t="shared" si="26"/>
        <v>0</v>
      </c>
      <c r="EL135" s="31" t="e">
        <f>EK135*#REF!</f>
        <v>#REF!</v>
      </c>
      <c r="EM135" s="32" t="e">
        <f>EK135*#REF!</f>
        <v>#REF!</v>
      </c>
      <c r="EO135" s="33"/>
      <c r="EP135" s="34"/>
      <c r="EQ135" s="35"/>
      <c r="ER135" s="36"/>
      <c r="ES135" s="37"/>
      <c r="ET135" s="30">
        <f t="shared" si="27"/>
        <v>0</v>
      </c>
      <c r="EU135" s="31" t="e">
        <f>ET135*#REF!</f>
        <v>#REF!</v>
      </c>
      <c r="EV135" s="32" t="e">
        <f>ET135*#REF!</f>
        <v>#REF!</v>
      </c>
      <c r="EX135" s="33"/>
      <c r="EY135" s="34"/>
      <c r="EZ135" s="35"/>
      <c r="FA135" s="36"/>
      <c r="FB135" s="37"/>
      <c r="FC135" s="30">
        <f t="shared" si="28"/>
        <v>0</v>
      </c>
      <c r="FD135" s="31" t="e">
        <f>FC135*#REF!</f>
        <v>#REF!</v>
      </c>
      <c r="FE135" s="32" t="e">
        <f>FC135*#REF!</f>
        <v>#REF!</v>
      </c>
      <c r="FG135" s="33"/>
      <c r="FH135" s="34"/>
      <c r="FI135" s="35"/>
      <c r="FJ135" s="36"/>
      <c r="FK135" s="37"/>
      <c r="FL135" s="30">
        <f t="shared" si="29"/>
        <v>0</v>
      </c>
      <c r="FM135" s="31" t="e">
        <f>FL135*#REF!</f>
        <v>#REF!</v>
      </c>
      <c r="FN135" s="32" t="e">
        <f>FL135*#REF!</f>
        <v>#REF!</v>
      </c>
      <c r="FP135" s="33"/>
      <c r="FQ135" s="34"/>
      <c r="FR135" s="35"/>
      <c r="FS135" s="36"/>
      <c r="FT135" s="37"/>
      <c r="FU135" s="30">
        <f t="shared" si="30"/>
        <v>0</v>
      </c>
      <c r="FV135" s="31" t="e">
        <f>FU135*#REF!</f>
        <v>#REF!</v>
      </c>
      <c r="FW135" s="32" t="e">
        <f>FU135*#REF!</f>
        <v>#REF!</v>
      </c>
      <c r="FY135" s="33"/>
      <c r="FZ135" s="34"/>
      <c r="GA135" s="35"/>
      <c r="GB135" s="36"/>
      <c r="GC135" s="37"/>
      <c r="GD135" s="30">
        <f t="shared" si="31"/>
        <v>0</v>
      </c>
      <c r="GE135" s="31" t="e">
        <f>GD135*#REF!</f>
        <v>#REF!</v>
      </c>
      <c r="GF135" s="32" t="e">
        <f>GD135*#REF!</f>
        <v>#REF!</v>
      </c>
      <c r="GH135" s="33"/>
      <c r="GI135" s="34"/>
      <c r="GJ135" s="35"/>
      <c r="GK135" s="36"/>
      <c r="GL135" s="37"/>
      <c r="GM135" s="30">
        <f t="shared" si="32"/>
        <v>0</v>
      </c>
      <c r="GN135" s="31" t="e">
        <f>GM135*#REF!</f>
        <v>#REF!</v>
      </c>
      <c r="GO135" s="32" t="e">
        <f>GM135*#REF!</f>
        <v>#REF!</v>
      </c>
      <c r="GQ135" s="38">
        <f>_xlfn.MAXIFS(I135:GO135,$I$5:$GO$5,"Staff #")</f>
        <v>0</v>
      </c>
      <c r="GR135" s="39">
        <v>0</v>
      </c>
    </row>
    <row r="136" spans="2:200" ht="15" x14ac:dyDescent="0.25">
      <c r="B136" s="22"/>
      <c r="C136" s="23"/>
      <c r="D136" s="24" t="str">
        <f>IF(C136="","",_xlfn.XLOOKUP(C136,'[3]Control Sheet'!$L$5:$L$104,'[3]Control Sheet'!$M$5:$M$104,"",0))</f>
        <v/>
      </c>
      <c r="E136" s="24" t="str">
        <f>IF(B136="","",_xlfn.XLOOKUP(B136,'[3]Control Sheet'!$D$5:$D$64,'[3]Control Sheet'!$F$5:$F$64,"",0))</f>
        <v/>
      </c>
      <c r="F136" s="24" t="str">
        <f>IF(B136="","",_xlfn.XLOOKUP(B136,'[3]Control Sheet'!$D$5:$D$64,'[3]Control Sheet'!$E$5:$E$64,"",0))</f>
        <v/>
      </c>
      <c r="I136" s="33"/>
      <c r="J136" s="34"/>
      <c r="K136" s="35"/>
      <c r="L136" s="36"/>
      <c r="M136" s="37"/>
      <c r="P136" s="33"/>
      <c r="Q136" s="34"/>
      <c r="R136" s="35"/>
      <c r="S136" s="36"/>
      <c r="T136" s="37"/>
      <c r="V136" s="33"/>
      <c r="W136" s="34"/>
      <c r="X136" s="35"/>
      <c r="Y136" s="36"/>
      <c r="Z136" s="37"/>
      <c r="AB136" s="33"/>
      <c r="AC136" s="34"/>
      <c r="AD136" s="35"/>
      <c r="AE136" s="36"/>
      <c r="AF136" s="37"/>
      <c r="AH136" s="33"/>
      <c r="AI136" s="34"/>
      <c r="AJ136" s="35"/>
      <c r="AK136" s="36"/>
      <c r="AL136" s="37"/>
      <c r="AN136" s="33"/>
      <c r="AO136" s="34"/>
      <c r="AP136" s="35"/>
      <c r="AQ136" s="36"/>
      <c r="AR136" s="37"/>
      <c r="AT136" s="33"/>
      <c r="AU136" s="34"/>
      <c r="AV136" s="35"/>
      <c r="AW136" s="36"/>
      <c r="AX136" s="37"/>
      <c r="AZ136" s="33"/>
      <c r="BA136" s="34"/>
      <c r="BB136" s="35"/>
      <c r="BC136" s="36"/>
      <c r="BD136" s="37"/>
      <c r="BF136" s="33"/>
      <c r="BG136" s="34"/>
      <c r="BH136" s="35"/>
      <c r="BI136" s="36"/>
      <c r="BJ136" s="37"/>
      <c r="BL136" s="33"/>
      <c r="BM136" s="34"/>
      <c r="BN136" s="35"/>
      <c r="BO136" s="36"/>
      <c r="BP136" s="37"/>
      <c r="BR136" s="33"/>
      <c r="BS136" s="34"/>
      <c r="BT136" s="35"/>
      <c r="BU136" s="36"/>
      <c r="BV136" s="37"/>
      <c r="BX136" s="33"/>
      <c r="BY136" s="34"/>
      <c r="BZ136" s="35"/>
      <c r="CA136" s="36"/>
      <c r="CB136" s="37"/>
      <c r="CD136" s="33"/>
      <c r="CE136" s="34"/>
      <c r="CF136" s="35"/>
      <c r="CG136" s="36"/>
      <c r="CH136" s="37"/>
      <c r="CJ136" s="33"/>
      <c r="CK136" s="34"/>
      <c r="CL136" s="35"/>
      <c r="CM136" s="36"/>
      <c r="CN136" s="37"/>
      <c r="CP136" s="33"/>
      <c r="CQ136" s="34"/>
      <c r="CR136" s="35"/>
      <c r="CS136" s="36"/>
      <c r="CT136" s="37"/>
      <c r="CV136" s="33"/>
      <c r="CW136" s="34"/>
      <c r="CX136" s="35"/>
      <c r="CY136" s="36"/>
      <c r="CZ136" s="37"/>
      <c r="DA136" s="30">
        <f t="shared" si="22"/>
        <v>0</v>
      </c>
      <c r="DB136" s="31" t="e">
        <f>DA136*#REF!</f>
        <v>#REF!</v>
      </c>
      <c r="DC136" s="32" t="e">
        <f>DA136*#REF!</f>
        <v>#REF!</v>
      </c>
      <c r="DE136" s="33"/>
      <c r="DF136" s="34"/>
      <c r="DG136" s="35"/>
      <c r="DH136" s="36"/>
      <c r="DI136" s="37"/>
      <c r="DJ136" s="30">
        <f t="shared" si="23"/>
        <v>0</v>
      </c>
      <c r="DK136" s="31" t="e">
        <f>DJ136*#REF!</f>
        <v>#REF!</v>
      </c>
      <c r="DL136" s="32" t="e">
        <f>DJ136*#REF!</f>
        <v>#REF!</v>
      </c>
      <c r="DN136" s="33"/>
      <c r="DO136" s="34"/>
      <c r="DP136" s="35"/>
      <c r="DQ136" s="36"/>
      <c r="DR136" s="37"/>
      <c r="DS136" s="30">
        <f t="shared" si="24"/>
        <v>0</v>
      </c>
      <c r="DT136" s="31" t="e">
        <f>DS136*#REF!</f>
        <v>#REF!</v>
      </c>
      <c r="DU136" s="32" t="e">
        <f>DS136*#REF!</f>
        <v>#REF!</v>
      </c>
      <c r="DW136" s="33"/>
      <c r="DX136" s="34"/>
      <c r="DY136" s="35"/>
      <c r="DZ136" s="36"/>
      <c r="EA136" s="37"/>
      <c r="EB136" s="30">
        <f t="shared" si="25"/>
        <v>0</v>
      </c>
      <c r="EC136" s="31" t="e">
        <f>EB136*#REF!</f>
        <v>#REF!</v>
      </c>
      <c r="ED136" s="32" t="e">
        <f>EB136*#REF!</f>
        <v>#REF!</v>
      </c>
      <c r="EF136" s="33"/>
      <c r="EG136" s="34"/>
      <c r="EH136" s="35"/>
      <c r="EI136" s="36"/>
      <c r="EJ136" s="37"/>
      <c r="EK136" s="30">
        <f t="shared" si="26"/>
        <v>0</v>
      </c>
      <c r="EL136" s="31" t="e">
        <f>EK136*#REF!</f>
        <v>#REF!</v>
      </c>
      <c r="EM136" s="32" t="e">
        <f>EK136*#REF!</f>
        <v>#REF!</v>
      </c>
      <c r="EO136" s="33"/>
      <c r="EP136" s="34"/>
      <c r="EQ136" s="35"/>
      <c r="ER136" s="36"/>
      <c r="ES136" s="37"/>
      <c r="ET136" s="30">
        <f t="shared" si="27"/>
        <v>0</v>
      </c>
      <c r="EU136" s="31" t="e">
        <f>ET136*#REF!</f>
        <v>#REF!</v>
      </c>
      <c r="EV136" s="32" t="e">
        <f>ET136*#REF!</f>
        <v>#REF!</v>
      </c>
      <c r="EX136" s="33"/>
      <c r="EY136" s="34"/>
      <c r="EZ136" s="35"/>
      <c r="FA136" s="36"/>
      <c r="FB136" s="37"/>
      <c r="FC136" s="30">
        <f t="shared" si="28"/>
        <v>0</v>
      </c>
      <c r="FD136" s="31" t="e">
        <f>FC136*#REF!</f>
        <v>#REF!</v>
      </c>
      <c r="FE136" s="32" t="e">
        <f>FC136*#REF!</f>
        <v>#REF!</v>
      </c>
      <c r="FG136" s="33"/>
      <c r="FH136" s="34"/>
      <c r="FI136" s="35"/>
      <c r="FJ136" s="36"/>
      <c r="FK136" s="37"/>
      <c r="FL136" s="30">
        <f t="shared" si="29"/>
        <v>0</v>
      </c>
      <c r="FM136" s="31" t="e">
        <f>FL136*#REF!</f>
        <v>#REF!</v>
      </c>
      <c r="FN136" s="32" t="e">
        <f>FL136*#REF!</f>
        <v>#REF!</v>
      </c>
      <c r="FP136" s="33"/>
      <c r="FQ136" s="34"/>
      <c r="FR136" s="35"/>
      <c r="FS136" s="36"/>
      <c r="FT136" s="37"/>
      <c r="FU136" s="30">
        <f t="shared" si="30"/>
        <v>0</v>
      </c>
      <c r="FV136" s="31" t="e">
        <f>FU136*#REF!</f>
        <v>#REF!</v>
      </c>
      <c r="FW136" s="32" t="e">
        <f>FU136*#REF!</f>
        <v>#REF!</v>
      </c>
      <c r="FY136" s="33"/>
      <c r="FZ136" s="34"/>
      <c r="GA136" s="35"/>
      <c r="GB136" s="36"/>
      <c r="GC136" s="37"/>
      <c r="GD136" s="30">
        <f t="shared" si="31"/>
        <v>0</v>
      </c>
      <c r="GE136" s="31" t="e">
        <f>GD136*#REF!</f>
        <v>#REF!</v>
      </c>
      <c r="GF136" s="32" t="e">
        <f>GD136*#REF!</f>
        <v>#REF!</v>
      </c>
      <c r="GH136" s="33"/>
      <c r="GI136" s="34"/>
      <c r="GJ136" s="35"/>
      <c r="GK136" s="36"/>
      <c r="GL136" s="37"/>
      <c r="GM136" s="30">
        <f t="shared" si="32"/>
        <v>0</v>
      </c>
      <c r="GN136" s="31" t="e">
        <f>GM136*#REF!</f>
        <v>#REF!</v>
      </c>
      <c r="GO136" s="32" t="e">
        <f>GM136*#REF!</f>
        <v>#REF!</v>
      </c>
      <c r="GQ136" s="38">
        <f>_xlfn.MAXIFS(I136:GO136,$I$5:$GO$5,"Staff #")</f>
        <v>0</v>
      </c>
      <c r="GR136" s="39">
        <v>0</v>
      </c>
    </row>
    <row r="137" spans="2:200" ht="15" x14ac:dyDescent="0.25">
      <c r="B137" s="22"/>
      <c r="C137" s="23"/>
      <c r="D137" s="24" t="str">
        <f>IF(C137="","",_xlfn.XLOOKUP(C137,'[3]Control Sheet'!$L$5:$L$104,'[3]Control Sheet'!$M$5:$M$104,"",0))</f>
        <v/>
      </c>
      <c r="E137" s="24" t="str">
        <f>IF(B137="","",_xlfn.XLOOKUP(B137,'[3]Control Sheet'!$D$5:$D$64,'[3]Control Sheet'!$F$5:$F$64,"",0))</f>
        <v/>
      </c>
      <c r="F137" s="24" t="str">
        <f>IF(B137="","",_xlfn.XLOOKUP(B137,'[3]Control Sheet'!$D$5:$D$64,'[3]Control Sheet'!$E$5:$E$64,"",0))</f>
        <v/>
      </c>
      <c r="I137" s="33"/>
      <c r="J137" s="34"/>
      <c r="K137" s="35"/>
      <c r="L137" s="36"/>
      <c r="M137" s="37"/>
      <c r="P137" s="33"/>
      <c r="Q137" s="34"/>
      <c r="R137" s="35"/>
      <c r="S137" s="36"/>
      <c r="T137" s="37"/>
      <c r="V137" s="33"/>
      <c r="W137" s="34"/>
      <c r="X137" s="35"/>
      <c r="Y137" s="36"/>
      <c r="Z137" s="37"/>
      <c r="AB137" s="33"/>
      <c r="AC137" s="34"/>
      <c r="AD137" s="35"/>
      <c r="AE137" s="36"/>
      <c r="AF137" s="37"/>
      <c r="AH137" s="33"/>
      <c r="AI137" s="34"/>
      <c r="AJ137" s="35"/>
      <c r="AK137" s="36"/>
      <c r="AL137" s="37"/>
      <c r="AN137" s="33"/>
      <c r="AO137" s="34"/>
      <c r="AP137" s="35"/>
      <c r="AQ137" s="36"/>
      <c r="AR137" s="37"/>
      <c r="AT137" s="33"/>
      <c r="AU137" s="34"/>
      <c r="AV137" s="35"/>
      <c r="AW137" s="36"/>
      <c r="AX137" s="37"/>
      <c r="AZ137" s="33"/>
      <c r="BA137" s="34"/>
      <c r="BB137" s="35"/>
      <c r="BC137" s="36"/>
      <c r="BD137" s="37"/>
      <c r="BF137" s="33"/>
      <c r="BG137" s="34"/>
      <c r="BH137" s="35"/>
      <c r="BI137" s="36"/>
      <c r="BJ137" s="37"/>
      <c r="BL137" s="33"/>
      <c r="BM137" s="34"/>
      <c r="BN137" s="35"/>
      <c r="BO137" s="36"/>
      <c r="BP137" s="37"/>
      <c r="BR137" s="33"/>
      <c r="BS137" s="34"/>
      <c r="BT137" s="35"/>
      <c r="BU137" s="36"/>
      <c r="BV137" s="37"/>
      <c r="BX137" s="33"/>
      <c r="BY137" s="34"/>
      <c r="BZ137" s="35"/>
      <c r="CA137" s="36"/>
      <c r="CB137" s="37"/>
      <c r="CD137" s="33"/>
      <c r="CE137" s="34"/>
      <c r="CF137" s="35"/>
      <c r="CG137" s="36"/>
      <c r="CH137" s="37"/>
      <c r="CJ137" s="33"/>
      <c r="CK137" s="34"/>
      <c r="CL137" s="35"/>
      <c r="CM137" s="36"/>
      <c r="CN137" s="37"/>
      <c r="CP137" s="33"/>
      <c r="CQ137" s="34"/>
      <c r="CR137" s="35"/>
      <c r="CS137" s="36"/>
      <c r="CT137" s="37"/>
      <c r="CV137" s="33"/>
      <c r="CW137" s="34"/>
      <c r="CX137" s="35"/>
      <c r="CY137" s="36"/>
      <c r="CZ137" s="37"/>
      <c r="DA137" s="30">
        <f t="shared" si="22"/>
        <v>0</v>
      </c>
      <c r="DB137" s="31" t="e">
        <f>DA137*#REF!</f>
        <v>#REF!</v>
      </c>
      <c r="DC137" s="32" t="e">
        <f>DA137*#REF!</f>
        <v>#REF!</v>
      </c>
      <c r="DE137" s="33"/>
      <c r="DF137" s="34"/>
      <c r="DG137" s="35"/>
      <c r="DH137" s="36"/>
      <c r="DI137" s="37"/>
      <c r="DJ137" s="30">
        <f t="shared" si="23"/>
        <v>0</v>
      </c>
      <c r="DK137" s="31" t="e">
        <f>DJ137*#REF!</f>
        <v>#REF!</v>
      </c>
      <c r="DL137" s="32" t="e">
        <f>DJ137*#REF!</f>
        <v>#REF!</v>
      </c>
      <c r="DN137" s="33"/>
      <c r="DO137" s="34"/>
      <c r="DP137" s="35"/>
      <c r="DQ137" s="36"/>
      <c r="DR137" s="37"/>
      <c r="DS137" s="30">
        <f t="shared" si="24"/>
        <v>0</v>
      </c>
      <c r="DT137" s="31" t="e">
        <f>DS137*#REF!</f>
        <v>#REF!</v>
      </c>
      <c r="DU137" s="32" t="e">
        <f>DS137*#REF!</f>
        <v>#REF!</v>
      </c>
      <c r="DW137" s="33"/>
      <c r="DX137" s="34"/>
      <c r="DY137" s="35"/>
      <c r="DZ137" s="36"/>
      <c r="EA137" s="37"/>
      <c r="EB137" s="30">
        <f t="shared" si="25"/>
        <v>0</v>
      </c>
      <c r="EC137" s="31" t="e">
        <f>EB137*#REF!</f>
        <v>#REF!</v>
      </c>
      <c r="ED137" s="32" t="e">
        <f>EB137*#REF!</f>
        <v>#REF!</v>
      </c>
      <c r="EF137" s="33"/>
      <c r="EG137" s="34"/>
      <c r="EH137" s="35"/>
      <c r="EI137" s="36"/>
      <c r="EJ137" s="37"/>
      <c r="EK137" s="30">
        <f t="shared" si="26"/>
        <v>0</v>
      </c>
      <c r="EL137" s="31" t="e">
        <f>EK137*#REF!</f>
        <v>#REF!</v>
      </c>
      <c r="EM137" s="32" t="e">
        <f>EK137*#REF!</f>
        <v>#REF!</v>
      </c>
      <c r="EO137" s="33"/>
      <c r="EP137" s="34"/>
      <c r="EQ137" s="35"/>
      <c r="ER137" s="36"/>
      <c r="ES137" s="37"/>
      <c r="ET137" s="30">
        <f t="shared" si="27"/>
        <v>0</v>
      </c>
      <c r="EU137" s="31" t="e">
        <f>ET137*#REF!</f>
        <v>#REF!</v>
      </c>
      <c r="EV137" s="32" t="e">
        <f>ET137*#REF!</f>
        <v>#REF!</v>
      </c>
      <c r="EX137" s="33"/>
      <c r="EY137" s="34"/>
      <c r="EZ137" s="35"/>
      <c r="FA137" s="36"/>
      <c r="FB137" s="37"/>
      <c r="FC137" s="30">
        <f t="shared" si="28"/>
        <v>0</v>
      </c>
      <c r="FD137" s="31" t="e">
        <f>FC137*#REF!</f>
        <v>#REF!</v>
      </c>
      <c r="FE137" s="32" t="e">
        <f>FC137*#REF!</f>
        <v>#REF!</v>
      </c>
      <c r="FG137" s="33"/>
      <c r="FH137" s="34"/>
      <c r="FI137" s="35"/>
      <c r="FJ137" s="36"/>
      <c r="FK137" s="37"/>
      <c r="FL137" s="30">
        <f t="shared" si="29"/>
        <v>0</v>
      </c>
      <c r="FM137" s="31" t="e">
        <f>FL137*#REF!</f>
        <v>#REF!</v>
      </c>
      <c r="FN137" s="32" t="e">
        <f>FL137*#REF!</f>
        <v>#REF!</v>
      </c>
      <c r="FP137" s="33"/>
      <c r="FQ137" s="34"/>
      <c r="FR137" s="35"/>
      <c r="FS137" s="36"/>
      <c r="FT137" s="37"/>
      <c r="FU137" s="30">
        <f t="shared" si="30"/>
        <v>0</v>
      </c>
      <c r="FV137" s="31" t="e">
        <f>FU137*#REF!</f>
        <v>#REF!</v>
      </c>
      <c r="FW137" s="32" t="e">
        <f>FU137*#REF!</f>
        <v>#REF!</v>
      </c>
      <c r="FY137" s="33"/>
      <c r="FZ137" s="34"/>
      <c r="GA137" s="35"/>
      <c r="GB137" s="36"/>
      <c r="GC137" s="37"/>
      <c r="GD137" s="30">
        <f t="shared" si="31"/>
        <v>0</v>
      </c>
      <c r="GE137" s="31" t="e">
        <f>GD137*#REF!</f>
        <v>#REF!</v>
      </c>
      <c r="GF137" s="32" t="e">
        <f>GD137*#REF!</f>
        <v>#REF!</v>
      </c>
      <c r="GH137" s="33"/>
      <c r="GI137" s="34"/>
      <c r="GJ137" s="35"/>
      <c r="GK137" s="36"/>
      <c r="GL137" s="37"/>
      <c r="GM137" s="30">
        <f t="shared" si="32"/>
        <v>0</v>
      </c>
      <c r="GN137" s="31" t="e">
        <f>GM137*#REF!</f>
        <v>#REF!</v>
      </c>
      <c r="GO137" s="32" t="e">
        <f>GM137*#REF!</f>
        <v>#REF!</v>
      </c>
      <c r="GQ137" s="38">
        <f>_xlfn.MAXIFS(I137:GO137,$I$5:$GO$5,"Staff #")</f>
        <v>0</v>
      </c>
      <c r="GR137" s="39">
        <v>0</v>
      </c>
    </row>
    <row r="138" spans="2:200" ht="15" x14ac:dyDescent="0.25">
      <c r="B138" s="22"/>
      <c r="C138" s="23"/>
      <c r="D138" s="24" t="str">
        <f>IF(C138="","",_xlfn.XLOOKUP(C138,'[3]Control Sheet'!$L$5:$L$104,'[3]Control Sheet'!$M$5:$M$104,"",0))</f>
        <v/>
      </c>
      <c r="E138" s="24" t="str">
        <f>IF(B138="","",_xlfn.XLOOKUP(B138,'[3]Control Sheet'!$D$5:$D$64,'[3]Control Sheet'!$F$5:$F$64,"",0))</f>
        <v/>
      </c>
      <c r="F138" s="24" t="str">
        <f>IF(B138="","",_xlfn.XLOOKUP(B138,'[3]Control Sheet'!$D$5:$D$64,'[3]Control Sheet'!$E$5:$E$64,"",0))</f>
        <v/>
      </c>
      <c r="I138" s="33"/>
      <c r="J138" s="34"/>
      <c r="K138" s="35"/>
      <c r="L138" s="36"/>
      <c r="M138" s="37"/>
      <c r="P138" s="33"/>
      <c r="Q138" s="34"/>
      <c r="R138" s="35"/>
      <c r="S138" s="36"/>
      <c r="T138" s="37"/>
      <c r="V138" s="33"/>
      <c r="W138" s="34"/>
      <c r="X138" s="35"/>
      <c r="Y138" s="36"/>
      <c r="Z138" s="37"/>
      <c r="AB138" s="33"/>
      <c r="AC138" s="34"/>
      <c r="AD138" s="35"/>
      <c r="AE138" s="36"/>
      <c r="AF138" s="37"/>
      <c r="AH138" s="33"/>
      <c r="AI138" s="34"/>
      <c r="AJ138" s="35"/>
      <c r="AK138" s="36"/>
      <c r="AL138" s="37"/>
      <c r="AN138" s="33"/>
      <c r="AO138" s="34"/>
      <c r="AP138" s="35"/>
      <c r="AQ138" s="36"/>
      <c r="AR138" s="37"/>
      <c r="AT138" s="33"/>
      <c r="AU138" s="34"/>
      <c r="AV138" s="35"/>
      <c r="AW138" s="36"/>
      <c r="AX138" s="37"/>
      <c r="AZ138" s="33"/>
      <c r="BA138" s="34"/>
      <c r="BB138" s="35"/>
      <c r="BC138" s="36"/>
      <c r="BD138" s="37"/>
      <c r="BF138" s="33"/>
      <c r="BG138" s="34"/>
      <c r="BH138" s="35"/>
      <c r="BI138" s="36"/>
      <c r="BJ138" s="37"/>
      <c r="BL138" s="33"/>
      <c r="BM138" s="34"/>
      <c r="BN138" s="35"/>
      <c r="BO138" s="36"/>
      <c r="BP138" s="37"/>
      <c r="BR138" s="33"/>
      <c r="BS138" s="34"/>
      <c r="BT138" s="35"/>
      <c r="BU138" s="36"/>
      <c r="BV138" s="37"/>
      <c r="BX138" s="33"/>
      <c r="BY138" s="34"/>
      <c r="BZ138" s="35"/>
      <c r="CA138" s="36"/>
      <c r="CB138" s="37"/>
      <c r="CD138" s="33"/>
      <c r="CE138" s="34"/>
      <c r="CF138" s="35"/>
      <c r="CG138" s="36"/>
      <c r="CH138" s="37"/>
      <c r="CJ138" s="33"/>
      <c r="CK138" s="34"/>
      <c r="CL138" s="35"/>
      <c r="CM138" s="36"/>
      <c r="CN138" s="37"/>
      <c r="CP138" s="33"/>
      <c r="CQ138" s="34"/>
      <c r="CR138" s="35"/>
      <c r="CS138" s="36"/>
      <c r="CT138" s="37"/>
      <c r="CV138" s="33"/>
      <c r="CW138" s="34"/>
      <c r="CX138" s="35"/>
      <c r="CY138" s="36"/>
      <c r="CZ138" s="37"/>
      <c r="DA138" s="30">
        <f t="shared" si="22"/>
        <v>0</v>
      </c>
      <c r="DB138" s="31" t="e">
        <f>DA138*#REF!</f>
        <v>#REF!</v>
      </c>
      <c r="DC138" s="32" t="e">
        <f>DA138*#REF!</f>
        <v>#REF!</v>
      </c>
      <c r="DE138" s="33"/>
      <c r="DF138" s="34"/>
      <c r="DG138" s="35"/>
      <c r="DH138" s="36"/>
      <c r="DI138" s="37"/>
      <c r="DJ138" s="30">
        <f t="shared" si="23"/>
        <v>0</v>
      </c>
      <c r="DK138" s="31" t="e">
        <f>DJ138*#REF!</f>
        <v>#REF!</v>
      </c>
      <c r="DL138" s="32" t="e">
        <f>DJ138*#REF!</f>
        <v>#REF!</v>
      </c>
      <c r="DN138" s="33"/>
      <c r="DO138" s="34"/>
      <c r="DP138" s="35"/>
      <c r="DQ138" s="36"/>
      <c r="DR138" s="37"/>
      <c r="DS138" s="30">
        <f t="shared" si="24"/>
        <v>0</v>
      </c>
      <c r="DT138" s="31" t="e">
        <f>DS138*#REF!</f>
        <v>#REF!</v>
      </c>
      <c r="DU138" s="32" t="e">
        <f>DS138*#REF!</f>
        <v>#REF!</v>
      </c>
      <c r="DW138" s="33"/>
      <c r="DX138" s="34"/>
      <c r="DY138" s="35"/>
      <c r="DZ138" s="36"/>
      <c r="EA138" s="37"/>
      <c r="EB138" s="30">
        <f t="shared" si="25"/>
        <v>0</v>
      </c>
      <c r="EC138" s="31" t="e">
        <f>EB138*#REF!</f>
        <v>#REF!</v>
      </c>
      <c r="ED138" s="32" t="e">
        <f>EB138*#REF!</f>
        <v>#REF!</v>
      </c>
      <c r="EF138" s="33"/>
      <c r="EG138" s="34"/>
      <c r="EH138" s="35"/>
      <c r="EI138" s="36"/>
      <c r="EJ138" s="37"/>
      <c r="EK138" s="30">
        <f t="shared" si="26"/>
        <v>0</v>
      </c>
      <c r="EL138" s="31" t="e">
        <f>EK138*#REF!</f>
        <v>#REF!</v>
      </c>
      <c r="EM138" s="32" t="e">
        <f>EK138*#REF!</f>
        <v>#REF!</v>
      </c>
      <c r="EO138" s="33"/>
      <c r="EP138" s="34"/>
      <c r="EQ138" s="35"/>
      <c r="ER138" s="36"/>
      <c r="ES138" s="37"/>
      <c r="ET138" s="30">
        <f t="shared" si="27"/>
        <v>0</v>
      </c>
      <c r="EU138" s="31" t="e">
        <f>ET138*#REF!</f>
        <v>#REF!</v>
      </c>
      <c r="EV138" s="32" t="e">
        <f>ET138*#REF!</f>
        <v>#REF!</v>
      </c>
      <c r="EX138" s="33"/>
      <c r="EY138" s="34"/>
      <c r="EZ138" s="35"/>
      <c r="FA138" s="36"/>
      <c r="FB138" s="37"/>
      <c r="FC138" s="30">
        <f t="shared" si="28"/>
        <v>0</v>
      </c>
      <c r="FD138" s="31" t="e">
        <f>FC138*#REF!</f>
        <v>#REF!</v>
      </c>
      <c r="FE138" s="32" t="e">
        <f>FC138*#REF!</f>
        <v>#REF!</v>
      </c>
      <c r="FG138" s="33"/>
      <c r="FH138" s="34"/>
      <c r="FI138" s="35"/>
      <c r="FJ138" s="36"/>
      <c r="FK138" s="37"/>
      <c r="FL138" s="30">
        <f t="shared" si="29"/>
        <v>0</v>
      </c>
      <c r="FM138" s="31" t="e">
        <f>FL138*#REF!</f>
        <v>#REF!</v>
      </c>
      <c r="FN138" s="32" t="e">
        <f>FL138*#REF!</f>
        <v>#REF!</v>
      </c>
      <c r="FP138" s="33"/>
      <c r="FQ138" s="34"/>
      <c r="FR138" s="35"/>
      <c r="FS138" s="36"/>
      <c r="FT138" s="37"/>
      <c r="FU138" s="30">
        <f t="shared" si="30"/>
        <v>0</v>
      </c>
      <c r="FV138" s="31" t="e">
        <f>FU138*#REF!</f>
        <v>#REF!</v>
      </c>
      <c r="FW138" s="32" t="e">
        <f>FU138*#REF!</f>
        <v>#REF!</v>
      </c>
      <c r="FY138" s="33"/>
      <c r="FZ138" s="34"/>
      <c r="GA138" s="35"/>
      <c r="GB138" s="36"/>
      <c r="GC138" s="37"/>
      <c r="GD138" s="30">
        <f t="shared" si="31"/>
        <v>0</v>
      </c>
      <c r="GE138" s="31" t="e">
        <f>GD138*#REF!</f>
        <v>#REF!</v>
      </c>
      <c r="GF138" s="32" t="e">
        <f>GD138*#REF!</f>
        <v>#REF!</v>
      </c>
      <c r="GH138" s="33"/>
      <c r="GI138" s="34"/>
      <c r="GJ138" s="35"/>
      <c r="GK138" s="36"/>
      <c r="GL138" s="37"/>
      <c r="GM138" s="30">
        <f t="shared" si="32"/>
        <v>0</v>
      </c>
      <c r="GN138" s="31" t="e">
        <f>GM138*#REF!</f>
        <v>#REF!</v>
      </c>
      <c r="GO138" s="32" t="e">
        <f>GM138*#REF!</f>
        <v>#REF!</v>
      </c>
      <c r="GQ138" s="38">
        <f>_xlfn.MAXIFS(I138:GO138,$I$5:$GO$5,"Staff #")</f>
        <v>0</v>
      </c>
      <c r="GR138" s="39">
        <v>0</v>
      </c>
    </row>
    <row r="139" spans="2:200" ht="15" x14ac:dyDescent="0.25">
      <c r="B139" s="22"/>
      <c r="C139" s="23"/>
      <c r="D139" s="24" t="str">
        <f>IF(C139="","",_xlfn.XLOOKUP(C139,'[3]Control Sheet'!$L$5:$L$104,'[3]Control Sheet'!$M$5:$M$104,"",0))</f>
        <v/>
      </c>
      <c r="E139" s="24" t="str">
        <f>IF(B139="","",_xlfn.XLOOKUP(B139,'[3]Control Sheet'!$D$5:$D$64,'[3]Control Sheet'!$F$5:$F$64,"",0))</f>
        <v/>
      </c>
      <c r="F139" s="24" t="str">
        <f>IF(B139="","",_xlfn.XLOOKUP(B139,'[3]Control Sheet'!$D$5:$D$64,'[3]Control Sheet'!$E$5:$E$64,"",0))</f>
        <v/>
      </c>
      <c r="I139" s="33"/>
      <c r="J139" s="34"/>
      <c r="K139" s="35"/>
      <c r="L139" s="36"/>
      <c r="M139" s="37"/>
      <c r="P139" s="33"/>
      <c r="Q139" s="34"/>
      <c r="R139" s="35"/>
      <c r="S139" s="36"/>
      <c r="T139" s="37"/>
      <c r="V139" s="33"/>
      <c r="W139" s="34"/>
      <c r="X139" s="35"/>
      <c r="Y139" s="36"/>
      <c r="Z139" s="37"/>
      <c r="AB139" s="33"/>
      <c r="AC139" s="34"/>
      <c r="AD139" s="35"/>
      <c r="AE139" s="36"/>
      <c r="AF139" s="37"/>
      <c r="AH139" s="33"/>
      <c r="AI139" s="34"/>
      <c r="AJ139" s="35"/>
      <c r="AK139" s="36"/>
      <c r="AL139" s="37"/>
      <c r="AN139" s="33"/>
      <c r="AO139" s="34"/>
      <c r="AP139" s="35"/>
      <c r="AQ139" s="36"/>
      <c r="AR139" s="37"/>
      <c r="AT139" s="33"/>
      <c r="AU139" s="34"/>
      <c r="AV139" s="35"/>
      <c r="AW139" s="36"/>
      <c r="AX139" s="37"/>
      <c r="AZ139" s="33"/>
      <c r="BA139" s="34"/>
      <c r="BB139" s="35"/>
      <c r="BC139" s="36"/>
      <c r="BD139" s="37"/>
      <c r="BF139" s="33"/>
      <c r="BG139" s="34"/>
      <c r="BH139" s="35"/>
      <c r="BI139" s="36"/>
      <c r="BJ139" s="37"/>
      <c r="BL139" s="33"/>
      <c r="BM139" s="34"/>
      <c r="BN139" s="35"/>
      <c r="BO139" s="36"/>
      <c r="BP139" s="37"/>
      <c r="BR139" s="33"/>
      <c r="BS139" s="34"/>
      <c r="BT139" s="35"/>
      <c r="BU139" s="36"/>
      <c r="BV139" s="37"/>
      <c r="BX139" s="33"/>
      <c r="BY139" s="34"/>
      <c r="BZ139" s="35"/>
      <c r="CA139" s="36"/>
      <c r="CB139" s="37"/>
      <c r="CD139" s="33"/>
      <c r="CE139" s="34"/>
      <c r="CF139" s="35"/>
      <c r="CG139" s="36"/>
      <c r="CH139" s="37"/>
      <c r="CJ139" s="33"/>
      <c r="CK139" s="34"/>
      <c r="CL139" s="35"/>
      <c r="CM139" s="36"/>
      <c r="CN139" s="37"/>
      <c r="CP139" s="33"/>
      <c r="CQ139" s="34"/>
      <c r="CR139" s="35"/>
      <c r="CS139" s="36"/>
      <c r="CT139" s="37"/>
      <c r="CV139" s="33"/>
      <c r="CW139" s="34"/>
      <c r="CX139" s="35"/>
      <c r="CY139" s="36"/>
      <c r="CZ139" s="37"/>
      <c r="DA139" s="30">
        <f t="shared" si="22"/>
        <v>0</v>
      </c>
      <c r="DB139" s="31" t="e">
        <f>DA139*#REF!</f>
        <v>#REF!</v>
      </c>
      <c r="DC139" s="32" t="e">
        <f>DA139*#REF!</f>
        <v>#REF!</v>
      </c>
      <c r="DE139" s="33"/>
      <c r="DF139" s="34"/>
      <c r="DG139" s="35"/>
      <c r="DH139" s="36"/>
      <c r="DI139" s="37"/>
      <c r="DJ139" s="30">
        <f t="shared" si="23"/>
        <v>0</v>
      </c>
      <c r="DK139" s="31" t="e">
        <f>DJ139*#REF!</f>
        <v>#REF!</v>
      </c>
      <c r="DL139" s="32" t="e">
        <f>DJ139*#REF!</f>
        <v>#REF!</v>
      </c>
      <c r="DN139" s="33"/>
      <c r="DO139" s="34"/>
      <c r="DP139" s="35"/>
      <c r="DQ139" s="36"/>
      <c r="DR139" s="37"/>
      <c r="DS139" s="30">
        <f t="shared" si="24"/>
        <v>0</v>
      </c>
      <c r="DT139" s="31" t="e">
        <f>DS139*#REF!</f>
        <v>#REF!</v>
      </c>
      <c r="DU139" s="32" t="e">
        <f>DS139*#REF!</f>
        <v>#REF!</v>
      </c>
      <c r="DW139" s="33"/>
      <c r="DX139" s="34"/>
      <c r="DY139" s="35"/>
      <c r="DZ139" s="36"/>
      <c r="EA139" s="37"/>
      <c r="EB139" s="30">
        <f t="shared" si="25"/>
        <v>0</v>
      </c>
      <c r="EC139" s="31" t="e">
        <f>EB139*#REF!</f>
        <v>#REF!</v>
      </c>
      <c r="ED139" s="32" t="e">
        <f>EB139*#REF!</f>
        <v>#REF!</v>
      </c>
      <c r="EF139" s="33"/>
      <c r="EG139" s="34"/>
      <c r="EH139" s="35"/>
      <c r="EI139" s="36"/>
      <c r="EJ139" s="37"/>
      <c r="EK139" s="30">
        <f t="shared" si="26"/>
        <v>0</v>
      </c>
      <c r="EL139" s="31" t="e">
        <f>EK139*#REF!</f>
        <v>#REF!</v>
      </c>
      <c r="EM139" s="32" t="e">
        <f>EK139*#REF!</f>
        <v>#REF!</v>
      </c>
      <c r="EO139" s="33"/>
      <c r="EP139" s="34"/>
      <c r="EQ139" s="35"/>
      <c r="ER139" s="36"/>
      <c r="ES139" s="37"/>
      <c r="ET139" s="30">
        <f t="shared" si="27"/>
        <v>0</v>
      </c>
      <c r="EU139" s="31" t="e">
        <f>ET139*#REF!</f>
        <v>#REF!</v>
      </c>
      <c r="EV139" s="32" t="e">
        <f>ET139*#REF!</f>
        <v>#REF!</v>
      </c>
      <c r="EX139" s="33"/>
      <c r="EY139" s="34"/>
      <c r="EZ139" s="35"/>
      <c r="FA139" s="36"/>
      <c r="FB139" s="37"/>
      <c r="FC139" s="30">
        <f t="shared" si="28"/>
        <v>0</v>
      </c>
      <c r="FD139" s="31" t="e">
        <f>FC139*#REF!</f>
        <v>#REF!</v>
      </c>
      <c r="FE139" s="32" t="e">
        <f>FC139*#REF!</f>
        <v>#REF!</v>
      </c>
      <c r="FG139" s="33"/>
      <c r="FH139" s="34"/>
      <c r="FI139" s="35"/>
      <c r="FJ139" s="36"/>
      <c r="FK139" s="37"/>
      <c r="FL139" s="30">
        <f t="shared" si="29"/>
        <v>0</v>
      </c>
      <c r="FM139" s="31" t="e">
        <f>FL139*#REF!</f>
        <v>#REF!</v>
      </c>
      <c r="FN139" s="32" t="e">
        <f>FL139*#REF!</f>
        <v>#REF!</v>
      </c>
      <c r="FP139" s="33"/>
      <c r="FQ139" s="34"/>
      <c r="FR139" s="35"/>
      <c r="FS139" s="36"/>
      <c r="FT139" s="37"/>
      <c r="FU139" s="30">
        <f t="shared" si="30"/>
        <v>0</v>
      </c>
      <c r="FV139" s="31" t="e">
        <f>FU139*#REF!</f>
        <v>#REF!</v>
      </c>
      <c r="FW139" s="32" t="e">
        <f>FU139*#REF!</f>
        <v>#REF!</v>
      </c>
      <c r="FY139" s="33"/>
      <c r="FZ139" s="34"/>
      <c r="GA139" s="35"/>
      <c r="GB139" s="36"/>
      <c r="GC139" s="37"/>
      <c r="GD139" s="30">
        <f t="shared" si="31"/>
        <v>0</v>
      </c>
      <c r="GE139" s="31" t="e">
        <f>GD139*#REF!</f>
        <v>#REF!</v>
      </c>
      <c r="GF139" s="32" t="e">
        <f>GD139*#REF!</f>
        <v>#REF!</v>
      </c>
      <c r="GH139" s="33"/>
      <c r="GI139" s="34"/>
      <c r="GJ139" s="35"/>
      <c r="GK139" s="36"/>
      <c r="GL139" s="37"/>
      <c r="GM139" s="30">
        <f t="shared" si="32"/>
        <v>0</v>
      </c>
      <c r="GN139" s="31" t="e">
        <f>GM139*#REF!</f>
        <v>#REF!</v>
      </c>
      <c r="GO139" s="32" t="e">
        <f>GM139*#REF!</f>
        <v>#REF!</v>
      </c>
      <c r="GQ139" s="38">
        <f>_xlfn.MAXIFS(I139:GO139,$I$5:$GO$5,"Staff #")</f>
        <v>0</v>
      </c>
      <c r="GR139" s="39">
        <v>0</v>
      </c>
    </row>
    <row r="140" spans="2:200" ht="15" x14ac:dyDescent="0.25">
      <c r="B140" s="22"/>
      <c r="C140" s="23"/>
      <c r="D140" s="24" t="str">
        <f>IF(C140="","",_xlfn.XLOOKUP(C140,'[3]Control Sheet'!$L$5:$L$104,'[3]Control Sheet'!$M$5:$M$104,"",0))</f>
        <v/>
      </c>
      <c r="E140" s="24" t="str">
        <f>IF(B140="","",_xlfn.XLOOKUP(B140,'[3]Control Sheet'!$D$5:$D$64,'[3]Control Sheet'!$F$5:$F$64,"",0))</f>
        <v/>
      </c>
      <c r="F140" s="24" t="str">
        <f>IF(B140="","",_xlfn.XLOOKUP(B140,'[3]Control Sheet'!$D$5:$D$64,'[3]Control Sheet'!$E$5:$E$64,"",0))</f>
        <v/>
      </c>
      <c r="I140" s="33"/>
      <c r="J140" s="34"/>
      <c r="K140" s="35"/>
      <c r="L140" s="36"/>
      <c r="M140" s="37"/>
      <c r="P140" s="33"/>
      <c r="Q140" s="34"/>
      <c r="R140" s="35"/>
      <c r="S140" s="36"/>
      <c r="T140" s="37"/>
      <c r="V140" s="33"/>
      <c r="W140" s="34"/>
      <c r="X140" s="35"/>
      <c r="Y140" s="36"/>
      <c r="Z140" s="37"/>
      <c r="AB140" s="33"/>
      <c r="AC140" s="34"/>
      <c r="AD140" s="35"/>
      <c r="AE140" s="36"/>
      <c r="AF140" s="37"/>
      <c r="AH140" s="33"/>
      <c r="AI140" s="34"/>
      <c r="AJ140" s="35"/>
      <c r="AK140" s="36"/>
      <c r="AL140" s="37"/>
      <c r="AN140" s="33"/>
      <c r="AO140" s="34"/>
      <c r="AP140" s="35"/>
      <c r="AQ140" s="36"/>
      <c r="AR140" s="37"/>
      <c r="AT140" s="33"/>
      <c r="AU140" s="34"/>
      <c r="AV140" s="35"/>
      <c r="AW140" s="36"/>
      <c r="AX140" s="37"/>
      <c r="AZ140" s="33"/>
      <c r="BA140" s="34"/>
      <c r="BB140" s="35"/>
      <c r="BC140" s="36"/>
      <c r="BD140" s="37"/>
      <c r="BF140" s="33"/>
      <c r="BG140" s="34"/>
      <c r="BH140" s="35"/>
      <c r="BI140" s="36"/>
      <c r="BJ140" s="37"/>
      <c r="BL140" s="33"/>
      <c r="BM140" s="34"/>
      <c r="BN140" s="35"/>
      <c r="BO140" s="36"/>
      <c r="BP140" s="37"/>
      <c r="BR140" s="33"/>
      <c r="BS140" s="34"/>
      <c r="BT140" s="35"/>
      <c r="BU140" s="36"/>
      <c r="BV140" s="37"/>
      <c r="BX140" s="33"/>
      <c r="BY140" s="34"/>
      <c r="BZ140" s="35"/>
      <c r="CA140" s="36"/>
      <c r="CB140" s="37"/>
      <c r="CD140" s="33"/>
      <c r="CE140" s="34"/>
      <c r="CF140" s="35"/>
      <c r="CG140" s="36"/>
      <c r="CH140" s="37"/>
      <c r="CJ140" s="33"/>
      <c r="CK140" s="34"/>
      <c r="CL140" s="35"/>
      <c r="CM140" s="36"/>
      <c r="CN140" s="37"/>
      <c r="CP140" s="33"/>
      <c r="CQ140" s="34"/>
      <c r="CR140" s="35"/>
      <c r="CS140" s="36"/>
      <c r="CT140" s="37"/>
      <c r="CV140" s="33"/>
      <c r="CW140" s="34"/>
      <c r="CX140" s="35"/>
      <c r="CY140" s="36"/>
      <c r="CZ140" s="37"/>
      <c r="DA140" s="30">
        <f t="shared" si="22"/>
        <v>0</v>
      </c>
      <c r="DB140" s="31" t="e">
        <f>DA140*#REF!</f>
        <v>#REF!</v>
      </c>
      <c r="DC140" s="32" t="e">
        <f>DA140*#REF!</f>
        <v>#REF!</v>
      </c>
      <c r="DE140" s="33"/>
      <c r="DF140" s="34"/>
      <c r="DG140" s="35"/>
      <c r="DH140" s="36"/>
      <c r="DI140" s="37"/>
      <c r="DJ140" s="30">
        <f t="shared" si="23"/>
        <v>0</v>
      </c>
      <c r="DK140" s="31" t="e">
        <f>DJ140*#REF!</f>
        <v>#REF!</v>
      </c>
      <c r="DL140" s="32" t="e">
        <f>DJ140*#REF!</f>
        <v>#REF!</v>
      </c>
      <c r="DN140" s="33"/>
      <c r="DO140" s="34"/>
      <c r="DP140" s="35"/>
      <c r="DQ140" s="36"/>
      <c r="DR140" s="37"/>
      <c r="DS140" s="30">
        <f t="shared" si="24"/>
        <v>0</v>
      </c>
      <c r="DT140" s="31" t="e">
        <f>DS140*#REF!</f>
        <v>#REF!</v>
      </c>
      <c r="DU140" s="32" t="e">
        <f>DS140*#REF!</f>
        <v>#REF!</v>
      </c>
      <c r="DW140" s="33"/>
      <c r="DX140" s="34"/>
      <c r="DY140" s="35"/>
      <c r="DZ140" s="36"/>
      <c r="EA140" s="37"/>
      <c r="EB140" s="30">
        <f t="shared" si="25"/>
        <v>0</v>
      </c>
      <c r="EC140" s="31" t="e">
        <f>EB140*#REF!</f>
        <v>#REF!</v>
      </c>
      <c r="ED140" s="32" t="e">
        <f>EB140*#REF!</f>
        <v>#REF!</v>
      </c>
      <c r="EF140" s="33"/>
      <c r="EG140" s="34"/>
      <c r="EH140" s="35"/>
      <c r="EI140" s="36"/>
      <c r="EJ140" s="37"/>
      <c r="EK140" s="30">
        <f t="shared" si="26"/>
        <v>0</v>
      </c>
      <c r="EL140" s="31" t="e">
        <f>EK140*#REF!</f>
        <v>#REF!</v>
      </c>
      <c r="EM140" s="32" t="e">
        <f>EK140*#REF!</f>
        <v>#REF!</v>
      </c>
      <c r="EO140" s="33"/>
      <c r="EP140" s="34"/>
      <c r="EQ140" s="35"/>
      <c r="ER140" s="36"/>
      <c r="ES140" s="37"/>
      <c r="ET140" s="30">
        <f t="shared" si="27"/>
        <v>0</v>
      </c>
      <c r="EU140" s="31" t="e">
        <f>ET140*#REF!</f>
        <v>#REF!</v>
      </c>
      <c r="EV140" s="32" t="e">
        <f>ET140*#REF!</f>
        <v>#REF!</v>
      </c>
      <c r="EX140" s="33"/>
      <c r="EY140" s="34"/>
      <c r="EZ140" s="35"/>
      <c r="FA140" s="36"/>
      <c r="FB140" s="37"/>
      <c r="FC140" s="30">
        <f t="shared" si="28"/>
        <v>0</v>
      </c>
      <c r="FD140" s="31" t="e">
        <f>FC140*#REF!</f>
        <v>#REF!</v>
      </c>
      <c r="FE140" s="32" t="e">
        <f>FC140*#REF!</f>
        <v>#REF!</v>
      </c>
      <c r="FG140" s="33"/>
      <c r="FH140" s="34"/>
      <c r="FI140" s="35"/>
      <c r="FJ140" s="36"/>
      <c r="FK140" s="37"/>
      <c r="FL140" s="30">
        <f t="shared" si="29"/>
        <v>0</v>
      </c>
      <c r="FM140" s="31" t="e">
        <f>FL140*#REF!</f>
        <v>#REF!</v>
      </c>
      <c r="FN140" s="32" t="e">
        <f>FL140*#REF!</f>
        <v>#REF!</v>
      </c>
      <c r="FP140" s="33"/>
      <c r="FQ140" s="34"/>
      <c r="FR140" s="35"/>
      <c r="FS140" s="36"/>
      <c r="FT140" s="37"/>
      <c r="FU140" s="30">
        <f t="shared" si="30"/>
        <v>0</v>
      </c>
      <c r="FV140" s="31" t="e">
        <f>FU140*#REF!</f>
        <v>#REF!</v>
      </c>
      <c r="FW140" s="32" t="e">
        <f>FU140*#REF!</f>
        <v>#REF!</v>
      </c>
      <c r="FY140" s="33"/>
      <c r="FZ140" s="34"/>
      <c r="GA140" s="35"/>
      <c r="GB140" s="36"/>
      <c r="GC140" s="37"/>
      <c r="GD140" s="30">
        <f t="shared" si="31"/>
        <v>0</v>
      </c>
      <c r="GE140" s="31" t="e">
        <f>GD140*#REF!</f>
        <v>#REF!</v>
      </c>
      <c r="GF140" s="32" t="e">
        <f>GD140*#REF!</f>
        <v>#REF!</v>
      </c>
      <c r="GH140" s="33"/>
      <c r="GI140" s="34"/>
      <c r="GJ140" s="35"/>
      <c r="GK140" s="36"/>
      <c r="GL140" s="37"/>
      <c r="GM140" s="30">
        <f t="shared" si="32"/>
        <v>0</v>
      </c>
      <c r="GN140" s="31" t="e">
        <f>GM140*#REF!</f>
        <v>#REF!</v>
      </c>
      <c r="GO140" s="32" t="e">
        <f>GM140*#REF!</f>
        <v>#REF!</v>
      </c>
      <c r="GQ140" s="38">
        <f>_xlfn.MAXIFS(I140:GO140,$I$5:$GO$5,"Staff #")</f>
        <v>0</v>
      </c>
      <c r="GR140" s="39">
        <v>0</v>
      </c>
    </row>
    <row r="141" spans="2:200" ht="15" x14ac:dyDescent="0.25">
      <c r="B141" s="22"/>
      <c r="C141" s="23"/>
      <c r="D141" s="24" t="str">
        <f>IF(C141="","",_xlfn.XLOOKUP(C141,'[3]Control Sheet'!$L$5:$L$104,'[3]Control Sheet'!$M$5:$M$104,"",0))</f>
        <v/>
      </c>
      <c r="E141" s="24" t="str">
        <f>IF(B141="","",_xlfn.XLOOKUP(B141,'[3]Control Sheet'!$D$5:$D$64,'[3]Control Sheet'!$F$5:$F$64,"",0))</f>
        <v/>
      </c>
      <c r="F141" s="24" t="str">
        <f>IF(B141="","",_xlfn.XLOOKUP(B141,'[3]Control Sheet'!$D$5:$D$64,'[3]Control Sheet'!$E$5:$E$64,"",0))</f>
        <v/>
      </c>
      <c r="I141" s="33"/>
      <c r="J141" s="34"/>
      <c r="K141" s="35"/>
      <c r="L141" s="36"/>
      <c r="M141" s="37"/>
      <c r="P141" s="33"/>
      <c r="Q141" s="34"/>
      <c r="R141" s="35"/>
      <c r="S141" s="36"/>
      <c r="T141" s="37"/>
      <c r="V141" s="33"/>
      <c r="W141" s="34"/>
      <c r="X141" s="35"/>
      <c r="Y141" s="36"/>
      <c r="Z141" s="37"/>
      <c r="AB141" s="33"/>
      <c r="AC141" s="34"/>
      <c r="AD141" s="35"/>
      <c r="AE141" s="36"/>
      <c r="AF141" s="37"/>
      <c r="AH141" s="33"/>
      <c r="AI141" s="34"/>
      <c r="AJ141" s="35"/>
      <c r="AK141" s="36"/>
      <c r="AL141" s="37"/>
      <c r="AN141" s="33"/>
      <c r="AO141" s="34"/>
      <c r="AP141" s="35"/>
      <c r="AQ141" s="36"/>
      <c r="AR141" s="37"/>
      <c r="AT141" s="33"/>
      <c r="AU141" s="34"/>
      <c r="AV141" s="35"/>
      <c r="AW141" s="36"/>
      <c r="AX141" s="37"/>
      <c r="AZ141" s="33"/>
      <c r="BA141" s="34"/>
      <c r="BB141" s="35"/>
      <c r="BC141" s="36"/>
      <c r="BD141" s="37"/>
      <c r="BF141" s="33"/>
      <c r="BG141" s="34"/>
      <c r="BH141" s="35"/>
      <c r="BI141" s="36"/>
      <c r="BJ141" s="37"/>
      <c r="BL141" s="33"/>
      <c r="BM141" s="34"/>
      <c r="BN141" s="35"/>
      <c r="BO141" s="36"/>
      <c r="BP141" s="37"/>
      <c r="BR141" s="33"/>
      <c r="BS141" s="34"/>
      <c r="BT141" s="35"/>
      <c r="BU141" s="36"/>
      <c r="BV141" s="37"/>
      <c r="BX141" s="33"/>
      <c r="BY141" s="34"/>
      <c r="BZ141" s="35"/>
      <c r="CA141" s="36"/>
      <c r="CB141" s="37"/>
      <c r="CD141" s="33"/>
      <c r="CE141" s="34"/>
      <c r="CF141" s="35"/>
      <c r="CG141" s="36"/>
      <c r="CH141" s="37"/>
      <c r="CJ141" s="33"/>
      <c r="CK141" s="34"/>
      <c r="CL141" s="35"/>
      <c r="CM141" s="36"/>
      <c r="CN141" s="37"/>
      <c r="CP141" s="33"/>
      <c r="CQ141" s="34"/>
      <c r="CR141" s="35"/>
      <c r="CS141" s="36"/>
      <c r="CT141" s="37"/>
      <c r="CV141" s="33"/>
      <c r="CW141" s="34"/>
      <c r="CX141" s="35"/>
      <c r="CY141" s="36"/>
      <c r="CZ141" s="37"/>
      <c r="DA141" s="30">
        <f t="shared" si="22"/>
        <v>0</v>
      </c>
      <c r="DB141" s="31" t="e">
        <f>DA141*#REF!</f>
        <v>#REF!</v>
      </c>
      <c r="DC141" s="32" t="e">
        <f>DA141*#REF!</f>
        <v>#REF!</v>
      </c>
      <c r="DE141" s="33"/>
      <c r="DF141" s="34"/>
      <c r="DG141" s="35"/>
      <c r="DH141" s="36"/>
      <c r="DI141" s="37"/>
      <c r="DJ141" s="30">
        <f t="shared" si="23"/>
        <v>0</v>
      </c>
      <c r="DK141" s="31" t="e">
        <f>DJ141*#REF!</f>
        <v>#REF!</v>
      </c>
      <c r="DL141" s="32" t="e">
        <f>DJ141*#REF!</f>
        <v>#REF!</v>
      </c>
      <c r="DN141" s="33"/>
      <c r="DO141" s="34"/>
      <c r="DP141" s="35"/>
      <c r="DQ141" s="36"/>
      <c r="DR141" s="37"/>
      <c r="DS141" s="30">
        <f t="shared" si="24"/>
        <v>0</v>
      </c>
      <c r="DT141" s="31" t="e">
        <f>DS141*#REF!</f>
        <v>#REF!</v>
      </c>
      <c r="DU141" s="32" t="e">
        <f>DS141*#REF!</f>
        <v>#REF!</v>
      </c>
      <c r="DW141" s="33"/>
      <c r="DX141" s="34"/>
      <c r="DY141" s="35"/>
      <c r="DZ141" s="36"/>
      <c r="EA141" s="37"/>
      <c r="EB141" s="30">
        <f t="shared" si="25"/>
        <v>0</v>
      </c>
      <c r="EC141" s="31" t="e">
        <f>EB141*#REF!</f>
        <v>#REF!</v>
      </c>
      <c r="ED141" s="32" t="e">
        <f>EB141*#REF!</f>
        <v>#REF!</v>
      </c>
      <c r="EF141" s="33"/>
      <c r="EG141" s="34"/>
      <c r="EH141" s="35"/>
      <c r="EI141" s="36"/>
      <c r="EJ141" s="37"/>
      <c r="EK141" s="30">
        <f t="shared" si="26"/>
        <v>0</v>
      </c>
      <c r="EL141" s="31" t="e">
        <f>EK141*#REF!</f>
        <v>#REF!</v>
      </c>
      <c r="EM141" s="32" t="e">
        <f>EK141*#REF!</f>
        <v>#REF!</v>
      </c>
      <c r="EO141" s="33"/>
      <c r="EP141" s="34"/>
      <c r="EQ141" s="35"/>
      <c r="ER141" s="36"/>
      <c r="ES141" s="37"/>
      <c r="ET141" s="30">
        <f t="shared" si="27"/>
        <v>0</v>
      </c>
      <c r="EU141" s="31" t="e">
        <f>ET141*#REF!</f>
        <v>#REF!</v>
      </c>
      <c r="EV141" s="32" t="e">
        <f>ET141*#REF!</f>
        <v>#REF!</v>
      </c>
      <c r="EX141" s="33"/>
      <c r="EY141" s="34"/>
      <c r="EZ141" s="35"/>
      <c r="FA141" s="36"/>
      <c r="FB141" s="37"/>
      <c r="FC141" s="30">
        <f t="shared" si="28"/>
        <v>0</v>
      </c>
      <c r="FD141" s="31" t="e">
        <f>FC141*#REF!</f>
        <v>#REF!</v>
      </c>
      <c r="FE141" s="32" t="e">
        <f>FC141*#REF!</f>
        <v>#REF!</v>
      </c>
      <c r="FG141" s="33"/>
      <c r="FH141" s="34"/>
      <c r="FI141" s="35"/>
      <c r="FJ141" s="36"/>
      <c r="FK141" s="37"/>
      <c r="FL141" s="30">
        <f t="shared" si="29"/>
        <v>0</v>
      </c>
      <c r="FM141" s="31" t="e">
        <f>FL141*#REF!</f>
        <v>#REF!</v>
      </c>
      <c r="FN141" s="32" t="e">
        <f>FL141*#REF!</f>
        <v>#REF!</v>
      </c>
      <c r="FP141" s="33"/>
      <c r="FQ141" s="34"/>
      <c r="FR141" s="35"/>
      <c r="FS141" s="36"/>
      <c r="FT141" s="37"/>
      <c r="FU141" s="30">
        <f t="shared" si="30"/>
        <v>0</v>
      </c>
      <c r="FV141" s="31" t="e">
        <f>FU141*#REF!</f>
        <v>#REF!</v>
      </c>
      <c r="FW141" s="32" t="e">
        <f>FU141*#REF!</f>
        <v>#REF!</v>
      </c>
      <c r="FY141" s="33"/>
      <c r="FZ141" s="34"/>
      <c r="GA141" s="35"/>
      <c r="GB141" s="36"/>
      <c r="GC141" s="37"/>
      <c r="GD141" s="30">
        <f t="shared" si="31"/>
        <v>0</v>
      </c>
      <c r="GE141" s="31" t="e">
        <f>GD141*#REF!</f>
        <v>#REF!</v>
      </c>
      <c r="GF141" s="32" t="e">
        <f>GD141*#REF!</f>
        <v>#REF!</v>
      </c>
      <c r="GH141" s="33"/>
      <c r="GI141" s="34"/>
      <c r="GJ141" s="35"/>
      <c r="GK141" s="36"/>
      <c r="GL141" s="37"/>
      <c r="GM141" s="30">
        <f t="shared" si="32"/>
        <v>0</v>
      </c>
      <c r="GN141" s="31" t="e">
        <f>GM141*#REF!</f>
        <v>#REF!</v>
      </c>
      <c r="GO141" s="32" t="e">
        <f>GM141*#REF!</f>
        <v>#REF!</v>
      </c>
      <c r="GQ141" s="38">
        <f>_xlfn.MAXIFS(I141:GO141,$I$5:$GO$5,"Staff #")</f>
        <v>0</v>
      </c>
      <c r="GR141" s="39">
        <v>0</v>
      </c>
    </row>
    <row r="142" spans="2:200" ht="15" x14ac:dyDescent="0.25">
      <c r="B142" s="22"/>
      <c r="C142" s="23"/>
      <c r="D142" s="24" t="str">
        <f>IF(C142="","",_xlfn.XLOOKUP(C142,'[3]Control Sheet'!$L$5:$L$104,'[3]Control Sheet'!$M$5:$M$104,"",0))</f>
        <v/>
      </c>
      <c r="E142" s="24" t="str">
        <f>IF(B142="","",_xlfn.XLOOKUP(B142,'[3]Control Sheet'!$D$5:$D$64,'[3]Control Sheet'!$F$5:$F$64,"",0))</f>
        <v/>
      </c>
      <c r="F142" s="24" t="str">
        <f>IF(B142="","",_xlfn.XLOOKUP(B142,'[3]Control Sheet'!$D$5:$D$64,'[3]Control Sheet'!$E$5:$E$64,"",0))</f>
        <v/>
      </c>
      <c r="I142" s="33"/>
      <c r="J142" s="34"/>
      <c r="K142" s="35"/>
      <c r="L142" s="36"/>
      <c r="M142" s="37"/>
      <c r="P142" s="33"/>
      <c r="Q142" s="34"/>
      <c r="R142" s="35"/>
      <c r="S142" s="36"/>
      <c r="T142" s="37"/>
      <c r="V142" s="33"/>
      <c r="W142" s="34"/>
      <c r="X142" s="35"/>
      <c r="Y142" s="36"/>
      <c r="Z142" s="37"/>
      <c r="AB142" s="33"/>
      <c r="AC142" s="34"/>
      <c r="AD142" s="35"/>
      <c r="AE142" s="36"/>
      <c r="AF142" s="37"/>
      <c r="AH142" s="33"/>
      <c r="AI142" s="34"/>
      <c r="AJ142" s="35"/>
      <c r="AK142" s="36"/>
      <c r="AL142" s="37"/>
      <c r="AN142" s="33"/>
      <c r="AO142" s="34"/>
      <c r="AP142" s="35"/>
      <c r="AQ142" s="36"/>
      <c r="AR142" s="37"/>
      <c r="AT142" s="33"/>
      <c r="AU142" s="34"/>
      <c r="AV142" s="35"/>
      <c r="AW142" s="36"/>
      <c r="AX142" s="37"/>
      <c r="AZ142" s="33"/>
      <c r="BA142" s="34"/>
      <c r="BB142" s="35"/>
      <c r="BC142" s="36"/>
      <c r="BD142" s="37"/>
      <c r="BF142" s="33"/>
      <c r="BG142" s="34"/>
      <c r="BH142" s="35"/>
      <c r="BI142" s="36"/>
      <c r="BJ142" s="37"/>
      <c r="BL142" s="33"/>
      <c r="BM142" s="34"/>
      <c r="BN142" s="35"/>
      <c r="BO142" s="36"/>
      <c r="BP142" s="37"/>
      <c r="BR142" s="33"/>
      <c r="BS142" s="34"/>
      <c r="BT142" s="35"/>
      <c r="BU142" s="36"/>
      <c r="BV142" s="37"/>
      <c r="BX142" s="33"/>
      <c r="BY142" s="34"/>
      <c r="BZ142" s="35"/>
      <c r="CA142" s="36"/>
      <c r="CB142" s="37"/>
      <c r="CD142" s="33"/>
      <c r="CE142" s="34"/>
      <c r="CF142" s="35"/>
      <c r="CG142" s="36"/>
      <c r="CH142" s="37"/>
      <c r="CJ142" s="33"/>
      <c r="CK142" s="34"/>
      <c r="CL142" s="35"/>
      <c r="CM142" s="36"/>
      <c r="CN142" s="37"/>
      <c r="CP142" s="33"/>
      <c r="CQ142" s="34"/>
      <c r="CR142" s="35"/>
      <c r="CS142" s="36"/>
      <c r="CT142" s="37"/>
      <c r="CV142" s="33"/>
      <c r="CW142" s="34"/>
      <c r="CX142" s="35"/>
      <c r="CY142" s="36"/>
      <c r="CZ142" s="37"/>
      <c r="DA142" s="30">
        <f t="shared" si="22"/>
        <v>0</v>
      </c>
      <c r="DB142" s="31" t="e">
        <f>DA142*#REF!</f>
        <v>#REF!</v>
      </c>
      <c r="DC142" s="32" t="e">
        <f>DA142*#REF!</f>
        <v>#REF!</v>
      </c>
      <c r="DE142" s="33"/>
      <c r="DF142" s="34"/>
      <c r="DG142" s="35"/>
      <c r="DH142" s="36"/>
      <c r="DI142" s="37"/>
      <c r="DJ142" s="30">
        <f t="shared" si="23"/>
        <v>0</v>
      </c>
      <c r="DK142" s="31" t="e">
        <f>DJ142*#REF!</f>
        <v>#REF!</v>
      </c>
      <c r="DL142" s="32" t="e">
        <f>DJ142*#REF!</f>
        <v>#REF!</v>
      </c>
      <c r="DN142" s="33"/>
      <c r="DO142" s="34"/>
      <c r="DP142" s="35"/>
      <c r="DQ142" s="36"/>
      <c r="DR142" s="37"/>
      <c r="DS142" s="30">
        <f t="shared" si="24"/>
        <v>0</v>
      </c>
      <c r="DT142" s="31" t="e">
        <f>DS142*#REF!</f>
        <v>#REF!</v>
      </c>
      <c r="DU142" s="32" t="e">
        <f>DS142*#REF!</f>
        <v>#REF!</v>
      </c>
      <c r="DW142" s="33"/>
      <c r="DX142" s="34"/>
      <c r="DY142" s="35"/>
      <c r="DZ142" s="36"/>
      <c r="EA142" s="37"/>
      <c r="EB142" s="30">
        <f t="shared" si="25"/>
        <v>0</v>
      </c>
      <c r="EC142" s="31" t="e">
        <f>EB142*#REF!</f>
        <v>#REF!</v>
      </c>
      <c r="ED142" s="32" t="e">
        <f>EB142*#REF!</f>
        <v>#REF!</v>
      </c>
      <c r="EF142" s="33"/>
      <c r="EG142" s="34"/>
      <c r="EH142" s="35"/>
      <c r="EI142" s="36"/>
      <c r="EJ142" s="37"/>
      <c r="EK142" s="30">
        <f t="shared" si="26"/>
        <v>0</v>
      </c>
      <c r="EL142" s="31" t="e">
        <f>EK142*#REF!</f>
        <v>#REF!</v>
      </c>
      <c r="EM142" s="32" t="e">
        <f>EK142*#REF!</f>
        <v>#REF!</v>
      </c>
      <c r="EO142" s="33"/>
      <c r="EP142" s="34"/>
      <c r="EQ142" s="35"/>
      <c r="ER142" s="36"/>
      <c r="ES142" s="37"/>
      <c r="ET142" s="30">
        <f t="shared" si="27"/>
        <v>0</v>
      </c>
      <c r="EU142" s="31" t="e">
        <f>ET142*#REF!</f>
        <v>#REF!</v>
      </c>
      <c r="EV142" s="32" t="e">
        <f>ET142*#REF!</f>
        <v>#REF!</v>
      </c>
      <c r="EX142" s="33"/>
      <c r="EY142" s="34"/>
      <c r="EZ142" s="35"/>
      <c r="FA142" s="36"/>
      <c r="FB142" s="37"/>
      <c r="FC142" s="30">
        <f t="shared" si="28"/>
        <v>0</v>
      </c>
      <c r="FD142" s="31" t="e">
        <f>FC142*#REF!</f>
        <v>#REF!</v>
      </c>
      <c r="FE142" s="32" t="e">
        <f>FC142*#REF!</f>
        <v>#REF!</v>
      </c>
      <c r="FG142" s="33"/>
      <c r="FH142" s="34"/>
      <c r="FI142" s="35"/>
      <c r="FJ142" s="36"/>
      <c r="FK142" s="37"/>
      <c r="FL142" s="30">
        <f t="shared" si="29"/>
        <v>0</v>
      </c>
      <c r="FM142" s="31" t="e">
        <f>FL142*#REF!</f>
        <v>#REF!</v>
      </c>
      <c r="FN142" s="32" t="e">
        <f>FL142*#REF!</f>
        <v>#REF!</v>
      </c>
      <c r="FP142" s="33"/>
      <c r="FQ142" s="34"/>
      <c r="FR142" s="35"/>
      <c r="FS142" s="36"/>
      <c r="FT142" s="37"/>
      <c r="FU142" s="30">
        <f t="shared" si="30"/>
        <v>0</v>
      </c>
      <c r="FV142" s="31" t="e">
        <f>FU142*#REF!</f>
        <v>#REF!</v>
      </c>
      <c r="FW142" s="32" t="e">
        <f>FU142*#REF!</f>
        <v>#REF!</v>
      </c>
      <c r="FY142" s="33"/>
      <c r="FZ142" s="34"/>
      <c r="GA142" s="35"/>
      <c r="GB142" s="36"/>
      <c r="GC142" s="37"/>
      <c r="GD142" s="30">
        <f t="shared" si="31"/>
        <v>0</v>
      </c>
      <c r="GE142" s="31" t="e">
        <f>GD142*#REF!</f>
        <v>#REF!</v>
      </c>
      <c r="GF142" s="32" t="e">
        <f>GD142*#REF!</f>
        <v>#REF!</v>
      </c>
      <c r="GH142" s="33"/>
      <c r="GI142" s="34"/>
      <c r="GJ142" s="35"/>
      <c r="GK142" s="36"/>
      <c r="GL142" s="37"/>
      <c r="GM142" s="30">
        <f t="shared" si="32"/>
        <v>0</v>
      </c>
      <c r="GN142" s="31" t="e">
        <f>GM142*#REF!</f>
        <v>#REF!</v>
      </c>
      <c r="GO142" s="32" t="e">
        <f>GM142*#REF!</f>
        <v>#REF!</v>
      </c>
      <c r="GQ142" s="38">
        <f>_xlfn.MAXIFS(I142:GO142,$I$5:$GO$5,"Staff #")</f>
        <v>0</v>
      </c>
      <c r="GR142" s="39">
        <v>0</v>
      </c>
    </row>
    <row r="143" spans="2:200" ht="15" x14ac:dyDescent="0.25">
      <c r="B143" s="22"/>
      <c r="C143" s="23"/>
      <c r="D143" s="24" t="str">
        <f>IF(C143="","",_xlfn.XLOOKUP(C143,'[3]Control Sheet'!$L$5:$L$104,'[3]Control Sheet'!$M$5:$M$104,"",0))</f>
        <v/>
      </c>
      <c r="E143" s="24" t="str">
        <f>IF(B143="","",_xlfn.XLOOKUP(B143,'[3]Control Sheet'!$D$5:$D$64,'[3]Control Sheet'!$F$5:$F$64,"",0))</f>
        <v/>
      </c>
      <c r="F143" s="24" t="str">
        <f>IF(B143="","",_xlfn.XLOOKUP(B143,'[3]Control Sheet'!$D$5:$D$64,'[3]Control Sheet'!$E$5:$E$64,"",0))</f>
        <v/>
      </c>
      <c r="I143" s="33"/>
      <c r="J143" s="34"/>
      <c r="K143" s="35"/>
      <c r="L143" s="36"/>
      <c r="M143" s="37"/>
      <c r="P143" s="33"/>
      <c r="Q143" s="34"/>
      <c r="R143" s="35"/>
      <c r="S143" s="36"/>
      <c r="T143" s="37"/>
      <c r="V143" s="33"/>
      <c r="W143" s="34"/>
      <c r="X143" s="35"/>
      <c r="Y143" s="36"/>
      <c r="Z143" s="37"/>
      <c r="AB143" s="33"/>
      <c r="AC143" s="34"/>
      <c r="AD143" s="35"/>
      <c r="AE143" s="36"/>
      <c r="AF143" s="37"/>
      <c r="AH143" s="33"/>
      <c r="AI143" s="34"/>
      <c r="AJ143" s="35"/>
      <c r="AK143" s="36"/>
      <c r="AL143" s="37"/>
      <c r="AN143" s="33"/>
      <c r="AO143" s="34"/>
      <c r="AP143" s="35"/>
      <c r="AQ143" s="36"/>
      <c r="AR143" s="37"/>
      <c r="AT143" s="33"/>
      <c r="AU143" s="34"/>
      <c r="AV143" s="35"/>
      <c r="AW143" s="36"/>
      <c r="AX143" s="37"/>
      <c r="AZ143" s="33"/>
      <c r="BA143" s="34"/>
      <c r="BB143" s="35"/>
      <c r="BC143" s="36"/>
      <c r="BD143" s="37"/>
      <c r="BF143" s="33"/>
      <c r="BG143" s="34"/>
      <c r="BH143" s="35"/>
      <c r="BI143" s="36"/>
      <c r="BJ143" s="37"/>
      <c r="BL143" s="33"/>
      <c r="BM143" s="34"/>
      <c r="BN143" s="35"/>
      <c r="BO143" s="36"/>
      <c r="BP143" s="37"/>
      <c r="BR143" s="33"/>
      <c r="BS143" s="34"/>
      <c r="BT143" s="35"/>
      <c r="BU143" s="36"/>
      <c r="BV143" s="37"/>
      <c r="BX143" s="33"/>
      <c r="BY143" s="34"/>
      <c r="BZ143" s="35"/>
      <c r="CA143" s="36"/>
      <c r="CB143" s="37"/>
      <c r="CD143" s="33"/>
      <c r="CE143" s="34"/>
      <c r="CF143" s="35"/>
      <c r="CG143" s="36"/>
      <c r="CH143" s="37"/>
      <c r="CJ143" s="33"/>
      <c r="CK143" s="34"/>
      <c r="CL143" s="35"/>
      <c r="CM143" s="36"/>
      <c r="CN143" s="37"/>
      <c r="CP143" s="33"/>
      <c r="CQ143" s="34"/>
      <c r="CR143" s="35"/>
      <c r="CS143" s="36"/>
      <c r="CT143" s="37"/>
      <c r="CV143" s="33"/>
      <c r="CW143" s="34"/>
      <c r="CX143" s="35"/>
      <c r="CY143" s="36"/>
      <c r="CZ143" s="37"/>
      <c r="DA143" s="30">
        <f t="shared" si="22"/>
        <v>0</v>
      </c>
      <c r="DB143" s="31" t="e">
        <f>DA143*#REF!</f>
        <v>#REF!</v>
      </c>
      <c r="DC143" s="32" t="e">
        <f>DA143*#REF!</f>
        <v>#REF!</v>
      </c>
      <c r="DE143" s="33"/>
      <c r="DF143" s="34"/>
      <c r="DG143" s="35"/>
      <c r="DH143" s="36"/>
      <c r="DI143" s="37"/>
      <c r="DJ143" s="30">
        <f t="shared" si="23"/>
        <v>0</v>
      </c>
      <c r="DK143" s="31" t="e">
        <f>DJ143*#REF!</f>
        <v>#REF!</v>
      </c>
      <c r="DL143" s="32" t="e">
        <f>DJ143*#REF!</f>
        <v>#REF!</v>
      </c>
      <c r="DN143" s="33"/>
      <c r="DO143" s="34"/>
      <c r="DP143" s="35"/>
      <c r="DQ143" s="36"/>
      <c r="DR143" s="37"/>
      <c r="DS143" s="30">
        <f t="shared" si="24"/>
        <v>0</v>
      </c>
      <c r="DT143" s="31" t="e">
        <f>DS143*#REF!</f>
        <v>#REF!</v>
      </c>
      <c r="DU143" s="32" t="e">
        <f>DS143*#REF!</f>
        <v>#REF!</v>
      </c>
      <c r="DW143" s="33"/>
      <c r="DX143" s="34"/>
      <c r="DY143" s="35"/>
      <c r="DZ143" s="36"/>
      <c r="EA143" s="37"/>
      <c r="EB143" s="30">
        <f t="shared" si="25"/>
        <v>0</v>
      </c>
      <c r="EC143" s="31" t="e">
        <f>EB143*#REF!</f>
        <v>#REF!</v>
      </c>
      <c r="ED143" s="32" t="e">
        <f>EB143*#REF!</f>
        <v>#REF!</v>
      </c>
      <c r="EF143" s="33"/>
      <c r="EG143" s="34"/>
      <c r="EH143" s="35"/>
      <c r="EI143" s="36"/>
      <c r="EJ143" s="37"/>
      <c r="EK143" s="30">
        <f t="shared" si="26"/>
        <v>0</v>
      </c>
      <c r="EL143" s="31" t="e">
        <f>EK143*#REF!</f>
        <v>#REF!</v>
      </c>
      <c r="EM143" s="32" t="e">
        <f>EK143*#REF!</f>
        <v>#REF!</v>
      </c>
      <c r="EO143" s="33"/>
      <c r="EP143" s="34"/>
      <c r="EQ143" s="35"/>
      <c r="ER143" s="36"/>
      <c r="ES143" s="37"/>
      <c r="ET143" s="30">
        <f t="shared" si="27"/>
        <v>0</v>
      </c>
      <c r="EU143" s="31" t="e">
        <f>ET143*#REF!</f>
        <v>#REF!</v>
      </c>
      <c r="EV143" s="32" t="e">
        <f>ET143*#REF!</f>
        <v>#REF!</v>
      </c>
      <c r="EX143" s="33"/>
      <c r="EY143" s="34"/>
      <c r="EZ143" s="35"/>
      <c r="FA143" s="36"/>
      <c r="FB143" s="37"/>
      <c r="FC143" s="30">
        <f t="shared" si="28"/>
        <v>0</v>
      </c>
      <c r="FD143" s="31" t="e">
        <f>FC143*#REF!</f>
        <v>#REF!</v>
      </c>
      <c r="FE143" s="32" t="e">
        <f>FC143*#REF!</f>
        <v>#REF!</v>
      </c>
      <c r="FG143" s="33"/>
      <c r="FH143" s="34"/>
      <c r="FI143" s="35"/>
      <c r="FJ143" s="36"/>
      <c r="FK143" s="37"/>
      <c r="FL143" s="30">
        <f t="shared" si="29"/>
        <v>0</v>
      </c>
      <c r="FM143" s="31" t="e">
        <f>FL143*#REF!</f>
        <v>#REF!</v>
      </c>
      <c r="FN143" s="32" t="e">
        <f>FL143*#REF!</f>
        <v>#REF!</v>
      </c>
      <c r="FP143" s="33"/>
      <c r="FQ143" s="34"/>
      <c r="FR143" s="35"/>
      <c r="FS143" s="36"/>
      <c r="FT143" s="37"/>
      <c r="FU143" s="30">
        <f t="shared" si="30"/>
        <v>0</v>
      </c>
      <c r="FV143" s="31" t="e">
        <f>FU143*#REF!</f>
        <v>#REF!</v>
      </c>
      <c r="FW143" s="32" t="e">
        <f>FU143*#REF!</f>
        <v>#REF!</v>
      </c>
      <c r="FY143" s="33"/>
      <c r="FZ143" s="34"/>
      <c r="GA143" s="35"/>
      <c r="GB143" s="36"/>
      <c r="GC143" s="37"/>
      <c r="GD143" s="30">
        <f t="shared" si="31"/>
        <v>0</v>
      </c>
      <c r="GE143" s="31" t="e">
        <f>GD143*#REF!</f>
        <v>#REF!</v>
      </c>
      <c r="GF143" s="32" t="e">
        <f>GD143*#REF!</f>
        <v>#REF!</v>
      </c>
      <c r="GH143" s="33"/>
      <c r="GI143" s="34"/>
      <c r="GJ143" s="35"/>
      <c r="GK143" s="36"/>
      <c r="GL143" s="37"/>
      <c r="GM143" s="30">
        <f t="shared" si="32"/>
        <v>0</v>
      </c>
      <c r="GN143" s="31" t="e">
        <f>GM143*#REF!</f>
        <v>#REF!</v>
      </c>
      <c r="GO143" s="32" t="e">
        <f>GM143*#REF!</f>
        <v>#REF!</v>
      </c>
      <c r="GQ143" s="38">
        <f>_xlfn.MAXIFS(I143:GO143,$I$5:$GO$5,"Staff #")</f>
        <v>0</v>
      </c>
      <c r="GR143" s="39">
        <v>0</v>
      </c>
    </row>
    <row r="144" spans="2:200" ht="15" x14ac:dyDescent="0.25">
      <c r="B144" s="22"/>
      <c r="C144" s="23"/>
      <c r="D144" s="24" t="str">
        <f>IF(C144="","",_xlfn.XLOOKUP(C144,'[3]Control Sheet'!$L$5:$L$104,'[3]Control Sheet'!$M$5:$M$104,"",0))</f>
        <v/>
      </c>
      <c r="E144" s="24" t="str">
        <f>IF(B144="","",_xlfn.XLOOKUP(B144,'[3]Control Sheet'!$D$5:$D$64,'[3]Control Sheet'!$F$5:$F$64,"",0))</f>
        <v/>
      </c>
      <c r="F144" s="24" t="str">
        <f>IF(B144="","",_xlfn.XLOOKUP(B144,'[3]Control Sheet'!$D$5:$D$64,'[3]Control Sheet'!$E$5:$E$64,"",0))</f>
        <v/>
      </c>
      <c r="I144" s="33"/>
      <c r="J144" s="34"/>
      <c r="K144" s="35"/>
      <c r="L144" s="36"/>
      <c r="M144" s="37"/>
      <c r="P144" s="33"/>
      <c r="Q144" s="34"/>
      <c r="R144" s="35"/>
      <c r="S144" s="36"/>
      <c r="T144" s="37"/>
      <c r="V144" s="33"/>
      <c r="W144" s="34"/>
      <c r="X144" s="35"/>
      <c r="Y144" s="36"/>
      <c r="Z144" s="37"/>
      <c r="AB144" s="33"/>
      <c r="AC144" s="34"/>
      <c r="AD144" s="35"/>
      <c r="AE144" s="36"/>
      <c r="AF144" s="37"/>
      <c r="AH144" s="33"/>
      <c r="AI144" s="34"/>
      <c r="AJ144" s="35"/>
      <c r="AK144" s="36"/>
      <c r="AL144" s="37"/>
      <c r="AN144" s="33"/>
      <c r="AO144" s="34"/>
      <c r="AP144" s="35"/>
      <c r="AQ144" s="36"/>
      <c r="AR144" s="37"/>
      <c r="AT144" s="33"/>
      <c r="AU144" s="34"/>
      <c r="AV144" s="35"/>
      <c r="AW144" s="36"/>
      <c r="AX144" s="37"/>
      <c r="AZ144" s="33"/>
      <c r="BA144" s="34"/>
      <c r="BB144" s="35"/>
      <c r="BC144" s="36"/>
      <c r="BD144" s="37"/>
      <c r="BF144" s="33"/>
      <c r="BG144" s="34"/>
      <c r="BH144" s="35"/>
      <c r="BI144" s="36"/>
      <c r="BJ144" s="37"/>
      <c r="BL144" s="33"/>
      <c r="BM144" s="34"/>
      <c r="BN144" s="35"/>
      <c r="BO144" s="36"/>
      <c r="BP144" s="37"/>
      <c r="BR144" s="33"/>
      <c r="BS144" s="34"/>
      <c r="BT144" s="35"/>
      <c r="BU144" s="36"/>
      <c r="BV144" s="37"/>
      <c r="BX144" s="33"/>
      <c r="BY144" s="34"/>
      <c r="BZ144" s="35"/>
      <c r="CA144" s="36"/>
      <c r="CB144" s="37"/>
      <c r="CD144" s="33"/>
      <c r="CE144" s="34"/>
      <c r="CF144" s="35"/>
      <c r="CG144" s="36"/>
      <c r="CH144" s="37"/>
      <c r="CJ144" s="33"/>
      <c r="CK144" s="34"/>
      <c r="CL144" s="35"/>
      <c r="CM144" s="36"/>
      <c r="CN144" s="37"/>
      <c r="CP144" s="33"/>
      <c r="CQ144" s="34"/>
      <c r="CR144" s="35"/>
      <c r="CS144" s="36"/>
      <c r="CT144" s="37"/>
      <c r="CV144" s="33"/>
      <c r="CW144" s="34"/>
      <c r="CX144" s="35"/>
      <c r="CY144" s="36"/>
      <c r="CZ144" s="37"/>
      <c r="DA144" s="30">
        <f t="shared" si="22"/>
        <v>0</v>
      </c>
      <c r="DB144" s="31" t="e">
        <f>DA144*#REF!</f>
        <v>#REF!</v>
      </c>
      <c r="DC144" s="32" t="e">
        <f>DA144*#REF!</f>
        <v>#REF!</v>
      </c>
      <c r="DE144" s="33"/>
      <c r="DF144" s="34"/>
      <c r="DG144" s="35"/>
      <c r="DH144" s="36"/>
      <c r="DI144" s="37"/>
      <c r="DJ144" s="30">
        <f t="shared" si="23"/>
        <v>0</v>
      </c>
      <c r="DK144" s="31" t="e">
        <f>DJ144*#REF!</f>
        <v>#REF!</v>
      </c>
      <c r="DL144" s="32" t="e">
        <f>DJ144*#REF!</f>
        <v>#REF!</v>
      </c>
      <c r="DN144" s="33"/>
      <c r="DO144" s="34"/>
      <c r="DP144" s="35"/>
      <c r="DQ144" s="36"/>
      <c r="DR144" s="37"/>
      <c r="DS144" s="30">
        <f t="shared" si="24"/>
        <v>0</v>
      </c>
      <c r="DT144" s="31" t="e">
        <f>DS144*#REF!</f>
        <v>#REF!</v>
      </c>
      <c r="DU144" s="32" t="e">
        <f>DS144*#REF!</f>
        <v>#REF!</v>
      </c>
      <c r="DW144" s="33"/>
      <c r="DX144" s="34"/>
      <c r="DY144" s="35"/>
      <c r="DZ144" s="36"/>
      <c r="EA144" s="37"/>
      <c r="EB144" s="30">
        <f t="shared" si="25"/>
        <v>0</v>
      </c>
      <c r="EC144" s="31" t="e">
        <f>EB144*#REF!</f>
        <v>#REF!</v>
      </c>
      <c r="ED144" s="32" t="e">
        <f>EB144*#REF!</f>
        <v>#REF!</v>
      </c>
      <c r="EF144" s="33"/>
      <c r="EG144" s="34"/>
      <c r="EH144" s="35"/>
      <c r="EI144" s="36"/>
      <c r="EJ144" s="37"/>
      <c r="EK144" s="30">
        <f t="shared" si="26"/>
        <v>0</v>
      </c>
      <c r="EL144" s="31" t="e">
        <f>EK144*#REF!</f>
        <v>#REF!</v>
      </c>
      <c r="EM144" s="32" t="e">
        <f>EK144*#REF!</f>
        <v>#REF!</v>
      </c>
      <c r="EO144" s="33"/>
      <c r="EP144" s="34"/>
      <c r="EQ144" s="35"/>
      <c r="ER144" s="36"/>
      <c r="ES144" s="37"/>
      <c r="ET144" s="30">
        <f t="shared" si="27"/>
        <v>0</v>
      </c>
      <c r="EU144" s="31" t="e">
        <f>ET144*#REF!</f>
        <v>#REF!</v>
      </c>
      <c r="EV144" s="32" t="e">
        <f>ET144*#REF!</f>
        <v>#REF!</v>
      </c>
      <c r="EX144" s="33"/>
      <c r="EY144" s="34"/>
      <c r="EZ144" s="35"/>
      <c r="FA144" s="36"/>
      <c r="FB144" s="37"/>
      <c r="FC144" s="30">
        <f t="shared" si="28"/>
        <v>0</v>
      </c>
      <c r="FD144" s="31" t="e">
        <f>FC144*#REF!</f>
        <v>#REF!</v>
      </c>
      <c r="FE144" s="32" t="e">
        <f>FC144*#REF!</f>
        <v>#REF!</v>
      </c>
      <c r="FG144" s="33"/>
      <c r="FH144" s="34"/>
      <c r="FI144" s="35"/>
      <c r="FJ144" s="36"/>
      <c r="FK144" s="37"/>
      <c r="FL144" s="30">
        <f t="shared" si="29"/>
        <v>0</v>
      </c>
      <c r="FM144" s="31" t="e">
        <f>FL144*#REF!</f>
        <v>#REF!</v>
      </c>
      <c r="FN144" s="32" t="e">
        <f>FL144*#REF!</f>
        <v>#REF!</v>
      </c>
      <c r="FP144" s="33"/>
      <c r="FQ144" s="34"/>
      <c r="FR144" s="35"/>
      <c r="FS144" s="36"/>
      <c r="FT144" s="37"/>
      <c r="FU144" s="30">
        <f t="shared" si="30"/>
        <v>0</v>
      </c>
      <c r="FV144" s="31" t="e">
        <f>FU144*#REF!</f>
        <v>#REF!</v>
      </c>
      <c r="FW144" s="32" t="e">
        <f>FU144*#REF!</f>
        <v>#REF!</v>
      </c>
      <c r="FY144" s="33"/>
      <c r="FZ144" s="34"/>
      <c r="GA144" s="35"/>
      <c r="GB144" s="36"/>
      <c r="GC144" s="37"/>
      <c r="GD144" s="30">
        <f t="shared" si="31"/>
        <v>0</v>
      </c>
      <c r="GE144" s="31" t="e">
        <f>GD144*#REF!</f>
        <v>#REF!</v>
      </c>
      <c r="GF144" s="32" t="e">
        <f>GD144*#REF!</f>
        <v>#REF!</v>
      </c>
      <c r="GH144" s="33"/>
      <c r="GI144" s="34"/>
      <c r="GJ144" s="35"/>
      <c r="GK144" s="36"/>
      <c r="GL144" s="37"/>
      <c r="GM144" s="30">
        <f t="shared" si="32"/>
        <v>0</v>
      </c>
      <c r="GN144" s="31" t="e">
        <f>GM144*#REF!</f>
        <v>#REF!</v>
      </c>
      <c r="GO144" s="32" t="e">
        <f>GM144*#REF!</f>
        <v>#REF!</v>
      </c>
      <c r="GQ144" s="38">
        <f>_xlfn.MAXIFS(I144:GO144,$I$5:$GO$5,"Staff #")</f>
        <v>0</v>
      </c>
      <c r="GR144" s="39">
        <v>0</v>
      </c>
    </row>
    <row r="145" spans="2:200" ht="15" x14ac:dyDescent="0.25">
      <c r="B145" s="22"/>
      <c r="C145" s="23"/>
      <c r="D145" s="24" t="str">
        <f>IF(C145="","",_xlfn.XLOOKUP(C145,'[3]Control Sheet'!$L$5:$L$104,'[3]Control Sheet'!$M$5:$M$104,"",0))</f>
        <v/>
      </c>
      <c r="E145" s="24" t="str">
        <f>IF(B145="","",_xlfn.XLOOKUP(B145,'[3]Control Sheet'!$D$5:$D$64,'[3]Control Sheet'!$F$5:$F$64,"",0))</f>
        <v/>
      </c>
      <c r="F145" s="24" t="str">
        <f>IF(B145="","",_xlfn.XLOOKUP(B145,'[3]Control Sheet'!$D$5:$D$64,'[3]Control Sheet'!$E$5:$E$64,"",0))</f>
        <v/>
      </c>
      <c r="I145" s="33"/>
      <c r="J145" s="34"/>
      <c r="K145" s="35"/>
      <c r="L145" s="36"/>
      <c r="M145" s="37"/>
      <c r="P145" s="33"/>
      <c r="Q145" s="34"/>
      <c r="R145" s="35"/>
      <c r="S145" s="36"/>
      <c r="T145" s="37"/>
      <c r="V145" s="33"/>
      <c r="W145" s="34"/>
      <c r="X145" s="35"/>
      <c r="Y145" s="36"/>
      <c r="Z145" s="37"/>
      <c r="AB145" s="33"/>
      <c r="AC145" s="34"/>
      <c r="AD145" s="35"/>
      <c r="AE145" s="36"/>
      <c r="AF145" s="37"/>
      <c r="AH145" s="33"/>
      <c r="AI145" s="34"/>
      <c r="AJ145" s="35"/>
      <c r="AK145" s="36"/>
      <c r="AL145" s="37"/>
      <c r="AN145" s="33"/>
      <c r="AO145" s="34"/>
      <c r="AP145" s="35"/>
      <c r="AQ145" s="36"/>
      <c r="AR145" s="37"/>
      <c r="AT145" s="33"/>
      <c r="AU145" s="34"/>
      <c r="AV145" s="35"/>
      <c r="AW145" s="36"/>
      <c r="AX145" s="37"/>
      <c r="AZ145" s="33"/>
      <c r="BA145" s="34"/>
      <c r="BB145" s="35"/>
      <c r="BC145" s="36"/>
      <c r="BD145" s="37"/>
      <c r="BF145" s="33"/>
      <c r="BG145" s="34"/>
      <c r="BH145" s="35"/>
      <c r="BI145" s="36"/>
      <c r="BJ145" s="37"/>
      <c r="BL145" s="33"/>
      <c r="BM145" s="34"/>
      <c r="BN145" s="35"/>
      <c r="BO145" s="36"/>
      <c r="BP145" s="37"/>
      <c r="BR145" s="33"/>
      <c r="BS145" s="34"/>
      <c r="BT145" s="35"/>
      <c r="BU145" s="36"/>
      <c r="BV145" s="37"/>
      <c r="BX145" s="33"/>
      <c r="BY145" s="34"/>
      <c r="BZ145" s="35"/>
      <c r="CA145" s="36"/>
      <c r="CB145" s="37"/>
      <c r="CD145" s="33"/>
      <c r="CE145" s="34"/>
      <c r="CF145" s="35"/>
      <c r="CG145" s="36"/>
      <c r="CH145" s="37"/>
      <c r="CJ145" s="33"/>
      <c r="CK145" s="34"/>
      <c r="CL145" s="35"/>
      <c r="CM145" s="36"/>
      <c r="CN145" s="37"/>
      <c r="CP145" s="33"/>
      <c r="CQ145" s="34"/>
      <c r="CR145" s="35"/>
      <c r="CS145" s="36"/>
      <c r="CT145" s="37"/>
      <c r="CV145" s="33"/>
      <c r="CW145" s="34"/>
      <c r="CX145" s="35"/>
      <c r="CY145" s="36"/>
      <c r="CZ145" s="37"/>
      <c r="DA145" s="30">
        <f t="shared" si="22"/>
        <v>0</v>
      </c>
      <c r="DB145" s="31" t="e">
        <f>DA145*#REF!</f>
        <v>#REF!</v>
      </c>
      <c r="DC145" s="32" t="e">
        <f>DA145*#REF!</f>
        <v>#REF!</v>
      </c>
      <c r="DE145" s="33"/>
      <c r="DF145" s="34"/>
      <c r="DG145" s="35"/>
      <c r="DH145" s="36"/>
      <c r="DI145" s="37"/>
      <c r="DJ145" s="30">
        <f t="shared" si="23"/>
        <v>0</v>
      </c>
      <c r="DK145" s="31" t="e">
        <f>DJ145*#REF!</f>
        <v>#REF!</v>
      </c>
      <c r="DL145" s="32" t="e">
        <f>DJ145*#REF!</f>
        <v>#REF!</v>
      </c>
      <c r="DN145" s="33"/>
      <c r="DO145" s="34"/>
      <c r="DP145" s="35"/>
      <c r="DQ145" s="36"/>
      <c r="DR145" s="37"/>
      <c r="DS145" s="30">
        <f t="shared" si="24"/>
        <v>0</v>
      </c>
      <c r="DT145" s="31" t="e">
        <f>DS145*#REF!</f>
        <v>#REF!</v>
      </c>
      <c r="DU145" s="32" t="e">
        <f>DS145*#REF!</f>
        <v>#REF!</v>
      </c>
      <c r="DW145" s="33"/>
      <c r="DX145" s="34"/>
      <c r="DY145" s="35"/>
      <c r="DZ145" s="36"/>
      <c r="EA145" s="37"/>
      <c r="EB145" s="30">
        <f t="shared" si="25"/>
        <v>0</v>
      </c>
      <c r="EC145" s="31" t="e">
        <f>EB145*#REF!</f>
        <v>#REF!</v>
      </c>
      <c r="ED145" s="32" t="e">
        <f>EB145*#REF!</f>
        <v>#REF!</v>
      </c>
      <c r="EF145" s="33"/>
      <c r="EG145" s="34"/>
      <c r="EH145" s="35"/>
      <c r="EI145" s="36"/>
      <c r="EJ145" s="37"/>
      <c r="EK145" s="30">
        <f t="shared" si="26"/>
        <v>0</v>
      </c>
      <c r="EL145" s="31" t="e">
        <f>EK145*#REF!</f>
        <v>#REF!</v>
      </c>
      <c r="EM145" s="32" t="e">
        <f>EK145*#REF!</f>
        <v>#REF!</v>
      </c>
      <c r="EO145" s="33"/>
      <c r="EP145" s="34"/>
      <c r="EQ145" s="35"/>
      <c r="ER145" s="36"/>
      <c r="ES145" s="37"/>
      <c r="ET145" s="30">
        <f t="shared" si="27"/>
        <v>0</v>
      </c>
      <c r="EU145" s="31" t="e">
        <f>ET145*#REF!</f>
        <v>#REF!</v>
      </c>
      <c r="EV145" s="32" t="e">
        <f>ET145*#REF!</f>
        <v>#REF!</v>
      </c>
      <c r="EX145" s="33"/>
      <c r="EY145" s="34"/>
      <c r="EZ145" s="35"/>
      <c r="FA145" s="36"/>
      <c r="FB145" s="37"/>
      <c r="FC145" s="30">
        <f t="shared" si="28"/>
        <v>0</v>
      </c>
      <c r="FD145" s="31" t="e">
        <f>FC145*#REF!</f>
        <v>#REF!</v>
      </c>
      <c r="FE145" s="32" t="e">
        <f>FC145*#REF!</f>
        <v>#REF!</v>
      </c>
      <c r="FG145" s="33"/>
      <c r="FH145" s="34"/>
      <c r="FI145" s="35"/>
      <c r="FJ145" s="36"/>
      <c r="FK145" s="37"/>
      <c r="FL145" s="30">
        <f t="shared" si="29"/>
        <v>0</v>
      </c>
      <c r="FM145" s="31" t="e">
        <f>FL145*#REF!</f>
        <v>#REF!</v>
      </c>
      <c r="FN145" s="32" t="e">
        <f>FL145*#REF!</f>
        <v>#REF!</v>
      </c>
      <c r="FP145" s="33"/>
      <c r="FQ145" s="34"/>
      <c r="FR145" s="35"/>
      <c r="FS145" s="36"/>
      <c r="FT145" s="37"/>
      <c r="FU145" s="30">
        <f t="shared" si="30"/>
        <v>0</v>
      </c>
      <c r="FV145" s="31" t="e">
        <f>FU145*#REF!</f>
        <v>#REF!</v>
      </c>
      <c r="FW145" s="32" t="e">
        <f>FU145*#REF!</f>
        <v>#REF!</v>
      </c>
      <c r="FY145" s="33"/>
      <c r="FZ145" s="34"/>
      <c r="GA145" s="35"/>
      <c r="GB145" s="36"/>
      <c r="GC145" s="37"/>
      <c r="GD145" s="30">
        <f t="shared" si="31"/>
        <v>0</v>
      </c>
      <c r="GE145" s="31" t="e">
        <f>GD145*#REF!</f>
        <v>#REF!</v>
      </c>
      <c r="GF145" s="32" t="e">
        <f>GD145*#REF!</f>
        <v>#REF!</v>
      </c>
      <c r="GH145" s="33"/>
      <c r="GI145" s="34"/>
      <c r="GJ145" s="35"/>
      <c r="GK145" s="36"/>
      <c r="GL145" s="37"/>
      <c r="GM145" s="30">
        <f t="shared" si="32"/>
        <v>0</v>
      </c>
      <c r="GN145" s="31" t="e">
        <f>GM145*#REF!</f>
        <v>#REF!</v>
      </c>
      <c r="GO145" s="32" t="e">
        <f>GM145*#REF!</f>
        <v>#REF!</v>
      </c>
      <c r="GQ145" s="38">
        <f>_xlfn.MAXIFS(I145:GO145,$I$5:$GO$5,"Staff #")</f>
        <v>0</v>
      </c>
      <c r="GR145" s="39">
        <v>0</v>
      </c>
    </row>
    <row r="146" spans="2:200" ht="15" x14ac:dyDescent="0.25">
      <c r="B146" s="22"/>
      <c r="C146" s="23"/>
      <c r="D146" s="24" t="str">
        <f>IF(C146="","",_xlfn.XLOOKUP(C146,'[3]Control Sheet'!$L$5:$L$104,'[3]Control Sheet'!$M$5:$M$104,"",0))</f>
        <v/>
      </c>
      <c r="E146" s="24" t="str">
        <f>IF(B146="","",_xlfn.XLOOKUP(B146,'[3]Control Sheet'!$D$5:$D$64,'[3]Control Sheet'!$F$5:$F$64,"",0))</f>
        <v/>
      </c>
      <c r="F146" s="24" t="str">
        <f>IF(B146="","",_xlfn.XLOOKUP(B146,'[3]Control Sheet'!$D$5:$D$64,'[3]Control Sheet'!$E$5:$E$64,"",0))</f>
        <v/>
      </c>
      <c r="I146" s="33"/>
      <c r="J146" s="34"/>
      <c r="K146" s="35"/>
      <c r="L146" s="36"/>
      <c r="M146" s="37"/>
      <c r="P146" s="33"/>
      <c r="Q146" s="34"/>
      <c r="R146" s="35"/>
      <c r="S146" s="36"/>
      <c r="T146" s="37"/>
      <c r="V146" s="33"/>
      <c r="W146" s="34"/>
      <c r="X146" s="35"/>
      <c r="Y146" s="36"/>
      <c r="Z146" s="37"/>
      <c r="AB146" s="33"/>
      <c r="AC146" s="34"/>
      <c r="AD146" s="35"/>
      <c r="AE146" s="36"/>
      <c r="AF146" s="37"/>
      <c r="AH146" s="33"/>
      <c r="AI146" s="34"/>
      <c r="AJ146" s="35"/>
      <c r="AK146" s="36"/>
      <c r="AL146" s="37"/>
      <c r="AN146" s="33"/>
      <c r="AO146" s="34"/>
      <c r="AP146" s="35"/>
      <c r="AQ146" s="36"/>
      <c r="AR146" s="37"/>
      <c r="AT146" s="33"/>
      <c r="AU146" s="34"/>
      <c r="AV146" s="35"/>
      <c r="AW146" s="36"/>
      <c r="AX146" s="37"/>
      <c r="AZ146" s="33"/>
      <c r="BA146" s="34"/>
      <c r="BB146" s="35"/>
      <c r="BC146" s="36"/>
      <c r="BD146" s="37"/>
      <c r="BF146" s="33"/>
      <c r="BG146" s="34"/>
      <c r="BH146" s="35"/>
      <c r="BI146" s="36"/>
      <c r="BJ146" s="37"/>
      <c r="BL146" s="33"/>
      <c r="BM146" s="34"/>
      <c r="BN146" s="35"/>
      <c r="BO146" s="36"/>
      <c r="BP146" s="37"/>
      <c r="BR146" s="33"/>
      <c r="BS146" s="34"/>
      <c r="BT146" s="35"/>
      <c r="BU146" s="36"/>
      <c r="BV146" s="37"/>
      <c r="BX146" s="33"/>
      <c r="BY146" s="34"/>
      <c r="BZ146" s="35"/>
      <c r="CA146" s="36"/>
      <c r="CB146" s="37"/>
      <c r="CD146" s="33"/>
      <c r="CE146" s="34"/>
      <c r="CF146" s="35"/>
      <c r="CG146" s="36"/>
      <c r="CH146" s="37"/>
      <c r="CJ146" s="33"/>
      <c r="CK146" s="34"/>
      <c r="CL146" s="35"/>
      <c r="CM146" s="36"/>
      <c r="CN146" s="37"/>
      <c r="CP146" s="33"/>
      <c r="CQ146" s="34"/>
      <c r="CR146" s="35"/>
      <c r="CS146" s="36"/>
      <c r="CT146" s="37"/>
      <c r="CV146" s="33"/>
      <c r="CW146" s="34"/>
      <c r="CX146" s="35"/>
      <c r="CY146" s="36"/>
      <c r="CZ146" s="37"/>
      <c r="DA146" s="30">
        <f t="shared" si="22"/>
        <v>0</v>
      </c>
      <c r="DB146" s="31" t="e">
        <f>DA146*#REF!</f>
        <v>#REF!</v>
      </c>
      <c r="DC146" s="32" t="e">
        <f>DA146*#REF!</f>
        <v>#REF!</v>
      </c>
      <c r="DE146" s="33"/>
      <c r="DF146" s="34"/>
      <c r="DG146" s="35"/>
      <c r="DH146" s="36"/>
      <c r="DI146" s="37"/>
      <c r="DJ146" s="30">
        <f t="shared" si="23"/>
        <v>0</v>
      </c>
      <c r="DK146" s="31" t="e">
        <f>DJ146*#REF!</f>
        <v>#REF!</v>
      </c>
      <c r="DL146" s="32" t="e">
        <f>DJ146*#REF!</f>
        <v>#REF!</v>
      </c>
      <c r="DN146" s="33"/>
      <c r="DO146" s="34"/>
      <c r="DP146" s="35"/>
      <c r="DQ146" s="36"/>
      <c r="DR146" s="37"/>
      <c r="DS146" s="30">
        <f t="shared" si="24"/>
        <v>0</v>
      </c>
      <c r="DT146" s="31" t="e">
        <f>DS146*#REF!</f>
        <v>#REF!</v>
      </c>
      <c r="DU146" s="32" t="e">
        <f>DS146*#REF!</f>
        <v>#REF!</v>
      </c>
      <c r="DW146" s="33"/>
      <c r="DX146" s="34"/>
      <c r="DY146" s="35"/>
      <c r="DZ146" s="36"/>
      <c r="EA146" s="37"/>
      <c r="EB146" s="30">
        <f t="shared" si="25"/>
        <v>0</v>
      </c>
      <c r="EC146" s="31" t="e">
        <f>EB146*#REF!</f>
        <v>#REF!</v>
      </c>
      <c r="ED146" s="32" t="e">
        <f>EB146*#REF!</f>
        <v>#REF!</v>
      </c>
      <c r="EF146" s="33"/>
      <c r="EG146" s="34"/>
      <c r="EH146" s="35"/>
      <c r="EI146" s="36"/>
      <c r="EJ146" s="37"/>
      <c r="EK146" s="30">
        <f t="shared" si="26"/>
        <v>0</v>
      </c>
      <c r="EL146" s="31" t="e">
        <f>EK146*#REF!</f>
        <v>#REF!</v>
      </c>
      <c r="EM146" s="32" t="e">
        <f>EK146*#REF!</f>
        <v>#REF!</v>
      </c>
      <c r="EO146" s="33"/>
      <c r="EP146" s="34"/>
      <c r="EQ146" s="35"/>
      <c r="ER146" s="36"/>
      <c r="ES146" s="37"/>
      <c r="ET146" s="30">
        <f t="shared" si="27"/>
        <v>0</v>
      </c>
      <c r="EU146" s="31" t="e">
        <f>ET146*#REF!</f>
        <v>#REF!</v>
      </c>
      <c r="EV146" s="32" t="e">
        <f>ET146*#REF!</f>
        <v>#REF!</v>
      </c>
      <c r="EX146" s="33"/>
      <c r="EY146" s="34"/>
      <c r="EZ146" s="35"/>
      <c r="FA146" s="36"/>
      <c r="FB146" s="37"/>
      <c r="FC146" s="30">
        <f t="shared" si="28"/>
        <v>0</v>
      </c>
      <c r="FD146" s="31" t="e">
        <f>FC146*#REF!</f>
        <v>#REF!</v>
      </c>
      <c r="FE146" s="32" t="e">
        <f>FC146*#REF!</f>
        <v>#REF!</v>
      </c>
      <c r="FG146" s="33"/>
      <c r="FH146" s="34"/>
      <c r="FI146" s="35"/>
      <c r="FJ146" s="36"/>
      <c r="FK146" s="37"/>
      <c r="FL146" s="30">
        <f t="shared" si="29"/>
        <v>0</v>
      </c>
      <c r="FM146" s="31" t="e">
        <f>FL146*#REF!</f>
        <v>#REF!</v>
      </c>
      <c r="FN146" s="32" t="e">
        <f>FL146*#REF!</f>
        <v>#REF!</v>
      </c>
      <c r="FP146" s="33"/>
      <c r="FQ146" s="34"/>
      <c r="FR146" s="35"/>
      <c r="FS146" s="36"/>
      <c r="FT146" s="37"/>
      <c r="FU146" s="30">
        <f t="shared" si="30"/>
        <v>0</v>
      </c>
      <c r="FV146" s="31" t="e">
        <f>FU146*#REF!</f>
        <v>#REF!</v>
      </c>
      <c r="FW146" s="32" t="e">
        <f>FU146*#REF!</f>
        <v>#REF!</v>
      </c>
      <c r="FY146" s="33"/>
      <c r="FZ146" s="34"/>
      <c r="GA146" s="35"/>
      <c r="GB146" s="36"/>
      <c r="GC146" s="37"/>
      <c r="GD146" s="30">
        <f t="shared" si="31"/>
        <v>0</v>
      </c>
      <c r="GE146" s="31" t="e">
        <f>GD146*#REF!</f>
        <v>#REF!</v>
      </c>
      <c r="GF146" s="32" t="e">
        <f>GD146*#REF!</f>
        <v>#REF!</v>
      </c>
      <c r="GH146" s="33"/>
      <c r="GI146" s="34"/>
      <c r="GJ146" s="35"/>
      <c r="GK146" s="36"/>
      <c r="GL146" s="37"/>
      <c r="GM146" s="30">
        <f t="shared" si="32"/>
        <v>0</v>
      </c>
      <c r="GN146" s="31" t="e">
        <f>GM146*#REF!</f>
        <v>#REF!</v>
      </c>
      <c r="GO146" s="32" t="e">
        <f>GM146*#REF!</f>
        <v>#REF!</v>
      </c>
      <c r="GQ146" s="38">
        <f>_xlfn.MAXIFS(I146:GO146,$I$5:$GO$5,"Staff #")</f>
        <v>0</v>
      </c>
      <c r="GR146" s="39">
        <v>0</v>
      </c>
    </row>
    <row r="147" spans="2:200" ht="15" x14ac:dyDescent="0.25">
      <c r="B147" s="22"/>
      <c r="C147" s="23"/>
      <c r="D147" s="24" t="str">
        <f>IF(C147="","",_xlfn.XLOOKUP(C147,'[3]Control Sheet'!$L$5:$L$104,'[3]Control Sheet'!$M$5:$M$104,"",0))</f>
        <v/>
      </c>
      <c r="E147" s="24" t="str">
        <f>IF(B147="","",_xlfn.XLOOKUP(B147,'[3]Control Sheet'!$D$5:$D$64,'[3]Control Sheet'!$F$5:$F$64,"",0))</f>
        <v/>
      </c>
      <c r="F147" s="24" t="str">
        <f>IF(B147="","",_xlfn.XLOOKUP(B147,'[3]Control Sheet'!$D$5:$D$64,'[3]Control Sheet'!$E$5:$E$64,"",0))</f>
        <v/>
      </c>
      <c r="I147" s="33"/>
      <c r="J147" s="34"/>
      <c r="K147" s="35"/>
      <c r="L147" s="36"/>
      <c r="M147" s="37"/>
      <c r="P147" s="33"/>
      <c r="Q147" s="34"/>
      <c r="R147" s="35"/>
      <c r="S147" s="36"/>
      <c r="T147" s="37"/>
      <c r="V147" s="33"/>
      <c r="W147" s="34"/>
      <c r="X147" s="35"/>
      <c r="Y147" s="36"/>
      <c r="Z147" s="37"/>
      <c r="AB147" s="33"/>
      <c r="AC147" s="34"/>
      <c r="AD147" s="35"/>
      <c r="AE147" s="36"/>
      <c r="AF147" s="37"/>
      <c r="AH147" s="33"/>
      <c r="AI147" s="34"/>
      <c r="AJ147" s="35"/>
      <c r="AK147" s="36"/>
      <c r="AL147" s="37"/>
      <c r="AN147" s="33"/>
      <c r="AO147" s="34"/>
      <c r="AP147" s="35"/>
      <c r="AQ147" s="36"/>
      <c r="AR147" s="37"/>
      <c r="AT147" s="33"/>
      <c r="AU147" s="34"/>
      <c r="AV147" s="35"/>
      <c r="AW147" s="36"/>
      <c r="AX147" s="37"/>
      <c r="AZ147" s="33"/>
      <c r="BA147" s="34"/>
      <c r="BB147" s="35"/>
      <c r="BC147" s="36"/>
      <c r="BD147" s="37"/>
      <c r="BF147" s="33"/>
      <c r="BG147" s="34"/>
      <c r="BH147" s="35"/>
      <c r="BI147" s="36"/>
      <c r="BJ147" s="37"/>
      <c r="BL147" s="33"/>
      <c r="BM147" s="34"/>
      <c r="BN147" s="35"/>
      <c r="BO147" s="36"/>
      <c r="BP147" s="37"/>
      <c r="BR147" s="33"/>
      <c r="BS147" s="34"/>
      <c r="BT147" s="35"/>
      <c r="BU147" s="36"/>
      <c r="BV147" s="37"/>
      <c r="BX147" s="33"/>
      <c r="BY147" s="34"/>
      <c r="BZ147" s="35"/>
      <c r="CA147" s="36"/>
      <c r="CB147" s="37"/>
      <c r="CD147" s="33"/>
      <c r="CE147" s="34"/>
      <c r="CF147" s="35"/>
      <c r="CG147" s="36"/>
      <c r="CH147" s="37"/>
      <c r="CJ147" s="33"/>
      <c r="CK147" s="34"/>
      <c r="CL147" s="35"/>
      <c r="CM147" s="36"/>
      <c r="CN147" s="37"/>
      <c r="CP147" s="33"/>
      <c r="CQ147" s="34"/>
      <c r="CR147" s="35"/>
      <c r="CS147" s="36"/>
      <c r="CT147" s="37"/>
      <c r="CV147" s="33"/>
      <c r="CW147" s="34"/>
      <c r="CX147" s="35"/>
      <c r="CY147" s="36"/>
      <c r="CZ147" s="37"/>
      <c r="DA147" s="30">
        <f t="shared" si="22"/>
        <v>0</v>
      </c>
      <c r="DB147" s="31" t="e">
        <f>DA147*#REF!</f>
        <v>#REF!</v>
      </c>
      <c r="DC147" s="32" t="e">
        <f>DA147*#REF!</f>
        <v>#REF!</v>
      </c>
      <c r="DE147" s="33"/>
      <c r="DF147" s="34"/>
      <c r="DG147" s="35"/>
      <c r="DH147" s="36"/>
      <c r="DI147" s="37"/>
      <c r="DJ147" s="30">
        <f t="shared" si="23"/>
        <v>0</v>
      </c>
      <c r="DK147" s="31" t="e">
        <f>DJ147*#REF!</f>
        <v>#REF!</v>
      </c>
      <c r="DL147" s="32" t="e">
        <f>DJ147*#REF!</f>
        <v>#REF!</v>
      </c>
      <c r="DN147" s="33"/>
      <c r="DO147" s="34"/>
      <c r="DP147" s="35"/>
      <c r="DQ147" s="36"/>
      <c r="DR147" s="37"/>
      <c r="DS147" s="30">
        <f t="shared" si="24"/>
        <v>0</v>
      </c>
      <c r="DT147" s="31" t="e">
        <f>DS147*#REF!</f>
        <v>#REF!</v>
      </c>
      <c r="DU147" s="32" t="e">
        <f>DS147*#REF!</f>
        <v>#REF!</v>
      </c>
      <c r="DW147" s="33"/>
      <c r="DX147" s="34"/>
      <c r="DY147" s="35"/>
      <c r="DZ147" s="36"/>
      <c r="EA147" s="37"/>
      <c r="EB147" s="30">
        <f t="shared" si="25"/>
        <v>0</v>
      </c>
      <c r="EC147" s="31" t="e">
        <f>EB147*#REF!</f>
        <v>#REF!</v>
      </c>
      <c r="ED147" s="32" t="e">
        <f>EB147*#REF!</f>
        <v>#REF!</v>
      </c>
      <c r="EF147" s="33"/>
      <c r="EG147" s="34"/>
      <c r="EH147" s="35"/>
      <c r="EI147" s="36"/>
      <c r="EJ147" s="37"/>
      <c r="EK147" s="30">
        <f t="shared" si="26"/>
        <v>0</v>
      </c>
      <c r="EL147" s="31" t="e">
        <f>EK147*#REF!</f>
        <v>#REF!</v>
      </c>
      <c r="EM147" s="32" t="e">
        <f>EK147*#REF!</f>
        <v>#REF!</v>
      </c>
      <c r="EO147" s="33"/>
      <c r="EP147" s="34"/>
      <c r="EQ147" s="35"/>
      <c r="ER147" s="36"/>
      <c r="ES147" s="37"/>
      <c r="ET147" s="30">
        <f t="shared" si="27"/>
        <v>0</v>
      </c>
      <c r="EU147" s="31" t="e">
        <f>ET147*#REF!</f>
        <v>#REF!</v>
      </c>
      <c r="EV147" s="32" t="e">
        <f>ET147*#REF!</f>
        <v>#REF!</v>
      </c>
      <c r="EX147" s="33"/>
      <c r="EY147" s="34"/>
      <c r="EZ147" s="35"/>
      <c r="FA147" s="36"/>
      <c r="FB147" s="37"/>
      <c r="FC147" s="30">
        <f t="shared" si="28"/>
        <v>0</v>
      </c>
      <c r="FD147" s="31" t="e">
        <f>FC147*#REF!</f>
        <v>#REF!</v>
      </c>
      <c r="FE147" s="32" t="e">
        <f>FC147*#REF!</f>
        <v>#REF!</v>
      </c>
      <c r="FG147" s="33"/>
      <c r="FH147" s="34"/>
      <c r="FI147" s="35"/>
      <c r="FJ147" s="36"/>
      <c r="FK147" s="37"/>
      <c r="FL147" s="30">
        <f t="shared" si="29"/>
        <v>0</v>
      </c>
      <c r="FM147" s="31" t="e">
        <f>FL147*#REF!</f>
        <v>#REF!</v>
      </c>
      <c r="FN147" s="32" t="e">
        <f>FL147*#REF!</f>
        <v>#REF!</v>
      </c>
      <c r="FP147" s="33"/>
      <c r="FQ147" s="34"/>
      <c r="FR147" s="35"/>
      <c r="FS147" s="36"/>
      <c r="FT147" s="37"/>
      <c r="FU147" s="30">
        <f t="shared" si="30"/>
        <v>0</v>
      </c>
      <c r="FV147" s="31" t="e">
        <f>FU147*#REF!</f>
        <v>#REF!</v>
      </c>
      <c r="FW147" s="32" t="e">
        <f>FU147*#REF!</f>
        <v>#REF!</v>
      </c>
      <c r="FY147" s="33"/>
      <c r="FZ147" s="34"/>
      <c r="GA147" s="35"/>
      <c r="GB147" s="36"/>
      <c r="GC147" s="37"/>
      <c r="GD147" s="30">
        <f t="shared" si="31"/>
        <v>0</v>
      </c>
      <c r="GE147" s="31" t="e">
        <f>GD147*#REF!</f>
        <v>#REF!</v>
      </c>
      <c r="GF147" s="32" t="e">
        <f>GD147*#REF!</f>
        <v>#REF!</v>
      </c>
      <c r="GH147" s="33"/>
      <c r="GI147" s="34"/>
      <c r="GJ147" s="35"/>
      <c r="GK147" s="36"/>
      <c r="GL147" s="37"/>
      <c r="GM147" s="30">
        <f t="shared" si="32"/>
        <v>0</v>
      </c>
      <c r="GN147" s="31" t="e">
        <f>GM147*#REF!</f>
        <v>#REF!</v>
      </c>
      <c r="GO147" s="32" t="e">
        <f>GM147*#REF!</f>
        <v>#REF!</v>
      </c>
      <c r="GQ147" s="38">
        <f>_xlfn.MAXIFS(I147:GO147,$I$5:$GO$5,"Staff #")</f>
        <v>0</v>
      </c>
      <c r="GR147" s="39">
        <v>0</v>
      </c>
    </row>
    <row r="148" spans="2:200" ht="15" x14ac:dyDescent="0.25">
      <c r="B148" s="22"/>
      <c r="C148" s="23"/>
      <c r="D148" s="24" t="str">
        <f>IF(C148="","",_xlfn.XLOOKUP(C148,'[3]Control Sheet'!$L$5:$L$104,'[3]Control Sheet'!$M$5:$M$104,"",0))</f>
        <v/>
      </c>
      <c r="E148" s="24" t="str">
        <f>IF(B148="","",_xlfn.XLOOKUP(B148,'[3]Control Sheet'!$D$5:$D$64,'[3]Control Sheet'!$F$5:$F$64,"",0))</f>
        <v/>
      </c>
      <c r="F148" s="24" t="str">
        <f>IF(B148="","",_xlfn.XLOOKUP(B148,'[3]Control Sheet'!$D$5:$D$64,'[3]Control Sheet'!$E$5:$E$64,"",0))</f>
        <v/>
      </c>
      <c r="I148" s="33"/>
      <c r="J148" s="34"/>
      <c r="K148" s="35"/>
      <c r="L148" s="36"/>
      <c r="M148" s="37"/>
      <c r="P148" s="33"/>
      <c r="Q148" s="34"/>
      <c r="R148" s="35"/>
      <c r="S148" s="36"/>
      <c r="T148" s="37"/>
      <c r="V148" s="33"/>
      <c r="W148" s="34"/>
      <c r="X148" s="35"/>
      <c r="Y148" s="36"/>
      <c r="Z148" s="37"/>
      <c r="AB148" s="33"/>
      <c r="AC148" s="34"/>
      <c r="AD148" s="35"/>
      <c r="AE148" s="36"/>
      <c r="AF148" s="37"/>
      <c r="AH148" s="33"/>
      <c r="AI148" s="34"/>
      <c r="AJ148" s="35"/>
      <c r="AK148" s="36"/>
      <c r="AL148" s="37"/>
      <c r="AN148" s="33"/>
      <c r="AO148" s="34"/>
      <c r="AP148" s="35"/>
      <c r="AQ148" s="36"/>
      <c r="AR148" s="37"/>
      <c r="AT148" s="33"/>
      <c r="AU148" s="34"/>
      <c r="AV148" s="35"/>
      <c r="AW148" s="36"/>
      <c r="AX148" s="37"/>
      <c r="AZ148" s="33"/>
      <c r="BA148" s="34"/>
      <c r="BB148" s="35"/>
      <c r="BC148" s="36"/>
      <c r="BD148" s="37"/>
      <c r="BF148" s="33"/>
      <c r="BG148" s="34"/>
      <c r="BH148" s="35"/>
      <c r="BI148" s="36"/>
      <c r="BJ148" s="37"/>
      <c r="BL148" s="33"/>
      <c r="BM148" s="34"/>
      <c r="BN148" s="35"/>
      <c r="BO148" s="36"/>
      <c r="BP148" s="37"/>
      <c r="BR148" s="33"/>
      <c r="BS148" s="34"/>
      <c r="BT148" s="35"/>
      <c r="BU148" s="36"/>
      <c r="BV148" s="37"/>
      <c r="BX148" s="33"/>
      <c r="BY148" s="34"/>
      <c r="BZ148" s="35"/>
      <c r="CA148" s="36"/>
      <c r="CB148" s="37"/>
      <c r="CD148" s="33"/>
      <c r="CE148" s="34"/>
      <c r="CF148" s="35"/>
      <c r="CG148" s="36"/>
      <c r="CH148" s="37"/>
      <c r="CJ148" s="33"/>
      <c r="CK148" s="34"/>
      <c r="CL148" s="35"/>
      <c r="CM148" s="36"/>
      <c r="CN148" s="37"/>
      <c r="CP148" s="33"/>
      <c r="CQ148" s="34"/>
      <c r="CR148" s="35"/>
      <c r="CS148" s="36"/>
      <c r="CT148" s="37"/>
      <c r="CV148" s="33"/>
      <c r="CW148" s="34"/>
      <c r="CX148" s="35"/>
      <c r="CY148" s="36"/>
      <c r="CZ148" s="37"/>
      <c r="DA148" s="30">
        <f t="shared" si="22"/>
        <v>0</v>
      </c>
      <c r="DB148" s="31" t="e">
        <f>DA148*#REF!</f>
        <v>#REF!</v>
      </c>
      <c r="DC148" s="32" t="e">
        <f>DA148*#REF!</f>
        <v>#REF!</v>
      </c>
      <c r="DE148" s="33"/>
      <c r="DF148" s="34"/>
      <c r="DG148" s="35"/>
      <c r="DH148" s="36"/>
      <c r="DI148" s="37"/>
      <c r="DJ148" s="30">
        <f t="shared" si="23"/>
        <v>0</v>
      </c>
      <c r="DK148" s="31" t="e">
        <f>DJ148*#REF!</f>
        <v>#REF!</v>
      </c>
      <c r="DL148" s="32" t="e">
        <f>DJ148*#REF!</f>
        <v>#REF!</v>
      </c>
      <c r="DN148" s="33"/>
      <c r="DO148" s="34"/>
      <c r="DP148" s="35"/>
      <c r="DQ148" s="36"/>
      <c r="DR148" s="37"/>
      <c r="DS148" s="30">
        <f t="shared" si="24"/>
        <v>0</v>
      </c>
      <c r="DT148" s="31" t="e">
        <f>DS148*#REF!</f>
        <v>#REF!</v>
      </c>
      <c r="DU148" s="32" t="e">
        <f>DS148*#REF!</f>
        <v>#REF!</v>
      </c>
      <c r="DW148" s="33"/>
      <c r="DX148" s="34"/>
      <c r="DY148" s="35"/>
      <c r="DZ148" s="36"/>
      <c r="EA148" s="37"/>
      <c r="EB148" s="30">
        <f t="shared" si="25"/>
        <v>0</v>
      </c>
      <c r="EC148" s="31" t="e">
        <f>EB148*#REF!</f>
        <v>#REF!</v>
      </c>
      <c r="ED148" s="32" t="e">
        <f>EB148*#REF!</f>
        <v>#REF!</v>
      </c>
      <c r="EF148" s="33"/>
      <c r="EG148" s="34"/>
      <c r="EH148" s="35"/>
      <c r="EI148" s="36"/>
      <c r="EJ148" s="37"/>
      <c r="EK148" s="30">
        <f t="shared" si="26"/>
        <v>0</v>
      </c>
      <c r="EL148" s="31" t="e">
        <f>EK148*#REF!</f>
        <v>#REF!</v>
      </c>
      <c r="EM148" s="32" t="e">
        <f>EK148*#REF!</f>
        <v>#REF!</v>
      </c>
      <c r="EO148" s="33"/>
      <c r="EP148" s="34"/>
      <c r="EQ148" s="35"/>
      <c r="ER148" s="36"/>
      <c r="ES148" s="37"/>
      <c r="ET148" s="30">
        <f t="shared" si="27"/>
        <v>0</v>
      </c>
      <c r="EU148" s="31" t="e">
        <f>ET148*#REF!</f>
        <v>#REF!</v>
      </c>
      <c r="EV148" s="32" t="e">
        <f>ET148*#REF!</f>
        <v>#REF!</v>
      </c>
      <c r="EX148" s="33"/>
      <c r="EY148" s="34"/>
      <c r="EZ148" s="35"/>
      <c r="FA148" s="36"/>
      <c r="FB148" s="37"/>
      <c r="FC148" s="30">
        <f t="shared" si="28"/>
        <v>0</v>
      </c>
      <c r="FD148" s="31" t="e">
        <f>FC148*#REF!</f>
        <v>#REF!</v>
      </c>
      <c r="FE148" s="32" t="e">
        <f>FC148*#REF!</f>
        <v>#REF!</v>
      </c>
      <c r="FG148" s="33"/>
      <c r="FH148" s="34"/>
      <c r="FI148" s="35"/>
      <c r="FJ148" s="36"/>
      <c r="FK148" s="37"/>
      <c r="FL148" s="30">
        <f t="shared" si="29"/>
        <v>0</v>
      </c>
      <c r="FM148" s="31" t="e">
        <f>FL148*#REF!</f>
        <v>#REF!</v>
      </c>
      <c r="FN148" s="32" t="e">
        <f>FL148*#REF!</f>
        <v>#REF!</v>
      </c>
      <c r="FP148" s="33"/>
      <c r="FQ148" s="34"/>
      <c r="FR148" s="35"/>
      <c r="FS148" s="36"/>
      <c r="FT148" s="37"/>
      <c r="FU148" s="30">
        <f t="shared" si="30"/>
        <v>0</v>
      </c>
      <c r="FV148" s="31" t="e">
        <f>FU148*#REF!</f>
        <v>#REF!</v>
      </c>
      <c r="FW148" s="32" t="e">
        <f>FU148*#REF!</f>
        <v>#REF!</v>
      </c>
      <c r="FY148" s="33"/>
      <c r="FZ148" s="34"/>
      <c r="GA148" s="35"/>
      <c r="GB148" s="36"/>
      <c r="GC148" s="37"/>
      <c r="GD148" s="30">
        <f t="shared" si="31"/>
        <v>0</v>
      </c>
      <c r="GE148" s="31" t="e">
        <f>GD148*#REF!</f>
        <v>#REF!</v>
      </c>
      <c r="GF148" s="32" t="e">
        <f>GD148*#REF!</f>
        <v>#REF!</v>
      </c>
      <c r="GH148" s="33"/>
      <c r="GI148" s="34"/>
      <c r="GJ148" s="35"/>
      <c r="GK148" s="36"/>
      <c r="GL148" s="37"/>
      <c r="GM148" s="30">
        <f t="shared" si="32"/>
        <v>0</v>
      </c>
      <c r="GN148" s="31" t="e">
        <f>GM148*#REF!</f>
        <v>#REF!</v>
      </c>
      <c r="GO148" s="32" t="e">
        <f>GM148*#REF!</f>
        <v>#REF!</v>
      </c>
      <c r="GQ148" s="38">
        <f>_xlfn.MAXIFS(I148:GO148,$I$5:$GO$5,"Staff #")</f>
        <v>0</v>
      </c>
      <c r="GR148" s="39">
        <v>0</v>
      </c>
    </row>
    <row r="149" spans="2:200" ht="15" x14ac:dyDescent="0.25">
      <c r="B149" s="22"/>
      <c r="C149" s="23"/>
      <c r="D149" s="24" t="str">
        <f>IF(C149="","",_xlfn.XLOOKUP(C149,'[3]Control Sheet'!$L$5:$L$104,'[3]Control Sheet'!$M$5:$M$104,"",0))</f>
        <v/>
      </c>
      <c r="E149" s="24" t="str">
        <f>IF(B149="","",_xlfn.XLOOKUP(B149,'[3]Control Sheet'!$D$5:$D$64,'[3]Control Sheet'!$F$5:$F$64,"",0))</f>
        <v/>
      </c>
      <c r="F149" s="24" t="str">
        <f>IF(B149="","",_xlfn.XLOOKUP(B149,'[3]Control Sheet'!$D$5:$D$64,'[3]Control Sheet'!$E$5:$E$64,"",0))</f>
        <v/>
      </c>
      <c r="I149" s="33"/>
      <c r="J149" s="34"/>
      <c r="K149" s="35"/>
      <c r="L149" s="36"/>
      <c r="M149" s="37"/>
      <c r="P149" s="33"/>
      <c r="Q149" s="34"/>
      <c r="R149" s="35"/>
      <c r="S149" s="36"/>
      <c r="T149" s="37"/>
      <c r="V149" s="33"/>
      <c r="W149" s="34"/>
      <c r="X149" s="35"/>
      <c r="Y149" s="36"/>
      <c r="Z149" s="37"/>
      <c r="AB149" s="33"/>
      <c r="AC149" s="34"/>
      <c r="AD149" s="35"/>
      <c r="AE149" s="36"/>
      <c r="AF149" s="37"/>
      <c r="AH149" s="33"/>
      <c r="AI149" s="34"/>
      <c r="AJ149" s="35"/>
      <c r="AK149" s="36"/>
      <c r="AL149" s="37"/>
      <c r="AN149" s="33"/>
      <c r="AO149" s="34"/>
      <c r="AP149" s="35"/>
      <c r="AQ149" s="36"/>
      <c r="AR149" s="37"/>
      <c r="AT149" s="33"/>
      <c r="AU149" s="34"/>
      <c r="AV149" s="35"/>
      <c r="AW149" s="36"/>
      <c r="AX149" s="37"/>
      <c r="AZ149" s="33"/>
      <c r="BA149" s="34"/>
      <c r="BB149" s="35"/>
      <c r="BC149" s="36"/>
      <c r="BD149" s="37"/>
      <c r="BF149" s="33"/>
      <c r="BG149" s="34"/>
      <c r="BH149" s="35"/>
      <c r="BI149" s="36"/>
      <c r="BJ149" s="37"/>
      <c r="BL149" s="33"/>
      <c r="BM149" s="34"/>
      <c r="BN149" s="35"/>
      <c r="BO149" s="36"/>
      <c r="BP149" s="37"/>
      <c r="BR149" s="33"/>
      <c r="BS149" s="34"/>
      <c r="BT149" s="35"/>
      <c r="BU149" s="36"/>
      <c r="BV149" s="37"/>
      <c r="BX149" s="33"/>
      <c r="BY149" s="34"/>
      <c r="BZ149" s="35"/>
      <c r="CA149" s="36"/>
      <c r="CB149" s="37"/>
      <c r="CD149" s="33"/>
      <c r="CE149" s="34"/>
      <c r="CF149" s="35"/>
      <c r="CG149" s="36"/>
      <c r="CH149" s="37"/>
      <c r="CJ149" s="33"/>
      <c r="CK149" s="34"/>
      <c r="CL149" s="35"/>
      <c r="CM149" s="36"/>
      <c r="CN149" s="37"/>
      <c r="CP149" s="33"/>
      <c r="CQ149" s="34"/>
      <c r="CR149" s="35"/>
      <c r="CS149" s="36"/>
      <c r="CT149" s="37"/>
      <c r="CV149" s="33"/>
      <c r="CW149" s="34"/>
      <c r="CX149" s="35"/>
      <c r="CY149" s="36"/>
      <c r="CZ149" s="37"/>
      <c r="DA149" s="30">
        <f t="shared" si="22"/>
        <v>0</v>
      </c>
      <c r="DB149" s="31" t="e">
        <f>DA149*#REF!</f>
        <v>#REF!</v>
      </c>
      <c r="DC149" s="32" t="e">
        <f>DA149*#REF!</f>
        <v>#REF!</v>
      </c>
      <c r="DE149" s="33"/>
      <c r="DF149" s="34"/>
      <c r="DG149" s="35"/>
      <c r="DH149" s="36"/>
      <c r="DI149" s="37"/>
      <c r="DJ149" s="30">
        <f t="shared" si="23"/>
        <v>0</v>
      </c>
      <c r="DK149" s="31" t="e">
        <f>DJ149*#REF!</f>
        <v>#REF!</v>
      </c>
      <c r="DL149" s="32" t="e">
        <f>DJ149*#REF!</f>
        <v>#REF!</v>
      </c>
      <c r="DN149" s="33"/>
      <c r="DO149" s="34"/>
      <c r="DP149" s="35"/>
      <c r="DQ149" s="36"/>
      <c r="DR149" s="37"/>
      <c r="DS149" s="30">
        <f t="shared" si="24"/>
        <v>0</v>
      </c>
      <c r="DT149" s="31" t="e">
        <f>DS149*#REF!</f>
        <v>#REF!</v>
      </c>
      <c r="DU149" s="32" t="e">
        <f>DS149*#REF!</f>
        <v>#REF!</v>
      </c>
      <c r="DW149" s="33"/>
      <c r="DX149" s="34"/>
      <c r="DY149" s="35"/>
      <c r="DZ149" s="36"/>
      <c r="EA149" s="37"/>
      <c r="EB149" s="30">
        <f t="shared" si="25"/>
        <v>0</v>
      </c>
      <c r="EC149" s="31" t="e">
        <f>EB149*#REF!</f>
        <v>#REF!</v>
      </c>
      <c r="ED149" s="32" t="e">
        <f>EB149*#REF!</f>
        <v>#REF!</v>
      </c>
      <c r="EF149" s="33"/>
      <c r="EG149" s="34"/>
      <c r="EH149" s="35"/>
      <c r="EI149" s="36"/>
      <c r="EJ149" s="37"/>
      <c r="EK149" s="30">
        <f t="shared" si="26"/>
        <v>0</v>
      </c>
      <c r="EL149" s="31" t="e">
        <f>EK149*#REF!</f>
        <v>#REF!</v>
      </c>
      <c r="EM149" s="32" t="e">
        <f>EK149*#REF!</f>
        <v>#REF!</v>
      </c>
      <c r="EO149" s="33"/>
      <c r="EP149" s="34"/>
      <c r="EQ149" s="35"/>
      <c r="ER149" s="36"/>
      <c r="ES149" s="37"/>
      <c r="ET149" s="30">
        <f t="shared" si="27"/>
        <v>0</v>
      </c>
      <c r="EU149" s="31" t="e">
        <f>ET149*#REF!</f>
        <v>#REF!</v>
      </c>
      <c r="EV149" s="32" t="e">
        <f>ET149*#REF!</f>
        <v>#REF!</v>
      </c>
      <c r="EX149" s="33"/>
      <c r="EY149" s="34"/>
      <c r="EZ149" s="35"/>
      <c r="FA149" s="36"/>
      <c r="FB149" s="37"/>
      <c r="FC149" s="30">
        <f t="shared" si="28"/>
        <v>0</v>
      </c>
      <c r="FD149" s="31" t="e">
        <f>FC149*#REF!</f>
        <v>#REF!</v>
      </c>
      <c r="FE149" s="32" t="e">
        <f>FC149*#REF!</f>
        <v>#REF!</v>
      </c>
      <c r="FG149" s="33"/>
      <c r="FH149" s="34"/>
      <c r="FI149" s="35"/>
      <c r="FJ149" s="36"/>
      <c r="FK149" s="37"/>
      <c r="FL149" s="30">
        <f t="shared" si="29"/>
        <v>0</v>
      </c>
      <c r="FM149" s="31" t="e">
        <f>FL149*#REF!</f>
        <v>#REF!</v>
      </c>
      <c r="FN149" s="32" t="e">
        <f>FL149*#REF!</f>
        <v>#REF!</v>
      </c>
      <c r="FP149" s="33"/>
      <c r="FQ149" s="34"/>
      <c r="FR149" s="35"/>
      <c r="FS149" s="36"/>
      <c r="FT149" s="37"/>
      <c r="FU149" s="30">
        <f t="shared" si="30"/>
        <v>0</v>
      </c>
      <c r="FV149" s="31" t="e">
        <f>FU149*#REF!</f>
        <v>#REF!</v>
      </c>
      <c r="FW149" s="32" t="e">
        <f>FU149*#REF!</f>
        <v>#REF!</v>
      </c>
      <c r="FY149" s="33"/>
      <c r="FZ149" s="34"/>
      <c r="GA149" s="35"/>
      <c r="GB149" s="36"/>
      <c r="GC149" s="37"/>
      <c r="GD149" s="30">
        <f t="shared" si="31"/>
        <v>0</v>
      </c>
      <c r="GE149" s="31" t="e">
        <f>GD149*#REF!</f>
        <v>#REF!</v>
      </c>
      <c r="GF149" s="32" t="e">
        <f>GD149*#REF!</f>
        <v>#REF!</v>
      </c>
      <c r="GH149" s="33"/>
      <c r="GI149" s="34"/>
      <c r="GJ149" s="35"/>
      <c r="GK149" s="36"/>
      <c r="GL149" s="37"/>
      <c r="GM149" s="30">
        <f t="shared" si="32"/>
        <v>0</v>
      </c>
      <c r="GN149" s="31" t="e">
        <f>GM149*#REF!</f>
        <v>#REF!</v>
      </c>
      <c r="GO149" s="32" t="e">
        <f>GM149*#REF!</f>
        <v>#REF!</v>
      </c>
      <c r="GQ149" s="38">
        <f>_xlfn.MAXIFS(I149:GO149,$I$5:$GO$5,"Staff #")</f>
        <v>0</v>
      </c>
      <c r="GR149" s="39">
        <v>0</v>
      </c>
    </row>
    <row r="150" spans="2:200" ht="15" x14ac:dyDescent="0.25">
      <c r="B150" s="22"/>
      <c r="C150" s="23"/>
      <c r="D150" s="24" t="str">
        <f>IF(C150="","",_xlfn.XLOOKUP(C150,'[3]Control Sheet'!$L$5:$L$104,'[3]Control Sheet'!$M$5:$M$104,"",0))</f>
        <v/>
      </c>
      <c r="E150" s="24" t="str">
        <f>IF(B150="","",_xlfn.XLOOKUP(B150,'[3]Control Sheet'!$D$5:$D$64,'[3]Control Sheet'!$F$5:$F$64,"",0))</f>
        <v/>
      </c>
      <c r="F150" s="24" t="str">
        <f>IF(B150="","",_xlfn.XLOOKUP(B150,'[3]Control Sheet'!$D$5:$D$64,'[3]Control Sheet'!$E$5:$E$64,"",0))</f>
        <v/>
      </c>
      <c r="I150" s="33"/>
      <c r="J150" s="34"/>
      <c r="K150" s="35"/>
      <c r="L150" s="36"/>
      <c r="M150" s="37"/>
      <c r="P150" s="33"/>
      <c r="Q150" s="34"/>
      <c r="R150" s="35"/>
      <c r="S150" s="36"/>
      <c r="T150" s="37"/>
      <c r="V150" s="33"/>
      <c r="W150" s="34"/>
      <c r="X150" s="35"/>
      <c r="Y150" s="36"/>
      <c r="Z150" s="37"/>
      <c r="AB150" s="33"/>
      <c r="AC150" s="34"/>
      <c r="AD150" s="35"/>
      <c r="AE150" s="36"/>
      <c r="AF150" s="37"/>
      <c r="AH150" s="33"/>
      <c r="AI150" s="34"/>
      <c r="AJ150" s="35"/>
      <c r="AK150" s="36"/>
      <c r="AL150" s="37"/>
      <c r="AN150" s="33"/>
      <c r="AO150" s="34"/>
      <c r="AP150" s="35"/>
      <c r="AQ150" s="36"/>
      <c r="AR150" s="37"/>
      <c r="AT150" s="33"/>
      <c r="AU150" s="34"/>
      <c r="AV150" s="35"/>
      <c r="AW150" s="36"/>
      <c r="AX150" s="37"/>
      <c r="AZ150" s="33"/>
      <c r="BA150" s="34"/>
      <c r="BB150" s="35"/>
      <c r="BC150" s="36"/>
      <c r="BD150" s="37"/>
      <c r="BF150" s="33"/>
      <c r="BG150" s="34"/>
      <c r="BH150" s="35"/>
      <c r="BI150" s="36"/>
      <c r="BJ150" s="37"/>
      <c r="BL150" s="33"/>
      <c r="BM150" s="34"/>
      <c r="BN150" s="35"/>
      <c r="BO150" s="36"/>
      <c r="BP150" s="37"/>
      <c r="BR150" s="33"/>
      <c r="BS150" s="34"/>
      <c r="BT150" s="35"/>
      <c r="BU150" s="36"/>
      <c r="BV150" s="37"/>
      <c r="BX150" s="33"/>
      <c r="BY150" s="34"/>
      <c r="BZ150" s="35"/>
      <c r="CA150" s="36"/>
      <c r="CB150" s="37"/>
      <c r="CD150" s="33"/>
      <c r="CE150" s="34"/>
      <c r="CF150" s="35"/>
      <c r="CG150" s="36"/>
      <c r="CH150" s="37"/>
      <c r="CJ150" s="33"/>
      <c r="CK150" s="34"/>
      <c r="CL150" s="35"/>
      <c r="CM150" s="36"/>
      <c r="CN150" s="37"/>
      <c r="CP150" s="33"/>
      <c r="CQ150" s="34"/>
      <c r="CR150" s="35"/>
      <c r="CS150" s="36"/>
      <c r="CT150" s="37"/>
      <c r="CV150" s="33"/>
      <c r="CW150" s="34"/>
      <c r="CX150" s="35"/>
      <c r="CY150" s="36"/>
      <c r="CZ150" s="37"/>
      <c r="DA150" s="30">
        <f t="shared" si="22"/>
        <v>0</v>
      </c>
      <c r="DB150" s="31" t="e">
        <f>DA150*#REF!</f>
        <v>#REF!</v>
      </c>
      <c r="DC150" s="32" t="e">
        <f>DA150*#REF!</f>
        <v>#REF!</v>
      </c>
      <c r="DE150" s="33"/>
      <c r="DF150" s="34"/>
      <c r="DG150" s="35"/>
      <c r="DH150" s="36"/>
      <c r="DI150" s="37"/>
      <c r="DJ150" s="30">
        <f t="shared" si="23"/>
        <v>0</v>
      </c>
      <c r="DK150" s="31" t="e">
        <f>DJ150*#REF!</f>
        <v>#REF!</v>
      </c>
      <c r="DL150" s="32" t="e">
        <f>DJ150*#REF!</f>
        <v>#REF!</v>
      </c>
      <c r="DN150" s="33"/>
      <c r="DO150" s="34"/>
      <c r="DP150" s="35"/>
      <c r="DQ150" s="36"/>
      <c r="DR150" s="37"/>
      <c r="DS150" s="30">
        <f t="shared" si="24"/>
        <v>0</v>
      </c>
      <c r="DT150" s="31" t="e">
        <f>DS150*#REF!</f>
        <v>#REF!</v>
      </c>
      <c r="DU150" s="32" t="e">
        <f>DS150*#REF!</f>
        <v>#REF!</v>
      </c>
      <c r="DW150" s="33"/>
      <c r="DX150" s="34"/>
      <c r="DY150" s="35"/>
      <c r="DZ150" s="36"/>
      <c r="EA150" s="37"/>
      <c r="EB150" s="30">
        <f t="shared" si="25"/>
        <v>0</v>
      </c>
      <c r="EC150" s="31" t="e">
        <f>EB150*#REF!</f>
        <v>#REF!</v>
      </c>
      <c r="ED150" s="32" t="e">
        <f>EB150*#REF!</f>
        <v>#REF!</v>
      </c>
      <c r="EF150" s="33"/>
      <c r="EG150" s="34"/>
      <c r="EH150" s="35"/>
      <c r="EI150" s="36"/>
      <c r="EJ150" s="37"/>
      <c r="EK150" s="30">
        <f t="shared" si="26"/>
        <v>0</v>
      </c>
      <c r="EL150" s="31" t="e">
        <f>EK150*#REF!</f>
        <v>#REF!</v>
      </c>
      <c r="EM150" s="32" t="e">
        <f>EK150*#REF!</f>
        <v>#REF!</v>
      </c>
      <c r="EO150" s="33"/>
      <c r="EP150" s="34"/>
      <c r="EQ150" s="35"/>
      <c r="ER150" s="36"/>
      <c r="ES150" s="37"/>
      <c r="ET150" s="30">
        <f t="shared" si="27"/>
        <v>0</v>
      </c>
      <c r="EU150" s="31" t="e">
        <f>ET150*#REF!</f>
        <v>#REF!</v>
      </c>
      <c r="EV150" s="32" t="e">
        <f>ET150*#REF!</f>
        <v>#REF!</v>
      </c>
      <c r="EX150" s="33"/>
      <c r="EY150" s="34"/>
      <c r="EZ150" s="35"/>
      <c r="FA150" s="36"/>
      <c r="FB150" s="37"/>
      <c r="FC150" s="30">
        <f t="shared" si="28"/>
        <v>0</v>
      </c>
      <c r="FD150" s="31" t="e">
        <f>FC150*#REF!</f>
        <v>#REF!</v>
      </c>
      <c r="FE150" s="32" t="e">
        <f>FC150*#REF!</f>
        <v>#REF!</v>
      </c>
      <c r="FG150" s="33"/>
      <c r="FH150" s="34"/>
      <c r="FI150" s="35"/>
      <c r="FJ150" s="36"/>
      <c r="FK150" s="37"/>
      <c r="FL150" s="30">
        <f t="shared" si="29"/>
        <v>0</v>
      </c>
      <c r="FM150" s="31" t="e">
        <f>FL150*#REF!</f>
        <v>#REF!</v>
      </c>
      <c r="FN150" s="32" t="e">
        <f>FL150*#REF!</f>
        <v>#REF!</v>
      </c>
      <c r="FP150" s="33"/>
      <c r="FQ150" s="34"/>
      <c r="FR150" s="35"/>
      <c r="FS150" s="36"/>
      <c r="FT150" s="37"/>
      <c r="FU150" s="30">
        <f t="shared" si="30"/>
        <v>0</v>
      </c>
      <c r="FV150" s="31" t="e">
        <f>FU150*#REF!</f>
        <v>#REF!</v>
      </c>
      <c r="FW150" s="32" t="e">
        <f>FU150*#REF!</f>
        <v>#REF!</v>
      </c>
      <c r="FY150" s="33"/>
      <c r="FZ150" s="34"/>
      <c r="GA150" s="35"/>
      <c r="GB150" s="36"/>
      <c r="GC150" s="37"/>
      <c r="GD150" s="30">
        <f t="shared" si="31"/>
        <v>0</v>
      </c>
      <c r="GE150" s="31" t="e">
        <f>GD150*#REF!</f>
        <v>#REF!</v>
      </c>
      <c r="GF150" s="32" t="e">
        <f>GD150*#REF!</f>
        <v>#REF!</v>
      </c>
      <c r="GH150" s="33"/>
      <c r="GI150" s="34"/>
      <c r="GJ150" s="35"/>
      <c r="GK150" s="36"/>
      <c r="GL150" s="37"/>
      <c r="GM150" s="30">
        <f t="shared" si="32"/>
        <v>0</v>
      </c>
      <c r="GN150" s="31" t="e">
        <f>GM150*#REF!</f>
        <v>#REF!</v>
      </c>
      <c r="GO150" s="32" t="e">
        <f>GM150*#REF!</f>
        <v>#REF!</v>
      </c>
      <c r="GQ150" s="38">
        <f>_xlfn.MAXIFS(I150:GO150,$I$5:$GO$5,"Staff #")</f>
        <v>0</v>
      </c>
      <c r="GR150" s="39">
        <v>0</v>
      </c>
    </row>
    <row r="151" spans="2:200" ht="15" x14ac:dyDescent="0.25">
      <c r="B151" s="22"/>
      <c r="C151" s="23"/>
      <c r="D151" s="24" t="str">
        <f>IF(C151="","",_xlfn.XLOOKUP(C151,'[3]Control Sheet'!$L$5:$L$104,'[3]Control Sheet'!$M$5:$M$104,"",0))</f>
        <v/>
      </c>
      <c r="E151" s="24" t="str">
        <f>IF(B151="","",_xlfn.XLOOKUP(B151,'[3]Control Sheet'!$D$5:$D$64,'[3]Control Sheet'!$F$5:$F$64,"",0))</f>
        <v/>
      </c>
      <c r="F151" s="24" t="str">
        <f>IF(B151="","",_xlfn.XLOOKUP(B151,'[3]Control Sheet'!$D$5:$D$64,'[3]Control Sheet'!$E$5:$E$64,"",0))</f>
        <v/>
      </c>
      <c r="I151" s="33"/>
      <c r="J151" s="34"/>
      <c r="K151" s="35"/>
      <c r="L151" s="36"/>
      <c r="M151" s="37"/>
      <c r="P151" s="33"/>
      <c r="Q151" s="34"/>
      <c r="R151" s="35"/>
      <c r="S151" s="36"/>
      <c r="T151" s="37"/>
      <c r="V151" s="33"/>
      <c r="W151" s="34"/>
      <c r="X151" s="35"/>
      <c r="Y151" s="36"/>
      <c r="Z151" s="37"/>
      <c r="AB151" s="33"/>
      <c r="AC151" s="34"/>
      <c r="AD151" s="35"/>
      <c r="AE151" s="36"/>
      <c r="AF151" s="37"/>
      <c r="AH151" s="33"/>
      <c r="AI151" s="34"/>
      <c r="AJ151" s="35"/>
      <c r="AK151" s="36"/>
      <c r="AL151" s="37"/>
      <c r="AN151" s="33"/>
      <c r="AO151" s="34"/>
      <c r="AP151" s="35"/>
      <c r="AQ151" s="36"/>
      <c r="AR151" s="37"/>
      <c r="AT151" s="33"/>
      <c r="AU151" s="34"/>
      <c r="AV151" s="35"/>
      <c r="AW151" s="36"/>
      <c r="AX151" s="37"/>
      <c r="AZ151" s="33"/>
      <c r="BA151" s="34"/>
      <c r="BB151" s="35"/>
      <c r="BC151" s="36"/>
      <c r="BD151" s="37"/>
      <c r="BF151" s="33"/>
      <c r="BG151" s="34"/>
      <c r="BH151" s="35"/>
      <c r="BI151" s="36"/>
      <c r="BJ151" s="37"/>
      <c r="BL151" s="33"/>
      <c r="BM151" s="34"/>
      <c r="BN151" s="35"/>
      <c r="BO151" s="36"/>
      <c r="BP151" s="37"/>
      <c r="BR151" s="33"/>
      <c r="BS151" s="34"/>
      <c r="BT151" s="35"/>
      <c r="BU151" s="36"/>
      <c r="BV151" s="37"/>
      <c r="BX151" s="33"/>
      <c r="BY151" s="34"/>
      <c r="BZ151" s="35"/>
      <c r="CA151" s="36"/>
      <c r="CB151" s="37"/>
      <c r="CD151" s="33"/>
      <c r="CE151" s="34"/>
      <c r="CF151" s="35"/>
      <c r="CG151" s="36"/>
      <c r="CH151" s="37"/>
      <c r="CJ151" s="33"/>
      <c r="CK151" s="34"/>
      <c r="CL151" s="35"/>
      <c r="CM151" s="36"/>
      <c r="CN151" s="37"/>
      <c r="CP151" s="33"/>
      <c r="CQ151" s="34"/>
      <c r="CR151" s="35"/>
      <c r="CS151" s="36"/>
      <c r="CT151" s="37"/>
      <c r="CV151" s="33"/>
      <c r="CW151" s="34"/>
      <c r="CX151" s="35"/>
      <c r="CY151" s="36"/>
      <c r="CZ151" s="37"/>
      <c r="DA151" s="30">
        <f t="shared" si="22"/>
        <v>0</v>
      </c>
      <c r="DB151" s="31" t="e">
        <f>DA151*#REF!</f>
        <v>#REF!</v>
      </c>
      <c r="DC151" s="32" t="e">
        <f>DA151*#REF!</f>
        <v>#REF!</v>
      </c>
      <c r="DE151" s="33"/>
      <c r="DF151" s="34"/>
      <c r="DG151" s="35"/>
      <c r="DH151" s="36"/>
      <c r="DI151" s="37"/>
      <c r="DJ151" s="30">
        <f t="shared" si="23"/>
        <v>0</v>
      </c>
      <c r="DK151" s="31" t="e">
        <f>DJ151*#REF!</f>
        <v>#REF!</v>
      </c>
      <c r="DL151" s="32" t="e">
        <f>DJ151*#REF!</f>
        <v>#REF!</v>
      </c>
      <c r="DN151" s="33"/>
      <c r="DO151" s="34"/>
      <c r="DP151" s="35"/>
      <c r="DQ151" s="36"/>
      <c r="DR151" s="37"/>
      <c r="DS151" s="30">
        <f t="shared" si="24"/>
        <v>0</v>
      </c>
      <c r="DT151" s="31" t="e">
        <f>DS151*#REF!</f>
        <v>#REF!</v>
      </c>
      <c r="DU151" s="32" t="e">
        <f>DS151*#REF!</f>
        <v>#REF!</v>
      </c>
      <c r="DW151" s="33"/>
      <c r="DX151" s="34"/>
      <c r="DY151" s="35"/>
      <c r="DZ151" s="36"/>
      <c r="EA151" s="37"/>
      <c r="EB151" s="30">
        <f t="shared" si="25"/>
        <v>0</v>
      </c>
      <c r="EC151" s="31" t="e">
        <f>EB151*#REF!</f>
        <v>#REF!</v>
      </c>
      <c r="ED151" s="32" t="e">
        <f>EB151*#REF!</f>
        <v>#REF!</v>
      </c>
      <c r="EF151" s="33"/>
      <c r="EG151" s="34"/>
      <c r="EH151" s="35"/>
      <c r="EI151" s="36"/>
      <c r="EJ151" s="37"/>
      <c r="EK151" s="30">
        <f t="shared" si="26"/>
        <v>0</v>
      </c>
      <c r="EL151" s="31" t="e">
        <f>EK151*#REF!</f>
        <v>#REF!</v>
      </c>
      <c r="EM151" s="32" t="e">
        <f>EK151*#REF!</f>
        <v>#REF!</v>
      </c>
      <c r="EO151" s="33"/>
      <c r="EP151" s="34"/>
      <c r="EQ151" s="35"/>
      <c r="ER151" s="36"/>
      <c r="ES151" s="37"/>
      <c r="ET151" s="30">
        <f t="shared" si="27"/>
        <v>0</v>
      </c>
      <c r="EU151" s="31" t="e">
        <f>ET151*#REF!</f>
        <v>#REF!</v>
      </c>
      <c r="EV151" s="32" t="e">
        <f>ET151*#REF!</f>
        <v>#REF!</v>
      </c>
      <c r="EX151" s="33"/>
      <c r="EY151" s="34"/>
      <c r="EZ151" s="35"/>
      <c r="FA151" s="36"/>
      <c r="FB151" s="37"/>
      <c r="FC151" s="30">
        <f t="shared" si="28"/>
        <v>0</v>
      </c>
      <c r="FD151" s="31" t="e">
        <f>FC151*#REF!</f>
        <v>#REF!</v>
      </c>
      <c r="FE151" s="32" t="e">
        <f>FC151*#REF!</f>
        <v>#REF!</v>
      </c>
      <c r="FG151" s="33"/>
      <c r="FH151" s="34"/>
      <c r="FI151" s="35"/>
      <c r="FJ151" s="36"/>
      <c r="FK151" s="37"/>
      <c r="FL151" s="30">
        <f t="shared" si="29"/>
        <v>0</v>
      </c>
      <c r="FM151" s="31" t="e">
        <f>FL151*#REF!</f>
        <v>#REF!</v>
      </c>
      <c r="FN151" s="32" t="e">
        <f>FL151*#REF!</f>
        <v>#REF!</v>
      </c>
      <c r="FP151" s="33"/>
      <c r="FQ151" s="34"/>
      <c r="FR151" s="35"/>
      <c r="FS151" s="36"/>
      <c r="FT151" s="37"/>
      <c r="FU151" s="30">
        <f t="shared" si="30"/>
        <v>0</v>
      </c>
      <c r="FV151" s="31" t="e">
        <f>FU151*#REF!</f>
        <v>#REF!</v>
      </c>
      <c r="FW151" s="32" t="e">
        <f>FU151*#REF!</f>
        <v>#REF!</v>
      </c>
      <c r="FY151" s="33"/>
      <c r="FZ151" s="34"/>
      <c r="GA151" s="35"/>
      <c r="GB151" s="36"/>
      <c r="GC151" s="37"/>
      <c r="GD151" s="30">
        <f t="shared" si="31"/>
        <v>0</v>
      </c>
      <c r="GE151" s="31" t="e">
        <f>GD151*#REF!</f>
        <v>#REF!</v>
      </c>
      <c r="GF151" s="32" t="e">
        <f>GD151*#REF!</f>
        <v>#REF!</v>
      </c>
      <c r="GH151" s="33"/>
      <c r="GI151" s="34"/>
      <c r="GJ151" s="35"/>
      <c r="GK151" s="36"/>
      <c r="GL151" s="37"/>
      <c r="GM151" s="30">
        <f t="shared" si="32"/>
        <v>0</v>
      </c>
      <c r="GN151" s="31" t="e">
        <f>GM151*#REF!</f>
        <v>#REF!</v>
      </c>
      <c r="GO151" s="32" t="e">
        <f>GM151*#REF!</f>
        <v>#REF!</v>
      </c>
      <c r="GQ151" s="38">
        <f>_xlfn.MAXIFS(I151:GO151,$I$5:$GO$5,"Staff #")</f>
        <v>0</v>
      </c>
      <c r="GR151" s="39">
        <v>0</v>
      </c>
    </row>
    <row r="152" spans="2:200" ht="15" x14ac:dyDescent="0.25">
      <c r="B152" s="22"/>
      <c r="C152" s="23"/>
      <c r="D152" s="24" t="str">
        <f>IF(C152="","",_xlfn.XLOOKUP(C152,'[3]Control Sheet'!$L$5:$L$104,'[3]Control Sheet'!$M$5:$M$104,"",0))</f>
        <v/>
      </c>
      <c r="E152" s="24" t="str">
        <f>IF(B152="","",_xlfn.XLOOKUP(B152,'[3]Control Sheet'!$D$5:$D$64,'[3]Control Sheet'!$F$5:$F$64,"",0))</f>
        <v/>
      </c>
      <c r="F152" s="24" t="str">
        <f>IF(B152="","",_xlfn.XLOOKUP(B152,'[3]Control Sheet'!$D$5:$D$64,'[3]Control Sheet'!$E$5:$E$64,"",0))</f>
        <v/>
      </c>
      <c r="I152" s="33"/>
      <c r="J152" s="34"/>
      <c r="K152" s="35"/>
      <c r="L152" s="36"/>
      <c r="M152" s="37"/>
      <c r="P152" s="33"/>
      <c r="Q152" s="34"/>
      <c r="R152" s="35"/>
      <c r="S152" s="36"/>
      <c r="T152" s="37"/>
      <c r="V152" s="33"/>
      <c r="W152" s="34"/>
      <c r="X152" s="35"/>
      <c r="Y152" s="36"/>
      <c r="Z152" s="37"/>
      <c r="AB152" s="33"/>
      <c r="AC152" s="34"/>
      <c r="AD152" s="35"/>
      <c r="AE152" s="36"/>
      <c r="AF152" s="37"/>
      <c r="AH152" s="33"/>
      <c r="AI152" s="34"/>
      <c r="AJ152" s="35"/>
      <c r="AK152" s="36"/>
      <c r="AL152" s="37"/>
      <c r="AN152" s="33"/>
      <c r="AO152" s="34"/>
      <c r="AP152" s="35"/>
      <c r="AQ152" s="36"/>
      <c r="AR152" s="37"/>
      <c r="AT152" s="33"/>
      <c r="AU152" s="34"/>
      <c r="AV152" s="35"/>
      <c r="AW152" s="36"/>
      <c r="AX152" s="37"/>
      <c r="AZ152" s="33"/>
      <c r="BA152" s="34"/>
      <c r="BB152" s="35"/>
      <c r="BC152" s="36"/>
      <c r="BD152" s="37"/>
      <c r="BF152" s="33"/>
      <c r="BG152" s="34"/>
      <c r="BH152" s="35"/>
      <c r="BI152" s="36"/>
      <c r="BJ152" s="37"/>
      <c r="BL152" s="33"/>
      <c r="BM152" s="34"/>
      <c r="BN152" s="35"/>
      <c r="BO152" s="36"/>
      <c r="BP152" s="37"/>
      <c r="BR152" s="33"/>
      <c r="BS152" s="34"/>
      <c r="BT152" s="35"/>
      <c r="BU152" s="36"/>
      <c r="BV152" s="37"/>
      <c r="BX152" s="33"/>
      <c r="BY152" s="34"/>
      <c r="BZ152" s="35"/>
      <c r="CA152" s="36"/>
      <c r="CB152" s="37"/>
      <c r="CD152" s="33"/>
      <c r="CE152" s="34"/>
      <c r="CF152" s="35"/>
      <c r="CG152" s="36"/>
      <c r="CH152" s="37"/>
      <c r="CJ152" s="33"/>
      <c r="CK152" s="34"/>
      <c r="CL152" s="35"/>
      <c r="CM152" s="36"/>
      <c r="CN152" s="37"/>
      <c r="CP152" s="33"/>
      <c r="CQ152" s="34"/>
      <c r="CR152" s="35"/>
      <c r="CS152" s="36"/>
      <c r="CT152" s="37"/>
      <c r="CV152" s="33"/>
      <c r="CW152" s="34"/>
      <c r="CX152" s="35"/>
      <c r="CY152" s="36"/>
      <c r="CZ152" s="37"/>
      <c r="DA152" s="30">
        <f t="shared" si="22"/>
        <v>0</v>
      </c>
      <c r="DB152" s="31" t="e">
        <f>DA152*#REF!</f>
        <v>#REF!</v>
      </c>
      <c r="DC152" s="32" t="e">
        <f>DA152*#REF!</f>
        <v>#REF!</v>
      </c>
      <c r="DE152" s="33"/>
      <c r="DF152" s="34"/>
      <c r="DG152" s="35"/>
      <c r="DH152" s="36"/>
      <c r="DI152" s="37"/>
      <c r="DJ152" s="30">
        <f t="shared" si="23"/>
        <v>0</v>
      </c>
      <c r="DK152" s="31" t="e">
        <f>DJ152*#REF!</f>
        <v>#REF!</v>
      </c>
      <c r="DL152" s="32" t="e">
        <f>DJ152*#REF!</f>
        <v>#REF!</v>
      </c>
      <c r="DN152" s="33"/>
      <c r="DO152" s="34"/>
      <c r="DP152" s="35"/>
      <c r="DQ152" s="36"/>
      <c r="DR152" s="37"/>
      <c r="DS152" s="30">
        <f t="shared" si="24"/>
        <v>0</v>
      </c>
      <c r="DT152" s="31" t="e">
        <f>DS152*#REF!</f>
        <v>#REF!</v>
      </c>
      <c r="DU152" s="32" t="e">
        <f>DS152*#REF!</f>
        <v>#REF!</v>
      </c>
      <c r="DW152" s="33"/>
      <c r="DX152" s="34"/>
      <c r="DY152" s="35"/>
      <c r="DZ152" s="36"/>
      <c r="EA152" s="37"/>
      <c r="EB152" s="30">
        <f t="shared" si="25"/>
        <v>0</v>
      </c>
      <c r="EC152" s="31" t="e">
        <f>EB152*#REF!</f>
        <v>#REF!</v>
      </c>
      <c r="ED152" s="32" t="e">
        <f>EB152*#REF!</f>
        <v>#REF!</v>
      </c>
      <c r="EF152" s="33"/>
      <c r="EG152" s="34"/>
      <c r="EH152" s="35"/>
      <c r="EI152" s="36"/>
      <c r="EJ152" s="37"/>
      <c r="EK152" s="30">
        <f t="shared" si="26"/>
        <v>0</v>
      </c>
      <c r="EL152" s="31" t="e">
        <f>EK152*#REF!</f>
        <v>#REF!</v>
      </c>
      <c r="EM152" s="32" t="e">
        <f>EK152*#REF!</f>
        <v>#REF!</v>
      </c>
      <c r="EO152" s="33"/>
      <c r="EP152" s="34"/>
      <c r="EQ152" s="35"/>
      <c r="ER152" s="36"/>
      <c r="ES152" s="37"/>
      <c r="ET152" s="30">
        <f t="shared" si="27"/>
        <v>0</v>
      </c>
      <c r="EU152" s="31" t="e">
        <f>ET152*#REF!</f>
        <v>#REF!</v>
      </c>
      <c r="EV152" s="32" t="e">
        <f>ET152*#REF!</f>
        <v>#REF!</v>
      </c>
      <c r="EX152" s="33"/>
      <c r="EY152" s="34"/>
      <c r="EZ152" s="35"/>
      <c r="FA152" s="36"/>
      <c r="FB152" s="37"/>
      <c r="FC152" s="30">
        <f t="shared" si="28"/>
        <v>0</v>
      </c>
      <c r="FD152" s="31" t="e">
        <f>FC152*#REF!</f>
        <v>#REF!</v>
      </c>
      <c r="FE152" s="32" t="e">
        <f>FC152*#REF!</f>
        <v>#REF!</v>
      </c>
      <c r="FG152" s="33"/>
      <c r="FH152" s="34"/>
      <c r="FI152" s="35"/>
      <c r="FJ152" s="36"/>
      <c r="FK152" s="37"/>
      <c r="FL152" s="30">
        <f t="shared" si="29"/>
        <v>0</v>
      </c>
      <c r="FM152" s="31" t="e">
        <f>FL152*#REF!</f>
        <v>#REF!</v>
      </c>
      <c r="FN152" s="32" t="e">
        <f>FL152*#REF!</f>
        <v>#REF!</v>
      </c>
      <c r="FP152" s="33"/>
      <c r="FQ152" s="34"/>
      <c r="FR152" s="35"/>
      <c r="FS152" s="36"/>
      <c r="FT152" s="37"/>
      <c r="FU152" s="30">
        <f t="shared" si="30"/>
        <v>0</v>
      </c>
      <c r="FV152" s="31" t="e">
        <f>FU152*#REF!</f>
        <v>#REF!</v>
      </c>
      <c r="FW152" s="32" t="e">
        <f>FU152*#REF!</f>
        <v>#REF!</v>
      </c>
      <c r="FY152" s="33"/>
      <c r="FZ152" s="34"/>
      <c r="GA152" s="35"/>
      <c r="GB152" s="36"/>
      <c r="GC152" s="37"/>
      <c r="GD152" s="30">
        <f t="shared" si="31"/>
        <v>0</v>
      </c>
      <c r="GE152" s="31" t="e">
        <f>GD152*#REF!</f>
        <v>#REF!</v>
      </c>
      <c r="GF152" s="32" t="e">
        <f>GD152*#REF!</f>
        <v>#REF!</v>
      </c>
      <c r="GH152" s="33"/>
      <c r="GI152" s="34"/>
      <c r="GJ152" s="35"/>
      <c r="GK152" s="36"/>
      <c r="GL152" s="37"/>
      <c r="GM152" s="30">
        <f t="shared" si="32"/>
        <v>0</v>
      </c>
      <c r="GN152" s="31" t="e">
        <f>GM152*#REF!</f>
        <v>#REF!</v>
      </c>
      <c r="GO152" s="32" t="e">
        <f>GM152*#REF!</f>
        <v>#REF!</v>
      </c>
      <c r="GQ152" s="38">
        <f>_xlfn.MAXIFS(I152:GO152,$I$5:$GO$5,"Staff #")</f>
        <v>0</v>
      </c>
      <c r="GR152" s="39">
        <v>0</v>
      </c>
    </row>
    <row r="153" spans="2:200" ht="15" x14ac:dyDescent="0.25">
      <c r="B153" s="22"/>
      <c r="C153" s="23"/>
      <c r="D153" s="24" t="str">
        <f>IF(C153="","",_xlfn.XLOOKUP(C153,'[3]Control Sheet'!$L$5:$L$104,'[3]Control Sheet'!$M$5:$M$104,"",0))</f>
        <v/>
      </c>
      <c r="E153" s="24" t="str">
        <f>IF(B153="","",_xlfn.XLOOKUP(B153,'[3]Control Sheet'!$D$5:$D$64,'[3]Control Sheet'!$F$5:$F$64,"",0))</f>
        <v/>
      </c>
      <c r="F153" s="24" t="str">
        <f>IF(B153="","",_xlfn.XLOOKUP(B153,'[3]Control Sheet'!$D$5:$D$64,'[3]Control Sheet'!$E$5:$E$64,"",0))</f>
        <v/>
      </c>
      <c r="I153" s="33"/>
      <c r="J153" s="34"/>
      <c r="K153" s="35"/>
      <c r="L153" s="36"/>
      <c r="M153" s="37"/>
      <c r="P153" s="33"/>
      <c r="Q153" s="34"/>
      <c r="R153" s="35"/>
      <c r="S153" s="36"/>
      <c r="T153" s="37"/>
      <c r="V153" s="33"/>
      <c r="W153" s="34"/>
      <c r="X153" s="35"/>
      <c r="Y153" s="36"/>
      <c r="Z153" s="37"/>
      <c r="AB153" s="33"/>
      <c r="AC153" s="34"/>
      <c r="AD153" s="35"/>
      <c r="AE153" s="36"/>
      <c r="AF153" s="37"/>
      <c r="AH153" s="33"/>
      <c r="AI153" s="34"/>
      <c r="AJ153" s="35"/>
      <c r="AK153" s="36"/>
      <c r="AL153" s="37"/>
      <c r="AN153" s="33"/>
      <c r="AO153" s="34"/>
      <c r="AP153" s="35"/>
      <c r="AQ153" s="36"/>
      <c r="AR153" s="37"/>
      <c r="AT153" s="33"/>
      <c r="AU153" s="34"/>
      <c r="AV153" s="35"/>
      <c r="AW153" s="36"/>
      <c r="AX153" s="37"/>
      <c r="AZ153" s="33"/>
      <c r="BA153" s="34"/>
      <c r="BB153" s="35"/>
      <c r="BC153" s="36"/>
      <c r="BD153" s="37"/>
      <c r="BF153" s="33"/>
      <c r="BG153" s="34"/>
      <c r="BH153" s="35"/>
      <c r="BI153" s="36"/>
      <c r="BJ153" s="37"/>
      <c r="BL153" s="33"/>
      <c r="BM153" s="34"/>
      <c r="BN153" s="35"/>
      <c r="BO153" s="36"/>
      <c r="BP153" s="37"/>
      <c r="BR153" s="33"/>
      <c r="BS153" s="34"/>
      <c r="BT153" s="35"/>
      <c r="BU153" s="36"/>
      <c r="BV153" s="37"/>
      <c r="BX153" s="33"/>
      <c r="BY153" s="34"/>
      <c r="BZ153" s="35"/>
      <c r="CA153" s="36"/>
      <c r="CB153" s="37"/>
      <c r="CD153" s="33"/>
      <c r="CE153" s="34"/>
      <c r="CF153" s="35"/>
      <c r="CG153" s="36"/>
      <c r="CH153" s="37"/>
      <c r="CJ153" s="33"/>
      <c r="CK153" s="34"/>
      <c r="CL153" s="35"/>
      <c r="CM153" s="36"/>
      <c r="CN153" s="37"/>
      <c r="CP153" s="33"/>
      <c r="CQ153" s="34"/>
      <c r="CR153" s="35"/>
      <c r="CS153" s="36"/>
      <c r="CT153" s="37"/>
      <c r="CV153" s="33"/>
      <c r="CW153" s="34"/>
      <c r="CX153" s="35"/>
      <c r="CY153" s="36"/>
      <c r="CZ153" s="37"/>
      <c r="DA153" s="30">
        <f t="shared" si="22"/>
        <v>0</v>
      </c>
      <c r="DB153" s="31" t="e">
        <f>DA153*#REF!</f>
        <v>#REF!</v>
      </c>
      <c r="DC153" s="32" t="e">
        <f>DA153*#REF!</f>
        <v>#REF!</v>
      </c>
      <c r="DE153" s="33"/>
      <c r="DF153" s="34"/>
      <c r="DG153" s="35"/>
      <c r="DH153" s="36"/>
      <c r="DI153" s="37"/>
      <c r="DJ153" s="30">
        <f t="shared" si="23"/>
        <v>0</v>
      </c>
      <c r="DK153" s="31" t="e">
        <f>DJ153*#REF!</f>
        <v>#REF!</v>
      </c>
      <c r="DL153" s="32" t="e">
        <f>DJ153*#REF!</f>
        <v>#REF!</v>
      </c>
      <c r="DN153" s="33"/>
      <c r="DO153" s="34"/>
      <c r="DP153" s="35"/>
      <c r="DQ153" s="36"/>
      <c r="DR153" s="37"/>
      <c r="DS153" s="30">
        <f t="shared" si="24"/>
        <v>0</v>
      </c>
      <c r="DT153" s="31" t="e">
        <f>DS153*#REF!</f>
        <v>#REF!</v>
      </c>
      <c r="DU153" s="32" t="e">
        <f>DS153*#REF!</f>
        <v>#REF!</v>
      </c>
      <c r="DW153" s="33"/>
      <c r="DX153" s="34"/>
      <c r="DY153" s="35"/>
      <c r="DZ153" s="36"/>
      <c r="EA153" s="37"/>
      <c r="EB153" s="30">
        <f t="shared" si="25"/>
        <v>0</v>
      </c>
      <c r="EC153" s="31" t="e">
        <f>EB153*#REF!</f>
        <v>#REF!</v>
      </c>
      <c r="ED153" s="32" t="e">
        <f>EB153*#REF!</f>
        <v>#REF!</v>
      </c>
      <c r="EF153" s="33"/>
      <c r="EG153" s="34"/>
      <c r="EH153" s="35"/>
      <c r="EI153" s="36"/>
      <c r="EJ153" s="37"/>
      <c r="EK153" s="30">
        <f t="shared" si="26"/>
        <v>0</v>
      </c>
      <c r="EL153" s="31" t="e">
        <f>EK153*#REF!</f>
        <v>#REF!</v>
      </c>
      <c r="EM153" s="32" t="e">
        <f>EK153*#REF!</f>
        <v>#REF!</v>
      </c>
      <c r="EO153" s="33"/>
      <c r="EP153" s="34"/>
      <c r="EQ153" s="35"/>
      <c r="ER153" s="36"/>
      <c r="ES153" s="37"/>
      <c r="ET153" s="30">
        <f t="shared" si="27"/>
        <v>0</v>
      </c>
      <c r="EU153" s="31" t="e">
        <f>ET153*#REF!</f>
        <v>#REF!</v>
      </c>
      <c r="EV153" s="32" t="e">
        <f>ET153*#REF!</f>
        <v>#REF!</v>
      </c>
      <c r="EX153" s="33"/>
      <c r="EY153" s="34"/>
      <c r="EZ153" s="35"/>
      <c r="FA153" s="36"/>
      <c r="FB153" s="37"/>
      <c r="FC153" s="30">
        <f t="shared" si="28"/>
        <v>0</v>
      </c>
      <c r="FD153" s="31" t="e">
        <f>FC153*#REF!</f>
        <v>#REF!</v>
      </c>
      <c r="FE153" s="32" t="e">
        <f>FC153*#REF!</f>
        <v>#REF!</v>
      </c>
      <c r="FG153" s="33"/>
      <c r="FH153" s="34"/>
      <c r="FI153" s="35"/>
      <c r="FJ153" s="36"/>
      <c r="FK153" s="37"/>
      <c r="FL153" s="30">
        <f t="shared" si="29"/>
        <v>0</v>
      </c>
      <c r="FM153" s="31" t="e">
        <f>FL153*#REF!</f>
        <v>#REF!</v>
      </c>
      <c r="FN153" s="32" t="e">
        <f>FL153*#REF!</f>
        <v>#REF!</v>
      </c>
      <c r="FP153" s="33"/>
      <c r="FQ153" s="34"/>
      <c r="FR153" s="35"/>
      <c r="FS153" s="36"/>
      <c r="FT153" s="37"/>
      <c r="FU153" s="30">
        <f t="shared" si="30"/>
        <v>0</v>
      </c>
      <c r="FV153" s="31" t="e">
        <f>FU153*#REF!</f>
        <v>#REF!</v>
      </c>
      <c r="FW153" s="32" t="e">
        <f>FU153*#REF!</f>
        <v>#REF!</v>
      </c>
      <c r="FY153" s="33"/>
      <c r="FZ153" s="34"/>
      <c r="GA153" s="35"/>
      <c r="GB153" s="36"/>
      <c r="GC153" s="37"/>
      <c r="GD153" s="30">
        <f t="shared" si="31"/>
        <v>0</v>
      </c>
      <c r="GE153" s="31" t="e">
        <f>GD153*#REF!</f>
        <v>#REF!</v>
      </c>
      <c r="GF153" s="32" t="e">
        <f>GD153*#REF!</f>
        <v>#REF!</v>
      </c>
      <c r="GH153" s="33"/>
      <c r="GI153" s="34"/>
      <c r="GJ153" s="35"/>
      <c r="GK153" s="36"/>
      <c r="GL153" s="37"/>
      <c r="GM153" s="30">
        <f t="shared" si="32"/>
        <v>0</v>
      </c>
      <c r="GN153" s="31" t="e">
        <f>GM153*#REF!</f>
        <v>#REF!</v>
      </c>
      <c r="GO153" s="32" t="e">
        <f>GM153*#REF!</f>
        <v>#REF!</v>
      </c>
      <c r="GQ153" s="38">
        <f>_xlfn.MAXIFS(I153:GO153,$I$5:$GO$5,"Staff #")</f>
        <v>0</v>
      </c>
      <c r="GR153" s="39">
        <v>0</v>
      </c>
    </row>
    <row r="154" spans="2:200" ht="15" x14ac:dyDescent="0.25">
      <c r="B154" s="22"/>
      <c r="C154" s="23"/>
      <c r="D154" s="24" t="str">
        <f>IF(C154="","",_xlfn.XLOOKUP(C154,'[3]Control Sheet'!$L$5:$L$104,'[3]Control Sheet'!$M$5:$M$104,"",0))</f>
        <v/>
      </c>
      <c r="E154" s="24" t="str">
        <f>IF(B154="","",_xlfn.XLOOKUP(B154,'[3]Control Sheet'!$D$5:$D$64,'[3]Control Sheet'!$F$5:$F$64,"",0))</f>
        <v/>
      </c>
      <c r="F154" s="24" t="str">
        <f>IF(B154="","",_xlfn.XLOOKUP(B154,'[3]Control Sheet'!$D$5:$D$64,'[3]Control Sheet'!$E$5:$E$64,"",0))</f>
        <v/>
      </c>
      <c r="I154" s="33"/>
      <c r="J154" s="34"/>
      <c r="K154" s="35"/>
      <c r="L154" s="36"/>
      <c r="M154" s="37"/>
      <c r="P154" s="33"/>
      <c r="Q154" s="34"/>
      <c r="R154" s="35"/>
      <c r="S154" s="36"/>
      <c r="T154" s="37"/>
      <c r="V154" s="33"/>
      <c r="W154" s="34"/>
      <c r="X154" s="35"/>
      <c r="Y154" s="36"/>
      <c r="Z154" s="37"/>
      <c r="AB154" s="33"/>
      <c r="AC154" s="34"/>
      <c r="AD154" s="35"/>
      <c r="AE154" s="36"/>
      <c r="AF154" s="37"/>
      <c r="AH154" s="33"/>
      <c r="AI154" s="34"/>
      <c r="AJ154" s="35"/>
      <c r="AK154" s="36"/>
      <c r="AL154" s="37"/>
      <c r="AN154" s="33"/>
      <c r="AO154" s="34"/>
      <c r="AP154" s="35"/>
      <c r="AQ154" s="36"/>
      <c r="AR154" s="37"/>
      <c r="AT154" s="33"/>
      <c r="AU154" s="34"/>
      <c r="AV154" s="35"/>
      <c r="AW154" s="36"/>
      <c r="AX154" s="37"/>
      <c r="AZ154" s="33"/>
      <c r="BA154" s="34"/>
      <c r="BB154" s="35"/>
      <c r="BC154" s="36"/>
      <c r="BD154" s="37"/>
      <c r="BF154" s="33"/>
      <c r="BG154" s="34"/>
      <c r="BH154" s="35"/>
      <c r="BI154" s="36"/>
      <c r="BJ154" s="37"/>
      <c r="BL154" s="33"/>
      <c r="BM154" s="34"/>
      <c r="BN154" s="35"/>
      <c r="BO154" s="36"/>
      <c r="BP154" s="37"/>
      <c r="BR154" s="33"/>
      <c r="BS154" s="34"/>
      <c r="BT154" s="35"/>
      <c r="BU154" s="36"/>
      <c r="BV154" s="37"/>
      <c r="BX154" s="33"/>
      <c r="BY154" s="34"/>
      <c r="BZ154" s="35"/>
      <c r="CA154" s="36"/>
      <c r="CB154" s="37"/>
      <c r="CD154" s="33"/>
      <c r="CE154" s="34"/>
      <c r="CF154" s="35"/>
      <c r="CG154" s="36"/>
      <c r="CH154" s="37"/>
      <c r="CJ154" s="33"/>
      <c r="CK154" s="34"/>
      <c r="CL154" s="35"/>
      <c r="CM154" s="36"/>
      <c r="CN154" s="37"/>
      <c r="CP154" s="33"/>
      <c r="CQ154" s="34"/>
      <c r="CR154" s="35"/>
      <c r="CS154" s="36"/>
      <c r="CT154" s="37"/>
      <c r="CV154" s="33"/>
      <c r="CW154" s="34"/>
      <c r="CX154" s="35"/>
      <c r="CY154" s="36"/>
      <c r="CZ154" s="37"/>
      <c r="DA154" s="30">
        <f t="shared" si="22"/>
        <v>0</v>
      </c>
      <c r="DB154" s="31" t="e">
        <f>DA154*#REF!</f>
        <v>#REF!</v>
      </c>
      <c r="DC154" s="32" t="e">
        <f>DA154*#REF!</f>
        <v>#REF!</v>
      </c>
      <c r="DE154" s="33"/>
      <c r="DF154" s="34"/>
      <c r="DG154" s="35"/>
      <c r="DH154" s="36"/>
      <c r="DI154" s="37"/>
      <c r="DJ154" s="30">
        <f t="shared" si="23"/>
        <v>0</v>
      </c>
      <c r="DK154" s="31" t="e">
        <f>DJ154*#REF!</f>
        <v>#REF!</v>
      </c>
      <c r="DL154" s="32" t="e">
        <f>DJ154*#REF!</f>
        <v>#REF!</v>
      </c>
      <c r="DN154" s="33"/>
      <c r="DO154" s="34"/>
      <c r="DP154" s="35"/>
      <c r="DQ154" s="36"/>
      <c r="DR154" s="37"/>
      <c r="DS154" s="30">
        <f t="shared" si="24"/>
        <v>0</v>
      </c>
      <c r="DT154" s="31" t="e">
        <f>DS154*#REF!</f>
        <v>#REF!</v>
      </c>
      <c r="DU154" s="32" t="e">
        <f>DS154*#REF!</f>
        <v>#REF!</v>
      </c>
      <c r="DW154" s="33"/>
      <c r="DX154" s="34"/>
      <c r="DY154" s="35"/>
      <c r="DZ154" s="36"/>
      <c r="EA154" s="37"/>
      <c r="EB154" s="30">
        <f t="shared" si="25"/>
        <v>0</v>
      </c>
      <c r="EC154" s="31" t="e">
        <f>EB154*#REF!</f>
        <v>#REF!</v>
      </c>
      <c r="ED154" s="32" t="e">
        <f>EB154*#REF!</f>
        <v>#REF!</v>
      </c>
      <c r="EF154" s="33"/>
      <c r="EG154" s="34"/>
      <c r="EH154" s="35"/>
      <c r="EI154" s="36"/>
      <c r="EJ154" s="37"/>
      <c r="EK154" s="30">
        <f t="shared" si="26"/>
        <v>0</v>
      </c>
      <c r="EL154" s="31" t="e">
        <f>EK154*#REF!</f>
        <v>#REF!</v>
      </c>
      <c r="EM154" s="32" t="e">
        <f>EK154*#REF!</f>
        <v>#REF!</v>
      </c>
      <c r="EO154" s="33"/>
      <c r="EP154" s="34"/>
      <c r="EQ154" s="35"/>
      <c r="ER154" s="36"/>
      <c r="ES154" s="37"/>
      <c r="ET154" s="30">
        <f t="shared" si="27"/>
        <v>0</v>
      </c>
      <c r="EU154" s="31" t="e">
        <f>ET154*#REF!</f>
        <v>#REF!</v>
      </c>
      <c r="EV154" s="32" t="e">
        <f>ET154*#REF!</f>
        <v>#REF!</v>
      </c>
      <c r="EX154" s="33"/>
      <c r="EY154" s="34"/>
      <c r="EZ154" s="35"/>
      <c r="FA154" s="36"/>
      <c r="FB154" s="37"/>
      <c r="FC154" s="30">
        <f t="shared" si="28"/>
        <v>0</v>
      </c>
      <c r="FD154" s="31" t="e">
        <f>FC154*#REF!</f>
        <v>#REF!</v>
      </c>
      <c r="FE154" s="32" t="e">
        <f>FC154*#REF!</f>
        <v>#REF!</v>
      </c>
      <c r="FG154" s="33"/>
      <c r="FH154" s="34"/>
      <c r="FI154" s="35"/>
      <c r="FJ154" s="36"/>
      <c r="FK154" s="37"/>
      <c r="FL154" s="30">
        <f t="shared" si="29"/>
        <v>0</v>
      </c>
      <c r="FM154" s="31" t="e">
        <f>FL154*#REF!</f>
        <v>#REF!</v>
      </c>
      <c r="FN154" s="32" t="e">
        <f>FL154*#REF!</f>
        <v>#REF!</v>
      </c>
      <c r="FP154" s="33"/>
      <c r="FQ154" s="34"/>
      <c r="FR154" s="35"/>
      <c r="FS154" s="36"/>
      <c r="FT154" s="37"/>
      <c r="FU154" s="30">
        <f t="shared" si="30"/>
        <v>0</v>
      </c>
      <c r="FV154" s="31" t="e">
        <f>FU154*#REF!</f>
        <v>#REF!</v>
      </c>
      <c r="FW154" s="32" t="e">
        <f>FU154*#REF!</f>
        <v>#REF!</v>
      </c>
      <c r="FY154" s="33"/>
      <c r="FZ154" s="34"/>
      <c r="GA154" s="35"/>
      <c r="GB154" s="36"/>
      <c r="GC154" s="37"/>
      <c r="GD154" s="30">
        <f t="shared" si="31"/>
        <v>0</v>
      </c>
      <c r="GE154" s="31" t="e">
        <f>GD154*#REF!</f>
        <v>#REF!</v>
      </c>
      <c r="GF154" s="32" t="e">
        <f>GD154*#REF!</f>
        <v>#REF!</v>
      </c>
      <c r="GH154" s="33"/>
      <c r="GI154" s="34"/>
      <c r="GJ154" s="35"/>
      <c r="GK154" s="36"/>
      <c r="GL154" s="37"/>
      <c r="GM154" s="30">
        <f t="shared" si="32"/>
        <v>0</v>
      </c>
      <c r="GN154" s="31" t="e">
        <f>GM154*#REF!</f>
        <v>#REF!</v>
      </c>
      <c r="GO154" s="32" t="e">
        <f>GM154*#REF!</f>
        <v>#REF!</v>
      </c>
      <c r="GQ154" s="38">
        <f>_xlfn.MAXIFS(I154:GO154,$I$5:$GO$5,"Staff #")</f>
        <v>0</v>
      </c>
      <c r="GR154" s="39">
        <v>0</v>
      </c>
    </row>
    <row r="155" spans="2:200" ht="15" x14ac:dyDescent="0.25">
      <c r="B155" s="22"/>
      <c r="C155" s="23"/>
      <c r="D155" s="24" t="str">
        <f>IF(C155="","",_xlfn.XLOOKUP(C155,'[3]Control Sheet'!$L$5:$L$104,'[3]Control Sheet'!$M$5:$M$104,"",0))</f>
        <v/>
      </c>
      <c r="E155" s="24" t="str">
        <f>IF(B155="","",_xlfn.XLOOKUP(B155,'[3]Control Sheet'!$D$5:$D$64,'[3]Control Sheet'!$F$5:$F$64,"",0))</f>
        <v/>
      </c>
      <c r="F155" s="24" t="str">
        <f>IF(B155="","",_xlfn.XLOOKUP(B155,'[3]Control Sheet'!$D$5:$D$64,'[3]Control Sheet'!$E$5:$E$64,"",0))</f>
        <v/>
      </c>
      <c r="I155" s="33"/>
      <c r="J155" s="34"/>
      <c r="K155" s="35"/>
      <c r="L155" s="36"/>
      <c r="M155" s="37"/>
      <c r="P155" s="33"/>
      <c r="Q155" s="34"/>
      <c r="R155" s="35"/>
      <c r="S155" s="36"/>
      <c r="T155" s="37"/>
      <c r="V155" s="33"/>
      <c r="W155" s="34"/>
      <c r="X155" s="35"/>
      <c r="Y155" s="36"/>
      <c r="Z155" s="37"/>
      <c r="AB155" s="33"/>
      <c r="AC155" s="34"/>
      <c r="AD155" s="35"/>
      <c r="AE155" s="36"/>
      <c r="AF155" s="37"/>
      <c r="AH155" s="33"/>
      <c r="AI155" s="34"/>
      <c r="AJ155" s="35"/>
      <c r="AK155" s="36"/>
      <c r="AL155" s="37"/>
      <c r="AN155" s="33"/>
      <c r="AO155" s="34"/>
      <c r="AP155" s="35"/>
      <c r="AQ155" s="36"/>
      <c r="AR155" s="37"/>
      <c r="AT155" s="33"/>
      <c r="AU155" s="34"/>
      <c r="AV155" s="35"/>
      <c r="AW155" s="36"/>
      <c r="AX155" s="37"/>
      <c r="AZ155" s="33"/>
      <c r="BA155" s="34"/>
      <c r="BB155" s="35"/>
      <c r="BC155" s="36"/>
      <c r="BD155" s="37"/>
      <c r="BF155" s="33"/>
      <c r="BG155" s="34"/>
      <c r="BH155" s="35"/>
      <c r="BI155" s="36"/>
      <c r="BJ155" s="37"/>
      <c r="BL155" s="33"/>
      <c r="BM155" s="34"/>
      <c r="BN155" s="35"/>
      <c r="BO155" s="36"/>
      <c r="BP155" s="37"/>
      <c r="BR155" s="33"/>
      <c r="BS155" s="34"/>
      <c r="BT155" s="35"/>
      <c r="BU155" s="36"/>
      <c r="BV155" s="37"/>
      <c r="BX155" s="33"/>
      <c r="BY155" s="34"/>
      <c r="BZ155" s="35"/>
      <c r="CA155" s="36"/>
      <c r="CB155" s="37"/>
      <c r="CD155" s="33"/>
      <c r="CE155" s="34"/>
      <c r="CF155" s="35"/>
      <c r="CG155" s="36"/>
      <c r="CH155" s="37"/>
      <c r="CJ155" s="33"/>
      <c r="CK155" s="34"/>
      <c r="CL155" s="35"/>
      <c r="CM155" s="36"/>
      <c r="CN155" s="37"/>
      <c r="CP155" s="33"/>
      <c r="CQ155" s="34"/>
      <c r="CR155" s="35"/>
      <c r="CS155" s="36"/>
      <c r="CT155" s="37"/>
      <c r="CV155" s="33"/>
      <c r="CW155" s="34"/>
      <c r="CX155" s="35"/>
      <c r="CY155" s="36"/>
      <c r="CZ155" s="37"/>
      <c r="DA155" s="30">
        <f t="shared" si="22"/>
        <v>0</v>
      </c>
      <c r="DB155" s="31" t="e">
        <f>DA155*#REF!</f>
        <v>#REF!</v>
      </c>
      <c r="DC155" s="32" t="e">
        <f>DA155*#REF!</f>
        <v>#REF!</v>
      </c>
      <c r="DE155" s="33"/>
      <c r="DF155" s="34"/>
      <c r="DG155" s="35"/>
      <c r="DH155" s="36"/>
      <c r="DI155" s="37"/>
      <c r="DJ155" s="30">
        <f t="shared" si="23"/>
        <v>0</v>
      </c>
      <c r="DK155" s="31" t="e">
        <f>DJ155*#REF!</f>
        <v>#REF!</v>
      </c>
      <c r="DL155" s="32" t="e">
        <f>DJ155*#REF!</f>
        <v>#REF!</v>
      </c>
      <c r="DN155" s="33"/>
      <c r="DO155" s="34"/>
      <c r="DP155" s="35"/>
      <c r="DQ155" s="36"/>
      <c r="DR155" s="37"/>
      <c r="DS155" s="30">
        <f t="shared" si="24"/>
        <v>0</v>
      </c>
      <c r="DT155" s="31" t="e">
        <f>DS155*#REF!</f>
        <v>#REF!</v>
      </c>
      <c r="DU155" s="32" t="e">
        <f>DS155*#REF!</f>
        <v>#REF!</v>
      </c>
      <c r="DW155" s="33"/>
      <c r="DX155" s="34"/>
      <c r="DY155" s="35"/>
      <c r="DZ155" s="36"/>
      <c r="EA155" s="37"/>
      <c r="EB155" s="30">
        <f t="shared" si="25"/>
        <v>0</v>
      </c>
      <c r="EC155" s="31" t="e">
        <f>EB155*#REF!</f>
        <v>#REF!</v>
      </c>
      <c r="ED155" s="32" t="e">
        <f>EB155*#REF!</f>
        <v>#REF!</v>
      </c>
      <c r="EF155" s="33"/>
      <c r="EG155" s="34"/>
      <c r="EH155" s="35"/>
      <c r="EI155" s="36"/>
      <c r="EJ155" s="37"/>
      <c r="EK155" s="30">
        <f t="shared" si="26"/>
        <v>0</v>
      </c>
      <c r="EL155" s="31" t="e">
        <f>EK155*#REF!</f>
        <v>#REF!</v>
      </c>
      <c r="EM155" s="32" t="e">
        <f>EK155*#REF!</f>
        <v>#REF!</v>
      </c>
      <c r="EO155" s="33"/>
      <c r="EP155" s="34"/>
      <c r="EQ155" s="35"/>
      <c r="ER155" s="36"/>
      <c r="ES155" s="37"/>
      <c r="ET155" s="30">
        <f t="shared" si="27"/>
        <v>0</v>
      </c>
      <c r="EU155" s="31" t="e">
        <f>ET155*#REF!</f>
        <v>#REF!</v>
      </c>
      <c r="EV155" s="32" t="e">
        <f>ET155*#REF!</f>
        <v>#REF!</v>
      </c>
      <c r="EX155" s="33"/>
      <c r="EY155" s="34"/>
      <c r="EZ155" s="35"/>
      <c r="FA155" s="36"/>
      <c r="FB155" s="37"/>
      <c r="FC155" s="30">
        <f t="shared" si="28"/>
        <v>0</v>
      </c>
      <c r="FD155" s="31" t="e">
        <f>FC155*#REF!</f>
        <v>#REF!</v>
      </c>
      <c r="FE155" s="32" t="e">
        <f>FC155*#REF!</f>
        <v>#REF!</v>
      </c>
      <c r="FG155" s="33"/>
      <c r="FH155" s="34"/>
      <c r="FI155" s="35"/>
      <c r="FJ155" s="36"/>
      <c r="FK155" s="37"/>
      <c r="FL155" s="30">
        <f t="shared" si="29"/>
        <v>0</v>
      </c>
      <c r="FM155" s="31" t="e">
        <f>FL155*#REF!</f>
        <v>#REF!</v>
      </c>
      <c r="FN155" s="32" t="e">
        <f>FL155*#REF!</f>
        <v>#REF!</v>
      </c>
      <c r="FP155" s="33"/>
      <c r="FQ155" s="34"/>
      <c r="FR155" s="35"/>
      <c r="FS155" s="36"/>
      <c r="FT155" s="37"/>
      <c r="FU155" s="30">
        <f t="shared" si="30"/>
        <v>0</v>
      </c>
      <c r="FV155" s="31" t="e">
        <f>FU155*#REF!</f>
        <v>#REF!</v>
      </c>
      <c r="FW155" s="32" t="e">
        <f>FU155*#REF!</f>
        <v>#REF!</v>
      </c>
      <c r="FY155" s="33"/>
      <c r="FZ155" s="34"/>
      <c r="GA155" s="35"/>
      <c r="GB155" s="36"/>
      <c r="GC155" s="37"/>
      <c r="GD155" s="30">
        <f t="shared" si="31"/>
        <v>0</v>
      </c>
      <c r="GE155" s="31" t="e">
        <f>GD155*#REF!</f>
        <v>#REF!</v>
      </c>
      <c r="GF155" s="32" t="e">
        <f>GD155*#REF!</f>
        <v>#REF!</v>
      </c>
      <c r="GH155" s="33"/>
      <c r="GI155" s="34"/>
      <c r="GJ155" s="35"/>
      <c r="GK155" s="36"/>
      <c r="GL155" s="37"/>
      <c r="GM155" s="30">
        <f t="shared" si="32"/>
        <v>0</v>
      </c>
      <c r="GN155" s="31" t="e">
        <f>GM155*#REF!</f>
        <v>#REF!</v>
      </c>
      <c r="GO155" s="32" t="e">
        <f>GM155*#REF!</f>
        <v>#REF!</v>
      </c>
      <c r="GQ155" s="38">
        <f>_xlfn.MAXIFS(I155:GO155,$I$5:$GO$5,"Staff #")</f>
        <v>0</v>
      </c>
      <c r="GR155" s="39">
        <v>0</v>
      </c>
    </row>
    <row r="156" spans="2:200" ht="15" x14ac:dyDescent="0.25">
      <c r="B156" s="22"/>
      <c r="C156" s="23"/>
      <c r="D156" s="24" t="str">
        <f>IF(C156="","",_xlfn.XLOOKUP(C156,'[3]Control Sheet'!$L$5:$L$104,'[3]Control Sheet'!$M$5:$M$104,"",0))</f>
        <v/>
      </c>
      <c r="E156" s="24" t="str">
        <f>IF(B156="","",_xlfn.XLOOKUP(B156,'[3]Control Sheet'!$D$5:$D$64,'[3]Control Sheet'!$F$5:$F$64,"",0))</f>
        <v/>
      </c>
      <c r="F156" s="24" t="str">
        <f>IF(B156="","",_xlfn.XLOOKUP(B156,'[3]Control Sheet'!$D$5:$D$64,'[3]Control Sheet'!$E$5:$E$64,"",0))</f>
        <v/>
      </c>
      <c r="I156" s="33"/>
      <c r="J156" s="34"/>
      <c r="K156" s="35"/>
      <c r="L156" s="36"/>
      <c r="M156" s="37"/>
      <c r="P156" s="33"/>
      <c r="Q156" s="34"/>
      <c r="R156" s="35"/>
      <c r="S156" s="36"/>
      <c r="T156" s="37"/>
      <c r="V156" s="33"/>
      <c r="W156" s="34"/>
      <c r="X156" s="35"/>
      <c r="Y156" s="36"/>
      <c r="Z156" s="37"/>
      <c r="AB156" s="33"/>
      <c r="AC156" s="34"/>
      <c r="AD156" s="35"/>
      <c r="AE156" s="36"/>
      <c r="AF156" s="37"/>
      <c r="AH156" s="33"/>
      <c r="AI156" s="34"/>
      <c r="AJ156" s="35"/>
      <c r="AK156" s="36"/>
      <c r="AL156" s="37"/>
      <c r="AN156" s="33"/>
      <c r="AO156" s="34"/>
      <c r="AP156" s="35"/>
      <c r="AQ156" s="36"/>
      <c r="AR156" s="37"/>
      <c r="AT156" s="33"/>
      <c r="AU156" s="34"/>
      <c r="AV156" s="35"/>
      <c r="AW156" s="36"/>
      <c r="AX156" s="37"/>
      <c r="AZ156" s="33"/>
      <c r="BA156" s="34"/>
      <c r="BB156" s="35"/>
      <c r="BC156" s="36"/>
      <c r="BD156" s="37"/>
      <c r="BF156" s="33"/>
      <c r="BG156" s="34"/>
      <c r="BH156" s="35"/>
      <c r="BI156" s="36"/>
      <c r="BJ156" s="37"/>
      <c r="BL156" s="33"/>
      <c r="BM156" s="34"/>
      <c r="BN156" s="35"/>
      <c r="BO156" s="36"/>
      <c r="BP156" s="37"/>
      <c r="BR156" s="33"/>
      <c r="BS156" s="34"/>
      <c r="BT156" s="35"/>
      <c r="BU156" s="36"/>
      <c r="BV156" s="37"/>
      <c r="BX156" s="33"/>
      <c r="BY156" s="34"/>
      <c r="BZ156" s="35"/>
      <c r="CA156" s="36"/>
      <c r="CB156" s="37"/>
      <c r="CD156" s="33"/>
      <c r="CE156" s="34"/>
      <c r="CF156" s="35"/>
      <c r="CG156" s="36"/>
      <c r="CH156" s="37"/>
      <c r="CJ156" s="33"/>
      <c r="CK156" s="34"/>
      <c r="CL156" s="35"/>
      <c r="CM156" s="36"/>
      <c r="CN156" s="37"/>
      <c r="CP156" s="33"/>
      <c r="CQ156" s="34"/>
      <c r="CR156" s="35"/>
      <c r="CS156" s="36"/>
      <c r="CT156" s="37"/>
      <c r="CV156" s="33"/>
      <c r="CW156" s="34"/>
      <c r="CX156" s="35"/>
      <c r="CY156" s="36"/>
      <c r="CZ156" s="37"/>
      <c r="DA156" s="30">
        <f t="shared" si="22"/>
        <v>0</v>
      </c>
      <c r="DB156" s="31" t="e">
        <f>DA156*#REF!</f>
        <v>#REF!</v>
      </c>
      <c r="DC156" s="32" t="e">
        <f>DA156*#REF!</f>
        <v>#REF!</v>
      </c>
      <c r="DE156" s="33"/>
      <c r="DF156" s="34"/>
      <c r="DG156" s="35"/>
      <c r="DH156" s="36"/>
      <c r="DI156" s="37"/>
      <c r="DJ156" s="30">
        <f t="shared" si="23"/>
        <v>0</v>
      </c>
      <c r="DK156" s="31" t="e">
        <f>DJ156*#REF!</f>
        <v>#REF!</v>
      </c>
      <c r="DL156" s="32" t="e">
        <f>DJ156*#REF!</f>
        <v>#REF!</v>
      </c>
      <c r="DN156" s="33"/>
      <c r="DO156" s="34"/>
      <c r="DP156" s="35"/>
      <c r="DQ156" s="36"/>
      <c r="DR156" s="37"/>
      <c r="DS156" s="30">
        <f t="shared" si="24"/>
        <v>0</v>
      </c>
      <c r="DT156" s="31" t="e">
        <f>DS156*#REF!</f>
        <v>#REF!</v>
      </c>
      <c r="DU156" s="32" t="e">
        <f>DS156*#REF!</f>
        <v>#REF!</v>
      </c>
      <c r="DW156" s="33"/>
      <c r="DX156" s="34"/>
      <c r="DY156" s="35"/>
      <c r="DZ156" s="36"/>
      <c r="EA156" s="37"/>
      <c r="EB156" s="30">
        <f t="shared" si="25"/>
        <v>0</v>
      </c>
      <c r="EC156" s="31" t="e">
        <f>EB156*#REF!</f>
        <v>#REF!</v>
      </c>
      <c r="ED156" s="32" t="e">
        <f>EB156*#REF!</f>
        <v>#REF!</v>
      </c>
      <c r="EF156" s="33"/>
      <c r="EG156" s="34"/>
      <c r="EH156" s="35"/>
      <c r="EI156" s="36"/>
      <c r="EJ156" s="37"/>
      <c r="EK156" s="30">
        <f t="shared" si="26"/>
        <v>0</v>
      </c>
      <c r="EL156" s="31" t="e">
        <f>EK156*#REF!</f>
        <v>#REF!</v>
      </c>
      <c r="EM156" s="32" t="e">
        <f>EK156*#REF!</f>
        <v>#REF!</v>
      </c>
      <c r="EO156" s="33"/>
      <c r="EP156" s="34"/>
      <c r="EQ156" s="35"/>
      <c r="ER156" s="36"/>
      <c r="ES156" s="37"/>
      <c r="ET156" s="30">
        <f t="shared" si="27"/>
        <v>0</v>
      </c>
      <c r="EU156" s="31" t="e">
        <f>ET156*#REF!</f>
        <v>#REF!</v>
      </c>
      <c r="EV156" s="32" t="e">
        <f>ET156*#REF!</f>
        <v>#REF!</v>
      </c>
      <c r="EX156" s="33"/>
      <c r="EY156" s="34"/>
      <c r="EZ156" s="35"/>
      <c r="FA156" s="36"/>
      <c r="FB156" s="37"/>
      <c r="FC156" s="30">
        <f t="shared" si="28"/>
        <v>0</v>
      </c>
      <c r="FD156" s="31" t="e">
        <f>FC156*#REF!</f>
        <v>#REF!</v>
      </c>
      <c r="FE156" s="32" t="e">
        <f>FC156*#REF!</f>
        <v>#REF!</v>
      </c>
      <c r="FG156" s="33"/>
      <c r="FH156" s="34"/>
      <c r="FI156" s="35"/>
      <c r="FJ156" s="36"/>
      <c r="FK156" s="37"/>
      <c r="FL156" s="30">
        <f t="shared" si="29"/>
        <v>0</v>
      </c>
      <c r="FM156" s="31" t="e">
        <f>FL156*#REF!</f>
        <v>#REF!</v>
      </c>
      <c r="FN156" s="32" t="e">
        <f>FL156*#REF!</f>
        <v>#REF!</v>
      </c>
      <c r="FP156" s="33"/>
      <c r="FQ156" s="34"/>
      <c r="FR156" s="35"/>
      <c r="FS156" s="36"/>
      <c r="FT156" s="37"/>
      <c r="FU156" s="30">
        <f t="shared" si="30"/>
        <v>0</v>
      </c>
      <c r="FV156" s="31" t="e">
        <f>FU156*#REF!</f>
        <v>#REF!</v>
      </c>
      <c r="FW156" s="32" t="e">
        <f>FU156*#REF!</f>
        <v>#REF!</v>
      </c>
      <c r="FY156" s="33"/>
      <c r="FZ156" s="34"/>
      <c r="GA156" s="35"/>
      <c r="GB156" s="36"/>
      <c r="GC156" s="37"/>
      <c r="GD156" s="30">
        <f t="shared" si="31"/>
        <v>0</v>
      </c>
      <c r="GE156" s="31" t="e">
        <f>GD156*#REF!</f>
        <v>#REF!</v>
      </c>
      <c r="GF156" s="32" t="e">
        <f>GD156*#REF!</f>
        <v>#REF!</v>
      </c>
      <c r="GH156" s="33"/>
      <c r="GI156" s="34"/>
      <c r="GJ156" s="35"/>
      <c r="GK156" s="36"/>
      <c r="GL156" s="37"/>
      <c r="GM156" s="30">
        <f t="shared" si="32"/>
        <v>0</v>
      </c>
      <c r="GN156" s="31" t="e">
        <f>GM156*#REF!</f>
        <v>#REF!</v>
      </c>
      <c r="GO156" s="32" t="e">
        <f>GM156*#REF!</f>
        <v>#REF!</v>
      </c>
      <c r="GQ156" s="38">
        <f>_xlfn.MAXIFS(I156:GO156,$I$5:$GO$5,"Staff #")</f>
        <v>0</v>
      </c>
      <c r="GR156" s="39">
        <v>0</v>
      </c>
    </row>
    <row r="157" spans="2:200" ht="15" x14ac:dyDescent="0.25">
      <c r="B157" s="22"/>
      <c r="C157" s="23"/>
      <c r="D157" s="24" t="str">
        <f>IF(C157="","",_xlfn.XLOOKUP(C157,'[3]Control Sheet'!$L$5:$L$104,'[3]Control Sheet'!$M$5:$M$104,"",0))</f>
        <v/>
      </c>
      <c r="E157" s="24" t="str">
        <f>IF(B157="","",_xlfn.XLOOKUP(B157,'[3]Control Sheet'!$D$5:$D$64,'[3]Control Sheet'!$F$5:$F$64,"",0))</f>
        <v/>
      </c>
      <c r="F157" s="24" t="str">
        <f>IF(B157="","",_xlfn.XLOOKUP(B157,'[3]Control Sheet'!$D$5:$D$64,'[3]Control Sheet'!$E$5:$E$64,"",0))</f>
        <v/>
      </c>
      <c r="I157" s="33"/>
      <c r="J157" s="34"/>
      <c r="K157" s="35"/>
      <c r="L157" s="36"/>
      <c r="M157" s="37"/>
      <c r="P157" s="33"/>
      <c r="Q157" s="34"/>
      <c r="R157" s="35"/>
      <c r="S157" s="36"/>
      <c r="T157" s="37"/>
      <c r="V157" s="33"/>
      <c r="W157" s="34"/>
      <c r="X157" s="35"/>
      <c r="Y157" s="36"/>
      <c r="Z157" s="37"/>
      <c r="AB157" s="33"/>
      <c r="AC157" s="34"/>
      <c r="AD157" s="35"/>
      <c r="AE157" s="36"/>
      <c r="AF157" s="37"/>
      <c r="AH157" s="33"/>
      <c r="AI157" s="34"/>
      <c r="AJ157" s="35"/>
      <c r="AK157" s="36"/>
      <c r="AL157" s="37"/>
      <c r="AN157" s="33"/>
      <c r="AO157" s="34"/>
      <c r="AP157" s="35"/>
      <c r="AQ157" s="36"/>
      <c r="AR157" s="37"/>
      <c r="AT157" s="33"/>
      <c r="AU157" s="34"/>
      <c r="AV157" s="35"/>
      <c r="AW157" s="36"/>
      <c r="AX157" s="37"/>
      <c r="AZ157" s="33"/>
      <c r="BA157" s="34"/>
      <c r="BB157" s="35"/>
      <c r="BC157" s="36"/>
      <c r="BD157" s="37"/>
      <c r="BF157" s="33"/>
      <c r="BG157" s="34"/>
      <c r="BH157" s="35"/>
      <c r="BI157" s="36"/>
      <c r="BJ157" s="37"/>
      <c r="BL157" s="33"/>
      <c r="BM157" s="34"/>
      <c r="BN157" s="35"/>
      <c r="BO157" s="36"/>
      <c r="BP157" s="37"/>
      <c r="BR157" s="33"/>
      <c r="BS157" s="34"/>
      <c r="BT157" s="35"/>
      <c r="BU157" s="36"/>
      <c r="BV157" s="37"/>
      <c r="BX157" s="33"/>
      <c r="BY157" s="34"/>
      <c r="BZ157" s="35"/>
      <c r="CA157" s="36"/>
      <c r="CB157" s="37"/>
      <c r="CD157" s="33"/>
      <c r="CE157" s="34"/>
      <c r="CF157" s="35"/>
      <c r="CG157" s="36"/>
      <c r="CH157" s="37"/>
      <c r="CJ157" s="33"/>
      <c r="CK157" s="34"/>
      <c r="CL157" s="35"/>
      <c r="CM157" s="36"/>
      <c r="CN157" s="37"/>
      <c r="CP157" s="33"/>
      <c r="CQ157" s="34"/>
      <c r="CR157" s="35"/>
      <c r="CS157" s="36"/>
      <c r="CT157" s="37"/>
      <c r="CV157" s="33"/>
      <c r="CW157" s="34"/>
      <c r="CX157" s="35"/>
      <c r="CY157" s="36"/>
      <c r="CZ157" s="37"/>
      <c r="DA157" s="30">
        <f t="shared" si="22"/>
        <v>0</v>
      </c>
      <c r="DB157" s="31" t="e">
        <f>DA157*#REF!</f>
        <v>#REF!</v>
      </c>
      <c r="DC157" s="32" t="e">
        <f>DA157*#REF!</f>
        <v>#REF!</v>
      </c>
      <c r="DE157" s="33"/>
      <c r="DF157" s="34"/>
      <c r="DG157" s="35"/>
      <c r="DH157" s="36"/>
      <c r="DI157" s="37"/>
      <c r="DJ157" s="30">
        <f t="shared" si="23"/>
        <v>0</v>
      </c>
      <c r="DK157" s="31" t="e">
        <f>DJ157*#REF!</f>
        <v>#REF!</v>
      </c>
      <c r="DL157" s="32" t="e">
        <f>DJ157*#REF!</f>
        <v>#REF!</v>
      </c>
      <c r="DN157" s="33"/>
      <c r="DO157" s="34"/>
      <c r="DP157" s="35"/>
      <c r="DQ157" s="36"/>
      <c r="DR157" s="37"/>
      <c r="DS157" s="30">
        <f t="shared" si="24"/>
        <v>0</v>
      </c>
      <c r="DT157" s="31" t="e">
        <f>DS157*#REF!</f>
        <v>#REF!</v>
      </c>
      <c r="DU157" s="32" t="e">
        <f>DS157*#REF!</f>
        <v>#REF!</v>
      </c>
      <c r="DW157" s="33"/>
      <c r="DX157" s="34"/>
      <c r="DY157" s="35"/>
      <c r="DZ157" s="36"/>
      <c r="EA157" s="37"/>
      <c r="EB157" s="30">
        <f t="shared" si="25"/>
        <v>0</v>
      </c>
      <c r="EC157" s="31" t="e">
        <f>EB157*#REF!</f>
        <v>#REF!</v>
      </c>
      <c r="ED157" s="32" t="e">
        <f>EB157*#REF!</f>
        <v>#REF!</v>
      </c>
      <c r="EF157" s="33"/>
      <c r="EG157" s="34"/>
      <c r="EH157" s="35"/>
      <c r="EI157" s="36"/>
      <c r="EJ157" s="37"/>
      <c r="EK157" s="30">
        <f t="shared" si="26"/>
        <v>0</v>
      </c>
      <c r="EL157" s="31" t="e">
        <f>EK157*#REF!</f>
        <v>#REF!</v>
      </c>
      <c r="EM157" s="32" t="e">
        <f>EK157*#REF!</f>
        <v>#REF!</v>
      </c>
      <c r="EO157" s="33"/>
      <c r="EP157" s="34"/>
      <c r="EQ157" s="35"/>
      <c r="ER157" s="36"/>
      <c r="ES157" s="37"/>
      <c r="ET157" s="30">
        <f t="shared" si="27"/>
        <v>0</v>
      </c>
      <c r="EU157" s="31" t="e">
        <f>ET157*#REF!</f>
        <v>#REF!</v>
      </c>
      <c r="EV157" s="32" t="e">
        <f>ET157*#REF!</f>
        <v>#REF!</v>
      </c>
      <c r="EX157" s="33"/>
      <c r="EY157" s="34"/>
      <c r="EZ157" s="35"/>
      <c r="FA157" s="36"/>
      <c r="FB157" s="37"/>
      <c r="FC157" s="30">
        <f t="shared" si="28"/>
        <v>0</v>
      </c>
      <c r="FD157" s="31" t="e">
        <f>FC157*#REF!</f>
        <v>#REF!</v>
      </c>
      <c r="FE157" s="32" t="e">
        <f>FC157*#REF!</f>
        <v>#REF!</v>
      </c>
      <c r="FG157" s="33"/>
      <c r="FH157" s="34"/>
      <c r="FI157" s="35"/>
      <c r="FJ157" s="36"/>
      <c r="FK157" s="37"/>
      <c r="FL157" s="30">
        <f t="shared" si="29"/>
        <v>0</v>
      </c>
      <c r="FM157" s="31" t="e">
        <f>FL157*#REF!</f>
        <v>#REF!</v>
      </c>
      <c r="FN157" s="32" t="e">
        <f>FL157*#REF!</f>
        <v>#REF!</v>
      </c>
      <c r="FP157" s="33"/>
      <c r="FQ157" s="34"/>
      <c r="FR157" s="35"/>
      <c r="FS157" s="36"/>
      <c r="FT157" s="37"/>
      <c r="FU157" s="30">
        <f t="shared" si="30"/>
        <v>0</v>
      </c>
      <c r="FV157" s="31" t="e">
        <f>FU157*#REF!</f>
        <v>#REF!</v>
      </c>
      <c r="FW157" s="32" t="e">
        <f>FU157*#REF!</f>
        <v>#REF!</v>
      </c>
      <c r="FY157" s="33"/>
      <c r="FZ157" s="34"/>
      <c r="GA157" s="35"/>
      <c r="GB157" s="36"/>
      <c r="GC157" s="37"/>
      <c r="GD157" s="30">
        <f t="shared" si="31"/>
        <v>0</v>
      </c>
      <c r="GE157" s="31" t="e">
        <f>GD157*#REF!</f>
        <v>#REF!</v>
      </c>
      <c r="GF157" s="32" t="e">
        <f>GD157*#REF!</f>
        <v>#REF!</v>
      </c>
      <c r="GH157" s="33"/>
      <c r="GI157" s="34"/>
      <c r="GJ157" s="35"/>
      <c r="GK157" s="36"/>
      <c r="GL157" s="37"/>
      <c r="GM157" s="30">
        <f t="shared" si="32"/>
        <v>0</v>
      </c>
      <c r="GN157" s="31" t="e">
        <f>GM157*#REF!</f>
        <v>#REF!</v>
      </c>
      <c r="GO157" s="32" t="e">
        <f>GM157*#REF!</f>
        <v>#REF!</v>
      </c>
      <c r="GQ157" s="38">
        <f>_xlfn.MAXIFS(I157:GO157,$I$5:$GO$5,"Staff #")</f>
        <v>0</v>
      </c>
      <c r="GR157" s="39">
        <v>0</v>
      </c>
    </row>
    <row r="158" spans="2:200" ht="15" x14ac:dyDescent="0.25">
      <c r="B158" s="22"/>
      <c r="C158" s="23"/>
      <c r="D158" s="24" t="str">
        <f>IF(C158="","",_xlfn.XLOOKUP(C158,'[3]Control Sheet'!$L$5:$L$104,'[3]Control Sheet'!$M$5:$M$104,"",0))</f>
        <v/>
      </c>
      <c r="E158" s="24" t="str">
        <f>IF(B158="","",_xlfn.XLOOKUP(B158,'[3]Control Sheet'!$D$5:$D$64,'[3]Control Sheet'!$F$5:$F$64,"",0))</f>
        <v/>
      </c>
      <c r="F158" s="24" t="str">
        <f>IF(B158="","",_xlfn.XLOOKUP(B158,'[3]Control Sheet'!$D$5:$D$64,'[3]Control Sheet'!$E$5:$E$64,"",0))</f>
        <v/>
      </c>
      <c r="I158" s="33"/>
      <c r="J158" s="34"/>
      <c r="K158" s="35"/>
      <c r="L158" s="36"/>
      <c r="M158" s="37"/>
      <c r="P158" s="33"/>
      <c r="Q158" s="34"/>
      <c r="R158" s="35"/>
      <c r="S158" s="36"/>
      <c r="T158" s="37"/>
      <c r="V158" s="33"/>
      <c r="W158" s="34"/>
      <c r="X158" s="35"/>
      <c r="Y158" s="36"/>
      <c r="Z158" s="37"/>
      <c r="AB158" s="33"/>
      <c r="AC158" s="34"/>
      <c r="AD158" s="35"/>
      <c r="AE158" s="36"/>
      <c r="AF158" s="37"/>
      <c r="AH158" s="33"/>
      <c r="AI158" s="34"/>
      <c r="AJ158" s="35"/>
      <c r="AK158" s="36"/>
      <c r="AL158" s="37"/>
      <c r="AN158" s="33"/>
      <c r="AO158" s="34"/>
      <c r="AP158" s="35"/>
      <c r="AQ158" s="36"/>
      <c r="AR158" s="37"/>
      <c r="AT158" s="33"/>
      <c r="AU158" s="34"/>
      <c r="AV158" s="35"/>
      <c r="AW158" s="36"/>
      <c r="AX158" s="37"/>
      <c r="AZ158" s="33"/>
      <c r="BA158" s="34"/>
      <c r="BB158" s="35"/>
      <c r="BC158" s="36"/>
      <c r="BD158" s="37"/>
      <c r="BF158" s="33"/>
      <c r="BG158" s="34"/>
      <c r="BH158" s="35"/>
      <c r="BI158" s="36"/>
      <c r="BJ158" s="37"/>
      <c r="BL158" s="33"/>
      <c r="BM158" s="34"/>
      <c r="BN158" s="35"/>
      <c r="BO158" s="36"/>
      <c r="BP158" s="37"/>
      <c r="BR158" s="33"/>
      <c r="BS158" s="34"/>
      <c r="BT158" s="35"/>
      <c r="BU158" s="36"/>
      <c r="BV158" s="37"/>
      <c r="BX158" s="33"/>
      <c r="BY158" s="34"/>
      <c r="BZ158" s="35"/>
      <c r="CA158" s="36"/>
      <c r="CB158" s="37"/>
      <c r="CD158" s="33"/>
      <c r="CE158" s="34"/>
      <c r="CF158" s="35"/>
      <c r="CG158" s="36"/>
      <c r="CH158" s="37"/>
      <c r="CJ158" s="33"/>
      <c r="CK158" s="34"/>
      <c r="CL158" s="35"/>
      <c r="CM158" s="36"/>
      <c r="CN158" s="37"/>
      <c r="CP158" s="33"/>
      <c r="CQ158" s="34"/>
      <c r="CR158" s="35"/>
      <c r="CS158" s="36"/>
      <c r="CT158" s="37"/>
      <c r="CV158" s="33"/>
      <c r="CW158" s="34"/>
      <c r="CX158" s="35"/>
      <c r="CY158" s="36"/>
      <c r="CZ158" s="37"/>
      <c r="DA158" s="30">
        <f t="shared" si="22"/>
        <v>0</v>
      </c>
      <c r="DB158" s="31" t="e">
        <f>DA158*#REF!</f>
        <v>#REF!</v>
      </c>
      <c r="DC158" s="32" t="e">
        <f>DA158*#REF!</f>
        <v>#REF!</v>
      </c>
      <c r="DE158" s="33"/>
      <c r="DF158" s="34"/>
      <c r="DG158" s="35"/>
      <c r="DH158" s="36"/>
      <c r="DI158" s="37"/>
      <c r="DJ158" s="30">
        <f t="shared" si="23"/>
        <v>0</v>
      </c>
      <c r="DK158" s="31" t="e">
        <f>DJ158*#REF!</f>
        <v>#REF!</v>
      </c>
      <c r="DL158" s="32" t="e">
        <f>DJ158*#REF!</f>
        <v>#REF!</v>
      </c>
      <c r="DN158" s="33"/>
      <c r="DO158" s="34"/>
      <c r="DP158" s="35"/>
      <c r="DQ158" s="36"/>
      <c r="DR158" s="37"/>
      <c r="DS158" s="30">
        <f t="shared" si="24"/>
        <v>0</v>
      </c>
      <c r="DT158" s="31" t="e">
        <f>DS158*#REF!</f>
        <v>#REF!</v>
      </c>
      <c r="DU158" s="32" t="e">
        <f>DS158*#REF!</f>
        <v>#REF!</v>
      </c>
      <c r="DW158" s="33"/>
      <c r="DX158" s="34"/>
      <c r="DY158" s="35"/>
      <c r="DZ158" s="36"/>
      <c r="EA158" s="37"/>
      <c r="EB158" s="30">
        <f t="shared" si="25"/>
        <v>0</v>
      </c>
      <c r="EC158" s="31" t="e">
        <f>EB158*#REF!</f>
        <v>#REF!</v>
      </c>
      <c r="ED158" s="32" t="e">
        <f>EB158*#REF!</f>
        <v>#REF!</v>
      </c>
      <c r="EF158" s="33"/>
      <c r="EG158" s="34"/>
      <c r="EH158" s="35"/>
      <c r="EI158" s="36"/>
      <c r="EJ158" s="37"/>
      <c r="EK158" s="30">
        <f t="shared" si="26"/>
        <v>0</v>
      </c>
      <c r="EL158" s="31" t="e">
        <f>EK158*#REF!</f>
        <v>#REF!</v>
      </c>
      <c r="EM158" s="32" t="e">
        <f>EK158*#REF!</f>
        <v>#REF!</v>
      </c>
      <c r="EO158" s="33"/>
      <c r="EP158" s="34"/>
      <c r="EQ158" s="35"/>
      <c r="ER158" s="36"/>
      <c r="ES158" s="37"/>
      <c r="ET158" s="30">
        <f t="shared" si="27"/>
        <v>0</v>
      </c>
      <c r="EU158" s="31" t="e">
        <f>ET158*#REF!</f>
        <v>#REF!</v>
      </c>
      <c r="EV158" s="32" t="e">
        <f>ET158*#REF!</f>
        <v>#REF!</v>
      </c>
      <c r="EX158" s="33"/>
      <c r="EY158" s="34"/>
      <c r="EZ158" s="35"/>
      <c r="FA158" s="36"/>
      <c r="FB158" s="37"/>
      <c r="FC158" s="30">
        <f t="shared" si="28"/>
        <v>0</v>
      </c>
      <c r="FD158" s="31" t="e">
        <f>FC158*#REF!</f>
        <v>#REF!</v>
      </c>
      <c r="FE158" s="32" t="e">
        <f>FC158*#REF!</f>
        <v>#REF!</v>
      </c>
      <c r="FG158" s="33"/>
      <c r="FH158" s="34"/>
      <c r="FI158" s="35"/>
      <c r="FJ158" s="36"/>
      <c r="FK158" s="37"/>
      <c r="FL158" s="30">
        <f t="shared" si="29"/>
        <v>0</v>
      </c>
      <c r="FM158" s="31" t="e">
        <f>FL158*#REF!</f>
        <v>#REF!</v>
      </c>
      <c r="FN158" s="32" t="e">
        <f>FL158*#REF!</f>
        <v>#REF!</v>
      </c>
      <c r="FP158" s="33"/>
      <c r="FQ158" s="34"/>
      <c r="FR158" s="35"/>
      <c r="FS158" s="36"/>
      <c r="FT158" s="37"/>
      <c r="FU158" s="30">
        <f t="shared" si="30"/>
        <v>0</v>
      </c>
      <c r="FV158" s="31" t="e">
        <f>FU158*#REF!</f>
        <v>#REF!</v>
      </c>
      <c r="FW158" s="32" t="e">
        <f>FU158*#REF!</f>
        <v>#REF!</v>
      </c>
      <c r="FY158" s="33"/>
      <c r="FZ158" s="34"/>
      <c r="GA158" s="35"/>
      <c r="GB158" s="36"/>
      <c r="GC158" s="37"/>
      <c r="GD158" s="30">
        <f t="shared" si="31"/>
        <v>0</v>
      </c>
      <c r="GE158" s="31" t="e">
        <f>GD158*#REF!</f>
        <v>#REF!</v>
      </c>
      <c r="GF158" s="32" t="e">
        <f>GD158*#REF!</f>
        <v>#REF!</v>
      </c>
      <c r="GH158" s="33"/>
      <c r="GI158" s="34"/>
      <c r="GJ158" s="35"/>
      <c r="GK158" s="36"/>
      <c r="GL158" s="37"/>
      <c r="GM158" s="30">
        <f t="shared" si="32"/>
        <v>0</v>
      </c>
      <c r="GN158" s="31" t="e">
        <f>GM158*#REF!</f>
        <v>#REF!</v>
      </c>
      <c r="GO158" s="32" t="e">
        <f>GM158*#REF!</f>
        <v>#REF!</v>
      </c>
      <c r="GQ158" s="38">
        <f>_xlfn.MAXIFS(I158:GO158,$I$5:$GO$5,"Staff #")</f>
        <v>0</v>
      </c>
      <c r="GR158" s="39">
        <v>0</v>
      </c>
    </row>
    <row r="159" spans="2:200" ht="15" x14ac:dyDescent="0.25">
      <c r="B159" s="22"/>
      <c r="C159" s="23"/>
      <c r="D159" s="24" t="str">
        <f>IF(C159="","",_xlfn.XLOOKUP(C159,'[3]Control Sheet'!$L$5:$L$104,'[3]Control Sheet'!$M$5:$M$104,"",0))</f>
        <v/>
      </c>
      <c r="E159" s="24" t="str">
        <f>IF(B159="","",_xlfn.XLOOKUP(B159,'[3]Control Sheet'!$D$5:$D$64,'[3]Control Sheet'!$F$5:$F$64,"",0))</f>
        <v/>
      </c>
      <c r="F159" s="24" t="str">
        <f>IF(B159="","",_xlfn.XLOOKUP(B159,'[3]Control Sheet'!$D$5:$D$64,'[3]Control Sheet'!$E$5:$E$64,"",0))</f>
        <v/>
      </c>
      <c r="I159" s="33"/>
      <c r="J159" s="34"/>
      <c r="K159" s="35"/>
      <c r="L159" s="36"/>
      <c r="M159" s="37"/>
      <c r="P159" s="33"/>
      <c r="Q159" s="34"/>
      <c r="R159" s="35"/>
      <c r="S159" s="36"/>
      <c r="T159" s="37"/>
      <c r="V159" s="33"/>
      <c r="W159" s="34"/>
      <c r="X159" s="35"/>
      <c r="Y159" s="36"/>
      <c r="Z159" s="37"/>
      <c r="AB159" s="33"/>
      <c r="AC159" s="34"/>
      <c r="AD159" s="35"/>
      <c r="AE159" s="36"/>
      <c r="AF159" s="37"/>
      <c r="AH159" s="33"/>
      <c r="AI159" s="34"/>
      <c r="AJ159" s="35"/>
      <c r="AK159" s="36"/>
      <c r="AL159" s="37"/>
      <c r="AN159" s="33"/>
      <c r="AO159" s="34"/>
      <c r="AP159" s="35"/>
      <c r="AQ159" s="36"/>
      <c r="AR159" s="37"/>
      <c r="AT159" s="33"/>
      <c r="AU159" s="34"/>
      <c r="AV159" s="35"/>
      <c r="AW159" s="36"/>
      <c r="AX159" s="37"/>
      <c r="AZ159" s="33"/>
      <c r="BA159" s="34"/>
      <c r="BB159" s="35"/>
      <c r="BC159" s="36"/>
      <c r="BD159" s="37"/>
      <c r="BF159" s="33"/>
      <c r="BG159" s="34"/>
      <c r="BH159" s="35"/>
      <c r="BI159" s="36"/>
      <c r="BJ159" s="37"/>
      <c r="BL159" s="33"/>
      <c r="BM159" s="34"/>
      <c r="BN159" s="35"/>
      <c r="BO159" s="36"/>
      <c r="BP159" s="37"/>
      <c r="BR159" s="33"/>
      <c r="BS159" s="34"/>
      <c r="BT159" s="35"/>
      <c r="BU159" s="36"/>
      <c r="BV159" s="37"/>
      <c r="BX159" s="33"/>
      <c r="BY159" s="34"/>
      <c r="BZ159" s="35"/>
      <c r="CA159" s="36"/>
      <c r="CB159" s="37"/>
      <c r="CD159" s="33"/>
      <c r="CE159" s="34"/>
      <c r="CF159" s="35"/>
      <c r="CG159" s="36"/>
      <c r="CH159" s="37"/>
      <c r="CJ159" s="33"/>
      <c r="CK159" s="34"/>
      <c r="CL159" s="35"/>
      <c r="CM159" s="36"/>
      <c r="CN159" s="37"/>
      <c r="CP159" s="33"/>
      <c r="CQ159" s="34"/>
      <c r="CR159" s="35"/>
      <c r="CS159" s="36"/>
      <c r="CT159" s="37"/>
      <c r="CV159" s="33"/>
      <c r="CW159" s="34"/>
      <c r="CX159" s="35"/>
      <c r="CY159" s="36"/>
      <c r="CZ159" s="37"/>
      <c r="DA159" s="30">
        <f t="shared" si="22"/>
        <v>0</v>
      </c>
      <c r="DB159" s="31" t="e">
        <f>DA159*#REF!</f>
        <v>#REF!</v>
      </c>
      <c r="DC159" s="32" t="e">
        <f>DA159*#REF!</f>
        <v>#REF!</v>
      </c>
      <c r="DE159" s="33"/>
      <c r="DF159" s="34"/>
      <c r="DG159" s="35"/>
      <c r="DH159" s="36"/>
      <c r="DI159" s="37"/>
      <c r="DJ159" s="30">
        <f t="shared" si="23"/>
        <v>0</v>
      </c>
      <c r="DK159" s="31" t="e">
        <f>DJ159*#REF!</f>
        <v>#REF!</v>
      </c>
      <c r="DL159" s="32" t="e">
        <f>DJ159*#REF!</f>
        <v>#REF!</v>
      </c>
      <c r="DN159" s="33"/>
      <c r="DO159" s="34"/>
      <c r="DP159" s="35"/>
      <c r="DQ159" s="36"/>
      <c r="DR159" s="37"/>
      <c r="DS159" s="30">
        <f t="shared" si="24"/>
        <v>0</v>
      </c>
      <c r="DT159" s="31" t="e">
        <f>DS159*#REF!</f>
        <v>#REF!</v>
      </c>
      <c r="DU159" s="32" t="e">
        <f>DS159*#REF!</f>
        <v>#REF!</v>
      </c>
      <c r="DW159" s="33"/>
      <c r="DX159" s="34"/>
      <c r="DY159" s="35"/>
      <c r="DZ159" s="36"/>
      <c r="EA159" s="37"/>
      <c r="EB159" s="30">
        <f t="shared" si="25"/>
        <v>0</v>
      </c>
      <c r="EC159" s="31" t="e">
        <f>EB159*#REF!</f>
        <v>#REF!</v>
      </c>
      <c r="ED159" s="32" t="e">
        <f>EB159*#REF!</f>
        <v>#REF!</v>
      </c>
      <c r="EF159" s="33"/>
      <c r="EG159" s="34"/>
      <c r="EH159" s="35"/>
      <c r="EI159" s="36"/>
      <c r="EJ159" s="37"/>
      <c r="EK159" s="30">
        <f t="shared" si="26"/>
        <v>0</v>
      </c>
      <c r="EL159" s="31" t="e">
        <f>EK159*#REF!</f>
        <v>#REF!</v>
      </c>
      <c r="EM159" s="32" t="e">
        <f>EK159*#REF!</f>
        <v>#REF!</v>
      </c>
      <c r="EO159" s="33"/>
      <c r="EP159" s="34"/>
      <c r="EQ159" s="35"/>
      <c r="ER159" s="36"/>
      <c r="ES159" s="37"/>
      <c r="ET159" s="30">
        <f t="shared" si="27"/>
        <v>0</v>
      </c>
      <c r="EU159" s="31" t="e">
        <f>ET159*#REF!</f>
        <v>#REF!</v>
      </c>
      <c r="EV159" s="32" t="e">
        <f>ET159*#REF!</f>
        <v>#REF!</v>
      </c>
      <c r="EX159" s="33"/>
      <c r="EY159" s="34"/>
      <c r="EZ159" s="35"/>
      <c r="FA159" s="36"/>
      <c r="FB159" s="37"/>
      <c r="FC159" s="30">
        <f t="shared" si="28"/>
        <v>0</v>
      </c>
      <c r="FD159" s="31" t="e">
        <f>FC159*#REF!</f>
        <v>#REF!</v>
      </c>
      <c r="FE159" s="32" t="e">
        <f>FC159*#REF!</f>
        <v>#REF!</v>
      </c>
      <c r="FG159" s="33"/>
      <c r="FH159" s="34"/>
      <c r="FI159" s="35"/>
      <c r="FJ159" s="36"/>
      <c r="FK159" s="37"/>
      <c r="FL159" s="30">
        <f t="shared" si="29"/>
        <v>0</v>
      </c>
      <c r="FM159" s="31" t="e">
        <f>FL159*#REF!</f>
        <v>#REF!</v>
      </c>
      <c r="FN159" s="32" t="e">
        <f>FL159*#REF!</f>
        <v>#REF!</v>
      </c>
      <c r="FP159" s="33"/>
      <c r="FQ159" s="34"/>
      <c r="FR159" s="35"/>
      <c r="FS159" s="36"/>
      <c r="FT159" s="37"/>
      <c r="FU159" s="30">
        <f t="shared" si="30"/>
        <v>0</v>
      </c>
      <c r="FV159" s="31" t="e">
        <f>FU159*#REF!</f>
        <v>#REF!</v>
      </c>
      <c r="FW159" s="32" t="e">
        <f>FU159*#REF!</f>
        <v>#REF!</v>
      </c>
      <c r="FY159" s="33"/>
      <c r="FZ159" s="34"/>
      <c r="GA159" s="35"/>
      <c r="GB159" s="36"/>
      <c r="GC159" s="37"/>
      <c r="GD159" s="30">
        <f t="shared" si="31"/>
        <v>0</v>
      </c>
      <c r="GE159" s="31" t="e">
        <f>GD159*#REF!</f>
        <v>#REF!</v>
      </c>
      <c r="GF159" s="32" t="e">
        <f>GD159*#REF!</f>
        <v>#REF!</v>
      </c>
      <c r="GH159" s="33"/>
      <c r="GI159" s="34"/>
      <c r="GJ159" s="35"/>
      <c r="GK159" s="36"/>
      <c r="GL159" s="37"/>
      <c r="GM159" s="30">
        <f t="shared" si="32"/>
        <v>0</v>
      </c>
      <c r="GN159" s="31" t="e">
        <f>GM159*#REF!</f>
        <v>#REF!</v>
      </c>
      <c r="GO159" s="32" t="e">
        <f>GM159*#REF!</f>
        <v>#REF!</v>
      </c>
      <c r="GQ159" s="38">
        <f>_xlfn.MAXIFS(I159:GO159,$I$5:$GO$5,"Staff #")</f>
        <v>0</v>
      </c>
      <c r="GR159" s="39">
        <v>0</v>
      </c>
    </row>
    <row r="160" spans="2:200" ht="15" x14ac:dyDescent="0.25">
      <c r="B160" s="22"/>
      <c r="C160" s="23"/>
      <c r="D160" s="24" t="str">
        <f>IF(C160="","",_xlfn.XLOOKUP(C160,'[3]Control Sheet'!$L$5:$L$104,'[3]Control Sheet'!$M$5:$M$104,"",0))</f>
        <v/>
      </c>
      <c r="E160" s="24" t="str">
        <f>IF(B160="","",_xlfn.XLOOKUP(B160,'[3]Control Sheet'!$D$5:$D$64,'[3]Control Sheet'!$F$5:$F$64,"",0))</f>
        <v/>
      </c>
      <c r="F160" s="24" t="str">
        <f>IF(B160="","",_xlfn.XLOOKUP(B160,'[3]Control Sheet'!$D$5:$D$64,'[3]Control Sheet'!$E$5:$E$64,"",0))</f>
        <v/>
      </c>
      <c r="I160" s="33"/>
      <c r="J160" s="34"/>
      <c r="K160" s="35"/>
      <c r="L160" s="36"/>
      <c r="M160" s="37"/>
      <c r="P160" s="33"/>
      <c r="Q160" s="34"/>
      <c r="R160" s="35"/>
      <c r="S160" s="36"/>
      <c r="T160" s="37"/>
      <c r="V160" s="33"/>
      <c r="W160" s="34"/>
      <c r="X160" s="35"/>
      <c r="Y160" s="36"/>
      <c r="Z160" s="37"/>
      <c r="AB160" s="33"/>
      <c r="AC160" s="34"/>
      <c r="AD160" s="35"/>
      <c r="AE160" s="36"/>
      <c r="AF160" s="37"/>
      <c r="AH160" s="33"/>
      <c r="AI160" s="34"/>
      <c r="AJ160" s="35"/>
      <c r="AK160" s="36"/>
      <c r="AL160" s="37"/>
      <c r="AN160" s="33"/>
      <c r="AO160" s="34"/>
      <c r="AP160" s="35"/>
      <c r="AQ160" s="36"/>
      <c r="AR160" s="37"/>
      <c r="AT160" s="33"/>
      <c r="AU160" s="34"/>
      <c r="AV160" s="35"/>
      <c r="AW160" s="36"/>
      <c r="AX160" s="37"/>
      <c r="AZ160" s="33"/>
      <c r="BA160" s="34"/>
      <c r="BB160" s="35"/>
      <c r="BC160" s="36"/>
      <c r="BD160" s="37"/>
      <c r="BF160" s="33"/>
      <c r="BG160" s="34"/>
      <c r="BH160" s="35"/>
      <c r="BI160" s="36"/>
      <c r="BJ160" s="37"/>
      <c r="BL160" s="33"/>
      <c r="BM160" s="34"/>
      <c r="BN160" s="35"/>
      <c r="BO160" s="36"/>
      <c r="BP160" s="37"/>
      <c r="BR160" s="33"/>
      <c r="BS160" s="34"/>
      <c r="BT160" s="35"/>
      <c r="BU160" s="36"/>
      <c r="BV160" s="37"/>
      <c r="BX160" s="33"/>
      <c r="BY160" s="34"/>
      <c r="BZ160" s="35"/>
      <c r="CA160" s="36"/>
      <c r="CB160" s="37"/>
      <c r="CD160" s="33"/>
      <c r="CE160" s="34"/>
      <c r="CF160" s="35"/>
      <c r="CG160" s="36"/>
      <c r="CH160" s="37"/>
      <c r="CJ160" s="33"/>
      <c r="CK160" s="34"/>
      <c r="CL160" s="35"/>
      <c r="CM160" s="36"/>
      <c r="CN160" s="37"/>
      <c r="CP160" s="33"/>
      <c r="CQ160" s="34"/>
      <c r="CR160" s="35"/>
      <c r="CS160" s="36"/>
      <c r="CT160" s="37"/>
      <c r="CV160" s="33"/>
      <c r="CW160" s="34"/>
      <c r="CX160" s="35"/>
      <c r="CY160" s="36"/>
      <c r="CZ160" s="37"/>
      <c r="DA160" s="30">
        <f t="shared" si="22"/>
        <v>0</v>
      </c>
      <c r="DB160" s="31" t="e">
        <f>DA160*#REF!</f>
        <v>#REF!</v>
      </c>
      <c r="DC160" s="32" t="e">
        <f>DA160*#REF!</f>
        <v>#REF!</v>
      </c>
      <c r="DE160" s="33"/>
      <c r="DF160" s="34"/>
      <c r="DG160" s="35"/>
      <c r="DH160" s="36"/>
      <c r="DI160" s="37"/>
      <c r="DJ160" s="30">
        <f t="shared" si="23"/>
        <v>0</v>
      </c>
      <c r="DK160" s="31" t="e">
        <f>DJ160*#REF!</f>
        <v>#REF!</v>
      </c>
      <c r="DL160" s="32" t="e">
        <f>DJ160*#REF!</f>
        <v>#REF!</v>
      </c>
      <c r="DN160" s="33"/>
      <c r="DO160" s="34"/>
      <c r="DP160" s="35"/>
      <c r="DQ160" s="36"/>
      <c r="DR160" s="37"/>
      <c r="DS160" s="30">
        <f t="shared" si="24"/>
        <v>0</v>
      </c>
      <c r="DT160" s="31" t="e">
        <f>DS160*#REF!</f>
        <v>#REF!</v>
      </c>
      <c r="DU160" s="32" t="e">
        <f>DS160*#REF!</f>
        <v>#REF!</v>
      </c>
      <c r="DW160" s="33"/>
      <c r="DX160" s="34"/>
      <c r="DY160" s="35"/>
      <c r="DZ160" s="36"/>
      <c r="EA160" s="37"/>
      <c r="EB160" s="30">
        <f t="shared" si="25"/>
        <v>0</v>
      </c>
      <c r="EC160" s="31" t="e">
        <f>EB160*#REF!</f>
        <v>#REF!</v>
      </c>
      <c r="ED160" s="32" t="e">
        <f>EB160*#REF!</f>
        <v>#REF!</v>
      </c>
      <c r="EF160" s="33"/>
      <c r="EG160" s="34"/>
      <c r="EH160" s="35"/>
      <c r="EI160" s="36"/>
      <c r="EJ160" s="37"/>
      <c r="EK160" s="30">
        <f t="shared" si="26"/>
        <v>0</v>
      </c>
      <c r="EL160" s="31" t="e">
        <f>EK160*#REF!</f>
        <v>#REF!</v>
      </c>
      <c r="EM160" s="32" t="e">
        <f>EK160*#REF!</f>
        <v>#REF!</v>
      </c>
      <c r="EO160" s="33"/>
      <c r="EP160" s="34"/>
      <c r="EQ160" s="35"/>
      <c r="ER160" s="36"/>
      <c r="ES160" s="37"/>
      <c r="ET160" s="30">
        <f t="shared" si="27"/>
        <v>0</v>
      </c>
      <c r="EU160" s="31" t="e">
        <f>ET160*#REF!</f>
        <v>#REF!</v>
      </c>
      <c r="EV160" s="32" t="e">
        <f>ET160*#REF!</f>
        <v>#REF!</v>
      </c>
      <c r="EX160" s="33"/>
      <c r="EY160" s="34"/>
      <c r="EZ160" s="35"/>
      <c r="FA160" s="36"/>
      <c r="FB160" s="37"/>
      <c r="FC160" s="30">
        <f t="shared" si="28"/>
        <v>0</v>
      </c>
      <c r="FD160" s="31" t="e">
        <f>FC160*#REF!</f>
        <v>#REF!</v>
      </c>
      <c r="FE160" s="32" t="e">
        <f>FC160*#REF!</f>
        <v>#REF!</v>
      </c>
      <c r="FG160" s="33"/>
      <c r="FH160" s="34"/>
      <c r="FI160" s="35"/>
      <c r="FJ160" s="36"/>
      <c r="FK160" s="37"/>
      <c r="FL160" s="30">
        <f t="shared" si="29"/>
        <v>0</v>
      </c>
      <c r="FM160" s="31" t="e">
        <f>FL160*#REF!</f>
        <v>#REF!</v>
      </c>
      <c r="FN160" s="32" t="e">
        <f>FL160*#REF!</f>
        <v>#REF!</v>
      </c>
      <c r="FP160" s="33"/>
      <c r="FQ160" s="34"/>
      <c r="FR160" s="35"/>
      <c r="FS160" s="36"/>
      <c r="FT160" s="37"/>
      <c r="FU160" s="30">
        <f t="shared" si="30"/>
        <v>0</v>
      </c>
      <c r="FV160" s="31" t="e">
        <f>FU160*#REF!</f>
        <v>#REF!</v>
      </c>
      <c r="FW160" s="32" t="e">
        <f>FU160*#REF!</f>
        <v>#REF!</v>
      </c>
      <c r="FY160" s="33"/>
      <c r="FZ160" s="34"/>
      <c r="GA160" s="35"/>
      <c r="GB160" s="36"/>
      <c r="GC160" s="37"/>
      <c r="GD160" s="30">
        <f t="shared" si="31"/>
        <v>0</v>
      </c>
      <c r="GE160" s="31" t="e">
        <f>GD160*#REF!</f>
        <v>#REF!</v>
      </c>
      <c r="GF160" s="32" t="e">
        <f>GD160*#REF!</f>
        <v>#REF!</v>
      </c>
      <c r="GH160" s="33"/>
      <c r="GI160" s="34"/>
      <c r="GJ160" s="35"/>
      <c r="GK160" s="36"/>
      <c r="GL160" s="37"/>
      <c r="GM160" s="30">
        <f t="shared" si="32"/>
        <v>0</v>
      </c>
      <c r="GN160" s="31" t="e">
        <f>GM160*#REF!</f>
        <v>#REF!</v>
      </c>
      <c r="GO160" s="32" t="e">
        <f>GM160*#REF!</f>
        <v>#REF!</v>
      </c>
      <c r="GQ160" s="38">
        <f>_xlfn.MAXIFS(I160:GO160,$I$5:$GO$5,"Staff #")</f>
        <v>0</v>
      </c>
      <c r="GR160" s="39">
        <v>0</v>
      </c>
    </row>
    <row r="161" spans="2:201" ht="15" x14ac:dyDescent="0.25">
      <c r="B161" s="22"/>
      <c r="C161" s="23"/>
      <c r="D161" s="24" t="str">
        <f>IF(C161="","",_xlfn.XLOOKUP(C161,'[3]Control Sheet'!$L$5:$L$104,'[3]Control Sheet'!$M$5:$M$104,"",0))</f>
        <v/>
      </c>
      <c r="E161" s="24" t="str">
        <f>IF(B161="","",_xlfn.XLOOKUP(B161,'[3]Control Sheet'!$D$5:$D$64,'[3]Control Sheet'!$F$5:$F$64,"",0))</f>
        <v/>
      </c>
      <c r="F161" s="24" t="str">
        <f>IF(B161="","",_xlfn.XLOOKUP(B161,'[3]Control Sheet'!$D$5:$D$64,'[3]Control Sheet'!$E$5:$E$64,"",0))</f>
        <v/>
      </c>
      <c r="I161" s="33"/>
      <c r="J161" s="34"/>
      <c r="K161" s="35"/>
      <c r="L161" s="36"/>
      <c r="M161" s="37"/>
      <c r="P161" s="33"/>
      <c r="Q161" s="34"/>
      <c r="R161" s="35"/>
      <c r="S161" s="36"/>
      <c r="T161" s="37"/>
      <c r="V161" s="33"/>
      <c r="W161" s="34"/>
      <c r="X161" s="35"/>
      <c r="Y161" s="36"/>
      <c r="Z161" s="37"/>
      <c r="AB161" s="33"/>
      <c r="AC161" s="34"/>
      <c r="AD161" s="35"/>
      <c r="AE161" s="36"/>
      <c r="AF161" s="37"/>
      <c r="AH161" s="33"/>
      <c r="AI161" s="34"/>
      <c r="AJ161" s="35"/>
      <c r="AK161" s="36"/>
      <c r="AL161" s="37"/>
      <c r="AN161" s="33"/>
      <c r="AO161" s="34"/>
      <c r="AP161" s="35"/>
      <c r="AQ161" s="36"/>
      <c r="AR161" s="37"/>
      <c r="AT161" s="33"/>
      <c r="AU161" s="34"/>
      <c r="AV161" s="35"/>
      <c r="AW161" s="36"/>
      <c r="AX161" s="37"/>
      <c r="AZ161" s="33"/>
      <c r="BA161" s="34"/>
      <c r="BB161" s="35"/>
      <c r="BC161" s="36"/>
      <c r="BD161" s="37"/>
      <c r="BF161" s="33"/>
      <c r="BG161" s="34"/>
      <c r="BH161" s="35"/>
      <c r="BI161" s="36"/>
      <c r="BJ161" s="37"/>
      <c r="BL161" s="33"/>
      <c r="BM161" s="34"/>
      <c r="BN161" s="35"/>
      <c r="BO161" s="36"/>
      <c r="BP161" s="37"/>
      <c r="BR161" s="33"/>
      <c r="BS161" s="34"/>
      <c r="BT161" s="35"/>
      <c r="BU161" s="36"/>
      <c r="BV161" s="37"/>
      <c r="BX161" s="33"/>
      <c r="BY161" s="34"/>
      <c r="BZ161" s="35"/>
      <c r="CA161" s="36"/>
      <c r="CB161" s="37"/>
      <c r="CD161" s="33"/>
      <c r="CE161" s="34"/>
      <c r="CF161" s="35"/>
      <c r="CG161" s="36"/>
      <c r="CH161" s="37"/>
      <c r="CJ161" s="33"/>
      <c r="CK161" s="34"/>
      <c r="CL161" s="35"/>
      <c r="CM161" s="36"/>
      <c r="CN161" s="37"/>
      <c r="CP161" s="33"/>
      <c r="CQ161" s="34"/>
      <c r="CR161" s="35"/>
      <c r="CS161" s="36"/>
      <c r="CT161" s="37"/>
      <c r="CV161" s="33"/>
      <c r="CW161" s="34"/>
      <c r="CX161" s="35"/>
      <c r="CY161" s="36"/>
      <c r="CZ161" s="37"/>
      <c r="DA161" s="30">
        <f t="shared" si="22"/>
        <v>0</v>
      </c>
      <c r="DB161" s="31" t="e">
        <f>DA161*#REF!</f>
        <v>#REF!</v>
      </c>
      <c r="DC161" s="32" t="e">
        <f>DA161*#REF!</f>
        <v>#REF!</v>
      </c>
      <c r="DE161" s="33"/>
      <c r="DF161" s="34"/>
      <c r="DG161" s="35"/>
      <c r="DH161" s="36"/>
      <c r="DI161" s="37"/>
      <c r="DJ161" s="30">
        <f t="shared" si="23"/>
        <v>0</v>
      </c>
      <c r="DK161" s="31" t="e">
        <f>DJ161*#REF!</f>
        <v>#REF!</v>
      </c>
      <c r="DL161" s="32" t="e">
        <f>DJ161*#REF!</f>
        <v>#REF!</v>
      </c>
      <c r="DN161" s="33"/>
      <c r="DO161" s="34"/>
      <c r="DP161" s="35"/>
      <c r="DQ161" s="36"/>
      <c r="DR161" s="37"/>
      <c r="DS161" s="30">
        <f t="shared" si="24"/>
        <v>0</v>
      </c>
      <c r="DT161" s="31" t="e">
        <f>DS161*#REF!</f>
        <v>#REF!</v>
      </c>
      <c r="DU161" s="32" t="e">
        <f>DS161*#REF!</f>
        <v>#REF!</v>
      </c>
      <c r="DW161" s="33"/>
      <c r="DX161" s="34"/>
      <c r="DY161" s="35"/>
      <c r="DZ161" s="36"/>
      <c r="EA161" s="37"/>
      <c r="EB161" s="30">
        <f t="shared" si="25"/>
        <v>0</v>
      </c>
      <c r="EC161" s="31" t="e">
        <f>EB161*#REF!</f>
        <v>#REF!</v>
      </c>
      <c r="ED161" s="32" t="e">
        <f>EB161*#REF!</f>
        <v>#REF!</v>
      </c>
      <c r="EF161" s="33"/>
      <c r="EG161" s="34"/>
      <c r="EH161" s="35"/>
      <c r="EI161" s="36"/>
      <c r="EJ161" s="37"/>
      <c r="EK161" s="30">
        <f t="shared" si="26"/>
        <v>0</v>
      </c>
      <c r="EL161" s="31" t="e">
        <f>EK161*#REF!</f>
        <v>#REF!</v>
      </c>
      <c r="EM161" s="32" t="e">
        <f>EK161*#REF!</f>
        <v>#REF!</v>
      </c>
      <c r="EO161" s="33"/>
      <c r="EP161" s="34"/>
      <c r="EQ161" s="35"/>
      <c r="ER161" s="36"/>
      <c r="ES161" s="37"/>
      <c r="ET161" s="30">
        <f t="shared" si="27"/>
        <v>0</v>
      </c>
      <c r="EU161" s="31" t="e">
        <f>ET161*#REF!</f>
        <v>#REF!</v>
      </c>
      <c r="EV161" s="32" t="e">
        <f>ET161*#REF!</f>
        <v>#REF!</v>
      </c>
      <c r="EX161" s="33"/>
      <c r="EY161" s="34"/>
      <c r="EZ161" s="35"/>
      <c r="FA161" s="36"/>
      <c r="FB161" s="37"/>
      <c r="FC161" s="30">
        <f t="shared" si="28"/>
        <v>0</v>
      </c>
      <c r="FD161" s="31" t="e">
        <f>FC161*#REF!</f>
        <v>#REF!</v>
      </c>
      <c r="FE161" s="32" t="e">
        <f>FC161*#REF!</f>
        <v>#REF!</v>
      </c>
      <c r="FG161" s="33"/>
      <c r="FH161" s="34"/>
      <c r="FI161" s="35"/>
      <c r="FJ161" s="36"/>
      <c r="FK161" s="37"/>
      <c r="FL161" s="30">
        <f t="shared" si="29"/>
        <v>0</v>
      </c>
      <c r="FM161" s="31" t="e">
        <f>FL161*#REF!</f>
        <v>#REF!</v>
      </c>
      <c r="FN161" s="32" t="e">
        <f>FL161*#REF!</f>
        <v>#REF!</v>
      </c>
      <c r="FP161" s="33"/>
      <c r="FQ161" s="34"/>
      <c r="FR161" s="35"/>
      <c r="FS161" s="36"/>
      <c r="FT161" s="37"/>
      <c r="FU161" s="30">
        <f t="shared" si="30"/>
        <v>0</v>
      </c>
      <c r="FV161" s="31" t="e">
        <f>FU161*#REF!</f>
        <v>#REF!</v>
      </c>
      <c r="FW161" s="32" t="e">
        <f>FU161*#REF!</f>
        <v>#REF!</v>
      </c>
      <c r="FY161" s="33"/>
      <c r="FZ161" s="34"/>
      <c r="GA161" s="35"/>
      <c r="GB161" s="36"/>
      <c r="GC161" s="37"/>
      <c r="GD161" s="30">
        <f t="shared" si="31"/>
        <v>0</v>
      </c>
      <c r="GE161" s="31" t="e">
        <f>GD161*#REF!</f>
        <v>#REF!</v>
      </c>
      <c r="GF161" s="32" t="e">
        <f>GD161*#REF!</f>
        <v>#REF!</v>
      </c>
      <c r="GH161" s="33"/>
      <c r="GI161" s="34"/>
      <c r="GJ161" s="35"/>
      <c r="GK161" s="36"/>
      <c r="GL161" s="37"/>
      <c r="GM161" s="30">
        <f t="shared" si="32"/>
        <v>0</v>
      </c>
      <c r="GN161" s="31" t="e">
        <f>GM161*#REF!</f>
        <v>#REF!</v>
      </c>
      <c r="GO161" s="32" t="e">
        <f>GM161*#REF!</f>
        <v>#REF!</v>
      </c>
      <c r="GQ161" s="38">
        <f>_xlfn.MAXIFS(I161:GO161,$I$5:$GO$5,"Staff #")</f>
        <v>0</v>
      </c>
      <c r="GR161" s="39">
        <v>0</v>
      </c>
    </row>
    <row r="162" spans="2:201" ht="15" x14ac:dyDescent="0.25">
      <c r="B162" s="22"/>
      <c r="C162" s="23"/>
      <c r="D162" s="24" t="str">
        <f>IF(C162="","",_xlfn.XLOOKUP(C162,'[3]Control Sheet'!$L$5:$L$104,'[3]Control Sheet'!$M$5:$M$104,"",0))</f>
        <v/>
      </c>
      <c r="E162" s="24" t="str">
        <f>IF(B162="","",_xlfn.XLOOKUP(B162,'[3]Control Sheet'!$D$5:$D$64,'[3]Control Sheet'!$F$5:$F$64,"",0))</f>
        <v/>
      </c>
      <c r="F162" s="24" t="str">
        <f>IF(B162="","",_xlfn.XLOOKUP(B162,'[3]Control Sheet'!$D$5:$D$64,'[3]Control Sheet'!$E$5:$E$64,"",0))</f>
        <v/>
      </c>
      <c r="I162" s="33"/>
      <c r="J162" s="34"/>
      <c r="K162" s="35"/>
      <c r="L162" s="36"/>
      <c r="M162" s="37"/>
      <c r="P162" s="33"/>
      <c r="Q162" s="34"/>
      <c r="R162" s="35"/>
      <c r="S162" s="36"/>
      <c r="T162" s="37"/>
      <c r="V162" s="33"/>
      <c r="W162" s="34"/>
      <c r="X162" s="35"/>
      <c r="Y162" s="36"/>
      <c r="Z162" s="37"/>
      <c r="AB162" s="33"/>
      <c r="AC162" s="34"/>
      <c r="AD162" s="35"/>
      <c r="AE162" s="36"/>
      <c r="AF162" s="37"/>
      <c r="AH162" s="33"/>
      <c r="AI162" s="34"/>
      <c r="AJ162" s="35"/>
      <c r="AK162" s="36"/>
      <c r="AL162" s="37"/>
      <c r="AN162" s="33"/>
      <c r="AO162" s="34"/>
      <c r="AP162" s="35"/>
      <c r="AQ162" s="36"/>
      <c r="AR162" s="37"/>
      <c r="AT162" s="33"/>
      <c r="AU162" s="34"/>
      <c r="AV162" s="35"/>
      <c r="AW162" s="36"/>
      <c r="AX162" s="37"/>
      <c r="AZ162" s="33"/>
      <c r="BA162" s="34"/>
      <c r="BB162" s="35"/>
      <c r="BC162" s="36"/>
      <c r="BD162" s="37"/>
      <c r="BF162" s="33"/>
      <c r="BG162" s="34"/>
      <c r="BH162" s="35"/>
      <c r="BI162" s="36"/>
      <c r="BJ162" s="37"/>
      <c r="BL162" s="33"/>
      <c r="BM162" s="34"/>
      <c r="BN162" s="35"/>
      <c r="BO162" s="36"/>
      <c r="BP162" s="37"/>
      <c r="BR162" s="33"/>
      <c r="BS162" s="34"/>
      <c r="BT162" s="35"/>
      <c r="BU162" s="36"/>
      <c r="BV162" s="37"/>
      <c r="BX162" s="33"/>
      <c r="BY162" s="34"/>
      <c r="BZ162" s="35"/>
      <c r="CA162" s="36"/>
      <c r="CB162" s="37"/>
      <c r="CD162" s="33"/>
      <c r="CE162" s="34"/>
      <c r="CF162" s="35"/>
      <c r="CG162" s="36"/>
      <c r="CH162" s="37"/>
      <c r="CJ162" s="33"/>
      <c r="CK162" s="34"/>
      <c r="CL162" s="35"/>
      <c r="CM162" s="36"/>
      <c r="CN162" s="37"/>
      <c r="CP162" s="33"/>
      <c r="CQ162" s="34"/>
      <c r="CR162" s="35"/>
      <c r="CS162" s="36"/>
      <c r="CT162" s="37"/>
      <c r="CV162" s="33"/>
      <c r="CW162" s="34"/>
      <c r="CX162" s="35"/>
      <c r="CY162" s="36"/>
      <c r="CZ162" s="37"/>
      <c r="DA162" s="30">
        <f t="shared" si="22"/>
        <v>0</v>
      </c>
      <c r="DB162" s="31" t="e">
        <f>DA162*#REF!</f>
        <v>#REF!</v>
      </c>
      <c r="DC162" s="32" t="e">
        <f>DA162*#REF!</f>
        <v>#REF!</v>
      </c>
      <c r="DE162" s="33"/>
      <c r="DF162" s="34"/>
      <c r="DG162" s="35"/>
      <c r="DH162" s="36"/>
      <c r="DI162" s="37"/>
      <c r="DJ162" s="30">
        <f t="shared" si="23"/>
        <v>0</v>
      </c>
      <c r="DK162" s="31" t="e">
        <f>DJ162*#REF!</f>
        <v>#REF!</v>
      </c>
      <c r="DL162" s="32" t="e">
        <f>DJ162*#REF!</f>
        <v>#REF!</v>
      </c>
      <c r="DN162" s="33"/>
      <c r="DO162" s="34"/>
      <c r="DP162" s="35"/>
      <c r="DQ162" s="36"/>
      <c r="DR162" s="37"/>
      <c r="DS162" s="30">
        <f t="shared" si="24"/>
        <v>0</v>
      </c>
      <c r="DT162" s="31" t="e">
        <f>DS162*#REF!</f>
        <v>#REF!</v>
      </c>
      <c r="DU162" s="32" t="e">
        <f>DS162*#REF!</f>
        <v>#REF!</v>
      </c>
      <c r="DW162" s="33"/>
      <c r="DX162" s="34"/>
      <c r="DY162" s="35"/>
      <c r="DZ162" s="36"/>
      <c r="EA162" s="37"/>
      <c r="EB162" s="30">
        <f t="shared" si="25"/>
        <v>0</v>
      </c>
      <c r="EC162" s="31" t="e">
        <f>EB162*#REF!</f>
        <v>#REF!</v>
      </c>
      <c r="ED162" s="32" t="e">
        <f>EB162*#REF!</f>
        <v>#REF!</v>
      </c>
      <c r="EF162" s="33"/>
      <c r="EG162" s="34"/>
      <c r="EH162" s="35"/>
      <c r="EI162" s="36"/>
      <c r="EJ162" s="37"/>
      <c r="EK162" s="30">
        <f t="shared" si="26"/>
        <v>0</v>
      </c>
      <c r="EL162" s="31" t="e">
        <f>EK162*#REF!</f>
        <v>#REF!</v>
      </c>
      <c r="EM162" s="32" t="e">
        <f>EK162*#REF!</f>
        <v>#REF!</v>
      </c>
      <c r="EO162" s="33"/>
      <c r="EP162" s="34"/>
      <c r="EQ162" s="35"/>
      <c r="ER162" s="36"/>
      <c r="ES162" s="37"/>
      <c r="ET162" s="30">
        <f t="shared" si="27"/>
        <v>0</v>
      </c>
      <c r="EU162" s="31" t="e">
        <f>ET162*#REF!</f>
        <v>#REF!</v>
      </c>
      <c r="EV162" s="32" t="e">
        <f>ET162*#REF!</f>
        <v>#REF!</v>
      </c>
      <c r="EX162" s="33"/>
      <c r="EY162" s="34"/>
      <c r="EZ162" s="35"/>
      <c r="FA162" s="36"/>
      <c r="FB162" s="37"/>
      <c r="FC162" s="30">
        <f t="shared" si="28"/>
        <v>0</v>
      </c>
      <c r="FD162" s="31" t="e">
        <f>FC162*#REF!</f>
        <v>#REF!</v>
      </c>
      <c r="FE162" s="32" t="e">
        <f>FC162*#REF!</f>
        <v>#REF!</v>
      </c>
      <c r="FG162" s="33"/>
      <c r="FH162" s="34"/>
      <c r="FI162" s="35"/>
      <c r="FJ162" s="36"/>
      <c r="FK162" s="37"/>
      <c r="FL162" s="30">
        <f t="shared" si="29"/>
        <v>0</v>
      </c>
      <c r="FM162" s="31" t="e">
        <f>FL162*#REF!</f>
        <v>#REF!</v>
      </c>
      <c r="FN162" s="32" t="e">
        <f>FL162*#REF!</f>
        <v>#REF!</v>
      </c>
      <c r="FP162" s="33"/>
      <c r="FQ162" s="34"/>
      <c r="FR162" s="35"/>
      <c r="FS162" s="36"/>
      <c r="FT162" s="37"/>
      <c r="FU162" s="30">
        <f t="shared" si="30"/>
        <v>0</v>
      </c>
      <c r="FV162" s="31" t="e">
        <f>FU162*#REF!</f>
        <v>#REF!</v>
      </c>
      <c r="FW162" s="32" t="e">
        <f>FU162*#REF!</f>
        <v>#REF!</v>
      </c>
      <c r="FY162" s="33"/>
      <c r="FZ162" s="34"/>
      <c r="GA162" s="35"/>
      <c r="GB162" s="36"/>
      <c r="GC162" s="37"/>
      <c r="GD162" s="30">
        <f t="shared" si="31"/>
        <v>0</v>
      </c>
      <c r="GE162" s="31" t="e">
        <f>GD162*#REF!</f>
        <v>#REF!</v>
      </c>
      <c r="GF162" s="32" t="e">
        <f>GD162*#REF!</f>
        <v>#REF!</v>
      </c>
      <c r="GH162" s="33"/>
      <c r="GI162" s="34"/>
      <c r="GJ162" s="35"/>
      <c r="GK162" s="36"/>
      <c r="GL162" s="37"/>
      <c r="GM162" s="30">
        <f t="shared" si="32"/>
        <v>0</v>
      </c>
      <c r="GN162" s="31" t="e">
        <f>GM162*#REF!</f>
        <v>#REF!</v>
      </c>
      <c r="GO162" s="32" t="e">
        <f>GM162*#REF!</f>
        <v>#REF!</v>
      </c>
      <c r="GQ162" s="38">
        <f>_xlfn.MAXIFS(I162:GO162,$I$5:$GO$5,"Staff #")</f>
        <v>0</v>
      </c>
      <c r="GR162" s="39">
        <v>0</v>
      </c>
    </row>
    <row r="163" spans="2:201" ht="15" x14ac:dyDescent="0.25">
      <c r="B163" s="22"/>
      <c r="C163" s="23"/>
      <c r="D163" s="24" t="str">
        <f>IF(C163="","",_xlfn.XLOOKUP(C163,'[3]Control Sheet'!$L$5:$L$104,'[3]Control Sheet'!$M$5:$M$104,"",0))</f>
        <v/>
      </c>
      <c r="E163" s="24" t="str">
        <f>IF(B163="","",_xlfn.XLOOKUP(B163,'[3]Control Sheet'!$D$5:$D$64,'[3]Control Sheet'!$F$5:$F$64,"",0))</f>
        <v/>
      </c>
      <c r="F163" s="24" t="str">
        <f>IF(B163="","",_xlfn.XLOOKUP(B163,'[3]Control Sheet'!$D$5:$D$64,'[3]Control Sheet'!$E$5:$E$64,"",0))</f>
        <v/>
      </c>
      <c r="I163" s="33"/>
      <c r="J163" s="34"/>
      <c r="K163" s="35"/>
      <c r="L163" s="36"/>
      <c r="M163" s="37"/>
      <c r="P163" s="33"/>
      <c r="Q163" s="34"/>
      <c r="R163" s="35"/>
      <c r="S163" s="36"/>
      <c r="T163" s="37"/>
      <c r="V163" s="33"/>
      <c r="W163" s="34"/>
      <c r="X163" s="35"/>
      <c r="Y163" s="36"/>
      <c r="Z163" s="37"/>
      <c r="AB163" s="33"/>
      <c r="AC163" s="34"/>
      <c r="AD163" s="35"/>
      <c r="AE163" s="36"/>
      <c r="AF163" s="37"/>
      <c r="AH163" s="33"/>
      <c r="AI163" s="34"/>
      <c r="AJ163" s="35"/>
      <c r="AK163" s="36"/>
      <c r="AL163" s="37"/>
      <c r="AN163" s="33"/>
      <c r="AO163" s="34"/>
      <c r="AP163" s="35"/>
      <c r="AQ163" s="36"/>
      <c r="AR163" s="37"/>
      <c r="AT163" s="33"/>
      <c r="AU163" s="34"/>
      <c r="AV163" s="35"/>
      <c r="AW163" s="36"/>
      <c r="AX163" s="37"/>
      <c r="AZ163" s="33"/>
      <c r="BA163" s="34"/>
      <c r="BB163" s="35"/>
      <c r="BC163" s="36"/>
      <c r="BD163" s="37"/>
      <c r="BF163" s="33"/>
      <c r="BG163" s="34"/>
      <c r="BH163" s="35"/>
      <c r="BI163" s="36"/>
      <c r="BJ163" s="37"/>
      <c r="BL163" s="33"/>
      <c r="BM163" s="34"/>
      <c r="BN163" s="35"/>
      <c r="BO163" s="36"/>
      <c r="BP163" s="37"/>
      <c r="BR163" s="33"/>
      <c r="BS163" s="34"/>
      <c r="BT163" s="35"/>
      <c r="BU163" s="36"/>
      <c r="BV163" s="37"/>
      <c r="BX163" s="33"/>
      <c r="BY163" s="34"/>
      <c r="BZ163" s="35"/>
      <c r="CA163" s="36"/>
      <c r="CB163" s="37"/>
      <c r="CD163" s="33"/>
      <c r="CE163" s="34"/>
      <c r="CF163" s="35"/>
      <c r="CG163" s="36"/>
      <c r="CH163" s="37"/>
      <c r="CJ163" s="33"/>
      <c r="CK163" s="34"/>
      <c r="CL163" s="35"/>
      <c r="CM163" s="36"/>
      <c r="CN163" s="37"/>
      <c r="CP163" s="33"/>
      <c r="CQ163" s="34"/>
      <c r="CR163" s="35"/>
      <c r="CS163" s="36"/>
      <c r="CT163" s="37"/>
      <c r="CV163" s="33"/>
      <c r="CW163" s="34"/>
      <c r="CX163" s="35"/>
      <c r="CY163" s="36"/>
      <c r="CZ163" s="37"/>
      <c r="DA163" s="30">
        <f t="shared" si="22"/>
        <v>0</v>
      </c>
      <c r="DB163" s="31" t="e">
        <f>DA163*#REF!</f>
        <v>#REF!</v>
      </c>
      <c r="DC163" s="32" t="e">
        <f>DA163*#REF!</f>
        <v>#REF!</v>
      </c>
      <c r="DE163" s="33"/>
      <c r="DF163" s="34"/>
      <c r="DG163" s="35"/>
      <c r="DH163" s="36"/>
      <c r="DI163" s="37"/>
      <c r="DJ163" s="30">
        <f t="shared" si="23"/>
        <v>0</v>
      </c>
      <c r="DK163" s="31" t="e">
        <f>DJ163*#REF!</f>
        <v>#REF!</v>
      </c>
      <c r="DL163" s="32" t="e">
        <f>DJ163*#REF!</f>
        <v>#REF!</v>
      </c>
      <c r="DN163" s="33"/>
      <c r="DO163" s="34"/>
      <c r="DP163" s="35"/>
      <c r="DQ163" s="36"/>
      <c r="DR163" s="37"/>
      <c r="DS163" s="30">
        <f t="shared" si="24"/>
        <v>0</v>
      </c>
      <c r="DT163" s="31" t="e">
        <f>DS163*#REF!</f>
        <v>#REF!</v>
      </c>
      <c r="DU163" s="32" t="e">
        <f>DS163*#REF!</f>
        <v>#REF!</v>
      </c>
      <c r="DW163" s="33"/>
      <c r="DX163" s="34"/>
      <c r="DY163" s="35"/>
      <c r="DZ163" s="36"/>
      <c r="EA163" s="37"/>
      <c r="EB163" s="30">
        <f t="shared" si="25"/>
        <v>0</v>
      </c>
      <c r="EC163" s="31" t="e">
        <f>EB163*#REF!</f>
        <v>#REF!</v>
      </c>
      <c r="ED163" s="32" t="e">
        <f>EB163*#REF!</f>
        <v>#REF!</v>
      </c>
      <c r="EF163" s="33"/>
      <c r="EG163" s="34"/>
      <c r="EH163" s="35"/>
      <c r="EI163" s="36"/>
      <c r="EJ163" s="37"/>
      <c r="EK163" s="30">
        <f t="shared" si="26"/>
        <v>0</v>
      </c>
      <c r="EL163" s="31" t="e">
        <f>EK163*#REF!</f>
        <v>#REF!</v>
      </c>
      <c r="EM163" s="32" t="e">
        <f>EK163*#REF!</f>
        <v>#REF!</v>
      </c>
      <c r="EO163" s="33"/>
      <c r="EP163" s="34"/>
      <c r="EQ163" s="35"/>
      <c r="ER163" s="36"/>
      <c r="ES163" s="37"/>
      <c r="ET163" s="30">
        <f t="shared" si="27"/>
        <v>0</v>
      </c>
      <c r="EU163" s="31" t="e">
        <f>ET163*#REF!</f>
        <v>#REF!</v>
      </c>
      <c r="EV163" s="32" t="e">
        <f>ET163*#REF!</f>
        <v>#REF!</v>
      </c>
      <c r="EX163" s="33"/>
      <c r="EY163" s="34"/>
      <c r="EZ163" s="35"/>
      <c r="FA163" s="36"/>
      <c r="FB163" s="37"/>
      <c r="FC163" s="30">
        <f t="shared" si="28"/>
        <v>0</v>
      </c>
      <c r="FD163" s="31" t="e">
        <f>FC163*#REF!</f>
        <v>#REF!</v>
      </c>
      <c r="FE163" s="32" t="e">
        <f>FC163*#REF!</f>
        <v>#REF!</v>
      </c>
      <c r="FG163" s="33"/>
      <c r="FH163" s="34"/>
      <c r="FI163" s="35"/>
      <c r="FJ163" s="36"/>
      <c r="FK163" s="37"/>
      <c r="FL163" s="30">
        <f t="shared" si="29"/>
        <v>0</v>
      </c>
      <c r="FM163" s="31" t="e">
        <f>FL163*#REF!</f>
        <v>#REF!</v>
      </c>
      <c r="FN163" s="32" t="e">
        <f>FL163*#REF!</f>
        <v>#REF!</v>
      </c>
      <c r="FP163" s="33"/>
      <c r="FQ163" s="34"/>
      <c r="FR163" s="35"/>
      <c r="FS163" s="36"/>
      <c r="FT163" s="37"/>
      <c r="FU163" s="30">
        <f t="shared" si="30"/>
        <v>0</v>
      </c>
      <c r="FV163" s="31" t="e">
        <f>FU163*#REF!</f>
        <v>#REF!</v>
      </c>
      <c r="FW163" s="32" t="e">
        <f>FU163*#REF!</f>
        <v>#REF!</v>
      </c>
      <c r="FY163" s="33"/>
      <c r="FZ163" s="34"/>
      <c r="GA163" s="35"/>
      <c r="GB163" s="36"/>
      <c r="GC163" s="37"/>
      <c r="GD163" s="30">
        <f t="shared" si="31"/>
        <v>0</v>
      </c>
      <c r="GE163" s="31" t="e">
        <f>GD163*#REF!</f>
        <v>#REF!</v>
      </c>
      <c r="GF163" s="32" t="e">
        <f>GD163*#REF!</f>
        <v>#REF!</v>
      </c>
      <c r="GH163" s="33"/>
      <c r="GI163" s="34"/>
      <c r="GJ163" s="35"/>
      <c r="GK163" s="36"/>
      <c r="GL163" s="37"/>
      <c r="GM163" s="30">
        <f t="shared" si="32"/>
        <v>0</v>
      </c>
      <c r="GN163" s="31" t="e">
        <f>GM163*#REF!</f>
        <v>#REF!</v>
      </c>
      <c r="GO163" s="32" t="e">
        <f>GM163*#REF!</f>
        <v>#REF!</v>
      </c>
      <c r="GQ163" s="38">
        <f>_xlfn.MAXIFS(I163:GO163,$I$5:$GO$5,"Staff #")</f>
        <v>0</v>
      </c>
      <c r="GR163" s="39">
        <v>0</v>
      </c>
    </row>
    <row r="164" spans="2:201" ht="15" x14ac:dyDescent="0.25">
      <c r="B164" s="22"/>
      <c r="C164" s="23"/>
      <c r="D164" s="24" t="str">
        <f>IF(C164="","",_xlfn.XLOOKUP(C164,'[3]Control Sheet'!$L$5:$L$104,'[3]Control Sheet'!$M$5:$M$104,"",0))</f>
        <v/>
      </c>
      <c r="E164" s="24" t="str">
        <f>IF(B164="","",_xlfn.XLOOKUP(B164,'[3]Control Sheet'!$D$5:$D$64,'[3]Control Sheet'!$F$5:$F$64,"",0))</f>
        <v/>
      </c>
      <c r="F164" s="24" t="str">
        <f>IF(B164="","",_xlfn.XLOOKUP(B164,'[3]Control Sheet'!$D$5:$D$64,'[3]Control Sheet'!$E$5:$E$64,"",0))</f>
        <v/>
      </c>
      <c r="I164" s="33"/>
      <c r="J164" s="34"/>
      <c r="K164" s="35"/>
      <c r="L164" s="36"/>
      <c r="M164" s="37"/>
      <c r="P164" s="33"/>
      <c r="Q164" s="34"/>
      <c r="R164" s="35"/>
      <c r="S164" s="36"/>
      <c r="T164" s="37"/>
      <c r="V164" s="33"/>
      <c r="W164" s="34"/>
      <c r="X164" s="35"/>
      <c r="Y164" s="36"/>
      <c r="Z164" s="37"/>
      <c r="AB164" s="33"/>
      <c r="AC164" s="34"/>
      <c r="AD164" s="35"/>
      <c r="AE164" s="36"/>
      <c r="AF164" s="37"/>
      <c r="AH164" s="33"/>
      <c r="AI164" s="34"/>
      <c r="AJ164" s="35"/>
      <c r="AK164" s="36"/>
      <c r="AL164" s="37"/>
      <c r="AN164" s="33"/>
      <c r="AO164" s="34"/>
      <c r="AP164" s="35"/>
      <c r="AQ164" s="36"/>
      <c r="AR164" s="37"/>
      <c r="AT164" s="33"/>
      <c r="AU164" s="34"/>
      <c r="AV164" s="35"/>
      <c r="AW164" s="36"/>
      <c r="AX164" s="37"/>
      <c r="AZ164" s="33"/>
      <c r="BA164" s="34"/>
      <c r="BB164" s="35"/>
      <c r="BC164" s="36"/>
      <c r="BD164" s="37"/>
      <c r="BF164" s="33"/>
      <c r="BG164" s="34"/>
      <c r="BH164" s="35"/>
      <c r="BI164" s="36"/>
      <c r="BJ164" s="37"/>
      <c r="BL164" s="33"/>
      <c r="BM164" s="34"/>
      <c r="BN164" s="35"/>
      <c r="BO164" s="36"/>
      <c r="BP164" s="37"/>
      <c r="BR164" s="33"/>
      <c r="BS164" s="34"/>
      <c r="BT164" s="35"/>
      <c r="BU164" s="36"/>
      <c r="BV164" s="37"/>
      <c r="BX164" s="33"/>
      <c r="BY164" s="34"/>
      <c r="BZ164" s="35"/>
      <c r="CA164" s="36"/>
      <c r="CB164" s="37"/>
      <c r="CD164" s="33"/>
      <c r="CE164" s="34"/>
      <c r="CF164" s="35"/>
      <c r="CG164" s="36"/>
      <c r="CH164" s="37"/>
      <c r="CJ164" s="33"/>
      <c r="CK164" s="34"/>
      <c r="CL164" s="35"/>
      <c r="CM164" s="36"/>
      <c r="CN164" s="37"/>
      <c r="CP164" s="33"/>
      <c r="CQ164" s="34"/>
      <c r="CR164" s="35"/>
      <c r="CS164" s="36"/>
      <c r="CT164" s="37"/>
      <c r="CV164" s="33"/>
      <c r="CW164" s="34"/>
      <c r="CX164" s="35"/>
      <c r="CY164" s="36"/>
      <c r="CZ164" s="37"/>
      <c r="DA164" s="30">
        <f t="shared" si="22"/>
        <v>0</v>
      </c>
      <c r="DB164" s="31" t="e">
        <f>DA164*#REF!</f>
        <v>#REF!</v>
      </c>
      <c r="DC164" s="32" t="e">
        <f>DA164*#REF!</f>
        <v>#REF!</v>
      </c>
      <c r="DE164" s="33"/>
      <c r="DF164" s="34"/>
      <c r="DG164" s="35"/>
      <c r="DH164" s="36"/>
      <c r="DI164" s="37"/>
      <c r="DJ164" s="30">
        <f t="shared" si="23"/>
        <v>0</v>
      </c>
      <c r="DK164" s="31" t="e">
        <f>DJ164*#REF!</f>
        <v>#REF!</v>
      </c>
      <c r="DL164" s="32" t="e">
        <f>DJ164*#REF!</f>
        <v>#REF!</v>
      </c>
      <c r="DN164" s="33"/>
      <c r="DO164" s="34"/>
      <c r="DP164" s="35"/>
      <c r="DQ164" s="36"/>
      <c r="DR164" s="37"/>
      <c r="DS164" s="30">
        <f t="shared" si="24"/>
        <v>0</v>
      </c>
      <c r="DT164" s="31" t="e">
        <f>DS164*#REF!</f>
        <v>#REF!</v>
      </c>
      <c r="DU164" s="32" t="e">
        <f>DS164*#REF!</f>
        <v>#REF!</v>
      </c>
      <c r="DW164" s="33"/>
      <c r="DX164" s="34"/>
      <c r="DY164" s="35"/>
      <c r="DZ164" s="36"/>
      <c r="EA164" s="37"/>
      <c r="EB164" s="30">
        <f t="shared" si="25"/>
        <v>0</v>
      </c>
      <c r="EC164" s="31" t="e">
        <f>EB164*#REF!</f>
        <v>#REF!</v>
      </c>
      <c r="ED164" s="32" t="e">
        <f>EB164*#REF!</f>
        <v>#REF!</v>
      </c>
      <c r="EF164" s="33"/>
      <c r="EG164" s="34"/>
      <c r="EH164" s="35"/>
      <c r="EI164" s="36"/>
      <c r="EJ164" s="37"/>
      <c r="EK164" s="30">
        <f t="shared" si="26"/>
        <v>0</v>
      </c>
      <c r="EL164" s="31" t="e">
        <f>EK164*#REF!</f>
        <v>#REF!</v>
      </c>
      <c r="EM164" s="32" t="e">
        <f>EK164*#REF!</f>
        <v>#REF!</v>
      </c>
      <c r="EO164" s="33"/>
      <c r="EP164" s="34"/>
      <c r="EQ164" s="35"/>
      <c r="ER164" s="36"/>
      <c r="ES164" s="37"/>
      <c r="ET164" s="30">
        <f t="shared" si="27"/>
        <v>0</v>
      </c>
      <c r="EU164" s="31" t="e">
        <f>ET164*#REF!</f>
        <v>#REF!</v>
      </c>
      <c r="EV164" s="32" t="e">
        <f>ET164*#REF!</f>
        <v>#REF!</v>
      </c>
      <c r="EX164" s="33"/>
      <c r="EY164" s="34"/>
      <c r="EZ164" s="35"/>
      <c r="FA164" s="36"/>
      <c r="FB164" s="37"/>
      <c r="FC164" s="30">
        <f t="shared" si="28"/>
        <v>0</v>
      </c>
      <c r="FD164" s="31" t="e">
        <f>FC164*#REF!</f>
        <v>#REF!</v>
      </c>
      <c r="FE164" s="32" t="e">
        <f>FC164*#REF!</f>
        <v>#REF!</v>
      </c>
      <c r="FG164" s="33"/>
      <c r="FH164" s="34"/>
      <c r="FI164" s="35"/>
      <c r="FJ164" s="36"/>
      <c r="FK164" s="37"/>
      <c r="FL164" s="30">
        <f t="shared" si="29"/>
        <v>0</v>
      </c>
      <c r="FM164" s="31" t="e">
        <f>FL164*#REF!</f>
        <v>#REF!</v>
      </c>
      <c r="FN164" s="32" t="e">
        <f>FL164*#REF!</f>
        <v>#REF!</v>
      </c>
      <c r="FP164" s="33"/>
      <c r="FQ164" s="34"/>
      <c r="FR164" s="35"/>
      <c r="FS164" s="36"/>
      <c r="FT164" s="37"/>
      <c r="FU164" s="30">
        <f t="shared" si="30"/>
        <v>0</v>
      </c>
      <c r="FV164" s="31" t="e">
        <f>FU164*#REF!</f>
        <v>#REF!</v>
      </c>
      <c r="FW164" s="32" t="e">
        <f>FU164*#REF!</f>
        <v>#REF!</v>
      </c>
      <c r="FY164" s="33"/>
      <c r="FZ164" s="34"/>
      <c r="GA164" s="35"/>
      <c r="GB164" s="36"/>
      <c r="GC164" s="37"/>
      <c r="GD164" s="30">
        <f t="shared" si="31"/>
        <v>0</v>
      </c>
      <c r="GE164" s="31" t="e">
        <f>GD164*#REF!</f>
        <v>#REF!</v>
      </c>
      <c r="GF164" s="32" t="e">
        <f>GD164*#REF!</f>
        <v>#REF!</v>
      </c>
      <c r="GH164" s="33"/>
      <c r="GI164" s="34"/>
      <c r="GJ164" s="35"/>
      <c r="GK164" s="36"/>
      <c r="GL164" s="37"/>
      <c r="GM164" s="30">
        <f t="shared" si="32"/>
        <v>0</v>
      </c>
      <c r="GN164" s="31" t="e">
        <f>GM164*#REF!</f>
        <v>#REF!</v>
      </c>
      <c r="GO164" s="32" t="e">
        <f>GM164*#REF!</f>
        <v>#REF!</v>
      </c>
      <c r="GQ164" s="38">
        <f>_xlfn.MAXIFS(I164:GO164,$I$5:$GO$5,"Staff #")</f>
        <v>0</v>
      </c>
      <c r="GR164" s="39">
        <v>0</v>
      </c>
    </row>
    <row r="165" spans="2:201" ht="15" x14ac:dyDescent="0.25">
      <c r="B165" s="22"/>
      <c r="C165" s="23"/>
      <c r="D165" s="24" t="str">
        <f>IF(C165="","",_xlfn.XLOOKUP(C165,'[3]Control Sheet'!$L$5:$L$104,'[3]Control Sheet'!$M$5:$M$104,"",0))</f>
        <v/>
      </c>
      <c r="E165" s="24" t="str">
        <f>IF(B165="","",_xlfn.XLOOKUP(B165,'[3]Control Sheet'!$D$5:$D$64,'[3]Control Sheet'!$F$5:$F$64,"",0))</f>
        <v/>
      </c>
      <c r="F165" s="24" t="str">
        <f>IF(B165="","",_xlfn.XLOOKUP(B165,'[3]Control Sheet'!$D$5:$D$64,'[3]Control Sheet'!$E$5:$E$64,"",0))</f>
        <v/>
      </c>
      <c r="I165" s="33"/>
      <c r="J165" s="34"/>
      <c r="K165" s="35"/>
      <c r="L165" s="36"/>
      <c r="M165" s="37"/>
      <c r="P165" s="33"/>
      <c r="Q165" s="34"/>
      <c r="R165" s="35"/>
      <c r="S165" s="36"/>
      <c r="T165" s="37"/>
      <c r="V165" s="33"/>
      <c r="W165" s="34"/>
      <c r="X165" s="35"/>
      <c r="Y165" s="36"/>
      <c r="Z165" s="37"/>
      <c r="AB165" s="33"/>
      <c r="AC165" s="34"/>
      <c r="AD165" s="35"/>
      <c r="AE165" s="36"/>
      <c r="AF165" s="37"/>
      <c r="AH165" s="33"/>
      <c r="AI165" s="34"/>
      <c r="AJ165" s="35"/>
      <c r="AK165" s="36"/>
      <c r="AL165" s="37"/>
      <c r="AN165" s="33"/>
      <c r="AO165" s="34"/>
      <c r="AP165" s="35"/>
      <c r="AQ165" s="36"/>
      <c r="AR165" s="37"/>
      <c r="AT165" s="33"/>
      <c r="AU165" s="34"/>
      <c r="AV165" s="35"/>
      <c r="AW165" s="36"/>
      <c r="AX165" s="37"/>
      <c r="AZ165" s="33"/>
      <c r="BA165" s="34"/>
      <c r="BB165" s="35"/>
      <c r="BC165" s="36"/>
      <c r="BD165" s="37"/>
      <c r="BF165" s="33"/>
      <c r="BG165" s="34"/>
      <c r="BH165" s="35"/>
      <c r="BI165" s="36"/>
      <c r="BJ165" s="37"/>
      <c r="BL165" s="33"/>
      <c r="BM165" s="34"/>
      <c r="BN165" s="35"/>
      <c r="BO165" s="36"/>
      <c r="BP165" s="37"/>
      <c r="BR165" s="33"/>
      <c r="BS165" s="34"/>
      <c r="BT165" s="35"/>
      <c r="BU165" s="36"/>
      <c r="BV165" s="37"/>
      <c r="BX165" s="33"/>
      <c r="BY165" s="34"/>
      <c r="BZ165" s="35"/>
      <c r="CA165" s="36"/>
      <c r="CB165" s="37"/>
      <c r="CD165" s="33"/>
      <c r="CE165" s="34"/>
      <c r="CF165" s="35"/>
      <c r="CG165" s="36"/>
      <c r="CH165" s="37"/>
      <c r="CJ165" s="33"/>
      <c r="CK165" s="34"/>
      <c r="CL165" s="35"/>
      <c r="CM165" s="36"/>
      <c r="CN165" s="37"/>
      <c r="CP165" s="33"/>
      <c r="CQ165" s="34"/>
      <c r="CR165" s="35"/>
      <c r="CS165" s="36"/>
      <c r="CT165" s="37"/>
      <c r="CV165" s="33"/>
      <c r="CW165" s="34"/>
      <c r="CX165" s="35"/>
      <c r="CY165" s="36"/>
      <c r="CZ165" s="37"/>
      <c r="DA165" s="30">
        <f t="shared" si="22"/>
        <v>0</v>
      </c>
      <c r="DB165" s="31" t="e">
        <f>DA165*#REF!</f>
        <v>#REF!</v>
      </c>
      <c r="DC165" s="32" t="e">
        <f>DA165*#REF!</f>
        <v>#REF!</v>
      </c>
      <c r="DE165" s="33"/>
      <c r="DF165" s="34"/>
      <c r="DG165" s="35"/>
      <c r="DH165" s="36"/>
      <c r="DI165" s="37"/>
      <c r="DJ165" s="30">
        <f t="shared" si="23"/>
        <v>0</v>
      </c>
      <c r="DK165" s="31" t="e">
        <f>DJ165*#REF!</f>
        <v>#REF!</v>
      </c>
      <c r="DL165" s="32" t="e">
        <f>DJ165*#REF!</f>
        <v>#REF!</v>
      </c>
      <c r="DN165" s="33"/>
      <c r="DO165" s="34"/>
      <c r="DP165" s="35"/>
      <c r="DQ165" s="36"/>
      <c r="DR165" s="37"/>
      <c r="DS165" s="30">
        <f t="shared" si="24"/>
        <v>0</v>
      </c>
      <c r="DT165" s="31" t="e">
        <f>DS165*#REF!</f>
        <v>#REF!</v>
      </c>
      <c r="DU165" s="32" t="e">
        <f>DS165*#REF!</f>
        <v>#REF!</v>
      </c>
      <c r="DW165" s="33"/>
      <c r="DX165" s="34"/>
      <c r="DY165" s="35"/>
      <c r="DZ165" s="36"/>
      <c r="EA165" s="37"/>
      <c r="EB165" s="30">
        <f t="shared" si="25"/>
        <v>0</v>
      </c>
      <c r="EC165" s="31" t="e">
        <f>EB165*#REF!</f>
        <v>#REF!</v>
      </c>
      <c r="ED165" s="32" t="e">
        <f>EB165*#REF!</f>
        <v>#REF!</v>
      </c>
      <c r="EF165" s="33"/>
      <c r="EG165" s="34"/>
      <c r="EH165" s="35"/>
      <c r="EI165" s="36"/>
      <c r="EJ165" s="37"/>
      <c r="EK165" s="30">
        <f t="shared" si="26"/>
        <v>0</v>
      </c>
      <c r="EL165" s="31" t="e">
        <f>EK165*#REF!</f>
        <v>#REF!</v>
      </c>
      <c r="EM165" s="32" t="e">
        <f>EK165*#REF!</f>
        <v>#REF!</v>
      </c>
      <c r="EO165" s="33"/>
      <c r="EP165" s="34"/>
      <c r="EQ165" s="35"/>
      <c r="ER165" s="36"/>
      <c r="ES165" s="37"/>
      <c r="ET165" s="30">
        <f t="shared" si="27"/>
        <v>0</v>
      </c>
      <c r="EU165" s="31" t="e">
        <f>ET165*#REF!</f>
        <v>#REF!</v>
      </c>
      <c r="EV165" s="32" t="e">
        <f>ET165*#REF!</f>
        <v>#REF!</v>
      </c>
      <c r="EX165" s="33"/>
      <c r="EY165" s="34"/>
      <c r="EZ165" s="35"/>
      <c r="FA165" s="36"/>
      <c r="FB165" s="37"/>
      <c r="FC165" s="30">
        <f t="shared" si="28"/>
        <v>0</v>
      </c>
      <c r="FD165" s="31" t="e">
        <f>FC165*#REF!</f>
        <v>#REF!</v>
      </c>
      <c r="FE165" s="32" t="e">
        <f>FC165*#REF!</f>
        <v>#REF!</v>
      </c>
      <c r="FG165" s="33"/>
      <c r="FH165" s="34"/>
      <c r="FI165" s="35"/>
      <c r="FJ165" s="36"/>
      <c r="FK165" s="37"/>
      <c r="FL165" s="30">
        <f t="shared" si="29"/>
        <v>0</v>
      </c>
      <c r="FM165" s="31" t="e">
        <f>FL165*#REF!</f>
        <v>#REF!</v>
      </c>
      <c r="FN165" s="32" t="e">
        <f>FL165*#REF!</f>
        <v>#REF!</v>
      </c>
      <c r="FP165" s="33"/>
      <c r="FQ165" s="34"/>
      <c r="FR165" s="35"/>
      <c r="FS165" s="36"/>
      <c r="FT165" s="37"/>
      <c r="FU165" s="30">
        <f t="shared" si="30"/>
        <v>0</v>
      </c>
      <c r="FV165" s="31" t="e">
        <f>FU165*#REF!</f>
        <v>#REF!</v>
      </c>
      <c r="FW165" s="32" t="e">
        <f>FU165*#REF!</f>
        <v>#REF!</v>
      </c>
      <c r="FY165" s="33"/>
      <c r="FZ165" s="34"/>
      <c r="GA165" s="35"/>
      <c r="GB165" s="36"/>
      <c r="GC165" s="37"/>
      <c r="GD165" s="30">
        <f t="shared" si="31"/>
        <v>0</v>
      </c>
      <c r="GE165" s="31" t="e">
        <f>GD165*#REF!</f>
        <v>#REF!</v>
      </c>
      <c r="GF165" s="32" t="e">
        <f>GD165*#REF!</f>
        <v>#REF!</v>
      </c>
      <c r="GH165" s="33"/>
      <c r="GI165" s="34"/>
      <c r="GJ165" s="35"/>
      <c r="GK165" s="36"/>
      <c r="GL165" s="37"/>
      <c r="GM165" s="30">
        <f t="shared" si="32"/>
        <v>0</v>
      </c>
      <c r="GN165" s="31" t="e">
        <f>GM165*#REF!</f>
        <v>#REF!</v>
      </c>
      <c r="GO165" s="32" t="e">
        <f>GM165*#REF!</f>
        <v>#REF!</v>
      </c>
      <c r="GQ165" s="38">
        <f>_xlfn.MAXIFS(I165:GO165,$I$5:$GO$5,"Staff #")</f>
        <v>0</v>
      </c>
      <c r="GR165" s="39">
        <v>0</v>
      </c>
    </row>
    <row r="166" spans="2:201" ht="15.75" thickBot="1" x14ac:dyDescent="0.3">
      <c r="B166" s="22"/>
      <c r="C166" s="23"/>
      <c r="D166" s="24" t="str">
        <f>IF(C166="","",_xlfn.XLOOKUP(C166,'[3]Control Sheet'!$L$5:$L$104,'[3]Control Sheet'!$M$5:$M$104,"",0))</f>
        <v/>
      </c>
      <c r="E166" s="24" t="str">
        <f>IF(B166="","",_xlfn.XLOOKUP(B166,'[3]Control Sheet'!$D$5:$D$64,'[3]Control Sheet'!$F$5:$F$64,"",0))</f>
        <v/>
      </c>
      <c r="F166" s="24" t="str">
        <f>IF(B166="","",_xlfn.XLOOKUP(B166,'[3]Control Sheet'!$D$5:$D$64,'[3]Control Sheet'!$E$5:$E$64,"",0))</f>
        <v/>
      </c>
      <c r="I166" s="33"/>
      <c r="J166" s="34"/>
      <c r="K166" s="35"/>
      <c r="L166" s="36"/>
      <c r="M166" s="37"/>
      <c r="P166" s="33"/>
      <c r="Q166" s="34"/>
      <c r="R166" s="35"/>
      <c r="S166" s="36"/>
      <c r="T166" s="37"/>
      <c r="V166" s="33"/>
      <c r="W166" s="34"/>
      <c r="X166" s="35"/>
      <c r="Y166" s="36"/>
      <c r="Z166" s="37"/>
      <c r="AB166" s="33"/>
      <c r="AC166" s="34"/>
      <c r="AD166" s="35"/>
      <c r="AE166" s="36"/>
      <c r="AF166" s="37"/>
      <c r="AH166" s="33"/>
      <c r="AI166" s="34"/>
      <c r="AJ166" s="35"/>
      <c r="AK166" s="36"/>
      <c r="AL166" s="37"/>
      <c r="AN166" s="33"/>
      <c r="AO166" s="34"/>
      <c r="AP166" s="35"/>
      <c r="AQ166" s="36"/>
      <c r="AR166" s="37"/>
      <c r="AT166" s="33"/>
      <c r="AU166" s="34"/>
      <c r="AV166" s="35"/>
      <c r="AW166" s="36"/>
      <c r="AX166" s="37"/>
      <c r="AZ166" s="33"/>
      <c r="BA166" s="34"/>
      <c r="BB166" s="35"/>
      <c r="BC166" s="36"/>
      <c r="BD166" s="37"/>
      <c r="BF166" s="33"/>
      <c r="BG166" s="34"/>
      <c r="BH166" s="35"/>
      <c r="BI166" s="36"/>
      <c r="BJ166" s="37"/>
      <c r="BL166" s="33"/>
      <c r="BM166" s="34"/>
      <c r="BN166" s="35"/>
      <c r="BO166" s="36"/>
      <c r="BP166" s="37"/>
      <c r="BR166" s="33"/>
      <c r="BS166" s="34"/>
      <c r="BT166" s="35"/>
      <c r="BU166" s="36"/>
      <c r="BV166" s="37"/>
      <c r="BX166" s="33"/>
      <c r="BY166" s="34"/>
      <c r="BZ166" s="35"/>
      <c r="CA166" s="36"/>
      <c r="CB166" s="37"/>
      <c r="CD166" s="33"/>
      <c r="CE166" s="34"/>
      <c r="CF166" s="35"/>
      <c r="CG166" s="36"/>
      <c r="CH166" s="37"/>
      <c r="CJ166" s="33"/>
      <c r="CK166" s="34"/>
      <c r="CL166" s="35"/>
      <c r="CM166" s="36"/>
      <c r="CN166" s="37"/>
      <c r="CP166" s="33"/>
      <c r="CQ166" s="34"/>
      <c r="CR166" s="35"/>
      <c r="CS166" s="36"/>
      <c r="CT166" s="37"/>
      <c r="CV166" s="33"/>
      <c r="CW166" s="34"/>
      <c r="CX166" s="35"/>
      <c r="CY166" s="36"/>
      <c r="CZ166" s="37"/>
      <c r="DA166" s="30">
        <f t="shared" si="22"/>
        <v>0</v>
      </c>
      <c r="DB166" s="31" t="e">
        <f>DA166*#REF!</f>
        <v>#REF!</v>
      </c>
      <c r="DC166" s="32" t="e">
        <f>DA166*#REF!</f>
        <v>#REF!</v>
      </c>
      <c r="DE166" s="33"/>
      <c r="DF166" s="34"/>
      <c r="DG166" s="35"/>
      <c r="DH166" s="36"/>
      <c r="DI166" s="37"/>
      <c r="DJ166" s="30">
        <f t="shared" si="23"/>
        <v>0</v>
      </c>
      <c r="DK166" s="31" t="e">
        <f>DJ166*#REF!</f>
        <v>#REF!</v>
      </c>
      <c r="DL166" s="32" t="e">
        <f>DJ166*#REF!</f>
        <v>#REF!</v>
      </c>
      <c r="DN166" s="33"/>
      <c r="DO166" s="34"/>
      <c r="DP166" s="35"/>
      <c r="DQ166" s="36"/>
      <c r="DR166" s="37"/>
      <c r="DS166" s="30">
        <f t="shared" si="24"/>
        <v>0</v>
      </c>
      <c r="DT166" s="31" t="e">
        <f>DS166*#REF!</f>
        <v>#REF!</v>
      </c>
      <c r="DU166" s="32" t="e">
        <f>DS166*#REF!</f>
        <v>#REF!</v>
      </c>
      <c r="DW166" s="33"/>
      <c r="DX166" s="34"/>
      <c r="DY166" s="35"/>
      <c r="DZ166" s="36"/>
      <c r="EA166" s="37"/>
      <c r="EB166" s="30">
        <f t="shared" si="25"/>
        <v>0</v>
      </c>
      <c r="EC166" s="31" t="e">
        <f>EB166*#REF!</f>
        <v>#REF!</v>
      </c>
      <c r="ED166" s="32" t="e">
        <f>EB166*#REF!</f>
        <v>#REF!</v>
      </c>
      <c r="EF166" s="33"/>
      <c r="EG166" s="34"/>
      <c r="EH166" s="35"/>
      <c r="EI166" s="36"/>
      <c r="EJ166" s="37"/>
      <c r="EK166" s="30">
        <f t="shared" si="26"/>
        <v>0</v>
      </c>
      <c r="EL166" s="31" t="e">
        <f>EK166*#REF!</f>
        <v>#REF!</v>
      </c>
      <c r="EM166" s="32" t="e">
        <f>EK166*#REF!</f>
        <v>#REF!</v>
      </c>
      <c r="EO166" s="33"/>
      <c r="EP166" s="34"/>
      <c r="EQ166" s="35"/>
      <c r="ER166" s="36"/>
      <c r="ES166" s="37"/>
      <c r="ET166" s="30">
        <f t="shared" si="27"/>
        <v>0</v>
      </c>
      <c r="EU166" s="31" t="e">
        <f>ET166*#REF!</f>
        <v>#REF!</v>
      </c>
      <c r="EV166" s="32" t="e">
        <f>ET166*#REF!</f>
        <v>#REF!</v>
      </c>
      <c r="EX166" s="33"/>
      <c r="EY166" s="34"/>
      <c r="EZ166" s="35"/>
      <c r="FA166" s="36"/>
      <c r="FB166" s="37"/>
      <c r="FC166" s="30">
        <f t="shared" si="28"/>
        <v>0</v>
      </c>
      <c r="FD166" s="31" t="e">
        <f>FC166*#REF!</f>
        <v>#REF!</v>
      </c>
      <c r="FE166" s="32" t="e">
        <f>FC166*#REF!</f>
        <v>#REF!</v>
      </c>
      <c r="FG166" s="33"/>
      <c r="FH166" s="34"/>
      <c r="FI166" s="35"/>
      <c r="FJ166" s="36"/>
      <c r="FK166" s="37"/>
      <c r="FL166" s="30">
        <f t="shared" si="29"/>
        <v>0</v>
      </c>
      <c r="FM166" s="31" t="e">
        <f>FL166*#REF!</f>
        <v>#REF!</v>
      </c>
      <c r="FN166" s="32" t="e">
        <f>FL166*#REF!</f>
        <v>#REF!</v>
      </c>
      <c r="FP166" s="33"/>
      <c r="FQ166" s="34"/>
      <c r="FR166" s="35"/>
      <c r="FS166" s="36"/>
      <c r="FT166" s="37"/>
      <c r="FU166" s="30">
        <f t="shared" si="30"/>
        <v>0</v>
      </c>
      <c r="FV166" s="31" t="e">
        <f>FU166*#REF!</f>
        <v>#REF!</v>
      </c>
      <c r="FW166" s="32" t="e">
        <f>FU166*#REF!</f>
        <v>#REF!</v>
      </c>
      <c r="FY166" s="33"/>
      <c r="FZ166" s="34"/>
      <c r="GA166" s="35"/>
      <c r="GB166" s="36"/>
      <c r="GC166" s="37"/>
      <c r="GD166" s="30">
        <f t="shared" si="31"/>
        <v>0</v>
      </c>
      <c r="GE166" s="31" t="e">
        <f>GD166*#REF!</f>
        <v>#REF!</v>
      </c>
      <c r="GF166" s="32" t="e">
        <f>GD166*#REF!</f>
        <v>#REF!</v>
      </c>
      <c r="GH166" s="33"/>
      <c r="GI166" s="34"/>
      <c r="GJ166" s="35"/>
      <c r="GK166" s="36"/>
      <c r="GL166" s="37"/>
      <c r="GM166" s="30">
        <f t="shared" si="32"/>
        <v>0</v>
      </c>
      <c r="GN166" s="31" t="e">
        <f>GM166*#REF!</f>
        <v>#REF!</v>
      </c>
      <c r="GO166" s="32" t="e">
        <f>GM166*#REF!</f>
        <v>#REF!</v>
      </c>
      <c r="GQ166" s="38">
        <f>_xlfn.MAXIFS(I166:GO166,$I$5:$GO$5,"Staff #")</f>
        <v>0</v>
      </c>
      <c r="GR166" s="44">
        <v>0</v>
      </c>
    </row>
    <row r="167" spans="2:201" ht="15" x14ac:dyDescent="0.25">
      <c r="B167" s="86"/>
      <c r="C167" s="86"/>
      <c r="D167" s="86"/>
      <c r="E167" s="86"/>
      <c r="F167" s="86"/>
      <c r="GS167" s="1" t="s">
        <v>85</v>
      </c>
    </row>
    <row r="168" spans="2:201" ht="15" x14ac:dyDescent="0.25"/>
    <row r="169" spans="2:201" ht="15" x14ac:dyDescent="0.25">
      <c r="L169" s="45"/>
      <c r="S169" s="45"/>
      <c r="T169" s="45"/>
    </row>
  </sheetData>
  <mergeCells count="1">
    <mergeCell ref="B167:F167"/>
  </mergeCells>
  <dataValidations count="3">
    <dataValidation type="list" allowBlank="1" showInputMessage="1" showErrorMessage="1" sqref="Z21:Z24 BD21:BD24 AR21:AR24 T6:T12 M21:M26 T21:T24 BP21:BP26 AF21:AF24 AL21:AL24 CH21:CH26 CB21:CB26 AX21:AX24 BV21:BV26 BJ34 M6:M12 T59 Z6:Z12 AF6:AF12 AL6:AL12 AR6:AR12 AX6:AX12 BD6:BD12 M15 T15 AF15 AL15 AR15 AX15 BD15 BJ15 M18 T18 Z18 AF18 AL18 AR18 AX18 BD18 BJ18 BV6:BV18 BP6:BP18 CB6:CB18 BJ6:BJ12 BJ21:BJ24 M28:M29 M31:M32 T28:T29 T31:T32 Z28:Z29 Z31:Z32 AF28:AF29 AF31:AF32 AL28:AL29 AL31:AL32 AR28:AR29 AR31:AR32 AX28:AX29 AX31:AX32 BD28:BD29 BD31:BD32 BJ28:BJ29 BJ31:BJ32 M34 T34 Z34 AF34 AL34 AR34 AX34 BD34 CH6:CH18 CN21:CN26 M57 T57 M59 CN6:CN18 CT6" xr:uid="{F2DBE32D-52CE-4C49-B813-AA1715AB49C1}">
      <formula1>"0.25,0.33,0.5,1"</formula1>
    </dataValidation>
    <dataValidation type="time" allowBlank="1" showInputMessage="1" showErrorMessage="1" sqref="BM59 P10:Q12 BG15 I6:J8 AZ21:BA24 P6:Q8 V10:W12 V6:W8 AB10:AC12 I21:J26 AB6:AC8 AH10:AI12 P21:Q24 AN10 AH6:AI8 AN12:AO12 BL21:BM26 AN6:AO8 AT10:AU10 AT12:AU12 AB21:AC24 AH21:AI24 AZ10:BA10 AZ12:BA12 AT6:AU8 AN21:AO24 AZ6:BA8 BF10:BG10 V15:W15 V21:W24 BF6:BG8 BL10:BM10 BL12:BM12 CD21:CE26 BX21:BY26 BL6:BM8 BR10:BS10 BX10:BY10 AT21:AU24 BR6:BS8 CD10:CE10 BX6:BY8 BR21:BS26 BG36:BG37 I10:J12 J15 Q15 I18:J18 P18:Q18 V18:W18 AB18:AC18 AH18:AI18 AN18:AO18 AT18:AU18 AZ18:BA18 BF18:BG18 BX12:BY18 BR12:BS18 CD12:CE18 BF57 BF21:BG24 I28:J29 I31:J32 P28:Q29 P31:Q32 V28:W29 V31:W32 AB28:AC29 AB31:AC32 AH28:AI29 AH31:AI32 AN28:AO29 AN31:AO32 AT28:AU29 AT31:AU32 AZ28:BA29 AZ31:BA32 BF28:BG29 BF31:BG32 I34:J34 P34:Q34 V34:W34 AB34:AC34 AH34:AI34 AN34:AO34 AT34:AU34 AZ34:BA34 BF34:BG34 Q36:Q37 W36:W37 AC36:AC37 AI36:AI37 AO36:AO37 AU36:AU37 BA36:BA37 CD6:CE8 CJ21:CK26 I57:J57 V57 AB57:AC57 AH57:AI57 AN57:AO57 AT57:AU58 AZ57:BA57 P57 I59:J59 BL57 AU59:AU60 AO59:AO60 CJ6:CK18 CP6:CQ6 BL15:BL18 BM18 BM15" xr:uid="{7786A91F-8BA9-4E28-9658-9686EEF57F81}">
      <formula1>0</formula1>
      <formula2>0.999305555555556</formula2>
    </dataValidation>
    <dataValidation type="time" allowBlank="1" showInputMessage="1" showErrorMessage="1" sqref="EX6:EY166 AN11:AO11 V13:W14 AH13:AI17 BX11:BY11 EO6:EP166 EF6:EG166 DW6:DX166 DN6:DO166 DE6:DF166 V16:W17 CD11:CE11 BR11:BS11 I9:J9 BL13:BM14 BM60:BM166 I15 AN13:AO17 CV6:CW166 GH6:GI166 FG6:FH166 FY6:FZ166 AT13:AU17 FP6:FQ166 AT36:AT37 P9:Q9 P15 I13:J14 AZ36:AZ37 V9:W9 P13:Q14 AH58:AI166 AB9:AC9 AH9:AI9 AN9:AO9 AB13:AC17 AO10 AB36:AB37 AT9:AU9 AT11:AU11 AH36:AH37 AZ9:BA9 AZ11:BA11 AN36:AN37 BF9:BG9 AZ13:BA17 BF36:BF37 BL9:BM9 BL11:BM11 BS45 BR9:BS9 V59:W166 BX9:BY9 CD9:CE9 AT61:AU166 BF11:BG14 I16:J17 P16:Q17 BF15 BF16:BG17 I19:J20 P19:Q20 V19:W20 AB19:AC20 AH19:AI20 AN19:AO20 AT19:AU20 AZ19:BA20 BF19:BG20 BX19:BY20 BR19:BS20 CD19:CE20 I27:J27 I30:J30 P25:Q27 P30:Q30 V25:W27 V30:W30 AB25:AC27 AB30:AC30 AH25:AI27 AH30:AI30 AN25:AO27 AN30:AO30 AT25:AU27 AT30:AU30 AZ25:BA27 AZ30:BA30 BF25:BG27 BF30:BG30 I33:J33 P33:Q33 V33:W33 AB33:AC33 AH33:AI33 AN33:AO33 AT33:AU33 AZ33:BA33 BF33:BG33 Q35 V35:W35 CJ19:CK20 AB35:AC35 BX46:BY166 AH35:AI35 CD46:CE166 AN35:AO35 AT59:AT60 AT35:AU35 AZ35:BA35 AT38:AU56 BF35:BG35 CE45 BR27:BS44 AN59:AN60 BX27:BY44 CD27:CE44 BR46:BS166 I35:J56 AB38:AC56 AH38:AI56 AN38:AO56 AB58:AC166 AZ38:BA56 BF38:BG56 CJ27:CK166 P35:P56 Q38:Q166 V36:V56 AZ58:BA166 BL46:BL56 I58:J58 W38:W58 V58 AN58:AO58 CP7:CQ166 AN61:AO166 I60:J166 BG57 BL27:BL44 BF58:BG166 BL58:BL166 P58:P166 BM27:BM58 BL19:BM20 BM16:BM17" xr:uid="{7D89254C-0735-4CE3-9164-DD96D3EC3919}">
      <formula1>0</formula1>
      <formula2>0.989583333333333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824A-CA4C-464D-AC73-70323FE86DDB}">
  <dimension ref="B1:BP372"/>
  <sheetViews>
    <sheetView workbookViewId="0">
      <selection activeCell="G5" sqref="G5"/>
    </sheetView>
  </sheetViews>
  <sheetFormatPr defaultColWidth="12.140625" defaultRowHeight="15" x14ac:dyDescent="0.25"/>
  <cols>
    <col min="2" max="2" width="9.140625" bestFit="1" customWidth="1"/>
    <col min="3" max="3" width="7.85546875" bestFit="1" customWidth="1"/>
    <col min="4" max="4" width="6.5703125" bestFit="1" customWidth="1"/>
    <col min="5" max="5" width="21" bestFit="1" customWidth="1"/>
    <col min="6" max="6" width="27.28515625" bestFit="1" customWidth="1"/>
    <col min="7" max="7" width="4.5703125" customWidth="1"/>
    <col min="8" max="8" width="0.140625" customWidth="1"/>
    <col min="9" max="11" width="14.42578125" bestFit="1" customWidth="1"/>
    <col min="12" max="12" width="11.85546875" customWidth="1"/>
    <col min="13" max="13" width="14.42578125" customWidth="1"/>
    <col min="14" max="14" width="11.5703125" bestFit="1" customWidth="1"/>
    <col min="15" max="15" width="13.140625" bestFit="1" customWidth="1"/>
    <col min="16" max="16" width="10.85546875" bestFit="1" customWidth="1"/>
    <col min="17" max="17" width="12.42578125" bestFit="1" customWidth="1"/>
    <col min="18" max="18" width="10.5703125" bestFit="1" customWidth="1"/>
    <col min="19" max="19" width="11.5703125" bestFit="1" customWidth="1"/>
    <col min="20" max="20" width="11.140625" bestFit="1" customWidth="1"/>
    <col min="21" max="21" width="13.5703125" bestFit="1" customWidth="1"/>
    <col min="22" max="22" width="10.42578125" bestFit="1" customWidth="1"/>
    <col min="23" max="23" width="13.85546875" bestFit="1" customWidth="1"/>
    <col min="24" max="24" width="12" bestFit="1" customWidth="1"/>
    <col min="25" max="25" width="11.42578125" bestFit="1" customWidth="1"/>
    <col min="26" max="26" width="12.5703125" bestFit="1" customWidth="1"/>
    <col min="27" max="27" width="13.5703125" bestFit="1" customWidth="1"/>
    <col min="28" max="28" width="11.140625" bestFit="1" customWidth="1"/>
    <col min="29" max="29" width="8.5703125" bestFit="1" customWidth="1"/>
    <col min="30" max="30" width="10.42578125" bestFit="1" customWidth="1"/>
    <col min="31" max="31" width="13.85546875" bestFit="1" customWidth="1"/>
    <col min="32" max="32" width="10.5703125" bestFit="1" customWidth="1"/>
    <col min="33" max="33" width="10.42578125" bestFit="1" customWidth="1"/>
    <col min="34" max="34" width="12.85546875" bestFit="1" customWidth="1"/>
    <col min="35" max="35" width="12.28515625" customWidth="1"/>
    <col min="36" max="36" width="10.42578125" bestFit="1" customWidth="1"/>
    <col min="37" max="37" width="10.140625" bestFit="1" customWidth="1"/>
    <col min="38" max="38" width="13.5703125" customWidth="1"/>
    <col min="39" max="41" width="14.42578125" bestFit="1" customWidth="1"/>
    <col min="42" max="42" width="11.85546875" customWidth="1"/>
    <col min="43" max="43" width="14.42578125" customWidth="1"/>
    <col min="44" max="44" width="11.5703125" bestFit="1" customWidth="1"/>
    <col min="45" max="45" width="13.140625" bestFit="1" customWidth="1"/>
    <col min="46" max="46" width="10.85546875" bestFit="1" customWidth="1"/>
    <col min="47" max="47" width="12.42578125" bestFit="1" customWidth="1"/>
    <col min="48" max="48" width="10.5703125" bestFit="1" customWidth="1"/>
    <col min="49" max="49" width="11.5703125" bestFit="1" customWidth="1"/>
    <col min="50" max="50" width="11.140625" bestFit="1" customWidth="1"/>
    <col min="51" max="51" width="13.5703125" bestFit="1" customWidth="1"/>
    <col min="52" max="52" width="10.42578125" bestFit="1" customWidth="1"/>
    <col min="53" max="53" width="13.85546875" bestFit="1" customWidth="1"/>
    <col min="54" max="54" width="12" bestFit="1" customWidth="1"/>
    <col min="55" max="55" width="11.42578125" bestFit="1" customWidth="1"/>
    <col min="56" max="56" width="12.5703125" bestFit="1" customWidth="1"/>
    <col min="57" max="57" width="13.5703125" bestFit="1" customWidth="1"/>
    <col min="58" max="58" width="11.140625" bestFit="1" customWidth="1"/>
    <col min="59" max="59" width="8.5703125" bestFit="1" customWidth="1"/>
    <col min="60" max="60" width="10.42578125" bestFit="1" customWidth="1"/>
    <col min="61" max="61" width="13.85546875" bestFit="1" customWidth="1"/>
    <col min="62" max="62" width="10.5703125" bestFit="1" customWidth="1"/>
    <col min="63" max="63" width="10.42578125" bestFit="1" customWidth="1"/>
    <col min="64" max="64" width="12.85546875" bestFit="1" customWidth="1"/>
    <col min="65" max="65" width="8.42578125" bestFit="1" customWidth="1"/>
    <col min="66" max="66" width="10.42578125" bestFit="1" customWidth="1"/>
    <col min="67" max="67" width="10.140625" bestFit="1" customWidth="1"/>
    <col min="68" max="68" width="13.5703125" customWidth="1"/>
  </cols>
  <sheetData>
    <row r="1" spans="2:68" s="46" customFormat="1" ht="15.75" thickBot="1" x14ac:dyDescent="0.3"/>
    <row r="2" spans="2:68" s="47" customFormat="1" ht="19.5" thickBot="1" x14ac:dyDescent="0.35">
      <c r="B2" s="87" t="s">
        <v>86</v>
      </c>
      <c r="C2" s="88"/>
      <c r="D2" s="88"/>
      <c r="E2" s="88"/>
      <c r="F2" s="88"/>
      <c r="I2" s="48">
        <v>1</v>
      </c>
      <c r="J2" s="49">
        <v>2</v>
      </c>
      <c r="K2" s="49">
        <v>3</v>
      </c>
      <c r="L2" s="49">
        <v>4</v>
      </c>
      <c r="M2" s="49">
        <v>5</v>
      </c>
      <c r="N2" s="49">
        <v>6</v>
      </c>
      <c r="O2" s="49">
        <v>7</v>
      </c>
      <c r="P2" s="49">
        <v>8</v>
      </c>
      <c r="Q2" s="49">
        <v>9</v>
      </c>
      <c r="R2" s="49">
        <v>10</v>
      </c>
      <c r="S2" s="49">
        <v>11</v>
      </c>
      <c r="T2" s="49">
        <v>12</v>
      </c>
      <c r="U2" s="49">
        <v>13</v>
      </c>
      <c r="V2" s="49">
        <v>14</v>
      </c>
      <c r="W2" s="49">
        <v>15</v>
      </c>
      <c r="X2" s="49">
        <v>16</v>
      </c>
      <c r="Y2" s="49">
        <v>17</v>
      </c>
      <c r="Z2" s="49">
        <v>18</v>
      </c>
      <c r="AA2" s="49">
        <v>19</v>
      </c>
      <c r="AB2" s="49">
        <v>20</v>
      </c>
      <c r="AC2" s="49">
        <v>21</v>
      </c>
      <c r="AD2" s="49">
        <v>22</v>
      </c>
      <c r="AE2" s="49">
        <v>23</v>
      </c>
      <c r="AF2" s="49">
        <v>24</v>
      </c>
      <c r="AG2" s="49">
        <v>25</v>
      </c>
      <c r="AH2" s="49">
        <v>26</v>
      </c>
      <c r="AI2" s="49">
        <v>27</v>
      </c>
      <c r="AJ2" s="49">
        <v>28</v>
      </c>
      <c r="AK2" s="49">
        <v>29</v>
      </c>
      <c r="AL2" s="49">
        <v>30</v>
      </c>
      <c r="AM2" s="49">
        <v>31</v>
      </c>
      <c r="AN2" s="49">
        <v>32</v>
      </c>
      <c r="AO2" s="49">
        <v>33</v>
      </c>
      <c r="AP2" s="49">
        <v>34</v>
      </c>
      <c r="AQ2" s="49">
        <v>35</v>
      </c>
      <c r="AR2" s="49">
        <v>36</v>
      </c>
      <c r="AS2" s="49">
        <v>37</v>
      </c>
      <c r="AT2" s="49">
        <v>38</v>
      </c>
      <c r="AU2" s="49">
        <v>39</v>
      </c>
      <c r="AV2" s="49">
        <v>40</v>
      </c>
      <c r="AW2" s="49">
        <v>41</v>
      </c>
      <c r="AX2" s="49">
        <v>42</v>
      </c>
      <c r="AY2" s="49">
        <v>43</v>
      </c>
      <c r="AZ2" s="49">
        <v>44</v>
      </c>
      <c r="BA2" s="49">
        <v>45</v>
      </c>
      <c r="BB2" s="49">
        <v>46</v>
      </c>
      <c r="BC2" s="49">
        <v>47</v>
      </c>
      <c r="BD2" s="49">
        <v>48</v>
      </c>
      <c r="BE2" s="49">
        <v>49</v>
      </c>
      <c r="BF2" s="49">
        <v>50</v>
      </c>
      <c r="BG2" s="49">
        <v>51</v>
      </c>
      <c r="BH2" s="49">
        <v>52</v>
      </c>
      <c r="BI2" s="49">
        <v>53</v>
      </c>
      <c r="BJ2" s="49">
        <v>54</v>
      </c>
      <c r="BK2" s="49">
        <v>55</v>
      </c>
      <c r="BL2" s="49">
        <v>56</v>
      </c>
      <c r="BM2" s="49">
        <v>57</v>
      </c>
      <c r="BN2" s="49">
        <v>58</v>
      </c>
      <c r="BO2" s="49">
        <v>59</v>
      </c>
      <c r="BP2" s="50">
        <v>60</v>
      </c>
    </row>
    <row r="3" spans="2:68" ht="71.25" customHeight="1" thickBot="1" x14ac:dyDescent="0.3">
      <c r="B3" s="51" t="s">
        <v>87</v>
      </c>
      <c r="C3" s="52" t="s">
        <v>88</v>
      </c>
      <c r="D3" s="52" t="s">
        <v>89</v>
      </c>
      <c r="E3" s="52" t="s">
        <v>90</v>
      </c>
      <c r="F3" s="53" t="s">
        <v>91</v>
      </c>
      <c r="I3" s="54" t="str">
        <f t="shared" ref="I3:BP3" si="0">VLOOKUP(I$2,Units,2,0)</f>
        <v>Croc Drop</v>
      </c>
      <c r="J3" s="55" t="str">
        <f t="shared" si="0"/>
        <v>Dragon's Fury</v>
      </c>
      <c r="K3" s="55" t="str">
        <f t="shared" si="0"/>
        <v>Jungle Rangers</v>
      </c>
      <c r="L3" s="55" t="str">
        <f t="shared" si="0"/>
        <v>Monkey Swinger</v>
      </c>
      <c r="M3" s="55" t="str">
        <f t="shared" si="0"/>
        <v>Paw Patrol Chase's</v>
      </c>
      <c r="N3" s="55" t="str">
        <f t="shared" si="0"/>
        <v>Paw Patrol Skye's</v>
      </c>
      <c r="O3" s="55" t="str">
        <f t="shared" si="0"/>
        <v>Paw Patrol Zuma's</v>
      </c>
      <c r="P3" s="55" t="str">
        <f t="shared" si="0"/>
        <v>Paw Patrol Marshall's</v>
      </c>
      <c r="Q3" s="55" t="str">
        <f t="shared" si="0"/>
        <v>Rattlesnake</v>
      </c>
      <c r="R3" s="55" t="str">
        <f t="shared" si="0"/>
        <v>River Rafts</v>
      </c>
      <c r="S3" s="55" t="str">
        <f t="shared" si="0"/>
        <v>Tomb Blaster</v>
      </c>
      <c r="T3" s="55" t="str">
        <f t="shared" si="0"/>
        <v>Tree Top Hoppers</v>
      </c>
      <c r="U3" s="55" t="str">
        <f t="shared" si="0"/>
        <v>Zufari</v>
      </c>
      <c r="V3" s="55" t="str">
        <f t="shared" si="0"/>
        <v>Rides Break Cover</v>
      </c>
      <c r="W3" s="55">
        <f t="shared" si="0"/>
        <v>0</v>
      </c>
      <c r="X3" s="55" t="str">
        <f t="shared" si="0"/>
        <v>Croc Drop Shop</v>
      </c>
      <c r="Y3" s="55" t="str">
        <f t="shared" si="0"/>
        <v>Freestyle &amp; Vending</v>
      </c>
      <c r="Z3" s="55" t="str">
        <f t="shared" si="0"/>
        <v>Zufari Barrow</v>
      </c>
      <c r="AA3" s="55" t="str">
        <f t="shared" si="0"/>
        <v>Paw Patrol Shop</v>
      </c>
      <c r="AB3" s="55" t="str">
        <f t="shared" si="0"/>
        <v>Dragon Treats</v>
      </c>
      <c r="AC3" s="55" t="str">
        <f t="shared" si="0"/>
        <v>Retail Break Cover</v>
      </c>
      <c r="AD3" s="55">
        <f t="shared" si="0"/>
        <v>0</v>
      </c>
      <c r="AE3" s="55" t="str">
        <f t="shared" si="0"/>
        <v>Zonal Leads</v>
      </c>
      <c r="AF3" s="55">
        <f t="shared" si="0"/>
        <v>0</v>
      </c>
      <c r="AG3" s="55">
        <f t="shared" si="0"/>
        <v>0</v>
      </c>
      <c r="AH3" s="55">
        <f t="shared" si="0"/>
        <v>0</v>
      </c>
      <c r="AI3" s="55">
        <f t="shared" si="0"/>
        <v>0</v>
      </c>
      <c r="AJ3" s="55">
        <f t="shared" si="0"/>
        <v>0</v>
      </c>
      <c r="AK3" s="55">
        <f>VLOOKUP(AK$2,Units,2,0)</f>
        <v>0</v>
      </c>
      <c r="AL3" s="55">
        <f t="shared" si="0"/>
        <v>0</v>
      </c>
      <c r="AM3" s="55">
        <f t="shared" si="0"/>
        <v>0</v>
      </c>
      <c r="AN3" s="55">
        <f t="shared" si="0"/>
        <v>0</v>
      </c>
      <c r="AO3" s="55">
        <f t="shared" si="0"/>
        <v>0</v>
      </c>
      <c r="AP3" s="55">
        <f t="shared" si="0"/>
        <v>0</v>
      </c>
      <c r="AQ3" s="55">
        <f t="shared" si="0"/>
        <v>0</v>
      </c>
      <c r="AR3" s="55">
        <f t="shared" si="0"/>
        <v>0</v>
      </c>
      <c r="AS3" s="55">
        <f t="shared" si="0"/>
        <v>0</v>
      </c>
      <c r="AT3" s="55">
        <f t="shared" si="0"/>
        <v>0</v>
      </c>
      <c r="AU3" s="55">
        <f t="shared" si="0"/>
        <v>0</v>
      </c>
      <c r="AV3" s="55">
        <f t="shared" si="0"/>
        <v>0</v>
      </c>
      <c r="AW3" s="55">
        <f t="shared" si="0"/>
        <v>0</v>
      </c>
      <c r="AX3" s="55">
        <f t="shared" si="0"/>
        <v>0</v>
      </c>
      <c r="AY3" s="55">
        <f t="shared" si="0"/>
        <v>0</v>
      </c>
      <c r="AZ3" s="55">
        <f t="shared" si="0"/>
        <v>0</v>
      </c>
      <c r="BA3" s="55">
        <f t="shared" si="0"/>
        <v>0</v>
      </c>
      <c r="BB3" s="55">
        <f t="shared" si="0"/>
        <v>0</v>
      </c>
      <c r="BC3" s="55">
        <f t="shared" si="0"/>
        <v>0</v>
      </c>
      <c r="BD3" s="55">
        <f t="shared" si="0"/>
        <v>0</v>
      </c>
      <c r="BE3" s="55">
        <f t="shared" si="0"/>
        <v>0</v>
      </c>
      <c r="BF3" s="55">
        <f t="shared" si="0"/>
        <v>0</v>
      </c>
      <c r="BG3" s="55">
        <f t="shared" si="0"/>
        <v>0</v>
      </c>
      <c r="BH3" s="55">
        <f t="shared" si="0"/>
        <v>0</v>
      </c>
      <c r="BI3" s="55">
        <f t="shared" si="0"/>
        <v>0</v>
      </c>
      <c r="BJ3" s="55">
        <f t="shared" si="0"/>
        <v>0</v>
      </c>
      <c r="BK3" s="55">
        <f t="shared" si="0"/>
        <v>0</v>
      </c>
      <c r="BL3" s="55">
        <f t="shared" si="0"/>
        <v>0</v>
      </c>
      <c r="BM3" s="55">
        <f t="shared" si="0"/>
        <v>0</v>
      </c>
      <c r="BN3" s="55">
        <f t="shared" si="0"/>
        <v>0</v>
      </c>
      <c r="BO3" s="55">
        <f>VLOOKUP(BO$2,Units,2,0)</f>
        <v>0</v>
      </c>
      <c r="BP3" s="56">
        <f t="shared" si="0"/>
        <v>0</v>
      </c>
    </row>
    <row r="4" spans="2:68" x14ac:dyDescent="0.25">
      <c r="G4" s="57"/>
      <c r="I4" s="46"/>
      <c r="AM4" s="46"/>
    </row>
    <row r="5" spans="2:68" ht="15.75" thickBot="1" x14ac:dyDescent="0.3">
      <c r="G5" s="57"/>
      <c r="I5" s="46"/>
      <c r="AM5" s="46"/>
    </row>
    <row r="6" spans="2:68" x14ac:dyDescent="0.25">
      <c r="B6" s="58">
        <v>1</v>
      </c>
      <c r="C6" s="59">
        <v>1</v>
      </c>
      <c r="D6" s="59" t="s">
        <v>92</v>
      </c>
      <c r="E6" s="60">
        <f>'[3]Master File'!B5</f>
        <v>46019</v>
      </c>
      <c r="F6" s="61" t="str">
        <f>'[3]Master File'!C5</f>
        <v>WT Post Xmas</v>
      </c>
      <c r="G6" s="46"/>
      <c r="I6" s="62" t="s">
        <v>93</v>
      </c>
      <c r="J6" s="62" t="s">
        <v>93</v>
      </c>
      <c r="K6" s="62" t="s">
        <v>93</v>
      </c>
      <c r="L6" s="68" t="s">
        <v>94</v>
      </c>
      <c r="M6" s="62" t="s">
        <v>94</v>
      </c>
      <c r="N6" s="62" t="s">
        <v>94</v>
      </c>
      <c r="O6" s="62" t="s">
        <v>94</v>
      </c>
      <c r="P6" s="62" t="s">
        <v>94</v>
      </c>
      <c r="Q6" s="62" t="s">
        <v>93</v>
      </c>
      <c r="R6" s="62" t="s">
        <v>93</v>
      </c>
      <c r="S6" s="62" t="s">
        <v>93</v>
      </c>
      <c r="T6" s="62" t="s">
        <v>93</v>
      </c>
      <c r="U6" s="62" t="s">
        <v>93</v>
      </c>
      <c r="V6" s="62" t="s">
        <v>93</v>
      </c>
      <c r="W6" s="62" t="s">
        <v>93</v>
      </c>
      <c r="X6" s="62" t="s">
        <v>93</v>
      </c>
      <c r="Y6" s="62" t="s">
        <v>93</v>
      </c>
      <c r="Z6" s="62" t="s">
        <v>94</v>
      </c>
      <c r="AA6" s="62" t="s">
        <v>94</v>
      </c>
      <c r="AB6" s="62" t="s">
        <v>93</v>
      </c>
      <c r="AC6" s="62" t="s">
        <v>93</v>
      </c>
      <c r="AD6" s="62" t="s">
        <v>94</v>
      </c>
      <c r="AE6" s="62" t="s">
        <v>94</v>
      </c>
      <c r="AF6" s="62" t="s">
        <v>93</v>
      </c>
      <c r="AG6" s="62" t="s">
        <v>93</v>
      </c>
      <c r="AH6" s="62" t="s">
        <v>93</v>
      </c>
      <c r="AI6" s="62" t="s">
        <v>93</v>
      </c>
      <c r="AJ6" s="62" t="s">
        <v>93</v>
      </c>
      <c r="AK6" s="62" t="s">
        <v>93</v>
      </c>
      <c r="AL6" s="62" t="s">
        <v>93</v>
      </c>
      <c r="AM6" s="62" t="s">
        <v>93</v>
      </c>
      <c r="AN6" s="62" t="s">
        <v>93</v>
      </c>
      <c r="AO6" s="62" t="s">
        <v>93</v>
      </c>
      <c r="AP6" s="62" t="s">
        <v>93</v>
      </c>
      <c r="AQ6" s="62" t="s">
        <v>93</v>
      </c>
      <c r="AR6" s="62" t="s">
        <v>93</v>
      </c>
      <c r="AS6" s="62" t="s">
        <v>93</v>
      </c>
      <c r="AT6" s="62" t="s">
        <v>93</v>
      </c>
      <c r="AU6" s="62" t="s">
        <v>93</v>
      </c>
      <c r="AV6" s="62" t="s">
        <v>93</v>
      </c>
      <c r="AW6" s="62" t="s">
        <v>93</v>
      </c>
      <c r="AX6" s="62" t="s">
        <v>93</v>
      </c>
      <c r="AY6" s="62" t="s">
        <v>93</v>
      </c>
      <c r="AZ6" s="62" t="s">
        <v>93</v>
      </c>
      <c r="BA6" s="62" t="s">
        <v>93</v>
      </c>
      <c r="BB6" s="62" t="s">
        <v>93</v>
      </c>
      <c r="BC6" s="62" t="s">
        <v>93</v>
      </c>
      <c r="BD6" s="62" t="s">
        <v>93</v>
      </c>
      <c r="BE6" s="62" t="s">
        <v>93</v>
      </c>
      <c r="BF6" s="62" t="s">
        <v>93</v>
      </c>
      <c r="BG6" s="62" t="s">
        <v>93</v>
      </c>
      <c r="BH6" s="62" t="s">
        <v>93</v>
      </c>
      <c r="BI6" s="62" t="s">
        <v>93</v>
      </c>
      <c r="BJ6" s="62" t="s">
        <v>93</v>
      </c>
      <c r="BK6" s="62" t="s">
        <v>93</v>
      </c>
      <c r="BL6" s="62" t="s">
        <v>93</v>
      </c>
      <c r="BM6" s="62" t="s">
        <v>93</v>
      </c>
      <c r="BN6" s="62" t="s">
        <v>93</v>
      </c>
      <c r="BO6" s="62" t="s">
        <v>93</v>
      </c>
      <c r="BP6" s="63" t="s">
        <v>93</v>
      </c>
    </row>
    <row r="7" spans="2:68" x14ac:dyDescent="0.25">
      <c r="B7" s="64">
        <v>1</v>
      </c>
      <c r="C7" s="65">
        <v>1</v>
      </c>
      <c r="D7" s="65" t="s">
        <v>95</v>
      </c>
      <c r="E7" s="66">
        <f>'[3]Master File'!B6</f>
        <v>46020</v>
      </c>
      <c r="F7" s="67" t="str">
        <f>'[3]Master File'!C6</f>
        <v>WT Post Xmas</v>
      </c>
      <c r="G7" s="46"/>
      <c r="I7" s="68" t="s">
        <v>93</v>
      </c>
      <c r="J7" s="68" t="s">
        <v>93</v>
      </c>
      <c r="K7" s="68" t="s">
        <v>93</v>
      </c>
      <c r="L7" s="68" t="s">
        <v>94</v>
      </c>
      <c r="M7" s="68" t="s">
        <v>94</v>
      </c>
      <c r="N7" s="68" t="s">
        <v>94</v>
      </c>
      <c r="O7" s="68" t="s">
        <v>94</v>
      </c>
      <c r="P7" s="68" t="s">
        <v>94</v>
      </c>
      <c r="Q7" s="68" t="s">
        <v>93</v>
      </c>
      <c r="R7" s="68" t="s">
        <v>93</v>
      </c>
      <c r="S7" s="68" t="s">
        <v>93</v>
      </c>
      <c r="T7" s="68" t="s">
        <v>93</v>
      </c>
      <c r="U7" s="68" t="s">
        <v>93</v>
      </c>
      <c r="V7" s="68" t="s">
        <v>93</v>
      </c>
      <c r="W7" s="68" t="s">
        <v>93</v>
      </c>
      <c r="X7" s="68" t="s">
        <v>93</v>
      </c>
      <c r="Y7" s="68" t="s">
        <v>93</v>
      </c>
      <c r="Z7" s="68" t="s">
        <v>94</v>
      </c>
      <c r="AA7" s="68" t="s">
        <v>94</v>
      </c>
      <c r="AB7" s="68" t="s">
        <v>93</v>
      </c>
      <c r="AC7" s="68" t="s">
        <v>93</v>
      </c>
      <c r="AD7" s="68" t="s">
        <v>93</v>
      </c>
      <c r="AE7" s="68" t="s">
        <v>93</v>
      </c>
      <c r="AF7" s="68" t="s">
        <v>93</v>
      </c>
      <c r="AG7" s="68" t="s">
        <v>93</v>
      </c>
      <c r="AH7" s="68" t="s">
        <v>93</v>
      </c>
      <c r="AI7" s="68" t="s">
        <v>93</v>
      </c>
      <c r="AJ7" s="68" t="s">
        <v>93</v>
      </c>
      <c r="AK7" s="68" t="s">
        <v>93</v>
      </c>
      <c r="AL7" s="68" t="s">
        <v>93</v>
      </c>
      <c r="AM7" s="68" t="s">
        <v>93</v>
      </c>
      <c r="AN7" s="68" t="s">
        <v>93</v>
      </c>
      <c r="AO7" s="68" t="s">
        <v>93</v>
      </c>
      <c r="AP7" s="68" t="s">
        <v>93</v>
      </c>
      <c r="AQ7" s="68" t="s">
        <v>93</v>
      </c>
      <c r="AR7" s="68" t="s">
        <v>93</v>
      </c>
      <c r="AS7" s="68" t="s">
        <v>93</v>
      </c>
      <c r="AT7" s="68" t="s">
        <v>93</v>
      </c>
      <c r="AU7" s="68" t="s">
        <v>93</v>
      </c>
      <c r="AV7" s="68" t="s">
        <v>93</v>
      </c>
      <c r="AW7" s="68" t="s">
        <v>93</v>
      </c>
      <c r="AX7" s="68" t="s">
        <v>93</v>
      </c>
      <c r="AY7" s="68" t="s">
        <v>93</v>
      </c>
      <c r="AZ7" s="68" t="s">
        <v>93</v>
      </c>
      <c r="BA7" s="68" t="s">
        <v>93</v>
      </c>
      <c r="BB7" s="68" t="s">
        <v>93</v>
      </c>
      <c r="BC7" s="68" t="s">
        <v>93</v>
      </c>
      <c r="BD7" s="68" t="s">
        <v>93</v>
      </c>
      <c r="BE7" s="68" t="s">
        <v>93</v>
      </c>
      <c r="BF7" s="68" t="s">
        <v>93</v>
      </c>
      <c r="BG7" s="68" t="s">
        <v>93</v>
      </c>
      <c r="BH7" s="68" t="s">
        <v>93</v>
      </c>
      <c r="BI7" s="68" t="s">
        <v>93</v>
      </c>
      <c r="BJ7" s="68" t="s">
        <v>93</v>
      </c>
      <c r="BK7" s="68" t="s">
        <v>93</v>
      </c>
      <c r="BL7" s="68" t="s">
        <v>93</v>
      </c>
      <c r="BM7" s="68" t="s">
        <v>93</v>
      </c>
      <c r="BN7" s="68" t="s">
        <v>93</v>
      </c>
      <c r="BO7" s="68" t="s">
        <v>93</v>
      </c>
      <c r="BP7" s="69" t="s">
        <v>93</v>
      </c>
    </row>
    <row r="8" spans="2:68" x14ac:dyDescent="0.25">
      <c r="B8" s="64">
        <v>1</v>
      </c>
      <c r="C8" s="65">
        <v>1</v>
      </c>
      <c r="D8" s="65" t="s">
        <v>96</v>
      </c>
      <c r="E8" s="66">
        <f>'[3]Master File'!B7</f>
        <v>46021</v>
      </c>
      <c r="F8" s="67" t="str">
        <f>'[3]Master File'!C7</f>
        <v>WT Post Xmas</v>
      </c>
      <c r="G8" s="46"/>
      <c r="I8" s="68" t="s">
        <v>93</v>
      </c>
      <c r="J8" s="68" t="s">
        <v>93</v>
      </c>
      <c r="K8" s="68" t="s">
        <v>93</v>
      </c>
      <c r="L8" s="68" t="s">
        <v>94</v>
      </c>
      <c r="M8" s="68" t="s">
        <v>94</v>
      </c>
      <c r="N8" s="68" t="s">
        <v>94</v>
      </c>
      <c r="O8" s="68" t="s">
        <v>94</v>
      </c>
      <c r="P8" s="68" t="s">
        <v>94</v>
      </c>
      <c r="Q8" s="68" t="s">
        <v>93</v>
      </c>
      <c r="R8" s="68" t="s">
        <v>93</v>
      </c>
      <c r="S8" s="68" t="s">
        <v>93</v>
      </c>
      <c r="T8" s="68" t="s">
        <v>93</v>
      </c>
      <c r="U8" s="68" t="s">
        <v>93</v>
      </c>
      <c r="V8" s="68" t="s">
        <v>93</v>
      </c>
      <c r="W8" s="68" t="s">
        <v>93</v>
      </c>
      <c r="X8" s="68" t="s">
        <v>93</v>
      </c>
      <c r="Y8" s="68" t="s">
        <v>93</v>
      </c>
      <c r="Z8" s="68" t="s">
        <v>94</v>
      </c>
      <c r="AA8" s="68" t="s">
        <v>94</v>
      </c>
      <c r="AB8" s="68" t="s">
        <v>93</v>
      </c>
      <c r="AC8" s="68" t="s">
        <v>93</v>
      </c>
      <c r="AD8" s="68" t="s">
        <v>93</v>
      </c>
      <c r="AE8" s="68" t="s">
        <v>93</v>
      </c>
      <c r="AF8" s="68" t="s">
        <v>93</v>
      </c>
      <c r="AG8" s="68" t="s">
        <v>93</v>
      </c>
      <c r="AH8" s="68" t="s">
        <v>93</v>
      </c>
      <c r="AI8" s="68" t="s">
        <v>93</v>
      </c>
      <c r="AJ8" s="68" t="s">
        <v>93</v>
      </c>
      <c r="AK8" s="68" t="s">
        <v>93</v>
      </c>
      <c r="AL8" s="68" t="s">
        <v>93</v>
      </c>
      <c r="AM8" s="68" t="s">
        <v>93</v>
      </c>
      <c r="AN8" s="68" t="s">
        <v>93</v>
      </c>
      <c r="AO8" s="68" t="s">
        <v>93</v>
      </c>
      <c r="AP8" s="68" t="s">
        <v>93</v>
      </c>
      <c r="AQ8" s="68" t="s">
        <v>93</v>
      </c>
      <c r="AR8" s="68" t="s">
        <v>93</v>
      </c>
      <c r="AS8" s="68" t="s">
        <v>93</v>
      </c>
      <c r="AT8" s="68" t="s">
        <v>93</v>
      </c>
      <c r="AU8" s="68" t="s">
        <v>93</v>
      </c>
      <c r="AV8" s="68" t="s">
        <v>93</v>
      </c>
      <c r="AW8" s="68" t="s">
        <v>93</v>
      </c>
      <c r="AX8" s="68" t="s">
        <v>93</v>
      </c>
      <c r="AY8" s="68" t="s">
        <v>93</v>
      </c>
      <c r="AZ8" s="68" t="s">
        <v>93</v>
      </c>
      <c r="BA8" s="68" t="s">
        <v>93</v>
      </c>
      <c r="BB8" s="68" t="s">
        <v>93</v>
      </c>
      <c r="BC8" s="68" t="s">
        <v>93</v>
      </c>
      <c r="BD8" s="68" t="s">
        <v>93</v>
      </c>
      <c r="BE8" s="68" t="s">
        <v>93</v>
      </c>
      <c r="BF8" s="68" t="s">
        <v>93</v>
      </c>
      <c r="BG8" s="68" t="s">
        <v>93</v>
      </c>
      <c r="BH8" s="68" t="s">
        <v>93</v>
      </c>
      <c r="BI8" s="68" t="s">
        <v>93</v>
      </c>
      <c r="BJ8" s="68" t="s">
        <v>93</v>
      </c>
      <c r="BK8" s="68" t="s">
        <v>93</v>
      </c>
      <c r="BL8" s="68" t="s">
        <v>93</v>
      </c>
      <c r="BM8" s="68" t="s">
        <v>93</v>
      </c>
      <c r="BN8" s="68" t="s">
        <v>93</v>
      </c>
      <c r="BO8" s="68" t="s">
        <v>93</v>
      </c>
      <c r="BP8" s="69" t="s">
        <v>93</v>
      </c>
    </row>
    <row r="9" spans="2:68" x14ac:dyDescent="0.25">
      <c r="B9" s="64">
        <v>1</v>
      </c>
      <c r="C9" s="65">
        <v>1</v>
      </c>
      <c r="D9" s="65" t="s">
        <v>97</v>
      </c>
      <c r="E9" s="66">
        <f>'[3]Master File'!B8</f>
        <v>46022</v>
      </c>
      <c r="F9" s="67" t="str">
        <f>'[3]Master File'!C8</f>
        <v>WT Post Xmas</v>
      </c>
      <c r="G9" s="46"/>
      <c r="I9" s="68" t="s">
        <v>93</v>
      </c>
      <c r="J9" s="68" t="s">
        <v>93</v>
      </c>
      <c r="K9" s="68" t="s">
        <v>93</v>
      </c>
      <c r="L9" s="68" t="s">
        <v>94</v>
      </c>
      <c r="M9" s="68" t="s">
        <v>94</v>
      </c>
      <c r="N9" s="68" t="s">
        <v>94</v>
      </c>
      <c r="O9" s="68" t="s">
        <v>94</v>
      </c>
      <c r="P9" s="68" t="s">
        <v>94</v>
      </c>
      <c r="Q9" s="68" t="s">
        <v>93</v>
      </c>
      <c r="R9" s="68" t="s">
        <v>93</v>
      </c>
      <c r="S9" s="68" t="s">
        <v>93</v>
      </c>
      <c r="T9" s="68" t="s">
        <v>93</v>
      </c>
      <c r="U9" s="68" t="s">
        <v>93</v>
      </c>
      <c r="V9" s="68" t="s">
        <v>93</v>
      </c>
      <c r="W9" s="68" t="s">
        <v>93</v>
      </c>
      <c r="X9" s="68" t="s">
        <v>93</v>
      </c>
      <c r="Y9" s="68" t="s">
        <v>93</v>
      </c>
      <c r="Z9" s="68" t="s">
        <v>94</v>
      </c>
      <c r="AA9" s="68" t="s">
        <v>94</v>
      </c>
      <c r="AB9" s="68" t="s">
        <v>93</v>
      </c>
      <c r="AC9" s="68" t="s">
        <v>93</v>
      </c>
      <c r="AD9" s="68" t="s">
        <v>93</v>
      </c>
      <c r="AE9" s="68" t="s">
        <v>93</v>
      </c>
      <c r="AF9" s="68" t="s">
        <v>93</v>
      </c>
      <c r="AG9" s="68" t="s">
        <v>93</v>
      </c>
      <c r="AH9" s="68" t="s">
        <v>93</v>
      </c>
      <c r="AI9" s="68" t="s">
        <v>93</v>
      </c>
      <c r="AJ9" s="68" t="s">
        <v>93</v>
      </c>
      <c r="AK9" s="68" t="s">
        <v>93</v>
      </c>
      <c r="AL9" s="68" t="s">
        <v>93</v>
      </c>
      <c r="AM9" s="68" t="s">
        <v>93</v>
      </c>
      <c r="AN9" s="68" t="s">
        <v>93</v>
      </c>
      <c r="AO9" s="68" t="s">
        <v>93</v>
      </c>
      <c r="AP9" s="68" t="s">
        <v>93</v>
      </c>
      <c r="AQ9" s="68" t="s">
        <v>93</v>
      </c>
      <c r="AR9" s="68" t="s">
        <v>93</v>
      </c>
      <c r="AS9" s="68" t="s">
        <v>93</v>
      </c>
      <c r="AT9" s="68" t="s">
        <v>93</v>
      </c>
      <c r="AU9" s="68" t="s">
        <v>93</v>
      </c>
      <c r="AV9" s="68" t="s">
        <v>93</v>
      </c>
      <c r="AW9" s="68" t="s">
        <v>93</v>
      </c>
      <c r="AX9" s="68" t="s">
        <v>93</v>
      </c>
      <c r="AY9" s="68" t="s">
        <v>93</v>
      </c>
      <c r="AZ9" s="68" t="s">
        <v>93</v>
      </c>
      <c r="BA9" s="68" t="s">
        <v>93</v>
      </c>
      <c r="BB9" s="68" t="s">
        <v>93</v>
      </c>
      <c r="BC9" s="68" t="s">
        <v>93</v>
      </c>
      <c r="BD9" s="68" t="s">
        <v>93</v>
      </c>
      <c r="BE9" s="68" t="s">
        <v>93</v>
      </c>
      <c r="BF9" s="68" t="s">
        <v>93</v>
      </c>
      <c r="BG9" s="68" t="s">
        <v>93</v>
      </c>
      <c r="BH9" s="68" t="s">
        <v>93</v>
      </c>
      <c r="BI9" s="68" t="s">
        <v>93</v>
      </c>
      <c r="BJ9" s="68" t="s">
        <v>93</v>
      </c>
      <c r="BK9" s="68" t="s">
        <v>93</v>
      </c>
      <c r="BL9" s="68" t="s">
        <v>93</v>
      </c>
      <c r="BM9" s="68" t="s">
        <v>93</v>
      </c>
      <c r="BN9" s="68" t="s">
        <v>93</v>
      </c>
      <c r="BO9" s="68" t="s">
        <v>93</v>
      </c>
      <c r="BP9" s="69" t="s">
        <v>93</v>
      </c>
    </row>
    <row r="10" spans="2:68" x14ac:dyDescent="0.25">
      <c r="B10" s="64">
        <v>1</v>
      </c>
      <c r="C10" s="65">
        <v>1</v>
      </c>
      <c r="D10" s="65" t="s">
        <v>98</v>
      </c>
      <c r="E10" s="66">
        <f>'[3]Master File'!B9</f>
        <v>46023</v>
      </c>
      <c r="F10" s="67" t="str">
        <f>'[3]Master File'!C9</f>
        <v>Zoo</v>
      </c>
      <c r="G10" s="46"/>
      <c r="I10" s="68" t="s">
        <v>94</v>
      </c>
      <c r="J10" s="68" t="s">
        <v>94</v>
      </c>
      <c r="K10" s="68" t="s">
        <v>94</v>
      </c>
      <c r="L10" s="68" t="s">
        <v>94</v>
      </c>
      <c r="M10" s="68" t="s">
        <v>94</v>
      </c>
      <c r="N10" s="68" t="s">
        <v>94</v>
      </c>
      <c r="O10" s="68" t="s">
        <v>94</v>
      </c>
      <c r="P10" s="68" t="s">
        <v>94</v>
      </c>
      <c r="Q10" s="68" t="s">
        <v>94</v>
      </c>
      <c r="R10" s="68" t="s">
        <v>94</v>
      </c>
      <c r="S10" s="68" t="s">
        <v>94</v>
      </c>
      <c r="T10" s="68" t="s">
        <v>94</v>
      </c>
      <c r="U10" s="68" t="s">
        <v>94</v>
      </c>
      <c r="V10" s="68" t="s">
        <v>94</v>
      </c>
      <c r="W10" s="68" t="s">
        <v>93</v>
      </c>
      <c r="X10" s="68" t="s">
        <v>94</v>
      </c>
      <c r="Y10" s="68" t="s">
        <v>94</v>
      </c>
      <c r="Z10" s="68" t="s">
        <v>94</v>
      </c>
      <c r="AA10" s="68" t="s">
        <v>94</v>
      </c>
      <c r="AB10" s="68" t="s">
        <v>94</v>
      </c>
      <c r="AC10" s="68" t="s">
        <v>93</v>
      </c>
      <c r="AD10" s="68" t="s">
        <v>93</v>
      </c>
      <c r="AE10" s="68" t="s">
        <v>93</v>
      </c>
      <c r="AF10" s="68" t="s">
        <v>93</v>
      </c>
      <c r="AG10" s="68" t="s">
        <v>93</v>
      </c>
      <c r="AH10" s="68" t="s">
        <v>93</v>
      </c>
      <c r="AI10" s="68" t="s">
        <v>93</v>
      </c>
      <c r="AJ10" s="68" t="s">
        <v>93</v>
      </c>
      <c r="AK10" s="68" t="s">
        <v>93</v>
      </c>
      <c r="AL10" s="68" t="s">
        <v>93</v>
      </c>
      <c r="AM10" s="68" t="s">
        <v>93</v>
      </c>
      <c r="AN10" s="68" t="s">
        <v>93</v>
      </c>
      <c r="AO10" s="68" t="s">
        <v>93</v>
      </c>
      <c r="AP10" s="68" t="s">
        <v>93</v>
      </c>
      <c r="AQ10" s="68" t="s">
        <v>93</v>
      </c>
      <c r="AR10" s="68" t="s">
        <v>93</v>
      </c>
      <c r="AS10" s="68" t="s">
        <v>93</v>
      </c>
      <c r="AT10" s="68" t="s">
        <v>93</v>
      </c>
      <c r="AU10" s="68" t="s">
        <v>93</v>
      </c>
      <c r="AV10" s="68" t="s">
        <v>93</v>
      </c>
      <c r="AW10" s="68" t="s">
        <v>93</v>
      </c>
      <c r="AX10" s="68" t="s">
        <v>93</v>
      </c>
      <c r="AY10" s="68" t="s">
        <v>93</v>
      </c>
      <c r="AZ10" s="68" t="s">
        <v>93</v>
      </c>
      <c r="BA10" s="68" t="s">
        <v>93</v>
      </c>
      <c r="BB10" s="68" t="s">
        <v>93</v>
      </c>
      <c r="BC10" s="68" t="s">
        <v>93</v>
      </c>
      <c r="BD10" s="68" t="s">
        <v>93</v>
      </c>
      <c r="BE10" s="68" t="s">
        <v>93</v>
      </c>
      <c r="BF10" s="68" t="s">
        <v>93</v>
      </c>
      <c r="BG10" s="68" t="s">
        <v>93</v>
      </c>
      <c r="BH10" s="68" t="s">
        <v>93</v>
      </c>
      <c r="BI10" s="68" t="s">
        <v>93</v>
      </c>
      <c r="BJ10" s="68" t="s">
        <v>93</v>
      </c>
      <c r="BK10" s="68" t="s">
        <v>93</v>
      </c>
      <c r="BL10" s="68" t="s">
        <v>93</v>
      </c>
      <c r="BM10" s="68" t="s">
        <v>93</v>
      </c>
      <c r="BN10" s="68" t="s">
        <v>93</v>
      </c>
      <c r="BO10" s="68" t="s">
        <v>93</v>
      </c>
      <c r="BP10" s="69" t="s">
        <v>93</v>
      </c>
    </row>
    <row r="11" spans="2:68" x14ac:dyDescent="0.25">
      <c r="B11" s="64">
        <v>1</v>
      </c>
      <c r="C11" s="65">
        <v>1</v>
      </c>
      <c r="D11" s="65" t="s">
        <v>99</v>
      </c>
      <c r="E11" s="66">
        <f>'[3]Master File'!B10</f>
        <v>46024</v>
      </c>
      <c r="F11" s="67" t="str">
        <f>'[3]Master File'!C10</f>
        <v>Zoo</v>
      </c>
      <c r="G11" s="46"/>
      <c r="I11" s="68" t="s">
        <v>94</v>
      </c>
      <c r="J11" s="68" t="s">
        <v>94</v>
      </c>
      <c r="K11" s="68" t="s">
        <v>94</v>
      </c>
      <c r="L11" s="68" t="s">
        <v>94</v>
      </c>
      <c r="M11" s="68" t="s">
        <v>94</v>
      </c>
      <c r="N11" s="68" t="s">
        <v>94</v>
      </c>
      <c r="O11" s="68" t="s">
        <v>94</v>
      </c>
      <c r="P11" s="68" t="s">
        <v>94</v>
      </c>
      <c r="Q11" s="68" t="s">
        <v>94</v>
      </c>
      <c r="R11" s="68" t="s">
        <v>94</v>
      </c>
      <c r="S11" s="68" t="s">
        <v>94</v>
      </c>
      <c r="T11" s="68" t="s">
        <v>94</v>
      </c>
      <c r="U11" s="68" t="s">
        <v>94</v>
      </c>
      <c r="V11" s="68" t="s">
        <v>94</v>
      </c>
      <c r="W11" s="68" t="s">
        <v>93</v>
      </c>
      <c r="X11" s="68" t="s">
        <v>94</v>
      </c>
      <c r="Y11" s="68" t="s">
        <v>94</v>
      </c>
      <c r="Z11" s="68" t="s">
        <v>94</v>
      </c>
      <c r="AA11" s="68" t="s">
        <v>94</v>
      </c>
      <c r="AB11" s="68" t="s">
        <v>94</v>
      </c>
      <c r="AC11" s="68" t="s">
        <v>93</v>
      </c>
      <c r="AD11" s="68" t="s">
        <v>93</v>
      </c>
      <c r="AE11" s="68" t="s">
        <v>93</v>
      </c>
      <c r="AF11" s="68" t="s">
        <v>93</v>
      </c>
      <c r="AG11" s="68" t="s">
        <v>93</v>
      </c>
      <c r="AH11" s="68" t="s">
        <v>93</v>
      </c>
      <c r="AI11" s="68" t="s">
        <v>93</v>
      </c>
      <c r="AJ11" s="68" t="s">
        <v>93</v>
      </c>
      <c r="AK11" s="68" t="s">
        <v>93</v>
      </c>
      <c r="AL11" s="68" t="s">
        <v>93</v>
      </c>
      <c r="AM11" s="68" t="s">
        <v>93</v>
      </c>
      <c r="AN11" s="68" t="s">
        <v>93</v>
      </c>
      <c r="AO11" s="68" t="s">
        <v>93</v>
      </c>
      <c r="AP11" s="68" t="s">
        <v>93</v>
      </c>
      <c r="AQ11" s="68" t="s">
        <v>93</v>
      </c>
      <c r="AR11" s="68" t="s">
        <v>93</v>
      </c>
      <c r="AS11" s="68" t="s">
        <v>93</v>
      </c>
      <c r="AT11" s="68" t="s">
        <v>93</v>
      </c>
      <c r="AU11" s="68" t="s">
        <v>93</v>
      </c>
      <c r="AV11" s="68" t="s">
        <v>93</v>
      </c>
      <c r="AW11" s="68" t="s">
        <v>93</v>
      </c>
      <c r="AX11" s="68" t="s">
        <v>93</v>
      </c>
      <c r="AY11" s="68" t="s">
        <v>93</v>
      </c>
      <c r="AZ11" s="68" t="s">
        <v>93</v>
      </c>
      <c r="BA11" s="68" t="s">
        <v>93</v>
      </c>
      <c r="BB11" s="68" t="s">
        <v>93</v>
      </c>
      <c r="BC11" s="68" t="s">
        <v>93</v>
      </c>
      <c r="BD11" s="68" t="s">
        <v>93</v>
      </c>
      <c r="BE11" s="68" t="s">
        <v>93</v>
      </c>
      <c r="BF11" s="68" t="s">
        <v>93</v>
      </c>
      <c r="BG11" s="68" t="s">
        <v>93</v>
      </c>
      <c r="BH11" s="68" t="s">
        <v>93</v>
      </c>
      <c r="BI11" s="68" t="s">
        <v>93</v>
      </c>
      <c r="BJ11" s="68" t="s">
        <v>93</v>
      </c>
      <c r="BK11" s="68" t="s">
        <v>93</v>
      </c>
      <c r="BL11" s="68" t="s">
        <v>93</v>
      </c>
      <c r="BM11" s="68" t="s">
        <v>93</v>
      </c>
      <c r="BN11" s="68" t="s">
        <v>93</v>
      </c>
      <c r="BO11" s="68" t="s">
        <v>93</v>
      </c>
      <c r="BP11" s="69" t="s">
        <v>93</v>
      </c>
    </row>
    <row r="12" spans="2:68" x14ac:dyDescent="0.25">
      <c r="B12" s="64">
        <v>1</v>
      </c>
      <c r="C12" s="65">
        <v>1</v>
      </c>
      <c r="D12" s="65" t="s">
        <v>100</v>
      </c>
      <c r="E12" s="66">
        <f>'[3]Master File'!B11</f>
        <v>46025</v>
      </c>
      <c r="F12" s="67" t="str">
        <f>'[3]Master File'!C11</f>
        <v>Zoo</v>
      </c>
      <c r="G12" s="46"/>
      <c r="I12" s="68" t="s">
        <v>94</v>
      </c>
      <c r="J12" s="68" t="s">
        <v>94</v>
      </c>
      <c r="K12" s="68" t="s">
        <v>94</v>
      </c>
      <c r="L12" s="68" t="s">
        <v>94</v>
      </c>
      <c r="M12" s="70" t="s">
        <v>94</v>
      </c>
      <c r="N12" s="70" t="s">
        <v>94</v>
      </c>
      <c r="O12" s="70" t="s">
        <v>94</v>
      </c>
      <c r="P12" s="70" t="s">
        <v>94</v>
      </c>
      <c r="Q12" s="68" t="s">
        <v>94</v>
      </c>
      <c r="R12" s="68" t="s">
        <v>94</v>
      </c>
      <c r="S12" s="68" t="s">
        <v>94</v>
      </c>
      <c r="T12" s="68" t="s">
        <v>94</v>
      </c>
      <c r="U12" s="68" t="s">
        <v>94</v>
      </c>
      <c r="V12" s="68" t="s">
        <v>94</v>
      </c>
      <c r="W12" s="70" t="s">
        <v>93</v>
      </c>
      <c r="X12" s="70" t="s">
        <v>94</v>
      </c>
      <c r="Y12" s="70" t="s">
        <v>94</v>
      </c>
      <c r="Z12" s="68" t="s">
        <v>94</v>
      </c>
      <c r="AA12" s="70" t="s">
        <v>94</v>
      </c>
      <c r="AB12" s="70" t="s">
        <v>94</v>
      </c>
      <c r="AC12" s="70" t="s">
        <v>93</v>
      </c>
      <c r="AD12" s="70" t="s">
        <v>94</v>
      </c>
      <c r="AE12" s="70" t="s">
        <v>94</v>
      </c>
      <c r="AF12" s="70" t="s">
        <v>93</v>
      </c>
      <c r="AG12" s="70" t="s">
        <v>93</v>
      </c>
      <c r="AH12" s="70" t="s">
        <v>93</v>
      </c>
      <c r="AI12" s="70" t="s">
        <v>93</v>
      </c>
      <c r="AJ12" s="70" t="s">
        <v>93</v>
      </c>
      <c r="AK12" s="70" t="s">
        <v>93</v>
      </c>
      <c r="AL12" s="70" t="s">
        <v>93</v>
      </c>
      <c r="AM12" s="70" t="s">
        <v>93</v>
      </c>
      <c r="AN12" s="70" t="s">
        <v>93</v>
      </c>
      <c r="AO12" s="70" t="s">
        <v>93</v>
      </c>
      <c r="AP12" s="70" t="s">
        <v>93</v>
      </c>
      <c r="AQ12" s="70" t="s">
        <v>93</v>
      </c>
      <c r="AR12" s="70" t="s">
        <v>93</v>
      </c>
      <c r="AS12" s="70" t="s">
        <v>93</v>
      </c>
      <c r="AT12" s="70" t="s">
        <v>93</v>
      </c>
      <c r="AU12" s="70" t="s">
        <v>93</v>
      </c>
      <c r="AV12" s="70" t="s">
        <v>93</v>
      </c>
      <c r="AW12" s="70" t="s">
        <v>93</v>
      </c>
      <c r="AX12" s="70" t="s">
        <v>93</v>
      </c>
      <c r="AY12" s="70" t="s">
        <v>93</v>
      </c>
      <c r="AZ12" s="70" t="s">
        <v>93</v>
      </c>
      <c r="BA12" s="70" t="s">
        <v>93</v>
      </c>
      <c r="BB12" s="70" t="s">
        <v>93</v>
      </c>
      <c r="BC12" s="70" t="s">
        <v>93</v>
      </c>
      <c r="BD12" s="70" t="s">
        <v>93</v>
      </c>
      <c r="BE12" s="70" t="s">
        <v>93</v>
      </c>
      <c r="BF12" s="70" t="s">
        <v>93</v>
      </c>
      <c r="BG12" s="70" t="s">
        <v>93</v>
      </c>
      <c r="BH12" s="70" t="s">
        <v>93</v>
      </c>
      <c r="BI12" s="70" t="s">
        <v>93</v>
      </c>
      <c r="BJ12" s="70" t="s">
        <v>93</v>
      </c>
      <c r="BK12" s="70" t="s">
        <v>93</v>
      </c>
      <c r="BL12" s="70" t="s">
        <v>93</v>
      </c>
      <c r="BM12" s="70" t="s">
        <v>93</v>
      </c>
      <c r="BN12" s="70" t="s">
        <v>93</v>
      </c>
      <c r="BO12" s="70" t="s">
        <v>93</v>
      </c>
      <c r="BP12" s="71" t="s">
        <v>93</v>
      </c>
    </row>
    <row r="13" spans="2:68" x14ac:dyDescent="0.25">
      <c r="B13" s="64">
        <v>1</v>
      </c>
      <c r="C13" s="65">
        <v>2</v>
      </c>
      <c r="D13" s="65" t="s">
        <v>92</v>
      </c>
      <c r="E13" s="66">
        <f>'[3]Master File'!B12</f>
        <v>46026</v>
      </c>
      <c r="F13" s="67" t="str">
        <f>'[3]Master File'!C12</f>
        <v>Zoo</v>
      </c>
      <c r="G13" s="46"/>
      <c r="I13" s="68" t="s">
        <v>94</v>
      </c>
      <c r="J13" s="68" t="s">
        <v>94</v>
      </c>
      <c r="K13" s="68" t="s">
        <v>94</v>
      </c>
      <c r="L13" s="68" t="s">
        <v>94</v>
      </c>
      <c r="M13" s="70" t="s">
        <v>94</v>
      </c>
      <c r="N13" s="70" t="s">
        <v>94</v>
      </c>
      <c r="O13" s="70" t="s">
        <v>94</v>
      </c>
      <c r="P13" s="70" t="s">
        <v>94</v>
      </c>
      <c r="Q13" s="68" t="s">
        <v>94</v>
      </c>
      <c r="R13" s="68" t="s">
        <v>94</v>
      </c>
      <c r="S13" s="68" t="s">
        <v>94</v>
      </c>
      <c r="T13" s="68" t="s">
        <v>94</v>
      </c>
      <c r="U13" s="68" t="s">
        <v>94</v>
      </c>
      <c r="V13" s="68" t="s">
        <v>94</v>
      </c>
      <c r="W13" s="70" t="s">
        <v>93</v>
      </c>
      <c r="X13" s="70" t="s">
        <v>94</v>
      </c>
      <c r="Y13" s="70" t="s">
        <v>94</v>
      </c>
      <c r="Z13" s="68" t="s">
        <v>94</v>
      </c>
      <c r="AA13" s="70" t="s">
        <v>94</v>
      </c>
      <c r="AB13" s="70" t="s">
        <v>94</v>
      </c>
      <c r="AC13" s="70" t="s">
        <v>93</v>
      </c>
      <c r="AD13" s="70" t="s">
        <v>94</v>
      </c>
      <c r="AE13" s="70" t="s">
        <v>94</v>
      </c>
      <c r="AF13" s="70" t="s">
        <v>93</v>
      </c>
      <c r="AG13" s="70" t="s">
        <v>93</v>
      </c>
      <c r="AH13" s="70" t="s">
        <v>93</v>
      </c>
      <c r="AI13" s="70" t="s">
        <v>93</v>
      </c>
      <c r="AJ13" s="70" t="s">
        <v>93</v>
      </c>
      <c r="AK13" s="70" t="s">
        <v>93</v>
      </c>
      <c r="AL13" s="70" t="s">
        <v>93</v>
      </c>
      <c r="AM13" s="70" t="s">
        <v>93</v>
      </c>
      <c r="AN13" s="70" t="s">
        <v>93</v>
      </c>
      <c r="AO13" s="70" t="s">
        <v>93</v>
      </c>
      <c r="AP13" s="70" t="s">
        <v>93</v>
      </c>
      <c r="AQ13" s="70" t="s">
        <v>93</v>
      </c>
      <c r="AR13" s="70" t="s">
        <v>93</v>
      </c>
      <c r="AS13" s="70" t="s">
        <v>93</v>
      </c>
      <c r="AT13" s="70" t="s">
        <v>93</v>
      </c>
      <c r="AU13" s="70" t="s">
        <v>93</v>
      </c>
      <c r="AV13" s="70" t="s">
        <v>93</v>
      </c>
      <c r="AW13" s="70" t="s">
        <v>93</v>
      </c>
      <c r="AX13" s="70" t="s">
        <v>93</v>
      </c>
      <c r="AY13" s="70" t="s">
        <v>93</v>
      </c>
      <c r="AZ13" s="70" t="s">
        <v>93</v>
      </c>
      <c r="BA13" s="70" t="s">
        <v>93</v>
      </c>
      <c r="BB13" s="70" t="s">
        <v>93</v>
      </c>
      <c r="BC13" s="70" t="s">
        <v>93</v>
      </c>
      <c r="BD13" s="70" t="s">
        <v>93</v>
      </c>
      <c r="BE13" s="70" t="s">
        <v>93</v>
      </c>
      <c r="BF13" s="70" t="s">
        <v>93</v>
      </c>
      <c r="BG13" s="70" t="s">
        <v>93</v>
      </c>
      <c r="BH13" s="70" t="s">
        <v>93</v>
      </c>
      <c r="BI13" s="70" t="s">
        <v>93</v>
      </c>
      <c r="BJ13" s="70" t="s">
        <v>93</v>
      </c>
      <c r="BK13" s="70" t="s">
        <v>93</v>
      </c>
      <c r="BL13" s="70" t="s">
        <v>93</v>
      </c>
      <c r="BM13" s="70" t="s">
        <v>93</v>
      </c>
      <c r="BN13" s="70" t="s">
        <v>93</v>
      </c>
      <c r="BO13" s="70" t="s">
        <v>93</v>
      </c>
      <c r="BP13" s="71" t="s">
        <v>93</v>
      </c>
    </row>
    <row r="14" spans="2:68" x14ac:dyDescent="0.25">
      <c r="B14" s="64">
        <v>1</v>
      </c>
      <c r="C14" s="65">
        <v>2</v>
      </c>
      <c r="D14" s="65" t="s">
        <v>95</v>
      </c>
      <c r="E14" s="66">
        <f>'[3]Master File'!B13</f>
        <v>46027</v>
      </c>
      <c r="F14" s="67" t="str">
        <f>'[3]Master File'!C13</f>
        <v>Closed</v>
      </c>
      <c r="G14" s="46"/>
      <c r="I14" s="68" t="s">
        <v>93</v>
      </c>
      <c r="J14" s="68" t="s">
        <v>93</v>
      </c>
      <c r="K14" s="68" t="s">
        <v>93</v>
      </c>
      <c r="L14" s="68" t="s">
        <v>94</v>
      </c>
      <c r="M14" s="68" t="s">
        <v>94</v>
      </c>
      <c r="N14" s="68" t="s">
        <v>94</v>
      </c>
      <c r="O14" s="68" t="s">
        <v>94</v>
      </c>
      <c r="P14" s="68" t="s">
        <v>94</v>
      </c>
      <c r="Q14" s="68" t="s">
        <v>93</v>
      </c>
      <c r="R14" s="68" t="s">
        <v>93</v>
      </c>
      <c r="S14" s="68" t="s">
        <v>93</v>
      </c>
      <c r="T14" s="68" t="s">
        <v>93</v>
      </c>
      <c r="U14" s="68" t="s">
        <v>93</v>
      </c>
      <c r="V14" s="68" t="s">
        <v>93</v>
      </c>
      <c r="W14" s="68" t="s">
        <v>93</v>
      </c>
      <c r="X14" s="68" t="s">
        <v>93</v>
      </c>
      <c r="Y14" s="68" t="s">
        <v>93</v>
      </c>
      <c r="Z14" s="68" t="s">
        <v>94</v>
      </c>
      <c r="AA14" s="68" t="s">
        <v>94</v>
      </c>
      <c r="AB14" s="68" t="s">
        <v>93</v>
      </c>
      <c r="AC14" s="68" t="s">
        <v>93</v>
      </c>
      <c r="AD14" s="68" t="s">
        <v>93</v>
      </c>
      <c r="AE14" s="68" t="s">
        <v>93</v>
      </c>
      <c r="AF14" s="68" t="s">
        <v>93</v>
      </c>
      <c r="AG14" s="68" t="s">
        <v>93</v>
      </c>
      <c r="AH14" s="68" t="s">
        <v>93</v>
      </c>
      <c r="AI14" s="68" t="s">
        <v>93</v>
      </c>
      <c r="AJ14" s="68" t="s">
        <v>93</v>
      </c>
      <c r="AK14" s="68" t="s">
        <v>93</v>
      </c>
      <c r="AL14" s="68" t="s">
        <v>93</v>
      </c>
      <c r="AM14" s="68" t="s">
        <v>93</v>
      </c>
      <c r="AN14" s="68" t="s">
        <v>93</v>
      </c>
      <c r="AO14" s="68" t="s">
        <v>93</v>
      </c>
      <c r="AP14" s="68" t="s">
        <v>93</v>
      </c>
      <c r="AQ14" s="68" t="s">
        <v>93</v>
      </c>
      <c r="AR14" s="68" t="s">
        <v>93</v>
      </c>
      <c r="AS14" s="68" t="s">
        <v>93</v>
      </c>
      <c r="AT14" s="68" t="s">
        <v>93</v>
      </c>
      <c r="AU14" s="68" t="s">
        <v>93</v>
      </c>
      <c r="AV14" s="68" t="s">
        <v>93</v>
      </c>
      <c r="AW14" s="68" t="s">
        <v>93</v>
      </c>
      <c r="AX14" s="68" t="s">
        <v>93</v>
      </c>
      <c r="AY14" s="68" t="s">
        <v>93</v>
      </c>
      <c r="AZ14" s="68" t="s">
        <v>93</v>
      </c>
      <c r="BA14" s="68" t="s">
        <v>93</v>
      </c>
      <c r="BB14" s="68" t="s">
        <v>93</v>
      </c>
      <c r="BC14" s="68" t="s">
        <v>93</v>
      </c>
      <c r="BD14" s="68" t="s">
        <v>93</v>
      </c>
      <c r="BE14" s="68" t="s">
        <v>93</v>
      </c>
      <c r="BF14" s="68" t="s">
        <v>93</v>
      </c>
      <c r="BG14" s="68" t="s">
        <v>93</v>
      </c>
      <c r="BH14" s="68" t="s">
        <v>93</v>
      </c>
      <c r="BI14" s="68" t="s">
        <v>93</v>
      </c>
      <c r="BJ14" s="68" t="s">
        <v>93</v>
      </c>
      <c r="BK14" s="68" t="s">
        <v>93</v>
      </c>
      <c r="BL14" s="68" t="s">
        <v>93</v>
      </c>
      <c r="BM14" s="68" t="s">
        <v>93</v>
      </c>
      <c r="BN14" s="68" t="s">
        <v>93</v>
      </c>
      <c r="BO14" s="68" t="s">
        <v>93</v>
      </c>
      <c r="BP14" s="69" t="s">
        <v>93</v>
      </c>
    </row>
    <row r="15" spans="2:68" x14ac:dyDescent="0.25">
      <c r="B15" s="64">
        <v>1</v>
      </c>
      <c r="C15" s="65">
        <v>2</v>
      </c>
      <c r="D15" s="65" t="s">
        <v>96</v>
      </c>
      <c r="E15" s="66">
        <f>'[3]Master File'!B14</f>
        <v>46028</v>
      </c>
      <c r="F15" s="67" t="str">
        <f>'[3]Master File'!C14</f>
        <v>Closed</v>
      </c>
      <c r="G15" s="46"/>
      <c r="I15" s="68" t="s">
        <v>93</v>
      </c>
      <c r="J15" s="68" t="s">
        <v>93</v>
      </c>
      <c r="K15" s="68" t="s">
        <v>93</v>
      </c>
      <c r="L15" s="68" t="s">
        <v>94</v>
      </c>
      <c r="M15" s="68" t="s">
        <v>94</v>
      </c>
      <c r="N15" s="68" t="s">
        <v>94</v>
      </c>
      <c r="O15" s="68" t="s">
        <v>94</v>
      </c>
      <c r="P15" s="68" t="s">
        <v>94</v>
      </c>
      <c r="Q15" s="68" t="s">
        <v>93</v>
      </c>
      <c r="R15" s="68" t="s">
        <v>93</v>
      </c>
      <c r="S15" s="68" t="s">
        <v>93</v>
      </c>
      <c r="T15" s="68" t="s">
        <v>93</v>
      </c>
      <c r="U15" s="68" t="s">
        <v>93</v>
      </c>
      <c r="V15" s="68" t="s">
        <v>93</v>
      </c>
      <c r="W15" s="68" t="s">
        <v>93</v>
      </c>
      <c r="X15" s="68" t="s">
        <v>93</v>
      </c>
      <c r="Y15" s="68" t="s">
        <v>93</v>
      </c>
      <c r="Z15" s="68" t="s">
        <v>94</v>
      </c>
      <c r="AA15" s="68" t="s">
        <v>94</v>
      </c>
      <c r="AB15" s="68" t="s">
        <v>93</v>
      </c>
      <c r="AC15" s="68" t="s">
        <v>93</v>
      </c>
      <c r="AD15" s="68" t="s">
        <v>93</v>
      </c>
      <c r="AE15" s="68" t="s">
        <v>93</v>
      </c>
      <c r="AF15" s="68" t="s">
        <v>93</v>
      </c>
      <c r="AG15" s="68" t="s">
        <v>93</v>
      </c>
      <c r="AH15" s="68" t="s">
        <v>93</v>
      </c>
      <c r="AI15" s="68" t="s">
        <v>93</v>
      </c>
      <c r="AJ15" s="68" t="s">
        <v>93</v>
      </c>
      <c r="AK15" s="68" t="s">
        <v>93</v>
      </c>
      <c r="AL15" s="68" t="s">
        <v>93</v>
      </c>
      <c r="AM15" s="68" t="s">
        <v>93</v>
      </c>
      <c r="AN15" s="68" t="s">
        <v>93</v>
      </c>
      <c r="AO15" s="68" t="s">
        <v>93</v>
      </c>
      <c r="AP15" s="68" t="s">
        <v>93</v>
      </c>
      <c r="AQ15" s="68" t="s">
        <v>93</v>
      </c>
      <c r="AR15" s="68" t="s">
        <v>93</v>
      </c>
      <c r="AS15" s="68" t="s">
        <v>93</v>
      </c>
      <c r="AT15" s="68" t="s">
        <v>93</v>
      </c>
      <c r="AU15" s="68" t="s">
        <v>93</v>
      </c>
      <c r="AV15" s="68" t="s">
        <v>93</v>
      </c>
      <c r="AW15" s="68" t="s">
        <v>93</v>
      </c>
      <c r="AX15" s="68" t="s">
        <v>93</v>
      </c>
      <c r="AY15" s="68" t="s">
        <v>93</v>
      </c>
      <c r="AZ15" s="68" t="s">
        <v>93</v>
      </c>
      <c r="BA15" s="68" t="s">
        <v>93</v>
      </c>
      <c r="BB15" s="68" t="s">
        <v>93</v>
      </c>
      <c r="BC15" s="68" t="s">
        <v>93</v>
      </c>
      <c r="BD15" s="68" t="s">
        <v>93</v>
      </c>
      <c r="BE15" s="68" t="s">
        <v>93</v>
      </c>
      <c r="BF15" s="68" t="s">
        <v>93</v>
      </c>
      <c r="BG15" s="68" t="s">
        <v>93</v>
      </c>
      <c r="BH15" s="68" t="s">
        <v>93</v>
      </c>
      <c r="BI15" s="68" t="s">
        <v>93</v>
      </c>
      <c r="BJ15" s="68" t="s">
        <v>93</v>
      </c>
      <c r="BK15" s="68" t="s">
        <v>93</v>
      </c>
      <c r="BL15" s="68" t="s">
        <v>93</v>
      </c>
      <c r="BM15" s="68" t="s">
        <v>93</v>
      </c>
      <c r="BN15" s="68" t="s">
        <v>93</v>
      </c>
      <c r="BO15" s="68" t="s">
        <v>93</v>
      </c>
      <c r="BP15" s="69" t="s">
        <v>93</v>
      </c>
    </row>
    <row r="16" spans="2:68" x14ac:dyDescent="0.25">
      <c r="B16" s="64">
        <v>1</v>
      </c>
      <c r="C16" s="65">
        <v>2</v>
      </c>
      <c r="D16" s="65" t="s">
        <v>97</v>
      </c>
      <c r="E16" s="66">
        <f>'[3]Master File'!B15</f>
        <v>46029</v>
      </c>
      <c r="F16" s="67" t="str">
        <f>'[3]Master File'!C15</f>
        <v>Closed</v>
      </c>
      <c r="G16" s="46"/>
      <c r="I16" s="68" t="s">
        <v>93</v>
      </c>
      <c r="J16" s="68" t="s">
        <v>93</v>
      </c>
      <c r="K16" s="68" t="s">
        <v>93</v>
      </c>
      <c r="L16" s="68" t="s">
        <v>94</v>
      </c>
      <c r="M16" s="68" t="s">
        <v>94</v>
      </c>
      <c r="N16" s="68" t="s">
        <v>94</v>
      </c>
      <c r="O16" s="68" t="s">
        <v>94</v>
      </c>
      <c r="P16" s="68" t="s">
        <v>94</v>
      </c>
      <c r="Q16" s="68" t="s">
        <v>93</v>
      </c>
      <c r="R16" s="68" t="s">
        <v>93</v>
      </c>
      <c r="S16" s="68" t="s">
        <v>93</v>
      </c>
      <c r="T16" s="68" t="s">
        <v>93</v>
      </c>
      <c r="U16" s="68" t="s">
        <v>93</v>
      </c>
      <c r="V16" s="68" t="s">
        <v>93</v>
      </c>
      <c r="W16" s="68" t="s">
        <v>93</v>
      </c>
      <c r="X16" s="68" t="s">
        <v>93</v>
      </c>
      <c r="Y16" s="68" t="s">
        <v>93</v>
      </c>
      <c r="Z16" s="68" t="s">
        <v>94</v>
      </c>
      <c r="AA16" s="68" t="s">
        <v>94</v>
      </c>
      <c r="AB16" s="68" t="s">
        <v>93</v>
      </c>
      <c r="AC16" s="68" t="s">
        <v>93</v>
      </c>
      <c r="AD16" s="68" t="s">
        <v>93</v>
      </c>
      <c r="AE16" s="68" t="s">
        <v>93</v>
      </c>
      <c r="AF16" s="68" t="s">
        <v>93</v>
      </c>
      <c r="AG16" s="68" t="s">
        <v>93</v>
      </c>
      <c r="AH16" s="68" t="s">
        <v>93</v>
      </c>
      <c r="AI16" s="68" t="s">
        <v>93</v>
      </c>
      <c r="AJ16" s="68" t="s">
        <v>93</v>
      </c>
      <c r="AK16" s="68" t="s">
        <v>93</v>
      </c>
      <c r="AL16" s="68" t="s">
        <v>93</v>
      </c>
      <c r="AM16" s="68" t="s">
        <v>93</v>
      </c>
      <c r="AN16" s="68" t="s">
        <v>93</v>
      </c>
      <c r="AO16" s="68" t="s">
        <v>93</v>
      </c>
      <c r="AP16" s="68" t="s">
        <v>93</v>
      </c>
      <c r="AQ16" s="68" t="s">
        <v>93</v>
      </c>
      <c r="AR16" s="68" t="s">
        <v>93</v>
      </c>
      <c r="AS16" s="68" t="s">
        <v>93</v>
      </c>
      <c r="AT16" s="68" t="s">
        <v>93</v>
      </c>
      <c r="AU16" s="68" t="s">
        <v>93</v>
      </c>
      <c r="AV16" s="68" t="s">
        <v>93</v>
      </c>
      <c r="AW16" s="68" t="s">
        <v>93</v>
      </c>
      <c r="AX16" s="68" t="s">
        <v>93</v>
      </c>
      <c r="AY16" s="68" t="s">
        <v>93</v>
      </c>
      <c r="AZ16" s="68" t="s">
        <v>93</v>
      </c>
      <c r="BA16" s="68" t="s">
        <v>93</v>
      </c>
      <c r="BB16" s="68" t="s">
        <v>93</v>
      </c>
      <c r="BC16" s="68" t="s">
        <v>93</v>
      </c>
      <c r="BD16" s="68" t="s">
        <v>93</v>
      </c>
      <c r="BE16" s="68" t="s">
        <v>93</v>
      </c>
      <c r="BF16" s="68" t="s">
        <v>93</v>
      </c>
      <c r="BG16" s="68" t="s">
        <v>93</v>
      </c>
      <c r="BH16" s="68" t="s">
        <v>93</v>
      </c>
      <c r="BI16" s="68" t="s">
        <v>93</v>
      </c>
      <c r="BJ16" s="68" t="s">
        <v>93</v>
      </c>
      <c r="BK16" s="68" t="s">
        <v>93</v>
      </c>
      <c r="BL16" s="68" t="s">
        <v>93</v>
      </c>
      <c r="BM16" s="68" t="s">
        <v>93</v>
      </c>
      <c r="BN16" s="68" t="s">
        <v>93</v>
      </c>
      <c r="BO16" s="68" t="s">
        <v>93</v>
      </c>
      <c r="BP16" s="69" t="s">
        <v>93</v>
      </c>
    </row>
    <row r="17" spans="2:68" x14ac:dyDescent="0.25">
      <c r="B17" s="64">
        <v>1</v>
      </c>
      <c r="C17" s="65">
        <v>2</v>
      </c>
      <c r="D17" s="65" t="s">
        <v>98</v>
      </c>
      <c r="E17" s="66">
        <f>'[3]Master File'!B16</f>
        <v>46030</v>
      </c>
      <c r="F17" s="67" t="str">
        <f>'[3]Master File'!C16</f>
        <v>Closed</v>
      </c>
      <c r="G17" s="46"/>
      <c r="I17" s="68" t="s">
        <v>93</v>
      </c>
      <c r="J17" s="68" t="s">
        <v>93</v>
      </c>
      <c r="K17" s="68" t="s">
        <v>93</v>
      </c>
      <c r="L17" s="68" t="s">
        <v>94</v>
      </c>
      <c r="M17" s="68" t="s">
        <v>94</v>
      </c>
      <c r="N17" s="68" t="s">
        <v>94</v>
      </c>
      <c r="O17" s="68" t="s">
        <v>94</v>
      </c>
      <c r="P17" s="68" t="s">
        <v>94</v>
      </c>
      <c r="Q17" s="68" t="s">
        <v>93</v>
      </c>
      <c r="R17" s="68" t="s">
        <v>93</v>
      </c>
      <c r="S17" s="68" t="s">
        <v>93</v>
      </c>
      <c r="T17" s="68" t="s">
        <v>93</v>
      </c>
      <c r="U17" s="68" t="s">
        <v>93</v>
      </c>
      <c r="V17" s="68" t="s">
        <v>93</v>
      </c>
      <c r="W17" s="68" t="s">
        <v>93</v>
      </c>
      <c r="X17" s="68" t="s">
        <v>93</v>
      </c>
      <c r="Y17" s="68" t="s">
        <v>93</v>
      </c>
      <c r="Z17" s="68" t="s">
        <v>94</v>
      </c>
      <c r="AA17" s="68" t="s">
        <v>94</v>
      </c>
      <c r="AB17" s="68" t="s">
        <v>93</v>
      </c>
      <c r="AC17" s="68" t="s">
        <v>93</v>
      </c>
      <c r="AD17" s="68" t="s">
        <v>93</v>
      </c>
      <c r="AE17" s="68" t="s">
        <v>93</v>
      </c>
      <c r="AF17" s="68" t="s">
        <v>93</v>
      </c>
      <c r="AG17" s="68" t="s">
        <v>93</v>
      </c>
      <c r="AH17" s="68" t="s">
        <v>93</v>
      </c>
      <c r="AI17" s="68" t="s">
        <v>93</v>
      </c>
      <c r="AJ17" s="68" t="s">
        <v>93</v>
      </c>
      <c r="AK17" s="68" t="s">
        <v>93</v>
      </c>
      <c r="AL17" s="68" t="s">
        <v>93</v>
      </c>
      <c r="AM17" s="68" t="s">
        <v>93</v>
      </c>
      <c r="AN17" s="68" t="s">
        <v>93</v>
      </c>
      <c r="AO17" s="68" t="s">
        <v>93</v>
      </c>
      <c r="AP17" s="68" t="s">
        <v>93</v>
      </c>
      <c r="AQ17" s="68" t="s">
        <v>93</v>
      </c>
      <c r="AR17" s="68" t="s">
        <v>93</v>
      </c>
      <c r="AS17" s="68" t="s">
        <v>93</v>
      </c>
      <c r="AT17" s="68" t="s">
        <v>93</v>
      </c>
      <c r="AU17" s="68" t="s">
        <v>93</v>
      </c>
      <c r="AV17" s="68" t="s">
        <v>93</v>
      </c>
      <c r="AW17" s="68" t="s">
        <v>93</v>
      </c>
      <c r="AX17" s="68" t="s">
        <v>93</v>
      </c>
      <c r="AY17" s="68" t="s">
        <v>93</v>
      </c>
      <c r="AZ17" s="68" t="s">
        <v>93</v>
      </c>
      <c r="BA17" s="68" t="s">
        <v>93</v>
      </c>
      <c r="BB17" s="68" t="s">
        <v>93</v>
      </c>
      <c r="BC17" s="68" t="s">
        <v>93</v>
      </c>
      <c r="BD17" s="68" t="s">
        <v>93</v>
      </c>
      <c r="BE17" s="68" t="s">
        <v>93</v>
      </c>
      <c r="BF17" s="68" t="s">
        <v>93</v>
      </c>
      <c r="BG17" s="68" t="s">
        <v>93</v>
      </c>
      <c r="BH17" s="68" t="s">
        <v>93</v>
      </c>
      <c r="BI17" s="68" t="s">
        <v>93</v>
      </c>
      <c r="BJ17" s="68" t="s">
        <v>93</v>
      </c>
      <c r="BK17" s="68" t="s">
        <v>93</v>
      </c>
      <c r="BL17" s="68" t="s">
        <v>93</v>
      </c>
      <c r="BM17" s="68" t="s">
        <v>93</v>
      </c>
      <c r="BN17" s="68" t="s">
        <v>93</v>
      </c>
      <c r="BO17" s="68" t="s">
        <v>93</v>
      </c>
      <c r="BP17" s="69" t="s">
        <v>93</v>
      </c>
    </row>
    <row r="18" spans="2:68" x14ac:dyDescent="0.25">
      <c r="B18" s="64">
        <v>1</v>
      </c>
      <c r="C18" s="65">
        <v>2</v>
      </c>
      <c r="D18" s="65" t="s">
        <v>99</v>
      </c>
      <c r="E18" s="66">
        <f>'[3]Master File'!B17</f>
        <v>46031</v>
      </c>
      <c r="F18" s="67" t="str">
        <f>'[3]Master File'!C17</f>
        <v>Closed</v>
      </c>
      <c r="G18" s="46"/>
      <c r="I18" s="68" t="s">
        <v>93</v>
      </c>
      <c r="J18" s="68" t="s">
        <v>93</v>
      </c>
      <c r="K18" s="68" t="s">
        <v>93</v>
      </c>
      <c r="L18" s="68" t="s">
        <v>94</v>
      </c>
      <c r="M18" s="68" t="s">
        <v>94</v>
      </c>
      <c r="N18" s="68" t="s">
        <v>94</v>
      </c>
      <c r="O18" s="68" t="s">
        <v>94</v>
      </c>
      <c r="P18" s="68" t="s">
        <v>94</v>
      </c>
      <c r="Q18" s="68" t="s">
        <v>93</v>
      </c>
      <c r="R18" s="68" t="s">
        <v>93</v>
      </c>
      <c r="S18" s="68" t="s">
        <v>93</v>
      </c>
      <c r="T18" s="68" t="s">
        <v>93</v>
      </c>
      <c r="U18" s="68" t="s">
        <v>93</v>
      </c>
      <c r="V18" s="68" t="s">
        <v>93</v>
      </c>
      <c r="W18" s="68" t="s">
        <v>93</v>
      </c>
      <c r="X18" s="68" t="s">
        <v>93</v>
      </c>
      <c r="Y18" s="68" t="s">
        <v>93</v>
      </c>
      <c r="Z18" s="68" t="s">
        <v>94</v>
      </c>
      <c r="AA18" s="68" t="s">
        <v>94</v>
      </c>
      <c r="AB18" s="68" t="s">
        <v>93</v>
      </c>
      <c r="AC18" s="68" t="s">
        <v>93</v>
      </c>
      <c r="AD18" s="68" t="s">
        <v>93</v>
      </c>
      <c r="AE18" s="68" t="s">
        <v>93</v>
      </c>
      <c r="AF18" s="68" t="s">
        <v>93</v>
      </c>
      <c r="AG18" s="68" t="s">
        <v>93</v>
      </c>
      <c r="AH18" s="68" t="s">
        <v>93</v>
      </c>
      <c r="AI18" s="68" t="s">
        <v>93</v>
      </c>
      <c r="AJ18" s="68" t="s">
        <v>93</v>
      </c>
      <c r="AK18" s="68" t="s">
        <v>93</v>
      </c>
      <c r="AL18" s="68" t="s">
        <v>93</v>
      </c>
      <c r="AM18" s="68" t="s">
        <v>93</v>
      </c>
      <c r="AN18" s="68" t="s">
        <v>93</v>
      </c>
      <c r="AO18" s="68" t="s">
        <v>93</v>
      </c>
      <c r="AP18" s="68" t="s">
        <v>93</v>
      </c>
      <c r="AQ18" s="68" t="s">
        <v>93</v>
      </c>
      <c r="AR18" s="68" t="s">
        <v>93</v>
      </c>
      <c r="AS18" s="68" t="s">
        <v>93</v>
      </c>
      <c r="AT18" s="68" t="s">
        <v>93</v>
      </c>
      <c r="AU18" s="68" t="s">
        <v>93</v>
      </c>
      <c r="AV18" s="68" t="s">
        <v>93</v>
      </c>
      <c r="AW18" s="68" t="s">
        <v>93</v>
      </c>
      <c r="AX18" s="68" t="s">
        <v>93</v>
      </c>
      <c r="AY18" s="68" t="s">
        <v>93</v>
      </c>
      <c r="AZ18" s="68" t="s">
        <v>93</v>
      </c>
      <c r="BA18" s="68" t="s">
        <v>93</v>
      </c>
      <c r="BB18" s="68" t="s">
        <v>93</v>
      </c>
      <c r="BC18" s="68" t="s">
        <v>93</v>
      </c>
      <c r="BD18" s="68" t="s">
        <v>93</v>
      </c>
      <c r="BE18" s="68" t="s">
        <v>93</v>
      </c>
      <c r="BF18" s="68" t="s">
        <v>93</v>
      </c>
      <c r="BG18" s="68" t="s">
        <v>93</v>
      </c>
      <c r="BH18" s="68" t="s">
        <v>93</v>
      </c>
      <c r="BI18" s="68" t="s">
        <v>93</v>
      </c>
      <c r="BJ18" s="68" t="s">
        <v>93</v>
      </c>
      <c r="BK18" s="68" t="s">
        <v>93</v>
      </c>
      <c r="BL18" s="68" t="s">
        <v>93</v>
      </c>
      <c r="BM18" s="68" t="s">
        <v>93</v>
      </c>
      <c r="BN18" s="68" t="s">
        <v>93</v>
      </c>
      <c r="BO18" s="68" t="s">
        <v>93</v>
      </c>
      <c r="BP18" s="69" t="s">
        <v>93</v>
      </c>
    </row>
    <row r="19" spans="2:68" x14ac:dyDescent="0.25">
      <c r="B19" s="64">
        <v>1</v>
      </c>
      <c r="C19" s="65">
        <v>2</v>
      </c>
      <c r="D19" s="65" t="s">
        <v>100</v>
      </c>
      <c r="E19" s="66">
        <f>'[3]Master File'!B18</f>
        <v>46032</v>
      </c>
      <c r="F19" s="67" t="str">
        <f>'[3]Master File'!C18</f>
        <v>Zoo</v>
      </c>
      <c r="G19" s="46"/>
      <c r="I19" s="68" t="s">
        <v>94</v>
      </c>
      <c r="J19" s="68" t="s">
        <v>94</v>
      </c>
      <c r="K19" s="68" t="s">
        <v>94</v>
      </c>
      <c r="L19" s="68" t="s">
        <v>94</v>
      </c>
      <c r="M19" s="70" t="s">
        <v>94</v>
      </c>
      <c r="N19" s="70" t="s">
        <v>94</v>
      </c>
      <c r="O19" s="70" t="s">
        <v>94</v>
      </c>
      <c r="P19" s="70" t="s">
        <v>94</v>
      </c>
      <c r="Q19" s="68" t="s">
        <v>94</v>
      </c>
      <c r="R19" s="68" t="s">
        <v>94</v>
      </c>
      <c r="S19" s="68" t="s">
        <v>94</v>
      </c>
      <c r="T19" s="68" t="s">
        <v>94</v>
      </c>
      <c r="U19" s="68" t="s">
        <v>94</v>
      </c>
      <c r="V19" s="68" t="s">
        <v>94</v>
      </c>
      <c r="W19" s="70" t="s">
        <v>93</v>
      </c>
      <c r="X19" s="70" t="s">
        <v>94</v>
      </c>
      <c r="Y19" s="70" t="s">
        <v>94</v>
      </c>
      <c r="Z19" s="68" t="s">
        <v>94</v>
      </c>
      <c r="AA19" s="70" t="s">
        <v>94</v>
      </c>
      <c r="AB19" s="70" t="s">
        <v>94</v>
      </c>
      <c r="AC19" s="70" t="s">
        <v>93</v>
      </c>
      <c r="AD19" s="70" t="s">
        <v>94</v>
      </c>
      <c r="AE19" s="70" t="s">
        <v>94</v>
      </c>
      <c r="AF19" s="70" t="s">
        <v>93</v>
      </c>
      <c r="AG19" s="70" t="s">
        <v>93</v>
      </c>
      <c r="AH19" s="70" t="s">
        <v>93</v>
      </c>
      <c r="AI19" s="70" t="s">
        <v>93</v>
      </c>
      <c r="AJ19" s="70" t="s">
        <v>93</v>
      </c>
      <c r="AK19" s="70" t="s">
        <v>93</v>
      </c>
      <c r="AL19" s="70" t="s">
        <v>93</v>
      </c>
      <c r="AM19" s="70" t="s">
        <v>93</v>
      </c>
      <c r="AN19" s="70" t="s">
        <v>93</v>
      </c>
      <c r="AO19" s="70" t="s">
        <v>93</v>
      </c>
      <c r="AP19" s="70" t="s">
        <v>93</v>
      </c>
      <c r="AQ19" s="70" t="s">
        <v>93</v>
      </c>
      <c r="AR19" s="70" t="s">
        <v>93</v>
      </c>
      <c r="AS19" s="70" t="s">
        <v>93</v>
      </c>
      <c r="AT19" s="70" t="s">
        <v>93</v>
      </c>
      <c r="AU19" s="70" t="s">
        <v>93</v>
      </c>
      <c r="AV19" s="70" t="s">
        <v>93</v>
      </c>
      <c r="AW19" s="70" t="s">
        <v>93</v>
      </c>
      <c r="AX19" s="70" t="s">
        <v>93</v>
      </c>
      <c r="AY19" s="70" t="s">
        <v>93</v>
      </c>
      <c r="AZ19" s="70" t="s">
        <v>93</v>
      </c>
      <c r="BA19" s="70" t="s">
        <v>93</v>
      </c>
      <c r="BB19" s="70" t="s">
        <v>93</v>
      </c>
      <c r="BC19" s="70" t="s">
        <v>93</v>
      </c>
      <c r="BD19" s="70" t="s">
        <v>93</v>
      </c>
      <c r="BE19" s="70" t="s">
        <v>93</v>
      </c>
      <c r="BF19" s="70" t="s">
        <v>93</v>
      </c>
      <c r="BG19" s="70" t="s">
        <v>93</v>
      </c>
      <c r="BH19" s="70" t="s">
        <v>93</v>
      </c>
      <c r="BI19" s="70" t="s">
        <v>93</v>
      </c>
      <c r="BJ19" s="70" t="s">
        <v>93</v>
      </c>
      <c r="BK19" s="70" t="s">
        <v>93</v>
      </c>
      <c r="BL19" s="70" t="s">
        <v>93</v>
      </c>
      <c r="BM19" s="70" t="s">
        <v>93</v>
      </c>
      <c r="BN19" s="70" t="s">
        <v>93</v>
      </c>
      <c r="BO19" s="70" t="s">
        <v>93</v>
      </c>
      <c r="BP19" s="71" t="s">
        <v>93</v>
      </c>
    </row>
    <row r="20" spans="2:68" x14ac:dyDescent="0.25">
      <c r="B20" s="64">
        <v>1</v>
      </c>
      <c r="C20" s="65">
        <v>3</v>
      </c>
      <c r="D20" s="65" t="s">
        <v>92</v>
      </c>
      <c r="E20" s="66">
        <f>'[3]Master File'!B19</f>
        <v>46033</v>
      </c>
      <c r="F20" s="67" t="str">
        <f>'[3]Master File'!C19</f>
        <v>Zoo</v>
      </c>
      <c r="G20" s="46"/>
      <c r="I20" s="68" t="s">
        <v>94</v>
      </c>
      <c r="J20" s="68" t="s">
        <v>94</v>
      </c>
      <c r="K20" s="68" t="s">
        <v>94</v>
      </c>
      <c r="L20" s="68" t="s">
        <v>94</v>
      </c>
      <c r="M20" s="70" t="s">
        <v>94</v>
      </c>
      <c r="N20" s="70" t="s">
        <v>94</v>
      </c>
      <c r="O20" s="70" t="s">
        <v>94</v>
      </c>
      <c r="P20" s="70" t="s">
        <v>94</v>
      </c>
      <c r="Q20" s="68" t="s">
        <v>94</v>
      </c>
      <c r="R20" s="68" t="s">
        <v>94</v>
      </c>
      <c r="S20" s="68" t="s">
        <v>94</v>
      </c>
      <c r="T20" s="68" t="s">
        <v>94</v>
      </c>
      <c r="U20" s="68" t="s">
        <v>94</v>
      </c>
      <c r="V20" s="68" t="s">
        <v>94</v>
      </c>
      <c r="W20" s="70" t="s">
        <v>93</v>
      </c>
      <c r="X20" s="70" t="s">
        <v>94</v>
      </c>
      <c r="Y20" s="70" t="s">
        <v>94</v>
      </c>
      <c r="Z20" s="68" t="s">
        <v>94</v>
      </c>
      <c r="AA20" s="70" t="s">
        <v>94</v>
      </c>
      <c r="AB20" s="70" t="s">
        <v>94</v>
      </c>
      <c r="AC20" s="70" t="s">
        <v>93</v>
      </c>
      <c r="AD20" s="70" t="s">
        <v>94</v>
      </c>
      <c r="AE20" s="70" t="s">
        <v>94</v>
      </c>
      <c r="AF20" s="70" t="s">
        <v>93</v>
      </c>
      <c r="AG20" s="70" t="s">
        <v>93</v>
      </c>
      <c r="AH20" s="70" t="s">
        <v>93</v>
      </c>
      <c r="AI20" s="70" t="s">
        <v>93</v>
      </c>
      <c r="AJ20" s="70" t="s">
        <v>93</v>
      </c>
      <c r="AK20" s="70" t="s">
        <v>93</v>
      </c>
      <c r="AL20" s="70" t="s">
        <v>93</v>
      </c>
      <c r="AM20" s="70" t="s">
        <v>93</v>
      </c>
      <c r="AN20" s="70" t="s">
        <v>93</v>
      </c>
      <c r="AO20" s="70" t="s">
        <v>93</v>
      </c>
      <c r="AP20" s="70" t="s">
        <v>93</v>
      </c>
      <c r="AQ20" s="70" t="s">
        <v>93</v>
      </c>
      <c r="AR20" s="70" t="s">
        <v>93</v>
      </c>
      <c r="AS20" s="70" t="s">
        <v>93</v>
      </c>
      <c r="AT20" s="70" t="s">
        <v>93</v>
      </c>
      <c r="AU20" s="70" t="s">
        <v>93</v>
      </c>
      <c r="AV20" s="70" t="s">
        <v>93</v>
      </c>
      <c r="AW20" s="70" t="s">
        <v>93</v>
      </c>
      <c r="AX20" s="70" t="s">
        <v>93</v>
      </c>
      <c r="AY20" s="70" t="s">
        <v>93</v>
      </c>
      <c r="AZ20" s="70" t="s">
        <v>93</v>
      </c>
      <c r="BA20" s="70" t="s">
        <v>93</v>
      </c>
      <c r="BB20" s="70" t="s">
        <v>93</v>
      </c>
      <c r="BC20" s="70" t="s">
        <v>93</v>
      </c>
      <c r="BD20" s="70" t="s">
        <v>93</v>
      </c>
      <c r="BE20" s="70" t="s">
        <v>93</v>
      </c>
      <c r="BF20" s="70" t="s">
        <v>93</v>
      </c>
      <c r="BG20" s="70" t="s">
        <v>93</v>
      </c>
      <c r="BH20" s="70" t="s">
        <v>93</v>
      </c>
      <c r="BI20" s="70" t="s">
        <v>93</v>
      </c>
      <c r="BJ20" s="70" t="s">
        <v>93</v>
      </c>
      <c r="BK20" s="70" t="s">
        <v>93</v>
      </c>
      <c r="BL20" s="70" t="s">
        <v>93</v>
      </c>
      <c r="BM20" s="70" t="s">
        <v>93</v>
      </c>
      <c r="BN20" s="70" t="s">
        <v>93</v>
      </c>
      <c r="BO20" s="70" t="s">
        <v>93</v>
      </c>
      <c r="BP20" s="71" t="s">
        <v>93</v>
      </c>
    </row>
    <row r="21" spans="2:68" x14ac:dyDescent="0.25">
      <c r="B21" s="64">
        <v>1</v>
      </c>
      <c r="C21" s="65">
        <v>3</v>
      </c>
      <c r="D21" s="65" t="s">
        <v>95</v>
      </c>
      <c r="E21" s="66">
        <f>'[3]Master File'!B20</f>
        <v>46034</v>
      </c>
      <c r="F21" s="67" t="str">
        <f>'[3]Master File'!C20</f>
        <v>Closed</v>
      </c>
      <c r="G21" s="46"/>
      <c r="I21" s="68" t="s">
        <v>93</v>
      </c>
      <c r="J21" s="68" t="s">
        <v>93</v>
      </c>
      <c r="K21" s="68" t="s">
        <v>93</v>
      </c>
      <c r="L21" s="68" t="s">
        <v>94</v>
      </c>
      <c r="M21" s="68" t="s">
        <v>94</v>
      </c>
      <c r="N21" s="68" t="s">
        <v>94</v>
      </c>
      <c r="O21" s="68" t="s">
        <v>94</v>
      </c>
      <c r="P21" s="68" t="s">
        <v>94</v>
      </c>
      <c r="Q21" s="68" t="s">
        <v>93</v>
      </c>
      <c r="R21" s="68" t="s">
        <v>93</v>
      </c>
      <c r="S21" s="68" t="s">
        <v>93</v>
      </c>
      <c r="T21" s="68" t="s">
        <v>93</v>
      </c>
      <c r="U21" s="68" t="s">
        <v>93</v>
      </c>
      <c r="V21" s="68" t="s">
        <v>93</v>
      </c>
      <c r="W21" s="68" t="s">
        <v>93</v>
      </c>
      <c r="X21" s="68" t="s">
        <v>93</v>
      </c>
      <c r="Y21" s="68" t="s">
        <v>93</v>
      </c>
      <c r="Z21" s="68" t="s">
        <v>94</v>
      </c>
      <c r="AA21" s="68" t="s">
        <v>94</v>
      </c>
      <c r="AB21" s="68" t="s">
        <v>93</v>
      </c>
      <c r="AC21" s="68" t="s">
        <v>93</v>
      </c>
      <c r="AD21" s="68" t="s">
        <v>93</v>
      </c>
      <c r="AE21" s="68" t="s">
        <v>93</v>
      </c>
      <c r="AF21" s="68" t="s">
        <v>93</v>
      </c>
      <c r="AG21" s="68" t="s">
        <v>93</v>
      </c>
      <c r="AH21" s="68" t="s">
        <v>93</v>
      </c>
      <c r="AI21" s="68" t="s">
        <v>93</v>
      </c>
      <c r="AJ21" s="68" t="s">
        <v>93</v>
      </c>
      <c r="AK21" s="68" t="s">
        <v>93</v>
      </c>
      <c r="AL21" s="68" t="s">
        <v>93</v>
      </c>
      <c r="AM21" s="68" t="s">
        <v>93</v>
      </c>
      <c r="AN21" s="68" t="s">
        <v>93</v>
      </c>
      <c r="AO21" s="68" t="s">
        <v>93</v>
      </c>
      <c r="AP21" s="68" t="s">
        <v>93</v>
      </c>
      <c r="AQ21" s="68" t="s">
        <v>93</v>
      </c>
      <c r="AR21" s="68" t="s">
        <v>93</v>
      </c>
      <c r="AS21" s="68" t="s">
        <v>93</v>
      </c>
      <c r="AT21" s="68" t="s">
        <v>93</v>
      </c>
      <c r="AU21" s="68" t="s">
        <v>93</v>
      </c>
      <c r="AV21" s="68" t="s">
        <v>93</v>
      </c>
      <c r="AW21" s="68" t="s">
        <v>93</v>
      </c>
      <c r="AX21" s="68" t="s">
        <v>93</v>
      </c>
      <c r="AY21" s="68" t="s">
        <v>93</v>
      </c>
      <c r="AZ21" s="68" t="s">
        <v>93</v>
      </c>
      <c r="BA21" s="68" t="s">
        <v>93</v>
      </c>
      <c r="BB21" s="68" t="s">
        <v>93</v>
      </c>
      <c r="BC21" s="68" t="s">
        <v>93</v>
      </c>
      <c r="BD21" s="68" t="s">
        <v>93</v>
      </c>
      <c r="BE21" s="68" t="s">
        <v>93</v>
      </c>
      <c r="BF21" s="68" t="s">
        <v>93</v>
      </c>
      <c r="BG21" s="68" t="s">
        <v>93</v>
      </c>
      <c r="BH21" s="68" t="s">
        <v>93</v>
      </c>
      <c r="BI21" s="68" t="s">
        <v>93</v>
      </c>
      <c r="BJ21" s="68" t="s">
        <v>93</v>
      </c>
      <c r="BK21" s="68" t="s">
        <v>93</v>
      </c>
      <c r="BL21" s="68" t="s">
        <v>93</v>
      </c>
      <c r="BM21" s="68" t="s">
        <v>93</v>
      </c>
      <c r="BN21" s="68" t="s">
        <v>93</v>
      </c>
      <c r="BO21" s="68" t="s">
        <v>93</v>
      </c>
      <c r="BP21" s="69" t="s">
        <v>93</v>
      </c>
    </row>
    <row r="22" spans="2:68" x14ac:dyDescent="0.25">
      <c r="B22" s="64">
        <v>1</v>
      </c>
      <c r="C22" s="65">
        <v>3</v>
      </c>
      <c r="D22" s="65" t="s">
        <v>96</v>
      </c>
      <c r="E22" s="66">
        <f>'[3]Master File'!B21</f>
        <v>46035</v>
      </c>
      <c r="F22" s="67" t="str">
        <f>'[3]Master File'!C21</f>
        <v>Closed</v>
      </c>
      <c r="G22" s="46"/>
      <c r="I22" s="68" t="s">
        <v>93</v>
      </c>
      <c r="J22" s="68" t="s">
        <v>93</v>
      </c>
      <c r="K22" s="68" t="s">
        <v>93</v>
      </c>
      <c r="L22" s="68" t="s">
        <v>94</v>
      </c>
      <c r="M22" s="68" t="s">
        <v>94</v>
      </c>
      <c r="N22" s="68" t="s">
        <v>94</v>
      </c>
      <c r="O22" s="68" t="s">
        <v>94</v>
      </c>
      <c r="P22" s="68" t="s">
        <v>94</v>
      </c>
      <c r="Q22" s="68" t="s">
        <v>93</v>
      </c>
      <c r="R22" s="68" t="s">
        <v>93</v>
      </c>
      <c r="S22" s="68" t="s">
        <v>93</v>
      </c>
      <c r="T22" s="68" t="s">
        <v>93</v>
      </c>
      <c r="U22" s="68" t="s">
        <v>93</v>
      </c>
      <c r="V22" s="68" t="s">
        <v>93</v>
      </c>
      <c r="W22" s="68" t="s">
        <v>93</v>
      </c>
      <c r="X22" s="68" t="s">
        <v>93</v>
      </c>
      <c r="Y22" s="68" t="s">
        <v>93</v>
      </c>
      <c r="Z22" s="68" t="s">
        <v>94</v>
      </c>
      <c r="AA22" s="68" t="s">
        <v>94</v>
      </c>
      <c r="AB22" s="68" t="s">
        <v>93</v>
      </c>
      <c r="AC22" s="68" t="s">
        <v>93</v>
      </c>
      <c r="AD22" s="68" t="s">
        <v>93</v>
      </c>
      <c r="AE22" s="68" t="s">
        <v>93</v>
      </c>
      <c r="AF22" s="68" t="s">
        <v>93</v>
      </c>
      <c r="AG22" s="68" t="s">
        <v>93</v>
      </c>
      <c r="AH22" s="68" t="s">
        <v>93</v>
      </c>
      <c r="AI22" s="68" t="s">
        <v>93</v>
      </c>
      <c r="AJ22" s="68" t="s">
        <v>93</v>
      </c>
      <c r="AK22" s="68" t="s">
        <v>93</v>
      </c>
      <c r="AL22" s="68" t="s">
        <v>93</v>
      </c>
      <c r="AM22" s="68" t="s">
        <v>93</v>
      </c>
      <c r="AN22" s="68" t="s">
        <v>93</v>
      </c>
      <c r="AO22" s="68" t="s">
        <v>93</v>
      </c>
      <c r="AP22" s="68" t="s">
        <v>93</v>
      </c>
      <c r="AQ22" s="68" t="s">
        <v>93</v>
      </c>
      <c r="AR22" s="68" t="s">
        <v>93</v>
      </c>
      <c r="AS22" s="68" t="s">
        <v>93</v>
      </c>
      <c r="AT22" s="68" t="s">
        <v>93</v>
      </c>
      <c r="AU22" s="68" t="s">
        <v>93</v>
      </c>
      <c r="AV22" s="68" t="s">
        <v>93</v>
      </c>
      <c r="AW22" s="68" t="s">
        <v>93</v>
      </c>
      <c r="AX22" s="68" t="s">
        <v>93</v>
      </c>
      <c r="AY22" s="68" t="s">
        <v>93</v>
      </c>
      <c r="AZ22" s="68" t="s">
        <v>93</v>
      </c>
      <c r="BA22" s="68" t="s">
        <v>93</v>
      </c>
      <c r="BB22" s="68" t="s">
        <v>93</v>
      </c>
      <c r="BC22" s="68" t="s">
        <v>93</v>
      </c>
      <c r="BD22" s="68" t="s">
        <v>93</v>
      </c>
      <c r="BE22" s="68" t="s">
        <v>93</v>
      </c>
      <c r="BF22" s="68" t="s">
        <v>93</v>
      </c>
      <c r="BG22" s="68" t="s">
        <v>93</v>
      </c>
      <c r="BH22" s="68" t="s">
        <v>93</v>
      </c>
      <c r="BI22" s="68" t="s">
        <v>93</v>
      </c>
      <c r="BJ22" s="68" t="s">
        <v>93</v>
      </c>
      <c r="BK22" s="68" t="s">
        <v>93</v>
      </c>
      <c r="BL22" s="68" t="s">
        <v>93</v>
      </c>
      <c r="BM22" s="68" t="s">
        <v>93</v>
      </c>
      <c r="BN22" s="68" t="s">
        <v>93</v>
      </c>
      <c r="BO22" s="68" t="s">
        <v>93</v>
      </c>
      <c r="BP22" s="69" t="s">
        <v>93</v>
      </c>
    </row>
    <row r="23" spans="2:68" x14ac:dyDescent="0.25">
      <c r="B23" s="64">
        <v>1</v>
      </c>
      <c r="C23" s="65">
        <v>3</v>
      </c>
      <c r="D23" s="65" t="s">
        <v>97</v>
      </c>
      <c r="E23" s="66">
        <f>'[3]Master File'!B22</f>
        <v>46036</v>
      </c>
      <c r="F23" s="67" t="str">
        <f>'[3]Master File'!C22</f>
        <v>Closed</v>
      </c>
      <c r="G23" s="46"/>
      <c r="I23" s="68" t="s">
        <v>93</v>
      </c>
      <c r="J23" s="68" t="s">
        <v>93</v>
      </c>
      <c r="K23" s="68" t="s">
        <v>93</v>
      </c>
      <c r="L23" s="68" t="s">
        <v>94</v>
      </c>
      <c r="M23" s="68" t="s">
        <v>94</v>
      </c>
      <c r="N23" s="68" t="s">
        <v>94</v>
      </c>
      <c r="O23" s="68" t="s">
        <v>94</v>
      </c>
      <c r="P23" s="68" t="s">
        <v>94</v>
      </c>
      <c r="Q23" s="68" t="s">
        <v>93</v>
      </c>
      <c r="R23" s="68" t="s">
        <v>93</v>
      </c>
      <c r="S23" s="68" t="s">
        <v>93</v>
      </c>
      <c r="T23" s="68" t="s">
        <v>93</v>
      </c>
      <c r="U23" s="68" t="s">
        <v>93</v>
      </c>
      <c r="V23" s="68" t="s">
        <v>93</v>
      </c>
      <c r="W23" s="68" t="s">
        <v>93</v>
      </c>
      <c r="X23" s="68" t="s">
        <v>93</v>
      </c>
      <c r="Y23" s="68" t="s">
        <v>93</v>
      </c>
      <c r="Z23" s="68" t="s">
        <v>94</v>
      </c>
      <c r="AA23" s="68" t="s">
        <v>94</v>
      </c>
      <c r="AB23" s="68" t="s">
        <v>93</v>
      </c>
      <c r="AC23" s="68" t="s">
        <v>93</v>
      </c>
      <c r="AD23" s="68" t="s">
        <v>93</v>
      </c>
      <c r="AE23" s="68" t="s">
        <v>93</v>
      </c>
      <c r="AF23" s="68" t="s">
        <v>93</v>
      </c>
      <c r="AG23" s="68" t="s">
        <v>93</v>
      </c>
      <c r="AH23" s="68" t="s">
        <v>93</v>
      </c>
      <c r="AI23" s="68" t="s">
        <v>93</v>
      </c>
      <c r="AJ23" s="68" t="s">
        <v>93</v>
      </c>
      <c r="AK23" s="68" t="s">
        <v>93</v>
      </c>
      <c r="AL23" s="68" t="s">
        <v>93</v>
      </c>
      <c r="AM23" s="68" t="s">
        <v>93</v>
      </c>
      <c r="AN23" s="68" t="s">
        <v>93</v>
      </c>
      <c r="AO23" s="68" t="s">
        <v>93</v>
      </c>
      <c r="AP23" s="68" t="s">
        <v>93</v>
      </c>
      <c r="AQ23" s="68" t="s">
        <v>93</v>
      </c>
      <c r="AR23" s="68" t="s">
        <v>93</v>
      </c>
      <c r="AS23" s="68" t="s">
        <v>93</v>
      </c>
      <c r="AT23" s="68" t="s">
        <v>93</v>
      </c>
      <c r="AU23" s="68" t="s">
        <v>93</v>
      </c>
      <c r="AV23" s="68" t="s">
        <v>93</v>
      </c>
      <c r="AW23" s="68" t="s">
        <v>93</v>
      </c>
      <c r="AX23" s="68" t="s">
        <v>93</v>
      </c>
      <c r="AY23" s="68" t="s">
        <v>93</v>
      </c>
      <c r="AZ23" s="68" t="s">
        <v>93</v>
      </c>
      <c r="BA23" s="68" t="s">
        <v>93</v>
      </c>
      <c r="BB23" s="68" t="s">
        <v>93</v>
      </c>
      <c r="BC23" s="68" t="s">
        <v>93</v>
      </c>
      <c r="BD23" s="68" t="s">
        <v>93</v>
      </c>
      <c r="BE23" s="68" t="s">
        <v>93</v>
      </c>
      <c r="BF23" s="68" t="s">
        <v>93</v>
      </c>
      <c r="BG23" s="68" t="s">
        <v>93</v>
      </c>
      <c r="BH23" s="68" t="s">
        <v>93</v>
      </c>
      <c r="BI23" s="68" t="s">
        <v>93</v>
      </c>
      <c r="BJ23" s="68" t="s">
        <v>93</v>
      </c>
      <c r="BK23" s="68" t="s">
        <v>93</v>
      </c>
      <c r="BL23" s="68" t="s">
        <v>93</v>
      </c>
      <c r="BM23" s="68" t="s">
        <v>93</v>
      </c>
      <c r="BN23" s="68" t="s">
        <v>93</v>
      </c>
      <c r="BO23" s="68" t="s">
        <v>93</v>
      </c>
      <c r="BP23" s="69" t="s">
        <v>93</v>
      </c>
    </row>
    <row r="24" spans="2:68" x14ac:dyDescent="0.25">
      <c r="B24" s="64">
        <v>1</v>
      </c>
      <c r="C24" s="65">
        <v>3</v>
      </c>
      <c r="D24" s="65" t="s">
        <v>98</v>
      </c>
      <c r="E24" s="66">
        <f>'[3]Master File'!B23</f>
        <v>46037</v>
      </c>
      <c r="F24" s="67" t="str">
        <f>'[3]Master File'!C23</f>
        <v>Closed</v>
      </c>
      <c r="G24" s="46"/>
      <c r="I24" s="68" t="s">
        <v>93</v>
      </c>
      <c r="J24" s="68" t="s">
        <v>93</v>
      </c>
      <c r="K24" s="68" t="s">
        <v>93</v>
      </c>
      <c r="L24" s="68" t="s">
        <v>94</v>
      </c>
      <c r="M24" s="68" t="s">
        <v>94</v>
      </c>
      <c r="N24" s="68" t="s">
        <v>94</v>
      </c>
      <c r="O24" s="68" t="s">
        <v>94</v>
      </c>
      <c r="P24" s="68" t="s">
        <v>94</v>
      </c>
      <c r="Q24" s="68" t="s">
        <v>93</v>
      </c>
      <c r="R24" s="68" t="s">
        <v>93</v>
      </c>
      <c r="S24" s="68" t="s">
        <v>93</v>
      </c>
      <c r="T24" s="68" t="s">
        <v>93</v>
      </c>
      <c r="U24" s="68" t="s">
        <v>93</v>
      </c>
      <c r="V24" s="68" t="s">
        <v>93</v>
      </c>
      <c r="W24" s="68" t="s">
        <v>93</v>
      </c>
      <c r="X24" s="68" t="s">
        <v>93</v>
      </c>
      <c r="Y24" s="68" t="s">
        <v>93</v>
      </c>
      <c r="Z24" s="68" t="s">
        <v>94</v>
      </c>
      <c r="AA24" s="68" t="s">
        <v>94</v>
      </c>
      <c r="AB24" s="68" t="s">
        <v>93</v>
      </c>
      <c r="AC24" s="68" t="s">
        <v>93</v>
      </c>
      <c r="AD24" s="68" t="s">
        <v>93</v>
      </c>
      <c r="AE24" s="68" t="s">
        <v>93</v>
      </c>
      <c r="AF24" s="68" t="s">
        <v>93</v>
      </c>
      <c r="AG24" s="68" t="s">
        <v>93</v>
      </c>
      <c r="AH24" s="68" t="s">
        <v>93</v>
      </c>
      <c r="AI24" s="68" t="s">
        <v>93</v>
      </c>
      <c r="AJ24" s="68" t="s">
        <v>93</v>
      </c>
      <c r="AK24" s="68" t="s">
        <v>93</v>
      </c>
      <c r="AL24" s="68" t="s">
        <v>93</v>
      </c>
      <c r="AM24" s="68" t="s">
        <v>93</v>
      </c>
      <c r="AN24" s="68" t="s">
        <v>93</v>
      </c>
      <c r="AO24" s="68" t="s">
        <v>93</v>
      </c>
      <c r="AP24" s="68" t="s">
        <v>93</v>
      </c>
      <c r="AQ24" s="68" t="s">
        <v>93</v>
      </c>
      <c r="AR24" s="68" t="s">
        <v>93</v>
      </c>
      <c r="AS24" s="68" t="s">
        <v>93</v>
      </c>
      <c r="AT24" s="68" t="s">
        <v>93</v>
      </c>
      <c r="AU24" s="68" t="s">
        <v>93</v>
      </c>
      <c r="AV24" s="68" t="s">
        <v>93</v>
      </c>
      <c r="AW24" s="68" t="s">
        <v>93</v>
      </c>
      <c r="AX24" s="68" t="s">
        <v>93</v>
      </c>
      <c r="AY24" s="68" t="s">
        <v>93</v>
      </c>
      <c r="AZ24" s="68" t="s">
        <v>93</v>
      </c>
      <c r="BA24" s="68" t="s">
        <v>93</v>
      </c>
      <c r="BB24" s="68" t="s">
        <v>93</v>
      </c>
      <c r="BC24" s="68" t="s">
        <v>93</v>
      </c>
      <c r="BD24" s="68" t="s">
        <v>93</v>
      </c>
      <c r="BE24" s="68" t="s">
        <v>93</v>
      </c>
      <c r="BF24" s="68" t="s">
        <v>93</v>
      </c>
      <c r="BG24" s="68" t="s">
        <v>93</v>
      </c>
      <c r="BH24" s="68" t="s">
        <v>93</v>
      </c>
      <c r="BI24" s="68" t="s">
        <v>93</v>
      </c>
      <c r="BJ24" s="68" t="s">
        <v>93</v>
      </c>
      <c r="BK24" s="68" t="s">
        <v>93</v>
      </c>
      <c r="BL24" s="68" t="s">
        <v>93</v>
      </c>
      <c r="BM24" s="68" t="s">
        <v>93</v>
      </c>
      <c r="BN24" s="68" t="s">
        <v>93</v>
      </c>
      <c r="BO24" s="68" t="s">
        <v>93</v>
      </c>
      <c r="BP24" s="69" t="s">
        <v>93</v>
      </c>
    </row>
    <row r="25" spans="2:68" x14ac:dyDescent="0.25">
      <c r="B25" s="64">
        <v>1</v>
      </c>
      <c r="C25" s="65">
        <v>3</v>
      </c>
      <c r="D25" s="65" t="s">
        <v>99</v>
      </c>
      <c r="E25" s="66">
        <f>'[3]Master File'!B24</f>
        <v>46038</v>
      </c>
      <c r="F25" s="67" t="str">
        <f>'[3]Master File'!C24</f>
        <v>Closed</v>
      </c>
      <c r="G25" s="46"/>
      <c r="I25" s="68" t="s">
        <v>93</v>
      </c>
      <c r="J25" s="68" t="s">
        <v>93</v>
      </c>
      <c r="K25" s="68" t="s">
        <v>93</v>
      </c>
      <c r="L25" s="68" t="s">
        <v>94</v>
      </c>
      <c r="M25" s="68" t="s">
        <v>94</v>
      </c>
      <c r="N25" s="68" t="s">
        <v>94</v>
      </c>
      <c r="O25" s="68" t="s">
        <v>94</v>
      </c>
      <c r="P25" s="68" t="s">
        <v>94</v>
      </c>
      <c r="Q25" s="68" t="s">
        <v>93</v>
      </c>
      <c r="R25" s="68" t="s">
        <v>93</v>
      </c>
      <c r="S25" s="68" t="s">
        <v>93</v>
      </c>
      <c r="T25" s="68" t="s">
        <v>93</v>
      </c>
      <c r="U25" s="68" t="s">
        <v>93</v>
      </c>
      <c r="V25" s="68" t="s">
        <v>93</v>
      </c>
      <c r="W25" s="68" t="s">
        <v>93</v>
      </c>
      <c r="X25" s="68" t="s">
        <v>93</v>
      </c>
      <c r="Y25" s="68" t="s">
        <v>93</v>
      </c>
      <c r="Z25" s="68" t="s">
        <v>94</v>
      </c>
      <c r="AA25" s="68" t="s">
        <v>94</v>
      </c>
      <c r="AB25" s="68" t="s">
        <v>93</v>
      </c>
      <c r="AC25" s="68" t="s">
        <v>93</v>
      </c>
      <c r="AD25" s="68" t="s">
        <v>93</v>
      </c>
      <c r="AE25" s="68" t="s">
        <v>93</v>
      </c>
      <c r="AF25" s="68" t="s">
        <v>93</v>
      </c>
      <c r="AG25" s="68" t="s">
        <v>93</v>
      </c>
      <c r="AH25" s="68" t="s">
        <v>93</v>
      </c>
      <c r="AI25" s="68" t="s">
        <v>93</v>
      </c>
      <c r="AJ25" s="68" t="s">
        <v>93</v>
      </c>
      <c r="AK25" s="68" t="s">
        <v>93</v>
      </c>
      <c r="AL25" s="68" t="s">
        <v>93</v>
      </c>
      <c r="AM25" s="68" t="s">
        <v>93</v>
      </c>
      <c r="AN25" s="68" t="s">
        <v>93</v>
      </c>
      <c r="AO25" s="68" t="s">
        <v>93</v>
      </c>
      <c r="AP25" s="68" t="s">
        <v>93</v>
      </c>
      <c r="AQ25" s="68" t="s">
        <v>93</v>
      </c>
      <c r="AR25" s="68" t="s">
        <v>93</v>
      </c>
      <c r="AS25" s="68" t="s">
        <v>93</v>
      </c>
      <c r="AT25" s="68" t="s">
        <v>93</v>
      </c>
      <c r="AU25" s="68" t="s">
        <v>93</v>
      </c>
      <c r="AV25" s="68" t="s">
        <v>93</v>
      </c>
      <c r="AW25" s="68" t="s">
        <v>93</v>
      </c>
      <c r="AX25" s="68" t="s">
        <v>93</v>
      </c>
      <c r="AY25" s="68" t="s">
        <v>93</v>
      </c>
      <c r="AZ25" s="68" t="s">
        <v>93</v>
      </c>
      <c r="BA25" s="68" t="s">
        <v>93</v>
      </c>
      <c r="BB25" s="68" t="s">
        <v>93</v>
      </c>
      <c r="BC25" s="68" t="s">
        <v>93</v>
      </c>
      <c r="BD25" s="68" t="s">
        <v>93</v>
      </c>
      <c r="BE25" s="68" t="s">
        <v>93</v>
      </c>
      <c r="BF25" s="68" t="s">
        <v>93</v>
      </c>
      <c r="BG25" s="68" t="s">
        <v>93</v>
      </c>
      <c r="BH25" s="68" t="s">
        <v>93</v>
      </c>
      <c r="BI25" s="68" t="s">
        <v>93</v>
      </c>
      <c r="BJ25" s="68" t="s">
        <v>93</v>
      </c>
      <c r="BK25" s="68" t="s">
        <v>93</v>
      </c>
      <c r="BL25" s="68" t="s">
        <v>93</v>
      </c>
      <c r="BM25" s="68" t="s">
        <v>93</v>
      </c>
      <c r="BN25" s="68" t="s">
        <v>93</v>
      </c>
      <c r="BO25" s="68" t="s">
        <v>93</v>
      </c>
      <c r="BP25" s="69" t="s">
        <v>93</v>
      </c>
    </row>
    <row r="26" spans="2:68" x14ac:dyDescent="0.25">
      <c r="B26" s="64">
        <v>1</v>
      </c>
      <c r="C26" s="65">
        <v>3</v>
      </c>
      <c r="D26" s="65" t="s">
        <v>100</v>
      </c>
      <c r="E26" s="66">
        <f>'[3]Master File'!B25</f>
        <v>46039</v>
      </c>
      <c r="F26" s="67" t="str">
        <f>'[3]Master File'!C25</f>
        <v>Zoo</v>
      </c>
      <c r="G26" s="46"/>
      <c r="I26" s="68" t="s">
        <v>94</v>
      </c>
      <c r="J26" s="68" t="s">
        <v>94</v>
      </c>
      <c r="K26" s="68" t="s">
        <v>94</v>
      </c>
      <c r="L26" s="68" t="s">
        <v>94</v>
      </c>
      <c r="M26" s="70" t="s">
        <v>94</v>
      </c>
      <c r="N26" s="70" t="s">
        <v>94</v>
      </c>
      <c r="O26" s="70" t="s">
        <v>94</v>
      </c>
      <c r="P26" s="70" t="s">
        <v>94</v>
      </c>
      <c r="Q26" s="68" t="s">
        <v>94</v>
      </c>
      <c r="R26" s="68" t="s">
        <v>94</v>
      </c>
      <c r="S26" s="68" t="s">
        <v>94</v>
      </c>
      <c r="T26" s="68" t="s">
        <v>94</v>
      </c>
      <c r="U26" s="68" t="s">
        <v>94</v>
      </c>
      <c r="V26" s="68" t="s">
        <v>94</v>
      </c>
      <c r="W26" s="70" t="s">
        <v>93</v>
      </c>
      <c r="X26" s="70" t="s">
        <v>94</v>
      </c>
      <c r="Y26" s="70" t="s">
        <v>94</v>
      </c>
      <c r="Z26" s="68" t="s">
        <v>94</v>
      </c>
      <c r="AA26" s="70" t="s">
        <v>94</v>
      </c>
      <c r="AB26" s="70" t="s">
        <v>94</v>
      </c>
      <c r="AC26" s="70" t="s">
        <v>93</v>
      </c>
      <c r="AD26" s="70" t="s">
        <v>94</v>
      </c>
      <c r="AE26" s="70" t="s">
        <v>94</v>
      </c>
      <c r="AF26" s="70" t="s">
        <v>93</v>
      </c>
      <c r="AG26" s="70" t="s">
        <v>93</v>
      </c>
      <c r="AH26" s="70" t="s">
        <v>93</v>
      </c>
      <c r="AI26" s="70" t="s">
        <v>93</v>
      </c>
      <c r="AJ26" s="70" t="s">
        <v>93</v>
      </c>
      <c r="AK26" s="70" t="s">
        <v>93</v>
      </c>
      <c r="AL26" s="70" t="s">
        <v>93</v>
      </c>
      <c r="AM26" s="70" t="s">
        <v>93</v>
      </c>
      <c r="AN26" s="70" t="s">
        <v>93</v>
      </c>
      <c r="AO26" s="70" t="s">
        <v>93</v>
      </c>
      <c r="AP26" s="70" t="s">
        <v>93</v>
      </c>
      <c r="AQ26" s="70" t="s">
        <v>93</v>
      </c>
      <c r="AR26" s="70" t="s">
        <v>93</v>
      </c>
      <c r="AS26" s="70" t="s">
        <v>93</v>
      </c>
      <c r="AT26" s="70" t="s">
        <v>93</v>
      </c>
      <c r="AU26" s="70" t="s">
        <v>93</v>
      </c>
      <c r="AV26" s="70" t="s">
        <v>93</v>
      </c>
      <c r="AW26" s="70" t="s">
        <v>93</v>
      </c>
      <c r="AX26" s="70" t="s">
        <v>93</v>
      </c>
      <c r="AY26" s="70" t="s">
        <v>93</v>
      </c>
      <c r="AZ26" s="70" t="s">
        <v>93</v>
      </c>
      <c r="BA26" s="70" t="s">
        <v>93</v>
      </c>
      <c r="BB26" s="70" t="s">
        <v>93</v>
      </c>
      <c r="BC26" s="70" t="s">
        <v>93</v>
      </c>
      <c r="BD26" s="70" t="s">
        <v>93</v>
      </c>
      <c r="BE26" s="70" t="s">
        <v>93</v>
      </c>
      <c r="BF26" s="70" t="s">
        <v>93</v>
      </c>
      <c r="BG26" s="70" t="s">
        <v>93</v>
      </c>
      <c r="BH26" s="70" t="s">
        <v>93</v>
      </c>
      <c r="BI26" s="70" t="s">
        <v>93</v>
      </c>
      <c r="BJ26" s="70" t="s">
        <v>93</v>
      </c>
      <c r="BK26" s="70" t="s">
        <v>93</v>
      </c>
      <c r="BL26" s="70" t="s">
        <v>93</v>
      </c>
      <c r="BM26" s="70" t="s">
        <v>93</v>
      </c>
      <c r="BN26" s="70" t="s">
        <v>93</v>
      </c>
      <c r="BO26" s="70" t="s">
        <v>93</v>
      </c>
      <c r="BP26" s="71" t="s">
        <v>93</v>
      </c>
    </row>
    <row r="27" spans="2:68" x14ac:dyDescent="0.25">
      <c r="B27" s="64">
        <v>1</v>
      </c>
      <c r="C27" s="65">
        <v>4</v>
      </c>
      <c r="D27" s="65" t="s">
        <v>92</v>
      </c>
      <c r="E27" s="66">
        <f>'[3]Master File'!B26</f>
        <v>46040</v>
      </c>
      <c r="F27" s="67" t="str">
        <f>'[3]Master File'!C26</f>
        <v>Zoo</v>
      </c>
      <c r="G27" s="46"/>
      <c r="I27" s="68" t="s">
        <v>94</v>
      </c>
      <c r="J27" s="68" t="s">
        <v>94</v>
      </c>
      <c r="K27" s="68" t="s">
        <v>94</v>
      </c>
      <c r="L27" s="68" t="s">
        <v>94</v>
      </c>
      <c r="M27" s="70" t="s">
        <v>94</v>
      </c>
      <c r="N27" s="70" t="s">
        <v>94</v>
      </c>
      <c r="O27" s="70" t="s">
        <v>94</v>
      </c>
      <c r="P27" s="70" t="s">
        <v>94</v>
      </c>
      <c r="Q27" s="68" t="s">
        <v>94</v>
      </c>
      <c r="R27" s="68" t="s">
        <v>94</v>
      </c>
      <c r="S27" s="68" t="s">
        <v>94</v>
      </c>
      <c r="T27" s="68" t="s">
        <v>94</v>
      </c>
      <c r="U27" s="68" t="s">
        <v>94</v>
      </c>
      <c r="V27" s="68" t="s">
        <v>94</v>
      </c>
      <c r="W27" s="70" t="s">
        <v>93</v>
      </c>
      <c r="X27" s="70" t="s">
        <v>94</v>
      </c>
      <c r="Y27" s="70" t="s">
        <v>94</v>
      </c>
      <c r="Z27" s="68" t="s">
        <v>94</v>
      </c>
      <c r="AA27" s="70" t="s">
        <v>94</v>
      </c>
      <c r="AB27" s="70" t="s">
        <v>94</v>
      </c>
      <c r="AC27" s="70" t="s">
        <v>93</v>
      </c>
      <c r="AD27" s="70" t="s">
        <v>94</v>
      </c>
      <c r="AE27" s="70" t="s">
        <v>94</v>
      </c>
      <c r="AF27" s="70" t="s">
        <v>93</v>
      </c>
      <c r="AG27" s="70" t="s">
        <v>93</v>
      </c>
      <c r="AH27" s="70" t="s">
        <v>93</v>
      </c>
      <c r="AI27" s="70" t="s">
        <v>93</v>
      </c>
      <c r="AJ27" s="70" t="s">
        <v>93</v>
      </c>
      <c r="AK27" s="70" t="s">
        <v>93</v>
      </c>
      <c r="AL27" s="70" t="s">
        <v>93</v>
      </c>
      <c r="AM27" s="70" t="s">
        <v>93</v>
      </c>
      <c r="AN27" s="70" t="s">
        <v>93</v>
      </c>
      <c r="AO27" s="70" t="s">
        <v>93</v>
      </c>
      <c r="AP27" s="70" t="s">
        <v>93</v>
      </c>
      <c r="AQ27" s="70" t="s">
        <v>93</v>
      </c>
      <c r="AR27" s="70" t="s">
        <v>93</v>
      </c>
      <c r="AS27" s="70" t="s">
        <v>93</v>
      </c>
      <c r="AT27" s="70" t="s">
        <v>93</v>
      </c>
      <c r="AU27" s="70" t="s">
        <v>93</v>
      </c>
      <c r="AV27" s="70" t="s">
        <v>93</v>
      </c>
      <c r="AW27" s="70" t="s">
        <v>93</v>
      </c>
      <c r="AX27" s="70" t="s">
        <v>93</v>
      </c>
      <c r="AY27" s="70" t="s">
        <v>93</v>
      </c>
      <c r="AZ27" s="70" t="s">
        <v>93</v>
      </c>
      <c r="BA27" s="70" t="s">
        <v>93</v>
      </c>
      <c r="BB27" s="70" t="s">
        <v>93</v>
      </c>
      <c r="BC27" s="70" t="s">
        <v>93</v>
      </c>
      <c r="BD27" s="70" t="s">
        <v>93</v>
      </c>
      <c r="BE27" s="70" t="s">
        <v>93</v>
      </c>
      <c r="BF27" s="70" t="s">
        <v>93</v>
      </c>
      <c r="BG27" s="70" t="s">
        <v>93</v>
      </c>
      <c r="BH27" s="70" t="s">
        <v>93</v>
      </c>
      <c r="BI27" s="70" t="s">
        <v>93</v>
      </c>
      <c r="BJ27" s="70" t="s">
        <v>93</v>
      </c>
      <c r="BK27" s="70" t="s">
        <v>93</v>
      </c>
      <c r="BL27" s="70" t="s">
        <v>93</v>
      </c>
      <c r="BM27" s="70" t="s">
        <v>93</v>
      </c>
      <c r="BN27" s="70" t="s">
        <v>93</v>
      </c>
      <c r="BO27" s="70" t="s">
        <v>93</v>
      </c>
      <c r="BP27" s="71" t="s">
        <v>93</v>
      </c>
    </row>
    <row r="28" spans="2:68" x14ac:dyDescent="0.25">
      <c r="B28" s="64">
        <v>1</v>
      </c>
      <c r="C28" s="65">
        <v>4</v>
      </c>
      <c r="D28" s="65" t="s">
        <v>95</v>
      </c>
      <c r="E28" s="66">
        <f>'[3]Master File'!B27</f>
        <v>46041</v>
      </c>
      <c r="F28" s="67" t="str">
        <f>'[3]Master File'!C27</f>
        <v>Closed</v>
      </c>
      <c r="G28" s="46"/>
      <c r="I28" s="68" t="s">
        <v>93</v>
      </c>
      <c r="J28" s="68" t="s">
        <v>93</v>
      </c>
      <c r="K28" s="68" t="s">
        <v>93</v>
      </c>
      <c r="L28" s="68" t="s">
        <v>94</v>
      </c>
      <c r="M28" s="68" t="s">
        <v>94</v>
      </c>
      <c r="N28" s="68" t="s">
        <v>94</v>
      </c>
      <c r="O28" s="68" t="s">
        <v>94</v>
      </c>
      <c r="P28" s="68" t="s">
        <v>94</v>
      </c>
      <c r="Q28" s="68" t="s">
        <v>93</v>
      </c>
      <c r="R28" s="68" t="s">
        <v>93</v>
      </c>
      <c r="S28" s="68" t="s">
        <v>93</v>
      </c>
      <c r="T28" s="68" t="s">
        <v>93</v>
      </c>
      <c r="U28" s="68" t="s">
        <v>93</v>
      </c>
      <c r="V28" s="68" t="s">
        <v>93</v>
      </c>
      <c r="W28" s="68" t="s">
        <v>93</v>
      </c>
      <c r="X28" s="68" t="s">
        <v>93</v>
      </c>
      <c r="Y28" s="68" t="s">
        <v>93</v>
      </c>
      <c r="Z28" s="68" t="s">
        <v>94</v>
      </c>
      <c r="AA28" s="68" t="s">
        <v>94</v>
      </c>
      <c r="AB28" s="68" t="s">
        <v>93</v>
      </c>
      <c r="AC28" s="68" t="s">
        <v>93</v>
      </c>
      <c r="AD28" s="68" t="s">
        <v>93</v>
      </c>
      <c r="AE28" s="68" t="s">
        <v>93</v>
      </c>
      <c r="AF28" s="68" t="s">
        <v>93</v>
      </c>
      <c r="AG28" s="68" t="s">
        <v>93</v>
      </c>
      <c r="AH28" s="68" t="s">
        <v>93</v>
      </c>
      <c r="AI28" s="68" t="s">
        <v>93</v>
      </c>
      <c r="AJ28" s="68" t="s">
        <v>93</v>
      </c>
      <c r="AK28" s="68" t="s">
        <v>93</v>
      </c>
      <c r="AL28" s="68" t="s">
        <v>93</v>
      </c>
      <c r="AM28" s="68" t="s">
        <v>93</v>
      </c>
      <c r="AN28" s="68" t="s">
        <v>93</v>
      </c>
      <c r="AO28" s="68" t="s">
        <v>93</v>
      </c>
      <c r="AP28" s="68" t="s">
        <v>93</v>
      </c>
      <c r="AQ28" s="68" t="s">
        <v>93</v>
      </c>
      <c r="AR28" s="68" t="s">
        <v>93</v>
      </c>
      <c r="AS28" s="68" t="s">
        <v>93</v>
      </c>
      <c r="AT28" s="68" t="s">
        <v>93</v>
      </c>
      <c r="AU28" s="68" t="s">
        <v>93</v>
      </c>
      <c r="AV28" s="68" t="s">
        <v>93</v>
      </c>
      <c r="AW28" s="68" t="s">
        <v>93</v>
      </c>
      <c r="AX28" s="68" t="s">
        <v>93</v>
      </c>
      <c r="AY28" s="68" t="s">
        <v>93</v>
      </c>
      <c r="AZ28" s="68" t="s">
        <v>93</v>
      </c>
      <c r="BA28" s="68" t="s">
        <v>93</v>
      </c>
      <c r="BB28" s="68" t="s">
        <v>93</v>
      </c>
      <c r="BC28" s="68" t="s">
        <v>93</v>
      </c>
      <c r="BD28" s="68" t="s">
        <v>93</v>
      </c>
      <c r="BE28" s="68" t="s">
        <v>93</v>
      </c>
      <c r="BF28" s="68" t="s">
        <v>93</v>
      </c>
      <c r="BG28" s="68" t="s">
        <v>93</v>
      </c>
      <c r="BH28" s="68" t="s">
        <v>93</v>
      </c>
      <c r="BI28" s="68" t="s">
        <v>93</v>
      </c>
      <c r="BJ28" s="68" t="s">
        <v>93</v>
      </c>
      <c r="BK28" s="68" t="s">
        <v>93</v>
      </c>
      <c r="BL28" s="68" t="s">
        <v>93</v>
      </c>
      <c r="BM28" s="68" t="s">
        <v>93</v>
      </c>
      <c r="BN28" s="68" t="s">
        <v>93</v>
      </c>
      <c r="BO28" s="68" t="s">
        <v>93</v>
      </c>
      <c r="BP28" s="69" t="s">
        <v>93</v>
      </c>
    </row>
    <row r="29" spans="2:68" x14ac:dyDescent="0.25">
      <c r="B29" s="64">
        <v>1</v>
      </c>
      <c r="C29" s="65">
        <v>4</v>
      </c>
      <c r="D29" s="65" t="s">
        <v>96</v>
      </c>
      <c r="E29" s="66">
        <f>'[3]Master File'!B28</f>
        <v>46042</v>
      </c>
      <c r="F29" s="67" t="str">
        <f>'[3]Master File'!C28</f>
        <v>Closed</v>
      </c>
      <c r="G29" s="46"/>
      <c r="I29" s="68" t="s">
        <v>93</v>
      </c>
      <c r="J29" s="68" t="s">
        <v>93</v>
      </c>
      <c r="K29" s="68" t="s">
        <v>93</v>
      </c>
      <c r="L29" s="68" t="s">
        <v>94</v>
      </c>
      <c r="M29" s="68" t="s">
        <v>94</v>
      </c>
      <c r="N29" s="68" t="s">
        <v>94</v>
      </c>
      <c r="O29" s="68" t="s">
        <v>94</v>
      </c>
      <c r="P29" s="68" t="s">
        <v>94</v>
      </c>
      <c r="Q29" s="68" t="s">
        <v>93</v>
      </c>
      <c r="R29" s="68" t="s">
        <v>93</v>
      </c>
      <c r="S29" s="68" t="s">
        <v>93</v>
      </c>
      <c r="T29" s="68" t="s">
        <v>93</v>
      </c>
      <c r="U29" s="68" t="s">
        <v>93</v>
      </c>
      <c r="V29" s="68" t="s">
        <v>93</v>
      </c>
      <c r="W29" s="68" t="s">
        <v>93</v>
      </c>
      <c r="X29" s="68" t="s">
        <v>93</v>
      </c>
      <c r="Y29" s="68" t="s">
        <v>93</v>
      </c>
      <c r="Z29" s="68" t="s">
        <v>94</v>
      </c>
      <c r="AA29" s="68" t="s">
        <v>94</v>
      </c>
      <c r="AB29" s="68" t="s">
        <v>93</v>
      </c>
      <c r="AC29" s="68" t="s">
        <v>93</v>
      </c>
      <c r="AD29" s="68" t="s">
        <v>93</v>
      </c>
      <c r="AE29" s="68" t="s">
        <v>93</v>
      </c>
      <c r="AF29" s="68" t="s">
        <v>93</v>
      </c>
      <c r="AG29" s="68" t="s">
        <v>93</v>
      </c>
      <c r="AH29" s="68" t="s">
        <v>93</v>
      </c>
      <c r="AI29" s="68" t="s">
        <v>93</v>
      </c>
      <c r="AJ29" s="68" t="s">
        <v>93</v>
      </c>
      <c r="AK29" s="68" t="s">
        <v>93</v>
      </c>
      <c r="AL29" s="68" t="s">
        <v>93</v>
      </c>
      <c r="AM29" s="68" t="s">
        <v>93</v>
      </c>
      <c r="AN29" s="68" t="s">
        <v>93</v>
      </c>
      <c r="AO29" s="68" t="s">
        <v>93</v>
      </c>
      <c r="AP29" s="68" t="s">
        <v>93</v>
      </c>
      <c r="AQ29" s="68" t="s">
        <v>93</v>
      </c>
      <c r="AR29" s="68" t="s">
        <v>93</v>
      </c>
      <c r="AS29" s="68" t="s">
        <v>93</v>
      </c>
      <c r="AT29" s="68" t="s">
        <v>93</v>
      </c>
      <c r="AU29" s="68" t="s">
        <v>93</v>
      </c>
      <c r="AV29" s="68" t="s">
        <v>93</v>
      </c>
      <c r="AW29" s="68" t="s">
        <v>93</v>
      </c>
      <c r="AX29" s="68" t="s">
        <v>93</v>
      </c>
      <c r="AY29" s="68" t="s">
        <v>93</v>
      </c>
      <c r="AZ29" s="68" t="s">
        <v>93</v>
      </c>
      <c r="BA29" s="68" t="s">
        <v>93</v>
      </c>
      <c r="BB29" s="68" t="s">
        <v>93</v>
      </c>
      <c r="BC29" s="68" t="s">
        <v>93</v>
      </c>
      <c r="BD29" s="68" t="s">
        <v>93</v>
      </c>
      <c r="BE29" s="68" t="s">
        <v>93</v>
      </c>
      <c r="BF29" s="68" t="s">
        <v>93</v>
      </c>
      <c r="BG29" s="68" t="s">
        <v>93</v>
      </c>
      <c r="BH29" s="68" t="s">
        <v>93</v>
      </c>
      <c r="BI29" s="68" t="s">
        <v>93</v>
      </c>
      <c r="BJ29" s="68" t="s">
        <v>93</v>
      </c>
      <c r="BK29" s="68" t="s">
        <v>93</v>
      </c>
      <c r="BL29" s="68" t="s">
        <v>93</v>
      </c>
      <c r="BM29" s="68" t="s">
        <v>93</v>
      </c>
      <c r="BN29" s="68" t="s">
        <v>93</v>
      </c>
      <c r="BO29" s="68" t="s">
        <v>93</v>
      </c>
      <c r="BP29" s="69" t="s">
        <v>93</v>
      </c>
    </row>
    <row r="30" spans="2:68" x14ac:dyDescent="0.25">
      <c r="B30" s="64">
        <v>1</v>
      </c>
      <c r="C30" s="65">
        <v>4</v>
      </c>
      <c r="D30" s="65" t="s">
        <v>97</v>
      </c>
      <c r="E30" s="66">
        <f>'[3]Master File'!B29</f>
        <v>46043</v>
      </c>
      <c r="F30" s="67" t="str">
        <f>'[3]Master File'!C29</f>
        <v>Closed</v>
      </c>
      <c r="G30" s="46"/>
      <c r="I30" s="68" t="s">
        <v>93</v>
      </c>
      <c r="J30" s="68" t="s">
        <v>93</v>
      </c>
      <c r="K30" s="68" t="s">
        <v>93</v>
      </c>
      <c r="L30" s="68" t="s">
        <v>94</v>
      </c>
      <c r="M30" s="68" t="s">
        <v>94</v>
      </c>
      <c r="N30" s="68" t="s">
        <v>94</v>
      </c>
      <c r="O30" s="68" t="s">
        <v>94</v>
      </c>
      <c r="P30" s="68" t="s">
        <v>94</v>
      </c>
      <c r="Q30" s="68" t="s">
        <v>93</v>
      </c>
      <c r="R30" s="68" t="s">
        <v>93</v>
      </c>
      <c r="S30" s="68" t="s">
        <v>93</v>
      </c>
      <c r="T30" s="68" t="s">
        <v>93</v>
      </c>
      <c r="U30" s="68" t="s">
        <v>93</v>
      </c>
      <c r="V30" s="68" t="s">
        <v>93</v>
      </c>
      <c r="W30" s="68" t="s">
        <v>93</v>
      </c>
      <c r="X30" s="68" t="s">
        <v>93</v>
      </c>
      <c r="Y30" s="68" t="s">
        <v>93</v>
      </c>
      <c r="Z30" s="68" t="s">
        <v>94</v>
      </c>
      <c r="AA30" s="68" t="s">
        <v>94</v>
      </c>
      <c r="AB30" s="68" t="s">
        <v>93</v>
      </c>
      <c r="AC30" s="68" t="s">
        <v>93</v>
      </c>
      <c r="AD30" s="68" t="s">
        <v>93</v>
      </c>
      <c r="AE30" s="68" t="s">
        <v>93</v>
      </c>
      <c r="AF30" s="68" t="s">
        <v>93</v>
      </c>
      <c r="AG30" s="68" t="s">
        <v>93</v>
      </c>
      <c r="AH30" s="68" t="s">
        <v>93</v>
      </c>
      <c r="AI30" s="68" t="s">
        <v>93</v>
      </c>
      <c r="AJ30" s="68" t="s">
        <v>93</v>
      </c>
      <c r="AK30" s="68" t="s">
        <v>93</v>
      </c>
      <c r="AL30" s="68" t="s">
        <v>93</v>
      </c>
      <c r="AM30" s="68" t="s">
        <v>93</v>
      </c>
      <c r="AN30" s="68" t="s">
        <v>93</v>
      </c>
      <c r="AO30" s="68" t="s">
        <v>93</v>
      </c>
      <c r="AP30" s="68" t="s">
        <v>93</v>
      </c>
      <c r="AQ30" s="68" t="s">
        <v>93</v>
      </c>
      <c r="AR30" s="68" t="s">
        <v>93</v>
      </c>
      <c r="AS30" s="68" t="s">
        <v>93</v>
      </c>
      <c r="AT30" s="68" t="s">
        <v>93</v>
      </c>
      <c r="AU30" s="68" t="s">
        <v>93</v>
      </c>
      <c r="AV30" s="68" t="s">
        <v>93</v>
      </c>
      <c r="AW30" s="68" t="s">
        <v>93</v>
      </c>
      <c r="AX30" s="68" t="s">
        <v>93</v>
      </c>
      <c r="AY30" s="68" t="s">
        <v>93</v>
      </c>
      <c r="AZ30" s="68" t="s">
        <v>93</v>
      </c>
      <c r="BA30" s="68" t="s">
        <v>93</v>
      </c>
      <c r="BB30" s="68" t="s">
        <v>93</v>
      </c>
      <c r="BC30" s="68" t="s">
        <v>93</v>
      </c>
      <c r="BD30" s="68" t="s">
        <v>93</v>
      </c>
      <c r="BE30" s="68" t="s">
        <v>93</v>
      </c>
      <c r="BF30" s="68" t="s">
        <v>93</v>
      </c>
      <c r="BG30" s="68" t="s">
        <v>93</v>
      </c>
      <c r="BH30" s="68" t="s">
        <v>93</v>
      </c>
      <c r="BI30" s="68" t="s">
        <v>93</v>
      </c>
      <c r="BJ30" s="68" t="s">
        <v>93</v>
      </c>
      <c r="BK30" s="68" t="s">
        <v>93</v>
      </c>
      <c r="BL30" s="68" t="s">
        <v>93</v>
      </c>
      <c r="BM30" s="68" t="s">
        <v>93</v>
      </c>
      <c r="BN30" s="68" t="s">
        <v>93</v>
      </c>
      <c r="BO30" s="68" t="s">
        <v>93</v>
      </c>
      <c r="BP30" s="69" t="s">
        <v>93</v>
      </c>
    </row>
    <row r="31" spans="2:68" x14ac:dyDescent="0.25">
      <c r="B31" s="64">
        <v>1</v>
      </c>
      <c r="C31" s="65">
        <v>4</v>
      </c>
      <c r="D31" s="65" t="s">
        <v>98</v>
      </c>
      <c r="E31" s="66">
        <f>'[3]Master File'!B30</f>
        <v>46044</v>
      </c>
      <c r="F31" s="67" t="str">
        <f>'[3]Master File'!C30</f>
        <v>Closed</v>
      </c>
      <c r="G31" s="46"/>
      <c r="I31" s="68" t="s">
        <v>93</v>
      </c>
      <c r="J31" s="68" t="s">
        <v>93</v>
      </c>
      <c r="K31" s="68" t="s">
        <v>93</v>
      </c>
      <c r="L31" s="68" t="s">
        <v>94</v>
      </c>
      <c r="M31" s="68" t="s">
        <v>94</v>
      </c>
      <c r="N31" s="68" t="s">
        <v>94</v>
      </c>
      <c r="O31" s="68" t="s">
        <v>94</v>
      </c>
      <c r="P31" s="68" t="s">
        <v>94</v>
      </c>
      <c r="Q31" s="68" t="s">
        <v>93</v>
      </c>
      <c r="R31" s="68" t="s">
        <v>93</v>
      </c>
      <c r="S31" s="68" t="s">
        <v>93</v>
      </c>
      <c r="T31" s="68" t="s">
        <v>93</v>
      </c>
      <c r="U31" s="68" t="s">
        <v>93</v>
      </c>
      <c r="V31" s="68" t="s">
        <v>93</v>
      </c>
      <c r="W31" s="68" t="s">
        <v>93</v>
      </c>
      <c r="X31" s="68" t="s">
        <v>93</v>
      </c>
      <c r="Y31" s="68" t="s">
        <v>93</v>
      </c>
      <c r="Z31" s="68" t="s">
        <v>94</v>
      </c>
      <c r="AA31" s="68" t="s">
        <v>94</v>
      </c>
      <c r="AB31" s="68" t="s">
        <v>93</v>
      </c>
      <c r="AC31" s="68" t="s">
        <v>93</v>
      </c>
      <c r="AD31" s="68" t="s">
        <v>93</v>
      </c>
      <c r="AE31" s="68" t="s">
        <v>93</v>
      </c>
      <c r="AF31" s="68" t="s">
        <v>93</v>
      </c>
      <c r="AG31" s="68" t="s">
        <v>93</v>
      </c>
      <c r="AH31" s="68" t="s">
        <v>93</v>
      </c>
      <c r="AI31" s="68" t="s">
        <v>93</v>
      </c>
      <c r="AJ31" s="68" t="s">
        <v>93</v>
      </c>
      <c r="AK31" s="68" t="s">
        <v>93</v>
      </c>
      <c r="AL31" s="68" t="s">
        <v>93</v>
      </c>
      <c r="AM31" s="68" t="s">
        <v>93</v>
      </c>
      <c r="AN31" s="68" t="s">
        <v>93</v>
      </c>
      <c r="AO31" s="68" t="s">
        <v>93</v>
      </c>
      <c r="AP31" s="68" t="s">
        <v>93</v>
      </c>
      <c r="AQ31" s="68" t="s">
        <v>93</v>
      </c>
      <c r="AR31" s="68" t="s">
        <v>93</v>
      </c>
      <c r="AS31" s="68" t="s">
        <v>93</v>
      </c>
      <c r="AT31" s="68" t="s">
        <v>93</v>
      </c>
      <c r="AU31" s="68" t="s">
        <v>93</v>
      </c>
      <c r="AV31" s="68" t="s">
        <v>93</v>
      </c>
      <c r="AW31" s="68" t="s">
        <v>93</v>
      </c>
      <c r="AX31" s="68" t="s">
        <v>93</v>
      </c>
      <c r="AY31" s="68" t="s">
        <v>93</v>
      </c>
      <c r="AZ31" s="68" t="s">
        <v>93</v>
      </c>
      <c r="BA31" s="68" t="s">
        <v>93</v>
      </c>
      <c r="BB31" s="68" t="s">
        <v>93</v>
      </c>
      <c r="BC31" s="68" t="s">
        <v>93</v>
      </c>
      <c r="BD31" s="68" t="s">
        <v>93</v>
      </c>
      <c r="BE31" s="68" t="s">
        <v>93</v>
      </c>
      <c r="BF31" s="68" t="s">
        <v>93</v>
      </c>
      <c r="BG31" s="68" t="s">
        <v>93</v>
      </c>
      <c r="BH31" s="68" t="s">
        <v>93</v>
      </c>
      <c r="BI31" s="68" t="s">
        <v>93</v>
      </c>
      <c r="BJ31" s="68" t="s">
        <v>93</v>
      </c>
      <c r="BK31" s="68" t="s">
        <v>93</v>
      </c>
      <c r="BL31" s="68" t="s">
        <v>93</v>
      </c>
      <c r="BM31" s="68" t="s">
        <v>93</v>
      </c>
      <c r="BN31" s="68" t="s">
        <v>93</v>
      </c>
      <c r="BO31" s="68" t="s">
        <v>93</v>
      </c>
      <c r="BP31" s="69" t="s">
        <v>93</v>
      </c>
    </row>
    <row r="32" spans="2:68" x14ac:dyDescent="0.25">
      <c r="B32" s="64">
        <v>1</v>
      </c>
      <c r="C32" s="65">
        <v>4</v>
      </c>
      <c r="D32" s="65" t="s">
        <v>99</v>
      </c>
      <c r="E32" s="66">
        <f>'[3]Master File'!B31</f>
        <v>46045</v>
      </c>
      <c r="F32" s="67" t="str">
        <f>'[3]Master File'!C31</f>
        <v>Closed</v>
      </c>
      <c r="G32" s="46"/>
      <c r="I32" s="68" t="s">
        <v>93</v>
      </c>
      <c r="J32" s="68" t="s">
        <v>93</v>
      </c>
      <c r="K32" s="68" t="s">
        <v>93</v>
      </c>
      <c r="L32" s="68" t="s">
        <v>94</v>
      </c>
      <c r="M32" s="68" t="s">
        <v>94</v>
      </c>
      <c r="N32" s="68" t="s">
        <v>94</v>
      </c>
      <c r="O32" s="68" t="s">
        <v>94</v>
      </c>
      <c r="P32" s="68" t="s">
        <v>94</v>
      </c>
      <c r="Q32" s="68" t="s">
        <v>93</v>
      </c>
      <c r="R32" s="68" t="s">
        <v>93</v>
      </c>
      <c r="S32" s="68" t="s">
        <v>93</v>
      </c>
      <c r="T32" s="68" t="s">
        <v>93</v>
      </c>
      <c r="U32" s="68" t="s">
        <v>93</v>
      </c>
      <c r="V32" s="68" t="s">
        <v>93</v>
      </c>
      <c r="W32" s="68" t="s">
        <v>93</v>
      </c>
      <c r="X32" s="68" t="s">
        <v>93</v>
      </c>
      <c r="Y32" s="68" t="s">
        <v>93</v>
      </c>
      <c r="Z32" s="68" t="s">
        <v>94</v>
      </c>
      <c r="AA32" s="68" t="s">
        <v>94</v>
      </c>
      <c r="AB32" s="68" t="s">
        <v>93</v>
      </c>
      <c r="AC32" s="68" t="s">
        <v>93</v>
      </c>
      <c r="AD32" s="68" t="s">
        <v>93</v>
      </c>
      <c r="AE32" s="68" t="s">
        <v>93</v>
      </c>
      <c r="AF32" s="68" t="s">
        <v>93</v>
      </c>
      <c r="AG32" s="68" t="s">
        <v>93</v>
      </c>
      <c r="AH32" s="68" t="s">
        <v>93</v>
      </c>
      <c r="AI32" s="68" t="s">
        <v>93</v>
      </c>
      <c r="AJ32" s="68" t="s">
        <v>93</v>
      </c>
      <c r="AK32" s="68" t="s">
        <v>93</v>
      </c>
      <c r="AL32" s="68" t="s">
        <v>93</v>
      </c>
      <c r="AM32" s="68" t="s">
        <v>93</v>
      </c>
      <c r="AN32" s="68" t="s">
        <v>93</v>
      </c>
      <c r="AO32" s="68" t="s">
        <v>93</v>
      </c>
      <c r="AP32" s="68" t="s">
        <v>93</v>
      </c>
      <c r="AQ32" s="68" t="s">
        <v>93</v>
      </c>
      <c r="AR32" s="68" t="s">
        <v>93</v>
      </c>
      <c r="AS32" s="68" t="s">
        <v>93</v>
      </c>
      <c r="AT32" s="68" t="s">
        <v>93</v>
      </c>
      <c r="AU32" s="68" t="s">
        <v>93</v>
      </c>
      <c r="AV32" s="68" t="s">
        <v>93</v>
      </c>
      <c r="AW32" s="68" t="s">
        <v>93</v>
      </c>
      <c r="AX32" s="68" t="s">
        <v>93</v>
      </c>
      <c r="AY32" s="68" t="s">
        <v>93</v>
      </c>
      <c r="AZ32" s="68" t="s">
        <v>93</v>
      </c>
      <c r="BA32" s="68" t="s">
        <v>93</v>
      </c>
      <c r="BB32" s="68" t="s">
        <v>93</v>
      </c>
      <c r="BC32" s="68" t="s">
        <v>93</v>
      </c>
      <c r="BD32" s="68" t="s">
        <v>93</v>
      </c>
      <c r="BE32" s="68" t="s">
        <v>93</v>
      </c>
      <c r="BF32" s="68" t="s">
        <v>93</v>
      </c>
      <c r="BG32" s="68" t="s">
        <v>93</v>
      </c>
      <c r="BH32" s="68" t="s">
        <v>93</v>
      </c>
      <c r="BI32" s="68" t="s">
        <v>93</v>
      </c>
      <c r="BJ32" s="68" t="s">
        <v>93</v>
      </c>
      <c r="BK32" s="68" t="s">
        <v>93</v>
      </c>
      <c r="BL32" s="68" t="s">
        <v>93</v>
      </c>
      <c r="BM32" s="68" t="s">
        <v>93</v>
      </c>
      <c r="BN32" s="68" t="s">
        <v>93</v>
      </c>
      <c r="BO32" s="68" t="s">
        <v>93</v>
      </c>
      <c r="BP32" s="69" t="s">
        <v>93</v>
      </c>
    </row>
    <row r="33" spans="2:68" x14ac:dyDescent="0.25">
      <c r="B33" s="64">
        <v>1</v>
      </c>
      <c r="C33" s="65">
        <v>4</v>
      </c>
      <c r="D33" s="65" t="s">
        <v>100</v>
      </c>
      <c r="E33" s="66">
        <f>'[3]Master File'!B32</f>
        <v>46046</v>
      </c>
      <c r="F33" s="67" t="str">
        <f>'[3]Master File'!C32</f>
        <v>Zoo</v>
      </c>
      <c r="G33" s="46"/>
      <c r="I33" s="68" t="s">
        <v>94</v>
      </c>
      <c r="J33" s="68" t="s">
        <v>94</v>
      </c>
      <c r="K33" s="68" t="s">
        <v>94</v>
      </c>
      <c r="L33" s="68" t="s">
        <v>94</v>
      </c>
      <c r="M33" s="70" t="s">
        <v>94</v>
      </c>
      <c r="N33" s="70" t="s">
        <v>94</v>
      </c>
      <c r="O33" s="70" t="s">
        <v>94</v>
      </c>
      <c r="P33" s="70" t="s">
        <v>94</v>
      </c>
      <c r="Q33" s="68" t="s">
        <v>94</v>
      </c>
      <c r="R33" s="68" t="s">
        <v>94</v>
      </c>
      <c r="S33" s="68" t="s">
        <v>94</v>
      </c>
      <c r="T33" s="68" t="s">
        <v>94</v>
      </c>
      <c r="U33" s="68" t="s">
        <v>94</v>
      </c>
      <c r="V33" s="68" t="s">
        <v>94</v>
      </c>
      <c r="W33" s="70" t="s">
        <v>93</v>
      </c>
      <c r="X33" s="70" t="s">
        <v>94</v>
      </c>
      <c r="Y33" s="70" t="s">
        <v>94</v>
      </c>
      <c r="Z33" s="68" t="s">
        <v>94</v>
      </c>
      <c r="AA33" s="70" t="s">
        <v>94</v>
      </c>
      <c r="AB33" s="70" t="s">
        <v>94</v>
      </c>
      <c r="AC33" s="70" t="s">
        <v>93</v>
      </c>
      <c r="AD33" s="70" t="s">
        <v>94</v>
      </c>
      <c r="AE33" s="70" t="s">
        <v>94</v>
      </c>
      <c r="AF33" s="70" t="s">
        <v>93</v>
      </c>
      <c r="AG33" s="70" t="s">
        <v>93</v>
      </c>
      <c r="AH33" s="70" t="s">
        <v>93</v>
      </c>
      <c r="AI33" s="70" t="s">
        <v>93</v>
      </c>
      <c r="AJ33" s="70" t="s">
        <v>93</v>
      </c>
      <c r="AK33" s="70" t="s">
        <v>93</v>
      </c>
      <c r="AL33" s="70" t="s">
        <v>93</v>
      </c>
      <c r="AM33" s="70" t="s">
        <v>93</v>
      </c>
      <c r="AN33" s="70" t="s">
        <v>93</v>
      </c>
      <c r="AO33" s="70" t="s">
        <v>93</v>
      </c>
      <c r="AP33" s="70" t="s">
        <v>93</v>
      </c>
      <c r="AQ33" s="70" t="s">
        <v>93</v>
      </c>
      <c r="AR33" s="70" t="s">
        <v>93</v>
      </c>
      <c r="AS33" s="70" t="s">
        <v>93</v>
      </c>
      <c r="AT33" s="70" t="s">
        <v>93</v>
      </c>
      <c r="AU33" s="70" t="s">
        <v>93</v>
      </c>
      <c r="AV33" s="70" t="s">
        <v>93</v>
      </c>
      <c r="AW33" s="70" t="s">
        <v>93</v>
      </c>
      <c r="AX33" s="70" t="s">
        <v>93</v>
      </c>
      <c r="AY33" s="70" t="s">
        <v>93</v>
      </c>
      <c r="AZ33" s="70" t="s">
        <v>93</v>
      </c>
      <c r="BA33" s="70" t="s">
        <v>93</v>
      </c>
      <c r="BB33" s="70" t="s">
        <v>93</v>
      </c>
      <c r="BC33" s="70" t="s">
        <v>93</v>
      </c>
      <c r="BD33" s="70" t="s">
        <v>93</v>
      </c>
      <c r="BE33" s="70" t="s">
        <v>93</v>
      </c>
      <c r="BF33" s="70" t="s">
        <v>93</v>
      </c>
      <c r="BG33" s="70" t="s">
        <v>93</v>
      </c>
      <c r="BH33" s="70" t="s">
        <v>93</v>
      </c>
      <c r="BI33" s="70" t="s">
        <v>93</v>
      </c>
      <c r="BJ33" s="70" t="s">
        <v>93</v>
      </c>
      <c r="BK33" s="70" t="s">
        <v>93</v>
      </c>
      <c r="BL33" s="70" t="s">
        <v>93</v>
      </c>
      <c r="BM33" s="70" t="s">
        <v>93</v>
      </c>
      <c r="BN33" s="70" t="s">
        <v>93</v>
      </c>
      <c r="BO33" s="70" t="s">
        <v>93</v>
      </c>
      <c r="BP33" s="71" t="s">
        <v>93</v>
      </c>
    </row>
    <row r="34" spans="2:68" x14ac:dyDescent="0.25">
      <c r="B34" s="64">
        <v>1</v>
      </c>
      <c r="C34" s="65">
        <v>5</v>
      </c>
      <c r="D34" s="65" t="s">
        <v>92</v>
      </c>
      <c r="E34" s="66">
        <f>'[3]Master File'!B33</f>
        <v>46047</v>
      </c>
      <c r="F34" s="67" t="str">
        <f>'[3]Master File'!C33</f>
        <v>Zoo</v>
      </c>
      <c r="G34" s="46"/>
      <c r="I34" s="68" t="s">
        <v>94</v>
      </c>
      <c r="J34" s="68" t="s">
        <v>94</v>
      </c>
      <c r="K34" s="68" t="s">
        <v>94</v>
      </c>
      <c r="L34" s="68" t="s">
        <v>94</v>
      </c>
      <c r="M34" s="70" t="s">
        <v>94</v>
      </c>
      <c r="N34" s="70" t="s">
        <v>94</v>
      </c>
      <c r="O34" s="70" t="s">
        <v>94</v>
      </c>
      <c r="P34" s="70" t="s">
        <v>94</v>
      </c>
      <c r="Q34" s="68" t="s">
        <v>94</v>
      </c>
      <c r="R34" s="68" t="s">
        <v>94</v>
      </c>
      <c r="S34" s="68" t="s">
        <v>94</v>
      </c>
      <c r="T34" s="68" t="s">
        <v>94</v>
      </c>
      <c r="U34" s="68" t="s">
        <v>94</v>
      </c>
      <c r="V34" s="68" t="s">
        <v>94</v>
      </c>
      <c r="W34" s="70" t="s">
        <v>93</v>
      </c>
      <c r="X34" s="70" t="s">
        <v>94</v>
      </c>
      <c r="Y34" s="70" t="s">
        <v>94</v>
      </c>
      <c r="Z34" s="68" t="s">
        <v>94</v>
      </c>
      <c r="AA34" s="70" t="s">
        <v>94</v>
      </c>
      <c r="AB34" s="70" t="s">
        <v>94</v>
      </c>
      <c r="AC34" s="70" t="s">
        <v>93</v>
      </c>
      <c r="AD34" s="70" t="s">
        <v>94</v>
      </c>
      <c r="AE34" s="70" t="s">
        <v>94</v>
      </c>
      <c r="AF34" s="70" t="s">
        <v>93</v>
      </c>
      <c r="AG34" s="70" t="s">
        <v>93</v>
      </c>
      <c r="AH34" s="70" t="s">
        <v>93</v>
      </c>
      <c r="AI34" s="70" t="s">
        <v>93</v>
      </c>
      <c r="AJ34" s="70" t="s">
        <v>93</v>
      </c>
      <c r="AK34" s="70" t="s">
        <v>93</v>
      </c>
      <c r="AL34" s="70" t="s">
        <v>93</v>
      </c>
      <c r="AM34" s="70" t="s">
        <v>93</v>
      </c>
      <c r="AN34" s="70" t="s">
        <v>93</v>
      </c>
      <c r="AO34" s="70" t="s">
        <v>93</v>
      </c>
      <c r="AP34" s="70" t="s">
        <v>93</v>
      </c>
      <c r="AQ34" s="70" t="s">
        <v>93</v>
      </c>
      <c r="AR34" s="70" t="s">
        <v>93</v>
      </c>
      <c r="AS34" s="70" t="s">
        <v>93</v>
      </c>
      <c r="AT34" s="70" t="s">
        <v>93</v>
      </c>
      <c r="AU34" s="70" t="s">
        <v>93</v>
      </c>
      <c r="AV34" s="70" t="s">
        <v>93</v>
      </c>
      <c r="AW34" s="70" t="s">
        <v>93</v>
      </c>
      <c r="AX34" s="70" t="s">
        <v>93</v>
      </c>
      <c r="AY34" s="70" t="s">
        <v>93</v>
      </c>
      <c r="AZ34" s="70" t="s">
        <v>93</v>
      </c>
      <c r="BA34" s="70" t="s">
        <v>93</v>
      </c>
      <c r="BB34" s="70" t="s">
        <v>93</v>
      </c>
      <c r="BC34" s="70" t="s">
        <v>93</v>
      </c>
      <c r="BD34" s="70" t="s">
        <v>93</v>
      </c>
      <c r="BE34" s="70" t="s">
        <v>93</v>
      </c>
      <c r="BF34" s="70" t="s">
        <v>93</v>
      </c>
      <c r="BG34" s="70" t="s">
        <v>93</v>
      </c>
      <c r="BH34" s="70" t="s">
        <v>93</v>
      </c>
      <c r="BI34" s="70" t="s">
        <v>93</v>
      </c>
      <c r="BJ34" s="70" t="s">
        <v>93</v>
      </c>
      <c r="BK34" s="70" t="s">
        <v>93</v>
      </c>
      <c r="BL34" s="70" t="s">
        <v>93</v>
      </c>
      <c r="BM34" s="70" t="s">
        <v>93</v>
      </c>
      <c r="BN34" s="70" t="s">
        <v>93</v>
      </c>
      <c r="BO34" s="70" t="s">
        <v>93</v>
      </c>
      <c r="BP34" s="71" t="s">
        <v>93</v>
      </c>
    </row>
    <row r="35" spans="2:68" x14ac:dyDescent="0.25">
      <c r="B35" s="64">
        <v>1</v>
      </c>
      <c r="C35" s="65">
        <v>5</v>
      </c>
      <c r="D35" s="65" t="s">
        <v>95</v>
      </c>
      <c r="E35" s="66">
        <f>'[3]Master File'!B34</f>
        <v>46048</v>
      </c>
      <c r="F35" s="67" t="str">
        <f>'[3]Master File'!C34</f>
        <v>Closed</v>
      </c>
      <c r="G35" s="46"/>
      <c r="I35" s="68" t="s">
        <v>93</v>
      </c>
      <c r="J35" s="68" t="s">
        <v>93</v>
      </c>
      <c r="K35" s="68" t="s">
        <v>93</v>
      </c>
      <c r="L35" s="68" t="s">
        <v>94</v>
      </c>
      <c r="M35" s="68" t="s">
        <v>94</v>
      </c>
      <c r="N35" s="68" t="s">
        <v>94</v>
      </c>
      <c r="O35" s="68" t="s">
        <v>94</v>
      </c>
      <c r="P35" s="68" t="s">
        <v>94</v>
      </c>
      <c r="Q35" s="68" t="s">
        <v>93</v>
      </c>
      <c r="R35" s="68" t="s">
        <v>93</v>
      </c>
      <c r="S35" s="68" t="s">
        <v>93</v>
      </c>
      <c r="T35" s="68" t="s">
        <v>93</v>
      </c>
      <c r="U35" s="68" t="s">
        <v>93</v>
      </c>
      <c r="V35" s="68" t="s">
        <v>93</v>
      </c>
      <c r="W35" s="68" t="s">
        <v>93</v>
      </c>
      <c r="X35" s="68" t="s">
        <v>93</v>
      </c>
      <c r="Y35" s="68" t="s">
        <v>93</v>
      </c>
      <c r="Z35" s="68" t="s">
        <v>94</v>
      </c>
      <c r="AA35" s="68" t="s">
        <v>94</v>
      </c>
      <c r="AB35" s="68" t="s">
        <v>93</v>
      </c>
      <c r="AC35" s="68" t="s">
        <v>93</v>
      </c>
      <c r="AD35" s="68" t="s">
        <v>93</v>
      </c>
      <c r="AE35" s="68" t="s">
        <v>93</v>
      </c>
      <c r="AF35" s="68" t="s">
        <v>93</v>
      </c>
      <c r="AG35" s="68" t="s">
        <v>93</v>
      </c>
      <c r="AH35" s="68" t="s">
        <v>93</v>
      </c>
      <c r="AI35" s="68" t="s">
        <v>93</v>
      </c>
      <c r="AJ35" s="68" t="s">
        <v>93</v>
      </c>
      <c r="AK35" s="68" t="s">
        <v>93</v>
      </c>
      <c r="AL35" s="68" t="s">
        <v>93</v>
      </c>
      <c r="AM35" s="68" t="s">
        <v>93</v>
      </c>
      <c r="AN35" s="68" t="s">
        <v>93</v>
      </c>
      <c r="AO35" s="68" t="s">
        <v>93</v>
      </c>
      <c r="AP35" s="68" t="s">
        <v>93</v>
      </c>
      <c r="AQ35" s="68" t="s">
        <v>93</v>
      </c>
      <c r="AR35" s="68" t="s">
        <v>93</v>
      </c>
      <c r="AS35" s="68" t="s">
        <v>93</v>
      </c>
      <c r="AT35" s="68" t="s">
        <v>93</v>
      </c>
      <c r="AU35" s="68" t="s">
        <v>93</v>
      </c>
      <c r="AV35" s="68" t="s">
        <v>93</v>
      </c>
      <c r="AW35" s="68" t="s">
        <v>93</v>
      </c>
      <c r="AX35" s="68" t="s">
        <v>93</v>
      </c>
      <c r="AY35" s="68" t="s">
        <v>93</v>
      </c>
      <c r="AZ35" s="68" t="s">
        <v>93</v>
      </c>
      <c r="BA35" s="68" t="s">
        <v>93</v>
      </c>
      <c r="BB35" s="68" t="s">
        <v>93</v>
      </c>
      <c r="BC35" s="68" t="s">
        <v>93</v>
      </c>
      <c r="BD35" s="68" t="s">
        <v>93</v>
      </c>
      <c r="BE35" s="68" t="s">
        <v>93</v>
      </c>
      <c r="BF35" s="68" t="s">
        <v>93</v>
      </c>
      <c r="BG35" s="68" t="s">
        <v>93</v>
      </c>
      <c r="BH35" s="68" t="s">
        <v>93</v>
      </c>
      <c r="BI35" s="68" t="s">
        <v>93</v>
      </c>
      <c r="BJ35" s="68" t="s">
        <v>93</v>
      </c>
      <c r="BK35" s="68" t="s">
        <v>93</v>
      </c>
      <c r="BL35" s="68" t="s">
        <v>93</v>
      </c>
      <c r="BM35" s="68" t="s">
        <v>93</v>
      </c>
      <c r="BN35" s="68" t="s">
        <v>93</v>
      </c>
      <c r="BO35" s="68" t="s">
        <v>93</v>
      </c>
      <c r="BP35" s="69" t="s">
        <v>93</v>
      </c>
    </row>
    <row r="36" spans="2:68" x14ac:dyDescent="0.25">
      <c r="B36" s="64">
        <v>1</v>
      </c>
      <c r="C36" s="65">
        <v>5</v>
      </c>
      <c r="D36" s="65" t="s">
        <v>96</v>
      </c>
      <c r="E36" s="66">
        <f>'[3]Master File'!B35</f>
        <v>46049</v>
      </c>
      <c r="F36" s="67" t="str">
        <f>'[3]Master File'!C35</f>
        <v>Closed</v>
      </c>
      <c r="G36" s="46"/>
      <c r="I36" s="68" t="s">
        <v>93</v>
      </c>
      <c r="J36" s="68" t="s">
        <v>93</v>
      </c>
      <c r="K36" s="68" t="s">
        <v>93</v>
      </c>
      <c r="L36" s="68" t="s">
        <v>94</v>
      </c>
      <c r="M36" s="68" t="s">
        <v>94</v>
      </c>
      <c r="N36" s="68" t="s">
        <v>94</v>
      </c>
      <c r="O36" s="68" t="s">
        <v>94</v>
      </c>
      <c r="P36" s="68" t="s">
        <v>94</v>
      </c>
      <c r="Q36" s="68" t="s">
        <v>93</v>
      </c>
      <c r="R36" s="68" t="s">
        <v>93</v>
      </c>
      <c r="S36" s="68" t="s">
        <v>93</v>
      </c>
      <c r="T36" s="68" t="s">
        <v>93</v>
      </c>
      <c r="U36" s="68" t="s">
        <v>93</v>
      </c>
      <c r="V36" s="68" t="s">
        <v>93</v>
      </c>
      <c r="W36" s="68" t="s">
        <v>93</v>
      </c>
      <c r="X36" s="68" t="s">
        <v>93</v>
      </c>
      <c r="Y36" s="68" t="s">
        <v>93</v>
      </c>
      <c r="Z36" s="68" t="s">
        <v>94</v>
      </c>
      <c r="AA36" s="68" t="s">
        <v>94</v>
      </c>
      <c r="AB36" s="68" t="s">
        <v>93</v>
      </c>
      <c r="AC36" s="68" t="s">
        <v>93</v>
      </c>
      <c r="AD36" s="68" t="s">
        <v>93</v>
      </c>
      <c r="AE36" s="68" t="s">
        <v>93</v>
      </c>
      <c r="AF36" s="68" t="s">
        <v>93</v>
      </c>
      <c r="AG36" s="68" t="s">
        <v>93</v>
      </c>
      <c r="AH36" s="68" t="s">
        <v>93</v>
      </c>
      <c r="AI36" s="68" t="s">
        <v>93</v>
      </c>
      <c r="AJ36" s="68" t="s">
        <v>93</v>
      </c>
      <c r="AK36" s="68" t="s">
        <v>93</v>
      </c>
      <c r="AL36" s="68" t="s">
        <v>93</v>
      </c>
      <c r="AM36" s="68" t="s">
        <v>93</v>
      </c>
      <c r="AN36" s="68" t="s">
        <v>93</v>
      </c>
      <c r="AO36" s="68" t="s">
        <v>93</v>
      </c>
      <c r="AP36" s="68" t="s">
        <v>93</v>
      </c>
      <c r="AQ36" s="68" t="s">
        <v>93</v>
      </c>
      <c r="AR36" s="68" t="s">
        <v>93</v>
      </c>
      <c r="AS36" s="68" t="s">
        <v>93</v>
      </c>
      <c r="AT36" s="68" t="s">
        <v>93</v>
      </c>
      <c r="AU36" s="68" t="s">
        <v>93</v>
      </c>
      <c r="AV36" s="68" t="s">
        <v>93</v>
      </c>
      <c r="AW36" s="68" t="s">
        <v>93</v>
      </c>
      <c r="AX36" s="68" t="s">
        <v>93</v>
      </c>
      <c r="AY36" s="68" t="s">
        <v>93</v>
      </c>
      <c r="AZ36" s="68" t="s">
        <v>93</v>
      </c>
      <c r="BA36" s="68" t="s">
        <v>93</v>
      </c>
      <c r="BB36" s="68" t="s">
        <v>93</v>
      </c>
      <c r="BC36" s="68" t="s">
        <v>93</v>
      </c>
      <c r="BD36" s="68" t="s">
        <v>93</v>
      </c>
      <c r="BE36" s="68" t="s">
        <v>93</v>
      </c>
      <c r="BF36" s="68" t="s">
        <v>93</v>
      </c>
      <c r="BG36" s="68" t="s">
        <v>93</v>
      </c>
      <c r="BH36" s="68" t="s">
        <v>93</v>
      </c>
      <c r="BI36" s="68" t="s">
        <v>93</v>
      </c>
      <c r="BJ36" s="68" t="s">
        <v>93</v>
      </c>
      <c r="BK36" s="68" t="s">
        <v>93</v>
      </c>
      <c r="BL36" s="68" t="s">
        <v>93</v>
      </c>
      <c r="BM36" s="68" t="s">
        <v>93</v>
      </c>
      <c r="BN36" s="68" t="s">
        <v>93</v>
      </c>
      <c r="BO36" s="68" t="s">
        <v>93</v>
      </c>
      <c r="BP36" s="69" t="s">
        <v>93</v>
      </c>
    </row>
    <row r="37" spans="2:68" x14ac:dyDescent="0.25">
      <c r="B37" s="64">
        <v>1</v>
      </c>
      <c r="C37" s="65">
        <v>5</v>
      </c>
      <c r="D37" s="65" t="s">
        <v>97</v>
      </c>
      <c r="E37" s="66">
        <f>'[3]Master File'!B36</f>
        <v>46050</v>
      </c>
      <c r="F37" s="67" t="str">
        <f>'[3]Master File'!C36</f>
        <v>Closed</v>
      </c>
      <c r="G37" s="46"/>
      <c r="I37" s="68" t="s">
        <v>93</v>
      </c>
      <c r="J37" s="68" t="s">
        <v>93</v>
      </c>
      <c r="K37" s="68" t="s">
        <v>93</v>
      </c>
      <c r="L37" s="68" t="s">
        <v>94</v>
      </c>
      <c r="M37" s="68" t="s">
        <v>94</v>
      </c>
      <c r="N37" s="68" t="s">
        <v>94</v>
      </c>
      <c r="O37" s="68" t="s">
        <v>94</v>
      </c>
      <c r="P37" s="68" t="s">
        <v>94</v>
      </c>
      <c r="Q37" s="68" t="s">
        <v>93</v>
      </c>
      <c r="R37" s="68" t="s">
        <v>93</v>
      </c>
      <c r="S37" s="68" t="s">
        <v>93</v>
      </c>
      <c r="T37" s="68" t="s">
        <v>93</v>
      </c>
      <c r="U37" s="68" t="s">
        <v>93</v>
      </c>
      <c r="V37" s="68" t="s">
        <v>93</v>
      </c>
      <c r="W37" s="68" t="s">
        <v>93</v>
      </c>
      <c r="X37" s="68" t="s">
        <v>93</v>
      </c>
      <c r="Y37" s="68" t="s">
        <v>93</v>
      </c>
      <c r="Z37" s="68" t="s">
        <v>94</v>
      </c>
      <c r="AA37" s="68" t="s">
        <v>94</v>
      </c>
      <c r="AB37" s="68" t="s">
        <v>93</v>
      </c>
      <c r="AC37" s="68" t="s">
        <v>93</v>
      </c>
      <c r="AD37" s="68" t="s">
        <v>93</v>
      </c>
      <c r="AE37" s="68" t="s">
        <v>93</v>
      </c>
      <c r="AF37" s="68" t="s">
        <v>93</v>
      </c>
      <c r="AG37" s="68" t="s">
        <v>93</v>
      </c>
      <c r="AH37" s="68" t="s">
        <v>93</v>
      </c>
      <c r="AI37" s="68" t="s">
        <v>93</v>
      </c>
      <c r="AJ37" s="68" t="s">
        <v>93</v>
      </c>
      <c r="AK37" s="68" t="s">
        <v>93</v>
      </c>
      <c r="AL37" s="68" t="s">
        <v>93</v>
      </c>
      <c r="AM37" s="68" t="s">
        <v>93</v>
      </c>
      <c r="AN37" s="68" t="s">
        <v>93</v>
      </c>
      <c r="AO37" s="68" t="s">
        <v>93</v>
      </c>
      <c r="AP37" s="68" t="s">
        <v>93</v>
      </c>
      <c r="AQ37" s="68" t="s">
        <v>93</v>
      </c>
      <c r="AR37" s="68" t="s">
        <v>93</v>
      </c>
      <c r="AS37" s="68" t="s">
        <v>93</v>
      </c>
      <c r="AT37" s="68" t="s">
        <v>93</v>
      </c>
      <c r="AU37" s="68" t="s">
        <v>93</v>
      </c>
      <c r="AV37" s="68" t="s">
        <v>93</v>
      </c>
      <c r="AW37" s="68" t="s">
        <v>93</v>
      </c>
      <c r="AX37" s="68" t="s">
        <v>93</v>
      </c>
      <c r="AY37" s="68" t="s">
        <v>93</v>
      </c>
      <c r="AZ37" s="68" t="s">
        <v>93</v>
      </c>
      <c r="BA37" s="68" t="s">
        <v>93</v>
      </c>
      <c r="BB37" s="68" t="s">
        <v>93</v>
      </c>
      <c r="BC37" s="68" t="s">
        <v>93</v>
      </c>
      <c r="BD37" s="68" t="s">
        <v>93</v>
      </c>
      <c r="BE37" s="68" t="s">
        <v>93</v>
      </c>
      <c r="BF37" s="68" t="s">
        <v>93</v>
      </c>
      <c r="BG37" s="68" t="s">
        <v>93</v>
      </c>
      <c r="BH37" s="68" t="s">
        <v>93</v>
      </c>
      <c r="BI37" s="68" t="s">
        <v>93</v>
      </c>
      <c r="BJ37" s="68" t="s">
        <v>93</v>
      </c>
      <c r="BK37" s="68" t="s">
        <v>93</v>
      </c>
      <c r="BL37" s="68" t="s">
        <v>93</v>
      </c>
      <c r="BM37" s="68" t="s">
        <v>93</v>
      </c>
      <c r="BN37" s="68" t="s">
        <v>93</v>
      </c>
      <c r="BO37" s="68" t="s">
        <v>93</v>
      </c>
      <c r="BP37" s="69" t="s">
        <v>93</v>
      </c>
    </row>
    <row r="38" spans="2:68" x14ac:dyDescent="0.25">
      <c r="B38" s="64">
        <v>1</v>
      </c>
      <c r="C38" s="65">
        <v>5</v>
      </c>
      <c r="D38" s="65" t="s">
        <v>98</v>
      </c>
      <c r="E38" s="66">
        <f>'[3]Master File'!B37</f>
        <v>46051</v>
      </c>
      <c r="F38" s="67" t="str">
        <f>'[3]Master File'!C37</f>
        <v>Closed</v>
      </c>
      <c r="G38" s="46"/>
      <c r="I38" s="68" t="s">
        <v>93</v>
      </c>
      <c r="J38" s="68" t="s">
        <v>93</v>
      </c>
      <c r="K38" s="68" t="s">
        <v>93</v>
      </c>
      <c r="L38" s="68" t="s">
        <v>94</v>
      </c>
      <c r="M38" s="68" t="s">
        <v>94</v>
      </c>
      <c r="N38" s="68" t="s">
        <v>94</v>
      </c>
      <c r="O38" s="68" t="s">
        <v>94</v>
      </c>
      <c r="P38" s="68" t="s">
        <v>94</v>
      </c>
      <c r="Q38" s="68" t="s">
        <v>93</v>
      </c>
      <c r="R38" s="68" t="s">
        <v>93</v>
      </c>
      <c r="S38" s="68" t="s">
        <v>93</v>
      </c>
      <c r="T38" s="68" t="s">
        <v>93</v>
      </c>
      <c r="U38" s="68" t="s">
        <v>93</v>
      </c>
      <c r="V38" s="68" t="s">
        <v>93</v>
      </c>
      <c r="W38" s="68" t="s">
        <v>93</v>
      </c>
      <c r="X38" s="68" t="s">
        <v>93</v>
      </c>
      <c r="Y38" s="68" t="s">
        <v>93</v>
      </c>
      <c r="Z38" s="68" t="s">
        <v>94</v>
      </c>
      <c r="AA38" s="68" t="s">
        <v>94</v>
      </c>
      <c r="AB38" s="68" t="s">
        <v>93</v>
      </c>
      <c r="AC38" s="68" t="s">
        <v>93</v>
      </c>
      <c r="AD38" s="68" t="s">
        <v>93</v>
      </c>
      <c r="AE38" s="68" t="s">
        <v>93</v>
      </c>
      <c r="AF38" s="68" t="s">
        <v>93</v>
      </c>
      <c r="AG38" s="68" t="s">
        <v>93</v>
      </c>
      <c r="AH38" s="68" t="s">
        <v>93</v>
      </c>
      <c r="AI38" s="68" t="s">
        <v>93</v>
      </c>
      <c r="AJ38" s="68" t="s">
        <v>93</v>
      </c>
      <c r="AK38" s="68" t="s">
        <v>93</v>
      </c>
      <c r="AL38" s="68" t="s">
        <v>93</v>
      </c>
      <c r="AM38" s="68" t="s">
        <v>93</v>
      </c>
      <c r="AN38" s="68" t="s">
        <v>93</v>
      </c>
      <c r="AO38" s="68" t="s">
        <v>93</v>
      </c>
      <c r="AP38" s="68" t="s">
        <v>93</v>
      </c>
      <c r="AQ38" s="68" t="s">
        <v>93</v>
      </c>
      <c r="AR38" s="68" t="s">
        <v>93</v>
      </c>
      <c r="AS38" s="68" t="s">
        <v>93</v>
      </c>
      <c r="AT38" s="68" t="s">
        <v>93</v>
      </c>
      <c r="AU38" s="68" t="s">
        <v>93</v>
      </c>
      <c r="AV38" s="68" t="s">
        <v>93</v>
      </c>
      <c r="AW38" s="68" t="s">
        <v>93</v>
      </c>
      <c r="AX38" s="68" t="s">
        <v>93</v>
      </c>
      <c r="AY38" s="68" t="s">
        <v>93</v>
      </c>
      <c r="AZ38" s="68" t="s">
        <v>93</v>
      </c>
      <c r="BA38" s="68" t="s">
        <v>93</v>
      </c>
      <c r="BB38" s="68" t="s">
        <v>93</v>
      </c>
      <c r="BC38" s="68" t="s">
        <v>93</v>
      </c>
      <c r="BD38" s="68" t="s">
        <v>93</v>
      </c>
      <c r="BE38" s="68" t="s">
        <v>93</v>
      </c>
      <c r="BF38" s="68" t="s">
        <v>93</v>
      </c>
      <c r="BG38" s="68" t="s">
        <v>93</v>
      </c>
      <c r="BH38" s="68" t="s">
        <v>93</v>
      </c>
      <c r="BI38" s="68" t="s">
        <v>93</v>
      </c>
      <c r="BJ38" s="68" t="s">
        <v>93</v>
      </c>
      <c r="BK38" s="68" t="s">
        <v>93</v>
      </c>
      <c r="BL38" s="68" t="s">
        <v>93</v>
      </c>
      <c r="BM38" s="68" t="s">
        <v>93</v>
      </c>
      <c r="BN38" s="68" t="s">
        <v>93</v>
      </c>
      <c r="BO38" s="68" t="s">
        <v>93</v>
      </c>
      <c r="BP38" s="69" t="s">
        <v>93</v>
      </c>
    </row>
    <row r="39" spans="2:68" x14ac:dyDescent="0.25">
      <c r="B39" s="64">
        <v>1</v>
      </c>
      <c r="C39" s="65">
        <v>5</v>
      </c>
      <c r="D39" s="65" t="s">
        <v>99</v>
      </c>
      <c r="E39" s="66">
        <f>'[3]Master File'!B38</f>
        <v>46052</v>
      </c>
      <c r="F39" s="67" t="str">
        <f>'[3]Master File'!C38</f>
        <v>Closed</v>
      </c>
      <c r="G39" s="46"/>
      <c r="I39" s="68" t="s">
        <v>93</v>
      </c>
      <c r="J39" s="68" t="s">
        <v>93</v>
      </c>
      <c r="K39" s="68" t="s">
        <v>93</v>
      </c>
      <c r="L39" s="68" t="s">
        <v>94</v>
      </c>
      <c r="M39" s="68" t="s">
        <v>94</v>
      </c>
      <c r="N39" s="68" t="s">
        <v>94</v>
      </c>
      <c r="O39" s="68" t="s">
        <v>94</v>
      </c>
      <c r="P39" s="68" t="s">
        <v>94</v>
      </c>
      <c r="Q39" s="68" t="s">
        <v>93</v>
      </c>
      <c r="R39" s="68" t="s">
        <v>93</v>
      </c>
      <c r="S39" s="68" t="s">
        <v>93</v>
      </c>
      <c r="T39" s="68" t="s">
        <v>93</v>
      </c>
      <c r="U39" s="68" t="s">
        <v>93</v>
      </c>
      <c r="V39" s="68" t="s">
        <v>93</v>
      </c>
      <c r="W39" s="68" t="s">
        <v>93</v>
      </c>
      <c r="X39" s="68" t="s">
        <v>93</v>
      </c>
      <c r="Y39" s="68" t="s">
        <v>93</v>
      </c>
      <c r="Z39" s="68" t="s">
        <v>94</v>
      </c>
      <c r="AA39" s="68" t="s">
        <v>94</v>
      </c>
      <c r="AB39" s="68" t="s">
        <v>93</v>
      </c>
      <c r="AC39" s="68" t="s">
        <v>93</v>
      </c>
      <c r="AD39" s="68" t="s">
        <v>93</v>
      </c>
      <c r="AE39" s="68" t="s">
        <v>93</v>
      </c>
      <c r="AF39" s="68" t="s">
        <v>93</v>
      </c>
      <c r="AG39" s="68" t="s">
        <v>93</v>
      </c>
      <c r="AH39" s="68" t="s">
        <v>93</v>
      </c>
      <c r="AI39" s="68" t="s">
        <v>93</v>
      </c>
      <c r="AJ39" s="68" t="s">
        <v>93</v>
      </c>
      <c r="AK39" s="68" t="s">
        <v>93</v>
      </c>
      <c r="AL39" s="68" t="s">
        <v>93</v>
      </c>
      <c r="AM39" s="68" t="s">
        <v>93</v>
      </c>
      <c r="AN39" s="68" t="s">
        <v>93</v>
      </c>
      <c r="AO39" s="68" t="s">
        <v>93</v>
      </c>
      <c r="AP39" s="68" t="s">
        <v>93</v>
      </c>
      <c r="AQ39" s="68" t="s">
        <v>93</v>
      </c>
      <c r="AR39" s="68" t="s">
        <v>93</v>
      </c>
      <c r="AS39" s="68" t="s">
        <v>93</v>
      </c>
      <c r="AT39" s="68" t="s">
        <v>93</v>
      </c>
      <c r="AU39" s="68" t="s">
        <v>93</v>
      </c>
      <c r="AV39" s="68" t="s">
        <v>93</v>
      </c>
      <c r="AW39" s="68" t="s">
        <v>93</v>
      </c>
      <c r="AX39" s="68" t="s">
        <v>93</v>
      </c>
      <c r="AY39" s="68" t="s">
        <v>93</v>
      </c>
      <c r="AZ39" s="68" t="s">
        <v>93</v>
      </c>
      <c r="BA39" s="68" t="s">
        <v>93</v>
      </c>
      <c r="BB39" s="68" t="s">
        <v>93</v>
      </c>
      <c r="BC39" s="68" t="s">
        <v>93</v>
      </c>
      <c r="BD39" s="68" t="s">
        <v>93</v>
      </c>
      <c r="BE39" s="68" t="s">
        <v>93</v>
      </c>
      <c r="BF39" s="68" t="s">
        <v>93</v>
      </c>
      <c r="BG39" s="68" t="s">
        <v>93</v>
      </c>
      <c r="BH39" s="68" t="s">
        <v>93</v>
      </c>
      <c r="BI39" s="68" t="s">
        <v>93</v>
      </c>
      <c r="BJ39" s="68" t="s">
        <v>93</v>
      </c>
      <c r="BK39" s="68" t="s">
        <v>93</v>
      </c>
      <c r="BL39" s="68" t="s">
        <v>93</v>
      </c>
      <c r="BM39" s="68" t="s">
        <v>93</v>
      </c>
      <c r="BN39" s="68" t="s">
        <v>93</v>
      </c>
      <c r="BO39" s="68" t="s">
        <v>93</v>
      </c>
      <c r="BP39" s="69" t="s">
        <v>93</v>
      </c>
    </row>
    <row r="40" spans="2:68" x14ac:dyDescent="0.25">
      <c r="B40" s="64">
        <v>1</v>
      </c>
      <c r="C40" s="65">
        <v>5</v>
      </c>
      <c r="D40" s="65" t="s">
        <v>100</v>
      </c>
      <c r="E40" s="66">
        <f>'[3]Master File'!B39</f>
        <v>46053</v>
      </c>
      <c r="F40" s="67" t="str">
        <f>'[3]Master File'!C39</f>
        <v>Zoo</v>
      </c>
      <c r="G40" s="46"/>
      <c r="I40" s="68" t="s">
        <v>94</v>
      </c>
      <c r="J40" s="68" t="s">
        <v>94</v>
      </c>
      <c r="K40" s="68" t="s">
        <v>94</v>
      </c>
      <c r="L40" s="68" t="s">
        <v>94</v>
      </c>
      <c r="M40" s="70" t="s">
        <v>94</v>
      </c>
      <c r="N40" s="70" t="s">
        <v>94</v>
      </c>
      <c r="O40" s="70" t="s">
        <v>94</v>
      </c>
      <c r="P40" s="70" t="s">
        <v>94</v>
      </c>
      <c r="Q40" s="68" t="s">
        <v>94</v>
      </c>
      <c r="R40" s="68" t="s">
        <v>94</v>
      </c>
      <c r="S40" s="68" t="s">
        <v>94</v>
      </c>
      <c r="T40" s="68" t="s">
        <v>94</v>
      </c>
      <c r="U40" s="68" t="s">
        <v>94</v>
      </c>
      <c r="V40" s="68" t="s">
        <v>94</v>
      </c>
      <c r="W40" s="70" t="s">
        <v>93</v>
      </c>
      <c r="X40" s="70" t="s">
        <v>94</v>
      </c>
      <c r="Y40" s="70" t="s">
        <v>94</v>
      </c>
      <c r="Z40" s="68" t="s">
        <v>94</v>
      </c>
      <c r="AA40" s="70" t="s">
        <v>94</v>
      </c>
      <c r="AB40" s="70" t="s">
        <v>94</v>
      </c>
      <c r="AC40" s="70" t="s">
        <v>93</v>
      </c>
      <c r="AD40" s="70" t="s">
        <v>94</v>
      </c>
      <c r="AE40" s="70" t="s">
        <v>94</v>
      </c>
      <c r="AF40" s="70" t="s">
        <v>93</v>
      </c>
      <c r="AG40" s="70" t="s">
        <v>93</v>
      </c>
      <c r="AH40" s="70" t="s">
        <v>93</v>
      </c>
      <c r="AI40" s="70" t="s">
        <v>93</v>
      </c>
      <c r="AJ40" s="70" t="s">
        <v>93</v>
      </c>
      <c r="AK40" s="70" t="s">
        <v>93</v>
      </c>
      <c r="AL40" s="70" t="s">
        <v>93</v>
      </c>
      <c r="AM40" s="70" t="s">
        <v>93</v>
      </c>
      <c r="AN40" s="70" t="s">
        <v>93</v>
      </c>
      <c r="AO40" s="70" t="s">
        <v>93</v>
      </c>
      <c r="AP40" s="70" t="s">
        <v>93</v>
      </c>
      <c r="AQ40" s="70" t="s">
        <v>93</v>
      </c>
      <c r="AR40" s="70" t="s">
        <v>93</v>
      </c>
      <c r="AS40" s="70" t="s">
        <v>93</v>
      </c>
      <c r="AT40" s="70" t="s">
        <v>93</v>
      </c>
      <c r="AU40" s="70" t="s">
        <v>93</v>
      </c>
      <c r="AV40" s="70" t="s">
        <v>93</v>
      </c>
      <c r="AW40" s="70" t="s">
        <v>93</v>
      </c>
      <c r="AX40" s="70" t="s">
        <v>93</v>
      </c>
      <c r="AY40" s="70" t="s">
        <v>93</v>
      </c>
      <c r="AZ40" s="70" t="s">
        <v>93</v>
      </c>
      <c r="BA40" s="70" t="s">
        <v>93</v>
      </c>
      <c r="BB40" s="70" t="s">
        <v>93</v>
      </c>
      <c r="BC40" s="70" t="s">
        <v>93</v>
      </c>
      <c r="BD40" s="70" t="s">
        <v>93</v>
      </c>
      <c r="BE40" s="70" t="s">
        <v>93</v>
      </c>
      <c r="BF40" s="70" t="s">
        <v>93</v>
      </c>
      <c r="BG40" s="70" t="s">
        <v>93</v>
      </c>
      <c r="BH40" s="70" t="s">
        <v>93</v>
      </c>
      <c r="BI40" s="70" t="s">
        <v>93</v>
      </c>
      <c r="BJ40" s="70" t="s">
        <v>93</v>
      </c>
      <c r="BK40" s="70" t="s">
        <v>93</v>
      </c>
      <c r="BL40" s="70" t="s">
        <v>93</v>
      </c>
      <c r="BM40" s="70" t="s">
        <v>93</v>
      </c>
      <c r="BN40" s="70" t="s">
        <v>93</v>
      </c>
      <c r="BO40" s="70" t="s">
        <v>93</v>
      </c>
      <c r="BP40" s="71" t="s">
        <v>93</v>
      </c>
    </row>
    <row r="41" spans="2:68" x14ac:dyDescent="0.25">
      <c r="B41" s="64">
        <v>2</v>
      </c>
      <c r="C41" s="65">
        <v>6</v>
      </c>
      <c r="D41" s="65" t="s">
        <v>92</v>
      </c>
      <c r="E41" s="66">
        <f>'[3]Master File'!B40</f>
        <v>46054</v>
      </c>
      <c r="F41" s="67" t="str">
        <f>'[3]Master File'!C40</f>
        <v>Zoo</v>
      </c>
      <c r="G41" s="46"/>
      <c r="I41" s="68" t="s">
        <v>94</v>
      </c>
      <c r="J41" s="68" t="s">
        <v>94</v>
      </c>
      <c r="K41" s="68" t="s">
        <v>94</v>
      </c>
      <c r="L41" s="68" t="s">
        <v>94</v>
      </c>
      <c r="M41" s="70" t="s">
        <v>94</v>
      </c>
      <c r="N41" s="70" t="s">
        <v>94</v>
      </c>
      <c r="O41" s="70" t="s">
        <v>94</v>
      </c>
      <c r="P41" s="70" t="s">
        <v>94</v>
      </c>
      <c r="Q41" s="68" t="s">
        <v>94</v>
      </c>
      <c r="R41" s="68" t="s">
        <v>94</v>
      </c>
      <c r="S41" s="68" t="s">
        <v>94</v>
      </c>
      <c r="T41" s="68" t="s">
        <v>94</v>
      </c>
      <c r="U41" s="68" t="s">
        <v>94</v>
      </c>
      <c r="V41" s="68" t="s">
        <v>94</v>
      </c>
      <c r="W41" s="70" t="s">
        <v>93</v>
      </c>
      <c r="X41" s="70" t="s">
        <v>94</v>
      </c>
      <c r="Y41" s="70" t="s">
        <v>94</v>
      </c>
      <c r="Z41" s="68" t="s">
        <v>94</v>
      </c>
      <c r="AA41" s="70" t="s">
        <v>94</v>
      </c>
      <c r="AB41" s="70" t="s">
        <v>94</v>
      </c>
      <c r="AC41" s="70" t="s">
        <v>93</v>
      </c>
      <c r="AD41" s="70" t="s">
        <v>94</v>
      </c>
      <c r="AE41" s="70" t="s">
        <v>94</v>
      </c>
      <c r="AF41" s="70" t="s">
        <v>93</v>
      </c>
      <c r="AG41" s="70" t="s">
        <v>93</v>
      </c>
      <c r="AH41" s="70" t="s">
        <v>93</v>
      </c>
      <c r="AI41" s="70" t="s">
        <v>93</v>
      </c>
      <c r="AJ41" s="70" t="s">
        <v>93</v>
      </c>
      <c r="AK41" s="70" t="s">
        <v>93</v>
      </c>
      <c r="AL41" s="70" t="s">
        <v>93</v>
      </c>
      <c r="AM41" s="70" t="s">
        <v>93</v>
      </c>
      <c r="AN41" s="70" t="s">
        <v>93</v>
      </c>
      <c r="AO41" s="70" t="s">
        <v>93</v>
      </c>
      <c r="AP41" s="70" t="s">
        <v>93</v>
      </c>
      <c r="AQ41" s="70" t="s">
        <v>93</v>
      </c>
      <c r="AR41" s="70" t="s">
        <v>93</v>
      </c>
      <c r="AS41" s="70" t="s">
        <v>93</v>
      </c>
      <c r="AT41" s="70" t="s">
        <v>93</v>
      </c>
      <c r="AU41" s="70" t="s">
        <v>93</v>
      </c>
      <c r="AV41" s="70" t="s">
        <v>93</v>
      </c>
      <c r="AW41" s="70" t="s">
        <v>93</v>
      </c>
      <c r="AX41" s="70" t="s">
        <v>93</v>
      </c>
      <c r="AY41" s="70" t="s">
        <v>93</v>
      </c>
      <c r="AZ41" s="70" t="s">
        <v>93</v>
      </c>
      <c r="BA41" s="70" t="s">
        <v>93</v>
      </c>
      <c r="BB41" s="70" t="s">
        <v>93</v>
      </c>
      <c r="BC41" s="70" t="s">
        <v>93</v>
      </c>
      <c r="BD41" s="70" t="s">
        <v>93</v>
      </c>
      <c r="BE41" s="70" t="s">
        <v>93</v>
      </c>
      <c r="BF41" s="70" t="s">
        <v>93</v>
      </c>
      <c r="BG41" s="70" t="s">
        <v>93</v>
      </c>
      <c r="BH41" s="70" t="s">
        <v>93</v>
      </c>
      <c r="BI41" s="70" t="s">
        <v>93</v>
      </c>
      <c r="BJ41" s="70" t="s">
        <v>93</v>
      </c>
      <c r="BK41" s="70" t="s">
        <v>93</v>
      </c>
      <c r="BL41" s="70" t="s">
        <v>93</v>
      </c>
      <c r="BM41" s="70" t="s">
        <v>93</v>
      </c>
      <c r="BN41" s="70" t="s">
        <v>93</v>
      </c>
      <c r="BO41" s="70" t="s">
        <v>93</v>
      </c>
      <c r="BP41" s="71" t="s">
        <v>93</v>
      </c>
    </row>
    <row r="42" spans="2:68" x14ac:dyDescent="0.25">
      <c r="B42" s="64">
        <v>2</v>
      </c>
      <c r="C42" s="65">
        <v>6</v>
      </c>
      <c r="D42" s="65" t="s">
        <v>95</v>
      </c>
      <c r="E42" s="66">
        <f>'[3]Master File'!B41</f>
        <v>46055</v>
      </c>
      <c r="F42" s="67" t="str">
        <f>'[3]Master File'!C41</f>
        <v>Closed</v>
      </c>
      <c r="G42" s="46"/>
      <c r="I42" s="68" t="s">
        <v>93</v>
      </c>
      <c r="J42" s="68" t="s">
        <v>93</v>
      </c>
      <c r="K42" s="68" t="s">
        <v>93</v>
      </c>
      <c r="L42" s="68" t="s">
        <v>94</v>
      </c>
      <c r="M42" s="68" t="s">
        <v>94</v>
      </c>
      <c r="N42" s="68" t="s">
        <v>94</v>
      </c>
      <c r="O42" s="68" t="s">
        <v>94</v>
      </c>
      <c r="P42" s="68" t="s">
        <v>94</v>
      </c>
      <c r="Q42" s="68" t="s">
        <v>93</v>
      </c>
      <c r="R42" s="68" t="s">
        <v>93</v>
      </c>
      <c r="S42" s="68" t="s">
        <v>93</v>
      </c>
      <c r="T42" s="68" t="s">
        <v>93</v>
      </c>
      <c r="U42" s="68" t="s">
        <v>93</v>
      </c>
      <c r="V42" s="68" t="s">
        <v>93</v>
      </c>
      <c r="W42" s="68" t="s">
        <v>93</v>
      </c>
      <c r="X42" s="68" t="s">
        <v>93</v>
      </c>
      <c r="Y42" s="68" t="s">
        <v>93</v>
      </c>
      <c r="Z42" s="68" t="s">
        <v>94</v>
      </c>
      <c r="AA42" s="68" t="s">
        <v>94</v>
      </c>
      <c r="AB42" s="68" t="s">
        <v>93</v>
      </c>
      <c r="AC42" s="68" t="s">
        <v>93</v>
      </c>
      <c r="AD42" s="68" t="s">
        <v>93</v>
      </c>
      <c r="AE42" s="68" t="s">
        <v>93</v>
      </c>
      <c r="AF42" s="68" t="s">
        <v>93</v>
      </c>
      <c r="AG42" s="68" t="s">
        <v>93</v>
      </c>
      <c r="AH42" s="68" t="s">
        <v>93</v>
      </c>
      <c r="AI42" s="68" t="s">
        <v>93</v>
      </c>
      <c r="AJ42" s="68" t="s">
        <v>93</v>
      </c>
      <c r="AK42" s="68" t="s">
        <v>93</v>
      </c>
      <c r="AL42" s="68" t="s">
        <v>93</v>
      </c>
      <c r="AM42" s="68" t="s">
        <v>93</v>
      </c>
      <c r="AN42" s="68" t="s">
        <v>93</v>
      </c>
      <c r="AO42" s="68" t="s">
        <v>93</v>
      </c>
      <c r="AP42" s="68" t="s">
        <v>93</v>
      </c>
      <c r="AQ42" s="68" t="s">
        <v>93</v>
      </c>
      <c r="AR42" s="68" t="s">
        <v>93</v>
      </c>
      <c r="AS42" s="68" t="s">
        <v>93</v>
      </c>
      <c r="AT42" s="68" t="s">
        <v>93</v>
      </c>
      <c r="AU42" s="68" t="s">
        <v>93</v>
      </c>
      <c r="AV42" s="68" t="s">
        <v>93</v>
      </c>
      <c r="AW42" s="68" t="s">
        <v>93</v>
      </c>
      <c r="AX42" s="68" t="s">
        <v>93</v>
      </c>
      <c r="AY42" s="68" t="s">
        <v>93</v>
      </c>
      <c r="AZ42" s="68" t="s">
        <v>93</v>
      </c>
      <c r="BA42" s="68" t="s">
        <v>93</v>
      </c>
      <c r="BB42" s="68" t="s">
        <v>93</v>
      </c>
      <c r="BC42" s="68" t="s">
        <v>93</v>
      </c>
      <c r="BD42" s="68" t="s">
        <v>93</v>
      </c>
      <c r="BE42" s="68" t="s">
        <v>93</v>
      </c>
      <c r="BF42" s="68" t="s">
        <v>93</v>
      </c>
      <c r="BG42" s="68" t="s">
        <v>93</v>
      </c>
      <c r="BH42" s="68" t="s">
        <v>93</v>
      </c>
      <c r="BI42" s="68" t="s">
        <v>93</v>
      </c>
      <c r="BJ42" s="68" t="s">
        <v>93</v>
      </c>
      <c r="BK42" s="68" t="s">
        <v>93</v>
      </c>
      <c r="BL42" s="68" t="s">
        <v>93</v>
      </c>
      <c r="BM42" s="68" t="s">
        <v>93</v>
      </c>
      <c r="BN42" s="68" t="s">
        <v>93</v>
      </c>
      <c r="BO42" s="68" t="s">
        <v>93</v>
      </c>
      <c r="BP42" s="69" t="s">
        <v>93</v>
      </c>
    </row>
    <row r="43" spans="2:68" x14ac:dyDescent="0.25">
      <c r="B43" s="64">
        <v>2</v>
      </c>
      <c r="C43" s="65">
        <v>6</v>
      </c>
      <c r="D43" s="65" t="s">
        <v>96</v>
      </c>
      <c r="E43" s="66">
        <f>'[3]Master File'!B42</f>
        <v>46056</v>
      </c>
      <c r="F43" s="67" t="str">
        <f>'[3]Master File'!C42</f>
        <v>Closed</v>
      </c>
      <c r="G43" s="46"/>
      <c r="I43" s="68" t="s">
        <v>93</v>
      </c>
      <c r="J43" s="68" t="s">
        <v>93</v>
      </c>
      <c r="K43" s="68" t="s">
        <v>93</v>
      </c>
      <c r="L43" s="68" t="s">
        <v>94</v>
      </c>
      <c r="M43" s="68" t="s">
        <v>94</v>
      </c>
      <c r="N43" s="68" t="s">
        <v>94</v>
      </c>
      <c r="O43" s="68" t="s">
        <v>94</v>
      </c>
      <c r="P43" s="68" t="s">
        <v>94</v>
      </c>
      <c r="Q43" s="68" t="s">
        <v>93</v>
      </c>
      <c r="R43" s="68" t="s">
        <v>93</v>
      </c>
      <c r="S43" s="68" t="s">
        <v>93</v>
      </c>
      <c r="T43" s="68" t="s">
        <v>93</v>
      </c>
      <c r="U43" s="68" t="s">
        <v>93</v>
      </c>
      <c r="V43" s="68" t="s">
        <v>93</v>
      </c>
      <c r="W43" s="68" t="s">
        <v>93</v>
      </c>
      <c r="X43" s="68" t="s">
        <v>93</v>
      </c>
      <c r="Y43" s="68" t="s">
        <v>93</v>
      </c>
      <c r="Z43" s="68" t="s">
        <v>94</v>
      </c>
      <c r="AA43" s="68" t="s">
        <v>94</v>
      </c>
      <c r="AB43" s="68" t="s">
        <v>93</v>
      </c>
      <c r="AC43" s="68" t="s">
        <v>93</v>
      </c>
      <c r="AD43" s="68" t="s">
        <v>93</v>
      </c>
      <c r="AE43" s="68" t="s">
        <v>93</v>
      </c>
      <c r="AF43" s="68" t="s">
        <v>93</v>
      </c>
      <c r="AG43" s="68" t="s">
        <v>93</v>
      </c>
      <c r="AH43" s="68" t="s">
        <v>93</v>
      </c>
      <c r="AI43" s="68" t="s">
        <v>93</v>
      </c>
      <c r="AJ43" s="68" t="s">
        <v>93</v>
      </c>
      <c r="AK43" s="68" t="s">
        <v>93</v>
      </c>
      <c r="AL43" s="68" t="s">
        <v>93</v>
      </c>
      <c r="AM43" s="68" t="s">
        <v>93</v>
      </c>
      <c r="AN43" s="68" t="s">
        <v>93</v>
      </c>
      <c r="AO43" s="68" t="s">
        <v>93</v>
      </c>
      <c r="AP43" s="68" t="s">
        <v>93</v>
      </c>
      <c r="AQ43" s="68" t="s">
        <v>93</v>
      </c>
      <c r="AR43" s="68" t="s">
        <v>93</v>
      </c>
      <c r="AS43" s="68" t="s">
        <v>93</v>
      </c>
      <c r="AT43" s="68" t="s">
        <v>93</v>
      </c>
      <c r="AU43" s="68" t="s">
        <v>93</v>
      </c>
      <c r="AV43" s="68" t="s">
        <v>93</v>
      </c>
      <c r="AW43" s="68" t="s">
        <v>93</v>
      </c>
      <c r="AX43" s="68" t="s">
        <v>93</v>
      </c>
      <c r="AY43" s="68" t="s">
        <v>93</v>
      </c>
      <c r="AZ43" s="68" t="s">
        <v>93</v>
      </c>
      <c r="BA43" s="68" t="s">
        <v>93</v>
      </c>
      <c r="BB43" s="68" t="s">
        <v>93</v>
      </c>
      <c r="BC43" s="68" t="s">
        <v>93</v>
      </c>
      <c r="BD43" s="68" t="s">
        <v>93</v>
      </c>
      <c r="BE43" s="68" t="s">
        <v>93</v>
      </c>
      <c r="BF43" s="68" t="s">
        <v>93</v>
      </c>
      <c r="BG43" s="68" t="s">
        <v>93</v>
      </c>
      <c r="BH43" s="68" t="s">
        <v>93</v>
      </c>
      <c r="BI43" s="68" t="s">
        <v>93</v>
      </c>
      <c r="BJ43" s="68" t="s">
        <v>93</v>
      </c>
      <c r="BK43" s="68" t="s">
        <v>93</v>
      </c>
      <c r="BL43" s="68" t="s">
        <v>93</v>
      </c>
      <c r="BM43" s="68" t="s">
        <v>93</v>
      </c>
      <c r="BN43" s="68" t="s">
        <v>93</v>
      </c>
      <c r="BO43" s="68" t="s">
        <v>93</v>
      </c>
      <c r="BP43" s="69" t="s">
        <v>93</v>
      </c>
    </row>
    <row r="44" spans="2:68" x14ac:dyDescent="0.25">
      <c r="B44" s="64">
        <v>2</v>
      </c>
      <c r="C44" s="65">
        <v>6</v>
      </c>
      <c r="D44" s="65" t="s">
        <v>97</v>
      </c>
      <c r="E44" s="66">
        <f>'[3]Master File'!B43</f>
        <v>46057</v>
      </c>
      <c r="F44" s="67" t="str">
        <f>'[3]Master File'!C43</f>
        <v>Closed</v>
      </c>
      <c r="G44" s="46"/>
      <c r="I44" s="68" t="s">
        <v>93</v>
      </c>
      <c r="J44" s="68" t="s">
        <v>93</v>
      </c>
      <c r="K44" s="68" t="s">
        <v>93</v>
      </c>
      <c r="L44" s="68" t="s">
        <v>94</v>
      </c>
      <c r="M44" s="68" t="s">
        <v>94</v>
      </c>
      <c r="N44" s="68" t="s">
        <v>94</v>
      </c>
      <c r="O44" s="68" t="s">
        <v>94</v>
      </c>
      <c r="P44" s="68" t="s">
        <v>94</v>
      </c>
      <c r="Q44" s="68" t="s">
        <v>93</v>
      </c>
      <c r="R44" s="68" t="s">
        <v>93</v>
      </c>
      <c r="S44" s="68" t="s">
        <v>93</v>
      </c>
      <c r="T44" s="68" t="s">
        <v>93</v>
      </c>
      <c r="U44" s="68" t="s">
        <v>93</v>
      </c>
      <c r="V44" s="68" t="s">
        <v>93</v>
      </c>
      <c r="W44" s="68" t="s">
        <v>93</v>
      </c>
      <c r="X44" s="68" t="s">
        <v>93</v>
      </c>
      <c r="Y44" s="68" t="s">
        <v>93</v>
      </c>
      <c r="Z44" s="68" t="s">
        <v>94</v>
      </c>
      <c r="AA44" s="68" t="s">
        <v>94</v>
      </c>
      <c r="AB44" s="68" t="s">
        <v>93</v>
      </c>
      <c r="AC44" s="68" t="s">
        <v>93</v>
      </c>
      <c r="AD44" s="68" t="s">
        <v>93</v>
      </c>
      <c r="AE44" s="68" t="s">
        <v>93</v>
      </c>
      <c r="AF44" s="68" t="s">
        <v>93</v>
      </c>
      <c r="AG44" s="68" t="s">
        <v>93</v>
      </c>
      <c r="AH44" s="68" t="s">
        <v>93</v>
      </c>
      <c r="AI44" s="68" t="s">
        <v>93</v>
      </c>
      <c r="AJ44" s="68" t="s">
        <v>93</v>
      </c>
      <c r="AK44" s="68" t="s">
        <v>93</v>
      </c>
      <c r="AL44" s="68" t="s">
        <v>93</v>
      </c>
      <c r="AM44" s="68" t="s">
        <v>93</v>
      </c>
      <c r="AN44" s="68" t="s">
        <v>93</v>
      </c>
      <c r="AO44" s="68" t="s">
        <v>93</v>
      </c>
      <c r="AP44" s="68" t="s">
        <v>93</v>
      </c>
      <c r="AQ44" s="68" t="s">
        <v>93</v>
      </c>
      <c r="AR44" s="68" t="s">
        <v>93</v>
      </c>
      <c r="AS44" s="68" t="s">
        <v>93</v>
      </c>
      <c r="AT44" s="68" t="s">
        <v>93</v>
      </c>
      <c r="AU44" s="68" t="s">
        <v>93</v>
      </c>
      <c r="AV44" s="68" t="s">
        <v>93</v>
      </c>
      <c r="AW44" s="68" t="s">
        <v>93</v>
      </c>
      <c r="AX44" s="68" t="s">
        <v>93</v>
      </c>
      <c r="AY44" s="68" t="s">
        <v>93</v>
      </c>
      <c r="AZ44" s="68" t="s">
        <v>93</v>
      </c>
      <c r="BA44" s="68" t="s">
        <v>93</v>
      </c>
      <c r="BB44" s="68" t="s">
        <v>93</v>
      </c>
      <c r="BC44" s="68" t="s">
        <v>93</v>
      </c>
      <c r="BD44" s="68" t="s">
        <v>93</v>
      </c>
      <c r="BE44" s="68" t="s">
        <v>93</v>
      </c>
      <c r="BF44" s="68" t="s">
        <v>93</v>
      </c>
      <c r="BG44" s="68" t="s">
        <v>93</v>
      </c>
      <c r="BH44" s="68" t="s">
        <v>93</v>
      </c>
      <c r="BI44" s="68" t="s">
        <v>93</v>
      </c>
      <c r="BJ44" s="68" t="s">
        <v>93</v>
      </c>
      <c r="BK44" s="68" t="s">
        <v>93</v>
      </c>
      <c r="BL44" s="68" t="s">
        <v>93</v>
      </c>
      <c r="BM44" s="68" t="s">
        <v>93</v>
      </c>
      <c r="BN44" s="68" t="s">
        <v>93</v>
      </c>
      <c r="BO44" s="68" t="s">
        <v>93</v>
      </c>
      <c r="BP44" s="69" t="s">
        <v>93</v>
      </c>
    </row>
    <row r="45" spans="2:68" x14ac:dyDescent="0.25">
      <c r="B45" s="64">
        <v>2</v>
      </c>
      <c r="C45" s="65">
        <v>6</v>
      </c>
      <c r="D45" s="65" t="s">
        <v>98</v>
      </c>
      <c r="E45" s="66">
        <f>'[3]Master File'!B44</f>
        <v>46058</v>
      </c>
      <c r="F45" s="67" t="str">
        <f>'[3]Master File'!C44</f>
        <v>Closed</v>
      </c>
      <c r="G45" s="46"/>
      <c r="I45" s="68" t="s">
        <v>93</v>
      </c>
      <c r="J45" s="68" t="s">
        <v>93</v>
      </c>
      <c r="K45" s="68" t="s">
        <v>93</v>
      </c>
      <c r="L45" s="68" t="s">
        <v>94</v>
      </c>
      <c r="M45" s="68" t="s">
        <v>94</v>
      </c>
      <c r="N45" s="68" t="s">
        <v>94</v>
      </c>
      <c r="O45" s="68" t="s">
        <v>94</v>
      </c>
      <c r="P45" s="68" t="s">
        <v>94</v>
      </c>
      <c r="Q45" s="68" t="s">
        <v>93</v>
      </c>
      <c r="R45" s="68" t="s">
        <v>93</v>
      </c>
      <c r="S45" s="68" t="s">
        <v>93</v>
      </c>
      <c r="T45" s="68" t="s">
        <v>93</v>
      </c>
      <c r="U45" s="68" t="s">
        <v>93</v>
      </c>
      <c r="V45" s="68" t="s">
        <v>93</v>
      </c>
      <c r="W45" s="68" t="s">
        <v>93</v>
      </c>
      <c r="X45" s="68" t="s">
        <v>93</v>
      </c>
      <c r="Y45" s="68" t="s">
        <v>93</v>
      </c>
      <c r="Z45" s="68" t="s">
        <v>94</v>
      </c>
      <c r="AA45" s="68" t="s">
        <v>94</v>
      </c>
      <c r="AB45" s="68" t="s">
        <v>93</v>
      </c>
      <c r="AC45" s="68" t="s">
        <v>93</v>
      </c>
      <c r="AD45" s="68" t="s">
        <v>93</v>
      </c>
      <c r="AE45" s="68" t="s">
        <v>93</v>
      </c>
      <c r="AF45" s="68" t="s">
        <v>93</v>
      </c>
      <c r="AG45" s="68" t="s">
        <v>93</v>
      </c>
      <c r="AH45" s="68" t="s">
        <v>93</v>
      </c>
      <c r="AI45" s="68" t="s">
        <v>93</v>
      </c>
      <c r="AJ45" s="68" t="s">
        <v>93</v>
      </c>
      <c r="AK45" s="68" t="s">
        <v>93</v>
      </c>
      <c r="AL45" s="68" t="s">
        <v>93</v>
      </c>
      <c r="AM45" s="68" t="s">
        <v>93</v>
      </c>
      <c r="AN45" s="68" t="s">
        <v>93</v>
      </c>
      <c r="AO45" s="68" t="s">
        <v>93</v>
      </c>
      <c r="AP45" s="68" t="s">
        <v>93</v>
      </c>
      <c r="AQ45" s="68" t="s">
        <v>93</v>
      </c>
      <c r="AR45" s="68" t="s">
        <v>93</v>
      </c>
      <c r="AS45" s="68" t="s">
        <v>93</v>
      </c>
      <c r="AT45" s="68" t="s">
        <v>93</v>
      </c>
      <c r="AU45" s="68" t="s">
        <v>93</v>
      </c>
      <c r="AV45" s="68" t="s">
        <v>93</v>
      </c>
      <c r="AW45" s="68" t="s">
        <v>93</v>
      </c>
      <c r="AX45" s="68" t="s">
        <v>93</v>
      </c>
      <c r="AY45" s="68" t="s">
        <v>93</v>
      </c>
      <c r="AZ45" s="68" t="s">
        <v>93</v>
      </c>
      <c r="BA45" s="68" t="s">
        <v>93</v>
      </c>
      <c r="BB45" s="68" t="s">
        <v>93</v>
      </c>
      <c r="BC45" s="68" t="s">
        <v>93</v>
      </c>
      <c r="BD45" s="68" t="s">
        <v>93</v>
      </c>
      <c r="BE45" s="68" t="s">
        <v>93</v>
      </c>
      <c r="BF45" s="68" t="s">
        <v>93</v>
      </c>
      <c r="BG45" s="68" t="s">
        <v>93</v>
      </c>
      <c r="BH45" s="68" t="s">
        <v>93</v>
      </c>
      <c r="BI45" s="68" t="s">
        <v>93</v>
      </c>
      <c r="BJ45" s="68" t="s">
        <v>93</v>
      </c>
      <c r="BK45" s="68" t="s">
        <v>93</v>
      </c>
      <c r="BL45" s="68" t="s">
        <v>93</v>
      </c>
      <c r="BM45" s="68" t="s">
        <v>93</v>
      </c>
      <c r="BN45" s="68" t="s">
        <v>93</v>
      </c>
      <c r="BO45" s="68" t="s">
        <v>93</v>
      </c>
      <c r="BP45" s="69" t="s">
        <v>93</v>
      </c>
    </row>
    <row r="46" spans="2:68" x14ac:dyDescent="0.25">
      <c r="B46" s="64">
        <v>2</v>
      </c>
      <c r="C46" s="65">
        <v>6</v>
      </c>
      <c r="D46" s="65" t="s">
        <v>99</v>
      </c>
      <c r="E46" s="66">
        <f>'[3]Master File'!B45</f>
        <v>46059</v>
      </c>
      <c r="F46" s="67" t="str">
        <f>'[3]Master File'!C45</f>
        <v>Closed</v>
      </c>
      <c r="G46" s="46"/>
      <c r="I46" s="68" t="s">
        <v>93</v>
      </c>
      <c r="J46" s="68" t="s">
        <v>93</v>
      </c>
      <c r="K46" s="68" t="s">
        <v>93</v>
      </c>
      <c r="L46" s="68" t="s">
        <v>94</v>
      </c>
      <c r="M46" s="68" t="s">
        <v>94</v>
      </c>
      <c r="N46" s="68" t="s">
        <v>94</v>
      </c>
      <c r="O46" s="68" t="s">
        <v>94</v>
      </c>
      <c r="P46" s="68" t="s">
        <v>94</v>
      </c>
      <c r="Q46" s="68" t="s">
        <v>93</v>
      </c>
      <c r="R46" s="68" t="s">
        <v>93</v>
      </c>
      <c r="S46" s="68" t="s">
        <v>93</v>
      </c>
      <c r="T46" s="68" t="s">
        <v>93</v>
      </c>
      <c r="U46" s="68" t="s">
        <v>93</v>
      </c>
      <c r="V46" s="68" t="s">
        <v>93</v>
      </c>
      <c r="W46" s="68" t="s">
        <v>93</v>
      </c>
      <c r="X46" s="68" t="s">
        <v>93</v>
      </c>
      <c r="Y46" s="68" t="s">
        <v>93</v>
      </c>
      <c r="Z46" s="68" t="s">
        <v>94</v>
      </c>
      <c r="AA46" s="68" t="s">
        <v>94</v>
      </c>
      <c r="AB46" s="68" t="s">
        <v>93</v>
      </c>
      <c r="AC46" s="68" t="s">
        <v>93</v>
      </c>
      <c r="AD46" s="68" t="s">
        <v>93</v>
      </c>
      <c r="AE46" s="68" t="s">
        <v>93</v>
      </c>
      <c r="AF46" s="68" t="s">
        <v>93</v>
      </c>
      <c r="AG46" s="68" t="s">
        <v>93</v>
      </c>
      <c r="AH46" s="68" t="s">
        <v>93</v>
      </c>
      <c r="AI46" s="68" t="s">
        <v>93</v>
      </c>
      <c r="AJ46" s="68" t="s">
        <v>93</v>
      </c>
      <c r="AK46" s="68" t="s">
        <v>93</v>
      </c>
      <c r="AL46" s="68" t="s">
        <v>93</v>
      </c>
      <c r="AM46" s="68" t="s">
        <v>93</v>
      </c>
      <c r="AN46" s="68" t="s">
        <v>93</v>
      </c>
      <c r="AO46" s="68" t="s">
        <v>93</v>
      </c>
      <c r="AP46" s="68" t="s">
        <v>93</v>
      </c>
      <c r="AQ46" s="68" t="s">
        <v>93</v>
      </c>
      <c r="AR46" s="68" t="s">
        <v>93</v>
      </c>
      <c r="AS46" s="68" t="s">
        <v>93</v>
      </c>
      <c r="AT46" s="68" t="s">
        <v>93</v>
      </c>
      <c r="AU46" s="68" t="s">
        <v>93</v>
      </c>
      <c r="AV46" s="68" t="s">
        <v>93</v>
      </c>
      <c r="AW46" s="68" t="s">
        <v>93</v>
      </c>
      <c r="AX46" s="68" t="s">
        <v>93</v>
      </c>
      <c r="AY46" s="68" t="s">
        <v>93</v>
      </c>
      <c r="AZ46" s="68" t="s">
        <v>93</v>
      </c>
      <c r="BA46" s="68" t="s">
        <v>93</v>
      </c>
      <c r="BB46" s="68" t="s">
        <v>93</v>
      </c>
      <c r="BC46" s="68" t="s">
        <v>93</v>
      </c>
      <c r="BD46" s="68" t="s">
        <v>93</v>
      </c>
      <c r="BE46" s="68" t="s">
        <v>93</v>
      </c>
      <c r="BF46" s="68" t="s">
        <v>93</v>
      </c>
      <c r="BG46" s="68" t="s">
        <v>93</v>
      </c>
      <c r="BH46" s="68" t="s">
        <v>93</v>
      </c>
      <c r="BI46" s="68" t="s">
        <v>93</v>
      </c>
      <c r="BJ46" s="68" t="s">
        <v>93</v>
      </c>
      <c r="BK46" s="68" t="s">
        <v>93</v>
      </c>
      <c r="BL46" s="68" t="s">
        <v>93</v>
      </c>
      <c r="BM46" s="68" t="s">
        <v>93</v>
      </c>
      <c r="BN46" s="68" t="s">
        <v>93</v>
      </c>
      <c r="BO46" s="68" t="s">
        <v>93</v>
      </c>
      <c r="BP46" s="69" t="s">
        <v>93</v>
      </c>
    </row>
    <row r="47" spans="2:68" x14ac:dyDescent="0.25">
      <c r="B47" s="64">
        <v>2</v>
      </c>
      <c r="C47" s="65">
        <v>6</v>
      </c>
      <c r="D47" s="65" t="s">
        <v>100</v>
      </c>
      <c r="E47" s="66">
        <f>'[3]Master File'!B46</f>
        <v>46060</v>
      </c>
      <c r="F47" s="67" t="str">
        <f>'[3]Master File'!C46</f>
        <v>Zoo</v>
      </c>
      <c r="G47" s="46"/>
      <c r="I47" s="68" t="s">
        <v>94</v>
      </c>
      <c r="J47" s="68" t="s">
        <v>94</v>
      </c>
      <c r="K47" s="68" t="s">
        <v>94</v>
      </c>
      <c r="L47" s="68" t="s">
        <v>94</v>
      </c>
      <c r="M47" s="70" t="s">
        <v>94</v>
      </c>
      <c r="N47" s="70" t="s">
        <v>94</v>
      </c>
      <c r="O47" s="70" t="s">
        <v>94</v>
      </c>
      <c r="P47" s="70" t="s">
        <v>94</v>
      </c>
      <c r="Q47" s="68" t="s">
        <v>94</v>
      </c>
      <c r="R47" s="68" t="s">
        <v>94</v>
      </c>
      <c r="S47" s="68" t="s">
        <v>94</v>
      </c>
      <c r="T47" s="68" t="s">
        <v>94</v>
      </c>
      <c r="U47" s="68" t="s">
        <v>94</v>
      </c>
      <c r="V47" s="68" t="s">
        <v>94</v>
      </c>
      <c r="W47" s="70" t="s">
        <v>93</v>
      </c>
      <c r="X47" s="70" t="s">
        <v>94</v>
      </c>
      <c r="Y47" s="70" t="s">
        <v>94</v>
      </c>
      <c r="Z47" s="68" t="s">
        <v>94</v>
      </c>
      <c r="AA47" s="70" t="s">
        <v>94</v>
      </c>
      <c r="AB47" s="70" t="s">
        <v>94</v>
      </c>
      <c r="AC47" s="70" t="s">
        <v>93</v>
      </c>
      <c r="AD47" s="70" t="s">
        <v>94</v>
      </c>
      <c r="AE47" s="70" t="s">
        <v>94</v>
      </c>
      <c r="AF47" s="70" t="s">
        <v>93</v>
      </c>
      <c r="AG47" s="70" t="s">
        <v>93</v>
      </c>
      <c r="AH47" s="70" t="s">
        <v>93</v>
      </c>
      <c r="AI47" s="70" t="s">
        <v>93</v>
      </c>
      <c r="AJ47" s="70" t="s">
        <v>93</v>
      </c>
      <c r="AK47" s="70" t="s">
        <v>93</v>
      </c>
      <c r="AL47" s="70" t="s">
        <v>93</v>
      </c>
      <c r="AM47" s="70" t="s">
        <v>93</v>
      </c>
      <c r="AN47" s="70" t="s">
        <v>93</v>
      </c>
      <c r="AO47" s="70" t="s">
        <v>93</v>
      </c>
      <c r="AP47" s="70" t="s">
        <v>93</v>
      </c>
      <c r="AQ47" s="70" t="s">
        <v>93</v>
      </c>
      <c r="AR47" s="70" t="s">
        <v>93</v>
      </c>
      <c r="AS47" s="70" t="s">
        <v>93</v>
      </c>
      <c r="AT47" s="70" t="s">
        <v>93</v>
      </c>
      <c r="AU47" s="70" t="s">
        <v>93</v>
      </c>
      <c r="AV47" s="70" t="s">
        <v>93</v>
      </c>
      <c r="AW47" s="70" t="s">
        <v>93</v>
      </c>
      <c r="AX47" s="70" t="s">
        <v>93</v>
      </c>
      <c r="AY47" s="70" t="s">
        <v>93</v>
      </c>
      <c r="AZ47" s="70" t="s">
        <v>93</v>
      </c>
      <c r="BA47" s="70" t="s">
        <v>93</v>
      </c>
      <c r="BB47" s="70" t="s">
        <v>93</v>
      </c>
      <c r="BC47" s="70" t="s">
        <v>93</v>
      </c>
      <c r="BD47" s="70" t="s">
        <v>93</v>
      </c>
      <c r="BE47" s="70" t="s">
        <v>93</v>
      </c>
      <c r="BF47" s="70" t="s">
        <v>93</v>
      </c>
      <c r="BG47" s="70" t="s">
        <v>93</v>
      </c>
      <c r="BH47" s="70" t="s">
        <v>93</v>
      </c>
      <c r="BI47" s="70" t="s">
        <v>93</v>
      </c>
      <c r="BJ47" s="70" t="s">
        <v>93</v>
      </c>
      <c r="BK47" s="70" t="s">
        <v>93</v>
      </c>
      <c r="BL47" s="70" t="s">
        <v>93</v>
      </c>
      <c r="BM47" s="70" t="s">
        <v>93</v>
      </c>
      <c r="BN47" s="70" t="s">
        <v>93</v>
      </c>
      <c r="BO47" s="70" t="s">
        <v>93</v>
      </c>
      <c r="BP47" s="71" t="s">
        <v>93</v>
      </c>
    </row>
    <row r="48" spans="2:68" x14ac:dyDescent="0.25">
      <c r="B48" s="64">
        <v>2</v>
      </c>
      <c r="C48" s="65">
        <v>7</v>
      </c>
      <c r="D48" s="65" t="s">
        <v>92</v>
      </c>
      <c r="E48" s="66">
        <f>'[3]Master File'!B47</f>
        <v>46061</v>
      </c>
      <c r="F48" s="67" t="str">
        <f>'[3]Master File'!C47</f>
        <v>Zoo</v>
      </c>
      <c r="G48" s="46"/>
      <c r="I48" s="68" t="s">
        <v>94</v>
      </c>
      <c r="J48" s="68" t="s">
        <v>94</v>
      </c>
      <c r="K48" s="68" t="s">
        <v>94</v>
      </c>
      <c r="L48" s="68" t="s">
        <v>94</v>
      </c>
      <c r="M48" s="70" t="s">
        <v>94</v>
      </c>
      <c r="N48" s="70" t="s">
        <v>94</v>
      </c>
      <c r="O48" s="70" t="s">
        <v>94</v>
      </c>
      <c r="P48" s="70" t="s">
        <v>94</v>
      </c>
      <c r="Q48" s="68" t="s">
        <v>94</v>
      </c>
      <c r="R48" s="68" t="s">
        <v>94</v>
      </c>
      <c r="S48" s="68" t="s">
        <v>94</v>
      </c>
      <c r="T48" s="68" t="s">
        <v>94</v>
      </c>
      <c r="U48" s="68" t="s">
        <v>94</v>
      </c>
      <c r="V48" s="68" t="s">
        <v>94</v>
      </c>
      <c r="W48" s="70" t="s">
        <v>93</v>
      </c>
      <c r="X48" s="70" t="s">
        <v>94</v>
      </c>
      <c r="Y48" s="70" t="s">
        <v>94</v>
      </c>
      <c r="Z48" s="68" t="s">
        <v>94</v>
      </c>
      <c r="AA48" s="70" t="s">
        <v>94</v>
      </c>
      <c r="AB48" s="70" t="s">
        <v>94</v>
      </c>
      <c r="AC48" s="70" t="s">
        <v>93</v>
      </c>
      <c r="AD48" s="70" t="s">
        <v>94</v>
      </c>
      <c r="AE48" s="70" t="s">
        <v>94</v>
      </c>
      <c r="AF48" s="70" t="s">
        <v>93</v>
      </c>
      <c r="AG48" s="70" t="s">
        <v>93</v>
      </c>
      <c r="AH48" s="70" t="s">
        <v>93</v>
      </c>
      <c r="AI48" s="70" t="s">
        <v>93</v>
      </c>
      <c r="AJ48" s="70" t="s">
        <v>93</v>
      </c>
      <c r="AK48" s="70" t="s">
        <v>93</v>
      </c>
      <c r="AL48" s="70" t="s">
        <v>93</v>
      </c>
      <c r="AM48" s="70" t="s">
        <v>93</v>
      </c>
      <c r="AN48" s="70" t="s">
        <v>93</v>
      </c>
      <c r="AO48" s="70" t="s">
        <v>93</v>
      </c>
      <c r="AP48" s="70" t="s">
        <v>93</v>
      </c>
      <c r="AQ48" s="70" t="s">
        <v>93</v>
      </c>
      <c r="AR48" s="70" t="s">
        <v>93</v>
      </c>
      <c r="AS48" s="70" t="s">
        <v>93</v>
      </c>
      <c r="AT48" s="70" t="s">
        <v>93</v>
      </c>
      <c r="AU48" s="70" t="s">
        <v>93</v>
      </c>
      <c r="AV48" s="70" t="s">
        <v>93</v>
      </c>
      <c r="AW48" s="70" t="s">
        <v>93</v>
      </c>
      <c r="AX48" s="70" t="s">
        <v>93</v>
      </c>
      <c r="AY48" s="70" t="s">
        <v>93</v>
      </c>
      <c r="AZ48" s="70" t="s">
        <v>93</v>
      </c>
      <c r="BA48" s="70" t="s">
        <v>93</v>
      </c>
      <c r="BB48" s="70" t="s">
        <v>93</v>
      </c>
      <c r="BC48" s="70" t="s">
        <v>93</v>
      </c>
      <c r="BD48" s="70" t="s">
        <v>93</v>
      </c>
      <c r="BE48" s="70" t="s">
        <v>93</v>
      </c>
      <c r="BF48" s="70" t="s">
        <v>93</v>
      </c>
      <c r="BG48" s="70" t="s">
        <v>93</v>
      </c>
      <c r="BH48" s="70" t="s">
        <v>93</v>
      </c>
      <c r="BI48" s="70" t="s">
        <v>93</v>
      </c>
      <c r="BJ48" s="70" t="s">
        <v>93</v>
      </c>
      <c r="BK48" s="70" t="s">
        <v>93</v>
      </c>
      <c r="BL48" s="70" t="s">
        <v>93</v>
      </c>
      <c r="BM48" s="70" t="s">
        <v>93</v>
      </c>
      <c r="BN48" s="70" t="s">
        <v>93</v>
      </c>
      <c r="BO48" s="70" t="s">
        <v>93</v>
      </c>
      <c r="BP48" s="71" t="s">
        <v>93</v>
      </c>
    </row>
    <row r="49" spans="2:68" x14ac:dyDescent="0.25">
      <c r="B49" s="64">
        <v>2</v>
      </c>
      <c r="C49" s="65">
        <v>7</v>
      </c>
      <c r="D49" s="65" t="s">
        <v>95</v>
      </c>
      <c r="E49" s="66">
        <f>'[3]Master File'!B48</f>
        <v>46062</v>
      </c>
      <c r="F49" s="67" t="str">
        <f>'[3]Master File'!C48</f>
        <v>Closed</v>
      </c>
      <c r="G49" s="46"/>
      <c r="I49" s="68" t="s">
        <v>93</v>
      </c>
      <c r="J49" s="68" t="s">
        <v>93</v>
      </c>
      <c r="K49" s="68" t="s">
        <v>93</v>
      </c>
      <c r="L49" s="68" t="s">
        <v>94</v>
      </c>
      <c r="M49" s="68" t="s">
        <v>94</v>
      </c>
      <c r="N49" s="68" t="s">
        <v>94</v>
      </c>
      <c r="O49" s="68" t="s">
        <v>94</v>
      </c>
      <c r="P49" s="68" t="s">
        <v>94</v>
      </c>
      <c r="Q49" s="68" t="s">
        <v>93</v>
      </c>
      <c r="R49" s="68" t="s">
        <v>93</v>
      </c>
      <c r="S49" s="68" t="s">
        <v>93</v>
      </c>
      <c r="T49" s="68" t="s">
        <v>93</v>
      </c>
      <c r="U49" s="68" t="s">
        <v>93</v>
      </c>
      <c r="V49" s="68" t="s">
        <v>93</v>
      </c>
      <c r="W49" s="68" t="s">
        <v>93</v>
      </c>
      <c r="X49" s="68" t="s">
        <v>93</v>
      </c>
      <c r="Y49" s="68" t="s">
        <v>93</v>
      </c>
      <c r="Z49" s="68" t="s">
        <v>94</v>
      </c>
      <c r="AA49" s="68" t="s">
        <v>94</v>
      </c>
      <c r="AB49" s="68" t="s">
        <v>93</v>
      </c>
      <c r="AC49" s="68" t="s">
        <v>93</v>
      </c>
      <c r="AD49" s="68" t="s">
        <v>93</v>
      </c>
      <c r="AE49" s="68" t="s">
        <v>93</v>
      </c>
      <c r="AF49" s="68" t="s">
        <v>93</v>
      </c>
      <c r="AG49" s="68" t="s">
        <v>93</v>
      </c>
      <c r="AH49" s="68" t="s">
        <v>93</v>
      </c>
      <c r="AI49" s="68" t="s">
        <v>93</v>
      </c>
      <c r="AJ49" s="68" t="s">
        <v>93</v>
      </c>
      <c r="AK49" s="68" t="s">
        <v>93</v>
      </c>
      <c r="AL49" s="68" t="s">
        <v>93</v>
      </c>
      <c r="AM49" s="68" t="s">
        <v>93</v>
      </c>
      <c r="AN49" s="68" t="s">
        <v>93</v>
      </c>
      <c r="AO49" s="68" t="s">
        <v>93</v>
      </c>
      <c r="AP49" s="68" t="s">
        <v>93</v>
      </c>
      <c r="AQ49" s="68" t="s">
        <v>93</v>
      </c>
      <c r="AR49" s="68" t="s">
        <v>93</v>
      </c>
      <c r="AS49" s="68" t="s">
        <v>93</v>
      </c>
      <c r="AT49" s="68" t="s">
        <v>93</v>
      </c>
      <c r="AU49" s="68" t="s">
        <v>93</v>
      </c>
      <c r="AV49" s="68" t="s">
        <v>93</v>
      </c>
      <c r="AW49" s="68" t="s">
        <v>93</v>
      </c>
      <c r="AX49" s="68" t="s">
        <v>93</v>
      </c>
      <c r="AY49" s="68" t="s">
        <v>93</v>
      </c>
      <c r="AZ49" s="68" t="s">
        <v>93</v>
      </c>
      <c r="BA49" s="68" t="s">
        <v>93</v>
      </c>
      <c r="BB49" s="68" t="s">
        <v>93</v>
      </c>
      <c r="BC49" s="68" t="s">
        <v>93</v>
      </c>
      <c r="BD49" s="68" t="s">
        <v>93</v>
      </c>
      <c r="BE49" s="68" t="s">
        <v>93</v>
      </c>
      <c r="BF49" s="68" t="s">
        <v>93</v>
      </c>
      <c r="BG49" s="68" t="s">
        <v>93</v>
      </c>
      <c r="BH49" s="68" t="s">
        <v>93</v>
      </c>
      <c r="BI49" s="68" t="s">
        <v>93</v>
      </c>
      <c r="BJ49" s="68" t="s">
        <v>93</v>
      </c>
      <c r="BK49" s="68" t="s">
        <v>93</v>
      </c>
      <c r="BL49" s="68" t="s">
        <v>93</v>
      </c>
      <c r="BM49" s="68" t="s">
        <v>93</v>
      </c>
      <c r="BN49" s="68" t="s">
        <v>93</v>
      </c>
      <c r="BO49" s="68" t="s">
        <v>93</v>
      </c>
      <c r="BP49" s="69" t="s">
        <v>93</v>
      </c>
    </row>
    <row r="50" spans="2:68" x14ac:dyDescent="0.25">
      <c r="B50" s="64">
        <v>2</v>
      </c>
      <c r="C50" s="65">
        <v>7</v>
      </c>
      <c r="D50" s="65" t="s">
        <v>96</v>
      </c>
      <c r="E50" s="66">
        <f>'[3]Master File'!B49</f>
        <v>46063</v>
      </c>
      <c r="F50" s="67" t="str">
        <f>'[3]Master File'!C49</f>
        <v>Closed</v>
      </c>
      <c r="G50" s="46"/>
      <c r="I50" s="68" t="s">
        <v>93</v>
      </c>
      <c r="J50" s="68" t="s">
        <v>93</v>
      </c>
      <c r="K50" s="68" t="s">
        <v>93</v>
      </c>
      <c r="L50" s="68" t="s">
        <v>94</v>
      </c>
      <c r="M50" s="68" t="s">
        <v>94</v>
      </c>
      <c r="N50" s="68" t="s">
        <v>94</v>
      </c>
      <c r="O50" s="68" t="s">
        <v>94</v>
      </c>
      <c r="P50" s="68" t="s">
        <v>94</v>
      </c>
      <c r="Q50" s="68" t="s">
        <v>93</v>
      </c>
      <c r="R50" s="68" t="s">
        <v>93</v>
      </c>
      <c r="S50" s="68" t="s">
        <v>93</v>
      </c>
      <c r="T50" s="68" t="s">
        <v>93</v>
      </c>
      <c r="U50" s="68" t="s">
        <v>93</v>
      </c>
      <c r="V50" s="68" t="s">
        <v>93</v>
      </c>
      <c r="W50" s="68" t="s">
        <v>93</v>
      </c>
      <c r="X50" s="68" t="s">
        <v>93</v>
      </c>
      <c r="Y50" s="68" t="s">
        <v>93</v>
      </c>
      <c r="Z50" s="68" t="s">
        <v>94</v>
      </c>
      <c r="AA50" s="68" t="s">
        <v>94</v>
      </c>
      <c r="AB50" s="68" t="s">
        <v>93</v>
      </c>
      <c r="AC50" s="68" t="s">
        <v>93</v>
      </c>
      <c r="AD50" s="68" t="s">
        <v>93</v>
      </c>
      <c r="AE50" s="68" t="s">
        <v>93</v>
      </c>
      <c r="AF50" s="68" t="s">
        <v>93</v>
      </c>
      <c r="AG50" s="68" t="s">
        <v>93</v>
      </c>
      <c r="AH50" s="68" t="s">
        <v>93</v>
      </c>
      <c r="AI50" s="68" t="s">
        <v>93</v>
      </c>
      <c r="AJ50" s="68" t="s">
        <v>93</v>
      </c>
      <c r="AK50" s="68" t="s">
        <v>93</v>
      </c>
      <c r="AL50" s="68" t="s">
        <v>93</v>
      </c>
      <c r="AM50" s="68" t="s">
        <v>93</v>
      </c>
      <c r="AN50" s="68" t="s">
        <v>93</v>
      </c>
      <c r="AO50" s="68" t="s">
        <v>93</v>
      </c>
      <c r="AP50" s="68" t="s">
        <v>93</v>
      </c>
      <c r="AQ50" s="68" t="s">
        <v>93</v>
      </c>
      <c r="AR50" s="68" t="s">
        <v>93</v>
      </c>
      <c r="AS50" s="68" t="s">
        <v>93</v>
      </c>
      <c r="AT50" s="68" t="s">
        <v>93</v>
      </c>
      <c r="AU50" s="68" t="s">
        <v>93</v>
      </c>
      <c r="AV50" s="68" t="s">
        <v>93</v>
      </c>
      <c r="AW50" s="68" t="s">
        <v>93</v>
      </c>
      <c r="AX50" s="68" t="s">
        <v>93</v>
      </c>
      <c r="AY50" s="68" t="s">
        <v>93</v>
      </c>
      <c r="AZ50" s="68" t="s">
        <v>93</v>
      </c>
      <c r="BA50" s="68" t="s">
        <v>93</v>
      </c>
      <c r="BB50" s="68" t="s">
        <v>93</v>
      </c>
      <c r="BC50" s="68" t="s">
        <v>93</v>
      </c>
      <c r="BD50" s="68" t="s">
        <v>93</v>
      </c>
      <c r="BE50" s="68" t="s">
        <v>93</v>
      </c>
      <c r="BF50" s="68" t="s">
        <v>93</v>
      </c>
      <c r="BG50" s="68" t="s">
        <v>93</v>
      </c>
      <c r="BH50" s="68" t="s">
        <v>93</v>
      </c>
      <c r="BI50" s="68" t="s">
        <v>93</v>
      </c>
      <c r="BJ50" s="68" t="s">
        <v>93</v>
      </c>
      <c r="BK50" s="68" t="s">
        <v>93</v>
      </c>
      <c r="BL50" s="68" t="s">
        <v>93</v>
      </c>
      <c r="BM50" s="68" t="s">
        <v>93</v>
      </c>
      <c r="BN50" s="68" t="s">
        <v>93</v>
      </c>
      <c r="BO50" s="68" t="s">
        <v>93</v>
      </c>
      <c r="BP50" s="69" t="s">
        <v>93</v>
      </c>
    </row>
    <row r="51" spans="2:68" x14ac:dyDescent="0.25">
      <c r="B51" s="64">
        <v>2</v>
      </c>
      <c r="C51" s="65">
        <v>7</v>
      </c>
      <c r="D51" s="65" t="s">
        <v>97</v>
      </c>
      <c r="E51" s="66">
        <f>'[3]Master File'!B50</f>
        <v>46064</v>
      </c>
      <c r="F51" s="67" t="str">
        <f>'[3]Master File'!C50</f>
        <v>Closed</v>
      </c>
      <c r="G51" s="46"/>
      <c r="I51" s="68" t="s">
        <v>93</v>
      </c>
      <c r="J51" s="68" t="s">
        <v>93</v>
      </c>
      <c r="K51" s="68" t="s">
        <v>93</v>
      </c>
      <c r="L51" s="68" t="s">
        <v>94</v>
      </c>
      <c r="M51" s="68" t="s">
        <v>94</v>
      </c>
      <c r="N51" s="68" t="s">
        <v>94</v>
      </c>
      <c r="O51" s="68" t="s">
        <v>94</v>
      </c>
      <c r="P51" s="68" t="s">
        <v>94</v>
      </c>
      <c r="Q51" s="68" t="s">
        <v>93</v>
      </c>
      <c r="R51" s="68" t="s">
        <v>93</v>
      </c>
      <c r="S51" s="68" t="s">
        <v>93</v>
      </c>
      <c r="T51" s="68" t="s">
        <v>93</v>
      </c>
      <c r="U51" s="68" t="s">
        <v>93</v>
      </c>
      <c r="V51" s="68" t="s">
        <v>93</v>
      </c>
      <c r="W51" s="68" t="s">
        <v>93</v>
      </c>
      <c r="X51" s="68" t="s">
        <v>93</v>
      </c>
      <c r="Y51" s="68" t="s">
        <v>93</v>
      </c>
      <c r="Z51" s="68" t="s">
        <v>94</v>
      </c>
      <c r="AA51" s="68" t="s">
        <v>94</v>
      </c>
      <c r="AB51" s="68" t="s">
        <v>93</v>
      </c>
      <c r="AC51" s="68" t="s">
        <v>93</v>
      </c>
      <c r="AD51" s="68" t="s">
        <v>93</v>
      </c>
      <c r="AE51" s="68" t="s">
        <v>93</v>
      </c>
      <c r="AF51" s="68" t="s">
        <v>93</v>
      </c>
      <c r="AG51" s="68" t="s">
        <v>93</v>
      </c>
      <c r="AH51" s="68" t="s">
        <v>93</v>
      </c>
      <c r="AI51" s="68" t="s">
        <v>93</v>
      </c>
      <c r="AJ51" s="68" t="s">
        <v>93</v>
      </c>
      <c r="AK51" s="68" t="s">
        <v>93</v>
      </c>
      <c r="AL51" s="68" t="s">
        <v>93</v>
      </c>
      <c r="AM51" s="68" t="s">
        <v>93</v>
      </c>
      <c r="AN51" s="68" t="s">
        <v>93</v>
      </c>
      <c r="AO51" s="68" t="s">
        <v>93</v>
      </c>
      <c r="AP51" s="68" t="s">
        <v>93</v>
      </c>
      <c r="AQ51" s="68" t="s">
        <v>93</v>
      </c>
      <c r="AR51" s="68" t="s">
        <v>93</v>
      </c>
      <c r="AS51" s="68" t="s">
        <v>93</v>
      </c>
      <c r="AT51" s="68" t="s">
        <v>93</v>
      </c>
      <c r="AU51" s="68" t="s">
        <v>93</v>
      </c>
      <c r="AV51" s="68" t="s">
        <v>93</v>
      </c>
      <c r="AW51" s="68" t="s">
        <v>93</v>
      </c>
      <c r="AX51" s="68" t="s">
        <v>93</v>
      </c>
      <c r="AY51" s="68" t="s">
        <v>93</v>
      </c>
      <c r="AZ51" s="68" t="s">
        <v>93</v>
      </c>
      <c r="BA51" s="68" t="s">
        <v>93</v>
      </c>
      <c r="BB51" s="68" t="s">
        <v>93</v>
      </c>
      <c r="BC51" s="68" t="s">
        <v>93</v>
      </c>
      <c r="BD51" s="68" t="s">
        <v>93</v>
      </c>
      <c r="BE51" s="68" t="s">
        <v>93</v>
      </c>
      <c r="BF51" s="68" t="s">
        <v>93</v>
      </c>
      <c r="BG51" s="68" t="s">
        <v>93</v>
      </c>
      <c r="BH51" s="68" t="s">
        <v>93</v>
      </c>
      <c r="BI51" s="68" t="s">
        <v>93</v>
      </c>
      <c r="BJ51" s="68" t="s">
        <v>93</v>
      </c>
      <c r="BK51" s="68" t="s">
        <v>93</v>
      </c>
      <c r="BL51" s="68" t="s">
        <v>93</v>
      </c>
      <c r="BM51" s="68" t="s">
        <v>93</v>
      </c>
      <c r="BN51" s="68" t="s">
        <v>93</v>
      </c>
      <c r="BO51" s="68" t="s">
        <v>93</v>
      </c>
      <c r="BP51" s="69" t="s">
        <v>93</v>
      </c>
    </row>
    <row r="52" spans="2:68" x14ac:dyDescent="0.25">
      <c r="B52" s="64">
        <v>2</v>
      </c>
      <c r="C52" s="65">
        <v>7</v>
      </c>
      <c r="D52" s="65" t="s">
        <v>98</v>
      </c>
      <c r="E52" s="66">
        <f>'[3]Master File'!B51</f>
        <v>46065</v>
      </c>
      <c r="F52" s="67" t="str">
        <f>'[3]Master File'!C51</f>
        <v>Closed</v>
      </c>
      <c r="G52" s="46"/>
      <c r="I52" s="68" t="s">
        <v>93</v>
      </c>
      <c r="J52" s="68" t="s">
        <v>93</v>
      </c>
      <c r="K52" s="68" t="s">
        <v>93</v>
      </c>
      <c r="L52" s="68" t="s">
        <v>94</v>
      </c>
      <c r="M52" s="68" t="s">
        <v>94</v>
      </c>
      <c r="N52" s="68" t="s">
        <v>94</v>
      </c>
      <c r="O52" s="68" t="s">
        <v>94</v>
      </c>
      <c r="P52" s="68" t="s">
        <v>94</v>
      </c>
      <c r="Q52" s="68" t="s">
        <v>93</v>
      </c>
      <c r="R52" s="68" t="s">
        <v>93</v>
      </c>
      <c r="S52" s="68" t="s">
        <v>93</v>
      </c>
      <c r="T52" s="68" t="s">
        <v>93</v>
      </c>
      <c r="U52" s="68" t="s">
        <v>93</v>
      </c>
      <c r="V52" s="68" t="s">
        <v>93</v>
      </c>
      <c r="W52" s="68" t="s">
        <v>93</v>
      </c>
      <c r="X52" s="68" t="s">
        <v>93</v>
      </c>
      <c r="Y52" s="68" t="s">
        <v>93</v>
      </c>
      <c r="Z52" s="68" t="s">
        <v>94</v>
      </c>
      <c r="AA52" s="68" t="s">
        <v>94</v>
      </c>
      <c r="AB52" s="68" t="s">
        <v>93</v>
      </c>
      <c r="AC52" s="68" t="s">
        <v>93</v>
      </c>
      <c r="AD52" s="68" t="s">
        <v>93</v>
      </c>
      <c r="AE52" s="68" t="s">
        <v>93</v>
      </c>
      <c r="AF52" s="68" t="s">
        <v>93</v>
      </c>
      <c r="AG52" s="68" t="s">
        <v>93</v>
      </c>
      <c r="AH52" s="68" t="s">
        <v>93</v>
      </c>
      <c r="AI52" s="68" t="s">
        <v>93</v>
      </c>
      <c r="AJ52" s="68" t="s">
        <v>93</v>
      </c>
      <c r="AK52" s="68" t="s">
        <v>93</v>
      </c>
      <c r="AL52" s="68" t="s">
        <v>93</v>
      </c>
      <c r="AM52" s="68" t="s">
        <v>93</v>
      </c>
      <c r="AN52" s="68" t="s">
        <v>93</v>
      </c>
      <c r="AO52" s="68" t="s">
        <v>93</v>
      </c>
      <c r="AP52" s="68" t="s">
        <v>93</v>
      </c>
      <c r="AQ52" s="68" t="s">
        <v>93</v>
      </c>
      <c r="AR52" s="68" t="s">
        <v>93</v>
      </c>
      <c r="AS52" s="68" t="s">
        <v>93</v>
      </c>
      <c r="AT52" s="68" t="s">
        <v>93</v>
      </c>
      <c r="AU52" s="68" t="s">
        <v>93</v>
      </c>
      <c r="AV52" s="68" t="s">
        <v>93</v>
      </c>
      <c r="AW52" s="68" t="s">
        <v>93</v>
      </c>
      <c r="AX52" s="68" t="s">
        <v>93</v>
      </c>
      <c r="AY52" s="68" t="s">
        <v>93</v>
      </c>
      <c r="AZ52" s="68" t="s">
        <v>93</v>
      </c>
      <c r="BA52" s="68" t="s">
        <v>93</v>
      </c>
      <c r="BB52" s="68" t="s">
        <v>93</v>
      </c>
      <c r="BC52" s="68" t="s">
        <v>93</v>
      </c>
      <c r="BD52" s="68" t="s">
        <v>93</v>
      </c>
      <c r="BE52" s="68" t="s">
        <v>93</v>
      </c>
      <c r="BF52" s="68" t="s">
        <v>93</v>
      </c>
      <c r="BG52" s="68" t="s">
        <v>93</v>
      </c>
      <c r="BH52" s="68" t="s">
        <v>93</v>
      </c>
      <c r="BI52" s="68" t="s">
        <v>93</v>
      </c>
      <c r="BJ52" s="68" t="s">
        <v>93</v>
      </c>
      <c r="BK52" s="68" t="s">
        <v>93</v>
      </c>
      <c r="BL52" s="68" t="s">
        <v>93</v>
      </c>
      <c r="BM52" s="68" t="s">
        <v>93</v>
      </c>
      <c r="BN52" s="68" t="s">
        <v>93</v>
      </c>
      <c r="BO52" s="68" t="s">
        <v>93</v>
      </c>
      <c r="BP52" s="69" t="s">
        <v>93</v>
      </c>
    </row>
    <row r="53" spans="2:68" x14ac:dyDescent="0.25">
      <c r="B53" s="64">
        <v>2</v>
      </c>
      <c r="C53" s="65">
        <v>7</v>
      </c>
      <c r="D53" s="65" t="s">
        <v>99</v>
      </c>
      <c r="E53" s="66">
        <f>'[3]Master File'!B52</f>
        <v>46066</v>
      </c>
      <c r="F53" s="67" t="str">
        <f>'[3]Master File'!C52</f>
        <v>Closed</v>
      </c>
      <c r="G53" s="46"/>
      <c r="I53" s="68" t="s">
        <v>93</v>
      </c>
      <c r="J53" s="68" t="s">
        <v>93</v>
      </c>
      <c r="K53" s="68" t="s">
        <v>93</v>
      </c>
      <c r="L53" s="68" t="s">
        <v>94</v>
      </c>
      <c r="M53" s="68" t="s">
        <v>94</v>
      </c>
      <c r="N53" s="68" t="s">
        <v>94</v>
      </c>
      <c r="O53" s="68" t="s">
        <v>94</v>
      </c>
      <c r="P53" s="68" t="s">
        <v>94</v>
      </c>
      <c r="Q53" s="68" t="s">
        <v>93</v>
      </c>
      <c r="R53" s="68" t="s">
        <v>93</v>
      </c>
      <c r="S53" s="68" t="s">
        <v>93</v>
      </c>
      <c r="T53" s="68" t="s">
        <v>93</v>
      </c>
      <c r="U53" s="68" t="s">
        <v>93</v>
      </c>
      <c r="V53" s="68" t="s">
        <v>93</v>
      </c>
      <c r="W53" s="68" t="s">
        <v>93</v>
      </c>
      <c r="X53" s="68" t="s">
        <v>93</v>
      </c>
      <c r="Y53" s="68" t="s">
        <v>93</v>
      </c>
      <c r="Z53" s="68" t="s">
        <v>94</v>
      </c>
      <c r="AA53" s="68" t="s">
        <v>94</v>
      </c>
      <c r="AB53" s="68" t="s">
        <v>93</v>
      </c>
      <c r="AC53" s="68" t="s">
        <v>93</v>
      </c>
      <c r="AD53" s="68" t="s">
        <v>93</v>
      </c>
      <c r="AE53" s="68" t="s">
        <v>93</v>
      </c>
      <c r="AF53" s="68" t="s">
        <v>93</v>
      </c>
      <c r="AG53" s="68" t="s">
        <v>93</v>
      </c>
      <c r="AH53" s="68" t="s">
        <v>93</v>
      </c>
      <c r="AI53" s="68" t="s">
        <v>93</v>
      </c>
      <c r="AJ53" s="68" t="s">
        <v>93</v>
      </c>
      <c r="AK53" s="68" t="s">
        <v>93</v>
      </c>
      <c r="AL53" s="68" t="s">
        <v>93</v>
      </c>
      <c r="AM53" s="68" t="s">
        <v>93</v>
      </c>
      <c r="AN53" s="68" t="s">
        <v>93</v>
      </c>
      <c r="AO53" s="68" t="s">
        <v>93</v>
      </c>
      <c r="AP53" s="68" t="s">
        <v>93</v>
      </c>
      <c r="AQ53" s="68" t="s">
        <v>93</v>
      </c>
      <c r="AR53" s="68" t="s">
        <v>93</v>
      </c>
      <c r="AS53" s="68" t="s">
        <v>93</v>
      </c>
      <c r="AT53" s="68" t="s">
        <v>93</v>
      </c>
      <c r="AU53" s="68" t="s">
        <v>93</v>
      </c>
      <c r="AV53" s="68" t="s">
        <v>93</v>
      </c>
      <c r="AW53" s="68" t="s">
        <v>93</v>
      </c>
      <c r="AX53" s="68" t="s">
        <v>93</v>
      </c>
      <c r="AY53" s="68" t="s">
        <v>93</v>
      </c>
      <c r="AZ53" s="68" t="s">
        <v>93</v>
      </c>
      <c r="BA53" s="68" t="s">
        <v>93</v>
      </c>
      <c r="BB53" s="68" t="s">
        <v>93</v>
      </c>
      <c r="BC53" s="68" t="s">
        <v>93</v>
      </c>
      <c r="BD53" s="68" t="s">
        <v>93</v>
      </c>
      <c r="BE53" s="68" t="s">
        <v>93</v>
      </c>
      <c r="BF53" s="68" t="s">
        <v>93</v>
      </c>
      <c r="BG53" s="68" t="s">
        <v>93</v>
      </c>
      <c r="BH53" s="68" t="s">
        <v>93</v>
      </c>
      <c r="BI53" s="68" t="s">
        <v>93</v>
      </c>
      <c r="BJ53" s="68" t="s">
        <v>93</v>
      </c>
      <c r="BK53" s="68" t="s">
        <v>93</v>
      </c>
      <c r="BL53" s="68" t="s">
        <v>93</v>
      </c>
      <c r="BM53" s="68" t="s">
        <v>93</v>
      </c>
      <c r="BN53" s="68" t="s">
        <v>93</v>
      </c>
      <c r="BO53" s="68" t="s">
        <v>93</v>
      </c>
      <c r="BP53" s="69" t="s">
        <v>93</v>
      </c>
    </row>
    <row r="54" spans="2:68" x14ac:dyDescent="0.25">
      <c r="B54" s="64">
        <v>2</v>
      </c>
      <c r="C54" s="65">
        <v>7</v>
      </c>
      <c r="D54" s="65" t="s">
        <v>100</v>
      </c>
      <c r="E54" s="66">
        <f>'[3]Master File'!B53</f>
        <v>46067</v>
      </c>
      <c r="F54" s="67" t="str">
        <f>'[3]Master File'!C53</f>
        <v>Zoo</v>
      </c>
      <c r="G54" s="46"/>
      <c r="I54" s="70" t="s">
        <v>93</v>
      </c>
      <c r="J54" s="70" t="s">
        <v>93</v>
      </c>
      <c r="K54" s="70" t="s">
        <v>93</v>
      </c>
      <c r="L54" s="68" t="s">
        <v>94</v>
      </c>
      <c r="M54" s="70" t="s">
        <v>94</v>
      </c>
      <c r="N54" s="70" t="s">
        <v>94</v>
      </c>
      <c r="O54" s="70" t="s">
        <v>94</v>
      </c>
      <c r="P54" s="70" t="s">
        <v>94</v>
      </c>
      <c r="Q54" s="70" t="s">
        <v>93</v>
      </c>
      <c r="R54" s="70" t="s">
        <v>93</v>
      </c>
      <c r="S54" s="70" t="s">
        <v>93</v>
      </c>
      <c r="T54" s="70" t="s">
        <v>93</v>
      </c>
      <c r="U54" s="70" t="s">
        <v>93</v>
      </c>
      <c r="V54" s="70" t="s">
        <v>93</v>
      </c>
      <c r="W54" s="70" t="s">
        <v>93</v>
      </c>
      <c r="X54" s="70" t="s">
        <v>93</v>
      </c>
      <c r="Y54" s="70" t="s">
        <v>93</v>
      </c>
      <c r="Z54" s="68" t="s">
        <v>94</v>
      </c>
      <c r="AA54" s="70" t="s">
        <v>94</v>
      </c>
      <c r="AB54" s="70" t="s">
        <v>93</v>
      </c>
      <c r="AC54" s="70" t="s">
        <v>93</v>
      </c>
      <c r="AD54" s="70" t="s">
        <v>94</v>
      </c>
      <c r="AE54" s="70" t="s">
        <v>94</v>
      </c>
      <c r="AF54" s="70" t="s">
        <v>93</v>
      </c>
      <c r="AG54" s="70" t="s">
        <v>93</v>
      </c>
      <c r="AH54" s="70" t="s">
        <v>93</v>
      </c>
      <c r="AI54" s="70" t="s">
        <v>93</v>
      </c>
      <c r="AJ54" s="70" t="s">
        <v>93</v>
      </c>
      <c r="AK54" s="70" t="s">
        <v>93</v>
      </c>
      <c r="AL54" s="70" t="s">
        <v>93</v>
      </c>
      <c r="AM54" s="70" t="s">
        <v>93</v>
      </c>
      <c r="AN54" s="70" t="s">
        <v>93</v>
      </c>
      <c r="AO54" s="70" t="s">
        <v>93</v>
      </c>
      <c r="AP54" s="70" t="s">
        <v>93</v>
      </c>
      <c r="AQ54" s="70" t="s">
        <v>93</v>
      </c>
      <c r="AR54" s="70" t="s">
        <v>93</v>
      </c>
      <c r="AS54" s="70" t="s">
        <v>93</v>
      </c>
      <c r="AT54" s="70" t="s">
        <v>93</v>
      </c>
      <c r="AU54" s="70" t="s">
        <v>93</v>
      </c>
      <c r="AV54" s="70" t="s">
        <v>93</v>
      </c>
      <c r="AW54" s="70" t="s">
        <v>93</v>
      </c>
      <c r="AX54" s="70" t="s">
        <v>93</v>
      </c>
      <c r="AY54" s="70" t="s">
        <v>93</v>
      </c>
      <c r="AZ54" s="70" t="s">
        <v>93</v>
      </c>
      <c r="BA54" s="70" t="s">
        <v>93</v>
      </c>
      <c r="BB54" s="70" t="s">
        <v>93</v>
      </c>
      <c r="BC54" s="70" t="s">
        <v>93</v>
      </c>
      <c r="BD54" s="70" t="s">
        <v>93</v>
      </c>
      <c r="BE54" s="70" t="s">
        <v>93</v>
      </c>
      <c r="BF54" s="70" t="s">
        <v>93</v>
      </c>
      <c r="BG54" s="70" t="s">
        <v>93</v>
      </c>
      <c r="BH54" s="70" t="s">
        <v>93</v>
      </c>
      <c r="BI54" s="70" t="s">
        <v>93</v>
      </c>
      <c r="BJ54" s="70" t="s">
        <v>93</v>
      </c>
      <c r="BK54" s="70" t="s">
        <v>93</v>
      </c>
      <c r="BL54" s="70" t="s">
        <v>93</v>
      </c>
      <c r="BM54" s="70" t="s">
        <v>93</v>
      </c>
      <c r="BN54" s="70" t="s">
        <v>93</v>
      </c>
      <c r="BO54" s="70" t="s">
        <v>93</v>
      </c>
      <c r="BP54" s="71" t="s">
        <v>93</v>
      </c>
    </row>
    <row r="55" spans="2:68" x14ac:dyDescent="0.25">
      <c r="B55" s="64">
        <v>2</v>
      </c>
      <c r="C55" s="65">
        <v>8</v>
      </c>
      <c r="D55" s="65" t="s">
        <v>92</v>
      </c>
      <c r="E55" s="66">
        <f>'[3]Master File'!B54</f>
        <v>46068</v>
      </c>
      <c r="F55" s="67" t="str">
        <f>'[3]Master File'!C54</f>
        <v>Zoo</v>
      </c>
      <c r="G55" s="46"/>
      <c r="I55" s="70" t="s">
        <v>93</v>
      </c>
      <c r="J55" s="70" t="s">
        <v>93</v>
      </c>
      <c r="K55" s="70" t="s">
        <v>93</v>
      </c>
      <c r="L55" s="68" t="s">
        <v>94</v>
      </c>
      <c r="M55" s="70" t="s">
        <v>94</v>
      </c>
      <c r="N55" s="70" t="s">
        <v>94</v>
      </c>
      <c r="O55" s="70" t="s">
        <v>94</v>
      </c>
      <c r="P55" s="70" t="s">
        <v>94</v>
      </c>
      <c r="Q55" s="70" t="s">
        <v>93</v>
      </c>
      <c r="R55" s="70" t="s">
        <v>93</v>
      </c>
      <c r="S55" s="70" t="s">
        <v>93</v>
      </c>
      <c r="T55" s="70" t="s">
        <v>93</v>
      </c>
      <c r="U55" s="70" t="s">
        <v>93</v>
      </c>
      <c r="V55" s="70" t="s">
        <v>93</v>
      </c>
      <c r="W55" s="70" t="s">
        <v>93</v>
      </c>
      <c r="X55" s="70" t="s">
        <v>93</v>
      </c>
      <c r="Y55" s="70" t="s">
        <v>93</v>
      </c>
      <c r="Z55" s="68" t="s">
        <v>94</v>
      </c>
      <c r="AA55" s="70" t="s">
        <v>94</v>
      </c>
      <c r="AB55" s="70" t="s">
        <v>93</v>
      </c>
      <c r="AC55" s="70" t="s">
        <v>93</v>
      </c>
      <c r="AD55" s="70" t="s">
        <v>94</v>
      </c>
      <c r="AE55" s="70" t="s">
        <v>94</v>
      </c>
      <c r="AF55" s="70" t="s">
        <v>93</v>
      </c>
      <c r="AG55" s="70" t="s">
        <v>93</v>
      </c>
      <c r="AH55" s="70" t="s">
        <v>93</v>
      </c>
      <c r="AI55" s="70" t="s">
        <v>93</v>
      </c>
      <c r="AJ55" s="70" t="s">
        <v>93</v>
      </c>
      <c r="AK55" s="70" t="s">
        <v>93</v>
      </c>
      <c r="AL55" s="70" t="s">
        <v>93</v>
      </c>
      <c r="AM55" s="70" t="s">
        <v>93</v>
      </c>
      <c r="AN55" s="70" t="s">
        <v>93</v>
      </c>
      <c r="AO55" s="70" t="s">
        <v>93</v>
      </c>
      <c r="AP55" s="70" t="s">
        <v>93</v>
      </c>
      <c r="AQ55" s="70" t="s">
        <v>93</v>
      </c>
      <c r="AR55" s="70" t="s">
        <v>93</v>
      </c>
      <c r="AS55" s="70" t="s">
        <v>93</v>
      </c>
      <c r="AT55" s="70" t="s">
        <v>93</v>
      </c>
      <c r="AU55" s="70" t="s">
        <v>93</v>
      </c>
      <c r="AV55" s="70" t="s">
        <v>93</v>
      </c>
      <c r="AW55" s="70" t="s">
        <v>93</v>
      </c>
      <c r="AX55" s="70" t="s">
        <v>93</v>
      </c>
      <c r="AY55" s="70" t="s">
        <v>93</v>
      </c>
      <c r="AZ55" s="70" t="s">
        <v>93</v>
      </c>
      <c r="BA55" s="70" t="s">
        <v>93</v>
      </c>
      <c r="BB55" s="70" t="s">
        <v>93</v>
      </c>
      <c r="BC55" s="70" t="s">
        <v>93</v>
      </c>
      <c r="BD55" s="70" t="s">
        <v>93</v>
      </c>
      <c r="BE55" s="70" t="s">
        <v>93</v>
      </c>
      <c r="BF55" s="70" t="s">
        <v>93</v>
      </c>
      <c r="BG55" s="70" t="s">
        <v>93</v>
      </c>
      <c r="BH55" s="70" t="s">
        <v>93</v>
      </c>
      <c r="BI55" s="70" t="s">
        <v>93</v>
      </c>
      <c r="BJ55" s="70" t="s">
        <v>93</v>
      </c>
      <c r="BK55" s="70" t="s">
        <v>93</v>
      </c>
      <c r="BL55" s="70" t="s">
        <v>93</v>
      </c>
      <c r="BM55" s="70" t="s">
        <v>93</v>
      </c>
      <c r="BN55" s="70" t="s">
        <v>93</v>
      </c>
      <c r="BO55" s="70" t="s">
        <v>93</v>
      </c>
      <c r="BP55" s="71" t="s">
        <v>93</v>
      </c>
    </row>
    <row r="56" spans="2:68" x14ac:dyDescent="0.25">
      <c r="B56" s="64">
        <v>2</v>
      </c>
      <c r="C56" s="65">
        <v>8</v>
      </c>
      <c r="D56" s="65" t="s">
        <v>95</v>
      </c>
      <c r="E56" s="66">
        <f>'[3]Master File'!B55</f>
        <v>46069</v>
      </c>
      <c r="F56" s="67" t="str">
        <f>'[3]Master File'!C55</f>
        <v>Zoo</v>
      </c>
      <c r="G56" s="46"/>
      <c r="I56" s="68" t="s">
        <v>93</v>
      </c>
      <c r="J56" s="68" t="s">
        <v>93</v>
      </c>
      <c r="K56" s="68" t="s">
        <v>93</v>
      </c>
      <c r="L56" s="68" t="s">
        <v>94</v>
      </c>
      <c r="M56" s="68" t="s">
        <v>94</v>
      </c>
      <c r="N56" s="68" t="s">
        <v>94</v>
      </c>
      <c r="O56" s="68" t="s">
        <v>94</v>
      </c>
      <c r="P56" s="68" t="s">
        <v>94</v>
      </c>
      <c r="Q56" s="68" t="s">
        <v>93</v>
      </c>
      <c r="R56" s="68" t="s">
        <v>93</v>
      </c>
      <c r="S56" s="68" t="s">
        <v>93</v>
      </c>
      <c r="T56" s="68" t="s">
        <v>93</v>
      </c>
      <c r="U56" s="68" t="s">
        <v>93</v>
      </c>
      <c r="V56" s="68" t="s">
        <v>93</v>
      </c>
      <c r="W56" s="68" t="s">
        <v>93</v>
      </c>
      <c r="X56" s="68" t="s">
        <v>93</v>
      </c>
      <c r="Y56" s="68" t="s">
        <v>93</v>
      </c>
      <c r="Z56" s="68" t="s">
        <v>94</v>
      </c>
      <c r="AA56" s="68" t="s">
        <v>94</v>
      </c>
      <c r="AB56" s="68" t="s">
        <v>93</v>
      </c>
      <c r="AC56" s="68" t="s">
        <v>93</v>
      </c>
      <c r="AD56" s="68" t="s">
        <v>93</v>
      </c>
      <c r="AE56" s="68" t="s">
        <v>93</v>
      </c>
      <c r="AF56" s="68" t="s">
        <v>93</v>
      </c>
      <c r="AG56" s="68" t="s">
        <v>93</v>
      </c>
      <c r="AH56" s="68" t="s">
        <v>93</v>
      </c>
      <c r="AI56" s="68" t="s">
        <v>93</v>
      </c>
      <c r="AJ56" s="68" t="s">
        <v>93</v>
      </c>
      <c r="AK56" s="68" t="s">
        <v>93</v>
      </c>
      <c r="AL56" s="68" t="s">
        <v>93</v>
      </c>
      <c r="AM56" s="68" t="s">
        <v>93</v>
      </c>
      <c r="AN56" s="68" t="s">
        <v>93</v>
      </c>
      <c r="AO56" s="68" t="s">
        <v>93</v>
      </c>
      <c r="AP56" s="68" t="s">
        <v>93</v>
      </c>
      <c r="AQ56" s="68" t="s">
        <v>93</v>
      </c>
      <c r="AR56" s="68" t="s">
        <v>93</v>
      </c>
      <c r="AS56" s="68" t="s">
        <v>93</v>
      </c>
      <c r="AT56" s="68" t="s">
        <v>93</v>
      </c>
      <c r="AU56" s="68" t="s">
        <v>93</v>
      </c>
      <c r="AV56" s="68" t="s">
        <v>93</v>
      </c>
      <c r="AW56" s="68" t="s">
        <v>93</v>
      </c>
      <c r="AX56" s="68" t="s">
        <v>93</v>
      </c>
      <c r="AY56" s="68" t="s">
        <v>93</v>
      </c>
      <c r="AZ56" s="68" t="s">
        <v>93</v>
      </c>
      <c r="BA56" s="68" t="s">
        <v>93</v>
      </c>
      <c r="BB56" s="68" t="s">
        <v>93</v>
      </c>
      <c r="BC56" s="68" t="s">
        <v>93</v>
      </c>
      <c r="BD56" s="68" t="s">
        <v>93</v>
      </c>
      <c r="BE56" s="68" t="s">
        <v>93</v>
      </c>
      <c r="BF56" s="68" t="s">
        <v>93</v>
      </c>
      <c r="BG56" s="68" t="s">
        <v>93</v>
      </c>
      <c r="BH56" s="68" t="s">
        <v>93</v>
      </c>
      <c r="BI56" s="68" t="s">
        <v>93</v>
      </c>
      <c r="BJ56" s="68" t="s">
        <v>93</v>
      </c>
      <c r="BK56" s="68" t="s">
        <v>93</v>
      </c>
      <c r="BL56" s="68" t="s">
        <v>93</v>
      </c>
      <c r="BM56" s="68" t="s">
        <v>93</v>
      </c>
      <c r="BN56" s="68" t="s">
        <v>93</v>
      </c>
      <c r="BO56" s="68" t="s">
        <v>93</v>
      </c>
      <c r="BP56" s="69" t="s">
        <v>93</v>
      </c>
    </row>
    <row r="57" spans="2:68" x14ac:dyDescent="0.25">
      <c r="B57" s="64">
        <v>2</v>
      </c>
      <c r="C57" s="65">
        <v>8</v>
      </c>
      <c r="D57" s="65" t="s">
        <v>96</v>
      </c>
      <c r="E57" s="66">
        <f>'[3]Master File'!B56</f>
        <v>46070</v>
      </c>
      <c r="F57" s="67" t="str">
        <f>'[3]Master File'!C56</f>
        <v>Zoo</v>
      </c>
      <c r="G57" s="46"/>
      <c r="I57" s="68" t="s">
        <v>93</v>
      </c>
      <c r="J57" s="68" t="s">
        <v>93</v>
      </c>
      <c r="K57" s="68" t="s">
        <v>93</v>
      </c>
      <c r="L57" s="68" t="s">
        <v>94</v>
      </c>
      <c r="M57" s="68" t="s">
        <v>94</v>
      </c>
      <c r="N57" s="68" t="s">
        <v>94</v>
      </c>
      <c r="O57" s="68" t="s">
        <v>94</v>
      </c>
      <c r="P57" s="68" t="s">
        <v>94</v>
      </c>
      <c r="Q57" s="68" t="s">
        <v>93</v>
      </c>
      <c r="R57" s="68" t="s">
        <v>93</v>
      </c>
      <c r="S57" s="68" t="s">
        <v>93</v>
      </c>
      <c r="T57" s="68" t="s">
        <v>93</v>
      </c>
      <c r="U57" s="68" t="s">
        <v>93</v>
      </c>
      <c r="V57" s="68" t="s">
        <v>93</v>
      </c>
      <c r="W57" s="68" t="s">
        <v>93</v>
      </c>
      <c r="X57" s="68" t="s">
        <v>93</v>
      </c>
      <c r="Y57" s="68" t="s">
        <v>93</v>
      </c>
      <c r="Z57" s="68" t="s">
        <v>94</v>
      </c>
      <c r="AA57" s="68" t="s">
        <v>94</v>
      </c>
      <c r="AB57" s="68" t="s">
        <v>93</v>
      </c>
      <c r="AC57" s="68" t="s">
        <v>93</v>
      </c>
      <c r="AD57" s="68" t="s">
        <v>93</v>
      </c>
      <c r="AE57" s="68" t="s">
        <v>93</v>
      </c>
      <c r="AF57" s="68" t="s">
        <v>93</v>
      </c>
      <c r="AG57" s="68" t="s">
        <v>93</v>
      </c>
      <c r="AH57" s="68" t="s">
        <v>93</v>
      </c>
      <c r="AI57" s="68" t="s">
        <v>93</v>
      </c>
      <c r="AJ57" s="68" t="s">
        <v>93</v>
      </c>
      <c r="AK57" s="68" t="s">
        <v>93</v>
      </c>
      <c r="AL57" s="68" t="s">
        <v>93</v>
      </c>
      <c r="AM57" s="68" t="s">
        <v>93</v>
      </c>
      <c r="AN57" s="68" t="s">
        <v>93</v>
      </c>
      <c r="AO57" s="68" t="s">
        <v>93</v>
      </c>
      <c r="AP57" s="68" t="s">
        <v>93</v>
      </c>
      <c r="AQ57" s="68" t="s">
        <v>93</v>
      </c>
      <c r="AR57" s="68" t="s">
        <v>93</v>
      </c>
      <c r="AS57" s="68" t="s">
        <v>93</v>
      </c>
      <c r="AT57" s="68" t="s">
        <v>93</v>
      </c>
      <c r="AU57" s="68" t="s">
        <v>93</v>
      </c>
      <c r="AV57" s="68" t="s">
        <v>93</v>
      </c>
      <c r="AW57" s="68" t="s">
        <v>93</v>
      </c>
      <c r="AX57" s="68" t="s">
        <v>93</v>
      </c>
      <c r="AY57" s="68" t="s">
        <v>93</v>
      </c>
      <c r="AZ57" s="68" t="s">
        <v>93</v>
      </c>
      <c r="BA57" s="68" t="s">
        <v>93</v>
      </c>
      <c r="BB57" s="68" t="s">
        <v>93</v>
      </c>
      <c r="BC57" s="68" t="s">
        <v>93</v>
      </c>
      <c r="BD57" s="68" t="s">
        <v>93</v>
      </c>
      <c r="BE57" s="68" t="s">
        <v>93</v>
      </c>
      <c r="BF57" s="68" t="s">
        <v>93</v>
      </c>
      <c r="BG57" s="68" t="s">
        <v>93</v>
      </c>
      <c r="BH57" s="68" t="s">
        <v>93</v>
      </c>
      <c r="BI57" s="68" t="s">
        <v>93</v>
      </c>
      <c r="BJ57" s="68" t="s">
        <v>93</v>
      </c>
      <c r="BK57" s="68" t="s">
        <v>93</v>
      </c>
      <c r="BL57" s="68" t="s">
        <v>93</v>
      </c>
      <c r="BM57" s="68" t="s">
        <v>93</v>
      </c>
      <c r="BN57" s="68" t="s">
        <v>93</v>
      </c>
      <c r="BO57" s="68" t="s">
        <v>93</v>
      </c>
      <c r="BP57" s="69" t="s">
        <v>93</v>
      </c>
    </row>
    <row r="58" spans="2:68" x14ac:dyDescent="0.25">
      <c r="B58" s="64">
        <v>2</v>
      </c>
      <c r="C58" s="65">
        <v>8</v>
      </c>
      <c r="D58" s="65" t="s">
        <v>97</v>
      </c>
      <c r="E58" s="66">
        <f>'[3]Master File'!B57</f>
        <v>46071</v>
      </c>
      <c r="F58" s="67" t="str">
        <f>'[3]Master File'!C57</f>
        <v>Zoo</v>
      </c>
      <c r="G58" s="46"/>
      <c r="I58" s="68" t="s">
        <v>93</v>
      </c>
      <c r="J58" s="68" t="s">
        <v>93</v>
      </c>
      <c r="K58" s="68" t="s">
        <v>93</v>
      </c>
      <c r="L58" s="68" t="s">
        <v>94</v>
      </c>
      <c r="M58" s="68" t="s">
        <v>94</v>
      </c>
      <c r="N58" s="68" t="s">
        <v>94</v>
      </c>
      <c r="O58" s="68" t="s">
        <v>94</v>
      </c>
      <c r="P58" s="68" t="s">
        <v>94</v>
      </c>
      <c r="Q58" s="68" t="s">
        <v>93</v>
      </c>
      <c r="R58" s="68" t="s">
        <v>93</v>
      </c>
      <c r="S58" s="68" t="s">
        <v>93</v>
      </c>
      <c r="T58" s="68" t="s">
        <v>93</v>
      </c>
      <c r="U58" s="68" t="s">
        <v>93</v>
      </c>
      <c r="V58" s="68" t="s">
        <v>93</v>
      </c>
      <c r="W58" s="68" t="s">
        <v>93</v>
      </c>
      <c r="X58" s="68" t="s">
        <v>93</v>
      </c>
      <c r="Y58" s="68" t="s">
        <v>93</v>
      </c>
      <c r="Z58" s="68" t="s">
        <v>94</v>
      </c>
      <c r="AA58" s="68" t="s">
        <v>94</v>
      </c>
      <c r="AB58" s="68" t="s">
        <v>93</v>
      </c>
      <c r="AC58" s="68" t="s">
        <v>93</v>
      </c>
      <c r="AD58" s="68" t="s">
        <v>93</v>
      </c>
      <c r="AE58" s="68" t="s">
        <v>93</v>
      </c>
      <c r="AF58" s="68" t="s">
        <v>93</v>
      </c>
      <c r="AG58" s="68" t="s">
        <v>93</v>
      </c>
      <c r="AH58" s="68" t="s">
        <v>93</v>
      </c>
      <c r="AI58" s="68" t="s">
        <v>93</v>
      </c>
      <c r="AJ58" s="68" t="s">
        <v>93</v>
      </c>
      <c r="AK58" s="68" t="s">
        <v>93</v>
      </c>
      <c r="AL58" s="68" t="s">
        <v>93</v>
      </c>
      <c r="AM58" s="68" t="s">
        <v>93</v>
      </c>
      <c r="AN58" s="68" t="s">
        <v>93</v>
      </c>
      <c r="AO58" s="68" t="s">
        <v>93</v>
      </c>
      <c r="AP58" s="68" t="s">
        <v>93</v>
      </c>
      <c r="AQ58" s="68" t="s">
        <v>93</v>
      </c>
      <c r="AR58" s="68" t="s">
        <v>93</v>
      </c>
      <c r="AS58" s="68" t="s">
        <v>93</v>
      </c>
      <c r="AT58" s="68" t="s">
        <v>93</v>
      </c>
      <c r="AU58" s="68" t="s">
        <v>93</v>
      </c>
      <c r="AV58" s="68" t="s">
        <v>93</v>
      </c>
      <c r="AW58" s="68" t="s">
        <v>93</v>
      </c>
      <c r="AX58" s="68" t="s">
        <v>93</v>
      </c>
      <c r="AY58" s="68" t="s">
        <v>93</v>
      </c>
      <c r="AZ58" s="68" t="s">
        <v>93</v>
      </c>
      <c r="BA58" s="68" t="s">
        <v>93</v>
      </c>
      <c r="BB58" s="68" t="s">
        <v>93</v>
      </c>
      <c r="BC58" s="68" t="s">
        <v>93</v>
      </c>
      <c r="BD58" s="68" t="s">
        <v>93</v>
      </c>
      <c r="BE58" s="68" t="s">
        <v>93</v>
      </c>
      <c r="BF58" s="68" t="s">
        <v>93</v>
      </c>
      <c r="BG58" s="68" t="s">
        <v>93</v>
      </c>
      <c r="BH58" s="68" t="s">
        <v>93</v>
      </c>
      <c r="BI58" s="68" t="s">
        <v>93</v>
      </c>
      <c r="BJ58" s="68" t="s">
        <v>93</v>
      </c>
      <c r="BK58" s="68" t="s">
        <v>93</v>
      </c>
      <c r="BL58" s="68" t="s">
        <v>93</v>
      </c>
      <c r="BM58" s="68" t="s">
        <v>93</v>
      </c>
      <c r="BN58" s="68" t="s">
        <v>93</v>
      </c>
      <c r="BO58" s="68" t="s">
        <v>93</v>
      </c>
      <c r="BP58" s="69" t="s">
        <v>93</v>
      </c>
    </row>
    <row r="59" spans="2:68" x14ac:dyDescent="0.25">
      <c r="B59" s="64">
        <v>2</v>
      </c>
      <c r="C59" s="65">
        <v>8</v>
      </c>
      <c r="D59" s="65" t="s">
        <v>98</v>
      </c>
      <c r="E59" s="66">
        <f>'[3]Master File'!B58</f>
        <v>46072</v>
      </c>
      <c r="F59" s="67" t="str">
        <f>'[3]Master File'!C58</f>
        <v>Zoo</v>
      </c>
      <c r="G59" s="46"/>
      <c r="I59" s="68" t="s">
        <v>93</v>
      </c>
      <c r="J59" s="68" t="s">
        <v>93</v>
      </c>
      <c r="K59" s="68" t="s">
        <v>93</v>
      </c>
      <c r="L59" s="68" t="s">
        <v>94</v>
      </c>
      <c r="M59" s="68" t="s">
        <v>94</v>
      </c>
      <c r="N59" s="68" t="s">
        <v>94</v>
      </c>
      <c r="O59" s="68" t="s">
        <v>94</v>
      </c>
      <c r="P59" s="68" t="s">
        <v>94</v>
      </c>
      <c r="Q59" s="68" t="s">
        <v>93</v>
      </c>
      <c r="R59" s="68" t="s">
        <v>93</v>
      </c>
      <c r="S59" s="68" t="s">
        <v>93</v>
      </c>
      <c r="T59" s="68" t="s">
        <v>93</v>
      </c>
      <c r="U59" s="68" t="s">
        <v>93</v>
      </c>
      <c r="V59" s="68" t="s">
        <v>93</v>
      </c>
      <c r="W59" s="68" t="s">
        <v>93</v>
      </c>
      <c r="X59" s="68" t="s">
        <v>93</v>
      </c>
      <c r="Y59" s="68" t="s">
        <v>93</v>
      </c>
      <c r="Z59" s="68" t="s">
        <v>94</v>
      </c>
      <c r="AA59" s="68" t="s">
        <v>94</v>
      </c>
      <c r="AB59" s="68" t="s">
        <v>93</v>
      </c>
      <c r="AC59" s="68" t="s">
        <v>93</v>
      </c>
      <c r="AD59" s="68" t="s">
        <v>93</v>
      </c>
      <c r="AE59" s="68" t="s">
        <v>93</v>
      </c>
      <c r="AF59" s="68" t="s">
        <v>93</v>
      </c>
      <c r="AG59" s="68" t="s">
        <v>93</v>
      </c>
      <c r="AH59" s="68" t="s">
        <v>93</v>
      </c>
      <c r="AI59" s="68" t="s">
        <v>93</v>
      </c>
      <c r="AJ59" s="68" t="s">
        <v>93</v>
      </c>
      <c r="AK59" s="68" t="s">
        <v>93</v>
      </c>
      <c r="AL59" s="68" t="s">
        <v>93</v>
      </c>
      <c r="AM59" s="68" t="s">
        <v>93</v>
      </c>
      <c r="AN59" s="68" t="s">
        <v>93</v>
      </c>
      <c r="AO59" s="68" t="s">
        <v>93</v>
      </c>
      <c r="AP59" s="68" t="s">
        <v>93</v>
      </c>
      <c r="AQ59" s="68" t="s">
        <v>93</v>
      </c>
      <c r="AR59" s="68" t="s">
        <v>93</v>
      </c>
      <c r="AS59" s="68" t="s">
        <v>93</v>
      </c>
      <c r="AT59" s="68" t="s">
        <v>93</v>
      </c>
      <c r="AU59" s="68" t="s">
        <v>93</v>
      </c>
      <c r="AV59" s="68" t="s">
        <v>93</v>
      </c>
      <c r="AW59" s="68" t="s">
        <v>93</v>
      </c>
      <c r="AX59" s="68" t="s">
        <v>93</v>
      </c>
      <c r="AY59" s="68" t="s">
        <v>93</v>
      </c>
      <c r="AZ59" s="68" t="s">
        <v>93</v>
      </c>
      <c r="BA59" s="68" t="s">
        <v>93</v>
      </c>
      <c r="BB59" s="68" t="s">
        <v>93</v>
      </c>
      <c r="BC59" s="68" t="s">
        <v>93</v>
      </c>
      <c r="BD59" s="68" t="s">
        <v>93</v>
      </c>
      <c r="BE59" s="68" t="s">
        <v>93</v>
      </c>
      <c r="BF59" s="68" t="s">
        <v>93</v>
      </c>
      <c r="BG59" s="68" t="s">
        <v>93</v>
      </c>
      <c r="BH59" s="68" t="s">
        <v>93</v>
      </c>
      <c r="BI59" s="68" t="s">
        <v>93</v>
      </c>
      <c r="BJ59" s="68" t="s">
        <v>93</v>
      </c>
      <c r="BK59" s="68" t="s">
        <v>93</v>
      </c>
      <c r="BL59" s="68" t="s">
        <v>93</v>
      </c>
      <c r="BM59" s="68" t="s">
        <v>93</v>
      </c>
      <c r="BN59" s="68" t="s">
        <v>93</v>
      </c>
      <c r="BO59" s="68" t="s">
        <v>93</v>
      </c>
      <c r="BP59" s="69" t="s">
        <v>93</v>
      </c>
    </row>
    <row r="60" spans="2:68" x14ac:dyDescent="0.25">
      <c r="B60" s="64">
        <v>2</v>
      </c>
      <c r="C60" s="65">
        <v>8</v>
      </c>
      <c r="D60" s="65" t="s">
        <v>99</v>
      </c>
      <c r="E60" s="66">
        <f>'[3]Master File'!B59</f>
        <v>46073</v>
      </c>
      <c r="F60" s="67" t="str">
        <f>'[3]Master File'!C59</f>
        <v>Zoo</v>
      </c>
      <c r="G60" s="46"/>
      <c r="I60" s="68" t="s">
        <v>93</v>
      </c>
      <c r="J60" s="68" t="s">
        <v>93</v>
      </c>
      <c r="K60" s="68" t="s">
        <v>93</v>
      </c>
      <c r="L60" s="68" t="s">
        <v>94</v>
      </c>
      <c r="M60" s="68" t="s">
        <v>94</v>
      </c>
      <c r="N60" s="68" t="s">
        <v>94</v>
      </c>
      <c r="O60" s="68" t="s">
        <v>94</v>
      </c>
      <c r="P60" s="68" t="s">
        <v>94</v>
      </c>
      <c r="Q60" s="68" t="s">
        <v>93</v>
      </c>
      <c r="R60" s="68" t="s">
        <v>93</v>
      </c>
      <c r="S60" s="68" t="s">
        <v>93</v>
      </c>
      <c r="T60" s="68" t="s">
        <v>93</v>
      </c>
      <c r="U60" s="68" t="s">
        <v>93</v>
      </c>
      <c r="V60" s="68" t="s">
        <v>93</v>
      </c>
      <c r="W60" s="68" t="s">
        <v>93</v>
      </c>
      <c r="X60" s="68" t="s">
        <v>93</v>
      </c>
      <c r="Y60" s="68" t="s">
        <v>93</v>
      </c>
      <c r="Z60" s="68" t="s">
        <v>94</v>
      </c>
      <c r="AA60" s="68" t="s">
        <v>94</v>
      </c>
      <c r="AB60" s="68" t="s">
        <v>93</v>
      </c>
      <c r="AC60" s="68" t="s">
        <v>93</v>
      </c>
      <c r="AD60" s="68" t="s">
        <v>93</v>
      </c>
      <c r="AE60" s="68" t="s">
        <v>93</v>
      </c>
      <c r="AF60" s="68" t="s">
        <v>93</v>
      </c>
      <c r="AG60" s="68" t="s">
        <v>93</v>
      </c>
      <c r="AH60" s="68" t="s">
        <v>93</v>
      </c>
      <c r="AI60" s="68" t="s">
        <v>93</v>
      </c>
      <c r="AJ60" s="68" t="s">
        <v>93</v>
      </c>
      <c r="AK60" s="68" t="s">
        <v>93</v>
      </c>
      <c r="AL60" s="68" t="s">
        <v>93</v>
      </c>
      <c r="AM60" s="68" t="s">
        <v>93</v>
      </c>
      <c r="AN60" s="68" t="s">
        <v>93</v>
      </c>
      <c r="AO60" s="68" t="s">
        <v>93</v>
      </c>
      <c r="AP60" s="68" t="s">
        <v>93</v>
      </c>
      <c r="AQ60" s="68" t="s">
        <v>93</v>
      </c>
      <c r="AR60" s="68" t="s">
        <v>93</v>
      </c>
      <c r="AS60" s="68" t="s">
        <v>93</v>
      </c>
      <c r="AT60" s="68" t="s">
        <v>93</v>
      </c>
      <c r="AU60" s="68" t="s">
        <v>93</v>
      </c>
      <c r="AV60" s="68" t="s">
        <v>93</v>
      </c>
      <c r="AW60" s="68" t="s">
        <v>93</v>
      </c>
      <c r="AX60" s="68" t="s">
        <v>93</v>
      </c>
      <c r="AY60" s="68" t="s">
        <v>93</v>
      </c>
      <c r="AZ60" s="68" t="s">
        <v>93</v>
      </c>
      <c r="BA60" s="68" t="s">
        <v>93</v>
      </c>
      <c r="BB60" s="68" t="s">
        <v>93</v>
      </c>
      <c r="BC60" s="68" t="s">
        <v>93</v>
      </c>
      <c r="BD60" s="68" t="s">
        <v>93</v>
      </c>
      <c r="BE60" s="68" t="s">
        <v>93</v>
      </c>
      <c r="BF60" s="68" t="s">
        <v>93</v>
      </c>
      <c r="BG60" s="68" t="s">
        <v>93</v>
      </c>
      <c r="BH60" s="68" t="s">
        <v>93</v>
      </c>
      <c r="BI60" s="68" t="s">
        <v>93</v>
      </c>
      <c r="BJ60" s="68" t="s">
        <v>93</v>
      </c>
      <c r="BK60" s="68" t="s">
        <v>93</v>
      </c>
      <c r="BL60" s="68" t="s">
        <v>93</v>
      </c>
      <c r="BM60" s="68" t="s">
        <v>93</v>
      </c>
      <c r="BN60" s="68" t="s">
        <v>93</v>
      </c>
      <c r="BO60" s="68" t="s">
        <v>93</v>
      </c>
      <c r="BP60" s="69" t="s">
        <v>93</v>
      </c>
    </row>
    <row r="61" spans="2:68" x14ac:dyDescent="0.25">
      <c r="B61" s="64">
        <v>2</v>
      </c>
      <c r="C61" s="65">
        <v>8</v>
      </c>
      <c r="D61" s="65" t="s">
        <v>100</v>
      </c>
      <c r="E61" s="66">
        <f>'[3]Master File'!B60</f>
        <v>46074</v>
      </c>
      <c r="F61" s="67" t="str">
        <f>'[3]Master File'!C60</f>
        <v>Zoo</v>
      </c>
      <c r="G61" s="46"/>
      <c r="I61" s="70" t="s">
        <v>93</v>
      </c>
      <c r="J61" s="70" t="s">
        <v>93</v>
      </c>
      <c r="K61" s="70" t="s">
        <v>93</v>
      </c>
      <c r="L61" s="68" t="s">
        <v>94</v>
      </c>
      <c r="M61" s="70" t="s">
        <v>94</v>
      </c>
      <c r="N61" s="70" t="s">
        <v>94</v>
      </c>
      <c r="O61" s="70" t="s">
        <v>94</v>
      </c>
      <c r="P61" s="70" t="s">
        <v>94</v>
      </c>
      <c r="Q61" s="70" t="s">
        <v>93</v>
      </c>
      <c r="R61" s="70" t="s">
        <v>93</v>
      </c>
      <c r="S61" s="70" t="s">
        <v>93</v>
      </c>
      <c r="T61" s="70" t="s">
        <v>93</v>
      </c>
      <c r="U61" s="70" t="s">
        <v>93</v>
      </c>
      <c r="V61" s="70" t="s">
        <v>93</v>
      </c>
      <c r="W61" s="70" t="s">
        <v>93</v>
      </c>
      <c r="X61" s="70" t="s">
        <v>93</v>
      </c>
      <c r="Y61" s="70" t="s">
        <v>93</v>
      </c>
      <c r="Z61" s="68" t="s">
        <v>94</v>
      </c>
      <c r="AA61" s="70" t="s">
        <v>94</v>
      </c>
      <c r="AB61" s="70" t="s">
        <v>93</v>
      </c>
      <c r="AC61" s="70" t="s">
        <v>93</v>
      </c>
      <c r="AD61" s="70" t="s">
        <v>94</v>
      </c>
      <c r="AE61" s="70" t="s">
        <v>94</v>
      </c>
      <c r="AF61" s="70" t="s">
        <v>93</v>
      </c>
      <c r="AG61" s="70" t="s">
        <v>93</v>
      </c>
      <c r="AH61" s="70" t="s">
        <v>93</v>
      </c>
      <c r="AI61" s="70" t="s">
        <v>93</v>
      </c>
      <c r="AJ61" s="70" t="s">
        <v>93</v>
      </c>
      <c r="AK61" s="70" t="s">
        <v>93</v>
      </c>
      <c r="AL61" s="70" t="s">
        <v>93</v>
      </c>
      <c r="AM61" s="70" t="s">
        <v>93</v>
      </c>
      <c r="AN61" s="70" t="s">
        <v>93</v>
      </c>
      <c r="AO61" s="70" t="s">
        <v>93</v>
      </c>
      <c r="AP61" s="70" t="s">
        <v>93</v>
      </c>
      <c r="AQ61" s="70" t="s">
        <v>93</v>
      </c>
      <c r="AR61" s="70" t="s">
        <v>93</v>
      </c>
      <c r="AS61" s="70" t="s">
        <v>93</v>
      </c>
      <c r="AT61" s="70" t="s">
        <v>93</v>
      </c>
      <c r="AU61" s="70" t="s">
        <v>93</v>
      </c>
      <c r="AV61" s="70" t="s">
        <v>93</v>
      </c>
      <c r="AW61" s="70" t="s">
        <v>93</v>
      </c>
      <c r="AX61" s="70" t="s">
        <v>93</v>
      </c>
      <c r="AY61" s="70" t="s">
        <v>93</v>
      </c>
      <c r="AZ61" s="70" t="s">
        <v>93</v>
      </c>
      <c r="BA61" s="70" t="s">
        <v>93</v>
      </c>
      <c r="BB61" s="70" t="s">
        <v>93</v>
      </c>
      <c r="BC61" s="70" t="s">
        <v>93</v>
      </c>
      <c r="BD61" s="70" t="s">
        <v>93</v>
      </c>
      <c r="BE61" s="70" t="s">
        <v>93</v>
      </c>
      <c r="BF61" s="70" t="s">
        <v>93</v>
      </c>
      <c r="BG61" s="70" t="s">
        <v>93</v>
      </c>
      <c r="BH61" s="70" t="s">
        <v>93</v>
      </c>
      <c r="BI61" s="70" t="s">
        <v>93</v>
      </c>
      <c r="BJ61" s="70" t="s">
        <v>93</v>
      </c>
      <c r="BK61" s="70" t="s">
        <v>93</v>
      </c>
      <c r="BL61" s="70" t="s">
        <v>93</v>
      </c>
      <c r="BM61" s="70" t="s">
        <v>93</v>
      </c>
      <c r="BN61" s="70" t="s">
        <v>93</v>
      </c>
      <c r="BO61" s="70" t="s">
        <v>93</v>
      </c>
      <c r="BP61" s="71" t="s">
        <v>93</v>
      </c>
    </row>
    <row r="62" spans="2:68" x14ac:dyDescent="0.25">
      <c r="B62" s="64">
        <v>2</v>
      </c>
      <c r="C62" s="65">
        <v>9</v>
      </c>
      <c r="D62" s="65" t="s">
        <v>92</v>
      </c>
      <c r="E62" s="66">
        <f>'[3]Master File'!B61</f>
        <v>46075</v>
      </c>
      <c r="F62" s="67" t="str">
        <f>'[3]Master File'!C61</f>
        <v>Zoo</v>
      </c>
      <c r="G62" s="46"/>
      <c r="I62" s="70" t="s">
        <v>93</v>
      </c>
      <c r="J62" s="70" t="s">
        <v>93</v>
      </c>
      <c r="K62" s="70" t="s">
        <v>93</v>
      </c>
      <c r="L62" s="68" t="s">
        <v>94</v>
      </c>
      <c r="M62" s="70" t="s">
        <v>94</v>
      </c>
      <c r="N62" s="70" t="s">
        <v>94</v>
      </c>
      <c r="O62" s="70" t="s">
        <v>94</v>
      </c>
      <c r="P62" s="70" t="s">
        <v>94</v>
      </c>
      <c r="Q62" s="70" t="s">
        <v>93</v>
      </c>
      <c r="R62" s="70" t="s">
        <v>93</v>
      </c>
      <c r="S62" s="70" t="s">
        <v>93</v>
      </c>
      <c r="T62" s="70" t="s">
        <v>93</v>
      </c>
      <c r="U62" s="70" t="s">
        <v>93</v>
      </c>
      <c r="V62" s="70" t="s">
        <v>93</v>
      </c>
      <c r="W62" s="70" t="s">
        <v>93</v>
      </c>
      <c r="X62" s="70" t="s">
        <v>93</v>
      </c>
      <c r="Y62" s="70" t="s">
        <v>93</v>
      </c>
      <c r="Z62" s="68" t="s">
        <v>94</v>
      </c>
      <c r="AA62" s="70" t="s">
        <v>94</v>
      </c>
      <c r="AB62" s="70" t="s">
        <v>93</v>
      </c>
      <c r="AC62" s="70" t="s">
        <v>93</v>
      </c>
      <c r="AD62" s="70" t="s">
        <v>94</v>
      </c>
      <c r="AE62" s="70" t="s">
        <v>94</v>
      </c>
      <c r="AF62" s="70" t="s">
        <v>93</v>
      </c>
      <c r="AG62" s="70" t="s">
        <v>93</v>
      </c>
      <c r="AH62" s="70" t="s">
        <v>93</v>
      </c>
      <c r="AI62" s="70" t="s">
        <v>93</v>
      </c>
      <c r="AJ62" s="70" t="s">
        <v>93</v>
      </c>
      <c r="AK62" s="70" t="s">
        <v>93</v>
      </c>
      <c r="AL62" s="70" t="s">
        <v>93</v>
      </c>
      <c r="AM62" s="70" t="s">
        <v>93</v>
      </c>
      <c r="AN62" s="70" t="s">
        <v>93</v>
      </c>
      <c r="AO62" s="70" t="s">
        <v>93</v>
      </c>
      <c r="AP62" s="70" t="s">
        <v>93</v>
      </c>
      <c r="AQ62" s="70" t="s">
        <v>93</v>
      </c>
      <c r="AR62" s="70" t="s">
        <v>93</v>
      </c>
      <c r="AS62" s="70" t="s">
        <v>93</v>
      </c>
      <c r="AT62" s="70" t="s">
        <v>93</v>
      </c>
      <c r="AU62" s="70" t="s">
        <v>93</v>
      </c>
      <c r="AV62" s="70" t="s">
        <v>93</v>
      </c>
      <c r="AW62" s="70" t="s">
        <v>93</v>
      </c>
      <c r="AX62" s="70" t="s">
        <v>93</v>
      </c>
      <c r="AY62" s="70" t="s">
        <v>93</v>
      </c>
      <c r="AZ62" s="70" t="s">
        <v>93</v>
      </c>
      <c r="BA62" s="70" t="s">
        <v>93</v>
      </c>
      <c r="BB62" s="70" t="s">
        <v>93</v>
      </c>
      <c r="BC62" s="70" t="s">
        <v>93</v>
      </c>
      <c r="BD62" s="70" t="s">
        <v>93</v>
      </c>
      <c r="BE62" s="70" t="s">
        <v>93</v>
      </c>
      <c r="BF62" s="70" t="s">
        <v>93</v>
      </c>
      <c r="BG62" s="70" t="s">
        <v>93</v>
      </c>
      <c r="BH62" s="70" t="s">
        <v>93</v>
      </c>
      <c r="BI62" s="70" t="s">
        <v>93</v>
      </c>
      <c r="BJ62" s="70" t="s">
        <v>93</v>
      </c>
      <c r="BK62" s="70" t="s">
        <v>93</v>
      </c>
      <c r="BL62" s="70" t="s">
        <v>93</v>
      </c>
      <c r="BM62" s="70" t="s">
        <v>93</v>
      </c>
      <c r="BN62" s="70" t="s">
        <v>93</v>
      </c>
      <c r="BO62" s="70" t="s">
        <v>93</v>
      </c>
      <c r="BP62" s="71" t="s">
        <v>93</v>
      </c>
    </row>
    <row r="63" spans="2:68" x14ac:dyDescent="0.25">
      <c r="B63" s="64">
        <v>2</v>
      </c>
      <c r="C63" s="65">
        <v>9</v>
      </c>
      <c r="D63" s="65" t="s">
        <v>95</v>
      </c>
      <c r="E63" s="66">
        <f>'[3]Master File'!B62</f>
        <v>46076</v>
      </c>
      <c r="F63" s="67" t="str">
        <f>'[3]Master File'!C62</f>
        <v>Closed</v>
      </c>
      <c r="G63" s="46"/>
      <c r="I63" s="68" t="s">
        <v>93</v>
      </c>
      <c r="J63" s="68" t="s">
        <v>93</v>
      </c>
      <c r="K63" s="68" t="s">
        <v>93</v>
      </c>
      <c r="L63" s="68" t="s">
        <v>94</v>
      </c>
      <c r="M63" s="68" t="s">
        <v>94</v>
      </c>
      <c r="N63" s="68" t="s">
        <v>94</v>
      </c>
      <c r="O63" s="68" t="s">
        <v>94</v>
      </c>
      <c r="P63" s="68" t="s">
        <v>94</v>
      </c>
      <c r="Q63" s="68" t="s">
        <v>93</v>
      </c>
      <c r="R63" s="68" t="s">
        <v>93</v>
      </c>
      <c r="S63" s="68" t="s">
        <v>93</v>
      </c>
      <c r="T63" s="68" t="s">
        <v>93</v>
      </c>
      <c r="U63" s="68" t="s">
        <v>93</v>
      </c>
      <c r="V63" s="68" t="s">
        <v>93</v>
      </c>
      <c r="W63" s="68" t="s">
        <v>93</v>
      </c>
      <c r="X63" s="68" t="s">
        <v>93</v>
      </c>
      <c r="Y63" s="68" t="s">
        <v>93</v>
      </c>
      <c r="Z63" s="68" t="s">
        <v>94</v>
      </c>
      <c r="AA63" s="68" t="s">
        <v>94</v>
      </c>
      <c r="AB63" s="68" t="s">
        <v>93</v>
      </c>
      <c r="AC63" s="68" t="s">
        <v>93</v>
      </c>
      <c r="AD63" s="68" t="s">
        <v>93</v>
      </c>
      <c r="AE63" s="68" t="s">
        <v>93</v>
      </c>
      <c r="AF63" s="68" t="s">
        <v>93</v>
      </c>
      <c r="AG63" s="68" t="s">
        <v>93</v>
      </c>
      <c r="AH63" s="68" t="s">
        <v>93</v>
      </c>
      <c r="AI63" s="68" t="s">
        <v>93</v>
      </c>
      <c r="AJ63" s="68" t="s">
        <v>93</v>
      </c>
      <c r="AK63" s="68" t="s">
        <v>93</v>
      </c>
      <c r="AL63" s="68" t="s">
        <v>93</v>
      </c>
      <c r="AM63" s="68" t="s">
        <v>93</v>
      </c>
      <c r="AN63" s="68" t="s">
        <v>93</v>
      </c>
      <c r="AO63" s="68" t="s">
        <v>93</v>
      </c>
      <c r="AP63" s="68" t="s">
        <v>93</v>
      </c>
      <c r="AQ63" s="68" t="s">
        <v>93</v>
      </c>
      <c r="AR63" s="68" t="s">
        <v>93</v>
      </c>
      <c r="AS63" s="68" t="s">
        <v>93</v>
      </c>
      <c r="AT63" s="68" t="s">
        <v>93</v>
      </c>
      <c r="AU63" s="68" t="s">
        <v>93</v>
      </c>
      <c r="AV63" s="68" t="s">
        <v>93</v>
      </c>
      <c r="AW63" s="68" t="s">
        <v>93</v>
      </c>
      <c r="AX63" s="68" t="s">
        <v>93</v>
      </c>
      <c r="AY63" s="68" t="s">
        <v>93</v>
      </c>
      <c r="AZ63" s="68" t="s">
        <v>93</v>
      </c>
      <c r="BA63" s="68" t="s">
        <v>93</v>
      </c>
      <c r="BB63" s="68" t="s">
        <v>93</v>
      </c>
      <c r="BC63" s="68" t="s">
        <v>93</v>
      </c>
      <c r="BD63" s="68" t="s">
        <v>93</v>
      </c>
      <c r="BE63" s="68" t="s">
        <v>93</v>
      </c>
      <c r="BF63" s="68" t="s">
        <v>93</v>
      </c>
      <c r="BG63" s="68" t="s">
        <v>93</v>
      </c>
      <c r="BH63" s="68" t="s">
        <v>93</v>
      </c>
      <c r="BI63" s="68" t="s">
        <v>93</v>
      </c>
      <c r="BJ63" s="68" t="s">
        <v>93</v>
      </c>
      <c r="BK63" s="68" t="s">
        <v>93</v>
      </c>
      <c r="BL63" s="68" t="s">
        <v>93</v>
      </c>
      <c r="BM63" s="68" t="s">
        <v>93</v>
      </c>
      <c r="BN63" s="68" t="s">
        <v>93</v>
      </c>
      <c r="BO63" s="68" t="s">
        <v>93</v>
      </c>
      <c r="BP63" s="69" t="s">
        <v>93</v>
      </c>
    </row>
    <row r="64" spans="2:68" x14ac:dyDescent="0.25">
      <c r="B64" s="64">
        <v>2</v>
      </c>
      <c r="C64" s="65">
        <v>9</v>
      </c>
      <c r="D64" s="65" t="s">
        <v>96</v>
      </c>
      <c r="E64" s="66">
        <f>'[3]Master File'!B63</f>
        <v>46077</v>
      </c>
      <c r="F64" s="67" t="str">
        <f>'[3]Master File'!C63</f>
        <v>Closed</v>
      </c>
      <c r="G64" s="46"/>
      <c r="I64" s="68" t="s">
        <v>93</v>
      </c>
      <c r="J64" s="68" t="s">
        <v>93</v>
      </c>
      <c r="K64" s="68" t="s">
        <v>93</v>
      </c>
      <c r="L64" s="68" t="s">
        <v>94</v>
      </c>
      <c r="M64" s="68" t="s">
        <v>94</v>
      </c>
      <c r="N64" s="68" t="s">
        <v>94</v>
      </c>
      <c r="O64" s="68" t="s">
        <v>94</v>
      </c>
      <c r="P64" s="68" t="s">
        <v>94</v>
      </c>
      <c r="Q64" s="68" t="s">
        <v>93</v>
      </c>
      <c r="R64" s="68" t="s">
        <v>93</v>
      </c>
      <c r="S64" s="68" t="s">
        <v>93</v>
      </c>
      <c r="T64" s="68" t="s">
        <v>93</v>
      </c>
      <c r="U64" s="68" t="s">
        <v>93</v>
      </c>
      <c r="V64" s="68" t="s">
        <v>93</v>
      </c>
      <c r="W64" s="68" t="s">
        <v>93</v>
      </c>
      <c r="X64" s="68" t="s">
        <v>93</v>
      </c>
      <c r="Y64" s="68" t="s">
        <v>93</v>
      </c>
      <c r="Z64" s="68" t="s">
        <v>94</v>
      </c>
      <c r="AA64" s="68" t="s">
        <v>94</v>
      </c>
      <c r="AB64" s="68" t="s">
        <v>93</v>
      </c>
      <c r="AC64" s="68" t="s">
        <v>93</v>
      </c>
      <c r="AD64" s="68" t="s">
        <v>93</v>
      </c>
      <c r="AE64" s="68" t="s">
        <v>93</v>
      </c>
      <c r="AF64" s="68" t="s">
        <v>93</v>
      </c>
      <c r="AG64" s="68" t="s">
        <v>93</v>
      </c>
      <c r="AH64" s="68" t="s">
        <v>93</v>
      </c>
      <c r="AI64" s="68" t="s">
        <v>93</v>
      </c>
      <c r="AJ64" s="68" t="s">
        <v>93</v>
      </c>
      <c r="AK64" s="68" t="s">
        <v>93</v>
      </c>
      <c r="AL64" s="68" t="s">
        <v>93</v>
      </c>
      <c r="AM64" s="68" t="s">
        <v>93</v>
      </c>
      <c r="AN64" s="68" t="s">
        <v>93</v>
      </c>
      <c r="AO64" s="68" t="s">
        <v>93</v>
      </c>
      <c r="AP64" s="68" t="s">
        <v>93</v>
      </c>
      <c r="AQ64" s="68" t="s">
        <v>93</v>
      </c>
      <c r="AR64" s="68" t="s">
        <v>93</v>
      </c>
      <c r="AS64" s="68" t="s">
        <v>93</v>
      </c>
      <c r="AT64" s="68" t="s">
        <v>93</v>
      </c>
      <c r="AU64" s="68" t="s">
        <v>93</v>
      </c>
      <c r="AV64" s="68" t="s">
        <v>93</v>
      </c>
      <c r="AW64" s="68" t="s">
        <v>93</v>
      </c>
      <c r="AX64" s="68" t="s">
        <v>93</v>
      </c>
      <c r="AY64" s="68" t="s">
        <v>93</v>
      </c>
      <c r="AZ64" s="68" t="s">
        <v>93</v>
      </c>
      <c r="BA64" s="68" t="s">
        <v>93</v>
      </c>
      <c r="BB64" s="68" t="s">
        <v>93</v>
      </c>
      <c r="BC64" s="68" t="s">
        <v>93</v>
      </c>
      <c r="BD64" s="68" t="s">
        <v>93</v>
      </c>
      <c r="BE64" s="68" t="s">
        <v>93</v>
      </c>
      <c r="BF64" s="68" t="s">
        <v>93</v>
      </c>
      <c r="BG64" s="68" t="s">
        <v>93</v>
      </c>
      <c r="BH64" s="68" t="s">
        <v>93</v>
      </c>
      <c r="BI64" s="68" t="s">
        <v>93</v>
      </c>
      <c r="BJ64" s="68" t="s">
        <v>93</v>
      </c>
      <c r="BK64" s="68" t="s">
        <v>93</v>
      </c>
      <c r="BL64" s="68" t="s">
        <v>93</v>
      </c>
      <c r="BM64" s="68" t="s">
        <v>93</v>
      </c>
      <c r="BN64" s="68" t="s">
        <v>93</v>
      </c>
      <c r="BO64" s="68" t="s">
        <v>93</v>
      </c>
      <c r="BP64" s="69" t="s">
        <v>93</v>
      </c>
    </row>
    <row r="65" spans="2:68" x14ac:dyDescent="0.25">
      <c r="B65" s="64">
        <v>2</v>
      </c>
      <c r="C65" s="65">
        <v>9</v>
      </c>
      <c r="D65" s="65" t="s">
        <v>97</v>
      </c>
      <c r="E65" s="66">
        <f>'[3]Master File'!B64</f>
        <v>46078</v>
      </c>
      <c r="F65" s="67" t="str">
        <f>'[3]Master File'!C64</f>
        <v>Closed</v>
      </c>
      <c r="G65" s="46"/>
      <c r="I65" s="68" t="s">
        <v>93</v>
      </c>
      <c r="J65" s="68" t="s">
        <v>93</v>
      </c>
      <c r="K65" s="68" t="s">
        <v>93</v>
      </c>
      <c r="L65" s="68" t="s">
        <v>94</v>
      </c>
      <c r="M65" s="68" t="s">
        <v>94</v>
      </c>
      <c r="N65" s="68" t="s">
        <v>94</v>
      </c>
      <c r="O65" s="68" t="s">
        <v>94</v>
      </c>
      <c r="P65" s="68" t="s">
        <v>94</v>
      </c>
      <c r="Q65" s="68" t="s">
        <v>93</v>
      </c>
      <c r="R65" s="68" t="s">
        <v>93</v>
      </c>
      <c r="S65" s="68" t="s">
        <v>93</v>
      </c>
      <c r="T65" s="68" t="s">
        <v>93</v>
      </c>
      <c r="U65" s="68" t="s">
        <v>93</v>
      </c>
      <c r="V65" s="68" t="s">
        <v>93</v>
      </c>
      <c r="W65" s="68" t="s">
        <v>93</v>
      </c>
      <c r="X65" s="68" t="s">
        <v>93</v>
      </c>
      <c r="Y65" s="68" t="s">
        <v>93</v>
      </c>
      <c r="Z65" s="68" t="s">
        <v>94</v>
      </c>
      <c r="AA65" s="68" t="s">
        <v>94</v>
      </c>
      <c r="AB65" s="68" t="s">
        <v>93</v>
      </c>
      <c r="AC65" s="68" t="s">
        <v>93</v>
      </c>
      <c r="AD65" s="68" t="s">
        <v>93</v>
      </c>
      <c r="AE65" s="68" t="s">
        <v>93</v>
      </c>
      <c r="AF65" s="68" t="s">
        <v>93</v>
      </c>
      <c r="AG65" s="68" t="s">
        <v>93</v>
      </c>
      <c r="AH65" s="68" t="s">
        <v>93</v>
      </c>
      <c r="AI65" s="68" t="s">
        <v>93</v>
      </c>
      <c r="AJ65" s="68" t="s">
        <v>93</v>
      </c>
      <c r="AK65" s="68" t="s">
        <v>93</v>
      </c>
      <c r="AL65" s="68" t="s">
        <v>93</v>
      </c>
      <c r="AM65" s="68" t="s">
        <v>93</v>
      </c>
      <c r="AN65" s="68" t="s">
        <v>93</v>
      </c>
      <c r="AO65" s="68" t="s">
        <v>93</v>
      </c>
      <c r="AP65" s="68" t="s">
        <v>93</v>
      </c>
      <c r="AQ65" s="68" t="s">
        <v>93</v>
      </c>
      <c r="AR65" s="68" t="s">
        <v>93</v>
      </c>
      <c r="AS65" s="68" t="s">
        <v>93</v>
      </c>
      <c r="AT65" s="68" t="s">
        <v>93</v>
      </c>
      <c r="AU65" s="68" t="s">
        <v>93</v>
      </c>
      <c r="AV65" s="68" t="s">
        <v>93</v>
      </c>
      <c r="AW65" s="68" t="s">
        <v>93</v>
      </c>
      <c r="AX65" s="68" t="s">
        <v>93</v>
      </c>
      <c r="AY65" s="68" t="s">
        <v>93</v>
      </c>
      <c r="AZ65" s="68" t="s">
        <v>93</v>
      </c>
      <c r="BA65" s="68" t="s">
        <v>93</v>
      </c>
      <c r="BB65" s="68" t="s">
        <v>93</v>
      </c>
      <c r="BC65" s="68" t="s">
        <v>93</v>
      </c>
      <c r="BD65" s="68" t="s">
        <v>93</v>
      </c>
      <c r="BE65" s="68" t="s">
        <v>93</v>
      </c>
      <c r="BF65" s="68" t="s">
        <v>93</v>
      </c>
      <c r="BG65" s="68" t="s">
        <v>93</v>
      </c>
      <c r="BH65" s="68" t="s">
        <v>93</v>
      </c>
      <c r="BI65" s="68" t="s">
        <v>93</v>
      </c>
      <c r="BJ65" s="68" t="s">
        <v>93</v>
      </c>
      <c r="BK65" s="68" t="s">
        <v>93</v>
      </c>
      <c r="BL65" s="68" t="s">
        <v>93</v>
      </c>
      <c r="BM65" s="68" t="s">
        <v>93</v>
      </c>
      <c r="BN65" s="68" t="s">
        <v>93</v>
      </c>
      <c r="BO65" s="68" t="s">
        <v>93</v>
      </c>
      <c r="BP65" s="69" t="s">
        <v>93</v>
      </c>
    </row>
    <row r="66" spans="2:68" x14ac:dyDescent="0.25">
      <c r="B66" s="64">
        <v>2</v>
      </c>
      <c r="C66" s="65">
        <v>9</v>
      </c>
      <c r="D66" s="65" t="s">
        <v>98</v>
      </c>
      <c r="E66" s="66">
        <f>'[3]Master File'!B65</f>
        <v>46079</v>
      </c>
      <c r="F66" s="67" t="str">
        <f>'[3]Master File'!C65</f>
        <v>Closed</v>
      </c>
      <c r="G66" s="46"/>
      <c r="I66" s="68" t="s">
        <v>93</v>
      </c>
      <c r="J66" s="68" t="s">
        <v>93</v>
      </c>
      <c r="K66" s="68" t="s">
        <v>93</v>
      </c>
      <c r="L66" s="68" t="s">
        <v>94</v>
      </c>
      <c r="M66" s="68" t="s">
        <v>94</v>
      </c>
      <c r="N66" s="68" t="s">
        <v>94</v>
      </c>
      <c r="O66" s="68" t="s">
        <v>94</v>
      </c>
      <c r="P66" s="68" t="s">
        <v>94</v>
      </c>
      <c r="Q66" s="68" t="s">
        <v>93</v>
      </c>
      <c r="R66" s="68" t="s">
        <v>93</v>
      </c>
      <c r="S66" s="68" t="s">
        <v>93</v>
      </c>
      <c r="T66" s="68" t="s">
        <v>93</v>
      </c>
      <c r="U66" s="68" t="s">
        <v>93</v>
      </c>
      <c r="V66" s="68" t="s">
        <v>93</v>
      </c>
      <c r="W66" s="68" t="s">
        <v>93</v>
      </c>
      <c r="X66" s="68" t="s">
        <v>93</v>
      </c>
      <c r="Y66" s="68" t="s">
        <v>93</v>
      </c>
      <c r="Z66" s="68" t="s">
        <v>94</v>
      </c>
      <c r="AA66" s="68" t="s">
        <v>94</v>
      </c>
      <c r="AB66" s="68" t="s">
        <v>93</v>
      </c>
      <c r="AC66" s="68" t="s">
        <v>93</v>
      </c>
      <c r="AD66" s="68" t="s">
        <v>93</v>
      </c>
      <c r="AE66" s="68" t="s">
        <v>93</v>
      </c>
      <c r="AF66" s="68" t="s">
        <v>93</v>
      </c>
      <c r="AG66" s="68" t="s">
        <v>93</v>
      </c>
      <c r="AH66" s="68" t="s">
        <v>93</v>
      </c>
      <c r="AI66" s="68" t="s">
        <v>93</v>
      </c>
      <c r="AJ66" s="68" t="s">
        <v>93</v>
      </c>
      <c r="AK66" s="68" t="s">
        <v>93</v>
      </c>
      <c r="AL66" s="68" t="s">
        <v>93</v>
      </c>
      <c r="AM66" s="68" t="s">
        <v>93</v>
      </c>
      <c r="AN66" s="68" t="s">
        <v>93</v>
      </c>
      <c r="AO66" s="68" t="s">
        <v>93</v>
      </c>
      <c r="AP66" s="68" t="s">
        <v>93</v>
      </c>
      <c r="AQ66" s="68" t="s">
        <v>93</v>
      </c>
      <c r="AR66" s="68" t="s">
        <v>93</v>
      </c>
      <c r="AS66" s="68" t="s">
        <v>93</v>
      </c>
      <c r="AT66" s="68" t="s">
        <v>93</v>
      </c>
      <c r="AU66" s="68" t="s">
        <v>93</v>
      </c>
      <c r="AV66" s="68" t="s">
        <v>93</v>
      </c>
      <c r="AW66" s="68" t="s">
        <v>93</v>
      </c>
      <c r="AX66" s="68" t="s">
        <v>93</v>
      </c>
      <c r="AY66" s="68" t="s">
        <v>93</v>
      </c>
      <c r="AZ66" s="68" t="s">
        <v>93</v>
      </c>
      <c r="BA66" s="68" t="s">
        <v>93</v>
      </c>
      <c r="BB66" s="68" t="s">
        <v>93</v>
      </c>
      <c r="BC66" s="68" t="s">
        <v>93</v>
      </c>
      <c r="BD66" s="68" t="s">
        <v>93</v>
      </c>
      <c r="BE66" s="68" t="s">
        <v>93</v>
      </c>
      <c r="BF66" s="68" t="s">
        <v>93</v>
      </c>
      <c r="BG66" s="68" t="s">
        <v>93</v>
      </c>
      <c r="BH66" s="68" t="s">
        <v>93</v>
      </c>
      <c r="BI66" s="68" t="s">
        <v>93</v>
      </c>
      <c r="BJ66" s="68" t="s">
        <v>93</v>
      </c>
      <c r="BK66" s="68" t="s">
        <v>93</v>
      </c>
      <c r="BL66" s="68" t="s">
        <v>93</v>
      </c>
      <c r="BM66" s="68" t="s">
        <v>93</v>
      </c>
      <c r="BN66" s="68" t="s">
        <v>93</v>
      </c>
      <c r="BO66" s="68" t="s">
        <v>93</v>
      </c>
      <c r="BP66" s="69" t="s">
        <v>93</v>
      </c>
    </row>
    <row r="67" spans="2:68" x14ac:dyDescent="0.25">
      <c r="B67" s="64">
        <v>2</v>
      </c>
      <c r="C67" s="65">
        <v>9</v>
      </c>
      <c r="D67" s="65" t="s">
        <v>99</v>
      </c>
      <c r="E67" s="66">
        <f>'[3]Master File'!B66</f>
        <v>46080</v>
      </c>
      <c r="F67" s="67" t="str">
        <f>'[3]Master File'!C66</f>
        <v>Closed</v>
      </c>
      <c r="G67" s="46"/>
      <c r="I67" s="68" t="s">
        <v>93</v>
      </c>
      <c r="J67" s="68" t="s">
        <v>93</v>
      </c>
      <c r="K67" s="68" t="s">
        <v>93</v>
      </c>
      <c r="L67" s="68" t="s">
        <v>94</v>
      </c>
      <c r="M67" s="68" t="s">
        <v>94</v>
      </c>
      <c r="N67" s="68" t="s">
        <v>94</v>
      </c>
      <c r="O67" s="68" t="s">
        <v>94</v>
      </c>
      <c r="P67" s="68" t="s">
        <v>94</v>
      </c>
      <c r="Q67" s="68" t="s">
        <v>93</v>
      </c>
      <c r="R67" s="68" t="s">
        <v>93</v>
      </c>
      <c r="S67" s="68" t="s">
        <v>93</v>
      </c>
      <c r="T67" s="68" t="s">
        <v>93</v>
      </c>
      <c r="U67" s="68" t="s">
        <v>93</v>
      </c>
      <c r="V67" s="68" t="s">
        <v>93</v>
      </c>
      <c r="W67" s="68" t="s">
        <v>93</v>
      </c>
      <c r="X67" s="68" t="s">
        <v>93</v>
      </c>
      <c r="Y67" s="68" t="s">
        <v>93</v>
      </c>
      <c r="Z67" s="68" t="s">
        <v>94</v>
      </c>
      <c r="AA67" s="68" t="s">
        <v>94</v>
      </c>
      <c r="AB67" s="68" t="s">
        <v>93</v>
      </c>
      <c r="AC67" s="68" t="s">
        <v>93</v>
      </c>
      <c r="AD67" s="68" t="s">
        <v>93</v>
      </c>
      <c r="AE67" s="68" t="s">
        <v>93</v>
      </c>
      <c r="AF67" s="68" t="s">
        <v>93</v>
      </c>
      <c r="AG67" s="68" t="s">
        <v>93</v>
      </c>
      <c r="AH67" s="68" t="s">
        <v>93</v>
      </c>
      <c r="AI67" s="68" t="s">
        <v>93</v>
      </c>
      <c r="AJ67" s="68" t="s">
        <v>93</v>
      </c>
      <c r="AK67" s="68" t="s">
        <v>93</v>
      </c>
      <c r="AL67" s="68" t="s">
        <v>93</v>
      </c>
      <c r="AM67" s="68" t="s">
        <v>93</v>
      </c>
      <c r="AN67" s="68" t="s">
        <v>93</v>
      </c>
      <c r="AO67" s="68" t="s">
        <v>93</v>
      </c>
      <c r="AP67" s="68" t="s">
        <v>93</v>
      </c>
      <c r="AQ67" s="68" t="s">
        <v>93</v>
      </c>
      <c r="AR67" s="68" t="s">
        <v>93</v>
      </c>
      <c r="AS67" s="68" t="s">
        <v>93</v>
      </c>
      <c r="AT67" s="68" t="s">
        <v>93</v>
      </c>
      <c r="AU67" s="68" t="s">
        <v>93</v>
      </c>
      <c r="AV67" s="68" t="s">
        <v>93</v>
      </c>
      <c r="AW67" s="68" t="s">
        <v>93</v>
      </c>
      <c r="AX67" s="68" t="s">
        <v>93</v>
      </c>
      <c r="AY67" s="68" t="s">
        <v>93</v>
      </c>
      <c r="AZ67" s="68" t="s">
        <v>93</v>
      </c>
      <c r="BA67" s="68" t="s">
        <v>93</v>
      </c>
      <c r="BB67" s="68" t="s">
        <v>93</v>
      </c>
      <c r="BC67" s="68" t="s">
        <v>93</v>
      </c>
      <c r="BD67" s="68" t="s">
        <v>93</v>
      </c>
      <c r="BE67" s="68" t="s">
        <v>93</v>
      </c>
      <c r="BF67" s="68" t="s">
        <v>93</v>
      </c>
      <c r="BG67" s="68" t="s">
        <v>93</v>
      </c>
      <c r="BH67" s="68" t="s">
        <v>93</v>
      </c>
      <c r="BI67" s="68" t="s">
        <v>93</v>
      </c>
      <c r="BJ67" s="68" t="s">
        <v>93</v>
      </c>
      <c r="BK67" s="68" t="s">
        <v>93</v>
      </c>
      <c r="BL67" s="68" t="s">
        <v>93</v>
      </c>
      <c r="BM67" s="68" t="s">
        <v>93</v>
      </c>
      <c r="BN67" s="68" t="s">
        <v>93</v>
      </c>
      <c r="BO67" s="68" t="s">
        <v>93</v>
      </c>
      <c r="BP67" s="69" t="s">
        <v>93</v>
      </c>
    </row>
    <row r="68" spans="2:68" x14ac:dyDescent="0.25">
      <c r="B68" s="64">
        <v>2</v>
      </c>
      <c r="C68" s="65">
        <v>9</v>
      </c>
      <c r="D68" s="65" t="s">
        <v>100</v>
      </c>
      <c r="E68" s="66">
        <f>'[3]Master File'!B67</f>
        <v>46081</v>
      </c>
      <c r="F68" s="67" t="str">
        <f>'[3]Master File'!C67</f>
        <v>Zoo</v>
      </c>
      <c r="G68" s="46"/>
      <c r="I68" s="70" t="s">
        <v>94</v>
      </c>
      <c r="J68" s="70" t="s">
        <v>94</v>
      </c>
      <c r="K68" s="70" t="s">
        <v>94</v>
      </c>
      <c r="L68" s="68" t="s">
        <v>94</v>
      </c>
      <c r="M68" s="70" t="s">
        <v>94</v>
      </c>
      <c r="N68" s="70" t="s">
        <v>94</v>
      </c>
      <c r="O68" s="70" t="s">
        <v>94</v>
      </c>
      <c r="P68" s="70" t="s">
        <v>94</v>
      </c>
      <c r="Q68" s="70" t="s">
        <v>94</v>
      </c>
      <c r="R68" s="70" t="s">
        <v>94</v>
      </c>
      <c r="S68" s="70" t="s">
        <v>94</v>
      </c>
      <c r="T68" s="70" t="s">
        <v>94</v>
      </c>
      <c r="U68" s="70" t="s">
        <v>94</v>
      </c>
      <c r="V68" s="70" t="s">
        <v>94</v>
      </c>
      <c r="W68" s="70" t="s">
        <v>93</v>
      </c>
      <c r="X68" s="70" t="s">
        <v>94</v>
      </c>
      <c r="Y68" s="70" t="s">
        <v>94</v>
      </c>
      <c r="Z68" s="68" t="s">
        <v>94</v>
      </c>
      <c r="AA68" s="70" t="s">
        <v>94</v>
      </c>
      <c r="AB68" s="70" t="s">
        <v>94</v>
      </c>
      <c r="AC68" s="70" t="s">
        <v>93</v>
      </c>
      <c r="AD68" s="70" t="s">
        <v>94</v>
      </c>
      <c r="AE68" s="70" t="s">
        <v>94</v>
      </c>
      <c r="AF68" s="70" t="s">
        <v>93</v>
      </c>
      <c r="AG68" s="70" t="s">
        <v>93</v>
      </c>
      <c r="AH68" s="70" t="s">
        <v>93</v>
      </c>
      <c r="AI68" s="70" t="s">
        <v>93</v>
      </c>
      <c r="AJ68" s="70" t="s">
        <v>93</v>
      </c>
      <c r="AK68" s="70" t="s">
        <v>93</v>
      </c>
      <c r="AL68" s="70" t="s">
        <v>93</v>
      </c>
      <c r="AM68" s="70" t="s">
        <v>93</v>
      </c>
      <c r="AN68" s="70" t="s">
        <v>93</v>
      </c>
      <c r="AO68" s="70" t="s">
        <v>93</v>
      </c>
      <c r="AP68" s="70" t="s">
        <v>93</v>
      </c>
      <c r="AQ68" s="70" t="s">
        <v>93</v>
      </c>
      <c r="AR68" s="70" t="s">
        <v>93</v>
      </c>
      <c r="AS68" s="70" t="s">
        <v>93</v>
      </c>
      <c r="AT68" s="70" t="s">
        <v>93</v>
      </c>
      <c r="AU68" s="70" t="s">
        <v>93</v>
      </c>
      <c r="AV68" s="70" t="s">
        <v>93</v>
      </c>
      <c r="AW68" s="70" t="s">
        <v>93</v>
      </c>
      <c r="AX68" s="70" t="s">
        <v>93</v>
      </c>
      <c r="AY68" s="70" t="s">
        <v>93</v>
      </c>
      <c r="AZ68" s="70" t="s">
        <v>93</v>
      </c>
      <c r="BA68" s="70" t="s">
        <v>93</v>
      </c>
      <c r="BB68" s="70" t="s">
        <v>93</v>
      </c>
      <c r="BC68" s="70" t="s">
        <v>93</v>
      </c>
      <c r="BD68" s="70" t="s">
        <v>93</v>
      </c>
      <c r="BE68" s="70" t="s">
        <v>93</v>
      </c>
      <c r="BF68" s="70" t="s">
        <v>93</v>
      </c>
      <c r="BG68" s="70" t="s">
        <v>93</v>
      </c>
      <c r="BH68" s="70" t="s">
        <v>93</v>
      </c>
      <c r="BI68" s="70" t="s">
        <v>93</v>
      </c>
      <c r="BJ68" s="70" t="s">
        <v>93</v>
      </c>
      <c r="BK68" s="70" t="s">
        <v>93</v>
      </c>
      <c r="BL68" s="70" t="s">
        <v>93</v>
      </c>
      <c r="BM68" s="70" t="s">
        <v>93</v>
      </c>
      <c r="BN68" s="70" t="s">
        <v>93</v>
      </c>
      <c r="BO68" s="70" t="s">
        <v>93</v>
      </c>
      <c r="BP68" s="71" t="s">
        <v>93</v>
      </c>
    </row>
    <row r="69" spans="2:68" x14ac:dyDescent="0.25">
      <c r="B69" s="64">
        <v>3</v>
      </c>
      <c r="C69" s="65">
        <v>10</v>
      </c>
      <c r="D69" s="65" t="s">
        <v>92</v>
      </c>
      <c r="E69" s="66">
        <f>'[3]Master File'!B68</f>
        <v>46082</v>
      </c>
      <c r="F69" s="67" t="str">
        <f>'[3]Master File'!C68</f>
        <v>Zoo</v>
      </c>
      <c r="G69" s="46"/>
      <c r="I69" s="70" t="s">
        <v>94</v>
      </c>
      <c r="J69" s="70" t="s">
        <v>94</v>
      </c>
      <c r="K69" s="70" t="s">
        <v>94</v>
      </c>
      <c r="L69" s="68" t="s">
        <v>94</v>
      </c>
      <c r="M69" s="70" t="s">
        <v>94</v>
      </c>
      <c r="N69" s="70" t="s">
        <v>94</v>
      </c>
      <c r="O69" s="70" t="s">
        <v>94</v>
      </c>
      <c r="P69" s="70" t="s">
        <v>94</v>
      </c>
      <c r="Q69" s="70" t="s">
        <v>94</v>
      </c>
      <c r="R69" s="70" t="s">
        <v>94</v>
      </c>
      <c r="S69" s="70" t="s">
        <v>94</v>
      </c>
      <c r="T69" s="70" t="s">
        <v>94</v>
      </c>
      <c r="U69" s="70" t="s">
        <v>94</v>
      </c>
      <c r="V69" s="70" t="s">
        <v>94</v>
      </c>
      <c r="W69" s="70" t="s">
        <v>93</v>
      </c>
      <c r="X69" s="70" t="s">
        <v>94</v>
      </c>
      <c r="Y69" s="70" t="s">
        <v>94</v>
      </c>
      <c r="Z69" s="68" t="s">
        <v>94</v>
      </c>
      <c r="AA69" s="70" t="s">
        <v>94</v>
      </c>
      <c r="AB69" s="70" t="s">
        <v>94</v>
      </c>
      <c r="AC69" s="70" t="s">
        <v>93</v>
      </c>
      <c r="AD69" s="70" t="s">
        <v>94</v>
      </c>
      <c r="AE69" s="70" t="s">
        <v>94</v>
      </c>
      <c r="AF69" s="70" t="s">
        <v>93</v>
      </c>
      <c r="AG69" s="70" t="s">
        <v>93</v>
      </c>
      <c r="AH69" s="70" t="s">
        <v>93</v>
      </c>
      <c r="AI69" s="70" t="s">
        <v>93</v>
      </c>
      <c r="AJ69" s="70" t="s">
        <v>93</v>
      </c>
      <c r="AK69" s="70" t="s">
        <v>93</v>
      </c>
      <c r="AL69" s="70" t="s">
        <v>93</v>
      </c>
      <c r="AM69" s="70" t="s">
        <v>93</v>
      </c>
      <c r="AN69" s="70" t="s">
        <v>93</v>
      </c>
      <c r="AO69" s="70" t="s">
        <v>93</v>
      </c>
      <c r="AP69" s="70" t="s">
        <v>93</v>
      </c>
      <c r="AQ69" s="70" t="s">
        <v>93</v>
      </c>
      <c r="AR69" s="70" t="s">
        <v>93</v>
      </c>
      <c r="AS69" s="70" t="s">
        <v>93</v>
      </c>
      <c r="AT69" s="70" t="s">
        <v>93</v>
      </c>
      <c r="AU69" s="70" t="s">
        <v>93</v>
      </c>
      <c r="AV69" s="70" t="s">
        <v>93</v>
      </c>
      <c r="AW69" s="70" t="s">
        <v>93</v>
      </c>
      <c r="AX69" s="70" t="s">
        <v>93</v>
      </c>
      <c r="AY69" s="70" t="s">
        <v>93</v>
      </c>
      <c r="AZ69" s="70" t="s">
        <v>93</v>
      </c>
      <c r="BA69" s="70" t="s">
        <v>93</v>
      </c>
      <c r="BB69" s="70" t="s">
        <v>93</v>
      </c>
      <c r="BC69" s="70" t="s">
        <v>93</v>
      </c>
      <c r="BD69" s="70" t="s">
        <v>93</v>
      </c>
      <c r="BE69" s="70" t="s">
        <v>93</v>
      </c>
      <c r="BF69" s="70" t="s">
        <v>93</v>
      </c>
      <c r="BG69" s="70" t="s">
        <v>93</v>
      </c>
      <c r="BH69" s="70" t="s">
        <v>93</v>
      </c>
      <c r="BI69" s="70" t="s">
        <v>93</v>
      </c>
      <c r="BJ69" s="70" t="s">
        <v>93</v>
      </c>
      <c r="BK69" s="70" t="s">
        <v>93</v>
      </c>
      <c r="BL69" s="70" t="s">
        <v>93</v>
      </c>
      <c r="BM69" s="70" t="s">
        <v>93</v>
      </c>
      <c r="BN69" s="70" t="s">
        <v>93</v>
      </c>
      <c r="BO69" s="70" t="s">
        <v>93</v>
      </c>
      <c r="BP69" s="71" t="s">
        <v>93</v>
      </c>
    </row>
    <row r="70" spans="2:68" x14ac:dyDescent="0.25">
      <c r="B70" s="64">
        <v>3</v>
      </c>
      <c r="C70" s="65">
        <v>10</v>
      </c>
      <c r="D70" s="65" t="s">
        <v>95</v>
      </c>
      <c r="E70" s="66">
        <f>'[3]Master File'!B69</f>
        <v>46083</v>
      </c>
      <c r="F70" s="67" t="str">
        <f>'[3]Master File'!C69</f>
        <v>Closed</v>
      </c>
      <c r="G70" s="46"/>
      <c r="I70" s="68" t="s">
        <v>93</v>
      </c>
      <c r="J70" s="68" t="s">
        <v>93</v>
      </c>
      <c r="K70" s="68" t="s">
        <v>93</v>
      </c>
      <c r="L70" s="68" t="s">
        <v>94</v>
      </c>
      <c r="M70" s="68" t="s">
        <v>94</v>
      </c>
      <c r="N70" s="68" t="s">
        <v>94</v>
      </c>
      <c r="O70" s="68" t="s">
        <v>94</v>
      </c>
      <c r="P70" s="68" t="s">
        <v>94</v>
      </c>
      <c r="Q70" s="68" t="s">
        <v>93</v>
      </c>
      <c r="R70" s="68" t="s">
        <v>93</v>
      </c>
      <c r="S70" s="68" t="s">
        <v>93</v>
      </c>
      <c r="T70" s="68" t="s">
        <v>93</v>
      </c>
      <c r="U70" s="68" t="s">
        <v>93</v>
      </c>
      <c r="V70" s="68" t="s">
        <v>93</v>
      </c>
      <c r="W70" s="68" t="s">
        <v>93</v>
      </c>
      <c r="X70" s="68" t="s">
        <v>93</v>
      </c>
      <c r="Y70" s="68" t="s">
        <v>93</v>
      </c>
      <c r="Z70" s="68" t="s">
        <v>94</v>
      </c>
      <c r="AA70" s="68" t="s">
        <v>94</v>
      </c>
      <c r="AB70" s="68" t="s">
        <v>93</v>
      </c>
      <c r="AC70" s="68" t="s">
        <v>93</v>
      </c>
      <c r="AD70" s="68" t="s">
        <v>93</v>
      </c>
      <c r="AE70" s="68" t="s">
        <v>93</v>
      </c>
      <c r="AF70" s="68" t="s">
        <v>93</v>
      </c>
      <c r="AG70" s="68" t="s">
        <v>93</v>
      </c>
      <c r="AH70" s="68" t="s">
        <v>93</v>
      </c>
      <c r="AI70" s="68" t="s">
        <v>93</v>
      </c>
      <c r="AJ70" s="68" t="s">
        <v>93</v>
      </c>
      <c r="AK70" s="68" t="s">
        <v>93</v>
      </c>
      <c r="AL70" s="68" t="s">
        <v>93</v>
      </c>
      <c r="AM70" s="68" t="s">
        <v>93</v>
      </c>
      <c r="AN70" s="68" t="s">
        <v>93</v>
      </c>
      <c r="AO70" s="68" t="s">
        <v>93</v>
      </c>
      <c r="AP70" s="68" t="s">
        <v>93</v>
      </c>
      <c r="AQ70" s="68" t="s">
        <v>93</v>
      </c>
      <c r="AR70" s="68" t="s">
        <v>93</v>
      </c>
      <c r="AS70" s="68" t="s">
        <v>93</v>
      </c>
      <c r="AT70" s="68" t="s">
        <v>93</v>
      </c>
      <c r="AU70" s="68" t="s">
        <v>93</v>
      </c>
      <c r="AV70" s="68" t="s">
        <v>93</v>
      </c>
      <c r="AW70" s="68" t="s">
        <v>93</v>
      </c>
      <c r="AX70" s="68" t="s">
        <v>93</v>
      </c>
      <c r="AY70" s="68" t="s">
        <v>93</v>
      </c>
      <c r="AZ70" s="68" t="s">
        <v>93</v>
      </c>
      <c r="BA70" s="68" t="s">
        <v>93</v>
      </c>
      <c r="BB70" s="68" t="s">
        <v>93</v>
      </c>
      <c r="BC70" s="68" t="s">
        <v>93</v>
      </c>
      <c r="BD70" s="68" t="s">
        <v>93</v>
      </c>
      <c r="BE70" s="68" t="s">
        <v>93</v>
      </c>
      <c r="BF70" s="68" t="s">
        <v>93</v>
      </c>
      <c r="BG70" s="68" t="s">
        <v>93</v>
      </c>
      <c r="BH70" s="68" t="s">
        <v>93</v>
      </c>
      <c r="BI70" s="68" t="s">
        <v>93</v>
      </c>
      <c r="BJ70" s="68" t="s">
        <v>93</v>
      </c>
      <c r="BK70" s="68" t="s">
        <v>93</v>
      </c>
      <c r="BL70" s="68" t="s">
        <v>93</v>
      </c>
      <c r="BM70" s="68" t="s">
        <v>93</v>
      </c>
      <c r="BN70" s="68" t="s">
        <v>93</v>
      </c>
      <c r="BO70" s="68" t="s">
        <v>93</v>
      </c>
      <c r="BP70" s="69" t="s">
        <v>93</v>
      </c>
    </row>
    <row r="71" spans="2:68" x14ac:dyDescent="0.25">
      <c r="B71" s="64">
        <v>3</v>
      </c>
      <c r="C71" s="65">
        <v>10</v>
      </c>
      <c r="D71" s="65" t="s">
        <v>96</v>
      </c>
      <c r="E71" s="66">
        <f>'[3]Master File'!B70</f>
        <v>46084</v>
      </c>
      <c r="F71" s="67" t="str">
        <f>'[3]Master File'!C70</f>
        <v>Closed</v>
      </c>
      <c r="G71" s="46"/>
      <c r="I71" s="68" t="s">
        <v>93</v>
      </c>
      <c r="J71" s="68" t="s">
        <v>93</v>
      </c>
      <c r="K71" s="68" t="s">
        <v>93</v>
      </c>
      <c r="L71" s="68" t="s">
        <v>94</v>
      </c>
      <c r="M71" s="68" t="s">
        <v>94</v>
      </c>
      <c r="N71" s="68" t="s">
        <v>94</v>
      </c>
      <c r="O71" s="68" t="s">
        <v>94</v>
      </c>
      <c r="P71" s="68" t="s">
        <v>94</v>
      </c>
      <c r="Q71" s="68" t="s">
        <v>93</v>
      </c>
      <c r="R71" s="68" t="s">
        <v>93</v>
      </c>
      <c r="S71" s="68" t="s">
        <v>93</v>
      </c>
      <c r="T71" s="68" t="s">
        <v>93</v>
      </c>
      <c r="U71" s="68" t="s">
        <v>93</v>
      </c>
      <c r="V71" s="68" t="s">
        <v>93</v>
      </c>
      <c r="W71" s="68" t="s">
        <v>93</v>
      </c>
      <c r="X71" s="68" t="s">
        <v>93</v>
      </c>
      <c r="Y71" s="68" t="s">
        <v>93</v>
      </c>
      <c r="Z71" s="68" t="s">
        <v>94</v>
      </c>
      <c r="AA71" s="68" t="s">
        <v>94</v>
      </c>
      <c r="AB71" s="68" t="s">
        <v>93</v>
      </c>
      <c r="AC71" s="68" t="s">
        <v>93</v>
      </c>
      <c r="AD71" s="68" t="s">
        <v>93</v>
      </c>
      <c r="AE71" s="68" t="s">
        <v>93</v>
      </c>
      <c r="AF71" s="68" t="s">
        <v>93</v>
      </c>
      <c r="AG71" s="68" t="s">
        <v>93</v>
      </c>
      <c r="AH71" s="68" t="s">
        <v>93</v>
      </c>
      <c r="AI71" s="68" t="s">
        <v>93</v>
      </c>
      <c r="AJ71" s="68" t="s">
        <v>93</v>
      </c>
      <c r="AK71" s="68" t="s">
        <v>93</v>
      </c>
      <c r="AL71" s="68" t="s">
        <v>93</v>
      </c>
      <c r="AM71" s="68" t="s">
        <v>93</v>
      </c>
      <c r="AN71" s="68" t="s">
        <v>93</v>
      </c>
      <c r="AO71" s="68" t="s">
        <v>93</v>
      </c>
      <c r="AP71" s="68" t="s">
        <v>93</v>
      </c>
      <c r="AQ71" s="68" t="s">
        <v>93</v>
      </c>
      <c r="AR71" s="68" t="s">
        <v>93</v>
      </c>
      <c r="AS71" s="68" t="s">
        <v>93</v>
      </c>
      <c r="AT71" s="68" t="s">
        <v>93</v>
      </c>
      <c r="AU71" s="68" t="s">
        <v>93</v>
      </c>
      <c r="AV71" s="68" t="s">
        <v>93</v>
      </c>
      <c r="AW71" s="68" t="s">
        <v>93</v>
      </c>
      <c r="AX71" s="68" t="s">
        <v>93</v>
      </c>
      <c r="AY71" s="68" t="s">
        <v>93</v>
      </c>
      <c r="AZ71" s="68" t="s">
        <v>93</v>
      </c>
      <c r="BA71" s="68" t="s">
        <v>93</v>
      </c>
      <c r="BB71" s="68" t="s">
        <v>93</v>
      </c>
      <c r="BC71" s="68" t="s">
        <v>93</v>
      </c>
      <c r="BD71" s="68" t="s">
        <v>93</v>
      </c>
      <c r="BE71" s="68" t="s">
        <v>93</v>
      </c>
      <c r="BF71" s="68" t="s">
        <v>93</v>
      </c>
      <c r="BG71" s="68" t="s">
        <v>93</v>
      </c>
      <c r="BH71" s="68" t="s">
        <v>93</v>
      </c>
      <c r="BI71" s="68" t="s">
        <v>93</v>
      </c>
      <c r="BJ71" s="68" t="s">
        <v>93</v>
      </c>
      <c r="BK71" s="68" t="s">
        <v>93</v>
      </c>
      <c r="BL71" s="68" t="s">
        <v>93</v>
      </c>
      <c r="BM71" s="68" t="s">
        <v>93</v>
      </c>
      <c r="BN71" s="68" t="s">
        <v>93</v>
      </c>
      <c r="BO71" s="68" t="s">
        <v>93</v>
      </c>
      <c r="BP71" s="69" t="s">
        <v>93</v>
      </c>
    </row>
    <row r="72" spans="2:68" x14ac:dyDescent="0.25">
      <c r="B72" s="64">
        <v>3</v>
      </c>
      <c r="C72" s="65">
        <v>10</v>
      </c>
      <c r="D72" s="65" t="s">
        <v>97</v>
      </c>
      <c r="E72" s="66">
        <f>'[3]Master File'!B71</f>
        <v>46085</v>
      </c>
      <c r="F72" s="67" t="str">
        <f>'[3]Master File'!C71</f>
        <v>Closed</v>
      </c>
      <c r="G72" s="46"/>
      <c r="I72" s="68" t="s">
        <v>93</v>
      </c>
      <c r="J72" s="68" t="s">
        <v>93</v>
      </c>
      <c r="K72" s="68" t="s">
        <v>93</v>
      </c>
      <c r="L72" s="68" t="s">
        <v>94</v>
      </c>
      <c r="M72" s="68" t="s">
        <v>94</v>
      </c>
      <c r="N72" s="68" t="s">
        <v>94</v>
      </c>
      <c r="O72" s="68" t="s">
        <v>94</v>
      </c>
      <c r="P72" s="68" t="s">
        <v>94</v>
      </c>
      <c r="Q72" s="68" t="s">
        <v>93</v>
      </c>
      <c r="R72" s="68" t="s">
        <v>93</v>
      </c>
      <c r="S72" s="68" t="s">
        <v>93</v>
      </c>
      <c r="T72" s="68" t="s">
        <v>93</v>
      </c>
      <c r="U72" s="68" t="s">
        <v>93</v>
      </c>
      <c r="V72" s="68" t="s">
        <v>93</v>
      </c>
      <c r="W72" s="68" t="s">
        <v>93</v>
      </c>
      <c r="X72" s="68" t="s">
        <v>93</v>
      </c>
      <c r="Y72" s="68" t="s">
        <v>93</v>
      </c>
      <c r="Z72" s="68" t="s">
        <v>94</v>
      </c>
      <c r="AA72" s="68" t="s">
        <v>94</v>
      </c>
      <c r="AB72" s="68" t="s">
        <v>93</v>
      </c>
      <c r="AC72" s="68" t="s">
        <v>93</v>
      </c>
      <c r="AD72" s="68" t="s">
        <v>93</v>
      </c>
      <c r="AE72" s="68" t="s">
        <v>93</v>
      </c>
      <c r="AF72" s="68" t="s">
        <v>93</v>
      </c>
      <c r="AG72" s="68" t="s">
        <v>93</v>
      </c>
      <c r="AH72" s="68" t="s">
        <v>93</v>
      </c>
      <c r="AI72" s="68" t="s">
        <v>93</v>
      </c>
      <c r="AJ72" s="68" t="s">
        <v>93</v>
      </c>
      <c r="AK72" s="68" t="s">
        <v>93</v>
      </c>
      <c r="AL72" s="68" t="s">
        <v>93</v>
      </c>
      <c r="AM72" s="68" t="s">
        <v>93</v>
      </c>
      <c r="AN72" s="68" t="s">
        <v>93</v>
      </c>
      <c r="AO72" s="68" t="s">
        <v>93</v>
      </c>
      <c r="AP72" s="68" t="s">
        <v>93</v>
      </c>
      <c r="AQ72" s="68" t="s">
        <v>93</v>
      </c>
      <c r="AR72" s="68" t="s">
        <v>93</v>
      </c>
      <c r="AS72" s="68" t="s">
        <v>93</v>
      </c>
      <c r="AT72" s="68" t="s">
        <v>93</v>
      </c>
      <c r="AU72" s="68" t="s">
        <v>93</v>
      </c>
      <c r="AV72" s="68" t="s">
        <v>93</v>
      </c>
      <c r="AW72" s="68" t="s">
        <v>93</v>
      </c>
      <c r="AX72" s="68" t="s">
        <v>93</v>
      </c>
      <c r="AY72" s="68" t="s">
        <v>93</v>
      </c>
      <c r="AZ72" s="68" t="s">
        <v>93</v>
      </c>
      <c r="BA72" s="68" t="s">
        <v>93</v>
      </c>
      <c r="BB72" s="68" t="s">
        <v>93</v>
      </c>
      <c r="BC72" s="68" t="s">
        <v>93</v>
      </c>
      <c r="BD72" s="68" t="s">
        <v>93</v>
      </c>
      <c r="BE72" s="68" t="s">
        <v>93</v>
      </c>
      <c r="BF72" s="68" t="s">
        <v>93</v>
      </c>
      <c r="BG72" s="68" t="s">
        <v>93</v>
      </c>
      <c r="BH72" s="68" t="s">
        <v>93</v>
      </c>
      <c r="BI72" s="68" t="s">
        <v>93</v>
      </c>
      <c r="BJ72" s="68" t="s">
        <v>93</v>
      </c>
      <c r="BK72" s="68" t="s">
        <v>93</v>
      </c>
      <c r="BL72" s="68" t="s">
        <v>93</v>
      </c>
      <c r="BM72" s="68" t="s">
        <v>93</v>
      </c>
      <c r="BN72" s="68" t="s">
        <v>93</v>
      </c>
      <c r="BO72" s="68" t="s">
        <v>93</v>
      </c>
      <c r="BP72" s="69" t="s">
        <v>93</v>
      </c>
    </row>
    <row r="73" spans="2:68" x14ac:dyDescent="0.25">
      <c r="B73" s="64">
        <v>3</v>
      </c>
      <c r="C73" s="65">
        <v>10</v>
      </c>
      <c r="D73" s="65" t="s">
        <v>98</v>
      </c>
      <c r="E73" s="66">
        <f>'[3]Master File'!B72</f>
        <v>46086</v>
      </c>
      <c r="F73" s="67" t="str">
        <f>'[3]Master File'!C72</f>
        <v>Closed</v>
      </c>
      <c r="G73" s="46"/>
      <c r="I73" s="68" t="s">
        <v>93</v>
      </c>
      <c r="J73" s="68" t="s">
        <v>93</v>
      </c>
      <c r="K73" s="68" t="s">
        <v>93</v>
      </c>
      <c r="L73" s="68" t="s">
        <v>94</v>
      </c>
      <c r="M73" s="68" t="s">
        <v>94</v>
      </c>
      <c r="N73" s="68" t="s">
        <v>94</v>
      </c>
      <c r="O73" s="68" t="s">
        <v>94</v>
      </c>
      <c r="P73" s="68" t="s">
        <v>94</v>
      </c>
      <c r="Q73" s="68" t="s">
        <v>93</v>
      </c>
      <c r="R73" s="68" t="s">
        <v>93</v>
      </c>
      <c r="S73" s="68" t="s">
        <v>93</v>
      </c>
      <c r="T73" s="68" t="s">
        <v>93</v>
      </c>
      <c r="U73" s="68" t="s">
        <v>93</v>
      </c>
      <c r="V73" s="68" t="s">
        <v>93</v>
      </c>
      <c r="W73" s="68" t="s">
        <v>93</v>
      </c>
      <c r="X73" s="68" t="s">
        <v>93</v>
      </c>
      <c r="Y73" s="68" t="s">
        <v>93</v>
      </c>
      <c r="Z73" s="68" t="s">
        <v>94</v>
      </c>
      <c r="AA73" s="68" t="s">
        <v>94</v>
      </c>
      <c r="AB73" s="68" t="s">
        <v>93</v>
      </c>
      <c r="AC73" s="68" t="s">
        <v>93</v>
      </c>
      <c r="AD73" s="68" t="s">
        <v>93</v>
      </c>
      <c r="AE73" s="68" t="s">
        <v>93</v>
      </c>
      <c r="AF73" s="68" t="s">
        <v>93</v>
      </c>
      <c r="AG73" s="68" t="s">
        <v>93</v>
      </c>
      <c r="AH73" s="68" t="s">
        <v>93</v>
      </c>
      <c r="AI73" s="68" t="s">
        <v>93</v>
      </c>
      <c r="AJ73" s="68" t="s">
        <v>93</v>
      </c>
      <c r="AK73" s="68" t="s">
        <v>93</v>
      </c>
      <c r="AL73" s="68" t="s">
        <v>93</v>
      </c>
      <c r="AM73" s="68" t="s">
        <v>93</v>
      </c>
      <c r="AN73" s="68" t="s">
        <v>93</v>
      </c>
      <c r="AO73" s="68" t="s">
        <v>93</v>
      </c>
      <c r="AP73" s="68" t="s">
        <v>93</v>
      </c>
      <c r="AQ73" s="68" t="s">
        <v>93</v>
      </c>
      <c r="AR73" s="68" t="s">
        <v>93</v>
      </c>
      <c r="AS73" s="68" t="s">
        <v>93</v>
      </c>
      <c r="AT73" s="68" t="s">
        <v>93</v>
      </c>
      <c r="AU73" s="68" t="s">
        <v>93</v>
      </c>
      <c r="AV73" s="68" t="s">
        <v>93</v>
      </c>
      <c r="AW73" s="68" t="s">
        <v>93</v>
      </c>
      <c r="AX73" s="68" t="s">
        <v>93</v>
      </c>
      <c r="AY73" s="68" t="s">
        <v>93</v>
      </c>
      <c r="AZ73" s="68" t="s">
        <v>93</v>
      </c>
      <c r="BA73" s="68" t="s">
        <v>93</v>
      </c>
      <c r="BB73" s="68" t="s">
        <v>93</v>
      </c>
      <c r="BC73" s="68" t="s">
        <v>93</v>
      </c>
      <c r="BD73" s="68" t="s">
        <v>93</v>
      </c>
      <c r="BE73" s="68" t="s">
        <v>93</v>
      </c>
      <c r="BF73" s="68" t="s">
        <v>93</v>
      </c>
      <c r="BG73" s="68" t="s">
        <v>93</v>
      </c>
      <c r="BH73" s="68" t="s">
        <v>93</v>
      </c>
      <c r="BI73" s="68" t="s">
        <v>93</v>
      </c>
      <c r="BJ73" s="68" t="s">
        <v>93</v>
      </c>
      <c r="BK73" s="68" t="s">
        <v>93</v>
      </c>
      <c r="BL73" s="68" t="s">
        <v>93</v>
      </c>
      <c r="BM73" s="68" t="s">
        <v>93</v>
      </c>
      <c r="BN73" s="68" t="s">
        <v>93</v>
      </c>
      <c r="BO73" s="68" t="s">
        <v>93</v>
      </c>
      <c r="BP73" s="69" t="s">
        <v>93</v>
      </c>
    </row>
    <row r="74" spans="2:68" x14ac:dyDescent="0.25">
      <c r="B74" s="64">
        <v>3</v>
      </c>
      <c r="C74" s="65">
        <v>10</v>
      </c>
      <c r="D74" s="65" t="s">
        <v>99</v>
      </c>
      <c r="E74" s="66">
        <f>'[3]Master File'!B73</f>
        <v>46087</v>
      </c>
      <c r="F74" s="67" t="str">
        <f>'[3]Master File'!C73</f>
        <v>Closed</v>
      </c>
      <c r="G74" s="46"/>
      <c r="I74" s="68" t="s">
        <v>93</v>
      </c>
      <c r="J74" s="68" t="s">
        <v>93</v>
      </c>
      <c r="K74" s="68" t="s">
        <v>93</v>
      </c>
      <c r="L74" s="68" t="s">
        <v>94</v>
      </c>
      <c r="M74" s="68" t="s">
        <v>94</v>
      </c>
      <c r="N74" s="68" t="s">
        <v>94</v>
      </c>
      <c r="O74" s="68" t="s">
        <v>94</v>
      </c>
      <c r="P74" s="68" t="s">
        <v>94</v>
      </c>
      <c r="Q74" s="68" t="s">
        <v>93</v>
      </c>
      <c r="R74" s="68" t="s">
        <v>93</v>
      </c>
      <c r="S74" s="68" t="s">
        <v>93</v>
      </c>
      <c r="T74" s="68" t="s">
        <v>93</v>
      </c>
      <c r="U74" s="68" t="s">
        <v>93</v>
      </c>
      <c r="V74" s="68" t="s">
        <v>93</v>
      </c>
      <c r="W74" s="68" t="s">
        <v>93</v>
      </c>
      <c r="X74" s="68" t="s">
        <v>93</v>
      </c>
      <c r="Y74" s="68" t="s">
        <v>93</v>
      </c>
      <c r="Z74" s="68" t="s">
        <v>94</v>
      </c>
      <c r="AA74" s="68" t="s">
        <v>94</v>
      </c>
      <c r="AB74" s="68" t="s">
        <v>93</v>
      </c>
      <c r="AC74" s="68" t="s">
        <v>93</v>
      </c>
      <c r="AD74" s="68" t="s">
        <v>93</v>
      </c>
      <c r="AE74" s="68" t="s">
        <v>93</v>
      </c>
      <c r="AF74" s="68" t="s">
        <v>93</v>
      </c>
      <c r="AG74" s="68" t="s">
        <v>93</v>
      </c>
      <c r="AH74" s="68" t="s">
        <v>93</v>
      </c>
      <c r="AI74" s="68" t="s">
        <v>93</v>
      </c>
      <c r="AJ74" s="68" t="s">
        <v>93</v>
      </c>
      <c r="AK74" s="68" t="s">
        <v>93</v>
      </c>
      <c r="AL74" s="68" t="s">
        <v>93</v>
      </c>
      <c r="AM74" s="68" t="s">
        <v>93</v>
      </c>
      <c r="AN74" s="68" t="s">
        <v>93</v>
      </c>
      <c r="AO74" s="68" t="s">
        <v>93</v>
      </c>
      <c r="AP74" s="68" t="s">
        <v>93</v>
      </c>
      <c r="AQ74" s="68" t="s">
        <v>93</v>
      </c>
      <c r="AR74" s="68" t="s">
        <v>93</v>
      </c>
      <c r="AS74" s="68" t="s">
        <v>93</v>
      </c>
      <c r="AT74" s="68" t="s">
        <v>93</v>
      </c>
      <c r="AU74" s="68" t="s">
        <v>93</v>
      </c>
      <c r="AV74" s="68" t="s">
        <v>93</v>
      </c>
      <c r="AW74" s="68" t="s">
        <v>93</v>
      </c>
      <c r="AX74" s="68" t="s">
        <v>93</v>
      </c>
      <c r="AY74" s="68" t="s">
        <v>93</v>
      </c>
      <c r="AZ74" s="68" t="s">
        <v>93</v>
      </c>
      <c r="BA74" s="68" t="s">
        <v>93</v>
      </c>
      <c r="BB74" s="68" t="s">
        <v>93</v>
      </c>
      <c r="BC74" s="68" t="s">
        <v>93</v>
      </c>
      <c r="BD74" s="68" t="s">
        <v>93</v>
      </c>
      <c r="BE74" s="68" t="s">
        <v>93</v>
      </c>
      <c r="BF74" s="68" t="s">
        <v>93</v>
      </c>
      <c r="BG74" s="68" t="s">
        <v>93</v>
      </c>
      <c r="BH74" s="68" t="s">
        <v>93</v>
      </c>
      <c r="BI74" s="68" t="s">
        <v>93</v>
      </c>
      <c r="BJ74" s="68" t="s">
        <v>93</v>
      </c>
      <c r="BK74" s="68" t="s">
        <v>93</v>
      </c>
      <c r="BL74" s="68" t="s">
        <v>93</v>
      </c>
      <c r="BM74" s="68" t="s">
        <v>93</v>
      </c>
      <c r="BN74" s="68" t="s">
        <v>93</v>
      </c>
      <c r="BO74" s="68" t="s">
        <v>93</v>
      </c>
      <c r="BP74" s="69" t="s">
        <v>93</v>
      </c>
    </row>
    <row r="75" spans="2:68" x14ac:dyDescent="0.25">
      <c r="B75" s="64">
        <v>3</v>
      </c>
      <c r="C75" s="65">
        <v>10</v>
      </c>
      <c r="D75" s="65" t="s">
        <v>100</v>
      </c>
      <c r="E75" s="66">
        <f>'[3]Master File'!B74</f>
        <v>46088</v>
      </c>
      <c r="F75" s="67" t="str">
        <f>'[3]Master File'!C74</f>
        <v>Zoo</v>
      </c>
      <c r="G75" s="46"/>
      <c r="I75" s="70" t="s">
        <v>94</v>
      </c>
      <c r="J75" s="70" t="s">
        <v>94</v>
      </c>
      <c r="K75" s="70" t="s">
        <v>94</v>
      </c>
      <c r="L75" s="68" t="s">
        <v>94</v>
      </c>
      <c r="M75" s="70" t="s">
        <v>94</v>
      </c>
      <c r="N75" s="70" t="s">
        <v>94</v>
      </c>
      <c r="O75" s="70" t="s">
        <v>94</v>
      </c>
      <c r="P75" s="70" t="s">
        <v>94</v>
      </c>
      <c r="Q75" s="70" t="s">
        <v>94</v>
      </c>
      <c r="R75" s="70" t="s">
        <v>94</v>
      </c>
      <c r="S75" s="70" t="s">
        <v>94</v>
      </c>
      <c r="T75" s="70" t="s">
        <v>94</v>
      </c>
      <c r="U75" s="70" t="s">
        <v>94</v>
      </c>
      <c r="V75" s="70" t="s">
        <v>94</v>
      </c>
      <c r="W75" s="70" t="s">
        <v>93</v>
      </c>
      <c r="X75" s="70" t="s">
        <v>94</v>
      </c>
      <c r="Y75" s="70" t="s">
        <v>94</v>
      </c>
      <c r="Z75" s="68" t="s">
        <v>94</v>
      </c>
      <c r="AA75" s="70" t="s">
        <v>94</v>
      </c>
      <c r="AB75" s="70" t="s">
        <v>94</v>
      </c>
      <c r="AC75" s="70" t="s">
        <v>93</v>
      </c>
      <c r="AD75" s="70" t="s">
        <v>94</v>
      </c>
      <c r="AE75" s="70" t="s">
        <v>94</v>
      </c>
      <c r="AF75" s="70" t="s">
        <v>93</v>
      </c>
      <c r="AG75" s="70" t="s">
        <v>93</v>
      </c>
      <c r="AH75" s="70" t="s">
        <v>93</v>
      </c>
      <c r="AI75" s="70" t="s">
        <v>93</v>
      </c>
      <c r="AJ75" s="70" t="s">
        <v>93</v>
      </c>
      <c r="AK75" s="70" t="s">
        <v>93</v>
      </c>
      <c r="AL75" s="70" t="s">
        <v>93</v>
      </c>
      <c r="AM75" s="70" t="s">
        <v>93</v>
      </c>
      <c r="AN75" s="70" t="s">
        <v>93</v>
      </c>
      <c r="AO75" s="70" t="s">
        <v>93</v>
      </c>
      <c r="AP75" s="70" t="s">
        <v>93</v>
      </c>
      <c r="AQ75" s="70" t="s">
        <v>93</v>
      </c>
      <c r="AR75" s="70" t="s">
        <v>93</v>
      </c>
      <c r="AS75" s="70" t="s">
        <v>93</v>
      </c>
      <c r="AT75" s="70" t="s">
        <v>93</v>
      </c>
      <c r="AU75" s="70" t="s">
        <v>93</v>
      </c>
      <c r="AV75" s="70" t="s">
        <v>93</v>
      </c>
      <c r="AW75" s="70" t="s">
        <v>93</v>
      </c>
      <c r="AX75" s="70" t="s">
        <v>93</v>
      </c>
      <c r="AY75" s="70" t="s">
        <v>93</v>
      </c>
      <c r="AZ75" s="70" t="s">
        <v>93</v>
      </c>
      <c r="BA75" s="70" t="s">
        <v>93</v>
      </c>
      <c r="BB75" s="70" t="s">
        <v>93</v>
      </c>
      <c r="BC75" s="70" t="s">
        <v>93</v>
      </c>
      <c r="BD75" s="70" t="s">
        <v>93</v>
      </c>
      <c r="BE75" s="70" t="s">
        <v>93</v>
      </c>
      <c r="BF75" s="70" t="s">
        <v>93</v>
      </c>
      <c r="BG75" s="70" t="s">
        <v>93</v>
      </c>
      <c r="BH75" s="70" t="s">
        <v>93</v>
      </c>
      <c r="BI75" s="70" t="s">
        <v>93</v>
      </c>
      <c r="BJ75" s="70" t="s">
        <v>93</v>
      </c>
      <c r="BK75" s="70" t="s">
        <v>93</v>
      </c>
      <c r="BL75" s="70" t="s">
        <v>93</v>
      </c>
      <c r="BM75" s="70" t="s">
        <v>93</v>
      </c>
      <c r="BN75" s="70" t="s">
        <v>93</v>
      </c>
      <c r="BO75" s="70" t="s">
        <v>93</v>
      </c>
      <c r="BP75" s="71" t="s">
        <v>93</v>
      </c>
    </row>
    <row r="76" spans="2:68" x14ac:dyDescent="0.25">
      <c r="B76" s="64">
        <v>3</v>
      </c>
      <c r="C76" s="65">
        <v>11</v>
      </c>
      <c r="D76" s="65" t="s">
        <v>92</v>
      </c>
      <c r="E76" s="66">
        <f>'[3]Master File'!B75</f>
        <v>46089</v>
      </c>
      <c r="F76" s="67" t="str">
        <f>'[3]Master File'!C75</f>
        <v>Zoo</v>
      </c>
      <c r="G76" s="46"/>
      <c r="I76" s="70" t="s">
        <v>94</v>
      </c>
      <c r="J76" s="70" t="s">
        <v>94</v>
      </c>
      <c r="K76" s="70" t="s">
        <v>94</v>
      </c>
      <c r="L76" s="68" t="s">
        <v>94</v>
      </c>
      <c r="M76" s="70" t="s">
        <v>94</v>
      </c>
      <c r="N76" s="70" t="s">
        <v>94</v>
      </c>
      <c r="O76" s="70" t="s">
        <v>94</v>
      </c>
      <c r="P76" s="70" t="s">
        <v>94</v>
      </c>
      <c r="Q76" s="70" t="s">
        <v>94</v>
      </c>
      <c r="R76" s="70" t="s">
        <v>94</v>
      </c>
      <c r="S76" s="70" t="s">
        <v>94</v>
      </c>
      <c r="T76" s="70" t="s">
        <v>94</v>
      </c>
      <c r="U76" s="70" t="s">
        <v>94</v>
      </c>
      <c r="V76" s="70" t="s">
        <v>94</v>
      </c>
      <c r="W76" s="70" t="s">
        <v>93</v>
      </c>
      <c r="X76" s="70" t="s">
        <v>94</v>
      </c>
      <c r="Y76" s="70" t="s">
        <v>94</v>
      </c>
      <c r="Z76" s="68" t="s">
        <v>94</v>
      </c>
      <c r="AA76" s="70" t="s">
        <v>94</v>
      </c>
      <c r="AB76" s="70" t="s">
        <v>94</v>
      </c>
      <c r="AC76" s="70" t="s">
        <v>93</v>
      </c>
      <c r="AD76" s="70" t="s">
        <v>94</v>
      </c>
      <c r="AE76" s="70" t="s">
        <v>94</v>
      </c>
      <c r="AF76" s="70" t="s">
        <v>93</v>
      </c>
      <c r="AG76" s="70" t="s">
        <v>93</v>
      </c>
      <c r="AH76" s="70" t="s">
        <v>93</v>
      </c>
      <c r="AI76" s="70" t="s">
        <v>93</v>
      </c>
      <c r="AJ76" s="70" t="s">
        <v>93</v>
      </c>
      <c r="AK76" s="70" t="s">
        <v>93</v>
      </c>
      <c r="AL76" s="70" t="s">
        <v>93</v>
      </c>
      <c r="AM76" s="70" t="s">
        <v>93</v>
      </c>
      <c r="AN76" s="70" t="s">
        <v>93</v>
      </c>
      <c r="AO76" s="70" t="s">
        <v>93</v>
      </c>
      <c r="AP76" s="70" t="s">
        <v>93</v>
      </c>
      <c r="AQ76" s="70" t="s">
        <v>93</v>
      </c>
      <c r="AR76" s="70" t="s">
        <v>93</v>
      </c>
      <c r="AS76" s="70" t="s">
        <v>93</v>
      </c>
      <c r="AT76" s="70" t="s">
        <v>93</v>
      </c>
      <c r="AU76" s="70" t="s">
        <v>93</v>
      </c>
      <c r="AV76" s="70" t="s">
        <v>93</v>
      </c>
      <c r="AW76" s="70" t="s">
        <v>93</v>
      </c>
      <c r="AX76" s="70" t="s">
        <v>93</v>
      </c>
      <c r="AY76" s="70" t="s">
        <v>93</v>
      </c>
      <c r="AZ76" s="70" t="s">
        <v>93</v>
      </c>
      <c r="BA76" s="70" t="s">
        <v>93</v>
      </c>
      <c r="BB76" s="70" t="s">
        <v>93</v>
      </c>
      <c r="BC76" s="70" t="s">
        <v>93</v>
      </c>
      <c r="BD76" s="70" t="s">
        <v>93</v>
      </c>
      <c r="BE76" s="70" t="s">
        <v>93</v>
      </c>
      <c r="BF76" s="70" t="s">
        <v>93</v>
      </c>
      <c r="BG76" s="70" t="s">
        <v>93</v>
      </c>
      <c r="BH76" s="70" t="s">
        <v>93</v>
      </c>
      <c r="BI76" s="70" t="s">
        <v>93</v>
      </c>
      <c r="BJ76" s="70" t="s">
        <v>93</v>
      </c>
      <c r="BK76" s="70" t="s">
        <v>93</v>
      </c>
      <c r="BL76" s="70" t="s">
        <v>93</v>
      </c>
      <c r="BM76" s="70" t="s">
        <v>93</v>
      </c>
      <c r="BN76" s="70" t="s">
        <v>93</v>
      </c>
      <c r="BO76" s="70" t="s">
        <v>93</v>
      </c>
      <c r="BP76" s="71" t="s">
        <v>93</v>
      </c>
    </row>
    <row r="77" spans="2:68" x14ac:dyDescent="0.25">
      <c r="B77" s="64">
        <v>3</v>
      </c>
      <c r="C77" s="65">
        <v>11</v>
      </c>
      <c r="D77" s="65" t="s">
        <v>95</v>
      </c>
      <c r="E77" s="66">
        <f>'[3]Master File'!B76</f>
        <v>46090</v>
      </c>
      <c r="F77" s="67" t="str">
        <f>'[3]Master File'!C76</f>
        <v>Closed</v>
      </c>
      <c r="G77" s="46"/>
      <c r="I77" s="68" t="s">
        <v>93</v>
      </c>
      <c r="J77" s="68" t="s">
        <v>93</v>
      </c>
      <c r="K77" s="68" t="s">
        <v>93</v>
      </c>
      <c r="L77" s="68" t="s">
        <v>94</v>
      </c>
      <c r="M77" s="68" t="s">
        <v>94</v>
      </c>
      <c r="N77" s="68" t="s">
        <v>94</v>
      </c>
      <c r="O77" s="68" t="s">
        <v>94</v>
      </c>
      <c r="P77" s="68" t="s">
        <v>94</v>
      </c>
      <c r="Q77" s="68" t="s">
        <v>93</v>
      </c>
      <c r="R77" s="68" t="s">
        <v>93</v>
      </c>
      <c r="S77" s="68" t="s">
        <v>93</v>
      </c>
      <c r="T77" s="68" t="s">
        <v>93</v>
      </c>
      <c r="U77" s="68" t="s">
        <v>93</v>
      </c>
      <c r="V77" s="68" t="s">
        <v>93</v>
      </c>
      <c r="W77" s="68" t="s">
        <v>93</v>
      </c>
      <c r="X77" s="68" t="s">
        <v>93</v>
      </c>
      <c r="Y77" s="68" t="s">
        <v>93</v>
      </c>
      <c r="Z77" s="68" t="s">
        <v>94</v>
      </c>
      <c r="AA77" s="68" t="s">
        <v>94</v>
      </c>
      <c r="AB77" s="68" t="s">
        <v>93</v>
      </c>
      <c r="AC77" s="68" t="s">
        <v>93</v>
      </c>
      <c r="AD77" s="68" t="s">
        <v>93</v>
      </c>
      <c r="AE77" s="68" t="s">
        <v>93</v>
      </c>
      <c r="AF77" s="68" t="s">
        <v>93</v>
      </c>
      <c r="AG77" s="68" t="s">
        <v>93</v>
      </c>
      <c r="AH77" s="68" t="s">
        <v>93</v>
      </c>
      <c r="AI77" s="68" t="s">
        <v>93</v>
      </c>
      <c r="AJ77" s="68" t="s">
        <v>93</v>
      </c>
      <c r="AK77" s="68" t="s">
        <v>93</v>
      </c>
      <c r="AL77" s="68" t="s">
        <v>93</v>
      </c>
      <c r="AM77" s="68" t="s">
        <v>93</v>
      </c>
      <c r="AN77" s="68" t="s">
        <v>93</v>
      </c>
      <c r="AO77" s="68" t="s">
        <v>93</v>
      </c>
      <c r="AP77" s="68" t="s">
        <v>93</v>
      </c>
      <c r="AQ77" s="68" t="s">
        <v>93</v>
      </c>
      <c r="AR77" s="68" t="s">
        <v>93</v>
      </c>
      <c r="AS77" s="68" t="s">
        <v>93</v>
      </c>
      <c r="AT77" s="68" t="s">
        <v>93</v>
      </c>
      <c r="AU77" s="68" t="s">
        <v>93</v>
      </c>
      <c r="AV77" s="68" t="s">
        <v>93</v>
      </c>
      <c r="AW77" s="68" t="s">
        <v>93</v>
      </c>
      <c r="AX77" s="68" t="s">
        <v>93</v>
      </c>
      <c r="AY77" s="68" t="s">
        <v>93</v>
      </c>
      <c r="AZ77" s="68" t="s">
        <v>93</v>
      </c>
      <c r="BA77" s="68" t="s">
        <v>93</v>
      </c>
      <c r="BB77" s="68" t="s">
        <v>93</v>
      </c>
      <c r="BC77" s="68" t="s">
        <v>93</v>
      </c>
      <c r="BD77" s="68" t="s">
        <v>93</v>
      </c>
      <c r="BE77" s="68" t="s">
        <v>93</v>
      </c>
      <c r="BF77" s="68" t="s">
        <v>93</v>
      </c>
      <c r="BG77" s="68" t="s">
        <v>93</v>
      </c>
      <c r="BH77" s="68" t="s">
        <v>93</v>
      </c>
      <c r="BI77" s="68" t="s">
        <v>93</v>
      </c>
      <c r="BJ77" s="68" t="s">
        <v>93</v>
      </c>
      <c r="BK77" s="68" t="s">
        <v>93</v>
      </c>
      <c r="BL77" s="68" t="s">
        <v>93</v>
      </c>
      <c r="BM77" s="68" t="s">
        <v>93</v>
      </c>
      <c r="BN77" s="68" t="s">
        <v>93</v>
      </c>
      <c r="BO77" s="68" t="s">
        <v>93</v>
      </c>
      <c r="BP77" s="69" t="s">
        <v>93</v>
      </c>
    </row>
    <row r="78" spans="2:68" x14ac:dyDescent="0.25">
      <c r="B78" s="64">
        <v>3</v>
      </c>
      <c r="C78" s="65">
        <v>11</v>
      </c>
      <c r="D78" s="65" t="s">
        <v>96</v>
      </c>
      <c r="E78" s="66">
        <f>'[3]Master File'!B77</f>
        <v>46091</v>
      </c>
      <c r="F78" s="67" t="str">
        <f>'[3]Master File'!C77</f>
        <v>Closed</v>
      </c>
      <c r="G78" s="46"/>
      <c r="I78" s="68" t="s">
        <v>93</v>
      </c>
      <c r="J78" s="68" t="s">
        <v>93</v>
      </c>
      <c r="K78" s="68" t="s">
        <v>93</v>
      </c>
      <c r="L78" s="68" t="s">
        <v>94</v>
      </c>
      <c r="M78" s="68" t="s">
        <v>94</v>
      </c>
      <c r="N78" s="68" t="s">
        <v>94</v>
      </c>
      <c r="O78" s="68" t="s">
        <v>94</v>
      </c>
      <c r="P78" s="68" t="s">
        <v>94</v>
      </c>
      <c r="Q78" s="68" t="s">
        <v>93</v>
      </c>
      <c r="R78" s="68" t="s">
        <v>93</v>
      </c>
      <c r="S78" s="68" t="s">
        <v>93</v>
      </c>
      <c r="T78" s="68" t="s">
        <v>93</v>
      </c>
      <c r="U78" s="68" t="s">
        <v>93</v>
      </c>
      <c r="V78" s="68" t="s">
        <v>93</v>
      </c>
      <c r="W78" s="68" t="s">
        <v>93</v>
      </c>
      <c r="X78" s="68" t="s">
        <v>93</v>
      </c>
      <c r="Y78" s="68" t="s">
        <v>93</v>
      </c>
      <c r="Z78" s="68" t="s">
        <v>94</v>
      </c>
      <c r="AA78" s="68" t="s">
        <v>94</v>
      </c>
      <c r="AB78" s="68" t="s">
        <v>93</v>
      </c>
      <c r="AC78" s="68" t="s">
        <v>93</v>
      </c>
      <c r="AD78" s="68" t="s">
        <v>93</v>
      </c>
      <c r="AE78" s="68" t="s">
        <v>93</v>
      </c>
      <c r="AF78" s="68" t="s">
        <v>93</v>
      </c>
      <c r="AG78" s="68" t="s">
        <v>93</v>
      </c>
      <c r="AH78" s="68" t="s">
        <v>93</v>
      </c>
      <c r="AI78" s="68" t="s">
        <v>93</v>
      </c>
      <c r="AJ78" s="68" t="s">
        <v>93</v>
      </c>
      <c r="AK78" s="68" t="s">
        <v>93</v>
      </c>
      <c r="AL78" s="68" t="s">
        <v>93</v>
      </c>
      <c r="AM78" s="68" t="s">
        <v>93</v>
      </c>
      <c r="AN78" s="68" t="s">
        <v>93</v>
      </c>
      <c r="AO78" s="68" t="s">
        <v>93</v>
      </c>
      <c r="AP78" s="68" t="s">
        <v>93</v>
      </c>
      <c r="AQ78" s="68" t="s">
        <v>93</v>
      </c>
      <c r="AR78" s="68" t="s">
        <v>93</v>
      </c>
      <c r="AS78" s="68" t="s">
        <v>93</v>
      </c>
      <c r="AT78" s="68" t="s">
        <v>93</v>
      </c>
      <c r="AU78" s="68" t="s">
        <v>93</v>
      </c>
      <c r="AV78" s="68" t="s">
        <v>93</v>
      </c>
      <c r="AW78" s="68" t="s">
        <v>93</v>
      </c>
      <c r="AX78" s="68" t="s">
        <v>93</v>
      </c>
      <c r="AY78" s="68" t="s">
        <v>93</v>
      </c>
      <c r="AZ78" s="68" t="s">
        <v>93</v>
      </c>
      <c r="BA78" s="68" t="s">
        <v>93</v>
      </c>
      <c r="BB78" s="68" t="s">
        <v>93</v>
      </c>
      <c r="BC78" s="68" t="s">
        <v>93</v>
      </c>
      <c r="BD78" s="68" t="s">
        <v>93</v>
      </c>
      <c r="BE78" s="68" t="s">
        <v>93</v>
      </c>
      <c r="BF78" s="68" t="s">
        <v>93</v>
      </c>
      <c r="BG78" s="68" t="s">
        <v>93</v>
      </c>
      <c r="BH78" s="68" t="s">
        <v>93</v>
      </c>
      <c r="BI78" s="68" t="s">
        <v>93</v>
      </c>
      <c r="BJ78" s="68" t="s">
        <v>93</v>
      </c>
      <c r="BK78" s="68" t="s">
        <v>93</v>
      </c>
      <c r="BL78" s="68" t="s">
        <v>93</v>
      </c>
      <c r="BM78" s="68" t="s">
        <v>93</v>
      </c>
      <c r="BN78" s="68" t="s">
        <v>93</v>
      </c>
      <c r="BO78" s="68" t="s">
        <v>93</v>
      </c>
      <c r="BP78" s="69" t="s">
        <v>93</v>
      </c>
    </row>
    <row r="79" spans="2:68" x14ac:dyDescent="0.25">
      <c r="B79" s="64">
        <v>3</v>
      </c>
      <c r="C79" s="65">
        <v>11</v>
      </c>
      <c r="D79" s="65" t="s">
        <v>97</v>
      </c>
      <c r="E79" s="66">
        <f>'[3]Master File'!B78</f>
        <v>46092</v>
      </c>
      <c r="F79" s="67" t="str">
        <f>'[3]Master File'!C78</f>
        <v>Closed</v>
      </c>
      <c r="G79" s="46"/>
      <c r="I79" s="68" t="s">
        <v>93</v>
      </c>
      <c r="J79" s="68" t="s">
        <v>93</v>
      </c>
      <c r="K79" s="68" t="s">
        <v>93</v>
      </c>
      <c r="L79" s="68" t="s">
        <v>94</v>
      </c>
      <c r="M79" s="68" t="s">
        <v>94</v>
      </c>
      <c r="N79" s="68" t="s">
        <v>94</v>
      </c>
      <c r="O79" s="68" t="s">
        <v>94</v>
      </c>
      <c r="P79" s="68" t="s">
        <v>94</v>
      </c>
      <c r="Q79" s="68" t="s">
        <v>93</v>
      </c>
      <c r="R79" s="68" t="s">
        <v>93</v>
      </c>
      <c r="S79" s="68" t="s">
        <v>93</v>
      </c>
      <c r="T79" s="68" t="s">
        <v>93</v>
      </c>
      <c r="U79" s="68" t="s">
        <v>93</v>
      </c>
      <c r="V79" s="68" t="s">
        <v>93</v>
      </c>
      <c r="W79" s="68" t="s">
        <v>93</v>
      </c>
      <c r="X79" s="68" t="s">
        <v>93</v>
      </c>
      <c r="Y79" s="68" t="s">
        <v>93</v>
      </c>
      <c r="Z79" s="68" t="s">
        <v>94</v>
      </c>
      <c r="AA79" s="68" t="s">
        <v>94</v>
      </c>
      <c r="AB79" s="68" t="s">
        <v>93</v>
      </c>
      <c r="AC79" s="68" t="s">
        <v>93</v>
      </c>
      <c r="AD79" s="68" t="s">
        <v>93</v>
      </c>
      <c r="AE79" s="68" t="s">
        <v>93</v>
      </c>
      <c r="AF79" s="68" t="s">
        <v>93</v>
      </c>
      <c r="AG79" s="68" t="s">
        <v>93</v>
      </c>
      <c r="AH79" s="68" t="s">
        <v>93</v>
      </c>
      <c r="AI79" s="68" t="s">
        <v>93</v>
      </c>
      <c r="AJ79" s="68" t="s">
        <v>93</v>
      </c>
      <c r="AK79" s="68" t="s">
        <v>93</v>
      </c>
      <c r="AL79" s="68" t="s">
        <v>93</v>
      </c>
      <c r="AM79" s="68" t="s">
        <v>93</v>
      </c>
      <c r="AN79" s="68" t="s">
        <v>93</v>
      </c>
      <c r="AO79" s="68" t="s">
        <v>93</v>
      </c>
      <c r="AP79" s="68" t="s">
        <v>93</v>
      </c>
      <c r="AQ79" s="68" t="s">
        <v>93</v>
      </c>
      <c r="AR79" s="68" t="s">
        <v>93</v>
      </c>
      <c r="AS79" s="68" t="s">
        <v>93</v>
      </c>
      <c r="AT79" s="68" t="s">
        <v>93</v>
      </c>
      <c r="AU79" s="68" t="s">
        <v>93</v>
      </c>
      <c r="AV79" s="68" t="s">
        <v>93</v>
      </c>
      <c r="AW79" s="68" t="s">
        <v>93</v>
      </c>
      <c r="AX79" s="68" t="s">
        <v>93</v>
      </c>
      <c r="AY79" s="68" t="s">
        <v>93</v>
      </c>
      <c r="AZ79" s="68" t="s">
        <v>93</v>
      </c>
      <c r="BA79" s="68" t="s">
        <v>93</v>
      </c>
      <c r="BB79" s="68" t="s">
        <v>93</v>
      </c>
      <c r="BC79" s="68" t="s">
        <v>93</v>
      </c>
      <c r="BD79" s="68" t="s">
        <v>93</v>
      </c>
      <c r="BE79" s="68" t="s">
        <v>93</v>
      </c>
      <c r="BF79" s="68" t="s">
        <v>93</v>
      </c>
      <c r="BG79" s="68" t="s">
        <v>93</v>
      </c>
      <c r="BH79" s="68" t="s">
        <v>93</v>
      </c>
      <c r="BI79" s="68" t="s">
        <v>93</v>
      </c>
      <c r="BJ79" s="68" t="s">
        <v>93</v>
      </c>
      <c r="BK79" s="68" t="s">
        <v>93</v>
      </c>
      <c r="BL79" s="68" t="s">
        <v>93</v>
      </c>
      <c r="BM79" s="68" t="s">
        <v>93</v>
      </c>
      <c r="BN79" s="68" t="s">
        <v>93</v>
      </c>
      <c r="BO79" s="68" t="s">
        <v>93</v>
      </c>
      <c r="BP79" s="69" t="s">
        <v>93</v>
      </c>
    </row>
    <row r="80" spans="2:68" x14ac:dyDescent="0.25">
      <c r="B80" s="64">
        <v>3</v>
      </c>
      <c r="C80" s="65">
        <v>11</v>
      </c>
      <c r="D80" s="65" t="s">
        <v>98</v>
      </c>
      <c r="E80" s="66">
        <f>'[3]Master File'!B79</f>
        <v>46093</v>
      </c>
      <c r="F80" s="67" t="str">
        <f>'[3]Master File'!C79</f>
        <v>Closed</v>
      </c>
      <c r="G80" s="46"/>
      <c r="I80" s="68" t="s">
        <v>93</v>
      </c>
      <c r="J80" s="68" t="s">
        <v>93</v>
      </c>
      <c r="K80" s="68" t="s">
        <v>93</v>
      </c>
      <c r="L80" s="68" t="s">
        <v>94</v>
      </c>
      <c r="M80" s="68" t="s">
        <v>94</v>
      </c>
      <c r="N80" s="68" t="s">
        <v>94</v>
      </c>
      <c r="O80" s="68" t="s">
        <v>94</v>
      </c>
      <c r="P80" s="68" t="s">
        <v>94</v>
      </c>
      <c r="Q80" s="68" t="s">
        <v>93</v>
      </c>
      <c r="R80" s="68" t="s">
        <v>93</v>
      </c>
      <c r="S80" s="68" t="s">
        <v>93</v>
      </c>
      <c r="T80" s="68" t="s">
        <v>93</v>
      </c>
      <c r="U80" s="68" t="s">
        <v>93</v>
      </c>
      <c r="V80" s="68" t="s">
        <v>93</v>
      </c>
      <c r="W80" s="68" t="s">
        <v>93</v>
      </c>
      <c r="X80" s="68" t="s">
        <v>93</v>
      </c>
      <c r="Y80" s="68" t="s">
        <v>93</v>
      </c>
      <c r="Z80" s="68" t="s">
        <v>94</v>
      </c>
      <c r="AA80" s="68" t="s">
        <v>94</v>
      </c>
      <c r="AB80" s="68" t="s">
        <v>93</v>
      </c>
      <c r="AC80" s="68" t="s">
        <v>93</v>
      </c>
      <c r="AD80" s="68" t="s">
        <v>93</v>
      </c>
      <c r="AE80" s="68" t="s">
        <v>93</v>
      </c>
      <c r="AF80" s="68" t="s">
        <v>93</v>
      </c>
      <c r="AG80" s="68" t="s">
        <v>93</v>
      </c>
      <c r="AH80" s="68" t="s">
        <v>93</v>
      </c>
      <c r="AI80" s="68" t="s">
        <v>93</v>
      </c>
      <c r="AJ80" s="68" t="s">
        <v>93</v>
      </c>
      <c r="AK80" s="68" t="s">
        <v>93</v>
      </c>
      <c r="AL80" s="68" t="s">
        <v>93</v>
      </c>
      <c r="AM80" s="68" t="s">
        <v>93</v>
      </c>
      <c r="AN80" s="68" t="s">
        <v>93</v>
      </c>
      <c r="AO80" s="68" t="s">
        <v>93</v>
      </c>
      <c r="AP80" s="68" t="s">
        <v>93</v>
      </c>
      <c r="AQ80" s="68" t="s">
        <v>93</v>
      </c>
      <c r="AR80" s="68" t="s">
        <v>93</v>
      </c>
      <c r="AS80" s="68" t="s">
        <v>93</v>
      </c>
      <c r="AT80" s="68" t="s">
        <v>93</v>
      </c>
      <c r="AU80" s="68" t="s">
        <v>93</v>
      </c>
      <c r="AV80" s="68" t="s">
        <v>93</v>
      </c>
      <c r="AW80" s="68" t="s">
        <v>93</v>
      </c>
      <c r="AX80" s="68" t="s">
        <v>93</v>
      </c>
      <c r="AY80" s="68" t="s">
        <v>93</v>
      </c>
      <c r="AZ80" s="68" t="s">
        <v>93</v>
      </c>
      <c r="BA80" s="68" t="s">
        <v>93</v>
      </c>
      <c r="BB80" s="68" t="s">
        <v>93</v>
      </c>
      <c r="BC80" s="68" t="s">
        <v>93</v>
      </c>
      <c r="BD80" s="68" t="s">
        <v>93</v>
      </c>
      <c r="BE80" s="68" t="s">
        <v>93</v>
      </c>
      <c r="BF80" s="68" t="s">
        <v>93</v>
      </c>
      <c r="BG80" s="68" t="s">
        <v>93</v>
      </c>
      <c r="BH80" s="68" t="s">
        <v>93</v>
      </c>
      <c r="BI80" s="68" t="s">
        <v>93</v>
      </c>
      <c r="BJ80" s="68" t="s">
        <v>93</v>
      </c>
      <c r="BK80" s="68" t="s">
        <v>93</v>
      </c>
      <c r="BL80" s="68" t="s">
        <v>93</v>
      </c>
      <c r="BM80" s="68" t="s">
        <v>93</v>
      </c>
      <c r="BN80" s="68" t="s">
        <v>93</v>
      </c>
      <c r="BO80" s="68" t="s">
        <v>93</v>
      </c>
      <c r="BP80" s="69" t="s">
        <v>93</v>
      </c>
    </row>
    <row r="81" spans="2:68" x14ac:dyDescent="0.25">
      <c r="B81" s="64">
        <v>3</v>
      </c>
      <c r="C81" s="65">
        <v>11</v>
      </c>
      <c r="D81" s="65" t="s">
        <v>99</v>
      </c>
      <c r="E81" s="66">
        <f>'[3]Master File'!B80</f>
        <v>46094</v>
      </c>
      <c r="F81" s="67" t="str">
        <f>'[3]Master File'!C80</f>
        <v>Closed</v>
      </c>
      <c r="G81" s="46"/>
      <c r="I81" s="68" t="s">
        <v>93</v>
      </c>
      <c r="J81" s="68" t="s">
        <v>93</v>
      </c>
      <c r="K81" s="68" t="s">
        <v>93</v>
      </c>
      <c r="L81" s="68" t="s">
        <v>94</v>
      </c>
      <c r="M81" s="68" t="s">
        <v>94</v>
      </c>
      <c r="N81" s="68" t="s">
        <v>94</v>
      </c>
      <c r="O81" s="68" t="s">
        <v>94</v>
      </c>
      <c r="P81" s="68" t="s">
        <v>94</v>
      </c>
      <c r="Q81" s="68" t="s">
        <v>93</v>
      </c>
      <c r="R81" s="68" t="s">
        <v>93</v>
      </c>
      <c r="S81" s="68" t="s">
        <v>93</v>
      </c>
      <c r="T81" s="68" t="s">
        <v>93</v>
      </c>
      <c r="U81" s="68" t="s">
        <v>93</v>
      </c>
      <c r="V81" s="68" t="s">
        <v>93</v>
      </c>
      <c r="W81" s="68" t="s">
        <v>93</v>
      </c>
      <c r="X81" s="68" t="s">
        <v>93</v>
      </c>
      <c r="Y81" s="68" t="s">
        <v>93</v>
      </c>
      <c r="Z81" s="68" t="s">
        <v>94</v>
      </c>
      <c r="AA81" s="68" t="s">
        <v>94</v>
      </c>
      <c r="AB81" s="68" t="s">
        <v>93</v>
      </c>
      <c r="AC81" s="68" t="s">
        <v>93</v>
      </c>
      <c r="AD81" s="68" t="s">
        <v>93</v>
      </c>
      <c r="AE81" s="68" t="s">
        <v>93</v>
      </c>
      <c r="AF81" s="68" t="s">
        <v>93</v>
      </c>
      <c r="AG81" s="68" t="s">
        <v>93</v>
      </c>
      <c r="AH81" s="68" t="s">
        <v>93</v>
      </c>
      <c r="AI81" s="68" t="s">
        <v>93</v>
      </c>
      <c r="AJ81" s="68" t="s">
        <v>93</v>
      </c>
      <c r="AK81" s="68" t="s">
        <v>93</v>
      </c>
      <c r="AL81" s="68" t="s">
        <v>93</v>
      </c>
      <c r="AM81" s="68" t="s">
        <v>93</v>
      </c>
      <c r="AN81" s="68" t="s">
        <v>93</v>
      </c>
      <c r="AO81" s="68" t="s">
        <v>93</v>
      </c>
      <c r="AP81" s="68" t="s">
        <v>93</v>
      </c>
      <c r="AQ81" s="68" t="s">
        <v>93</v>
      </c>
      <c r="AR81" s="68" t="s">
        <v>93</v>
      </c>
      <c r="AS81" s="68" t="s">
        <v>93</v>
      </c>
      <c r="AT81" s="68" t="s">
        <v>93</v>
      </c>
      <c r="AU81" s="68" t="s">
        <v>93</v>
      </c>
      <c r="AV81" s="68" t="s">
        <v>93</v>
      </c>
      <c r="AW81" s="68" t="s">
        <v>93</v>
      </c>
      <c r="AX81" s="68" t="s">
        <v>93</v>
      </c>
      <c r="AY81" s="68" t="s">
        <v>93</v>
      </c>
      <c r="AZ81" s="68" t="s">
        <v>93</v>
      </c>
      <c r="BA81" s="68" t="s">
        <v>93</v>
      </c>
      <c r="BB81" s="68" t="s">
        <v>93</v>
      </c>
      <c r="BC81" s="68" t="s">
        <v>93</v>
      </c>
      <c r="BD81" s="68" t="s">
        <v>93</v>
      </c>
      <c r="BE81" s="68" t="s">
        <v>93</v>
      </c>
      <c r="BF81" s="68" t="s">
        <v>93</v>
      </c>
      <c r="BG81" s="68" t="s">
        <v>93</v>
      </c>
      <c r="BH81" s="68" t="s">
        <v>93</v>
      </c>
      <c r="BI81" s="68" t="s">
        <v>93</v>
      </c>
      <c r="BJ81" s="68" t="s">
        <v>93</v>
      </c>
      <c r="BK81" s="68" t="s">
        <v>93</v>
      </c>
      <c r="BL81" s="68" t="s">
        <v>93</v>
      </c>
      <c r="BM81" s="68" t="s">
        <v>93</v>
      </c>
      <c r="BN81" s="68" t="s">
        <v>93</v>
      </c>
      <c r="BO81" s="68" t="s">
        <v>93</v>
      </c>
      <c r="BP81" s="69" t="s">
        <v>93</v>
      </c>
    </row>
    <row r="82" spans="2:68" x14ac:dyDescent="0.25">
      <c r="B82" s="64">
        <v>3</v>
      </c>
      <c r="C82" s="65">
        <v>11</v>
      </c>
      <c r="D82" s="65" t="s">
        <v>100</v>
      </c>
      <c r="E82" s="66">
        <f>'[3]Master File'!B81</f>
        <v>46095</v>
      </c>
      <c r="F82" s="67" t="str">
        <f>'[3]Master File'!C81</f>
        <v>Lodge 4PM</v>
      </c>
      <c r="G82" s="46"/>
      <c r="I82" s="70" t="s">
        <v>93</v>
      </c>
      <c r="J82" s="70" t="s">
        <v>93</v>
      </c>
      <c r="K82" s="70" t="s">
        <v>93</v>
      </c>
      <c r="L82" s="68" t="s">
        <v>94</v>
      </c>
      <c r="M82" s="70" t="s">
        <v>94</v>
      </c>
      <c r="N82" s="70" t="s">
        <v>94</v>
      </c>
      <c r="O82" s="70" t="s">
        <v>94</v>
      </c>
      <c r="P82" s="70" t="s">
        <v>94</v>
      </c>
      <c r="Q82" s="70" t="s">
        <v>93</v>
      </c>
      <c r="R82" s="70" t="s">
        <v>93</v>
      </c>
      <c r="S82" s="70" t="s">
        <v>93</v>
      </c>
      <c r="T82" s="70" t="s">
        <v>93</v>
      </c>
      <c r="U82" s="70" t="s">
        <v>93</v>
      </c>
      <c r="V82" s="70" t="s">
        <v>93</v>
      </c>
      <c r="W82" s="70" t="s">
        <v>93</v>
      </c>
      <c r="X82" s="70" t="s">
        <v>93</v>
      </c>
      <c r="Y82" s="70" t="s">
        <v>93</v>
      </c>
      <c r="Z82" s="68" t="s">
        <v>94</v>
      </c>
      <c r="AA82" s="70" t="s">
        <v>94</v>
      </c>
      <c r="AB82" s="70" t="s">
        <v>93</v>
      </c>
      <c r="AC82" s="70" t="s">
        <v>93</v>
      </c>
      <c r="AD82" s="70" t="s">
        <v>94</v>
      </c>
      <c r="AE82" s="70" t="s">
        <v>94</v>
      </c>
      <c r="AF82" s="70" t="s">
        <v>93</v>
      </c>
      <c r="AG82" s="70" t="s">
        <v>93</v>
      </c>
      <c r="AH82" s="70" t="s">
        <v>93</v>
      </c>
      <c r="AI82" s="70" t="s">
        <v>93</v>
      </c>
      <c r="AJ82" s="70" t="s">
        <v>93</v>
      </c>
      <c r="AK82" s="70" t="s">
        <v>93</v>
      </c>
      <c r="AL82" s="70" t="s">
        <v>93</v>
      </c>
      <c r="AM82" s="70" t="s">
        <v>93</v>
      </c>
      <c r="AN82" s="70" t="s">
        <v>93</v>
      </c>
      <c r="AO82" s="70" t="s">
        <v>93</v>
      </c>
      <c r="AP82" s="70" t="s">
        <v>93</v>
      </c>
      <c r="AQ82" s="70" t="s">
        <v>93</v>
      </c>
      <c r="AR82" s="70" t="s">
        <v>93</v>
      </c>
      <c r="AS82" s="70" t="s">
        <v>93</v>
      </c>
      <c r="AT82" s="70" t="s">
        <v>93</v>
      </c>
      <c r="AU82" s="70" t="s">
        <v>93</v>
      </c>
      <c r="AV82" s="70" t="s">
        <v>93</v>
      </c>
      <c r="AW82" s="70" t="s">
        <v>93</v>
      </c>
      <c r="AX82" s="70" t="s">
        <v>93</v>
      </c>
      <c r="AY82" s="70" t="s">
        <v>93</v>
      </c>
      <c r="AZ82" s="70" t="s">
        <v>93</v>
      </c>
      <c r="BA82" s="70" t="s">
        <v>93</v>
      </c>
      <c r="BB82" s="70" t="s">
        <v>93</v>
      </c>
      <c r="BC82" s="70" t="s">
        <v>93</v>
      </c>
      <c r="BD82" s="70" t="s">
        <v>93</v>
      </c>
      <c r="BE82" s="70" t="s">
        <v>93</v>
      </c>
      <c r="BF82" s="70" t="s">
        <v>93</v>
      </c>
      <c r="BG82" s="70" t="s">
        <v>93</v>
      </c>
      <c r="BH82" s="70" t="s">
        <v>93</v>
      </c>
      <c r="BI82" s="70" t="s">
        <v>93</v>
      </c>
      <c r="BJ82" s="70" t="s">
        <v>93</v>
      </c>
      <c r="BK82" s="70" t="s">
        <v>93</v>
      </c>
      <c r="BL82" s="70" t="s">
        <v>93</v>
      </c>
      <c r="BM82" s="70" t="s">
        <v>93</v>
      </c>
      <c r="BN82" s="70" t="s">
        <v>93</v>
      </c>
      <c r="BO82" s="70" t="s">
        <v>93</v>
      </c>
      <c r="BP82" s="71" t="s">
        <v>93</v>
      </c>
    </row>
    <row r="83" spans="2:68" x14ac:dyDescent="0.25">
      <c r="B83" s="64">
        <v>3</v>
      </c>
      <c r="C83" s="65">
        <v>12</v>
      </c>
      <c r="D83" s="65" t="s">
        <v>92</v>
      </c>
      <c r="E83" s="66">
        <f>'[3]Master File'!B82</f>
        <v>46096</v>
      </c>
      <c r="F83" s="67" t="str">
        <f>'[3]Master File'!C82</f>
        <v>Explorer 5PM</v>
      </c>
      <c r="G83" s="46"/>
      <c r="I83" s="70" t="s">
        <v>93</v>
      </c>
      <c r="J83" s="70" t="s">
        <v>93</v>
      </c>
      <c r="K83" s="70" t="s">
        <v>93</v>
      </c>
      <c r="L83" s="68" t="s">
        <v>94</v>
      </c>
      <c r="M83" s="70" t="s">
        <v>94</v>
      </c>
      <c r="N83" s="70" t="s">
        <v>94</v>
      </c>
      <c r="O83" s="70" t="s">
        <v>94</v>
      </c>
      <c r="P83" s="70" t="s">
        <v>94</v>
      </c>
      <c r="Q83" s="70" t="s">
        <v>93</v>
      </c>
      <c r="R83" s="70" t="s">
        <v>93</v>
      </c>
      <c r="S83" s="70" t="s">
        <v>93</v>
      </c>
      <c r="T83" s="70" t="s">
        <v>93</v>
      </c>
      <c r="U83" s="70" t="s">
        <v>93</v>
      </c>
      <c r="V83" s="70" t="s">
        <v>93</v>
      </c>
      <c r="W83" s="70" t="s">
        <v>93</v>
      </c>
      <c r="X83" s="70" t="s">
        <v>93</v>
      </c>
      <c r="Y83" s="70" t="s">
        <v>93</v>
      </c>
      <c r="Z83" s="68" t="s">
        <v>94</v>
      </c>
      <c r="AA83" s="70" t="s">
        <v>94</v>
      </c>
      <c r="AB83" s="70" t="s">
        <v>93</v>
      </c>
      <c r="AC83" s="70" t="s">
        <v>93</v>
      </c>
      <c r="AD83" s="70" t="s">
        <v>94</v>
      </c>
      <c r="AE83" s="70" t="s">
        <v>94</v>
      </c>
      <c r="AF83" s="70" t="s">
        <v>93</v>
      </c>
      <c r="AG83" s="70" t="s">
        <v>93</v>
      </c>
      <c r="AH83" s="70" t="s">
        <v>93</v>
      </c>
      <c r="AI83" s="70" t="s">
        <v>93</v>
      </c>
      <c r="AJ83" s="70" t="s">
        <v>93</v>
      </c>
      <c r="AK83" s="70" t="s">
        <v>93</v>
      </c>
      <c r="AL83" s="70" t="s">
        <v>93</v>
      </c>
      <c r="AM83" s="70" t="s">
        <v>93</v>
      </c>
      <c r="AN83" s="70" t="s">
        <v>93</v>
      </c>
      <c r="AO83" s="70" t="s">
        <v>93</v>
      </c>
      <c r="AP83" s="70" t="s">
        <v>93</v>
      </c>
      <c r="AQ83" s="70" t="s">
        <v>93</v>
      </c>
      <c r="AR83" s="70" t="s">
        <v>93</v>
      </c>
      <c r="AS83" s="70" t="s">
        <v>93</v>
      </c>
      <c r="AT83" s="70" t="s">
        <v>93</v>
      </c>
      <c r="AU83" s="70" t="s">
        <v>93</v>
      </c>
      <c r="AV83" s="70" t="s">
        <v>93</v>
      </c>
      <c r="AW83" s="70" t="s">
        <v>93</v>
      </c>
      <c r="AX83" s="70" t="s">
        <v>93</v>
      </c>
      <c r="AY83" s="70" t="s">
        <v>93</v>
      </c>
      <c r="AZ83" s="70" t="s">
        <v>93</v>
      </c>
      <c r="BA83" s="70" t="s">
        <v>93</v>
      </c>
      <c r="BB83" s="70" t="s">
        <v>93</v>
      </c>
      <c r="BC83" s="70" t="s">
        <v>93</v>
      </c>
      <c r="BD83" s="70" t="s">
        <v>93</v>
      </c>
      <c r="BE83" s="70" t="s">
        <v>93</v>
      </c>
      <c r="BF83" s="70" t="s">
        <v>93</v>
      </c>
      <c r="BG83" s="70" t="s">
        <v>93</v>
      </c>
      <c r="BH83" s="70" t="s">
        <v>93</v>
      </c>
      <c r="BI83" s="70" t="s">
        <v>93</v>
      </c>
      <c r="BJ83" s="70" t="s">
        <v>93</v>
      </c>
      <c r="BK83" s="70" t="s">
        <v>93</v>
      </c>
      <c r="BL83" s="70" t="s">
        <v>93</v>
      </c>
      <c r="BM83" s="70" t="s">
        <v>93</v>
      </c>
      <c r="BN83" s="70" t="s">
        <v>93</v>
      </c>
      <c r="BO83" s="70" t="s">
        <v>93</v>
      </c>
      <c r="BP83" s="71" t="s">
        <v>93</v>
      </c>
    </row>
    <row r="84" spans="2:68" x14ac:dyDescent="0.25">
      <c r="B84" s="64">
        <v>3</v>
      </c>
      <c r="C84" s="65">
        <v>12</v>
      </c>
      <c r="D84" s="65" t="s">
        <v>95</v>
      </c>
      <c r="E84" s="66">
        <f>'[3]Master File'!B83</f>
        <v>46097</v>
      </c>
      <c r="F84" s="67" t="str">
        <f>'[3]Master File'!C83</f>
        <v>Closed</v>
      </c>
      <c r="G84" s="46"/>
      <c r="I84" s="68" t="s">
        <v>93</v>
      </c>
      <c r="J84" s="68" t="s">
        <v>93</v>
      </c>
      <c r="K84" s="68" t="s">
        <v>93</v>
      </c>
      <c r="L84" s="68" t="s">
        <v>94</v>
      </c>
      <c r="M84" s="68" t="s">
        <v>94</v>
      </c>
      <c r="N84" s="68" t="s">
        <v>94</v>
      </c>
      <c r="O84" s="68" t="s">
        <v>94</v>
      </c>
      <c r="P84" s="68" t="s">
        <v>94</v>
      </c>
      <c r="Q84" s="68" t="s">
        <v>93</v>
      </c>
      <c r="R84" s="68" t="s">
        <v>93</v>
      </c>
      <c r="S84" s="68" t="s">
        <v>93</v>
      </c>
      <c r="T84" s="68" t="s">
        <v>93</v>
      </c>
      <c r="U84" s="68" t="s">
        <v>93</v>
      </c>
      <c r="V84" s="68" t="s">
        <v>93</v>
      </c>
      <c r="W84" s="68" t="s">
        <v>93</v>
      </c>
      <c r="X84" s="68" t="s">
        <v>93</v>
      </c>
      <c r="Y84" s="68" t="s">
        <v>93</v>
      </c>
      <c r="Z84" s="68" t="s">
        <v>94</v>
      </c>
      <c r="AA84" s="68" t="s">
        <v>94</v>
      </c>
      <c r="AB84" s="68" t="s">
        <v>93</v>
      </c>
      <c r="AC84" s="68" t="s">
        <v>93</v>
      </c>
      <c r="AD84" s="68" t="s">
        <v>93</v>
      </c>
      <c r="AE84" s="68" t="s">
        <v>93</v>
      </c>
      <c r="AF84" s="68" t="s">
        <v>93</v>
      </c>
      <c r="AG84" s="68" t="s">
        <v>93</v>
      </c>
      <c r="AH84" s="68" t="s">
        <v>93</v>
      </c>
      <c r="AI84" s="68" t="s">
        <v>93</v>
      </c>
      <c r="AJ84" s="68" t="s">
        <v>93</v>
      </c>
      <c r="AK84" s="68" t="s">
        <v>93</v>
      </c>
      <c r="AL84" s="68" t="s">
        <v>93</v>
      </c>
      <c r="AM84" s="68" t="s">
        <v>93</v>
      </c>
      <c r="AN84" s="68" t="s">
        <v>93</v>
      </c>
      <c r="AO84" s="68" t="s">
        <v>93</v>
      </c>
      <c r="AP84" s="68" t="s">
        <v>93</v>
      </c>
      <c r="AQ84" s="68" t="s">
        <v>93</v>
      </c>
      <c r="AR84" s="68" t="s">
        <v>93</v>
      </c>
      <c r="AS84" s="68" t="s">
        <v>93</v>
      </c>
      <c r="AT84" s="68" t="s">
        <v>93</v>
      </c>
      <c r="AU84" s="68" t="s">
        <v>93</v>
      </c>
      <c r="AV84" s="68" t="s">
        <v>93</v>
      </c>
      <c r="AW84" s="68" t="s">
        <v>93</v>
      </c>
      <c r="AX84" s="68" t="s">
        <v>93</v>
      </c>
      <c r="AY84" s="68" t="s">
        <v>93</v>
      </c>
      <c r="AZ84" s="68" t="s">
        <v>93</v>
      </c>
      <c r="BA84" s="68" t="s">
        <v>93</v>
      </c>
      <c r="BB84" s="68" t="s">
        <v>93</v>
      </c>
      <c r="BC84" s="68" t="s">
        <v>93</v>
      </c>
      <c r="BD84" s="68" t="s">
        <v>93</v>
      </c>
      <c r="BE84" s="68" t="s">
        <v>93</v>
      </c>
      <c r="BF84" s="68" t="s">
        <v>93</v>
      </c>
      <c r="BG84" s="68" t="s">
        <v>93</v>
      </c>
      <c r="BH84" s="68" t="s">
        <v>93</v>
      </c>
      <c r="BI84" s="68" t="s">
        <v>93</v>
      </c>
      <c r="BJ84" s="68" t="s">
        <v>93</v>
      </c>
      <c r="BK84" s="68" t="s">
        <v>93</v>
      </c>
      <c r="BL84" s="68" t="s">
        <v>93</v>
      </c>
      <c r="BM84" s="68" t="s">
        <v>93</v>
      </c>
      <c r="BN84" s="68" t="s">
        <v>93</v>
      </c>
      <c r="BO84" s="68" t="s">
        <v>93</v>
      </c>
      <c r="BP84" s="69" t="s">
        <v>93</v>
      </c>
    </row>
    <row r="85" spans="2:68" x14ac:dyDescent="0.25">
      <c r="B85" s="64">
        <v>3</v>
      </c>
      <c r="C85" s="65">
        <v>12</v>
      </c>
      <c r="D85" s="65" t="s">
        <v>96</v>
      </c>
      <c r="E85" s="66">
        <f>'[3]Master File'!B84</f>
        <v>46098</v>
      </c>
      <c r="F85" s="67" t="str">
        <f>'[3]Master File'!C84</f>
        <v>Closed</v>
      </c>
      <c r="G85" s="46"/>
      <c r="I85" s="68" t="s">
        <v>93</v>
      </c>
      <c r="J85" s="68" t="s">
        <v>93</v>
      </c>
      <c r="K85" s="68" t="s">
        <v>93</v>
      </c>
      <c r="L85" s="68" t="s">
        <v>94</v>
      </c>
      <c r="M85" s="68" t="s">
        <v>94</v>
      </c>
      <c r="N85" s="68" t="s">
        <v>94</v>
      </c>
      <c r="O85" s="68" t="s">
        <v>94</v>
      </c>
      <c r="P85" s="68" t="s">
        <v>94</v>
      </c>
      <c r="Q85" s="68" t="s">
        <v>93</v>
      </c>
      <c r="R85" s="68" t="s">
        <v>93</v>
      </c>
      <c r="S85" s="68" t="s">
        <v>93</v>
      </c>
      <c r="T85" s="68" t="s">
        <v>93</v>
      </c>
      <c r="U85" s="68" t="s">
        <v>93</v>
      </c>
      <c r="V85" s="68" t="s">
        <v>93</v>
      </c>
      <c r="W85" s="68" t="s">
        <v>93</v>
      </c>
      <c r="X85" s="68" t="s">
        <v>93</v>
      </c>
      <c r="Y85" s="68" t="s">
        <v>93</v>
      </c>
      <c r="Z85" s="68" t="s">
        <v>94</v>
      </c>
      <c r="AA85" s="68" t="s">
        <v>94</v>
      </c>
      <c r="AB85" s="68" t="s">
        <v>93</v>
      </c>
      <c r="AC85" s="68" t="s">
        <v>93</v>
      </c>
      <c r="AD85" s="68" t="s">
        <v>93</v>
      </c>
      <c r="AE85" s="68" t="s">
        <v>93</v>
      </c>
      <c r="AF85" s="68" t="s">
        <v>93</v>
      </c>
      <c r="AG85" s="68" t="s">
        <v>93</v>
      </c>
      <c r="AH85" s="68" t="s">
        <v>93</v>
      </c>
      <c r="AI85" s="68" t="s">
        <v>93</v>
      </c>
      <c r="AJ85" s="68" t="s">
        <v>93</v>
      </c>
      <c r="AK85" s="68" t="s">
        <v>93</v>
      </c>
      <c r="AL85" s="68" t="s">
        <v>93</v>
      </c>
      <c r="AM85" s="68" t="s">
        <v>93</v>
      </c>
      <c r="AN85" s="68" t="s">
        <v>93</v>
      </c>
      <c r="AO85" s="68" t="s">
        <v>93</v>
      </c>
      <c r="AP85" s="68" t="s">
        <v>93</v>
      </c>
      <c r="AQ85" s="68" t="s">
        <v>93</v>
      </c>
      <c r="AR85" s="68" t="s">
        <v>93</v>
      </c>
      <c r="AS85" s="68" t="s">
        <v>93</v>
      </c>
      <c r="AT85" s="68" t="s">
        <v>93</v>
      </c>
      <c r="AU85" s="68" t="s">
        <v>93</v>
      </c>
      <c r="AV85" s="68" t="s">
        <v>93</v>
      </c>
      <c r="AW85" s="68" t="s">
        <v>93</v>
      </c>
      <c r="AX85" s="68" t="s">
        <v>93</v>
      </c>
      <c r="AY85" s="68" t="s">
        <v>93</v>
      </c>
      <c r="AZ85" s="68" t="s">
        <v>93</v>
      </c>
      <c r="BA85" s="68" t="s">
        <v>93</v>
      </c>
      <c r="BB85" s="68" t="s">
        <v>93</v>
      </c>
      <c r="BC85" s="68" t="s">
        <v>93</v>
      </c>
      <c r="BD85" s="68" t="s">
        <v>93</v>
      </c>
      <c r="BE85" s="68" t="s">
        <v>93</v>
      </c>
      <c r="BF85" s="68" t="s">
        <v>93</v>
      </c>
      <c r="BG85" s="68" t="s">
        <v>93</v>
      </c>
      <c r="BH85" s="68" t="s">
        <v>93</v>
      </c>
      <c r="BI85" s="68" t="s">
        <v>93</v>
      </c>
      <c r="BJ85" s="68" t="s">
        <v>93</v>
      </c>
      <c r="BK85" s="68" t="s">
        <v>93</v>
      </c>
      <c r="BL85" s="68" t="s">
        <v>93</v>
      </c>
      <c r="BM85" s="68" t="s">
        <v>93</v>
      </c>
      <c r="BN85" s="68" t="s">
        <v>93</v>
      </c>
      <c r="BO85" s="68" t="s">
        <v>93</v>
      </c>
      <c r="BP85" s="69" t="s">
        <v>93</v>
      </c>
    </row>
    <row r="86" spans="2:68" x14ac:dyDescent="0.25">
      <c r="B86" s="64">
        <v>3</v>
      </c>
      <c r="C86" s="65">
        <v>12</v>
      </c>
      <c r="D86" s="65" t="s">
        <v>97</v>
      </c>
      <c r="E86" s="66">
        <f>'[3]Master File'!B85</f>
        <v>46099</v>
      </c>
      <c r="F86" s="67" t="str">
        <f>'[3]Master File'!C85</f>
        <v>Closed</v>
      </c>
      <c r="G86" s="46"/>
      <c r="I86" s="68" t="s">
        <v>93</v>
      </c>
      <c r="J86" s="68" t="s">
        <v>93</v>
      </c>
      <c r="K86" s="68" t="s">
        <v>93</v>
      </c>
      <c r="L86" s="68" t="s">
        <v>94</v>
      </c>
      <c r="M86" s="68" t="s">
        <v>94</v>
      </c>
      <c r="N86" s="68" t="s">
        <v>94</v>
      </c>
      <c r="O86" s="68" t="s">
        <v>94</v>
      </c>
      <c r="P86" s="68" t="s">
        <v>94</v>
      </c>
      <c r="Q86" s="68" t="s">
        <v>93</v>
      </c>
      <c r="R86" s="68" t="s">
        <v>93</v>
      </c>
      <c r="S86" s="68" t="s">
        <v>93</v>
      </c>
      <c r="T86" s="68" t="s">
        <v>93</v>
      </c>
      <c r="U86" s="68" t="s">
        <v>93</v>
      </c>
      <c r="V86" s="68" t="s">
        <v>93</v>
      </c>
      <c r="W86" s="68" t="s">
        <v>93</v>
      </c>
      <c r="X86" s="68" t="s">
        <v>93</v>
      </c>
      <c r="Y86" s="68" t="s">
        <v>93</v>
      </c>
      <c r="Z86" s="68" t="s">
        <v>94</v>
      </c>
      <c r="AA86" s="68" t="s">
        <v>94</v>
      </c>
      <c r="AB86" s="68" t="s">
        <v>93</v>
      </c>
      <c r="AC86" s="68" t="s">
        <v>93</v>
      </c>
      <c r="AD86" s="68" t="s">
        <v>93</v>
      </c>
      <c r="AE86" s="68" t="s">
        <v>93</v>
      </c>
      <c r="AF86" s="68" t="s">
        <v>93</v>
      </c>
      <c r="AG86" s="68" t="s">
        <v>93</v>
      </c>
      <c r="AH86" s="68" t="s">
        <v>93</v>
      </c>
      <c r="AI86" s="68" t="s">
        <v>93</v>
      </c>
      <c r="AJ86" s="68" t="s">
        <v>93</v>
      </c>
      <c r="AK86" s="68" t="s">
        <v>93</v>
      </c>
      <c r="AL86" s="68" t="s">
        <v>93</v>
      </c>
      <c r="AM86" s="68" t="s">
        <v>93</v>
      </c>
      <c r="AN86" s="68" t="s">
        <v>93</v>
      </c>
      <c r="AO86" s="68" t="s">
        <v>93</v>
      </c>
      <c r="AP86" s="68" t="s">
        <v>93</v>
      </c>
      <c r="AQ86" s="68" t="s">
        <v>93</v>
      </c>
      <c r="AR86" s="68" t="s">
        <v>93</v>
      </c>
      <c r="AS86" s="68" t="s">
        <v>93</v>
      </c>
      <c r="AT86" s="68" t="s">
        <v>93</v>
      </c>
      <c r="AU86" s="68" t="s">
        <v>93</v>
      </c>
      <c r="AV86" s="68" t="s">
        <v>93</v>
      </c>
      <c r="AW86" s="68" t="s">
        <v>93</v>
      </c>
      <c r="AX86" s="68" t="s">
        <v>93</v>
      </c>
      <c r="AY86" s="68" t="s">
        <v>93</v>
      </c>
      <c r="AZ86" s="68" t="s">
        <v>93</v>
      </c>
      <c r="BA86" s="68" t="s">
        <v>93</v>
      </c>
      <c r="BB86" s="68" t="s">
        <v>93</v>
      </c>
      <c r="BC86" s="68" t="s">
        <v>93</v>
      </c>
      <c r="BD86" s="68" t="s">
        <v>93</v>
      </c>
      <c r="BE86" s="68" t="s">
        <v>93</v>
      </c>
      <c r="BF86" s="68" t="s">
        <v>93</v>
      </c>
      <c r="BG86" s="68" t="s">
        <v>93</v>
      </c>
      <c r="BH86" s="68" t="s">
        <v>93</v>
      </c>
      <c r="BI86" s="68" t="s">
        <v>93</v>
      </c>
      <c r="BJ86" s="68" t="s">
        <v>93</v>
      </c>
      <c r="BK86" s="68" t="s">
        <v>93</v>
      </c>
      <c r="BL86" s="68" t="s">
        <v>93</v>
      </c>
      <c r="BM86" s="68" t="s">
        <v>93</v>
      </c>
      <c r="BN86" s="68" t="s">
        <v>93</v>
      </c>
      <c r="BO86" s="68" t="s">
        <v>93</v>
      </c>
      <c r="BP86" s="69" t="s">
        <v>93</v>
      </c>
    </row>
    <row r="87" spans="2:68" x14ac:dyDescent="0.25">
      <c r="B87" s="64">
        <v>3</v>
      </c>
      <c r="C87" s="65">
        <v>12</v>
      </c>
      <c r="D87" s="65" t="s">
        <v>98</v>
      </c>
      <c r="E87" s="66">
        <f>'[3]Master File'!B86</f>
        <v>46100</v>
      </c>
      <c r="F87" s="67" t="str">
        <f>'[3]Master File'!C86</f>
        <v>Closed</v>
      </c>
      <c r="G87" s="46"/>
      <c r="I87" s="68" t="s">
        <v>93</v>
      </c>
      <c r="J87" s="68" t="s">
        <v>93</v>
      </c>
      <c r="K87" s="68" t="s">
        <v>93</v>
      </c>
      <c r="L87" s="68" t="s">
        <v>94</v>
      </c>
      <c r="M87" s="68" t="s">
        <v>94</v>
      </c>
      <c r="N87" s="68" t="s">
        <v>94</v>
      </c>
      <c r="O87" s="68" t="s">
        <v>94</v>
      </c>
      <c r="P87" s="68" t="s">
        <v>94</v>
      </c>
      <c r="Q87" s="68" t="s">
        <v>93</v>
      </c>
      <c r="R87" s="68" t="s">
        <v>93</v>
      </c>
      <c r="S87" s="68" t="s">
        <v>93</v>
      </c>
      <c r="T87" s="68" t="s">
        <v>93</v>
      </c>
      <c r="U87" s="68" t="s">
        <v>93</v>
      </c>
      <c r="V87" s="68" t="s">
        <v>93</v>
      </c>
      <c r="W87" s="68" t="s">
        <v>93</v>
      </c>
      <c r="X87" s="68" t="s">
        <v>93</v>
      </c>
      <c r="Y87" s="68" t="s">
        <v>93</v>
      </c>
      <c r="Z87" s="68" t="s">
        <v>94</v>
      </c>
      <c r="AA87" s="68" t="s">
        <v>94</v>
      </c>
      <c r="AB87" s="68" t="s">
        <v>93</v>
      </c>
      <c r="AC87" s="68" t="s">
        <v>93</v>
      </c>
      <c r="AD87" s="68" t="s">
        <v>93</v>
      </c>
      <c r="AE87" s="68" t="s">
        <v>93</v>
      </c>
      <c r="AF87" s="68" t="s">
        <v>93</v>
      </c>
      <c r="AG87" s="68" t="s">
        <v>93</v>
      </c>
      <c r="AH87" s="68" t="s">
        <v>93</v>
      </c>
      <c r="AI87" s="68" t="s">
        <v>93</v>
      </c>
      <c r="AJ87" s="68" t="s">
        <v>93</v>
      </c>
      <c r="AK87" s="68" t="s">
        <v>93</v>
      </c>
      <c r="AL87" s="68" t="s">
        <v>93</v>
      </c>
      <c r="AM87" s="68" t="s">
        <v>93</v>
      </c>
      <c r="AN87" s="68" t="s">
        <v>93</v>
      </c>
      <c r="AO87" s="68" t="s">
        <v>93</v>
      </c>
      <c r="AP87" s="68" t="s">
        <v>93</v>
      </c>
      <c r="AQ87" s="68" t="s">
        <v>93</v>
      </c>
      <c r="AR87" s="68" t="s">
        <v>93</v>
      </c>
      <c r="AS87" s="68" t="s">
        <v>93</v>
      </c>
      <c r="AT87" s="68" t="s">
        <v>93</v>
      </c>
      <c r="AU87" s="68" t="s">
        <v>93</v>
      </c>
      <c r="AV87" s="68" t="s">
        <v>93</v>
      </c>
      <c r="AW87" s="68" t="s">
        <v>93</v>
      </c>
      <c r="AX87" s="68" t="s">
        <v>93</v>
      </c>
      <c r="AY87" s="68" t="s">
        <v>93</v>
      </c>
      <c r="AZ87" s="68" t="s">
        <v>93</v>
      </c>
      <c r="BA87" s="68" t="s">
        <v>93</v>
      </c>
      <c r="BB87" s="68" t="s">
        <v>93</v>
      </c>
      <c r="BC87" s="68" t="s">
        <v>93</v>
      </c>
      <c r="BD87" s="68" t="s">
        <v>93</v>
      </c>
      <c r="BE87" s="68" t="s">
        <v>93</v>
      </c>
      <c r="BF87" s="68" t="s">
        <v>93</v>
      </c>
      <c r="BG87" s="68" t="s">
        <v>93</v>
      </c>
      <c r="BH87" s="68" t="s">
        <v>93</v>
      </c>
      <c r="BI87" s="68" t="s">
        <v>93</v>
      </c>
      <c r="BJ87" s="68" t="s">
        <v>93</v>
      </c>
      <c r="BK87" s="68" t="s">
        <v>93</v>
      </c>
      <c r="BL87" s="68" t="s">
        <v>93</v>
      </c>
      <c r="BM87" s="68" t="s">
        <v>93</v>
      </c>
      <c r="BN87" s="68" t="s">
        <v>93</v>
      </c>
      <c r="BO87" s="68" t="s">
        <v>93</v>
      </c>
      <c r="BP87" s="69" t="s">
        <v>93</v>
      </c>
    </row>
    <row r="88" spans="2:68" x14ac:dyDescent="0.25">
      <c r="B88" s="64">
        <v>3</v>
      </c>
      <c r="C88" s="65">
        <v>12</v>
      </c>
      <c r="D88" s="65" t="s">
        <v>99</v>
      </c>
      <c r="E88" s="66">
        <f>'[3]Master File'!B87</f>
        <v>46101</v>
      </c>
      <c r="F88" s="67" t="str">
        <f>'[3]Master File'!C87</f>
        <v>Explorer 5PM</v>
      </c>
      <c r="G88" s="46"/>
      <c r="I88" s="68" t="s">
        <v>93</v>
      </c>
      <c r="J88" s="68" t="s">
        <v>93</v>
      </c>
      <c r="K88" s="68" t="s">
        <v>93</v>
      </c>
      <c r="L88" s="68" t="s">
        <v>94</v>
      </c>
      <c r="M88" s="68" t="s">
        <v>94</v>
      </c>
      <c r="N88" s="68" t="s">
        <v>94</v>
      </c>
      <c r="O88" s="68" t="s">
        <v>94</v>
      </c>
      <c r="P88" s="68" t="s">
        <v>94</v>
      </c>
      <c r="Q88" s="68" t="s">
        <v>93</v>
      </c>
      <c r="R88" s="68" t="s">
        <v>93</v>
      </c>
      <c r="S88" s="68" t="s">
        <v>93</v>
      </c>
      <c r="T88" s="68" t="s">
        <v>93</v>
      </c>
      <c r="U88" s="68" t="s">
        <v>93</v>
      </c>
      <c r="V88" s="68" t="s">
        <v>93</v>
      </c>
      <c r="W88" s="68" t="s">
        <v>93</v>
      </c>
      <c r="X88" s="68" t="s">
        <v>93</v>
      </c>
      <c r="Y88" s="68" t="s">
        <v>93</v>
      </c>
      <c r="Z88" s="68" t="s">
        <v>94</v>
      </c>
      <c r="AA88" s="68" t="s">
        <v>94</v>
      </c>
      <c r="AB88" s="68" t="s">
        <v>93</v>
      </c>
      <c r="AC88" s="68" t="s">
        <v>93</v>
      </c>
      <c r="AD88" s="68" t="s">
        <v>93</v>
      </c>
      <c r="AE88" s="68" t="s">
        <v>93</v>
      </c>
      <c r="AF88" s="68" t="s">
        <v>93</v>
      </c>
      <c r="AG88" s="68" t="s">
        <v>93</v>
      </c>
      <c r="AH88" s="68" t="s">
        <v>93</v>
      </c>
      <c r="AI88" s="68" t="s">
        <v>93</v>
      </c>
      <c r="AJ88" s="68" t="s">
        <v>93</v>
      </c>
      <c r="AK88" s="68" t="s">
        <v>93</v>
      </c>
      <c r="AL88" s="68" t="s">
        <v>93</v>
      </c>
      <c r="AM88" s="68" t="s">
        <v>93</v>
      </c>
      <c r="AN88" s="68" t="s">
        <v>93</v>
      </c>
      <c r="AO88" s="68" t="s">
        <v>93</v>
      </c>
      <c r="AP88" s="68" t="s">
        <v>93</v>
      </c>
      <c r="AQ88" s="68" t="s">
        <v>93</v>
      </c>
      <c r="AR88" s="68" t="s">
        <v>93</v>
      </c>
      <c r="AS88" s="68" t="s">
        <v>93</v>
      </c>
      <c r="AT88" s="68" t="s">
        <v>93</v>
      </c>
      <c r="AU88" s="68" t="s">
        <v>93</v>
      </c>
      <c r="AV88" s="68" t="s">
        <v>93</v>
      </c>
      <c r="AW88" s="68" t="s">
        <v>93</v>
      </c>
      <c r="AX88" s="68" t="s">
        <v>93</v>
      </c>
      <c r="AY88" s="68" t="s">
        <v>93</v>
      </c>
      <c r="AZ88" s="68" t="s">
        <v>93</v>
      </c>
      <c r="BA88" s="68" t="s">
        <v>93</v>
      </c>
      <c r="BB88" s="68" t="s">
        <v>93</v>
      </c>
      <c r="BC88" s="68" t="s">
        <v>93</v>
      </c>
      <c r="BD88" s="68" t="s">
        <v>93</v>
      </c>
      <c r="BE88" s="68" t="s">
        <v>93</v>
      </c>
      <c r="BF88" s="68" t="s">
        <v>93</v>
      </c>
      <c r="BG88" s="68" t="s">
        <v>93</v>
      </c>
      <c r="BH88" s="68" t="s">
        <v>93</v>
      </c>
      <c r="BI88" s="68" t="s">
        <v>93</v>
      </c>
      <c r="BJ88" s="68" t="s">
        <v>93</v>
      </c>
      <c r="BK88" s="68" t="s">
        <v>93</v>
      </c>
      <c r="BL88" s="68" t="s">
        <v>93</v>
      </c>
      <c r="BM88" s="68" t="s">
        <v>93</v>
      </c>
      <c r="BN88" s="68" t="s">
        <v>93</v>
      </c>
      <c r="BO88" s="68" t="s">
        <v>93</v>
      </c>
      <c r="BP88" s="69" t="s">
        <v>93</v>
      </c>
    </row>
    <row r="89" spans="2:68" x14ac:dyDescent="0.25">
      <c r="B89" s="64">
        <v>3</v>
      </c>
      <c r="C89" s="65">
        <v>12</v>
      </c>
      <c r="D89" s="65" t="s">
        <v>100</v>
      </c>
      <c r="E89" s="66">
        <f>'[3]Master File'!B88</f>
        <v>46102</v>
      </c>
      <c r="F89" s="67" t="str">
        <f>'[3]Master File'!C88</f>
        <v>Explorer 5PM</v>
      </c>
      <c r="G89" s="46"/>
      <c r="I89" s="70" t="s">
        <v>93</v>
      </c>
      <c r="J89" s="70" t="s">
        <v>93</v>
      </c>
      <c r="K89" s="70" t="s">
        <v>93</v>
      </c>
      <c r="L89" s="68" t="s">
        <v>94</v>
      </c>
      <c r="M89" s="70" t="s">
        <v>94</v>
      </c>
      <c r="N89" s="70" t="s">
        <v>94</v>
      </c>
      <c r="O89" s="70" t="s">
        <v>94</v>
      </c>
      <c r="P89" s="70" t="s">
        <v>94</v>
      </c>
      <c r="Q89" s="70" t="s">
        <v>93</v>
      </c>
      <c r="R89" s="70" t="s">
        <v>93</v>
      </c>
      <c r="S89" s="70" t="s">
        <v>93</v>
      </c>
      <c r="T89" s="70" t="s">
        <v>93</v>
      </c>
      <c r="U89" s="70" t="s">
        <v>93</v>
      </c>
      <c r="V89" s="70" t="s">
        <v>93</v>
      </c>
      <c r="W89" s="70" t="s">
        <v>93</v>
      </c>
      <c r="X89" s="70" t="s">
        <v>93</v>
      </c>
      <c r="Y89" s="70" t="s">
        <v>93</v>
      </c>
      <c r="Z89" s="68" t="s">
        <v>94</v>
      </c>
      <c r="AA89" s="70" t="s">
        <v>94</v>
      </c>
      <c r="AB89" s="70" t="s">
        <v>93</v>
      </c>
      <c r="AC89" s="70" t="s">
        <v>93</v>
      </c>
      <c r="AD89" s="70" t="s">
        <v>94</v>
      </c>
      <c r="AE89" s="70" t="s">
        <v>94</v>
      </c>
      <c r="AF89" s="70" t="s">
        <v>93</v>
      </c>
      <c r="AG89" s="70" t="s">
        <v>93</v>
      </c>
      <c r="AH89" s="70" t="s">
        <v>93</v>
      </c>
      <c r="AI89" s="70" t="s">
        <v>93</v>
      </c>
      <c r="AJ89" s="70" t="s">
        <v>93</v>
      </c>
      <c r="AK89" s="70" t="s">
        <v>93</v>
      </c>
      <c r="AL89" s="70" t="s">
        <v>93</v>
      </c>
      <c r="AM89" s="70" t="s">
        <v>93</v>
      </c>
      <c r="AN89" s="70" t="s">
        <v>93</v>
      </c>
      <c r="AO89" s="70" t="s">
        <v>93</v>
      </c>
      <c r="AP89" s="70" t="s">
        <v>93</v>
      </c>
      <c r="AQ89" s="70" t="s">
        <v>93</v>
      </c>
      <c r="AR89" s="70" t="s">
        <v>93</v>
      </c>
      <c r="AS89" s="70" t="s">
        <v>93</v>
      </c>
      <c r="AT89" s="70" t="s">
        <v>93</v>
      </c>
      <c r="AU89" s="70" t="s">
        <v>93</v>
      </c>
      <c r="AV89" s="70" t="s">
        <v>93</v>
      </c>
      <c r="AW89" s="70" t="s">
        <v>93</v>
      </c>
      <c r="AX89" s="70" t="s">
        <v>93</v>
      </c>
      <c r="AY89" s="70" t="s">
        <v>93</v>
      </c>
      <c r="AZ89" s="70" t="s">
        <v>93</v>
      </c>
      <c r="BA89" s="70" t="s">
        <v>93</v>
      </c>
      <c r="BB89" s="70" t="s">
        <v>93</v>
      </c>
      <c r="BC89" s="70" t="s">
        <v>93</v>
      </c>
      <c r="BD89" s="70" t="s">
        <v>93</v>
      </c>
      <c r="BE89" s="70" t="s">
        <v>93</v>
      </c>
      <c r="BF89" s="70" t="s">
        <v>93</v>
      </c>
      <c r="BG89" s="70" t="s">
        <v>93</v>
      </c>
      <c r="BH89" s="70" t="s">
        <v>93</v>
      </c>
      <c r="BI89" s="70" t="s">
        <v>93</v>
      </c>
      <c r="BJ89" s="70" t="s">
        <v>93</v>
      </c>
      <c r="BK89" s="70" t="s">
        <v>93</v>
      </c>
      <c r="BL89" s="70" t="s">
        <v>93</v>
      </c>
      <c r="BM89" s="70" t="s">
        <v>93</v>
      </c>
      <c r="BN89" s="70" t="s">
        <v>93</v>
      </c>
      <c r="BO89" s="70" t="s">
        <v>93</v>
      </c>
      <c r="BP89" s="71" t="s">
        <v>93</v>
      </c>
    </row>
    <row r="90" spans="2:68" x14ac:dyDescent="0.25">
      <c r="B90" s="64">
        <v>3</v>
      </c>
      <c r="C90" s="65">
        <v>13</v>
      </c>
      <c r="D90" s="65" t="s">
        <v>92</v>
      </c>
      <c r="E90" s="66">
        <f>'[3]Master File'!B89</f>
        <v>46103</v>
      </c>
      <c r="F90" s="67" t="str">
        <f>'[3]Master File'!C89</f>
        <v>Explorer 5PM</v>
      </c>
      <c r="G90" s="46"/>
      <c r="I90" s="70" t="s">
        <v>93</v>
      </c>
      <c r="J90" s="70" t="s">
        <v>93</v>
      </c>
      <c r="K90" s="70" t="s">
        <v>93</v>
      </c>
      <c r="L90" s="68" t="s">
        <v>94</v>
      </c>
      <c r="M90" s="70" t="s">
        <v>94</v>
      </c>
      <c r="N90" s="70" t="s">
        <v>94</v>
      </c>
      <c r="O90" s="70" t="s">
        <v>94</v>
      </c>
      <c r="P90" s="70" t="s">
        <v>94</v>
      </c>
      <c r="Q90" s="70" t="s">
        <v>93</v>
      </c>
      <c r="R90" s="70" t="s">
        <v>93</v>
      </c>
      <c r="S90" s="70" t="s">
        <v>93</v>
      </c>
      <c r="T90" s="70" t="s">
        <v>93</v>
      </c>
      <c r="U90" s="70" t="s">
        <v>93</v>
      </c>
      <c r="V90" s="70" t="s">
        <v>93</v>
      </c>
      <c r="W90" s="70" t="s">
        <v>93</v>
      </c>
      <c r="X90" s="70" t="s">
        <v>93</v>
      </c>
      <c r="Y90" s="70" t="s">
        <v>93</v>
      </c>
      <c r="Z90" s="68" t="s">
        <v>94</v>
      </c>
      <c r="AA90" s="70" t="s">
        <v>94</v>
      </c>
      <c r="AB90" s="70" t="s">
        <v>93</v>
      </c>
      <c r="AC90" s="70" t="s">
        <v>93</v>
      </c>
      <c r="AD90" s="70" t="s">
        <v>94</v>
      </c>
      <c r="AE90" s="70" t="s">
        <v>94</v>
      </c>
      <c r="AF90" s="70" t="s">
        <v>93</v>
      </c>
      <c r="AG90" s="70" t="s">
        <v>93</v>
      </c>
      <c r="AH90" s="70" t="s">
        <v>93</v>
      </c>
      <c r="AI90" s="70" t="s">
        <v>93</v>
      </c>
      <c r="AJ90" s="70" t="s">
        <v>93</v>
      </c>
      <c r="AK90" s="70" t="s">
        <v>93</v>
      </c>
      <c r="AL90" s="70" t="s">
        <v>93</v>
      </c>
      <c r="AM90" s="70" t="s">
        <v>93</v>
      </c>
      <c r="AN90" s="70" t="s">
        <v>93</v>
      </c>
      <c r="AO90" s="70" t="s">
        <v>93</v>
      </c>
      <c r="AP90" s="70" t="s">
        <v>93</v>
      </c>
      <c r="AQ90" s="70" t="s">
        <v>93</v>
      </c>
      <c r="AR90" s="70" t="s">
        <v>93</v>
      </c>
      <c r="AS90" s="70" t="s">
        <v>93</v>
      </c>
      <c r="AT90" s="70" t="s">
        <v>93</v>
      </c>
      <c r="AU90" s="70" t="s">
        <v>93</v>
      </c>
      <c r="AV90" s="70" t="s">
        <v>93</v>
      </c>
      <c r="AW90" s="70" t="s">
        <v>93</v>
      </c>
      <c r="AX90" s="70" t="s">
        <v>93</v>
      </c>
      <c r="AY90" s="70" t="s">
        <v>93</v>
      </c>
      <c r="AZ90" s="70" t="s">
        <v>93</v>
      </c>
      <c r="BA90" s="70" t="s">
        <v>93</v>
      </c>
      <c r="BB90" s="70" t="s">
        <v>93</v>
      </c>
      <c r="BC90" s="70" t="s">
        <v>93</v>
      </c>
      <c r="BD90" s="70" t="s">
        <v>93</v>
      </c>
      <c r="BE90" s="70" t="s">
        <v>93</v>
      </c>
      <c r="BF90" s="70" t="s">
        <v>93</v>
      </c>
      <c r="BG90" s="70" t="s">
        <v>93</v>
      </c>
      <c r="BH90" s="70" t="s">
        <v>93</v>
      </c>
      <c r="BI90" s="70" t="s">
        <v>93</v>
      </c>
      <c r="BJ90" s="70" t="s">
        <v>93</v>
      </c>
      <c r="BK90" s="70" t="s">
        <v>93</v>
      </c>
      <c r="BL90" s="70" t="s">
        <v>93</v>
      </c>
      <c r="BM90" s="70" t="s">
        <v>93</v>
      </c>
      <c r="BN90" s="70" t="s">
        <v>93</v>
      </c>
      <c r="BO90" s="70" t="s">
        <v>93</v>
      </c>
      <c r="BP90" s="71" t="s">
        <v>93</v>
      </c>
    </row>
    <row r="91" spans="2:68" x14ac:dyDescent="0.25">
      <c r="B91" s="64">
        <v>3</v>
      </c>
      <c r="C91" s="65">
        <v>13</v>
      </c>
      <c r="D91" s="65" t="s">
        <v>95</v>
      </c>
      <c r="E91" s="66">
        <f>'[3]Master File'!B90</f>
        <v>46104</v>
      </c>
      <c r="F91" s="67" t="str">
        <f>'[3]Master File'!C90</f>
        <v>Lodge 5PM</v>
      </c>
      <c r="G91" s="46"/>
      <c r="I91" s="68" t="s">
        <v>93</v>
      </c>
      <c r="J91" s="68" t="s">
        <v>93</v>
      </c>
      <c r="K91" s="68" t="s">
        <v>93</v>
      </c>
      <c r="L91" s="68" t="s">
        <v>94</v>
      </c>
      <c r="M91" s="68" t="s">
        <v>94</v>
      </c>
      <c r="N91" s="68" t="s">
        <v>94</v>
      </c>
      <c r="O91" s="68" t="s">
        <v>94</v>
      </c>
      <c r="P91" s="68" t="s">
        <v>94</v>
      </c>
      <c r="Q91" s="68" t="s">
        <v>93</v>
      </c>
      <c r="R91" s="68" t="s">
        <v>93</v>
      </c>
      <c r="S91" s="68" t="s">
        <v>93</v>
      </c>
      <c r="T91" s="68" t="s">
        <v>93</v>
      </c>
      <c r="U91" s="68" t="s">
        <v>93</v>
      </c>
      <c r="V91" s="68" t="s">
        <v>93</v>
      </c>
      <c r="W91" s="68" t="s">
        <v>93</v>
      </c>
      <c r="X91" s="68" t="s">
        <v>93</v>
      </c>
      <c r="Y91" s="68" t="s">
        <v>93</v>
      </c>
      <c r="Z91" s="68" t="s">
        <v>94</v>
      </c>
      <c r="AA91" s="68" t="s">
        <v>94</v>
      </c>
      <c r="AB91" s="68" t="s">
        <v>93</v>
      </c>
      <c r="AC91" s="68" t="s">
        <v>93</v>
      </c>
      <c r="AD91" s="68" t="s">
        <v>93</v>
      </c>
      <c r="AE91" s="68" t="s">
        <v>93</v>
      </c>
      <c r="AF91" s="68" t="s">
        <v>93</v>
      </c>
      <c r="AG91" s="68" t="s">
        <v>93</v>
      </c>
      <c r="AH91" s="68" t="s">
        <v>93</v>
      </c>
      <c r="AI91" s="68" t="s">
        <v>93</v>
      </c>
      <c r="AJ91" s="68" t="s">
        <v>93</v>
      </c>
      <c r="AK91" s="68" t="s">
        <v>93</v>
      </c>
      <c r="AL91" s="68" t="s">
        <v>93</v>
      </c>
      <c r="AM91" s="68" t="s">
        <v>93</v>
      </c>
      <c r="AN91" s="68" t="s">
        <v>93</v>
      </c>
      <c r="AO91" s="68" t="s">
        <v>93</v>
      </c>
      <c r="AP91" s="68" t="s">
        <v>93</v>
      </c>
      <c r="AQ91" s="68" t="s">
        <v>93</v>
      </c>
      <c r="AR91" s="68" t="s">
        <v>93</v>
      </c>
      <c r="AS91" s="68" t="s">
        <v>93</v>
      </c>
      <c r="AT91" s="68" t="s">
        <v>93</v>
      </c>
      <c r="AU91" s="68" t="s">
        <v>93</v>
      </c>
      <c r="AV91" s="68" t="s">
        <v>93</v>
      </c>
      <c r="AW91" s="68" t="s">
        <v>93</v>
      </c>
      <c r="AX91" s="68" t="s">
        <v>93</v>
      </c>
      <c r="AY91" s="68" t="s">
        <v>93</v>
      </c>
      <c r="AZ91" s="68" t="s">
        <v>93</v>
      </c>
      <c r="BA91" s="68" t="s">
        <v>93</v>
      </c>
      <c r="BB91" s="68" t="s">
        <v>93</v>
      </c>
      <c r="BC91" s="68" t="s">
        <v>93</v>
      </c>
      <c r="BD91" s="68" t="s">
        <v>93</v>
      </c>
      <c r="BE91" s="68" t="s">
        <v>93</v>
      </c>
      <c r="BF91" s="68" t="s">
        <v>93</v>
      </c>
      <c r="BG91" s="68" t="s">
        <v>93</v>
      </c>
      <c r="BH91" s="68" t="s">
        <v>93</v>
      </c>
      <c r="BI91" s="68" t="s">
        <v>93</v>
      </c>
      <c r="BJ91" s="68" t="s">
        <v>93</v>
      </c>
      <c r="BK91" s="68" t="s">
        <v>93</v>
      </c>
      <c r="BL91" s="68" t="s">
        <v>93</v>
      </c>
      <c r="BM91" s="68" t="s">
        <v>93</v>
      </c>
      <c r="BN91" s="68" t="s">
        <v>93</v>
      </c>
      <c r="BO91" s="68" t="s">
        <v>93</v>
      </c>
      <c r="BP91" s="69" t="s">
        <v>93</v>
      </c>
    </row>
    <row r="92" spans="2:68" x14ac:dyDescent="0.25">
      <c r="B92" s="64">
        <v>3</v>
      </c>
      <c r="C92" s="65">
        <v>13</v>
      </c>
      <c r="D92" s="65" t="s">
        <v>96</v>
      </c>
      <c r="E92" s="66">
        <f>'[3]Master File'!B91</f>
        <v>46105</v>
      </c>
      <c r="F92" s="67" t="str">
        <f>'[3]Master File'!C91</f>
        <v>Closed</v>
      </c>
      <c r="G92" s="46"/>
      <c r="I92" s="68" t="s">
        <v>93</v>
      </c>
      <c r="J92" s="68" t="s">
        <v>93</v>
      </c>
      <c r="K92" s="68" t="s">
        <v>93</v>
      </c>
      <c r="L92" s="68" t="s">
        <v>94</v>
      </c>
      <c r="M92" s="68" t="s">
        <v>94</v>
      </c>
      <c r="N92" s="68" t="s">
        <v>94</v>
      </c>
      <c r="O92" s="68" t="s">
        <v>94</v>
      </c>
      <c r="P92" s="68" t="s">
        <v>94</v>
      </c>
      <c r="Q92" s="68" t="s">
        <v>93</v>
      </c>
      <c r="R92" s="68" t="s">
        <v>93</v>
      </c>
      <c r="S92" s="68" t="s">
        <v>93</v>
      </c>
      <c r="T92" s="68" t="s">
        <v>93</v>
      </c>
      <c r="U92" s="68" t="s">
        <v>93</v>
      </c>
      <c r="V92" s="68" t="s">
        <v>93</v>
      </c>
      <c r="W92" s="68" t="s">
        <v>93</v>
      </c>
      <c r="X92" s="68" t="s">
        <v>93</v>
      </c>
      <c r="Y92" s="68" t="s">
        <v>93</v>
      </c>
      <c r="Z92" s="68" t="s">
        <v>94</v>
      </c>
      <c r="AA92" s="68" t="s">
        <v>94</v>
      </c>
      <c r="AB92" s="68" t="s">
        <v>93</v>
      </c>
      <c r="AC92" s="68" t="s">
        <v>93</v>
      </c>
      <c r="AD92" s="68" t="s">
        <v>93</v>
      </c>
      <c r="AE92" s="68" t="s">
        <v>93</v>
      </c>
      <c r="AF92" s="68" t="s">
        <v>93</v>
      </c>
      <c r="AG92" s="68" t="s">
        <v>93</v>
      </c>
      <c r="AH92" s="68" t="s">
        <v>93</v>
      </c>
      <c r="AI92" s="68" t="s">
        <v>93</v>
      </c>
      <c r="AJ92" s="68" t="s">
        <v>93</v>
      </c>
      <c r="AK92" s="68" t="s">
        <v>93</v>
      </c>
      <c r="AL92" s="68" t="s">
        <v>93</v>
      </c>
      <c r="AM92" s="68" t="s">
        <v>93</v>
      </c>
      <c r="AN92" s="68" t="s">
        <v>93</v>
      </c>
      <c r="AO92" s="68" t="s">
        <v>93</v>
      </c>
      <c r="AP92" s="68" t="s">
        <v>93</v>
      </c>
      <c r="AQ92" s="68" t="s">
        <v>93</v>
      </c>
      <c r="AR92" s="68" t="s">
        <v>93</v>
      </c>
      <c r="AS92" s="68" t="s">
        <v>93</v>
      </c>
      <c r="AT92" s="68" t="s">
        <v>93</v>
      </c>
      <c r="AU92" s="68" t="s">
        <v>93</v>
      </c>
      <c r="AV92" s="68" t="s">
        <v>93</v>
      </c>
      <c r="AW92" s="68" t="s">
        <v>93</v>
      </c>
      <c r="AX92" s="68" t="s">
        <v>93</v>
      </c>
      <c r="AY92" s="68" t="s">
        <v>93</v>
      </c>
      <c r="AZ92" s="68" t="s">
        <v>93</v>
      </c>
      <c r="BA92" s="68" t="s">
        <v>93</v>
      </c>
      <c r="BB92" s="68" t="s">
        <v>93</v>
      </c>
      <c r="BC92" s="68" t="s">
        <v>93</v>
      </c>
      <c r="BD92" s="68" t="s">
        <v>93</v>
      </c>
      <c r="BE92" s="68" t="s">
        <v>93</v>
      </c>
      <c r="BF92" s="68" t="s">
        <v>93</v>
      </c>
      <c r="BG92" s="68" t="s">
        <v>93</v>
      </c>
      <c r="BH92" s="68" t="s">
        <v>93</v>
      </c>
      <c r="BI92" s="68" t="s">
        <v>93</v>
      </c>
      <c r="BJ92" s="68" t="s">
        <v>93</v>
      </c>
      <c r="BK92" s="68" t="s">
        <v>93</v>
      </c>
      <c r="BL92" s="68" t="s">
        <v>93</v>
      </c>
      <c r="BM92" s="68" t="s">
        <v>93</v>
      </c>
      <c r="BN92" s="68" t="s">
        <v>93</v>
      </c>
      <c r="BO92" s="68" t="s">
        <v>93</v>
      </c>
      <c r="BP92" s="69" t="s">
        <v>93</v>
      </c>
    </row>
    <row r="93" spans="2:68" x14ac:dyDescent="0.25">
      <c r="B93" s="64">
        <v>3</v>
      </c>
      <c r="C93" s="65">
        <v>13</v>
      </c>
      <c r="D93" s="65" t="s">
        <v>97</v>
      </c>
      <c r="E93" s="66">
        <f>'[3]Master File'!B92</f>
        <v>46106</v>
      </c>
      <c r="F93" s="67" t="str">
        <f>'[3]Master File'!C92</f>
        <v>Closed</v>
      </c>
      <c r="G93" s="46"/>
      <c r="I93" s="68" t="s">
        <v>93</v>
      </c>
      <c r="J93" s="68" t="s">
        <v>93</v>
      </c>
      <c r="K93" s="68" t="s">
        <v>93</v>
      </c>
      <c r="L93" s="68" t="s">
        <v>94</v>
      </c>
      <c r="M93" s="68" t="s">
        <v>94</v>
      </c>
      <c r="N93" s="68" t="s">
        <v>94</v>
      </c>
      <c r="O93" s="68" t="s">
        <v>94</v>
      </c>
      <c r="P93" s="68" t="s">
        <v>94</v>
      </c>
      <c r="Q93" s="68" t="s">
        <v>93</v>
      </c>
      <c r="R93" s="68" t="s">
        <v>93</v>
      </c>
      <c r="S93" s="68" t="s">
        <v>93</v>
      </c>
      <c r="T93" s="68" t="s">
        <v>93</v>
      </c>
      <c r="U93" s="68" t="s">
        <v>93</v>
      </c>
      <c r="V93" s="68" t="s">
        <v>93</v>
      </c>
      <c r="W93" s="68" t="s">
        <v>93</v>
      </c>
      <c r="X93" s="68" t="s">
        <v>93</v>
      </c>
      <c r="Y93" s="68" t="s">
        <v>93</v>
      </c>
      <c r="Z93" s="68" t="s">
        <v>94</v>
      </c>
      <c r="AA93" s="68" t="s">
        <v>94</v>
      </c>
      <c r="AB93" s="68" t="s">
        <v>93</v>
      </c>
      <c r="AC93" s="68" t="s">
        <v>93</v>
      </c>
      <c r="AD93" s="68" t="s">
        <v>93</v>
      </c>
      <c r="AE93" s="68" t="s">
        <v>93</v>
      </c>
      <c r="AF93" s="68" t="s">
        <v>93</v>
      </c>
      <c r="AG93" s="68" t="s">
        <v>93</v>
      </c>
      <c r="AH93" s="68" t="s">
        <v>93</v>
      </c>
      <c r="AI93" s="68" t="s">
        <v>93</v>
      </c>
      <c r="AJ93" s="68" t="s">
        <v>93</v>
      </c>
      <c r="AK93" s="68" t="s">
        <v>93</v>
      </c>
      <c r="AL93" s="68" t="s">
        <v>93</v>
      </c>
      <c r="AM93" s="68" t="s">
        <v>93</v>
      </c>
      <c r="AN93" s="68" t="s">
        <v>93</v>
      </c>
      <c r="AO93" s="68" t="s">
        <v>93</v>
      </c>
      <c r="AP93" s="68" t="s">
        <v>93</v>
      </c>
      <c r="AQ93" s="68" t="s">
        <v>93</v>
      </c>
      <c r="AR93" s="68" t="s">
        <v>93</v>
      </c>
      <c r="AS93" s="68" t="s">
        <v>93</v>
      </c>
      <c r="AT93" s="68" t="s">
        <v>93</v>
      </c>
      <c r="AU93" s="68" t="s">
        <v>93</v>
      </c>
      <c r="AV93" s="68" t="s">
        <v>93</v>
      </c>
      <c r="AW93" s="68" t="s">
        <v>93</v>
      </c>
      <c r="AX93" s="68" t="s">
        <v>93</v>
      </c>
      <c r="AY93" s="68" t="s">
        <v>93</v>
      </c>
      <c r="AZ93" s="68" t="s">
        <v>93</v>
      </c>
      <c r="BA93" s="68" t="s">
        <v>93</v>
      </c>
      <c r="BB93" s="68" t="s">
        <v>93</v>
      </c>
      <c r="BC93" s="68" t="s">
        <v>93</v>
      </c>
      <c r="BD93" s="68" t="s">
        <v>93</v>
      </c>
      <c r="BE93" s="68" t="s">
        <v>93</v>
      </c>
      <c r="BF93" s="68" t="s">
        <v>93</v>
      </c>
      <c r="BG93" s="68" t="s">
        <v>93</v>
      </c>
      <c r="BH93" s="68" t="s">
        <v>93</v>
      </c>
      <c r="BI93" s="68" t="s">
        <v>93</v>
      </c>
      <c r="BJ93" s="68" t="s">
        <v>93</v>
      </c>
      <c r="BK93" s="68" t="s">
        <v>93</v>
      </c>
      <c r="BL93" s="68" t="s">
        <v>93</v>
      </c>
      <c r="BM93" s="68" t="s">
        <v>93</v>
      </c>
      <c r="BN93" s="68" t="s">
        <v>93</v>
      </c>
      <c r="BO93" s="68" t="s">
        <v>93</v>
      </c>
      <c r="BP93" s="69" t="s">
        <v>93</v>
      </c>
    </row>
    <row r="94" spans="2:68" x14ac:dyDescent="0.25">
      <c r="B94" s="64">
        <v>3</v>
      </c>
      <c r="C94" s="65">
        <v>13</v>
      </c>
      <c r="D94" s="65" t="s">
        <v>98</v>
      </c>
      <c r="E94" s="66">
        <f>'[3]Master File'!B93</f>
        <v>46107</v>
      </c>
      <c r="F94" s="67" t="str">
        <f>'[3]Master File'!C93</f>
        <v>Explorer 5PM</v>
      </c>
      <c r="G94" s="46"/>
      <c r="I94" s="68" t="s">
        <v>93</v>
      </c>
      <c r="J94" s="68" t="s">
        <v>93</v>
      </c>
      <c r="K94" s="68" t="s">
        <v>93</v>
      </c>
      <c r="L94" s="68" t="s">
        <v>94</v>
      </c>
      <c r="M94" s="68" t="s">
        <v>94</v>
      </c>
      <c r="N94" s="68" t="s">
        <v>94</v>
      </c>
      <c r="O94" s="68" t="s">
        <v>94</v>
      </c>
      <c r="P94" s="68" t="s">
        <v>94</v>
      </c>
      <c r="Q94" s="68" t="s">
        <v>93</v>
      </c>
      <c r="R94" s="68" t="s">
        <v>93</v>
      </c>
      <c r="S94" s="68" t="s">
        <v>93</v>
      </c>
      <c r="T94" s="68" t="s">
        <v>93</v>
      </c>
      <c r="U94" s="68" t="s">
        <v>93</v>
      </c>
      <c r="V94" s="68" t="s">
        <v>93</v>
      </c>
      <c r="W94" s="68" t="s">
        <v>93</v>
      </c>
      <c r="X94" s="68" t="s">
        <v>93</v>
      </c>
      <c r="Y94" s="68" t="s">
        <v>93</v>
      </c>
      <c r="Z94" s="68" t="s">
        <v>94</v>
      </c>
      <c r="AA94" s="68" t="s">
        <v>94</v>
      </c>
      <c r="AB94" s="68" t="s">
        <v>93</v>
      </c>
      <c r="AC94" s="68" t="s">
        <v>93</v>
      </c>
      <c r="AD94" s="68" t="s">
        <v>93</v>
      </c>
      <c r="AE94" s="68" t="s">
        <v>93</v>
      </c>
      <c r="AF94" s="68" t="s">
        <v>93</v>
      </c>
      <c r="AG94" s="68" t="s">
        <v>93</v>
      </c>
      <c r="AH94" s="68" t="s">
        <v>93</v>
      </c>
      <c r="AI94" s="68" t="s">
        <v>93</v>
      </c>
      <c r="AJ94" s="68" t="s">
        <v>93</v>
      </c>
      <c r="AK94" s="68" t="s">
        <v>93</v>
      </c>
      <c r="AL94" s="68" t="s">
        <v>93</v>
      </c>
      <c r="AM94" s="68" t="s">
        <v>93</v>
      </c>
      <c r="AN94" s="68" t="s">
        <v>93</v>
      </c>
      <c r="AO94" s="68" t="s">
        <v>93</v>
      </c>
      <c r="AP94" s="68" t="s">
        <v>93</v>
      </c>
      <c r="AQ94" s="68" t="s">
        <v>93</v>
      </c>
      <c r="AR94" s="68" t="s">
        <v>93</v>
      </c>
      <c r="AS94" s="68" t="s">
        <v>93</v>
      </c>
      <c r="AT94" s="68" t="s">
        <v>93</v>
      </c>
      <c r="AU94" s="68" t="s">
        <v>93</v>
      </c>
      <c r="AV94" s="68" t="s">
        <v>93</v>
      </c>
      <c r="AW94" s="68" t="s">
        <v>93</v>
      </c>
      <c r="AX94" s="68" t="s">
        <v>93</v>
      </c>
      <c r="AY94" s="68" t="s">
        <v>93</v>
      </c>
      <c r="AZ94" s="68" t="s">
        <v>93</v>
      </c>
      <c r="BA94" s="68" t="s">
        <v>93</v>
      </c>
      <c r="BB94" s="68" t="s">
        <v>93</v>
      </c>
      <c r="BC94" s="68" t="s">
        <v>93</v>
      </c>
      <c r="BD94" s="68" t="s">
        <v>93</v>
      </c>
      <c r="BE94" s="68" t="s">
        <v>93</v>
      </c>
      <c r="BF94" s="68" t="s">
        <v>93</v>
      </c>
      <c r="BG94" s="68" t="s">
        <v>93</v>
      </c>
      <c r="BH94" s="68" t="s">
        <v>93</v>
      </c>
      <c r="BI94" s="68" t="s">
        <v>93</v>
      </c>
      <c r="BJ94" s="68" t="s">
        <v>93</v>
      </c>
      <c r="BK94" s="68" t="s">
        <v>93</v>
      </c>
      <c r="BL94" s="68" t="s">
        <v>93</v>
      </c>
      <c r="BM94" s="68" t="s">
        <v>93</v>
      </c>
      <c r="BN94" s="68" t="s">
        <v>93</v>
      </c>
      <c r="BO94" s="68" t="s">
        <v>93</v>
      </c>
      <c r="BP94" s="69" t="s">
        <v>93</v>
      </c>
    </row>
    <row r="95" spans="2:68" x14ac:dyDescent="0.25">
      <c r="B95" s="64">
        <v>3</v>
      </c>
      <c r="C95" s="65">
        <v>13</v>
      </c>
      <c r="D95" s="65" t="s">
        <v>99</v>
      </c>
      <c r="E95" s="66">
        <f>'[3]Master File'!B94</f>
        <v>46108</v>
      </c>
      <c r="F95" s="67" t="str">
        <f>'[3]Master File'!C94</f>
        <v>Explorer 5PM</v>
      </c>
      <c r="G95" s="46"/>
      <c r="I95" s="68" t="s">
        <v>93</v>
      </c>
      <c r="J95" s="68" t="s">
        <v>93</v>
      </c>
      <c r="K95" s="68" t="s">
        <v>93</v>
      </c>
      <c r="L95" s="68" t="s">
        <v>94</v>
      </c>
      <c r="M95" s="68" t="s">
        <v>94</v>
      </c>
      <c r="N95" s="68" t="s">
        <v>94</v>
      </c>
      <c r="O95" s="68" t="s">
        <v>94</v>
      </c>
      <c r="P95" s="68" t="s">
        <v>94</v>
      </c>
      <c r="Q95" s="68" t="s">
        <v>93</v>
      </c>
      <c r="R95" s="68" t="s">
        <v>93</v>
      </c>
      <c r="S95" s="68" t="s">
        <v>93</v>
      </c>
      <c r="T95" s="68" t="s">
        <v>93</v>
      </c>
      <c r="U95" s="68" t="s">
        <v>93</v>
      </c>
      <c r="V95" s="68" t="s">
        <v>93</v>
      </c>
      <c r="W95" s="68" t="s">
        <v>93</v>
      </c>
      <c r="X95" s="68" t="s">
        <v>93</v>
      </c>
      <c r="Y95" s="68" t="s">
        <v>93</v>
      </c>
      <c r="Z95" s="68" t="s">
        <v>94</v>
      </c>
      <c r="AA95" s="68" t="s">
        <v>94</v>
      </c>
      <c r="AB95" s="68" t="s">
        <v>93</v>
      </c>
      <c r="AC95" s="68" t="s">
        <v>93</v>
      </c>
      <c r="AD95" s="68" t="s">
        <v>93</v>
      </c>
      <c r="AE95" s="68" t="s">
        <v>93</v>
      </c>
      <c r="AF95" s="68" t="s">
        <v>93</v>
      </c>
      <c r="AG95" s="68" t="s">
        <v>93</v>
      </c>
      <c r="AH95" s="68" t="s">
        <v>93</v>
      </c>
      <c r="AI95" s="68" t="s">
        <v>93</v>
      </c>
      <c r="AJ95" s="68" t="s">
        <v>93</v>
      </c>
      <c r="AK95" s="68" t="s">
        <v>93</v>
      </c>
      <c r="AL95" s="68" t="s">
        <v>93</v>
      </c>
      <c r="AM95" s="68" t="s">
        <v>93</v>
      </c>
      <c r="AN95" s="68" t="s">
        <v>93</v>
      </c>
      <c r="AO95" s="68" t="s">
        <v>93</v>
      </c>
      <c r="AP95" s="68" t="s">
        <v>93</v>
      </c>
      <c r="AQ95" s="68" t="s">
        <v>93</v>
      </c>
      <c r="AR95" s="68" t="s">
        <v>93</v>
      </c>
      <c r="AS95" s="68" t="s">
        <v>93</v>
      </c>
      <c r="AT95" s="68" t="s">
        <v>93</v>
      </c>
      <c r="AU95" s="68" t="s">
        <v>93</v>
      </c>
      <c r="AV95" s="68" t="s">
        <v>93</v>
      </c>
      <c r="AW95" s="68" t="s">
        <v>93</v>
      </c>
      <c r="AX95" s="68" t="s">
        <v>93</v>
      </c>
      <c r="AY95" s="68" t="s">
        <v>93</v>
      </c>
      <c r="AZ95" s="68" t="s">
        <v>93</v>
      </c>
      <c r="BA95" s="68" t="s">
        <v>93</v>
      </c>
      <c r="BB95" s="68" t="s">
        <v>93</v>
      </c>
      <c r="BC95" s="68" t="s">
        <v>93</v>
      </c>
      <c r="BD95" s="68" t="s">
        <v>93</v>
      </c>
      <c r="BE95" s="68" t="s">
        <v>93</v>
      </c>
      <c r="BF95" s="68" t="s">
        <v>93</v>
      </c>
      <c r="BG95" s="68" t="s">
        <v>93</v>
      </c>
      <c r="BH95" s="68" t="s">
        <v>93</v>
      </c>
      <c r="BI95" s="68" t="s">
        <v>93</v>
      </c>
      <c r="BJ95" s="68" t="s">
        <v>93</v>
      </c>
      <c r="BK95" s="68" t="s">
        <v>93</v>
      </c>
      <c r="BL95" s="68" t="s">
        <v>93</v>
      </c>
      <c r="BM95" s="68" t="s">
        <v>93</v>
      </c>
      <c r="BN95" s="68" t="s">
        <v>93</v>
      </c>
      <c r="BO95" s="68" t="s">
        <v>93</v>
      </c>
      <c r="BP95" s="69" t="s">
        <v>93</v>
      </c>
    </row>
    <row r="96" spans="2:68" x14ac:dyDescent="0.25">
      <c r="B96" s="64">
        <v>3</v>
      </c>
      <c r="C96" s="65">
        <v>13</v>
      </c>
      <c r="D96" s="65" t="s">
        <v>100</v>
      </c>
      <c r="E96" s="66">
        <f>'[3]Master File'!B95</f>
        <v>46109</v>
      </c>
      <c r="F96" s="67" t="str">
        <f>'[3]Master File'!C95</f>
        <v>Explorer 5PM</v>
      </c>
      <c r="G96" s="46"/>
      <c r="I96" s="70" t="s">
        <v>93</v>
      </c>
      <c r="J96" s="70" t="s">
        <v>93</v>
      </c>
      <c r="K96" s="70" t="s">
        <v>93</v>
      </c>
      <c r="L96" s="68" t="s">
        <v>94</v>
      </c>
      <c r="M96" s="70" t="s">
        <v>94</v>
      </c>
      <c r="N96" s="70" t="s">
        <v>94</v>
      </c>
      <c r="O96" s="70" t="s">
        <v>94</v>
      </c>
      <c r="P96" s="70" t="s">
        <v>94</v>
      </c>
      <c r="Q96" s="70" t="s">
        <v>93</v>
      </c>
      <c r="R96" s="70" t="s">
        <v>93</v>
      </c>
      <c r="S96" s="70" t="s">
        <v>93</v>
      </c>
      <c r="T96" s="70" t="s">
        <v>93</v>
      </c>
      <c r="U96" s="70" t="s">
        <v>93</v>
      </c>
      <c r="V96" s="70" t="s">
        <v>93</v>
      </c>
      <c r="W96" s="70" t="s">
        <v>93</v>
      </c>
      <c r="X96" s="70" t="s">
        <v>93</v>
      </c>
      <c r="Y96" s="70" t="s">
        <v>93</v>
      </c>
      <c r="Z96" s="68" t="s">
        <v>94</v>
      </c>
      <c r="AA96" s="70" t="s">
        <v>94</v>
      </c>
      <c r="AB96" s="70" t="s">
        <v>93</v>
      </c>
      <c r="AC96" s="70" t="s">
        <v>93</v>
      </c>
      <c r="AD96" s="70" t="s">
        <v>94</v>
      </c>
      <c r="AE96" s="70" t="s">
        <v>94</v>
      </c>
      <c r="AF96" s="70" t="s">
        <v>93</v>
      </c>
      <c r="AG96" s="70" t="s">
        <v>93</v>
      </c>
      <c r="AH96" s="70" t="s">
        <v>93</v>
      </c>
      <c r="AI96" s="70" t="s">
        <v>93</v>
      </c>
      <c r="AJ96" s="70" t="s">
        <v>93</v>
      </c>
      <c r="AK96" s="70" t="s">
        <v>93</v>
      </c>
      <c r="AL96" s="70" t="s">
        <v>93</v>
      </c>
      <c r="AM96" s="70" t="s">
        <v>93</v>
      </c>
      <c r="AN96" s="70" t="s">
        <v>93</v>
      </c>
      <c r="AO96" s="70" t="s">
        <v>93</v>
      </c>
      <c r="AP96" s="70" t="s">
        <v>93</v>
      </c>
      <c r="AQ96" s="70" t="s">
        <v>93</v>
      </c>
      <c r="AR96" s="70" t="s">
        <v>93</v>
      </c>
      <c r="AS96" s="70" t="s">
        <v>93</v>
      </c>
      <c r="AT96" s="70" t="s">
        <v>93</v>
      </c>
      <c r="AU96" s="70" t="s">
        <v>93</v>
      </c>
      <c r="AV96" s="70" t="s">
        <v>93</v>
      </c>
      <c r="AW96" s="70" t="s">
        <v>93</v>
      </c>
      <c r="AX96" s="70" t="s">
        <v>93</v>
      </c>
      <c r="AY96" s="70" t="s">
        <v>93</v>
      </c>
      <c r="AZ96" s="70" t="s">
        <v>93</v>
      </c>
      <c r="BA96" s="70" t="s">
        <v>93</v>
      </c>
      <c r="BB96" s="70" t="s">
        <v>93</v>
      </c>
      <c r="BC96" s="70" t="s">
        <v>93</v>
      </c>
      <c r="BD96" s="70" t="s">
        <v>93</v>
      </c>
      <c r="BE96" s="70" t="s">
        <v>93</v>
      </c>
      <c r="BF96" s="70" t="s">
        <v>93</v>
      </c>
      <c r="BG96" s="70" t="s">
        <v>93</v>
      </c>
      <c r="BH96" s="70" t="s">
        <v>93</v>
      </c>
      <c r="BI96" s="70" t="s">
        <v>93</v>
      </c>
      <c r="BJ96" s="70" t="s">
        <v>93</v>
      </c>
      <c r="BK96" s="70" t="s">
        <v>93</v>
      </c>
      <c r="BL96" s="70" t="s">
        <v>93</v>
      </c>
      <c r="BM96" s="70" t="s">
        <v>93</v>
      </c>
      <c r="BN96" s="70" t="s">
        <v>93</v>
      </c>
      <c r="BO96" s="70" t="s">
        <v>93</v>
      </c>
      <c r="BP96" s="71" t="s">
        <v>93</v>
      </c>
    </row>
    <row r="97" spans="2:68" x14ac:dyDescent="0.25">
      <c r="B97" s="64">
        <v>4</v>
      </c>
      <c r="C97" s="65">
        <v>14</v>
      </c>
      <c r="D97" s="65" t="s">
        <v>92</v>
      </c>
      <c r="E97" s="66">
        <f>'[3]Master File'!B96</f>
        <v>46110</v>
      </c>
      <c r="F97" s="67" t="str">
        <f>'[3]Master File'!C96</f>
        <v>Explorer 5PM</v>
      </c>
      <c r="G97" s="46"/>
      <c r="I97" s="70" t="s">
        <v>93</v>
      </c>
      <c r="J97" s="70" t="s">
        <v>93</v>
      </c>
      <c r="K97" s="70" t="s">
        <v>93</v>
      </c>
      <c r="L97" s="68" t="s">
        <v>94</v>
      </c>
      <c r="M97" s="70" t="s">
        <v>94</v>
      </c>
      <c r="N97" s="70" t="s">
        <v>94</v>
      </c>
      <c r="O97" s="70" t="s">
        <v>94</v>
      </c>
      <c r="P97" s="70" t="s">
        <v>94</v>
      </c>
      <c r="Q97" s="70" t="s">
        <v>93</v>
      </c>
      <c r="R97" s="70" t="s">
        <v>93</v>
      </c>
      <c r="S97" s="70" t="s">
        <v>93</v>
      </c>
      <c r="T97" s="70" t="s">
        <v>93</v>
      </c>
      <c r="U97" s="70" t="s">
        <v>93</v>
      </c>
      <c r="V97" s="70" t="s">
        <v>93</v>
      </c>
      <c r="W97" s="70" t="s">
        <v>93</v>
      </c>
      <c r="X97" s="70" t="s">
        <v>93</v>
      </c>
      <c r="Y97" s="70" t="s">
        <v>93</v>
      </c>
      <c r="Z97" s="68" t="s">
        <v>94</v>
      </c>
      <c r="AA97" s="70" t="s">
        <v>94</v>
      </c>
      <c r="AB97" s="70" t="s">
        <v>93</v>
      </c>
      <c r="AC97" s="70" t="s">
        <v>93</v>
      </c>
      <c r="AD97" s="70" t="s">
        <v>94</v>
      </c>
      <c r="AE97" s="70" t="s">
        <v>94</v>
      </c>
      <c r="AF97" s="70" t="s">
        <v>93</v>
      </c>
      <c r="AG97" s="70" t="s">
        <v>93</v>
      </c>
      <c r="AH97" s="70" t="s">
        <v>93</v>
      </c>
      <c r="AI97" s="70" t="s">
        <v>93</v>
      </c>
      <c r="AJ97" s="70" t="s">
        <v>93</v>
      </c>
      <c r="AK97" s="70" t="s">
        <v>93</v>
      </c>
      <c r="AL97" s="70" t="s">
        <v>93</v>
      </c>
      <c r="AM97" s="70" t="s">
        <v>93</v>
      </c>
      <c r="AN97" s="70" t="s">
        <v>93</v>
      </c>
      <c r="AO97" s="70" t="s">
        <v>93</v>
      </c>
      <c r="AP97" s="70" t="s">
        <v>93</v>
      </c>
      <c r="AQ97" s="70" t="s">
        <v>93</v>
      </c>
      <c r="AR97" s="70" t="s">
        <v>93</v>
      </c>
      <c r="AS97" s="70" t="s">
        <v>93</v>
      </c>
      <c r="AT97" s="70" t="s">
        <v>93</v>
      </c>
      <c r="AU97" s="70" t="s">
        <v>93</v>
      </c>
      <c r="AV97" s="70" t="s">
        <v>93</v>
      </c>
      <c r="AW97" s="70" t="s">
        <v>93</v>
      </c>
      <c r="AX97" s="70" t="s">
        <v>93</v>
      </c>
      <c r="AY97" s="70" t="s">
        <v>93</v>
      </c>
      <c r="AZ97" s="70" t="s">
        <v>93</v>
      </c>
      <c r="BA97" s="70" t="s">
        <v>93</v>
      </c>
      <c r="BB97" s="70" t="s">
        <v>93</v>
      </c>
      <c r="BC97" s="70" t="s">
        <v>93</v>
      </c>
      <c r="BD97" s="70" t="s">
        <v>93</v>
      </c>
      <c r="BE97" s="70" t="s">
        <v>93</v>
      </c>
      <c r="BF97" s="70" t="s">
        <v>93</v>
      </c>
      <c r="BG97" s="70" t="s">
        <v>93</v>
      </c>
      <c r="BH97" s="70" t="s">
        <v>93</v>
      </c>
      <c r="BI97" s="70" t="s">
        <v>93</v>
      </c>
      <c r="BJ97" s="70" t="s">
        <v>93</v>
      </c>
      <c r="BK97" s="70" t="s">
        <v>93</v>
      </c>
      <c r="BL97" s="70" t="s">
        <v>93</v>
      </c>
      <c r="BM97" s="70" t="s">
        <v>93</v>
      </c>
      <c r="BN97" s="70" t="s">
        <v>93</v>
      </c>
      <c r="BO97" s="70" t="s">
        <v>93</v>
      </c>
      <c r="BP97" s="71" t="s">
        <v>93</v>
      </c>
    </row>
    <row r="98" spans="2:68" x14ac:dyDescent="0.25">
      <c r="B98" s="64">
        <v>4</v>
      </c>
      <c r="C98" s="65">
        <v>14</v>
      </c>
      <c r="D98" s="65" t="s">
        <v>95</v>
      </c>
      <c r="E98" s="66">
        <f>'[3]Master File'!B97</f>
        <v>46111</v>
      </c>
      <c r="F98" s="67" t="str">
        <f>'[3]Master File'!C97</f>
        <v>Explorer 5PM</v>
      </c>
      <c r="G98" s="46"/>
      <c r="I98" s="68" t="s">
        <v>93</v>
      </c>
      <c r="J98" s="68" t="s">
        <v>93</v>
      </c>
      <c r="K98" s="68" t="s">
        <v>93</v>
      </c>
      <c r="L98" s="68" t="s">
        <v>94</v>
      </c>
      <c r="M98" s="68" t="s">
        <v>94</v>
      </c>
      <c r="N98" s="68" t="s">
        <v>94</v>
      </c>
      <c r="O98" s="68" t="s">
        <v>94</v>
      </c>
      <c r="P98" s="68" t="s">
        <v>94</v>
      </c>
      <c r="Q98" s="68" t="s">
        <v>93</v>
      </c>
      <c r="R98" s="68" t="s">
        <v>93</v>
      </c>
      <c r="S98" s="68" t="s">
        <v>93</v>
      </c>
      <c r="T98" s="68" t="s">
        <v>93</v>
      </c>
      <c r="U98" s="68" t="s">
        <v>93</v>
      </c>
      <c r="V98" s="68" t="s">
        <v>93</v>
      </c>
      <c r="W98" s="68" t="s">
        <v>93</v>
      </c>
      <c r="X98" s="68" t="s">
        <v>93</v>
      </c>
      <c r="Y98" s="68" t="s">
        <v>93</v>
      </c>
      <c r="Z98" s="68" t="s">
        <v>94</v>
      </c>
      <c r="AA98" s="68" t="s">
        <v>94</v>
      </c>
      <c r="AB98" s="68" t="s">
        <v>93</v>
      </c>
      <c r="AC98" s="68" t="s">
        <v>93</v>
      </c>
      <c r="AD98" s="68" t="s">
        <v>93</v>
      </c>
      <c r="AE98" s="68" t="s">
        <v>93</v>
      </c>
      <c r="AF98" s="68" t="s">
        <v>93</v>
      </c>
      <c r="AG98" s="68" t="s">
        <v>93</v>
      </c>
      <c r="AH98" s="68" t="s">
        <v>93</v>
      </c>
      <c r="AI98" s="68" t="s">
        <v>93</v>
      </c>
      <c r="AJ98" s="68" t="s">
        <v>93</v>
      </c>
      <c r="AK98" s="68" t="s">
        <v>93</v>
      </c>
      <c r="AL98" s="68" t="s">
        <v>93</v>
      </c>
      <c r="AM98" s="68" t="s">
        <v>93</v>
      </c>
      <c r="AN98" s="68" t="s">
        <v>93</v>
      </c>
      <c r="AO98" s="68" t="s">
        <v>93</v>
      </c>
      <c r="AP98" s="68" t="s">
        <v>93</v>
      </c>
      <c r="AQ98" s="68" t="s">
        <v>93</v>
      </c>
      <c r="AR98" s="68" t="s">
        <v>93</v>
      </c>
      <c r="AS98" s="68" t="s">
        <v>93</v>
      </c>
      <c r="AT98" s="68" t="s">
        <v>93</v>
      </c>
      <c r="AU98" s="68" t="s">
        <v>93</v>
      </c>
      <c r="AV98" s="68" t="s">
        <v>93</v>
      </c>
      <c r="AW98" s="68" t="s">
        <v>93</v>
      </c>
      <c r="AX98" s="68" t="s">
        <v>93</v>
      </c>
      <c r="AY98" s="68" t="s">
        <v>93</v>
      </c>
      <c r="AZ98" s="68" t="s">
        <v>93</v>
      </c>
      <c r="BA98" s="68" t="s">
        <v>93</v>
      </c>
      <c r="BB98" s="68" t="s">
        <v>93</v>
      </c>
      <c r="BC98" s="68" t="s">
        <v>93</v>
      </c>
      <c r="BD98" s="68" t="s">
        <v>93</v>
      </c>
      <c r="BE98" s="68" t="s">
        <v>93</v>
      </c>
      <c r="BF98" s="68" t="s">
        <v>93</v>
      </c>
      <c r="BG98" s="68" t="s">
        <v>93</v>
      </c>
      <c r="BH98" s="68" t="s">
        <v>93</v>
      </c>
      <c r="BI98" s="68" t="s">
        <v>93</v>
      </c>
      <c r="BJ98" s="68" t="s">
        <v>93</v>
      </c>
      <c r="BK98" s="68" t="s">
        <v>93</v>
      </c>
      <c r="BL98" s="68" t="s">
        <v>93</v>
      </c>
      <c r="BM98" s="68" t="s">
        <v>93</v>
      </c>
      <c r="BN98" s="68" t="s">
        <v>93</v>
      </c>
      <c r="BO98" s="68" t="s">
        <v>93</v>
      </c>
      <c r="BP98" s="69" t="s">
        <v>93</v>
      </c>
    </row>
    <row r="99" spans="2:68" x14ac:dyDescent="0.25">
      <c r="B99" s="64">
        <v>4</v>
      </c>
      <c r="C99" s="65">
        <v>14</v>
      </c>
      <c r="D99" s="65" t="s">
        <v>96</v>
      </c>
      <c r="E99" s="66">
        <f>'[3]Master File'!B98</f>
        <v>46112</v>
      </c>
      <c r="F99" s="67" t="str">
        <f>'[3]Master File'!C98</f>
        <v>Explorer 5PM</v>
      </c>
      <c r="G99" s="46"/>
      <c r="I99" s="68" t="s">
        <v>93</v>
      </c>
      <c r="J99" s="68" t="s">
        <v>93</v>
      </c>
      <c r="K99" s="68" t="s">
        <v>93</v>
      </c>
      <c r="L99" s="68" t="s">
        <v>94</v>
      </c>
      <c r="M99" s="68" t="s">
        <v>94</v>
      </c>
      <c r="N99" s="68" t="s">
        <v>94</v>
      </c>
      <c r="O99" s="68" t="s">
        <v>94</v>
      </c>
      <c r="P99" s="68" t="s">
        <v>94</v>
      </c>
      <c r="Q99" s="68" t="s">
        <v>93</v>
      </c>
      <c r="R99" s="68" t="s">
        <v>93</v>
      </c>
      <c r="S99" s="68" t="s">
        <v>93</v>
      </c>
      <c r="T99" s="68" t="s">
        <v>93</v>
      </c>
      <c r="U99" s="68" t="s">
        <v>93</v>
      </c>
      <c r="V99" s="68" t="s">
        <v>93</v>
      </c>
      <c r="W99" s="68" t="s">
        <v>93</v>
      </c>
      <c r="X99" s="68" t="s">
        <v>93</v>
      </c>
      <c r="Y99" s="68" t="s">
        <v>93</v>
      </c>
      <c r="Z99" s="68" t="s">
        <v>94</v>
      </c>
      <c r="AA99" s="68" t="s">
        <v>94</v>
      </c>
      <c r="AB99" s="68" t="s">
        <v>93</v>
      </c>
      <c r="AC99" s="68" t="s">
        <v>93</v>
      </c>
      <c r="AD99" s="68" t="s">
        <v>93</v>
      </c>
      <c r="AE99" s="68" t="s">
        <v>93</v>
      </c>
      <c r="AF99" s="68" t="s">
        <v>93</v>
      </c>
      <c r="AG99" s="68" t="s">
        <v>93</v>
      </c>
      <c r="AH99" s="68" t="s">
        <v>93</v>
      </c>
      <c r="AI99" s="68" t="s">
        <v>93</v>
      </c>
      <c r="AJ99" s="68" t="s">
        <v>93</v>
      </c>
      <c r="AK99" s="68" t="s">
        <v>93</v>
      </c>
      <c r="AL99" s="68" t="s">
        <v>93</v>
      </c>
      <c r="AM99" s="68" t="s">
        <v>93</v>
      </c>
      <c r="AN99" s="68" t="s">
        <v>93</v>
      </c>
      <c r="AO99" s="68" t="s">
        <v>93</v>
      </c>
      <c r="AP99" s="68" t="s">
        <v>93</v>
      </c>
      <c r="AQ99" s="68" t="s">
        <v>93</v>
      </c>
      <c r="AR99" s="68" t="s">
        <v>93</v>
      </c>
      <c r="AS99" s="68" t="s">
        <v>93</v>
      </c>
      <c r="AT99" s="68" t="s">
        <v>93</v>
      </c>
      <c r="AU99" s="68" t="s">
        <v>93</v>
      </c>
      <c r="AV99" s="68" t="s">
        <v>93</v>
      </c>
      <c r="AW99" s="68" t="s">
        <v>93</v>
      </c>
      <c r="AX99" s="68" t="s">
        <v>93</v>
      </c>
      <c r="AY99" s="68" t="s">
        <v>93</v>
      </c>
      <c r="AZ99" s="68" t="s">
        <v>93</v>
      </c>
      <c r="BA99" s="68" t="s">
        <v>93</v>
      </c>
      <c r="BB99" s="68" t="s">
        <v>93</v>
      </c>
      <c r="BC99" s="68" t="s">
        <v>93</v>
      </c>
      <c r="BD99" s="68" t="s">
        <v>93</v>
      </c>
      <c r="BE99" s="68" t="s">
        <v>93</v>
      </c>
      <c r="BF99" s="68" t="s">
        <v>93</v>
      </c>
      <c r="BG99" s="68" t="s">
        <v>93</v>
      </c>
      <c r="BH99" s="68" t="s">
        <v>93</v>
      </c>
      <c r="BI99" s="68" t="s">
        <v>93</v>
      </c>
      <c r="BJ99" s="68" t="s">
        <v>93</v>
      </c>
      <c r="BK99" s="68" t="s">
        <v>93</v>
      </c>
      <c r="BL99" s="68" t="s">
        <v>93</v>
      </c>
      <c r="BM99" s="68" t="s">
        <v>93</v>
      </c>
      <c r="BN99" s="68" t="s">
        <v>93</v>
      </c>
      <c r="BO99" s="68" t="s">
        <v>93</v>
      </c>
      <c r="BP99" s="69" t="s">
        <v>93</v>
      </c>
    </row>
    <row r="100" spans="2:68" x14ac:dyDescent="0.25">
      <c r="B100" s="64">
        <v>4</v>
      </c>
      <c r="C100" s="65">
        <v>14</v>
      </c>
      <c r="D100" s="65" t="s">
        <v>97</v>
      </c>
      <c r="E100" s="66">
        <f>'[3]Master File'!B99</f>
        <v>46113</v>
      </c>
      <c r="F100" s="67" t="str">
        <f>'[3]Master File'!C99</f>
        <v>Explorer 5PM</v>
      </c>
      <c r="G100" s="46"/>
      <c r="I100" s="68" t="s">
        <v>93</v>
      </c>
      <c r="J100" s="68" t="s">
        <v>93</v>
      </c>
      <c r="K100" s="68" t="s">
        <v>93</v>
      </c>
      <c r="L100" s="68" t="s">
        <v>94</v>
      </c>
      <c r="M100" s="68" t="s">
        <v>94</v>
      </c>
      <c r="N100" s="68" t="s">
        <v>94</v>
      </c>
      <c r="O100" s="68" t="s">
        <v>94</v>
      </c>
      <c r="P100" s="68" t="s">
        <v>94</v>
      </c>
      <c r="Q100" s="68" t="s">
        <v>93</v>
      </c>
      <c r="R100" s="68" t="s">
        <v>93</v>
      </c>
      <c r="S100" s="68" t="s">
        <v>93</v>
      </c>
      <c r="T100" s="68" t="s">
        <v>93</v>
      </c>
      <c r="U100" s="68" t="s">
        <v>93</v>
      </c>
      <c r="V100" s="68" t="s">
        <v>93</v>
      </c>
      <c r="W100" s="68" t="s">
        <v>93</v>
      </c>
      <c r="X100" s="68" t="s">
        <v>93</v>
      </c>
      <c r="Y100" s="68" t="s">
        <v>93</v>
      </c>
      <c r="Z100" s="68" t="s">
        <v>94</v>
      </c>
      <c r="AA100" s="68" t="s">
        <v>94</v>
      </c>
      <c r="AB100" s="68" t="s">
        <v>93</v>
      </c>
      <c r="AC100" s="68" t="s">
        <v>93</v>
      </c>
      <c r="AD100" s="68" t="s">
        <v>93</v>
      </c>
      <c r="AE100" s="68" t="s">
        <v>93</v>
      </c>
      <c r="AF100" s="68" t="s">
        <v>93</v>
      </c>
      <c r="AG100" s="68" t="s">
        <v>93</v>
      </c>
      <c r="AH100" s="68" t="s">
        <v>93</v>
      </c>
      <c r="AI100" s="68" t="s">
        <v>93</v>
      </c>
      <c r="AJ100" s="68" t="s">
        <v>93</v>
      </c>
      <c r="AK100" s="68" t="s">
        <v>93</v>
      </c>
      <c r="AL100" s="68" t="s">
        <v>93</v>
      </c>
      <c r="AM100" s="68" t="s">
        <v>93</v>
      </c>
      <c r="AN100" s="68" t="s">
        <v>93</v>
      </c>
      <c r="AO100" s="68" t="s">
        <v>93</v>
      </c>
      <c r="AP100" s="68" t="s">
        <v>93</v>
      </c>
      <c r="AQ100" s="68" t="s">
        <v>93</v>
      </c>
      <c r="AR100" s="68" t="s">
        <v>93</v>
      </c>
      <c r="AS100" s="68" t="s">
        <v>93</v>
      </c>
      <c r="AT100" s="68" t="s">
        <v>93</v>
      </c>
      <c r="AU100" s="68" t="s">
        <v>93</v>
      </c>
      <c r="AV100" s="68" t="s">
        <v>93</v>
      </c>
      <c r="AW100" s="68" t="s">
        <v>93</v>
      </c>
      <c r="AX100" s="68" t="s">
        <v>93</v>
      </c>
      <c r="AY100" s="68" t="s">
        <v>93</v>
      </c>
      <c r="AZ100" s="68" t="s">
        <v>93</v>
      </c>
      <c r="BA100" s="68" t="s">
        <v>93</v>
      </c>
      <c r="BB100" s="68" t="s">
        <v>93</v>
      </c>
      <c r="BC100" s="68" t="s">
        <v>93</v>
      </c>
      <c r="BD100" s="68" t="s">
        <v>93</v>
      </c>
      <c r="BE100" s="68" t="s">
        <v>93</v>
      </c>
      <c r="BF100" s="68" t="s">
        <v>93</v>
      </c>
      <c r="BG100" s="68" t="s">
        <v>93</v>
      </c>
      <c r="BH100" s="68" t="s">
        <v>93</v>
      </c>
      <c r="BI100" s="68" t="s">
        <v>93</v>
      </c>
      <c r="BJ100" s="68" t="s">
        <v>93</v>
      </c>
      <c r="BK100" s="68" t="s">
        <v>93</v>
      </c>
      <c r="BL100" s="68" t="s">
        <v>93</v>
      </c>
      <c r="BM100" s="68" t="s">
        <v>93</v>
      </c>
      <c r="BN100" s="68" t="s">
        <v>93</v>
      </c>
      <c r="BO100" s="68" t="s">
        <v>93</v>
      </c>
      <c r="BP100" s="69" t="s">
        <v>93</v>
      </c>
    </row>
    <row r="101" spans="2:68" x14ac:dyDescent="0.25">
      <c r="B101" s="64">
        <v>4</v>
      </c>
      <c r="C101" s="65">
        <v>14</v>
      </c>
      <c r="D101" s="65" t="s">
        <v>98</v>
      </c>
      <c r="E101" s="66">
        <f>'[3]Master File'!B100</f>
        <v>46114</v>
      </c>
      <c r="F101" s="67" t="str">
        <f>'[3]Master File'!C100</f>
        <v>Explorer 5PM</v>
      </c>
      <c r="G101" s="46"/>
      <c r="I101" s="68" t="s">
        <v>93</v>
      </c>
      <c r="J101" s="68" t="s">
        <v>93</v>
      </c>
      <c r="K101" s="68" t="s">
        <v>93</v>
      </c>
      <c r="L101" s="68" t="s">
        <v>94</v>
      </c>
      <c r="M101" s="68" t="s">
        <v>94</v>
      </c>
      <c r="N101" s="68" t="s">
        <v>94</v>
      </c>
      <c r="O101" s="68" t="s">
        <v>94</v>
      </c>
      <c r="P101" s="68" t="s">
        <v>94</v>
      </c>
      <c r="Q101" s="68" t="s">
        <v>93</v>
      </c>
      <c r="R101" s="68" t="s">
        <v>93</v>
      </c>
      <c r="S101" s="68" t="s">
        <v>93</v>
      </c>
      <c r="T101" s="68" t="s">
        <v>93</v>
      </c>
      <c r="U101" s="68" t="s">
        <v>93</v>
      </c>
      <c r="V101" s="68" t="s">
        <v>93</v>
      </c>
      <c r="W101" s="68" t="s">
        <v>93</v>
      </c>
      <c r="X101" s="68" t="s">
        <v>93</v>
      </c>
      <c r="Y101" s="68" t="s">
        <v>93</v>
      </c>
      <c r="Z101" s="68" t="s">
        <v>94</v>
      </c>
      <c r="AA101" s="68" t="s">
        <v>94</v>
      </c>
      <c r="AB101" s="68" t="s">
        <v>93</v>
      </c>
      <c r="AC101" s="68" t="s">
        <v>93</v>
      </c>
      <c r="AD101" s="68" t="s">
        <v>93</v>
      </c>
      <c r="AE101" s="68" t="s">
        <v>93</v>
      </c>
      <c r="AF101" s="68" t="s">
        <v>93</v>
      </c>
      <c r="AG101" s="68" t="s">
        <v>93</v>
      </c>
      <c r="AH101" s="68" t="s">
        <v>93</v>
      </c>
      <c r="AI101" s="68" t="s">
        <v>93</v>
      </c>
      <c r="AJ101" s="68" t="s">
        <v>93</v>
      </c>
      <c r="AK101" s="68" t="s">
        <v>93</v>
      </c>
      <c r="AL101" s="68" t="s">
        <v>93</v>
      </c>
      <c r="AM101" s="68" t="s">
        <v>93</v>
      </c>
      <c r="AN101" s="68" t="s">
        <v>93</v>
      </c>
      <c r="AO101" s="68" t="s">
        <v>93</v>
      </c>
      <c r="AP101" s="68" t="s">
        <v>93</v>
      </c>
      <c r="AQ101" s="68" t="s">
        <v>93</v>
      </c>
      <c r="AR101" s="68" t="s">
        <v>93</v>
      </c>
      <c r="AS101" s="68" t="s">
        <v>93</v>
      </c>
      <c r="AT101" s="68" t="s">
        <v>93</v>
      </c>
      <c r="AU101" s="68" t="s">
        <v>93</v>
      </c>
      <c r="AV101" s="68" t="s">
        <v>93</v>
      </c>
      <c r="AW101" s="68" t="s">
        <v>93</v>
      </c>
      <c r="AX101" s="68" t="s">
        <v>93</v>
      </c>
      <c r="AY101" s="68" t="s">
        <v>93</v>
      </c>
      <c r="AZ101" s="68" t="s">
        <v>93</v>
      </c>
      <c r="BA101" s="68" t="s">
        <v>93</v>
      </c>
      <c r="BB101" s="68" t="s">
        <v>93</v>
      </c>
      <c r="BC101" s="68" t="s">
        <v>93</v>
      </c>
      <c r="BD101" s="68" t="s">
        <v>93</v>
      </c>
      <c r="BE101" s="68" t="s">
        <v>93</v>
      </c>
      <c r="BF101" s="68" t="s">
        <v>93</v>
      </c>
      <c r="BG101" s="68" t="s">
        <v>93</v>
      </c>
      <c r="BH101" s="68" t="s">
        <v>93</v>
      </c>
      <c r="BI101" s="68" t="s">
        <v>93</v>
      </c>
      <c r="BJ101" s="68" t="s">
        <v>93</v>
      </c>
      <c r="BK101" s="68" t="s">
        <v>93</v>
      </c>
      <c r="BL101" s="68" t="s">
        <v>93</v>
      </c>
      <c r="BM101" s="68" t="s">
        <v>93</v>
      </c>
      <c r="BN101" s="68" t="s">
        <v>93</v>
      </c>
      <c r="BO101" s="68" t="s">
        <v>93</v>
      </c>
      <c r="BP101" s="69" t="s">
        <v>93</v>
      </c>
    </row>
    <row r="102" spans="2:68" x14ac:dyDescent="0.25">
      <c r="B102" s="64">
        <v>4</v>
      </c>
      <c r="C102" s="65">
        <v>14</v>
      </c>
      <c r="D102" s="65" t="s">
        <v>99</v>
      </c>
      <c r="E102" s="66">
        <f>'[3]Master File'!B101</f>
        <v>46115</v>
      </c>
      <c r="F102" s="67" t="str">
        <f>'[3]Master File'!C101</f>
        <v>Explorer + 6PM</v>
      </c>
      <c r="G102" s="46"/>
      <c r="I102" s="68" t="s">
        <v>93</v>
      </c>
      <c r="J102" s="68" t="s">
        <v>93</v>
      </c>
      <c r="K102" s="68" t="s">
        <v>93</v>
      </c>
      <c r="L102" s="68" t="s">
        <v>94</v>
      </c>
      <c r="M102" s="68" t="s">
        <v>94</v>
      </c>
      <c r="N102" s="68" t="s">
        <v>94</v>
      </c>
      <c r="O102" s="68" t="s">
        <v>94</v>
      </c>
      <c r="P102" s="68" t="s">
        <v>94</v>
      </c>
      <c r="Q102" s="68" t="s">
        <v>93</v>
      </c>
      <c r="R102" s="68" t="s">
        <v>93</v>
      </c>
      <c r="S102" s="68" t="s">
        <v>93</v>
      </c>
      <c r="T102" s="68" t="s">
        <v>93</v>
      </c>
      <c r="U102" s="68" t="s">
        <v>93</v>
      </c>
      <c r="V102" s="68" t="s">
        <v>93</v>
      </c>
      <c r="W102" s="68" t="s">
        <v>93</v>
      </c>
      <c r="X102" s="68" t="s">
        <v>93</v>
      </c>
      <c r="Y102" s="68" t="s">
        <v>93</v>
      </c>
      <c r="Z102" s="68" t="s">
        <v>94</v>
      </c>
      <c r="AA102" s="68" t="s">
        <v>94</v>
      </c>
      <c r="AB102" s="68" t="s">
        <v>93</v>
      </c>
      <c r="AC102" s="68" t="s">
        <v>93</v>
      </c>
      <c r="AD102" s="68" t="s">
        <v>93</v>
      </c>
      <c r="AE102" s="68" t="s">
        <v>93</v>
      </c>
      <c r="AF102" s="68" t="s">
        <v>93</v>
      </c>
      <c r="AG102" s="68" t="s">
        <v>93</v>
      </c>
      <c r="AH102" s="68" t="s">
        <v>93</v>
      </c>
      <c r="AI102" s="68" t="s">
        <v>93</v>
      </c>
      <c r="AJ102" s="68" t="s">
        <v>93</v>
      </c>
      <c r="AK102" s="68" t="s">
        <v>93</v>
      </c>
      <c r="AL102" s="68" t="s">
        <v>93</v>
      </c>
      <c r="AM102" s="68" t="s">
        <v>93</v>
      </c>
      <c r="AN102" s="68" t="s">
        <v>93</v>
      </c>
      <c r="AO102" s="68" t="s">
        <v>93</v>
      </c>
      <c r="AP102" s="68" t="s">
        <v>93</v>
      </c>
      <c r="AQ102" s="68" t="s">
        <v>93</v>
      </c>
      <c r="AR102" s="68" t="s">
        <v>93</v>
      </c>
      <c r="AS102" s="68" t="s">
        <v>93</v>
      </c>
      <c r="AT102" s="68" t="s">
        <v>93</v>
      </c>
      <c r="AU102" s="68" t="s">
        <v>93</v>
      </c>
      <c r="AV102" s="68" t="s">
        <v>93</v>
      </c>
      <c r="AW102" s="68" t="s">
        <v>93</v>
      </c>
      <c r="AX102" s="68" t="s">
        <v>93</v>
      </c>
      <c r="AY102" s="68" t="s">
        <v>93</v>
      </c>
      <c r="AZ102" s="68" t="s">
        <v>93</v>
      </c>
      <c r="BA102" s="68" t="s">
        <v>93</v>
      </c>
      <c r="BB102" s="68" t="s">
        <v>93</v>
      </c>
      <c r="BC102" s="68" t="s">
        <v>93</v>
      </c>
      <c r="BD102" s="68" t="s">
        <v>93</v>
      </c>
      <c r="BE102" s="68" t="s">
        <v>93</v>
      </c>
      <c r="BF102" s="68" t="s">
        <v>93</v>
      </c>
      <c r="BG102" s="68" t="s">
        <v>93</v>
      </c>
      <c r="BH102" s="68" t="s">
        <v>93</v>
      </c>
      <c r="BI102" s="68" t="s">
        <v>93</v>
      </c>
      <c r="BJ102" s="68" t="s">
        <v>93</v>
      </c>
      <c r="BK102" s="68" t="s">
        <v>93</v>
      </c>
      <c r="BL102" s="68" t="s">
        <v>93</v>
      </c>
      <c r="BM102" s="68" t="s">
        <v>93</v>
      </c>
      <c r="BN102" s="68" t="s">
        <v>93</v>
      </c>
      <c r="BO102" s="68" t="s">
        <v>93</v>
      </c>
      <c r="BP102" s="69" t="s">
        <v>93</v>
      </c>
    </row>
    <row r="103" spans="2:68" x14ac:dyDescent="0.25">
      <c r="B103" s="64">
        <v>4</v>
      </c>
      <c r="C103" s="65">
        <v>14</v>
      </c>
      <c r="D103" s="65" t="s">
        <v>100</v>
      </c>
      <c r="E103" s="66">
        <f>'[3]Master File'!B102</f>
        <v>46116</v>
      </c>
      <c r="F103" s="67" t="str">
        <f>'[3]Master File'!C102</f>
        <v>Explorer + 6PM</v>
      </c>
      <c r="G103" s="46"/>
      <c r="I103" s="70" t="s">
        <v>93</v>
      </c>
      <c r="J103" s="70" t="s">
        <v>93</v>
      </c>
      <c r="K103" s="70" t="s">
        <v>93</v>
      </c>
      <c r="L103" s="68" t="s">
        <v>94</v>
      </c>
      <c r="M103" s="68" t="s">
        <v>94</v>
      </c>
      <c r="N103" s="68" t="s">
        <v>94</v>
      </c>
      <c r="O103" s="68" t="s">
        <v>94</v>
      </c>
      <c r="P103" s="68" t="s">
        <v>94</v>
      </c>
      <c r="Q103" s="70" t="s">
        <v>93</v>
      </c>
      <c r="R103" s="70" t="s">
        <v>93</v>
      </c>
      <c r="S103" s="70" t="s">
        <v>93</v>
      </c>
      <c r="T103" s="70" t="s">
        <v>93</v>
      </c>
      <c r="U103" s="70" t="s">
        <v>93</v>
      </c>
      <c r="V103" s="70" t="s">
        <v>93</v>
      </c>
      <c r="W103" s="70" t="s">
        <v>93</v>
      </c>
      <c r="X103" s="70" t="s">
        <v>93</v>
      </c>
      <c r="Y103" s="70" t="s">
        <v>93</v>
      </c>
      <c r="Z103" s="68" t="s">
        <v>94</v>
      </c>
      <c r="AA103" s="68" t="s">
        <v>94</v>
      </c>
      <c r="AB103" s="70" t="s">
        <v>93</v>
      </c>
      <c r="AC103" s="70" t="s">
        <v>93</v>
      </c>
      <c r="AD103" s="70" t="s">
        <v>94</v>
      </c>
      <c r="AE103" s="70" t="s">
        <v>94</v>
      </c>
      <c r="AF103" s="70" t="s">
        <v>93</v>
      </c>
      <c r="AG103" s="70" t="s">
        <v>93</v>
      </c>
      <c r="AH103" s="70" t="s">
        <v>93</v>
      </c>
      <c r="AI103" s="70" t="s">
        <v>93</v>
      </c>
      <c r="AJ103" s="70" t="s">
        <v>93</v>
      </c>
      <c r="AK103" s="70" t="s">
        <v>93</v>
      </c>
      <c r="AL103" s="70" t="s">
        <v>93</v>
      </c>
      <c r="AM103" s="70" t="s">
        <v>93</v>
      </c>
      <c r="AN103" s="70" t="s">
        <v>93</v>
      </c>
      <c r="AO103" s="70" t="s">
        <v>93</v>
      </c>
      <c r="AP103" s="70" t="s">
        <v>93</v>
      </c>
      <c r="AQ103" s="70" t="s">
        <v>93</v>
      </c>
      <c r="AR103" s="70" t="s">
        <v>93</v>
      </c>
      <c r="AS103" s="70" t="s">
        <v>93</v>
      </c>
      <c r="AT103" s="70" t="s">
        <v>93</v>
      </c>
      <c r="AU103" s="70" t="s">
        <v>93</v>
      </c>
      <c r="AV103" s="70" t="s">
        <v>93</v>
      </c>
      <c r="AW103" s="70" t="s">
        <v>93</v>
      </c>
      <c r="AX103" s="70" t="s">
        <v>93</v>
      </c>
      <c r="AY103" s="70" t="s">
        <v>93</v>
      </c>
      <c r="AZ103" s="70" t="s">
        <v>93</v>
      </c>
      <c r="BA103" s="70" t="s">
        <v>93</v>
      </c>
      <c r="BB103" s="70" t="s">
        <v>93</v>
      </c>
      <c r="BC103" s="70" t="s">
        <v>93</v>
      </c>
      <c r="BD103" s="70" t="s">
        <v>93</v>
      </c>
      <c r="BE103" s="70" t="s">
        <v>93</v>
      </c>
      <c r="BF103" s="70" t="s">
        <v>93</v>
      </c>
      <c r="BG103" s="70" t="s">
        <v>93</v>
      </c>
      <c r="BH103" s="70" t="s">
        <v>93</v>
      </c>
      <c r="BI103" s="70" t="s">
        <v>93</v>
      </c>
      <c r="BJ103" s="70" t="s">
        <v>93</v>
      </c>
      <c r="BK103" s="70" t="s">
        <v>93</v>
      </c>
      <c r="BL103" s="70" t="s">
        <v>93</v>
      </c>
      <c r="BM103" s="70" t="s">
        <v>93</v>
      </c>
      <c r="BN103" s="70" t="s">
        <v>93</v>
      </c>
      <c r="BO103" s="70" t="s">
        <v>93</v>
      </c>
      <c r="BP103" s="71" t="s">
        <v>93</v>
      </c>
    </row>
    <row r="104" spans="2:68" x14ac:dyDescent="0.25">
      <c r="B104" s="64">
        <v>4</v>
      </c>
      <c r="C104" s="65">
        <v>15</v>
      </c>
      <c r="D104" s="65" t="s">
        <v>92</v>
      </c>
      <c r="E104" s="66">
        <f>'[3]Master File'!B103</f>
        <v>46117</v>
      </c>
      <c r="F104" s="67" t="str">
        <f>'[3]Master File'!C103</f>
        <v>Explorer 6PM</v>
      </c>
      <c r="G104" s="46"/>
      <c r="I104" s="70" t="s">
        <v>93</v>
      </c>
      <c r="J104" s="70" t="s">
        <v>93</v>
      </c>
      <c r="K104" s="70" t="s">
        <v>93</v>
      </c>
      <c r="L104" s="68" t="s">
        <v>94</v>
      </c>
      <c r="M104" s="68" t="s">
        <v>94</v>
      </c>
      <c r="N104" s="68" t="s">
        <v>94</v>
      </c>
      <c r="O104" s="68" t="s">
        <v>94</v>
      </c>
      <c r="P104" s="68" t="s">
        <v>94</v>
      </c>
      <c r="Q104" s="70" t="s">
        <v>93</v>
      </c>
      <c r="R104" s="70" t="s">
        <v>93</v>
      </c>
      <c r="S104" s="70" t="s">
        <v>93</v>
      </c>
      <c r="T104" s="70" t="s">
        <v>93</v>
      </c>
      <c r="U104" s="70" t="s">
        <v>93</v>
      </c>
      <c r="V104" s="70" t="s">
        <v>93</v>
      </c>
      <c r="W104" s="70" t="s">
        <v>93</v>
      </c>
      <c r="X104" s="70" t="s">
        <v>93</v>
      </c>
      <c r="Y104" s="70" t="s">
        <v>93</v>
      </c>
      <c r="Z104" s="68" t="s">
        <v>94</v>
      </c>
      <c r="AA104" s="68" t="s">
        <v>94</v>
      </c>
      <c r="AB104" s="70" t="s">
        <v>93</v>
      </c>
      <c r="AC104" s="70" t="s">
        <v>93</v>
      </c>
      <c r="AD104" s="70" t="s">
        <v>94</v>
      </c>
      <c r="AE104" s="70" t="s">
        <v>94</v>
      </c>
      <c r="AF104" s="70" t="s">
        <v>93</v>
      </c>
      <c r="AG104" s="70" t="s">
        <v>93</v>
      </c>
      <c r="AH104" s="70" t="s">
        <v>93</v>
      </c>
      <c r="AI104" s="70" t="s">
        <v>93</v>
      </c>
      <c r="AJ104" s="70" t="s">
        <v>93</v>
      </c>
      <c r="AK104" s="70" t="s">
        <v>93</v>
      </c>
      <c r="AL104" s="70" t="s">
        <v>93</v>
      </c>
      <c r="AM104" s="70" t="s">
        <v>93</v>
      </c>
      <c r="AN104" s="70" t="s">
        <v>93</v>
      </c>
      <c r="AO104" s="70" t="s">
        <v>93</v>
      </c>
      <c r="AP104" s="70" t="s">
        <v>93</v>
      </c>
      <c r="AQ104" s="70" t="s">
        <v>93</v>
      </c>
      <c r="AR104" s="70" t="s">
        <v>93</v>
      </c>
      <c r="AS104" s="70" t="s">
        <v>93</v>
      </c>
      <c r="AT104" s="70" t="s">
        <v>93</v>
      </c>
      <c r="AU104" s="70" t="s">
        <v>93</v>
      </c>
      <c r="AV104" s="70" t="s">
        <v>93</v>
      </c>
      <c r="AW104" s="70" t="s">
        <v>93</v>
      </c>
      <c r="AX104" s="70" t="s">
        <v>93</v>
      </c>
      <c r="AY104" s="70" t="s">
        <v>93</v>
      </c>
      <c r="AZ104" s="70" t="s">
        <v>93</v>
      </c>
      <c r="BA104" s="70" t="s">
        <v>93</v>
      </c>
      <c r="BB104" s="70" t="s">
        <v>93</v>
      </c>
      <c r="BC104" s="70" t="s">
        <v>93</v>
      </c>
      <c r="BD104" s="70" t="s">
        <v>93</v>
      </c>
      <c r="BE104" s="70" t="s">
        <v>93</v>
      </c>
      <c r="BF104" s="70" t="s">
        <v>93</v>
      </c>
      <c r="BG104" s="70" t="s">
        <v>93</v>
      </c>
      <c r="BH104" s="70" t="s">
        <v>93</v>
      </c>
      <c r="BI104" s="70" t="s">
        <v>93</v>
      </c>
      <c r="BJ104" s="70" t="s">
        <v>93</v>
      </c>
      <c r="BK104" s="70" t="s">
        <v>93</v>
      </c>
      <c r="BL104" s="70" t="s">
        <v>93</v>
      </c>
      <c r="BM104" s="70" t="s">
        <v>93</v>
      </c>
      <c r="BN104" s="70" t="s">
        <v>93</v>
      </c>
      <c r="BO104" s="70" t="s">
        <v>93</v>
      </c>
      <c r="BP104" s="71" t="s">
        <v>93</v>
      </c>
    </row>
    <row r="105" spans="2:68" x14ac:dyDescent="0.25">
      <c r="B105" s="64">
        <v>4</v>
      </c>
      <c r="C105" s="65">
        <v>15</v>
      </c>
      <c r="D105" s="65" t="s">
        <v>95</v>
      </c>
      <c r="E105" s="66">
        <f>'[3]Master File'!B104</f>
        <v>46118</v>
      </c>
      <c r="F105" s="67" t="str">
        <f>'[3]Master File'!C104</f>
        <v>Explorer 6PM</v>
      </c>
      <c r="G105" s="46"/>
      <c r="I105" s="68" t="s">
        <v>93</v>
      </c>
      <c r="J105" s="68" t="s">
        <v>93</v>
      </c>
      <c r="K105" s="68" t="s">
        <v>93</v>
      </c>
      <c r="L105" s="68" t="s">
        <v>94</v>
      </c>
      <c r="M105" s="68" t="s">
        <v>94</v>
      </c>
      <c r="N105" s="68" t="s">
        <v>94</v>
      </c>
      <c r="O105" s="68" t="s">
        <v>94</v>
      </c>
      <c r="P105" s="68" t="s">
        <v>94</v>
      </c>
      <c r="Q105" s="68" t="s">
        <v>93</v>
      </c>
      <c r="R105" s="68" t="s">
        <v>93</v>
      </c>
      <c r="S105" s="68" t="s">
        <v>93</v>
      </c>
      <c r="T105" s="68" t="s">
        <v>93</v>
      </c>
      <c r="U105" s="68" t="s">
        <v>93</v>
      </c>
      <c r="V105" s="68" t="s">
        <v>93</v>
      </c>
      <c r="W105" s="68" t="s">
        <v>93</v>
      </c>
      <c r="X105" s="68" t="s">
        <v>93</v>
      </c>
      <c r="Y105" s="68" t="s">
        <v>93</v>
      </c>
      <c r="Z105" s="68" t="s">
        <v>94</v>
      </c>
      <c r="AA105" s="68" t="s">
        <v>94</v>
      </c>
      <c r="AB105" s="68" t="s">
        <v>93</v>
      </c>
      <c r="AC105" s="68" t="s">
        <v>93</v>
      </c>
      <c r="AD105" s="68" t="s">
        <v>93</v>
      </c>
      <c r="AE105" s="68" t="s">
        <v>93</v>
      </c>
      <c r="AF105" s="68" t="s">
        <v>93</v>
      </c>
      <c r="AG105" s="68" t="s">
        <v>93</v>
      </c>
      <c r="AH105" s="68" t="s">
        <v>93</v>
      </c>
      <c r="AI105" s="68" t="s">
        <v>93</v>
      </c>
      <c r="AJ105" s="68" t="s">
        <v>93</v>
      </c>
      <c r="AK105" s="68" t="s">
        <v>93</v>
      </c>
      <c r="AL105" s="68" t="s">
        <v>93</v>
      </c>
      <c r="AM105" s="68" t="s">
        <v>93</v>
      </c>
      <c r="AN105" s="68" t="s">
        <v>93</v>
      </c>
      <c r="AO105" s="68" t="s">
        <v>93</v>
      </c>
      <c r="AP105" s="68" t="s">
        <v>93</v>
      </c>
      <c r="AQ105" s="68" t="s">
        <v>93</v>
      </c>
      <c r="AR105" s="68" t="s">
        <v>93</v>
      </c>
      <c r="AS105" s="68" t="s">
        <v>93</v>
      </c>
      <c r="AT105" s="68" t="s">
        <v>93</v>
      </c>
      <c r="AU105" s="68" t="s">
        <v>93</v>
      </c>
      <c r="AV105" s="68" t="s">
        <v>93</v>
      </c>
      <c r="AW105" s="68" t="s">
        <v>93</v>
      </c>
      <c r="AX105" s="68" t="s">
        <v>93</v>
      </c>
      <c r="AY105" s="68" t="s">
        <v>93</v>
      </c>
      <c r="AZ105" s="68" t="s">
        <v>93</v>
      </c>
      <c r="BA105" s="68" t="s">
        <v>93</v>
      </c>
      <c r="BB105" s="68" t="s">
        <v>93</v>
      </c>
      <c r="BC105" s="68" t="s">
        <v>93</v>
      </c>
      <c r="BD105" s="68" t="s">
        <v>93</v>
      </c>
      <c r="BE105" s="68" t="s">
        <v>93</v>
      </c>
      <c r="BF105" s="68" t="s">
        <v>93</v>
      </c>
      <c r="BG105" s="68" t="s">
        <v>93</v>
      </c>
      <c r="BH105" s="68" t="s">
        <v>93</v>
      </c>
      <c r="BI105" s="68" t="s">
        <v>93</v>
      </c>
      <c r="BJ105" s="68" t="s">
        <v>93</v>
      </c>
      <c r="BK105" s="68" t="s">
        <v>93</v>
      </c>
      <c r="BL105" s="68" t="s">
        <v>93</v>
      </c>
      <c r="BM105" s="68" t="s">
        <v>93</v>
      </c>
      <c r="BN105" s="68" t="s">
        <v>93</v>
      </c>
      <c r="BO105" s="68" t="s">
        <v>93</v>
      </c>
      <c r="BP105" s="69" t="s">
        <v>93</v>
      </c>
    </row>
    <row r="106" spans="2:68" x14ac:dyDescent="0.25">
      <c r="B106" s="64">
        <v>4</v>
      </c>
      <c r="C106" s="65">
        <v>15</v>
      </c>
      <c r="D106" s="65" t="s">
        <v>96</v>
      </c>
      <c r="E106" s="66">
        <f>'[3]Master File'!B105</f>
        <v>46119</v>
      </c>
      <c r="F106" s="67" t="str">
        <f>'[3]Master File'!C105</f>
        <v>Explorer 6PM</v>
      </c>
      <c r="G106" s="46"/>
      <c r="I106" s="68" t="s">
        <v>93</v>
      </c>
      <c r="J106" s="68" t="s">
        <v>93</v>
      </c>
      <c r="K106" s="68" t="s">
        <v>93</v>
      </c>
      <c r="L106" s="68" t="s">
        <v>94</v>
      </c>
      <c r="M106" s="68" t="s">
        <v>94</v>
      </c>
      <c r="N106" s="68" t="s">
        <v>94</v>
      </c>
      <c r="O106" s="68" t="s">
        <v>94</v>
      </c>
      <c r="P106" s="68" t="s">
        <v>94</v>
      </c>
      <c r="Q106" s="68" t="s">
        <v>93</v>
      </c>
      <c r="R106" s="68" t="s">
        <v>93</v>
      </c>
      <c r="S106" s="68" t="s">
        <v>93</v>
      </c>
      <c r="T106" s="68" t="s">
        <v>93</v>
      </c>
      <c r="U106" s="68" t="s">
        <v>93</v>
      </c>
      <c r="V106" s="68" t="s">
        <v>93</v>
      </c>
      <c r="W106" s="68" t="s">
        <v>93</v>
      </c>
      <c r="X106" s="68" t="s">
        <v>93</v>
      </c>
      <c r="Y106" s="68" t="s">
        <v>93</v>
      </c>
      <c r="Z106" s="68" t="s">
        <v>94</v>
      </c>
      <c r="AA106" s="68" t="s">
        <v>94</v>
      </c>
      <c r="AB106" s="68" t="s">
        <v>93</v>
      </c>
      <c r="AC106" s="68" t="s">
        <v>93</v>
      </c>
      <c r="AD106" s="68" t="s">
        <v>93</v>
      </c>
      <c r="AE106" s="68" t="s">
        <v>93</v>
      </c>
      <c r="AF106" s="68" t="s">
        <v>93</v>
      </c>
      <c r="AG106" s="68" t="s">
        <v>93</v>
      </c>
      <c r="AH106" s="68" t="s">
        <v>93</v>
      </c>
      <c r="AI106" s="68" t="s">
        <v>93</v>
      </c>
      <c r="AJ106" s="68" t="s">
        <v>93</v>
      </c>
      <c r="AK106" s="68" t="s">
        <v>93</v>
      </c>
      <c r="AL106" s="68" t="s">
        <v>93</v>
      </c>
      <c r="AM106" s="68" t="s">
        <v>93</v>
      </c>
      <c r="AN106" s="68" t="s">
        <v>93</v>
      </c>
      <c r="AO106" s="68" t="s">
        <v>93</v>
      </c>
      <c r="AP106" s="68" t="s">
        <v>93</v>
      </c>
      <c r="AQ106" s="68" t="s">
        <v>93</v>
      </c>
      <c r="AR106" s="68" t="s">
        <v>93</v>
      </c>
      <c r="AS106" s="68" t="s">
        <v>93</v>
      </c>
      <c r="AT106" s="68" t="s">
        <v>93</v>
      </c>
      <c r="AU106" s="68" t="s">
        <v>93</v>
      </c>
      <c r="AV106" s="68" t="s">
        <v>93</v>
      </c>
      <c r="AW106" s="68" t="s">
        <v>93</v>
      </c>
      <c r="AX106" s="68" t="s">
        <v>93</v>
      </c>
      <c r="AY106" s="68" t="s">
        <v>93</v>
      </c>
      <c r="AZ106" s="68" t="s">
        <v>93</v>
      </c>
      <c r="BA106" s="68" t="s">
        <v>93</v>
      </c>
      <c r="BB106" s="68" t="s">
        <v>93</v>
      </c>
      <c r="BC106" s="68" t="s">
        <v>93</v>
      </c>
      <c r="BD106" s="68" t="s">
        <v>93</v>
      </c>
      <c r="BE106" s="68" t="s">
        <v>93</v>
      </c>
      <c r="BF106" s="68" t="s">
        <v>93</v>
      </c>
      <c r="BG106" s="68" t="s">
        <v>93</v>
      </c>
      <c r="BH106" s="68" t="s">
        <v>93</v>
      </c>
      <c r="BI106" s="68" t="s">
        <v>93</v>
      </c>
      <c r="BJ106" s="68" t="s">
        <v>93</v>
      </c>
      <c r="BK106" s="68" t="s">
        <v>93</v>
      </c>
      <c r="BL106" s="68" t="s">
        <v>93</v>
      </c>
      <c r="BM106" s="68" t="s">
        <v>93</v>
      </c>
      <c r="BN106" s="68" t="s">
        <v>93</v>
      </c>
      <c r="BO106" s="68" t="s">
        <v>93</v>
      </c>
      <c r="BP106" s="69" t="s">
        <v>93</v>
      </c>
    </row>
    <row r="107" spans="2:68" x14ac:dyDescent="0.25">
      <c r="B107" s="64">
        <v>4</v>
      </c>
      <c r="C107" s="65">
        <v>15</v>
      </c>
      <c r="D107" s="65" t="s">
        <v>97</v>
      </c>
      <c r="E107" s="66">
        <f>'[3]Master File'!B106</f>
        <v>46120</v>
      </c>
      <c r="F107" s="67" t="str">
        <f>'[3]Master File'!C106</f>
        <v>Explorer + 6PM</v>
      </c>
      <c r="G107" s="46"/>
      <c r="I107" s="68" t="s">
        <v>93</v>
      </c>
      <c r="J107" s="68" t="s">
        <v>93</v>
      </c>
      <c r="K107" s="68" t="s">
        <v>93</v>
      </c>
      <c r="L107" s="68" t="s">
        <v>94</v>
      </c>
      <c r="M107" s="68" t="s">
        <v>94</v>
      </c>
      <c r="N107" s="68" t="s">
        <v>94</v>
      </c>
      <c r="O107" s="68" t="s">
        <v>94</v>
      </c>
      <c r="P107" s="68" t="s">
        <v>94</v>
      </c>
      <c r="Q107" s="68" t="s">
        <v>93</v>
      </c>
      <c r="R107" s="68" t="s">
        <v>93</v>
      </c>
      <c r="S107" s="68" t="s">
        <v>93</v>
      </c>
      <c r="T107" s="68" t="s">
        <v>93</v>
      </c>
      <c r="U107" s="68" t="s">
        <v>93</v>
      </c>
      <c r="V107" s="68" t="s">
        <v>93</v>
      </c>
      <c r="W107" s="68" t="s">
        <v>93</v>
      </c>
      <c r="X107" s="68" t="s">
        <v>93</v>
      </c>
      <c r="Y107" s="68" t="s">
        <v>93</v>
      </c>
      <c r="Z107" s="68" t="s">
        <v>94</v>
      </c>
      <c r="AA107" s="68" t="s">
        <v>94</v>
      </c>
      <c r="AB107" s="68" t="s">
        <v>93</v>
      </c>
      <c r="AC107" s="68" t="s">
        <v>93</v>
      </c>
      <c r="AD107" s="68" t="s">
        <v>93</v>
      </c>
      <c r="AE107" s="68" t="s">
        <v>93</v>
      </c>
      <c r="AF107" s="68" t="s">
        <v>93</v>
      </c>
      <c r="AG107" s="68" t="s">
        <v>93</v>
      </c>
      <c r="AH107" s="68" t="s">
        <v>93</v>
      </c>
      <c r="AI107" s="68" t="s">
        <v>93</v>
      </c>
      <c r="AJ107" s="68" t="s">
        <v>93</v>
      </c>
      <c r="AK107" s="68" t="s">
        <v>93</v>
      </c>
      <c r="AL107" s="68" t="s">
        <v>93</v>
      </c>
      <c r="AM107" s="68" t="s">
        <v>93</v>
      </c>
      <c r="AN107" s="68" t="s">
        <v>93</v>
      </c>
      <c r="AO107" s="68" t="s">
        <v>93</v>
      </c>
      <c r="AP107" s="68" t="s">
        <v>93</v>
      </c>
      <c r="AQ107" s="68" t="s">
        <v>93</v>
      </c>
      <c r="AR107" s="68" t="s">
        <v>93</v>
      </c>
      <c r="AS107" s="68" t="s">
        <v>93</v>
      </c>
      <c r="AT107" s="68" t="s">
        <v>93</v>
      </c>
      <c r="AU107" s="68" t="s">
        <v>93</v>
      </c>
      <c r="AV107" s="68" t="s">
        <v>93</v>
      </c>
      <c r="AW107" s="68" t="s">
        <v>93</v>
      </c>
      <c r="AX107" s="68" t="s">
        <v>93</v>
      </c>
      <c r="AY107" s="68" t="s">
        <v>93</v>
      </c>
      <c r="AZ107" s="68" t="s">
        <v>93</v>
      </c>
      <c r="BA107" s="68" t="s">
        <v>93</v>
      </c>
      <c r="BB107" s="68" t="s">
        <v>93</v>
      </c>
      <c r="BC107" s="68" t="s">
        <v>93</v>
      </c>
      <c r="BD107" s="68" t="s">
        <v>93</v>
      </c>
      <c r="BE107" s="68" t="s">
        <v>93</v>
      </c>
      <c r="BF107" s="68" t="s">
        <v>93</v>
      </c>
      <c r="BG107" s="68" t="s">
        <v>93</v>
      </c>
      <c r="BH107" s="68" t="s">
        <v>93</v>
      </c>
      <c r="BI107" s="68" t="s">
        <v>93</v>
      </c>
      <c r="BJ107" s="68" t="s">
        <v>93</v>
      </c>
      <c r="BK107" s="68" t="s">
        <v>93</v>
      </c>
      <c r="BL107" s="68" t="s">
        <v>93</v>
      </c>
      <c r="BM107" s="68" t="s">
        <v>93</v>
      </c>
      <c r="BN107" s="68" t="s">
        <v>93</v>
      </c>
      <c r="BO107" s="68" t="s">
        <v>93</v>
      </c>
      <c r="BP107" s="69" t="s">
        <v>93</v>
      </c>
    </row>
    <row r="108" spans="2:68" x14ac:dyDescent="0.25">
      <c r="B108" s="64">
        <v>4</v>
      </c>
      <c r="C108" s="65">
        <v>15</v>
      </c>
      <c r="D108" s="65" t="s">
        <v>98</v>
      </c>
      <c r="E108" s="66">
        <f>'[3]Master File'!B107</f>
        <v>46121</v>
      </c>
      <c r="F108" s="67" t="str">
        <f>'[3]Master File'!C107</f>
        <v>Explorer + 6PM</v>
      </c>
      <c r="G108" s="46"/>
      <c r="I108" s="68" t="s">
        <v>93</v>
      </c>
      <c r="J108" s="68" t="s">
        <v>93</v>
      </c>
      <c r="K108" s="68" t="s">
        <v>93</v>
      </c>
      <c r="L108" s="68" t="s">
        <v>94</v>
      </c>
      <c r="M108" s="68" t="s">
        <v>94</v>
      </c>
      <c r="N108" s="68" t="s">
        <v>94</v>
      </c>
      <c r="O108" s="68" t="s">
        <v>94</v>
      </c>
      <c r="P108" s="68" t="s">
        <v>94</v>
      </c>
      <c r="Q108" s="68" t="s">
        <v>93</v>
      </c>
      <c r="R108" s="68" t="s">
        <v>93</v>
      </c>
      <c r="S108" s="68" t="s">
        <v>93</v>
      </c>
      <c r="T108" s="68" t="s">
        <v>93</v>
      </c>
      <c r="U108" s="68" t="s">
        <v>93</v>
      </c>
      <c r="V108" s="68" t="s">
        <v>93</v>
      </c>
      <c r="W108" s="68" t="s">
        <v>93</v>
      </c>
      <c r="X108" s="68" t="s">
        <v>93</v>
      </c>
      <c r="Y108" s="68" t="s">
        <v>93</v>
      </c>
      <c r="Z108" s="68" t="s">
        <v>94</v>
      </c>
      <c r="AA108" s="68" t="s">
        <v>94</v>
      </c>
      <c r="AB108" s="68" t="s">
        <v>93</v>
      </c>
      <c r="AC108" s="68" t="s">
        <v>93</v>
      </c>
      <c r="AD108" s="68" t="s">
        <v>93</v>
      </c>
      <c r="AE108" s="68" t="s">
        <v>93</v>
      </c>
      <c r="AF108" s="68" t="s">
        <v>93</v>
      </c>
      <c r="AG108" s="68" t="s">
        <v>93</v>
      </c>
      <c r="AH108" s="68" t="s">
        <v>93</v>
      </c>
      <c r="AI108" s="68" t="s">
        <v>93</v>
      </c>
      <c r="AJ108" s="68" t="s">
        <v>93</v>
      </c>
      <c r="AK108" s="68" t="s">
        <v>93</v>
      </c>
      <c r="AL108" s="68" t="s">
        <v>93</v>
      </c>
      <c r="AM108" s="68" t="s">
        <v>93</v>
      </c>
      <c r="AN108" s="68" t="s">
        <v>93</v>
      </c>
      <c r="AO108" s="68" t="s">
        <v>93</v>
      </c>
      <c r="AP108" s="68" t="s">
        <v>93</v>
      </c>
      <c r="AQ108" s="68" t="s">
        <v>93</v>
      </c>
      <c r="AR108" s="68" t="s">
        <v>93</v>
      </c>
      <c r="AS108" s="68" t="s">
        <v>93</v>
      </c>
      <c r="AT108" s="68" t="s">
        <v>93</v>
      </c>
      <c r="AU108" s="68" t="s">
        <v>93</v>
      </c>
      <c r="AV108" s="68" t="s">
        <v>93</v>
      </c>
      <c r="AW108" s="68" t="s">
        <v>93</v>
      </c>
      <c r="AX108" s="68" t="s">
        <v>93</v>
      </c>
      <c r="AY108" s="68" t="s">
        <v>93</v>
      </c>
      <c r="AZ108" s="68" t="s">
        <v>93</v>
      </c>
      <c r="BA108" s="68" t="s">
        <v>93</v>
      </c>
      <c r="BB108" s="68" t="s">
        <v>93</v>
      </c>
      <c r="BC108" s="68" t="s">
        <v>93</v>
      </c>
      <c r="BD108" s="68" t="s">
        <v>93</v>
      </c>
      <c r="BE108" s="68" t="s">
        <v>93</v>
      </c>
      <c r="BF108" s="68" t="s">
        <v>93</v>
      </c>
      <c r="BG108" s="68" t="s">
        <v>93</v>
      </c>
      <c r="BH108" s="68" t="s">
        <v>93</v>
      </c>
      <c r="BI108" s="68" t="s">
        <v>93</v>
      </c>
      <c r="BJ108" s="68" t="s">
        <v>93</v>
      </c>
      <c r="BK108" s="68" t="s">
        <v>93</v>
      </c>
      <c r="BL108" s="68" t="s">
        <v>93</v>
      </c>
      <c r="BM108" s="68" t="s">
        <v>93</v>
      </c>
      <c r="BN108" s="68" t="s">
        <v>93</v>
      </c>
      <c r="BO108" s="68" t="s">
        <v>93</v>
      </c>
      <c r="BP108" s="69" t="s">
        <v>93</v>
      </c>
    </row>
    <row r="109" spans="2:68" x14ac:dyDescent="0.25">
      <c r="B109" s="64">
        <v>4</v>
      </c>
      <c r="C109" s="65">
        <v>15</v>
      </c>
      <c r="D109" s="65" t="s">
        <v>99</v>
      </c>
      <c r="E109" s="66">
        <f>'[3]Master File'!B108</f>
        <v>46122</v>
      </c>
      <c r="F109" s="67" t="str">
        <f>'[3]Master File'!C108</f>
        <v>Explorer + 6PM</v>
      </c>
      <c r="G109" s="46"/>
      <c r="I109" s="68" t="s">
        <v>93</v>
      </c>
      <c r="J109" s="68" t="s">
        <v>93</v>
      </c>
      <c r="K109" s="68" t="s">
        <v>93</v>
      </c>
      <c r="L109" s="68" t="s">
        <v>94</v>
      </c>
      <c r="M109" s="68" t="s">
        <v>94</v>
      </c>
      <c r="N109" s="68" t="s">
        <v>94</v>
      </c>
      <c r="O109" s="68" t="s">
        <v>94</v>
      </c>
      <c r="P109" s="68" t="s">
        <v>94</v>
      </c>
      <c r="Q109" s="68" t="s">
        <v>93</v>
      </c>
      <c r="R109" s="68" t="s">
        <v>93</v>
      </c>
      <c r="S109" s="68" t="s">
        <v>93</v>
      </c>
      <c r="T109" s="68" t="s">
        <v>93</v>
      </c>
      <c r="U109" s="68" t="s">
        <v>93</v>
      </c>
      <c r="V109" s="68" t="s">
        <v>93</v>
      </c>
      <c r="W109" s="68" t="s">
        <v>93</v>
      </c>
      <c r="X109" s="68" t="s">
        <v>93</v>
      </c>
      <c r="Y109" s="68" t="s">
        <v>93</v>
      </c>
      <c r="Z109" s="68" t="s">
        <v>94</v>
      </c>
      <c r="AA109" s="68" t="s">
        <v>94</v>
      </c>
      <c r="AB109" s="68" t="s">
        <v>93</v>
      </c>
      <c r="AC109" s="68" t="s">
        <v>93</v>
      </c>
      <c r="AD109" s="68" t="s">
        <v>93</v>
      </c>
      <c r="AE109" s="68" t="s">
        <v>93</v>
      </c>
      <c r="AF109" s="68" t="s">
        <v>93</v>
      </c>
      <c r="AG109" s="68" t="s">
        <v>93</v>
      </c>
      <c r="AH109" s="68" t="s">
        <v>93</v>
      </c>
      <c r="AI109" s="68" t="s">
        <v>93</v>
      </c>
      <c r="AJ109" s="68" t="s">
        <v>93</v>
      </c>
      <c r="AK109" s="68" t="s">
        <v>93</v>
      </c>
      <c r="AL109" s="68" t="s">
        <v>93</v>
      </c>
      <c r="AM109" s="68" t="s">
        <v>93</v>
      </c>
      <c r="AN109" s="68" t="s">
        <v>93</v>
      </c>
      <c r="AO109" s="68" t="s">
        <v>93</v>
      </c>
      <c r="AP109" s="68" t="s">
        <v>93</v>
      </c>
      <c r="AQ109" s="68" t="s">
        <v>93</v>
      </c>
      <c r="AR109" s="68" t="s">
        <v>93</v>
      </c>
      <c r="AS109" s="68" t="s">
        <v>93</v>
      </c>
      <c r="AT109" s="68" t="s">
        <v>93</v>
      </c>
      <c r="AU109" s="68" t="s">
        <v>93</v>
      </c>
      <c r="AV109" s="68" t="s">
        <v>93</v>
      </c>
      <c r="AW109" s="68" t="s">
        <v>93</v>
      </c>
      <c r="AX109" s="68" t="s">
        <v>93</v>
      </c>
      <c r="AY109" s="68" t="s">
        <v>93</v>
      </c>
      <c r="AZ109" s="68" t="s">
        <v>93</v>
      </c>
      <c r="BA109" s="68" t="s">
        <v>93</v>
      </c>
      <c r="BB109" s="68" t="s">
        <v>93</v>
      </c>
      <c r="BC109" s="68" t="s">
        <v>93</v>
      </c>
      <c r="BD109" s="68" t="s">
        <v>93</v>
      </c>
      <c r="BE109" s="68" t="s">
        <v>93</v>
      </c>
      <c r="BF109" s="68" t="s">
        <v>93</v>
      </c>
      <c r="BG109" s="68" t="s">
        <v>93</v>
      </c>
      <c r="BH109" s="68" t="s">
        <v>93</v>
      </c>
      <c r="BI109" s="68" t="s">
        <v>93</v>
      </c>
      <c r="BJ109" s="68" t="s">
        <v>93</v>
      </c>
      <c r="BK109" s="68" t="s">
        <v>93</v>
      </c>
      <c r="BL109" s="68" t="s">
        <v>93</v>
      </c>
      <c r="BM109" s="68" t="s">
        <v>93</v>
      </c>
      <c r="BN109" s="68" t="s">
        <v>93</v>
      </c>
      <c r="BO109" s="68" t="s">
        <v>93</v>
      </c>
      <c r="BP109" s="69" t="s">
        <v>93</v>
      </c>
    </row>
    <row r="110" spans="2:68" x14ac:dyDescent="0.25">
      <c r="B110" s="64">
        <v>4</v>
      </c>
      <c r="C110" s="65">
        <v>15</v>
      </c>
      <c r="D110" s="65" t="s">
        <v>100</v>
      </c>
      <c r="E110" s="66">
        <f>'[3]Master File'!B109</f>
        <v>46123</v>
      </c>
      <c r="F110" s="67" t="str">
        <f>'[3]Master File'!C109</f>
        <v>Explorer + 6PM</v>
      </c>
      <c r="G110" s="46"/>
      <c r="I110" s="70" t="s">
        <v>93</v>
      </c>
      <c r="J110" s="70" t="s">
        <v>93</v>
      </c>
      <c r="K110" s="70" t="s">
        <v>93</v>
      </c>
      <c r="L110" s="68" t="s">
        <v>94</v>
      </c>
      <c r="M110" s="68" t="s">
        <v>94</v>
      </c>
      <c r="N110" s="68" t="s">
        <v>94</v>
      </c>
      <c r="O110" s="68" t="s">
        <v>94</v>
      </c>
      <c r="P110" s="68" t="s">
        <v>94</v>
      </c>
      <c r="Q110" s="70" t="s">
        <v>93</v>
      </c>
      <c r="R110" s="70" t="s">
        <v>93</v>
      </c>
      <c r="S110" s="70" t="s">
        <v>93</v>
      </c>
      <c r="T110" s="70" t="s">
        <v>93</v>
      </c>
      <c r="U110" s="70" t="s">
        <v>93</v>
      </c>
      <c r="V110" s="70" t="s">
        <v>93</v>
      </c>
      <c r="W110" s="70" t="s">
        <v>93</v>
      </c>
      <c r="X110" s="70" t="s">
        <v>93</v>
      </c>
      <c r="Y110" s="70" t="s">
        <v>93</v>
      </c>
      <c r="Z110" s="68" t="s">
        <v>94</v>
      </c>
      <c r="AA110" s="68" t="s">
        <v>94</v>
      </c>
      <c r="AB110" s="70" t="s">
        <v>93</v>
      </c>
      <c r="AC110" s="70" t="s">
        <v>93</v>
      </c>
      <c r="AD110" s="70" t="s">
        <v>94</v>
      </c>
      <c r="AE110" s="70" t="s">
        <v>94</v>
      </c>
      <c r="AF110" s="70" t="s">
        <v>93</v>
      </c>
      <c r="AG110" s="70" t="s">
        <v>93</v>
      </c>
      <c r="AH110" s="70" t="s">
        <v>93</v>
      </c>
      <c r="AI110" s="70" t="s">
        <v>93</v>
      </c>
      <c r="AJ110" s="70" t="s">
        <v>93</v>
      </c>
      <c r="AK110" s="70" t="s">
        <v>93</v>
      </c>
      <c r="AL110" s="70" t="s">
        <v>93</v>
      </c>
      <c r="AM110" s="70" t="s">
        <v>93</v>
      </c>
      <c r="AN110" s="70" t="s">
        <v>93</v>
      </c>
      <c r="AO110" s="70" t="s">
        <v>93</v>
      </c>
      <c r="AP110" s="70" t="s">
        <v>93</v>
      </c>
      <c r="AQ110" s="70" t="s">
        <v>93</v>
      </c>
      <c r="AR110" s="70" t="s">
        <v>93</v>
      </c>
      <c r="AS110" s="70" t="s">
        <v>93</v>
      </c>
      <c r="AT110" s="70" t="s">
        <v>93</v>
      </c>
      <c r="AU110" s="70" t="s">
        <v>93</v>
      </c>
      <c r="AV110" s="70" t="s">
        <v>93</v>
      </c>
      <c r="AW110" s="70" t="s">
        <v>93</v>
      </c>
      <c r="AX110" s="70" t="s">
        <v>93</v>
      </c>
      <c r="AY110" s="70" t="s">
        <v>93</v>
      </c>
      <c r="AZ110" s="70" t="s">
        <v>93</v>
      </c>
      <c r="BA110" s="70" t="s">
        <v>93</v>
      </c>
      <c r="BB110" s="70" t="s">
        <v>93</v>
      </c>
      <c r="BC110" s="70" t="s">
        <v>93</v>
      </c>
      <c r="BD110" s="70" t="s">
        <v>93</v>
      </c>
      <c r="BE110" s="70" t="s">
        <v>93</v>
      </c>
      <c r="BF110" s="70" t="s">
        <v>93</v>
      </c>
      <c r="BG110" s="70" t="s">
        <v>93</v>
      </c>
      <c r="BH110" s="70" t="s">
        <v>93</v>
      </c>
      <c r="BI110" s="70" t="s">
        <v>93</v>
      </c>
      <c r="BJ110" s="70" t="s">
        <v>93</v>
      </c>
      <c r="BK110" s="70" t="s">
        <v>93</v>
      </c>
      <c r="BL110" s="70" t="s">
        <v>93</v>
      </c>
      <c r="BM110" s="70" t="s">
        <v>93</v>
      </c>
      <c r="BN110" s="70" t="s">
        <v>93</v>
      </c>
      <c r="BO110" s="70" t="s">
        <v>93</v>
      </c>
      <c r="BP110" s="71" t="s">
        <v>93</v>
      </c>
    </row>
    <row r="111" spans="2:68" x14ac:dyDescent="0.25">
      <c r="B111" s="64">
        <v>4</v>
      </c>
      <c r="C111" s="65">
        <v>16</v>
      </c>
      <c r="D111" s="65" t="s">
        <v>92</v>
      </c>
      <c r="E111" s="66">
        <f>'[3]Master File'!B110</f>
        <v>46124</v>
      </c>
      <c r="F111" s="67" t="str">
        <f>'[3]Master File'!C110</f>
        <v>Explorer 6PM</v>
      </c>
      <c r="G111" s="46"/>
      <c r="I111" s="70" t="s">
        <v>93</v>
      </c>
      <c r="J111" s="70" t="s">
        <v>93</v>
      </c>
      <c r="K111" s="70" t="s">
        <v>93</v>
      </c>
      <c r="L111" s="68" t="s">
        <v>94</v>
      </c>
      <c r="M111" s="68" t="s">
        <v>94</v>
      </c>
      <c r="N111" s="68" t="s">
        <v>94</v>
      </c>
      <c r="O111" s="68" t="s">
        <v>94</v>
      </c>
      <c r="P111" s="68" t="s">
        <v>94</v>
      </c>
      <c r="Q111" s="70" t="s">
        <v>93</v>
      </c>
      <c r="R111" s="70" t="s">
        <v>93</v>
      </c>
      <c r="S111" s="70" t="s">
        <v>93</v>
      </c>
      <c r="T111" s="70" t="s">
        <v>93</v>
      </c>
      <c r="U111" s="70" t="s">
        <v>93</v>
      </c>
      <c r="V111" s="70" t="s">
        <v>93</v>
      </c>
      <c r="W111" s="70" t="s">
        <v>93</v>
      </c>
      <c r="X111" s="70" t="s">
        <v>93</v>
      </c>
      <c r="Y111" s="70" t="s">
        <v>93</v>
      </c>
      <c r="Z111" s="68" t="s">
        <v>94</v>
      </c>
      <c r="AA111" s="68" t="s">
        <v>94</v>
      </c>
      <c r="AB111" s="70" t="s">
        <v>93</v>
      </c>
      <c r="AC111" s="70" t="s">
        <v>93</v>
      </c>
      <c r="AD111" s="70" t="s">
        <v>94</v>
      </c>
      <c r="AE111" s="70" t="s">
        <v>94</v>
      </c>
      <c r="AF111" s="70" t="s">
        <v>93</v>
      </c>
      <c r="AG111" s="70" t="s">
        <v>93</v>
      </c>
      <c r="AH111" s="70" t="s">
        <v>93</v>
      </c>
      <c r="AI111" s="70" t="s">
        <v>93</v>
      </c>
      <c r="AJ111" s="70" t="s">
        <v>93</v>
      </c>
      <c r="AK111" s="70" t="s">
        <v>93</v>
      </c>
      <c r="AL111" s="70" t="s">
        <v>93</v>
      </c>
      <c r="AM111" s="70" t="s">
        <v>93</v>
      </c>
      <c r="AN111" s="70" t="s">
        <v>93</v>
      </c>
      <c r="AO111" s="70" t="s">
        <v>93</v>
      </c>
      <c r="AP111" s="70" t="s">
        <v>93</v>
      </c>
      <c r="AQ111" s="70" t="s">
        <v>93</v>
      </c>
      <c r="AR111" s="70" t="s">
        <v>93</v>
      </c>
      <c r="AS111" s="70" t="s">
        <v>93</v>
      </c>
      <c r="AT111" s="70" t="s">
        <v>93</v>
      </c>
      <c r="AU111" s="70" t="s">
        <v>93</v>
      </c>
      <c r="AV111" s="70" t="s">
        <v>93</v>
      </c>
      <c r="AW111" s="70" t="s">
        <v>93</v>
      </c>
      <c r="AX111" s="70" t="s">
        <v>93</v>
      </c>
      <c r="AY111" s="70" t="s">
        <v>93</v>
      </c>
      <c r="AZ111" s="70" t="s">
        <v>93</v>
      </c>
      <c r="BA111" s="70" t="s">
        <v>93</v>
      </c>
      <c r="BB111" s="70" t="s">
        <v>93</v>
      </c>
      <c r="BC111" s="70" t="s">
        <v>93</v>
      </c>
      <c r="BD111" s="70" t="s">
        <v>93</v>
      </c>
      <c r="BE111" s="70" t="s">
        <v>93</v>
      </c>
      <c r="BF111" s="70" t="s">
        <v>93</v>
      </c>
      <c r="BG111" s="70" t="s">
        <v>93</v>
      </c>
      <c r="BH111" s="70" t="s">
        <v>93</v>
      </c>
      <c r="BI111" s="70" t="s">
        <v>93</v>
      </c>
      <c r="BJ111" s="70" t="s">
        <v>93</v>
      </c>
      <c r="BK111" s="70" t="s">
        <v>93</v>
      </c>
      <c r="BL111" s="70" t="s">
        <v>93</v>
      </c>
      <c r="BM111" s="70" t="s">
        <v>93</v>
      </c>
      <c r="BN111" s="70" t="s">
        <v>93</v>
      </c>
      <c r="BO111" s="70" t="s">
        <v>93</v>
      </c>
      <c r="BP111" s="71" t="s">
        <v>93</v>
      </c>
    </row>
    <row r="112" spans="2:68" x14ac:dyDescent="0.25">
      <c r="B112" s="64">
        <v>4</v>
      </c>
      <c r="C112" s="65">
        <v>16</v>
      </c>
      <c r="D112" s="65" t="s">
        <v>95</v>
      </c>
      <c r="E112" s="66">
        <f>'[3]Master File'!B111</f>
        <v>46125</v>
      </c>
      <c r="F112" s="67" t="str">
        <f>'[3]Master File'!C111</f>
        <v>Explorer 5PM</v>
      </c>
      <c r="G112" s="46"/>
      <c r="I112" s="68" t="s">
        <v>93</v>
      </c>
      <c r="J112" s="68" t="s">
        <v>93</v>
      </c>
      <c r="K112" s="68" t="s">
        <v>93</v>
      </c>
      <c r="L112" s="68" t="s">
        <v>94</v>
      </c>
      <c r="M112" s="68" t="s">
        <v>94</v>
      </c>
      <c r="N112" s="68" t="s">
        <v>94</v>
      </c>
      <c r="O112" s="68" t="s">
        <v>94</v>
      </c>
      <c r="P112" s="68" t="s">
        <v>94</v>
      </c>
      <c r="Q112" s="68" t="s">
        <v>93</v>
      </c>
      <c r="R112" s="68" t="s">
        <v>93</v>
      </c>
      <c r="S112" s="68" t="s">
        <v>93</v>
      </c>
      <c r="T112" s="68" t="s">
        <v>93</v>
      </c>
      <c r="U112" s="68" t="s">
        <v>93</v>
      </c>
      <c r="V112" s="68" t="s">
        <v>93</v>
      </c>
      <c r="W112" s="68" t="s">
        <v>93</v>
      </c>
      <c r="X112" s="68" t="s">
        <v>93</v>
      </c>
      <c r="Y112" s="68" t="s">
        <v>93</v>
      </c>
      <c r="Z112" s="68" t="s">
        <v>94</v>
      </c>
      <c r="AA112" s="68" t="s">
        <v>94</v>
      </c>
      <c r="AB112" s="68" t="s">
        <v>93</v>
      </c>
      <c r="AC112" s="68" t="s">
        <v>93</v>
      </c>
      <c r="AD112" s="68" t="s">
        <v>93</v>
      </c>
      <c r="AE112" s="68" t="s">
        <v>93</v>
      </c>
      <c r="AF112" s="68" t="s">
        <v>93</v>
      </c>
      <c r="AG112" s="68" t="s">
        <v>93</v>
      </c>
      <c r="AH112" s="68" t="s">
        <v>93</v>
      </c>
      <c r="AI112" s="68" t="s">
        <v>93</v>
      </c>
      <c r="AJ112" s="68" t="s">
        <v>93</v>
      </c>
      <c r="AK112" s="68" t="s">
        <v>93</v>
      </c>
      <c r="AL112" s="68" t="s">
        <v>93</v>
      </c>
      <c r="AM112" s="68" t="s">
        <v>93</v>
      </c>
      <c r="AN112" s="68" t="s">
        <v>93</v>
      </c>
      <c r="AO112" s="68" t="s">
        <v>93</v>
      </c>
      <c r="AP112" s="68" t="s">
        <v>93</v>
      </c>
      <c r="AQ112" s="68" t="s">
        <v>93</v>
      </c>
      <c r="AR112" s="68" t="s">
        <v>93</v>
      </c>
      <c r="AS112" s="68" t="s">
        <v>93</v>
      </c>
      <c r="AT112" s="68" t="s">
        <v>93</v>
      </c>
      <c r="AU112" s="68" t="s">
        <v>93</v>
      </c>
      <c r="AV112" s="68" t="s">
        <v>93</v>
      </c>
      <c r="AW112" s="68" t="s">
        <v>93</v>
      </c>
      <c r="AX112" s="68" t="s">
        <v>93</v>
      </c>
      <c r="AY112" s="68" t="s">
        <v>93</v>
      </c>
      <c r="AZ112" s="68" t="s">
        <v>93</v>
      </c>
      <c r="BA112" s="68" t="s">
        <v>93</v>
      </c>
      <c r="BB112" s="68" t="s">
        <v>93</v>
      </c>
      <c r="BC112" s="68" t="s">
        <v>93</v>
      </c>
      <c r="BD112" s="68" t="s">
        <v>93</v>
      </c>
      <c r="BE112" s="68" t="s">
        <v>93</v>
      </c>
      <c r="BF112" s="68" t="s">
        <v>93</v>
      </c>
      <c r="BG112" s="68" t="s">
        <v>93</v>
      </c>
      <c r="BH112" s="68" t="s">
        <v>93</v>
      </c>
      <c r="BI112" s="68" t="s">
        <v>93</v>
      </c>
      <c r="BJ112" s="68" t="s">
        <v>93</v>
      </c>
      <c r="BK112" s="68" t="s">
        <v>93</v>
      </c>
      <c r="BL112" s="68" t="s">
        <v>93</v>
      </c>
      <c r="BM112" s="68" t="s">
        <v>93</v>
      </c>
      <c r="BN112" s="68" t="s">
        <v>93</v>
      </c>
      <c r="BO112" s="68" t="s">
        <v>93</v>
      </c>
      <c r="BP112" s="69" t="s">
        <v>93</v>
      </c>
    </row>
    <row r="113" spans="2:68" x14ac:dyDescent="0.25">
      <c r="B113" s="64">
        <v>4</v>
      </c>
      <c r="C113" s="65">
        <v>16</v>
      </c>
      <c r="D113" s="65" t="s">
        <v>96</v>
      </c>
      <c r="E113" s="66">
        <f>'[3]Master File'!B112</f>
        <v>46126</v>
      </c>
      <c r="F113" s="67" t="str">
        <f>'[3]Master File'!C112</f>
        <v>Closed</v>
      </c>
      <c r="G113" s="46"/>
      <c r="I113" s="68" t="s">
        <v>93</v>
      </c>
      <c r="J113" s="68" t="s">
        <v>93</v>
      </c>
      <c r="K113" s="68" t="s">
        <v>93</v>
      </c>
      <c r="L113" s="68" t="s">
        <v>94</v>
      </c>
      <c r="M113" s="68" t="s">
        <v>94</v>
      </c>
      <c r="N113" s="68" t="s">
        <v>94</v>
      </c>
      <c r="O113" s="68" t="s">
        <v>94</v>
      </c>
      <c r="P113" s="68" t="s">
        <v>94</v>
      </c>
      <c r="Q113" s="68" t="s">
        <v>93</v>
      </c>
      <c r="R113" s="68" t="s">
        <v>93</v>
      </c>
      <c r="S113" s="68" t="s">
        <v>93</v>
      </c>
      <c r="T113" s="68" t="s">
        <v>93</v>
      </c>
      <c r="U113" s="68" t="s">
        <v>93</v>
      </c>
      <c r="V113" s="68" t="s">
        <v>93</v>
      </c>
      <c r="W113" s="68" t="s">
        <v>93</v>
      </c>
      <c r="X113" s="68" t="s">
        <v>93</v>
      </c>
      <c r="Y113" s="68" t="s">
        <v>93</v>
      </c>
      <c r="Z113" s="68" t="s">
        <v>94</v>
      </c>
      <c r="AA113" s="68" t="s">
        <v>94</v>
      </c>
      <c r="AB113" s="68" t="s">
        <v>93</v>
      </c>
      <c r="AC113" s="68" t="s">
        <v>93</v>
      </c>
      <c r="AD113" s="68" t="s">
        <v>93</v>
      </c>
      <c r="AE113" s="68" t="s">
        <v>93</v>
      </c>
      <c r="AF113" s="68" t="s">
        <v>93</v>
      </c>
      <c r="AG113" s="68" t="s">
        <v>93</v>
      </c>
      <c r="AH113" s="68" t="s">
        <v>93</v>
      </c>
      <c r="AI113" s="68" t="s">
        <v>93</v>
      </c>
      <c r="AJ113" s="68" t="s">
        <v>93</v>
      </c>
      <c r="AK113" s="68" t="s">
        <v>93</v>
      </c>
      <c r="AL113" s="68" t="s">
        <v>93</v>
      </c>
      <c r="AM113" s="68" t="s">
        <v>93</v>
      </c>
      <c r="AN113" s="68" t="s">
        <v>93</v>
      </c>
      <c r="AO113" s="68" t="s">
        <v>93</v>
      </c>
      <c r="AP113" s="68" t="s">
        <v>93</v>
      </c>
      <c r="AQ113" s="68" t="s">
        <v>93</v>
      </c>
      <c r="AR113" s="68" t="s">
        <v>93</v>
      </c>
      <c r="AS113" s="68" t="s">
        <v>93</v>
      </c>
      <c r="AT113" s="68" t="s">
        <v>93</v>
      </c>
      <c r="AU113" s="68" t="s">
        <v>93</v>
      </c>
      <c r="AV113" s="68" t="s">
        <v>93</v>
      </c>
      <c r="AW113" s="68" t="s">
        <v>93</v>
      </c>
      <c r="AX113" s="68" t="s">
        <v>93</v>
      </c>
      <c r="AY113" s="68" t="s">
        <v>93</v>
      </c>
      <c r="AZ113" s="68" t="s">
        <v>93</v>
      </c>
      <c r="BA113" s="68" t="s">
        <v>93</v>
      </c>
      <c r="BB113" s="68" t="s">
        <v>93</v>
      </c>
      <c r="BC113" s="68" t="s">
        <v>93</v>
      </c>
      <c r="BD113" s="68" t="s">
        <v>93</v>
      </c>
      <c r="BE113" s="68" t="s">
        <v>93</v>
      </c>
      <c r="BF113" s="68" t="s">
        <v>93</v>
      </c>
      <c r="BG113" s="68" t="s">
        <v>93</v>
      </c>
      <c r="BH113" s="68" t="s">
        <v>93</v>
      </c>
      <c r="BI113" s="68" t="s">
        <v>93</v>
      </c>
      <c r="BJ113" s="68" t="s">
        <v>93</v>
      </c>
      <c r="BK113" s="68" t="s">
        <v>93</v>
      </c>
      <c r="BL113" s="68" t="s">
        <v>93</v>
      </c>
      <c r="BM113" s="68" t="s">
        <v>93</v>
      </c>
      <c r="BN113" s="68" t="s">
        <v>93</v>
      </c>
      <c r="BO113" s="68" t="s">
        <v>93</v>
      </c>
      <c r="BP113" s="69" t="s">
        <v>93</v>
      </c>
    </row>
    <row r="114" spans="2:68" x14ac:dyDescent="0.25">
      <c r="B114" s="64">
        <v>4</v>
      </c>
      <c r="C114" s="65">
        <v>16</v>
      </c>
      <c r="D114" s="65" t="s">
        <v>97</v>
      </c>
      <c r="E114" s="66">
        <f>'[3]Master File'!B113</f>
        <v>46127</v>
      </c>
      <c r="F114" s="67" t="str">
        <f>'[3]Master File'!C113</f>
        <v>Closed</v>
      </c>
      <c r="G114" s="46"/>
      <c r="I114" s="68" t="s">
        <v>93</v>
      </c>
      <c r="J114" s="68" t="s">
        <v>93</v>
      </c>
      <c r="K114" s="68" t="s">
        <v>93</v>
      </c>
      <c r="L114" s="68" t="s">
        <v>94</v>
      </c>
      <c r="M114" s="68" t="s">
        <v>94</v>
      </c>
      <c r="N114" s="68" t="s">
        <v>94</v>
      </c>
      <c r="O114" s="68" t="s">
        <v>94</v>
      </c>
      <c r="P114" s="68" t="s">
        <v>94</v>
      </c>
      <c r="Q114" s="68" t="s">
        <v>93</v>
      </c>
      <c r="R114" s="68" t="s">
        <v>93</v>
      </c>
      <c r="S114" s="68" t="s">
        <v>93</v>
      </c>
      <c r="T114" s="68" t="s">
        <v>93</v>
      </c>
      <c r="U114" s="68" t="s">
        <v>93</v>
      </c>
      <c r="V114" s="68" t="s">
        <v>93</v>
      </c>
      <c r="W114" s="68" t="s">
        <v>93</v>
      </c>
      <c r="X114" s="68" t="s">
        <v>93</v>
      </c>
      <c r="Y114" s="68" t="s">
        <v>93</v>
      </c>
      <c r="Z114" s="68" t="s">
        <v>94</v>
      </c>
      <c r="AA114" s="68" t="s">
        <v>94</v>
      </c>
      <c r="AB114" s="68" t="s">
        <v>93</v>
      </c>
      <c r="AC114" s="68" t="s">
        <v>93</v>
      </c>
      <c r="AD114" s="68" t="s">
        <v>93</v>
      </c>
      <c r="AE114" s="68" t="s">
        <v>93</v>
      </c>
      <c r="AF114" s="68" t="s">
        <v>93</v>
      </c>
      <c r="AG114" s="68" t="s">
        <v>93</v>
      </c>
      <c r="AH114" s="68" t="s">
        <v>93</v>
      </c>
      <c r="AI114" s="68" t="s">
        <v>93</v>
      </c>
      <c r="AJ114" s="68" t="s">
        <v>93</v>
      </c>
      <c r="AK114" s="68" t="s">
        <v>93</v>
      </c>
      <c r="AL114" s="68" t="s">
        <v>93</v>
      </c>
      <c r="AM114" s="68" t="s">
        <v>93</v>
      </c>
      <c r="AN114" s="68" t="s">
        <v>93</v>
      </c>
      <c r="AO114" s="68" t="s">
        <v>93</v>
      </c>
      <c r="AP114" s="68" t="s">
        <v>93</v>
      </c>
      <c r="AQ114" s="68" t="s">
        <v>93</v>
      </c>
      <c r="AR114" s="68" t="s">
        <v>93</v>
      </c>
      <c r="AS114" s="68" t="s">
        <v>93</v>
      </c>
      <c r="AT114" s="68" t="s">
        <v>93</v>
      </c>
      <c r="AU114" s="68" t="s">
        <v>93</v>
      </c>
      <c r="AV114" s="68" t="s">
        <v>93</v>
      </c>
      <c r="AW114" s="68" t="s">
        <v>93</v>
      </c>
      <c r="AX114" s="68" t="s">
        <v>93</v>
      </c>
      <c r="AY114" s="68" t="s">
        <v>93</v>
      </c>
      <c r="AZ114" s="68" t="s">
        <v>93</v>
      </c>
      <c r="BA114" s="68" t="s">
        <v>93</v>
      </c>
      <c r="BB114" s="68" t="s">
        <v>93</v>
      </c>
      <c r="BC114" s="68" t="s">
        <v>93</v>
      </c>
      <c r="BD114" s="68" t="s">
        <v>93</v>
      </c>
      <c r="BE114" s="68" t="s">
        <v>93</v>
      </c>
      <c r="BF114" s="68" t="s">
        <v>93</v>
      </c>
      <c r="BG114" s="68" t="s">
        <v>93</v>
      </c>
      <c r="BH114" s="68" t="s">
        <v>93</v>
      </c>
      <c r="BI114" s="68" t="s">
        <v>93</v>
      </c>
      <c r="BJ114" s="68" t="s">
        <v>93</v>
      </c>
      <c r="BK114" s="68" t="s">
        <v>93</v>
      </c>
      <c r="BL114" s="68" t="s">
        <v>93</v>
      </c>
      <c r="BM114" s="68" t="s">
        <v>93</v>
      </c>
      <c r="BN114" s="68" t="s">
        <v>93</v>
      </c>
      <c r="BO114" s="68" t="s">
        <v>93</v>
      </c>
      <c r="BP114" s="69" t="s">
        <v>93</v>
      </c>
    </row>
    <row r="115" spans="2:68" x14ac:dyDescent="0.25">
      <c r="B115" s="64">
        <v>4</v>
      </c>
      <c r="C115" s="65">
        <v>16</v>
      </c>
      <c r="D115" s="65" t="s">
        <v>98</v>
      </c>
      <c r="E115" s="66">
        <f>'[3]Master File'!B114</f>
        <v>46128</v>
      </c>
      <c r="F115" s="67" t="str">
        <f>'[3]Master File'!C114</f>
        <v>Lodge 5PM</v>
      </c>
      <c r="G115" s="46"/>
      <c r="I115" s="68" t="s">
        <v>93</v>
      </c>
      <c r="J115" s="68" t="s">
        <v>93</v>
      </c>
      <c r="K115" s="68" t="s">
        <v>93</v>
      </c>
      <c r="L115" s="68" t="s">
        <v>94</v>
      </c>
      <c r="M115" s="68" t="s">
        <v>94</v>
      </c>
      <c r="N115" s="68" t="s">
        <v>94</v>
      </c>
      <c r="O115" s="68" t="s">
        <v>94</v>
      </c>
      <c r="P115" s="68" t="s">
        <v>94</v>
      </c>
      <c r="Q115" s="68" t="s">
        <v>93</v>
      </c>
      <c r="R115" s="68" t="s">
        <v>93</v>
      </c>
      <c r="S115" s="68" t="s">
        <v>93</v>
      </c>
      <c r="T115" s="68" t="s">
        <v>93</v>
      </c>
      <c r="U115" s="68" t="s">
        <v>93</v>
      </c>
      <c r="V115" s="68" t="s">
        <v>93</v>
      </c>
      <c r="W115" s="68" t="s">
        <v>93</v>
      </c>
      <c r="X115" s="68" t="s">
        <v>93</v>
      </c>
      <c r="Y115" s="68" t="s">
        <v>93</v>
      </c>
      <c r="Z115" s="68" t="s">
        <v>94</v>
      </c>
      <c r="AA115" s="68" t="s">
        <v>94</v>
      </c>
      <c r="AB115" s="68" t="s">
        <v>93</v>
      </c>
      <c r="AC115" s="68" t="s">
        <v>93</v>
      </c>
      <c r="AD115" s="68" t="s">
        <v>93</v>
      </c>
      <c r="AE115" s="68" t="s">
        <v>93</v>
      </c>
      <c r="AF115" s="68" t="s">
        <v>93</v>
      </c>
      <c r="AG115" s="68" t="s">
        <v>93</v>
      </c>
      <c r="AH115" s="68" t="s">
        <v>93</v>
      </c>
      <c r="AI115" s="68" t="s">
        <v>93</v>
      </c>
      <c r="AJ115" s="68" t="s">
        <v>93</v>
      </c>
      <c r="AK115" s="68" t="s">
        <v>93</v>
      </c>
      <c r="AL115" s="68" t="s">
        <v>93</v>
      </c>
      <c r="AM115" s="68" t="s">
        <v>93</v>
      </c>
      <c r="AN115" s="68" t="s">
        <v>93</v>
      </c>
      <c r="AO115" s="68" t="s">
        <v>93</v>
      </c>
      <c r="AP115" s="68" t="s">
        <v>93</v>
      </c>
      <c r="AQ115" s="68" t="s">
        <v>93</v>
      </c>
      <c r="AR115" s="68" t="s">
        <v>93</v>
      </c>
      <c r="AS115" s="68" t="s">
        <v>93</v>
      </c>
      <c r="AT115" s="68" t="s">
        <v>93</v>
      </c>
      <c r="AU115" s="68" t="s">
        <v>93</v>
      </c>
      <c r="AV115" s="68" t="s">
        <v>93</v>
      </c>
      <c r="AW115" s="68" t="s">
        <v>93</v>
      </c>
      <c r="AX115" s="68" t="s">
        <v>93</v>
      </c>
      <c r="AY115" s="68" t="s">
        <v>93</v>
      </c>
      <c r="AZ115" s="68" t="s">
        <v>93</v>
      </c>
      <c r="BA115" s="68" t="s">
        <v>93</v>
      </c>
      <c r="BB115" s="68" t="s">
        <v>93</v>
      </c>
      <c r="BC115" s="68" t="s">
        <v>93</v>
      </c>
      <c r="BD115" s="68" t="s">
        <v>93</v>
      </c>
      <c r="BE115" s="68" t="s">
        <v>93</v>
      </c>
      <c r="BF115" s="68" t="s">
        <v>93</v>
      </c>
      <c r="BG115" s="68" t="s">
        <v>93</v>
      </c>
      <c r="BH115" s="68" t="s">
        <v>93</v>
      </c>
      <c r="BI115" s="68" t="s">
        <v>93</v>
      </c>
      <c r="BJ115" s="68" t="s">
        <v>93</v>
      </c>
      <c r="BK115" s="68" t="s">
        <v>93</v>
      </c>
      <c r="BL115" s="68" t="s">
        <v>93</v>
      </c>
      <c r="BM115" s="68" t="s">
        <v>93</v>
      </c>
      <c r="BN115" s="68" t="s">
        <v>93</v>
      </c>
      <c r="BO115" s="68" t="s">
        <v>93</v>
      </c>
      <c r="BP115" s="69" t="s">
        <v>93</v>
      </c>
    </row>
    <row r="116" spans="2:68" x14ac:dyDescent="0.25">
      <c r="B116" s="64">
        <v>4</v>
      </c>
      <c r="C116" s="65">
        <v>16</v>
      </c>
      <c r="D116" s="65" t="s">
        <v>99</v>
      </c>
      <c r="E116" s="66">
        <f>'[3]Master File'!B115</f>
        <v>46129</v>
      </c>
      <c r="F116" s="67" t="str">
        <f>'[3]Master File'!C115</f>
        <v>Lodge 5PM</v>
      </c>
      <c r="G116" s="46"/>
      <c r="I116" s="68" t="s">
        <v>93</v>
      </c>
      <c r="J116" s="68" t="s">
        <v>93</v>
      </c>
      <c r="K116" s="68" t="s">
        <v>93</v>
      </c>
      <c r="L116" s="68" t="s">
        <v>94</v>
      </c>
      <c r="M116" s="68" t="s">
        <v>94</v>
      </c>
      <c r="N116" s="68" t="s">
        <v>94</v>
      </c>
      <c r="O116" s="68" t="s">
        <v>94</v>
      </c>
      <c r="P116" s="68" t="s">
        <v>94</v>
      </c>
      <c r="Q116" s="68" t="s">
        <v>93</v>
      </c>
      <c r="R116" s="68" t="s">
        <v>93</v>
      </c>
      <c r="S116" s="68" t="s">
        <v>93</v>
      </c>
      <c r="T116" s="68" t="s">
        <v>93</v>
      </c>
      <c r="U116" s="68" t="s">
        <v>93</v>
      </c>
      <c r="V116" s="68" t="s">
        <v>93</v>
      </c>
      <c r="W116" s="68" t="s">
        <v>93</v>
      </c>
      <c r="X116" s="68" t="s">
        <v>93</v>
      </c>
      <c r="Y116" s="68" t="s">
        <v>93</v>
      </c>
      <c r="Z116" s="68" t="s">
        <v>94</v>
      </c>
      <c r="AA116" s="68" t="s">
        <v>94</v>
      </c>
      <c r="AB116" s="68" t="s">
        <v>93</v>
      </c>
      <c r="AC116" s="68" t="s">
        <v>93</v>
      </c>
      <c r="AD116" s="68" t="s">
        <v>93</v>
      </c>
      <c r="AE116" s="68" t="s">
        <v>93</v>
      </c>
      <c r="AF116" s="68" t="s">
        <v>93</v>
      </c>
      <c r="AG116" s="68" t="s">
        <v>93</v>
      </c>
      <c r="AH116" s="68" t="s">
        <v>93</v>
      </c>
      <c r="AI116" s="68" t="s">
        <v>93</v>
      </c>
      <c r="AJ116" s="68" t="s">
        <v>93</v>
      </c>
      <c r="AK116" s="68" t="s">
        <v>93</v>
      </c>
      <c r="AL116" s="68" t="s">
        <v>93</v>
      </c>
      <c r="AM116" s="68" t="s">
        <v>93</v>
      </c>
      <c r="AN116" s="68" t="s">
        <v>93</v>
      </c>
      <c r="AO116" s="68" t="s">
        <v>93</v>
      </c>
      <c r="AP116" s="68" t="s">
        <v>93</v>
      </c>
      <c r="AQ116" s="68" t="s">
        <v>93</v>
      </c>
      <c r="AR116" s="68" t="s">
        <v>93</v>
      </c>
      <c r="AS116" s="68" t="s">
        <v>93</v>
      </c>
      <c r="AT116" s="68" t="s">
        <v>93</v>
      </c>
      <c r="AU116" s="68" t="s">
        <v>93</v>
      </c>
      <c r="AV116" s="68" t="s">
        <v>93</v>
      </c>
      <c r="AW116" s="68" t="s">
        <v>93</v>
      </c>
      <c r="AX116" s="68" t="s">
        <v>93</v>
      </c>
      <c r="AY116" s="68" t="s">
        <v>93</v>
      </c>
      <c r="AZ116" s="68" t="s">
        <v>93</v>
      </c>
      <c r="BA116" s="68" t="s">
        <v>93</v>
      </c>
      <c r="BB116" s="68" t="s">
        <v>93</v>
      </c>
      <c r="BC116" s="68" t="s">
        <v>93</v>
      </c>
      <c r="BD116" s="68" t="s">
        <v>93</v>
      </c>
      <c r="BE116" s="68" t="s">
        <v>93</v>
      </c>
      <c r="BF116" s="68" t="s">
        <v>93</v>
      </c>
      <c r="BG116" s="68" t="s">
        <v>93</v>
      </c>
      <c r="BH116" s="68" t="s">
        <v>93</v>
      </c>
      <c r="BI116" s="68" t="s">
        <v>93</v>
      </c>
      <c r="BJ116" s="68" t="s">
        <v>93</v>
      </c>
      <c r="BK116" s="68" t="s">
        <v>93</v>
      </c>
      <c r="BL116" s="68" t="s">
        <v>93</v>
      </c>
      <c r="BM116" s="68" t="s">
        <v>93</v>
      </c>
      <c r="BN116" s="68" t="s">
        <v>93</v>
      </c>
      <c r="BO116" s="68" t="s">
        <v>93</v>
      </c>
      <c r="BP116" s="69" t="s">
        <v>93</v>
      </c>
    </row>
    <row r="117" spans="2:68" x14ac:dyDescent="0.25">
      <c r="B117" s="64">
        <v>4</v>
      </c>
      <c r="C117" s="65">
        <v>16</v>
      </c>
      <c r="D117" s="65" t="s">
        <v>100</v>
      </c>
      <c r="E117" s="66">
        <f>'[3]Master File'!B116</f>
        <v>46130</v>
      </c>
      <c r="F117" s="67" t="str">
        <f>'[3]Master File'!C116</f>
        <v>Explorer 5PM</v>
      </c>
      <c r="G117" s="46"/>
      <c r="I117" s="70" t="s">
        <v>93</v>
      </c>
      <c r="J117" s="70" t="s">
        <v>93</v>
      </c>
      <c r="K117" s="70" t="s">
        <v>93</v>
      </c>
      <c r="L117" s="68" t="s">
        <v>94</v>
      </c>
      <c r="M117" s="68" t="s">
        <v>94</v>
      </c>
      <c r="N117" s="68" t="s">
        <v>94</v>
      </c>
      <c r="O117" s="68" t="s">
        <v>94</v>
      </c>
      <c r="P117" s="68" t="s">
        <v>94</v>
      </c>
      <c r="Q117" s="70" t="s">
        <v>93</v>
      </c>
      <c r="R117" s="70" t="s">
        <v>93</v>
      </c>
      <c r="S117" s="70" t="s">
        <v>93</v>
      </c>
      <c r="T117" s="70" t="s">
        <v>93</v>
      </c>
      <c r="U117" s="70" t="s">
        <v>93</v>
      </c>
      <c r="V117" s="70" t="s">
        <v>93</v>
      </c>
      <c r="W117" s="70" t="s">
        <v>93</v>
      </c>
      <c r="X117" s="70" t="s">
        <v>93</v>
      </c>
      <c r="Y117" s="70" t="s">
        <v>93</v>
      </c>
      <c r="Z117" s="68" t="s">
        <v>94</v>
      </c>
      <c r="AA117" s="68" t="s">
        <v>94</v>
      </c>
      <c r="AB117" s="70" t="s">
        <v>93</v>
      </c>
      <c r="AC117" s="70" t="s">
        <v>93</v>
      </c>
      <c r="AD117" s="70" t="s">
        <v>94</v>
      </c>
      <c r="AE117" s="70" t="s">
        <v>94</v>
      </c>
      <c r="AF117" s="70" t="s">
        <v>93</v>
      </c>
      <c r="AG117" s="70" t="s">
        <v>93</v>
      </c>
      <c r="AH117" s="70" t="s">
        <v>93</v>
      </c>
      <c r="AI117" s="70" t="s">
        <v>93</v>
      </c>
      <c r="AJ117" s="70" t="s">
        <v>93</v>
      </c>
      <c r="AK117" s="70" t="s">
        <v>93</v>
      </c>
      <c r="AL117" s="70" t="s">
        <v>93</v>
      </c>
      <c r="AM117" s="70" t="s">
        <v>93</v>
      </c>
      <c r="AN117" s="70" t="s">
        <v>93</v>
      </c>
      <c r="AO117" s="70" t="s">
        <v>93</v>
      </c>
      <c r="AP117" s="70" t="s">
        <v>93</v>
      </c>
      <c r="AQ117" s="70" t="s">
        <v>93</v>
      </c>
      <c r="AR117" s="70" t="s">
        <v>93</v>
      </c>
      <c r="AS117" s="70" t="s">
        <v>93</v>
      </c>
      <c r="AT117" s="70" t="s">
        <v>93</v>
      </c>
      <c r="AU117" s="70" t="s">
        <v>93</v>
      </c>
      <c r="AV117" s="70" t="s">
        <v>93</v>
      </c>
      <c r="AW117" s="70" t="s">
        <v>93</v>
      </c>
      <c r="AX117" s="70" t="s">
        <v>93</v>
      </c>
      <c r="AY117" s="70" t="s">
        <v>93</v>
      </c>
      <c r="AZ117" s="70" t="s">
        <v>93</v>
      </c>
      <c r="BA117" s="70" t="s">
        <v>93</v>
      </c>
      <c r="BB117" s="70" t="s">
        <v>93</v>
      </c>
      <c r="BC117" s="70" t="s">
        <v>93</v>
      </c>
      <c r="BD117" s="70" t="s">
        <v>93</v>
      </c>
      <c r="BE117" s="70" t="s">
        <v>93</v>
      </c>
      <c r="BF117" s="70" t="s">
        <v>93</v>
      </c>
      <c r="BG117" s="70" t="s">
        <v>93</v>
      </c>
      <c r="BH117" s="70" t="s">
        <v>93</v>
      </c>
      <c r="BI117" s="70" t="s">
        <v>93</v>
      </c>
      <c r="BJ117" s="70" t="s">
        <v>93</v>
      </c>
      <c r="BK117" s="70" t="s">
        <v>93</v>
      </c>
      <c r="BL117" s="70" t="s">
        <v>93</v>
      </c>
      <c r="BM117" s="70" t="s">
        <v>93</v>
      </c>
      <c r="BN117" s="70" t="s">
        <v>93</v>
      </c>
      <c r="BO117" s="70" t="s">
        <v>93</v>
      </c>
      <c r="BP117" s="71" t="s">
        <v>93</v>
      </c>
    </row>
    <row r="118" spans="2:68" x14ac:dyDescent="0.25">
      <c r="B118" s="64">
        <v>4</v>
      </c>
      <c r="C118" s="65">
        <v>17</v>
      </c>
      <c r="D118" s="65" t="s">
        <v>92</v>
      </c>
      <c r="E118" s="66">
        <f>'[3]Master File'!B117</f>
        <v>46131</v>
      </c>
      <c r="F118" s="67" t="str">
        <f>'[3]Master File'!C117</f>
        <v>Explorer 5PM</v>
      </c>
      <c r="G118" s="46"/>
      <c r="I118" s="70" t="s">
        <v>93</v>
      </c>
      <c r="J118" s="70" t="s">
        <v>93</v>
      </c>
      <c r="K118" s="70" t="s">
        <v>93</v>
      </c>
      <c r="L118" s="68" t="s">
        <v>94</v>
      </c>
      <c r="M118" s="68" t="s">
        <v>94</v>
      </c>
      <c r="N118" s="68" t="s">
        <v>94</v>
      </c>
      <c r="O118" s="68" t="s">
        <v>94</v>
      </c>
      <c r="P118" s="68" t="s">
        <v>94</v>
      </c>
      <c r="Q118" s="70" t="s">
        <v>93</v>
      </c>
      <c r="R118" s="70" t="s">
        <v>93</v>
      </c>
      <c r="S118" s="70" t="s">
        <v>93</v>
      </c>
      <c r="T118" s="70" t="s">
        <v>93</v>
      </c>
      <c r="U118" s="70" t="s">
        <v>93</v>
      </c>
      <c r="V118" s="70" t="s">
        <v>93</v>
      </c>
      <c r="W118" s="70" t="s">
        <v>93</v>
      </c>
      <c r="X118" s="70" t="s">
        <v>93</v>
      </c>
      <c r="Y118" s="70" t="s">
        <v>93</v>
      </c>
      <c r="Z118" s="68" t="s">
        <v>94</v>
      </c>
      <c r="AA118" s="68" t="s">
        <v>94</v>
      </c>
      <c r="AB118" s="70" t="s">
        <v>93</v>
      </c>
      <c r="AC118" s="70" t="s">
        <v>93</v>
      </c>
      <c r="AD118" s="70" t="s">
        <v>94</v>
      </c>
      <c r="AE118" s="70" t="s">
        <v>94</v>
      </c>
      <c r="AF118" s="70" t="s">
        <v>93</v>
      </c>
      <c r="AG118" s="70" t="s">
        <v>93</v>
      </c>
      <c r="AH118" s="70" t="s">
        <v>93</v>
      </c>
      <c r="AI118" s="70" t="s">
        <v>93</v>
      </c>
      <c r="AJ118" s="70" t="s">
        <v>93</v>
      </c>
      <c r="AK118" s="70" t="s">
        <v>93</v>
      </c>
      <c r="AL118" s="70" t="s">
        <v>93</v>
      </c>
      <c r="AM118" s="70" t="s">
        <v>93</v>
      </c>
      <c r="AN118" s="70" t="s">
        <v>93</v>
      </c>
      <c r="AO118" s="70" t="s">
        <v>93</v>
      </c>
      <c r="AP118" s="70" t="s">
        <v>93</v>
      </c>
      <c r="AQ118" s="70" t="s">
        <v>93</v>
      </c>
      <c r="AR118" s="70" t="s">
        <v>93</v>
      </c>
      <c r="AS118" s="70" t="s">
        <v>93</v>
      </c>
      <c r="AT118" s="70" t="s">
        <v>93</v>
      </c>
      <c r="AU118" s="70" t="s">
        <v>93</v>
      </c>
      <c r="AV118" s="70" t="s">
        <v>93</v>
      </c>
      <c r="AW118" s="70" t="s">
        <v>93</v>
      </c>
      <c r="AX118" s="70" t="s">
        <v>93</v>
      </c>
      <c r="AY118" s="70" t="s">
        <v>93</v>
      </c>
      <c r="AZ118" s="70" t="s">
        <v>93</v>
      </c>
      <c r="BA118" s="70" t="s">
        <v>93</v>
      </c>
      <c r="BB118" s="70" t="s">
        <v>93</v>
      </c>
      <c r="BC118" s="70" t="s">
        <v>93</v>
      </c>
      <c r="BD118" s="70" t="s">
        <v>93</v>
      </c>
      <c r="BE118" s="70" t="s">
        <v>93</v>
      </c>
      <c r="BF118" s="70" t="s">
        <v>93</v>
      </c>
      <c r="BG118" s="70" t="s">
        <v>93</v>
      </c>
      <c r="BH118" s="70" t="s">
        <v>93</v>
      </c>
      <c r="BI118" s="70" t="s">
        <v>93</v>
      </c>
      <c r="BJ118" s="70" t="s">
        <v>93</v>
      </c>
      <c r="BK118" s="70" t="s">
        <v>93</v>
      </c>
      <c r="BL118" s="70" t="s">
        <v>93</v>
      </c>
      <c r="BM118" s="70" t="s">
        <v>93</v>
      </c>
      <c r="BN118" s="70" t="s">
        <v>93</v>
      </c>
      <c r="BO118" s="70" t="s">
        <v>93</v>
      </c>
      <c r="BP118" s="71" t="s">
        <v>93</v>
      </c>
    </row>
    <row r="119" spans="2:68" x14ac:dyDescent="0.25">
      <c r="B119" s="64">
        <v>4</v>
      </c>
      <c r="C119" s="65">
        <v>17</v>
      </c>
      <c r="D119" s="65" t="s">
        <v>95</v>
      </c>
      <c r="E119" s="66">
        <f>'[3]Master File'!B118</f>
        <v>46132</v>
      </c>
      <c r="F119" s="67" t="str">
        <f>'[3]Master File'!C118</f>
        <v>Explorer 5PM</v>
      </c>
      <c r="G119" s="46"/>
      <c r="I119" s="68" t="s">
        <v>93</v>
      </c>
      <c r="J119" s="68" t="s">
        <v>93</v>
      </c>
      <c r="K119" s="68" t="s">
        <v>93</v>
      </c>
      <c r="L119" s="68" t="s">
        <v>94</v>
      </c>
      <c r="M119" s="68" t="s">
        <v>94</v>
      </c>
      <c r="N119" s="68" t="s">
        <v>94</v>
      </c>
      <c r="O119" s="68" t="s">
        <v>94</v>
      </c>
      <c r="P119" s="68" t="s">
        <v>94</v>
      </c>
      <c r="Q119" s="68" t="s">
        <v>93</v>
      </c>
      <c r="R119" s="68" t="s">
        <v>93</v>
      </c>
      <c r="S119" s="68" t="s">
        <v>93</v>
      </c>
      <c r="T119" s="68" t="s">
        <v>93</v>
      </c>
      <c r="U119" s="68" t="s">
        <v>93</v>
      </c>
      <c r="V119" s="68" t="s">
        <v>93</v>
      </c>
      <c r="W119" s="68" t="s">
        <v>93</v>
      </c>
      <c r="X119" s="68" t="s">
        <v>93</v>
      </c>
      <c r="Y119" s="68" t="s">
        <v>93</v>
      </c>
      <c r="Z119" s="68" t="s">
        <v>94</v>
      </c>
      <c r="AA119" s="68" t="s">
        <v>94</v>
      </c>
      <c r="AB119" s="68" t="s">
        <v>93</v>
      </c>
      <c r="AC119" s="68" t="s">
        <v>93</v>
      </c>
      <c r="AD119" s="68" t="s">
        <v>93</v>
      </c>
      <c r="AE119" s="68" t="s">
        <v>93</v>
      </c>
      <c r="AF119" s="68" t="s">
        <v>93</v>
      </c>
      <c r="AG119" s="68" t="s">
        <v>93</v>
      </c>
      <c r="AH119" s="68" t="s">
        <v>93</v>
      </c>
      <c r="AI119" s="68" t="s">
        <v>93</v>
      </c>
      <c r="AJ119" s="68" t="s">
        <v>93</v>
      </c>
      <c r="AK119" s="68" t="s">
        <v>93</v>
      </c>
      <c r="AL119" s="68" t="s">
        <v>93</v>
      </c>
      <c r="AM119" s="68" t="s">
        <v>93</v>
      </c>
      <c r="AN119" s="68" t="s">
        <v>93</v>
      </c>
      <c r="AO119" s="68" t="s">
        <v>93</v>
      </c>
      <c r="AP119" s="68" t="s">
        <v>93</v>
      </c>
      <c r="AQ119" s="68" t="s">
        <v>93</v>
      </c>
      <c r="AR119" s="68" t="s">
        <v>93</v>
      </c>
      <c r="AS119" s="68" t="s">
        <v>93</v>
      </c>
      <c r="AT119" s="68" t="s">
        <v>93</v>
      </c>
      <c r="AU119" s="68" t="s">
        <v>93</v>
      </c>
      <c r="AV119" s="68" t="s">
        <v>93</v>
      </c>
      <c r="AW119" s="68" t="s">
        <v>93</v>
      </c>
      <c r="AX119" s="68" t="s">
        <v>93</v>
      </c>
      <c r="AY119" s="68" t="s">
        <v>93</v>
      </c>
      <c r="AZ119" s="68" t="s">
        <v>93</v>
      </c>
      <c r="BA119" s="68" t="s">
        <v>93</v>
      </c>
      <c r="BB119" s="68" t="s">
        <v>93</v>
      </c>
      <c r="BC119" s="68" t="s">
        <v>93</v>
      </c>
      <c r="BD119" s="68" t="s">
        <v>93</v>
      </c>
      <c r="BE119" s="68" t="s">
        <v>93</v>
      </c>
      <c r="BF119" s="68" t="s">
        <v>93</v>
      </c>
      <c r="BG119" s="68" t="s">
        <v>93</v>
      </c>
      <c r="BH119" s="68" t="s">
        <v>93</v>
      </c>
      <c r="BI119" s="68" t="s">
        <v>93</v>
      </c>
      <c r="BJ119" s="68" t="s">
        <v>93</v>
      </c>
      <c r="BK119" s="68" t="s">
        <v>93</v>
      </c>
      <c r="BL119" s="68" t="s">
        <v>93</v>
      </c>
      <c r="BM119" s="68" t="s">
        <v>93</v>
      </c>
      <c r="BN119" s="68" t="s">
        <v>93</v>
      </c>
      <c r="BO119" s="68" t="s">
        <v>93</v>
      </c>
      <c r="BP119" s="69" t="s">
        <v>93</v>
      </c>
    </row>
    <row r="120" spans="2:68" x14ac:dyDescent="0.25">
      <c r="B120" s="64">
        <v>4</v>
      </c>
      <c r="C120" s="65">
        <v>17</v>
      </c>
      <c r="D120" s="65" t="s">
        <v>96</v>
      </c>
      <c r="E120" s="66">
        <f>'[3]Master File'!B119</f>
        <v>46133</v>
      </c>
      <c r="F120" s="67" t="str">
        <f>'[3]Master File'!C119</f>
        <v>Closed</v>
      </c>
      <c r="G120" s="46"/>
      <c r="I120" s="68" t="s">
        <v>93</v>
      </c>
      <c r="J120" s="68" t="s">
        <v>93</v>
      </c>
      <c r="K120" s="68" t="s">
        <v>93</v>
      </c>
      <c r="L120" s="68" t="s">
        <v>94</v>
      </c>
      <c r="M120" s="68" t="s">
        <v>94</v>
      </c>
      <c r="N120" s="68" t="s">
        <v>94</v>
      </c>
      <c r="O120" s="68" t="s">
        <v>94</v>
      </c>
      <c r="P120" s="68" t="s">
        <v>94</v>
      </c>
      <c r="Q120" s="68" t="s">
        <v>93</v>
      </c>
      <c r="R120" s="68" t="s">
        <v>93</v>
      </c>
      <c r="S120" s="68" t="s">
        <v>93</v>
      </c>
      <c r="T120" s="68" t="s">
        <v>93</v>
      </c>
      <c r="U120" s="68" t="s">
        <v>93</v>
      </c>
      <c r="V120" s="68" t="s">
        <v>93</v>
      </c>
      <c r="W120" s="68" t="s">
        <v>93</v>
      </c>
      <c r="X120" s="68" t="s">
        <v>93</v>
      </c>
      <c r="Y120" s="68" t="s">
        <v>93</v>
      </c>
      <c r="Z120" s="68" t="s">
        <v>94</v>
      </c>
      <c r="AA120" s="68" t="s">
        <v>94</v>
      </c>
      <c r="AB120" s="68" t="s">
        <v>93</v>
      </c>
      <c r="AC120" s="68" t="s">
        <v>93</v>
      </c>
      <c r="AD120" s="68" t="s">
        <v>93</v>
      </c>
      <c r="AE120" s="68" t="s">
        <v>93</v>
      </c>
      <c r="AF120" s="68" t="s">
        <v>93</v>
      </c>
      <c r="AG120" s="68" t="s">
        <v>93</v>
      </c>
      <c r="AH120" s="68" t="s">
        <v>93</v>
      </c>
      <c r="AI120" s="68" t="s">
        <v>93</v>
      </c>
      <c r="AJ120" s="68" t="s">
        <v>93</v>
      </c>
      <c r="AK120" s="68" t="s">
        <v>93</v>
      </c>
      <c r="AL120" s="68" t="s">
        <v>93</v>
      </c>
      <c r="AM120" s="68" t="s">
        <v>93</v>
      </c>
      <c r="AN120" s="68" t="s">
        <v>93</v>
      </c>
      <c r="AO120" s="68" t="s">
        <v>93</v>
      </c>
      <c r="AP120" s="68" t="s">
        <v>93</v>
      </c>
      <c r="AQ120" s="68" t="s">
        <v>93</v>
      </c>
      <c r="AR120" s="68" t="s">
        <v>93</v>
      </c>
      <c r="AS120" s="68" t="s">
        <v>93</v>
      </c>
      <c r="AT120" s="68" t="s">
        <v>93</v>
      </c>
      <c r="AU120" s="68" t="s">
        <v>93</v>
      </c>
      <c r="AV120" s="68" t="s">
        <v>93</v>
      </c>
      <c r="AW120" s="68" t="s">
        <v>93</v>
      </c>
      <c r="AX120" s="68" t="s">
        <v>93</v>
      </c>
      <c r="AY120" s="68" t="s">
        <v>93</v>
      </c>
      <c r="AZ120" s="68" t="s">
        <v>93</v>
      </c>
      <c r="BA120" s="68" t="s">
        <v>93</v>
      </c>
      <c r="BB120" s="68" t="s">
        <v>93</v>
      </c>
      <c r="BC120" s="68" t="s">
        <v>93</v>
      </c>
      <c r="BD120" s="68" t="s">
        <v>93</v>
      </c>
      <c r="BE120" s="68" t="s">
        <v>93</v>
      </c>
      <c r="BF120" s="68" t="s">
        <v>93</v>
      </c>
      <c r="BG120" s="68" t="s">
        <v>93</v>
      </c>
      <c r="BH120" s="68" t="s">
        <v>93</v>
      </c>
      <c r="BI120" s="68" t="s">
        <v>93</v>
      </c>
      <c r="BJ120" s="68" t="s">
        <v>93</v>
      </c>
      <c r="BK120" s="68" t="s">
        <v>93</v>
      </c>
      <c r="BL120" s="68" t="s">
        <v>93</v>
      </c>
      <c r="BM120" s="68" t="s">
        <v>93</v>
      </c>
      <c r="BN120" s="68" t="s">
        <v>93</v>
      </c>
      <c r="BO120" s="68" t="s">
        <v>93</v>
      </c>
      <c r="BP120" s="69" t="s">
        <v>93</v>
      </c>
    </row>
    <row r="121" spans="2:68" x14ac:dyDescent="0.25">
      <c r="B121" s="64">
        <v>4</v>
      </c>
      <c r="C121" s="65">
        <v>17</v>
      </c>
      <c r="D121" s="65" t="s">
        <v>97</v>
      </c>
      <c r="E121" s="66">
        <f>'[3]Master File'!B120</f>
        <v>46134</v>
      </c>
      <c r="F121" s="67" t="str">
        <f>'[3]Master File'!C120</f>
        <v>Closed</v>
      </c>
      <c r="G121" s="46"/>
      <c r="I121" s="68" t="s">
        <v>93</v>
      </c>
      <c r="J121" s="68" t="s">
        <v>93</v>
      </c>
      <c r="K121" s="68" t="s">
        <v>93</v>
      </c>
      <c r="L121" s="68" t="s">
        <v>94</v>
      </c>
      <c r="M121" s="68" t="s">
        <v>94</v>
      </c>
      <c r="N121" s="68" t="s">
        <v>94</v>
      </c>
      <c r="O121" s="68" t="s">
        <v>94</v>
      </c>
      <c r="P121" s="68" t="s">
        <v>94</v>
      </c>
      <c r="Q121" s="68" t="s">
        <v>93</v>
      </c>
      <c r="R121" s="68" t="s">
        <v>93</v>
      </c>
      <c r="S121" s="68" t="s">
        <v>93</v>
      </c>
      <c r="T121" s="68" t="s">
        <v>93</v>
      </c>
      <c r="U121" s="68" t="s">
        <v>93</v>
      </c>
      <c r="V121" s="68" t="s">
        <v>93</v>
      </c>
      <c r="W121" s="68" t="s">
        <v>93</v>
      </c>
      <c r="X121" s="68" t="s">
        <v>93</v>
      </c>
      <c r="Y121" s="68" t="s">
        <v>93</v>
      </c>
      <c r="Z121" s="68" t="s">
        <v>94</v>
      </c>
      <c r="AA121" s="68" t="s">
        <v>94</v>
      </c>
      <c r="AB121" s="68" t="s">
        <v>93</v>
      </c>
      <c r="AC121" s="68" t="s">
        <v>93</v>
      </c>
      <c r="AD121" s="68" t="s">
        <v>93</v>
      </c>
      <c r="AE121" s="68" t="s">
        <v>93</v>
      </c>
      <c r="AF121" s="68" t="s">
        <v>93</v>
      </c>
      <c r="AG121" s="68" t="s">
        <v>93</v>
      </c>
      <c r="AH121" s="68" t="s">
        <v>93</v>
      </c>
      <c r="AI121" s="68" t="s">
        <v>93</v>
      </c>
      <c r="AJ121" s="68" t="s">
        <v>93</v>
      </c>
      <c r="AK121" s="68" t="s">
        <v>93</v>
      </c>
      <c r="AL121" s="68" t="s">
        <v>93</v>
      </c>
      <c r="AM121" s="68" t="s">
        <v>93</v>
      </c>
      <c r="AN121" s="68" t="s">
        <v>93</v>
      </c>
      <c r="AO121" s="68" t="s">
        <v>93</v>
      </c>
      <c r="AP121" s="68" t="s">
        <v>93</v>
      </c>
      <c r="AQ121" s="68" t="s">
        <v>93</v>
      </c>
      <c r="AR121" s="68" t="s">
        <v>93</v>
      </c>
      <c r="AS121" s="68" t="s">
        <v>93</v>
      </c>
      <c r="AT121" s="68" t="s">
        <v>93</v>
      </c>
      <c r="AU121" s="68" t="s">
        <v>93</v>
      </c>
      <c r="AV121" s="68" t="s">
        <v>93</v>
      </c>
      <c r="AW121" s="68" t="s">
        <v>93</v>
      </c>
      <c r="AX121" s="68" t="s">
        <v>93</v>
      </c>
      <c r="AY121" s="68" t="s">
        <v>93</v>
      </c>
      <c r="AZ121" s="68" t="s">
        <v>93</v>
      </c>
      <c r="BA121" s="68" t="s">
        <v>93</v>
      </c>
      <c r="BB121" s="68" t="s">
        <v>93</v>
      </c>
      <c r="BC121" s="68" t="s">
        <v>93</v>
      </c>
      <c r="BD121" s="68" t="s">
        <v>93</v>
      </c>
      <c r="BE121" s="68" t="s">
        <v>93</v>
      </c>
      <c r="BF121" s="68" t="s">
        <v>93</v>
      </c>
      <c r="BG121" s="68" t="s">
        <v>93</v>
      </c>
      <c r="BH121" s="68" t="s">
        <v>93</v>
      </c>
      <c r="BI121" s="68" t="s">
        <v>93</v>
      </c>
      <c r="BJ121" s="68" t="s">
        <v>93</v>
      </c>
      <c r="BK121" s="68" t="s">
        <v>93</v>
      </c>
      <c r="BL121" s="68" t="s">
        <v>93</v>
      </c>
      <c r="BM121" s="68" t="s">
        <v>93</v>
      </c>
      <c r="BN121" s="68" t="s">
        <v>93</v>
      </c>
      <c r="BO121" s="68" t="s">
        <v>93</v>
      </c>
      <c r="BP121" s="69" t="s">
        <v>93</v>
      </c>
    </row>
    <row r="122" spans="2:68" x14ac:dyDescent="0.25">
      <c r="B122" s="64">
        <v>4</v>
      </c>
      <c r="C122" s="65">
        <v>17</v>
      </c>
      <c r="D122" s="65" t="s">
        <v>98</v>
      </c>
      <c r="E122" s="66">
        <f>'[3]Master File'!B121</f>
        <v>46135</v>
      </c>
      <c r="F122" s="67" t="str">
        <f>'[3]Master File'!C121</f>
        <v>Lodge 5PM</v>
      </c>
      <c r="G122" s="46"/>
      <c r="I122" s="68" t="s">
        <v>93</v>
      </c>
      <c r="J122" s="68" t="s">
        <v>93</v>
      </c>
      <c r="K122" s="68" t="s">
        <v>93</v>
      </c>
      <c r="L122" s="68" t="s">
        <v>94</v>
      </c>
      <c r="M122" s="68" t="s">
        <v>94</v>
      </c>
      <c r="N122" s="68" t="s">
        <v>94</v>
      </c>
      <c r="O122" s="68" t="s">
        <v>94</v>
      </c>
      <c r="P122" s="68" t="s">
        <v>94</v>
      </c>
      <c r="Q122" s="68" t="s">
        <v>93</v>
      </c>
      <c r="R122" s="68" t="s">
        <v>93</v>
      </c>
      <c r="S122" s="68" t="s">
        <v>93</v>
      </c>
      <c r="T122" s="68" t="s">
        <v>93</v>
      </c>
      <c r="U122" s="68" t="s">
        <v>93</v>
      </c>
      <c r="V122" s="68" t="s">
        <v>93</v>
      </c>
      <c r="W122" s="68" t="s">
        <v>93</v>
      </c>
      <c r="X122" s="68" t="s">
        <v>93</v>
      </c>
      <c r="Y122" s="68" t="s">
        <v>93</v>
      </c>
      <c r="Z122" s="68" t="s">
        <v>94</v>
      </c>
      <c r="AA122" s="68" t="s">
        <v>94</v>
      </c>
      <c r="AB122" s="68" t="s">
        <v>93</v>
      </c>
      <c r="AC122" s="68" t="s">
        <v>93</v>
      </c>
      <c r="AD122" s="68" t="s">
        <v>93</v>
      </c>
      <c r="AE122" s="68" t="s">
        <v>93</v>
      </c>
      <c r="AF122" s="68" t="s">
        <v>93</v>
      </c>
      <c r="AG122" s="68" t="s">
        <v>93</v>
      </c>
      <c r="AH122" s="68" t="s">
        <v>93</v>
      </c>
      <c r="AI122" s="68" t="s">
        <v>93</v>
      </c>
      <c r="AJ122" s="68" t="s">
        <v>93</v>
      </c>
      <c r="AK122" s="68" t="s">
        <v>93</v>
      </c>
      <c r="AL122" s="68" t="s">
        <v>93</v>
      </c>
      <c r="AM122" s="68" t="s">
        <v>93</v>
      </c>
      <c r="AN122" s="68" t="s">
        <v>93</v>
      </c>
      <c r="AO122" s="68" t="s">
        <v>93</v>
      </c>
      <c r="AP122" s="68" t="s">
        <v>93</v>
      </c>
      <c r="AQ122" s="68" t="s">
        <v>93</v>
      </c>
      <c r="AR122" s="68" t="s">
        <v>93</v>
      </c>
      <c r="AS122" s="68" t="s">
        <v>93</v>
      </c>
      <c r="AT122" s="68" t="s">
        <v>93</v>
      </c>
      <c r="AU122" s="68" t="s">
        <v>93</v>
      </c>
      <c r="AV122" s="68" t="s">
        <v>93</v>
      </c>
      <c r="AW122" s="68" t="s">
        <v>93</v>
      </c>
      <c r="AX122" s="68" t="s">
        <v>93</v>
      </c>
      <c r="AY122" s="68" t="s">
        <v>93</v>
      </c>
      <c r="AZ122" s="68" t="s">
        <v>93</v>
      </c>
      <c r="BA122" s="68" t="s">
        <v>93</v>
      </c>
      <c r="BB122" s="68" t="s">
        <v>93</v>
      </c>
      <c r="BC122" s="68" t="s">
        <v>93</v>
      </c>
      <c r="BD122" s="68" t="s">
        <v>93</v>
      </c>
      <c r="BE122" s="68" t="s">
        <v>93</v>
      </c>
      <c r="BF122" s="68" t="s">
        <v>93</v>
      </c>
      <c r="BG122" s="68" t="s">
        <v>93</v>
      </c>
      <c r="BH122" s="68" t="s">
        <v>93</v>
      </c>
      <c r="BI122" s="68" t="s">
        <v>93</v>
      </c>
      <c r="BJ122" s="68" t="s">
        <v>93</v>
      </c>
      <c r="BK122" s="68" t="s">
        <v>93</v>
      </c>
      <c r="BL122" s="68" t="s">
        <v>93</v>
      </c>
      <c r="BM122" s="68" t="s">
        <v>93</v>
      </c>
      <c r="BN122" s="68" t="s">
        <v>93</v>
      </c>
      <c r="BO122" s="68" t="s">
        <v>93</v>
      </c>
      <c r="BP122" s="69" t="s">
        <v>93</v>
      </c>
    </row>
    <row r="123" spans="2:68" x14ac:dyDescent="0.25">
      <c r="B123" s="64">
        <v>4</v>
      </c>
      <c r="C123" s="65">
        <v>17</v>
      </c>
      <c r="D123" s="65" t="s">
        <v>99</v>
      </c>
      <c r="E123" s="66">
        <f>'[3]Master File'!B122</f>
        <v>46136</v>
      </c>
      <c r="F123" s="67" t="str">
        <f>'[3]Master File'!C122</f>
        <v>Lodge 5PM</v>
      </c>
      <c r="G123" s="46"/>
      <c r="I123" s="68" t="s">
        <v>93</v>
      </c>
      <c r="J123" s="68" t="s">
        <v>93</v>
      </c>
      <c r="K123" s="68" t="s">
        <v>93</v>
      </c>
      <c r="L123" s="68" t="s">
        <v>94</v>
      </c>
      <c r="M123" s="68" t="s">
        <v>94</v>
      </c>
      <c r="N123" s="68" t="s">
        <v>94</v>
      </c>
      <c r="O123" s="68" t="s">
        <v>94</v>
      </c>
      <c r="P123" s="68" t="s">
        <v>94</v>
      </c>
      <c r="Q123" s="68" t="s">
        <v>93</v>
      </c>
      <c r="R123" s="68" t="s">
        <v>93</v>
      </c>
      <c r="S123" s="68" t="s">
        <v>93</v>
      </c>
      <c r="T123" s="68" t="s">
        <v>93</v>
      </c>
      <c r="U123" s="68" t="s">
        <v>93</v>
      </c>
      <c r="V123" s="68" t="s">
        <v>93</v>
      </c>
      <c r="W123" s="68" t="s">
        <v>93</v>
      </c>
      <c r="X123" s="68" t="s">
        <v>93</v>
      </c>
      <c r="Y123" s="68" t="s">
        <v>93</v>
      </c>
      <c r="Z123" s="68" t="s">
        <v>94</v>
      </c>
      <c r="AA123" s="68" t="s">
        <v>94</v>
      </c>
      <c r="AB123" s="68" t="s">
        <v>93</v>
      </c>
      <c r="AC123" s="68" t="s">
        <v>93</v>
      </c>
      <c r="AD123" s="68" t="s">
        <v>93</v>
      </c>
      <c r="AE123" s="68" t="s">
        <v>93</v>
      </c>
      <c r="AF123" s="68" t="s">
        <v>93</v>
      </c>
      <c r="AG123" s="68" t="s">
        <v>93</v>
      </c>
      <c r="AH123" s="68" t="s">
        <v>93</v>
      </c>
      <c r="AI123" s="68" t="s">
        <v>93</v>
      </c>
      <c r="AJ123" s="68" t="s">
        <v>93</v>
      </c>
      <c r="AK123" s="68" t="s">
        <v>93</v>
      </c>
      <c r="AL123" s="68" t="s">
        <v>93</v>
      </c>
      <c r="AM123" s="68" t="s">
        <v>93</v>
      </c>
      <c r="AN123" s="68" t="s">
        <v>93</v>
      </c>
      <c r="AO123" s="68" t="s">
        <v>93</v>
      </c>
      <c r="AP123" s="68" t="s">
        <v>93</v>
      </c>
      <c r="AQ123" s="68" t="s">
        <v>93</v>
      </c>
      <c r="AR123" s="68" t="s">
        <v>93</v>
      </c>
      <c r="AS123" s="68" t="s">
        <v>93</v>
      </c>
      <c r="AT123" s="68" t="s">
        <v>93</v>
      </c>
      <c r="AU123" s="68" t="s">
        <v>93</v>
      </c>
      <c r="AV123" s="68" t="s">
        <v>93</v>
      </c>
      <c r="AW123" s="68" t="s">
        <v>93</v>
      </c>
      <c r="AX123" s="68" t="s">
        <v>93</v>
      </c>
      <c r="AY123" s="68" t="s">
        <v>93</v>
      </c>
      <c r="AZ123" s="68" t="s">
        <v>93</v>
      </c>
      <c r="BA123" s="68" t="s">
        <v>93</v>
      </c>
      <c r="BB123" s="68" t="s">
        <v>93</v>
      </c>
      <c r="BC123" s="68" t="s">
        <v>93</v>
      </c>
      <c r="BD123" s="68" t="s">
        <v>93</v>
      </c>
      <c r="BE123" s="68" t="s">
        <v>93</v>
      </c>
      <c r="BF123" s="68" t="s">
        <v>93</v>
      </c>
      <c r="BG123" s="68" t="s">
        <v>93</v>
      </c>
      <c r="BH123" s="68" t="s">
        <v>93</v>
      </c>
      <c r="BI123" s="68" t="s">
        <v>93</v>
      </c>
      <c r="BJ123" s="68" t="s">
        <v>93</v>
      </c>
      <c r="BK123" s="68" t="s">
        <v>93</v>
      </c>
      <c r="BL123" s="68" t="s">
        <v>93</v>
      </c>
      <c r="BM123" s="68" t="s">
        <v>93</v>
      </c>
      <c r="BN123" s="68" t="s">
        <v>93</v>
      </c>
      <c r="BO123" s="68" t="s">
        <v>93</v>
      </c>
      <c r="BP123" s="69" t="s">
        <v>93</v>
      </c>
    </row>
    <row r="124" spans="2:68" x14ac:dyDescent="0.25">
      <c r="B124" s="64">
        <v>4</v>
      </c>
      <c r="C124" s="65">
        <v>17</v>
      </c>
      <c r="D124" s="65" t="s">
        <v>100</v>
      </c>
      <c r="E124" s="66">
        <f>'[3]Master File'!B123</f>
        <v>46137</v>
      </c>
      <c r="F124" s="67" t="str">
        <f>'[3]Master File'!C123</f>
        <v>Explorer 5PM</v>
      </c>
      <c r="G124" s="46"/>
      <c r="I124" s="70" t="s">
        <v>93</v>
      </c>
      <c r="J124" s="70" t="s">
        <v>93</v>
      </c>
      <c r="K124" s="70" t="s">
        <v>93</v>
      </c>
      <c r="L124" s="68" t="s">
        <v>94</v>
      </c>
      <c r="M124" s="68" t="s">
        <v>94</v>
      </c>
      <c r="N124" s="68" t="s">
        <v>94</v>
      </c>
      <c r="O124" s="68" t="s">
        <v>94</v>
      </c>
      <c r="P124" s="68" t="s">
        <v>94</v>
      </c>
      <c r="Q124" s="70" t="s">
        <v>93</v>
      </c>
      <c r="R124" s="70" t="s">
        <v>93</v>
      </c>
      <c r="S124" s="70" t="s">
        <v>93</v>
      </c>
      <c r="T124" s="70" t="s">
        <v>93</v>
      </c>
      <c r="U124" s="70" t="s">
        <v>93</v>
      </c>
      <c r="V124" s="70" t="s">
        <v>93</v>
      </c>
      <c r="W124" s="70" t="s">
        <v>93</v>
      </c>
      <c r="X124" s="70" t="s">
        <v>93</v>
      </c>
      <c r="Y124" s="70" t="s">
        <v>93</v>
      </c>
      <c r="Z124" s="68" t="s">
        <v>94</v>
      </c>
      <c r="AA124" s="68" t="s">
        <v>94</v>
      </c>
      <c r="AB124" s="70" t="s">
        <v>93</v>
      </c>
      <c r="AC124" s="70" t="s">
        <v>93</v>
      </c>
      <c r="AD124" s="70" t="s">
        <v>94</v>
      </c>
      <c r="AE124" s="70" t="s">
        <v>94</v>
      </c>
      <c r="AF124" s="70" t="s">
        <v>93</v>
      </c>
      <c r="AG124" s="70" t="s">
        <v>93</v>
      </c>
      <c r="AH124" s="70" t="s">
        <v>93</v>
      </c>
      <c r="AI124" s="70" t="s">
        <v>93</v>
      </c>
      <c r="AJ124" s="70" t="s">
        <v>93</v>
      </c>
      <c r="AK124" s="70" t="s">
        <v>93</v>
      </c>
      <c r="AL124" s="70" t="s">
        <v>93</v>
      </c>
      <c r="AM124" s="70" t="s">
        <v>93</v>
      </c>
      <c r="AN124" s="70" t="s">
        <v>93</v>
      </c>
      <c r="AO124" s="70" t="s">
        <v>93</v>
      </c>
      <c r="AP124" s="70" t="s">
        <v>93</v>
      </c>
      <c r="AQ124" s="70" t="s">
        <v>93</v>
      </c>
      <c r="AR124" s="70" t="s">
        <v>93</v>
      </c>
      <c r="AS124" s="70" t="s">
        <v>93</v>
      </c>
      <c r="AT124" s="70" t="s">
        <v>93</v>
      </c>
      <c r="AU124" s="70" t="s">
        <v>93</v>
      </c>
      <c r="AV124" s="70" t="s">
        <v>93</v>
      </c>
      <c r="AW124" s="70" t="s">
        <v>93</v>
      </c>
      <c r="AX124" s="70" t="s">
        <v>93</v>
      </c>
      <c r="AY124" s="70" t="s">
        <v>93</v>
      </c>
      <c r="AZ124" s="70" t="s">
        <v>93</v>
      </c>
      <c r="BA124" s="70" t="s">
        <v>93</v>
      </c>
      <c r="BB124" s="70" t="s">
        <v>93</v>
      </c>
      <c r="BC124" s="70" t="s">
        <v>93</v>
      </c>
      <c r="BD124" s="70" t="s">
        <v>93</v>
      </c>
      <c r="BE124" s="70" t="s">
        <v>93</v>
      </c>
      <c r="BF124" s="70" t="s">
        <v>93</v>
      </c>
      <c r="BG124" s="70" t="s">
        <v>93</v>
      </c>
      <c r="BH124" s="70" t="s">
        <v>93</v>
      </c>
      <c r="BI124" s="70" t="s">
        <v>93</v>
      </c>
      <c r="BJ124" s="70" t="s">
        <v>93</v>
      </c>
      <c r="BK124" s="70" t="s">
        <v>93</v>
      </c>
      <c r="BL124" s="70" t="s">
        <v>93</v>
      </c>
      <c r="BM124" s="70" t="s">
        <v>93</v>
      </c>
      <c r="BN124" s="70" t="s">
        <v>93</v>
      </c>
      <c r="BO124" s="70" t="s">
        <v>93</v>
      </c>
      <c r="BP124" s="71" t="s">
        <v>93</v>
      </c>
    </row>
    <row r="125" spans="2:68" x14ac:dyDescent="0.25">
      <c r="B125" s="64">
        <v>4</v>
      </c>
      <c r="C125" s="65">
        <v>18</v>
      </c>
      <c r="D125" s="65" t="s">
        <v>92</v>
      </c>
      <c r="E125" s="66">
        <f>'[3]Master File'!B124</f>
        <v>46138</v>
      </c>
      <c r="F125" s="67" t="str">
        <f>'[3]Master File'!C124</f>
        <v>Explorer 5PM</v>
      </c>
      <c r="G125" s="46"/>
      <c r="I125" s="70" t="s">
        <v>93</v>
      </c>
      <c r="J125" s="70" t="s">
        <v>93</v>
      </c>
      <c r="K125" s="70" t="s">
        <v>93</v>
      </c>
      <c r="L125" s="68" t="s">
        <v>94</v>
      </c>
      <c r="M125" s="68" t="s">
        <v>94</v>
      </c>
      <c r="N125" s="68" t="s">
        <v>94</v>
      </c>
      <c r="O125" s="68" t="s">
        <v>94</v>
      </c>
      <c r="P125" s="68" t="s">
        <v>94</v>
      </c>
      <c r="Q125" s="70" t="s">
        <v>93</v>
      </c>
      <c r="R125" s="70" t="s">
        <v>93</v>
      </c>
      <c r="S125" s="70" t="s">
        <v>93</v>
      </c>
      <c r="T125" s="70" t="s">
        <v>93</v>
      </c>
      <c r="U125" s="70" t="s">
        <v>93</v>
      </c>
      <c r="V125" s="70" t="s">
        <v>93</v>
      </c>
      <c r="W125" s="70" t="s">
        <v>93</v>
      </c>
      <c r="X125" s="70" t="s">
        <v>93</v>
      </c>
      <c r="Y125" s="70" t="s">
        <v>93</v>
      </c>
      <c r="Z125" s="68" t="s">
        <v>94</v>
      </c>
      <c r="AA125" s="68" t="s">
        <v>94</v>
      </c>
      <c r="AB125" s="70" t="s">
        <v>93</v>
      </c>
      <c r="AC125" s="70" t="s">
        <v>93</v>
      </c>
      <c r="AD125" s="70" t="s">
        <v>94</v>
      </c>
      <c r="AE125" s="70" t="s">
        <v>94</v>
      </c>
      <c r="AF125" s="70" t="s">
        <v>93</v>
      </c>
      <c r="AG125" s="70" t="s">
        <v>93</v>
      </c>
      <c r="AH125" s="70" t="s">
        <v>93</v>
      </c>
      <c r="AI125" s="70" t="s">
        <v>93</v>
      </c>
      <c r="AJ125" s="70" t="s">
        <v>93</v>
      </c>
      <c r="AK125" s="70" t="s">
        <v>93</v>
      </c>
      <c r="AL125" s="70" t="s">
        <v>93</v>
      </c>
      <c r="AM125" s="70" t="s">
        <v>93</v>
      </c>
      <c r="AN125" s="70" t="s">
        <v>93</v>
      </c>
      <c r="AO125" s="70" t="s">
        <v>93</v>
      </c>
      <c r="AP125" s="70" t="s">
        <v>93</v>
      </c>
      <c r="AQ125" s="70" t="s">
        <v>93</v>
      </c>
      <c r="AR125" s="70" t="s">
        <v>93</v>
      </c>
      <c r="AS125" s="70" t="s">
        <v>93</v>
      </c>
      <c r="AT125" s="70" t="s">
        <v>93</v>
      </c>
      <c r="AU125" s="70" t="s">
        <v>93</v>
      </c>
      <c r="AV125" s="70" t="s">
        <v>93</v>
      </c>
      <c r="AW125" s="70" t="s">
        <v>93</v>
      </c>
      <c r="AX125" s="70" t="s">
        <v>93</v>
      </c>
      <c r="AY125" s="70" t="s">
        <v>93</v>
      </c>
      <c r="AZ125" s="70" t="s">
        <v>93</v>
      </c>
      <c r="BA125" s="70" t="s">
        <v>93</v>
      </c>
      <c r="BB125" s="70" t="s">
        <v>93</v>
      </c>
      <c r="BC125" s="70" t="s">
        <v>93</v>
      </c>
      <c r="BD125" s="70" t="s">
        <v>93</v>
      </c>
      <c r="BE125" s="70" t="s">
        <v>93</v>
      </c>
      <c r="BF125" s="70" t="s">
        <v>93</v>
      </c>
      <c r="BG125" s="70" t="s">
        <v>93</v>
      </c>
      <c r="BH125" s="70" t="s">
        <v>93</v>
      </c>
      <c r="BI125" s="70" t="s">
        <v>93</v>
      </c>
      <c r="BJ125" s="70" t="s">
        <v>93</v>
      </c>
      <c r="BK125" s="70" t="s">
        <v>93</v>
      </c>
      <c r="BL125" s="70" t="s">
        <v>93</v>
      </c>
      <c r="BM125" s="70" t="s">
        <v>93</v>
      </c>
      <c r="BN125" s="70" t="s">
        <v>93</v>
      </c>
      <c r="BO125" s="70" t="s">
        <v>93</v>
      </c>
      <c r="BP125" s="71" t="s">
        <v>93</v>
      </c>
    </row>
    <row r="126" spans="2:68" x14ac:dyDescent="0.25">
      <c r="B126" s="64">
        <v>4</v>
      </c>
      <c r="C126" s="65">
        <v>18</v>
      </c>
      <c r="D126" s="65" t="s">
        <v>95</v>
      </c>
      <c r="E126" s="66">
        <f>'[3]Master File'!B125</f>
        <v>46139</v>
      </c>
      <c r="F126" s="67" t="str">
        <f>'[3]Master File'!C125</f>
        <v>Lodge 5PM</v>
      </c>
      <c r="G126" s="46"/>
      <c r="I126" s="68" t="s">
        <v>93</v>
      </c>
      <c r="J126" s="68" t="s">
        <v>93</v>
      </c>
      <c r="K126" s="68" t="s">
        <v>93</v>
      </c>
      <c r="L126" s="68" t="s">
        <v>94</v>
      </c>
      <c r="M126" s="68" t="s">
        <v>94</v>
      </c>
      <c r="N126" s="68" t="s">
        <v>94</v>
      </c>
      <c r="O126" s="68" t="s">
        <v>94</v>
      </c>
      <c r="P126" s="68" t="s">
        <v>94</v>
      </c>
      <c r="Q126" s="68" t="s">
        <v>93</v>
      </c>
      <c r="R126" s="68" t="s">
        <v>93</v>
      </c>
      <c r="S126" s="68" t="s">
        <v>93</v>
      </c>
      <c r="T126" s="68" t="s">
        <v>93</v>
      </c>
      <c r="U126" s="68" t="s">
        <v>93</v>
      </c>
      <c r="V126" s="68" t="s">
        <v>93</v>
      </c>
      <c r="W126" s="68" t="s">
        <v>93</v>
      </c>
      <c r="X126" s="68" t="s">
        <v>93</v>
      </c>
      <c r="Y126" s="68" t="s">
        <v>93</v>
      </c>
      <c r="Z126" s="68" t="s">
        <v>94</v>
      </c>
      <c r="AA126" s="68" t="s">
        <v>94</v>
      </c>
      <c r="AB126" s="68" t="s">
        <v>93</v>
      </c>
      <c r="AC126" s="68" t="s">
        <v>93</v>
      </c>
      <c r="AD126" s="68" t="s">
        <v>93</v>
      </c>
      <c r="AE126" s="68" t="s">
        <v>93</v>
      </c>
      <c r="AF126" s="68" t="s">
        <v>93</v>
      </c>
      <c r="AG126" s="68" t="s">
        <v>93</v>
      </c>
      <c r="AH126" s="68" t="s">
        <v>93</v>
      </c>
      <c r="AI126" s="68" t="s">
        <v>93</v>
      </c>
      <c r="AJ126" s="68" t="s">
        <v>93</v>
      </c>
      <c r="AK126" s="68" t="s">
        <v>93</v>
      </c>
      <c r="AL126" s="68" t="s">
        <v>93</v>
      </c>
      <c r="AM126" s="68" t="s">
        <v>93</v>
      </c>
      <c r="AN126" s="68" t="s">
        <v>93</v>
      </c>
      <c r="AO126" s="68" t="s">
        <v>93</v>
      </c>
      <c r="AP126" s="68" t="s">
        <v>93</v>
      </c>
      <c r="AQ126" s="68" t="s">
        <v>93</v>
      </c>
      <c r="AR126" s="68" t="s">
        <v>93</v>
      </c>
      <c r="AS126" s="68" t="s">
        <v>93</v>
      </c>
      <c r="AT126" s="68" t="s">
        <v>93</v>
      </c>
      <c r="AU126" s="68" t="s">
        <v>93</v>
      </c>
      <c r="AV126" s="68" t="s">
        <v>93</v>
      </c>
      <c r="AW126" s="68" t="s">
        <v>93</v>
      </c>
      <c r="AX126" s="68" t="s">
        <v>93</v>
      </c>
      <c r="AY126" s="68" t="s">
        <v>93</v>
      </c>
      <c r="AZ126" s="68" t="s">
        <v>93</v>
      </c>
      <c r="BA126" s="68" t="s">
        <v>93</v>
      </c>
      <c r="BB126" s="68" t="s">
        <v>93</v>
      </c>
      <c r="BC126" s="68" t="s">
        <v>93</v>
      </c>
      <c r="BD126" s="68" t="s">
        <v>93</v>
      </c>
      <c r="BE126" s="68" t="s">
        <v>93</v>
      </c>
      <c r="BF126" s="68" t="s">
        <v>93</v>
      </c>
      <c r="BG126" s="68" t="s">
        <v>93</v>
      </c>
      <c r="BH126" s="68" t="s">
        <v>93</v>
      </c>
      <c r="BI126" s="68" t="s">
        <v>93</v>
      </c>
      <c r="BJ126" s="68" t="s">
        <v>93</v>
      </c>
      <c r="BK126" s="68" t="s">
        <v>93</v>
      </c>
      <c r="BL126" s="68" t="s">
        <v>93</v>
      </c>
      <c r="BM126" s="68" t="s">
        <v>93</v>
      </c>
      <c r="BN126" s="68" t="s">
        <v>93</v>
      </c>
      <c r="BO126" s="68" t="s">
        <v>93</v>
      </c>
      <c r="BP126" s="69" t="s">
        <v>93</v>
      </c>
    </row>
    <row r="127" spans="2:68" x14ac:dyDescent="0.25">
      <c r="B127" s="64">
        <v>4</v>
      </c>
      <c r="C127" s="65">
        <v>18</v>
      </c>
      <c r="D127" s="65" t="s">
        <v>96</v>
      </c>
      <c r="E127" s="66">
        <f>'[3]Master File'!B126</f>
        <v>46140</v>
      </c>
      <c r="F127" s="67" t="str">
        <f>'[3]Master File'!C126</f>
        <v>Closed</v>
      </c>
      <c r="G127" s="46"/>
      <c r="I127" s="68" t="s">
        <v>93</v>
      </c>
      <c r="J127" s="68" t="s">
        <v>93</v>
      </c>
      <c r="K127" s="68" t="s">
        <v>93</v>
      </c>
      <c r="L127" s="68" t="s">
        <v>94</v>
      </c>
      <c r="M127" s="68" t="s">
        <v>94</v>
      </c>
      <c r="N127" s="68" t="s">
        <v>94</v>
      </c>
      <c r="O127" s="68" t="s">
        <v>94</v>
      </c>
      <c r="P127" s="68" t="s">
        <v>94</v>
      </c>
      <c r="Q127" s="68" t="s">
        <v>93</v>
      </c>
      <c r="R127" s="68" t="s">
        <v>93</v>
      </c>
      <c r="S127" s="68" t="s">
        <v>93</v>
      </c>
      <c r="T127" s="68" t="s">
        <v>93</v>
      </c>
      <c r="U127" s="68" t="s">
        <v>93</v>
      </c>
      <c r="V127" s="68" t="s">
        <v>93</v>
      </c>
      <c r="W127" s="68" t="s">
        <v>93</v>
      </c>
      <c r="X127" s="68" t="s">
        <v>93</v>
      </c>
      <c r="Y127" s="68" t="s">
        <v>93</v>
      </c>
      <c r="Z127" s="68" t="s">
        <v>94</v>
      </c>
      <c r="AA127" s="68" t="s">
        <v>94</v>
      </c>
      <c r="AB127" s="68" t="s">
        <v>93</v>
      </c>
      <c r="AC127" s="68" t="s">
        <v>93</v>
      </c>
      <c r="AD127" s="68" t="s">
        <v>93</v>
      </c>
      <c r="AE127" s="68" t="s">
        <v>93</v>
      </c>
      <c r="AF127" s="68" t="s">
        <v>93</v>
      </c>
      <c r="AG127" s="68" t="s">
        <v>93</v>
      </c>
      <c r="AH127" s="68" t="s">
        <v>93</v>
      </c>
      <c r="AI127" s="68" t="s">
        <v>93</v>
      </c>
      <c r="AJ127" s="68" t="s">
        <v>93</v>
      </c>
      <c r="AK127" s="68" t="s">
        <v>93</v>
      </c>
      <c r="AL127" s="68" t="s">
        <v>93</v>
      </c>
      <c r="AM127" s="68" t="s">
        <v>93</v>
      </c>
      <c r="AN127" s="68" t="s">
        <v>93</v>
      </c>
      <c r="AO127" s="68" t="s">
        <v>93</v>
      </c>
      <c r="AP127" s="68" t="s">
        <v>93</v>
      </c>
      <c r="AQ127" s="68" t="s">
        <v>93</v>
      </c>
      <c r="AR127" s="68" t="s">
        <v>93</v>
      </c>
      <c r="AS127" s="68" t="s">
        <v>93</v>
      </c>
      <c r="AT127" s="68" t="s">
        <v>93</v>
      </c>
      <c r="AU127" s="68" t="s">
        <v>93</v>
      </c>
      <c r="AV127" s="68" t="s">
        <v>93</v>
      </c>
      <c r="AW127" s="68" t="s">
        <v>93</v>
      </c>
      <c r="AX127" s="68" t="s">
        <v>93</v>
      </c>
      <c r="AY127" s="68" t="s">
        <v>93</v>
      </c>
      <c r="AZ127" s="68" t="s">
        <v>93</v>
      </c>
      <c r="BA127" s="68" t="s">
        <v>93</v>
      </c>
      <c r="BB127" s="68" t="s">
        <v>93</v>
      </c>
      <c r="BC127" s="68" t="s">
        <v>93</v>
      </c>
      <c r="BD127" s="68" t="s">
        <v>93</v>
      </c>
      <c r="BE127" s="68" t="s">
        <v>93</v>
      </c>
      <c r="BF127" s="68" t="s">
        <v>93</v>
      </c>
      <c r="BG127" s="68" t="s">
        <v>93</v>
      </c>
      <c r="BH127" s="68" t="s">
        <v>93</v>
      </c>
      <c r="BI127" s="68" t="s">
        <v>93</v>
      </c>
      <c r="BJ127" s="68" t="s">
        <v>93</v>
      </c>
      <c r="BK127" s="68" t="s">
        <v>93</v>
      </c>
      <c r="BL127" s="68" t="s">
        <v>93</v>
      </c>
      <c r="BM127" s="68" t="s">
        <v>93</v>
      </c>
      <c r="BN127" s="68" t="s">
        <v>93</v>
      </c>
      <c r="BO127" s="68" t="s">
        <v>93</v>
      </c>
      <c r="BP127" s="69" t="s">
        <v>93</v>
      </c>
    </row>
    <row r="128" spans="2:68" x14ac:dyDescent="0.25">
      <c r="B128" s="64">
        <v>4</v>
      </c>
      <c r="C128" s="65">
        <v>18</v>
      </c>
      <c r="D128" s="65" t="s">
        <v>97</v>
      </c>
      <c r="E128" s="66">
        <f>'[3]Master File'!B127</f>
        <v>46141</v>
      </c>
      <c r="F128" s="67" t="str">
        <f>'[3]Master File'!C127</f>
        <v>Closed</v>
      </c>
      <c r="G128" s="46"/>
      <c r="I128" s="68" t="s">
        <v>93</v>
      </c>
      <c r="J128" s="68" t="s">
        <v>93</v>
      </c>
      <c r="K128" s="68" t="s">
        <v>93</v>
      </c>
      <c r="L128" s="68" t="s">
        <v>94</v>
      </c>
      <c r="M128" s="68" t="s">
        <v>94</v>
      </c>
      <c r="N128" s="68" t="s">
        <v>94</v>
      </c>
      <c r="O128" s="68" t="s">
        <v>94</v>
      </c>
      <c r="P128" s="68" t="s">
        <v>94</v>
      </c>
      <c r="Q128" s="68" t="s">
        <v>93</v>
      </c>
      <c r="R128" s="68" t="s">
        <v>93</v>
      </c>
      <c r="S128" s="68" t="s">
        <v>93</v>
      </c>
      <c r="T128" s="68" t="s">
        <v>93</v>
      </c>
      <c r="U128" s="68" t="s">
        <v>93</v>
      </c>
      <c r="V128" s="68" t="s">
        <v>93</v>
      </c>
      <c r="W128" s="68" t="s">
        <v>93</v>
      </c>
      <c r="X128" s="68" t="s">
        <v>93</v>
      </c>
      <c r="Y128" s="68" t="s">
        <v>93</v>
      </c>
      <c r="Z128" s="68" t="s">
        <v>94</v>
      </c>
      <c r="AA128" s="68" t="s">
        <v>94</v>
      </c>
      <c r="AB128" s="68" t="s">
        <v>93</v>
      </c>
      <c r="AC128" s="68" t="s">
        <v>93</v>
      </c>
      <c r="AD128" s="68" t="s">
        <v>93</v>
      </c>
      <c r="AE128" s="68" t="s">
        <v>93</v>
      </c>
      <c r="AF128" s="68" t="s">
        <v>93</v>
      </c>
      <c r="AG128" s="68" t="s">
        <v>93</v>
      </c>
      <c r="AH128" s="68" t="s">
        <v>93</v>
      </c>
      <c r="AI128" s="68" t="s">
        <v>93</v>
      </c>
      <c r="AJ128" s="68" t="s">
        <v>93</v>
      </c>
      <c r="AK128" s="68" t="s">
        <v>93</v>
      </c>
      <c r="AL128" s="68" t="s">
        <v>93</v>
      </c>
      <c r="AM128" s="68" t="s">
        <v>93</v>
      </c>
      <c r="AN128" s="68" t="s">
        <v>93</v>
      </c>
      <c r="AO128" s="68" t="s">
        <v>93</v>
      </c>
      <c r="AP128" s="68" t="s">
        <v>93</v>
      </c>
      <c r="AQ128" s="68" t="s">
        <v>93</v>
      </c>
      <c r="AR128" s="68" t="s">
        <v>93</v>
      </c>
      <c r="AS128" s="68" t="s">
        <v>93</v>
      </c>
      <c r="AT128" s="68" t="s">
        <v>93</v>
      </c>
      <c r="AU128" s="68" t="s">
        <v>93</v>
      </c>
      <c r="AV128" s="68" t="s">
        <v>93</v>
      </c>
      <c r="AW128" s="68" t="s">
        <v>93</v>
      </c>
      <c r="AX128" s="68" t="s">
        <v>93</v>
      </c>
      <c r="AY128" s="68" t="s">
        <v>93</v>
      </c>
      <c r="AZ128" s="68" t="s">
        <v>93</v>
      </c>
      <c r="BA128" s="68" t="s">
        <v>93</v>
      </c>
      <c r="BB128" s="68" t="s">
        <v>93</v>
      </c>
      <c r="BC128" s="68" t="s">
        <v>93</v>
      </c>
      <c r="BD128" s="68" t="s">
        <v>93</v>
      </c>
      <c r="BE128" s="68" t="s">
        <v>93</v>
      </c>
      <c r="BF128" s="68" t="s">
        <v>93</v>
      </c>
      <c r="BG128" s="68" t="s">
        <v>93</v>
      </c>
      <c r="BH128" s="68" t="s">
        <v>93</v>
      </c>
      <c r="BI128" s="68" t="s">
        <v>93</v>
      </c>
      <c r="BJ128" s="68" t="s">
        <v>93</v>
      </c>
      <c r="BK128" s="68" t="s">
        <v>93</v>
      </c>
      <c r="BL128" s="68" t="s">
        <v>93</v>
      </c>
      <c r="BM128" s="68" t="s">
        <v>93</v>
      </c>
      <c r="BN128" s="68" t="s">
        <v>93</v>
      </c>
      <c r="BO128" s="68" t="s">
        <v>93</v>
      </c>
      <c r="BP128" s="69" t="s">
        <v>93</v>
      </c>
    </row>
    <row r="129" spans="2:68" x14ac:dyDescent="0.25">
      <c r="B129" s="64">
        <v>4</v>
      </c>
      <c r="C129" s="65">
        <v>18</v>
      </c>
      <c r="D129" s="65" t="s">
        <v>98</v>
      </c>
      <c r="E129" s="66">
        <f>'[3]Master File'!B128</f>
        <v>46142</v>
      </c>
      <c r="F129" s="67" t="str">
        <f>'[3]Master File'!C128</f>
        <v>Lodge 5PM</v>
      </c>
      <c r="G129" s="46"/>
      <c r="I129" s="68" t="s">
        <v>93</v>
      </c>
      <c r="J129" s="68" t="s">
        <v>93</v>
      </c>
      <c r="K129" s="68" t="s">
        <v>93</v>
      </c>
      <c r="L129" s="68" t="s">
        <v>94</v>
      </c>
      <c r="M129" s="68" t="s">
        <v>94</v>
      </c>
      <c r="N129" s="68" t="s">
        <v>94</v>
      </c>
      <c r="O129" s="68" t="s">
        <v>94</v>
      </c>
      <c r="P129" s="68" t="s">
        <v>94</v>
      </c>
      <c r="Q129" s="68" t="s">
        <v>93</v>
      </c>
      <c r="R129" s="68" t="s">
        <v>93</v>
      </c>
      <c r="S129" s="68" t="s">
        <v>93</v>
      </c>
      <c r="T129" s="68" t="s">
        <v>93</v>
      </c>
      <c r="U129" s="68" t="s">
        <v>93</v>
      </c>
      <c r="V129" s="68" t="s">
        <v>93</v>
      </c>
      <c r="W129" s="68" t="s">
        <v>93</v>
      </c>
      <c r="X129" s="68" t="s">
        <v>93</v>
      </c>
      <c r="Y129" s="68" t="s">
        <v>93</v>
      </c>
      <c r="Z129" s="68" t="s">
        <v>94</v>
      </c>
      <c r="AA129" s="68" t="s">
        <v>94</v>
      </c>
      <c r="AB129" s="68" t="s">
        <v>93</v>
      </c>
      <c r="AC129" s="68" t="s">
        <v>93</v>
      </c>
      <c r="AD129" s="68" t="s">
        <v>93</v>
      </c>
      <c r="AE129" s="68" t="s">
        <v>93</v>
      </c>
      <c r="AF129" s="68" t="s">
        <v>93</v>
      </c>
      <c r="AG129" s="68" t="s">
        <v>93</v>
      </c>
      <c r="AH129" s="68" t="s">
        <v>93</v>
      </c>
      <c r="AI129" s="68" t="s">
        <v>93</v>
      </c>
      <c r="AJ129" s="68" t="s">
        <v>93</v>
      </c>
      <c r="AK129" s="68" t="s">
        <v>93</v>
      </c>
      <c r="AL129" s="68" t="s">
        <v>93</v>
      </c>
      <c r="AM129" s="68" t="s">
        <v>93</v>
      </c>
      <c r="AN129" s="68" t="s">
        <v>93</v>
      </c>
      <c r="AO129" s="68" t="s">
        <v>93</v>
      </c>
      <c r="AP129" s="68" t="s">
        <v>93</v>
      </c>
      <c r="AQ129" s="68" t="s">
        <v>93</v>
      </c>
      <c r="AR129" s="68" t="s">
        <v>93</v>
      </c>
      <c r="AS129" s="68" t="s">
        <v>93</v>
      </c>
      <c r="AT129" s="68" t="s">
        <v>93</v>
      </c>
      <c r="AU129" s="68" t="s">
        <v>93</v>
      </c>
      <c r="AV129" s="68" t="s">
        <v>93</v>
      </c>
      <c r="AW129" s="68" t="s">
        <v>93</v>
      </c>
      <c r="AX129" s="68" t="s">
        <v>93</v>
      </c>
      <c r="AY129" s="68" t="s">
        <v>93</v>
      </c>
      <c r="AZ129" s="68" t="s">
        <v>93</v>
      </c>
      <c r="BA129" s="68" t="s">
        <v>93</v>
      </c>
      <c r="BB129" s="68" t="s">
        <v>93</v>
      </c>
      <c r="BC129" s="68" t="s">
        <v>93</v>
      </c>
      <c r="BD129" s="68" t="s">
        <v>93</v>
      </c>
      <c r="BE129" s="68" t="s">
        <v>93</v>
      </c>
      <c r="BF129" s="68" t="s">
        <v>93</v>
      </c>
      <c r="BG129" s="68" t="s">
        <v>93</v>
      </c>
      <c r="BH129" s="68" t="s">
        <v>93</v>
      </c>
      <c r="BI129" s="68" t="s">
        <v>93</v>
      </c>
      <c r="BJ129" s="68" t="s">
        <v>93</v>
      </c>
      <c r="BK129" s="68" t="s">
        <v>93</v>
      </c>
      <c r="BL129" s="68" t="s">
        <v>93</v>
      </c>
      <c r="BM129" s="68" t="s">
        <v>93</v>
      </c>
      <c r="BN129" s="68" t="s">
        <v>93</v>
      </c>
      <c r="BO129" s="68" t="s">
        <v>93</v>
      </c>
      <c r="BP129" s="69" t="s">
        <v>93</v>
      </c>
    </row>
    <row r="130" spans="2:68" x14ac:dyDescent="0.25">
      <c r="B130" s="64">
        <v>4</v>
      </c>
      <c r="C130" s="65">
        <v>18</v>
      </c>
      <c r="D130" s="65" t="s">
        <v>99</v>
      </c>
      <c r="E130" s="66">
        <f>'[3]Master File'!B129</f>
        <v>46143</v>
      </c>
      <c r="F130" s="67" t="str">
        <f>'[3]Master File'!C129</f>
        <v>Lodge 5PM</v>
      </c>
      <c r="G130" s="46"/>
      <c r="I130" s="68" t="s">
        <v>93</v>
      </c>
      <c r="J130" s="68" t="s">
        <v>93</v>
      </c>
      <c r="K130" s="68" t="s">
        <v>93</v>
      </c>
      <c r="L130" s="68" t="s">
        <v>94</v>
      </c>
      <c r="M130" s="68" t="s">
        <v>93</v>
      </c>
      <c r="N130" s="68" t="s">
        <v>93</v>
      </c>
      <c r="O130" s="68" t="s">
        <v>93</v>
      </c>
      <c r="P130" s="68" t="s">
        <v>93</v>
      </c>
      <c r="Q130" s="68" t="s">
        <v>93</v>
      </c>
      <c r="R130" s="68" t="s">
        <v>93</v>
      </c>
      <c r="S130" s="68" t="s">
        <v>93</v>
      </c>
      <c r="T130" s="68" t="s">
        <v>93</v>
      </c>
      <c r="U130" s="68" t="s">
        <v>93</v>
      </c>
      <c r="V130" s="68" t="s">
        <v>93</v>
      </c>
      <c r="W130" s="68" t="s">
        <v>93</v>
      </c>
      <c r="X130" s="68" t="s">
        <v>93</v>
      </c>
      <c r="Y130" s="68" t="s">
        <v>93</v>
      </c>
      <c r="Z130" s="68" t="s">
        <v>94</v>
      </c>
      <c r="AA130" s="68" t="s">
        <v>93</v>
      </c>
      <c r="AB130" s="68" t="s">
        <v>93</v>
      </c>
      <c r="AC130" s="68" t="s">
        <v>93</v>
      </c>
      <c r="AD130" s="68" t="s">
        <v>93</v>
      </c>
      <c r="AE130" s="68" t="s">
        <v>93</v>
      </c>
      <c r="AF130" s="68" t="s">
        <v>93</v>
      </c>
      <c r="AG130" s="68" t="s">
        <v>93</v>
      </c>
      <c r="AH130" s="68" t="s">
        <v>93</v>
      </c>
      <c r="AI130" s="68" t="s">
        <v>93</v>
      </c>
      <c r="AJ130" s="68" t="s">
        <v>93</v>
      </c>
      <c r="AK130" s="68" t="s">
        <v>93</v>
      </c>
      <c r="AL130" s="68" t="s">
        <v>93</v>
      </c>
      <c r="AM130" s="68" t="s">
        <v>93</v>
      </c>
      <c r="AN130" s="68" t="s">
        <v>93</v>
      </c>
      <c r="AO130" s="68" t="s">
        <v>93</v>
      </c>
      <c r="AP130" s="68" t="s">
        <v>93</v>
      </c>
      <c r="AQ130" s="68" t="s">
        <v>93</v>
      </c>
      <c r="AR130" s="68" t="s">
        <v>93</v>
      </c>
      <c r="AS130" s="68" t="s">
        <v>93</v>
      </c>
      <c r="AT130" s="68" t="s">
        <v>93</v>
      </c>
      <c r="AU130" s="68" t="s">
        <v>93</v>
      </c>
      <c r="AV130" s="68" t="s">
        <v>93</v>
      </c>
      <c r="AW130" s="68" t="s">
        <v>93</v>
      </c>
      <c r="AX130" s="68" t="s">
        <v>93</v>
      </c>
      <c r="AY130" s="68" t="s">
        <v>93</v>
      </c>
      <c r="AZ130" s="68" t="s">
        <v>93</v>
      </c>
      <c r="BA130" s="68" t="s">
        <v>93</v>
      </c>
      <c r="BB130" s="68" t="s">
        <v>93</v>
      </c>
      <c r="BC130" s="68" t="s">
        <v>93</v>
      </c>
      <c r="BD130" s="68" t="s">
        <v>93</v>
      </c>
      <c r="BE130" s="68" t="s">
        <v>93</v>
      </c>
      <c r="BF130" s="68" t="s">
        <v>93</v>
      </c>
      <c r="BG130" s="68" t="s">
        <v>93</v>
      </c>
      <c r="BH130" s="68" t="s">
        <v>93</v>
      </c>
      <c r="BI130" s="68" t="s">
        <v>93</v>
      </c>
      <c r="BJ130" s="68" t="s">
        <v>93</v>
      </c>
      <c r="BK130" s="68" t="s">
        <v>93</v>
      </c>
      <c r="BL130" s="68" t="s">
        <v>93</v>
      </c>
      <c r="BM130" s="68" t="s">
        <v>93</v>
      </c>
      <c r="BN130" s="68" t="s">
        <v>93</v>
      </c>
      <c r="BO130" s="68" t="s">
        <v>93</v>
      </c>
      <c r="BP130" s="69" t="s">
        <v>93</v>
      </c>
    </row>
    <row r="131" spans="2:68" x14ac:dyDescent="0.25">
      <c r="B131" s="64">
        <v>4</v>
      </c>
      <c r="C131" s="65">
        <v>18</v>
      </c>
      <c r="D131" s="65" t="s">
        <v>100</v>
      </c>
      <c r="E131" s="66">
        <f>'[3]Master File'!B130</f>
        <v>46144</v>
      </c>
      <c r="F131" s="67" t="str">
        <f>'[3]Master File'!C130</f>
        <v>Explorer + 6PM</v>
      </c>
      <c r="G131" s="46"/>
      <c r="I131" s="70" t="s">
        <v>93</v>
      </c>
      <c r="J131" s="70" t="s">
        <v>93</v>
      </c>
      <c r="K131" s="70" t="s">
        <v>93</v>
      </c>
      <c r="L131" s="68" t="s">
        <v>94</v>
      </c>
      <c r="M131" s="70" t="s">
        <v>93</v>
      </c>
      <c r="N131" s="70" t="s">
        <v>93</v>
      </c>
      <c r="O131" s="70" t="s">
        <v>93</v>
      </c>
      <c r="P131" s="70" t="s">
        <v>93</v>
      </c>
      <c r="Q131" s="70" t="s">
        <v>93</v>
      </c>
      <c r="R131" s="70" t="s">
        <v>93</v>
      </c>
      <c r="S131" s="70" t="s">
        <v>93</v>
      </c>
      <c r="T131" s="70" t="s">
        <v>93</v>
      </c>
      <c r="U131" s="70" t="s">
        <v>93</v>
      </c>
      <c r="V131" s="70" t="s">
        <v>93</v>
      </c>
      <c r="W131" s="70" t="s">
        <v>93</v>
      </c>
      <c r="X131" s="70" t="s">
        <v>93</v>
      </c>
      <c r="Y131" s="70" t="s">
        <v>93</v>
      </c>
      <c r="Z131" s="68" t="s">
        <v>94</v>
      </c>
      <c r="AA131" s="70" t="s">
        <v>93</v>
      </c>
      <c r="AB131" s="70" t="s">
        <v>93</v>
      </c>
      <c r="AC131" s="70" t="s">
        <v>93</v>
      </c>
      <c r="AD131" s="70" t="s">
        <v>94</v>
      </c>
      <c r="AE131" s="70" t="s">
        <v>94</v>
      </c>
      <c r="AF131" s="70" t="s">
        <v>93</v>
      </c>
      <c r="AG131" s="70" t="s">
        <v>93</v>
      </c>
      <c r="AH131" s="70" t="s">
        <v>93</v>
      </c>
      <c r="AI131" s="70" t="s">
        <v>93</v>
      </c>
      <c r="AJ131" s="70" t="s">
        <v>93</v>
      </c>
      <c r="AK131" s="70" t="s">
        <v>93</v>
      </c>
      <c r="AL131" s="70" t="s">
        <v>93</v>
      </c>
      <c r="AM131" s="70" t="s">
        <v>93</v>
      </c>
      <c r="AN131" s="70" t="s">
        <v>93</v>
      </c>
      <c r="AO131" s="70" t="s">
        <v>93</v>
      </c>
      <c r="AP131" s="70" t="s">
        <v>93</v>
      </c>
      <c r="AQ131" s="70" t="s">
        <v>93</v>
      </c>
      <c r="AR131" s="70" t="s">
        <v>93</v>
      </c>
      <c r="AS131" s="70" t="s">
        <v>93</v>
      </c>
      <c r="AT131" s="70" t="s">
        <v>93</v>
      </c>
      <c r="AU131" s="70" t="s">
        <v>93</v>
      </c>
      <c r="AV131" s="70" t="s">
        <v>93</v>
      </c>
      <c r="AW131" s="70" t="s">
        <v>93</v>
      </c>
      <c r="AX131" s="70" t="s">
        <v>93</v>
      </c>
      <c r="AY131" s="70" t="s">
        <v>93</v>
      </c>
      <c r="AZ131" s="70" t="s">
        <v>93</v>
      </c>
      <c r="BA131" s="70" t="s">
        <v>93</v>
      </c>
      <c r="BB131" s="70" t="s">
        <v>93</v>
      </c>
      <c r="BC131" s="70" t="s">
        <v>93</v>
      </c>
      <c r="BD131" s="70" t="s">
        <v>93</v>
      </c>
      <c r="BE131" s="70" t="s">
        <v>93</v>
      </c>
      <c r="BF131" s="70" t="s">
        <v>93</v>
      </c>
      <c r="BG131" s="70" t="s">
        <v>93</v>
      </c>
      <c r="BH131" s="70" t="s">
        <v>93</v>
      </c>
      <c r="BI131" s="70" t="s">
        <v>93</v>
      </c>
      <c r="BJ131" s="70" t="s">
        <v>93</v>
      </c>
      <c r="BK131" s="70" t="s">
        <v>93</v>
      </c>
      <c r="BL131" s="70" t="s">
        <v>93</v>
      </c>
      <c r="BM131" s="70" t="s">
        <v>93</v>
      </c>
      <c r="BN131" s="70" t="s">
        <v>93</v>
      </c>
      <c r="BO131" s="70" t="s">
        <v>93</v>
      </c>
      <c r="BP131" s="71" t="s">
        <v>93</v>
      </c>
    </row>
    <row r="132" spans="2:68" x14ac:dyDescent="0.25">
      <c r="B132" s="64">
        <v>5</v>
      </c>
      <c r="C132" s="65">
        <v>19</v>
      </c>
      <c r="D132" s="65" t="s">
        <v>92</v>
      </c>
      <c r="E132" s="66">
        <f>'[3]Master File'!B131</f>
        <v>46145</v>
      </c>
      <c r="F132" s="67" t="str">
        <f>'[3]Master File'!C131</f>
        <v>Explorer 6PM</v>
      </c>
      <c r="G132" s="46"/>
      <c r="I132" s="70" t="s">
        <v>93</v>
      </c>
      <c r="J132" s="70" t="s">
        <v>93</v>
      </c>
      <c r="K132" s="70" t="s">
        <v>93</v>
      </c>
      <c r="L132" s="68" t="s">
        <v>94</v>
      </c>
      <c r="M132" s="70" t="s">
        <v>93</v>
      </c>
      <c r="N132" s="70" t="s">
        <v>93</v>
      </c>
      <c r="O132" s="70" t="s">
        <v>93</v>
      </c>
      <c r="P132" s="70" t="s">
        <v>93</v>
      </c>
      <c r="Q132" s="70" t="s">
        <v>93</v>
      </c>
      <c r="R132" s="70" t="s">
        <v>93</v>
      </c>
      <c r="S132" s="70" t="s">
        <v>93</v>
      </c>
      <c r="T132" s="70" t="s">
        <v>93</v>
      </c>
      <c r="U132" s="70" t="s">
        <v>93</v>
      </c>
      <c r="V132" s="70" t="s">
        <v>93</v>
      </c>
      <c r="W132" s="70" t="s">
        <v>93</v>
      </c>
      <c r="X132" s="70" t="s">
        <v>93</v>
      </c>
      <c r="Y132" s="70" t="s">
        <v>93</v>
      </c>
      <c r="Z132" s="68" t="s">
        <v>94</v>
      </c>
      <c r="AA132" s="70" t="s">
        <v>93</v>
      </c>
      <c r="AB132" s="70" t="s">
        <v>93</v>
      </c>
      <c r="AC132" s="70" t="s">
        <v>93</v>
      </c>
      <c r="AD132" s="70" t="s">
        <v>94</v>
      </c>
      <c r="AE132" s="70" t="s">
        <v>94</v>
      </c>
      <c r="AF132" s="70" t="s">
        <v>93</v>
      </c>
      <c r="AG132" s="70" t="s">
        <v>93</v>
      </c>
      <c r="AH132" s="70" t="s">
        <v>93</v>
      </c>
      <c r="AI132" s="70" t="s">
        <v>93</v>
      </c>
      <c r="AJ132" s="70" t="s">
        <v>93</v>
      </c>
      <c r="AK132" s="70" t="s">
        <v>93</v>
      </c>
      <c r="AL132" s="70" t="s">
        <v>93</v>
      </c>
      <c r="AM132" s="70" t="s">
        <v>93</v>
      </c>
      <c r="AN132" s="70" t="s">
        <v>93</v>
      </c>
      <c r="AO132" s="70" t="s">
        <v>93</v>
      </c>
      <c r="AP132" s="70" t="s">
        <v>93</v>
      </c>
      <c r="AQ132" s="70" t="s">
        <v>93</v>
      </c>
      <c r="AR132" s="70" t="s">
        <v>93</v>
      </c>
      <c r="AS132" s="70" t="s">
        <v>93</v>
      </c>
      <c r="AT132" s="70" t="s">
        <v>93</v>
      </c>
      <c r="AU132" s="70" t="s">
        <v>93</v>
      </c>
      <c r="AV132" s="70" t="s">
        <v>93</v>
      </c>
      <c r="AW132" s="70" t="s">
        <v>93</v>
      </c>
      <c r="AX132" s="70" t="s">
        <v>93</v>
      </c>
      <c r="AY132" s="70" t="s">
        <v>93</v>
      </c>
      <c r="AZ132" s="70" t="s">
        <v>93</v>
      </c>
      <c r="BA132" s="70" t="s">
        <v>93</v>
      </c>
      <c r="BB132" s="70" t="s">
        <v>93</v>
      </c>
      <c r="BC132" s="70" t="s">
        <v>93</v>
      </c>
      <c r="BD132" s="70" t="s">
        <v>93</v>
      </c>
      <c r="BE132" s="70" t="s">
        <v>93</v>
      </c>
      <c r="BF132" s="70" t="s">
        <v>93</v>
      </c>
      <c r="BG132" s="70" t="s">
        <v>93</v>
      </c>
      <c r="BH132" s="70" t="s">
        <v>93</v>
      </c>
      <c r="BI132" s="70" t="s">
        <v>93</v>
      </c>
      <c r="BJ132" s="70" t="s">
        <v>93</v>
      </c>
      <c r="BK132" s="70" t="s">
        <v>93</v>
      </c>
      <c r="BL132" s="70" t="s">
        <v>93</v>
      </c>
      <c r="BM132" s="70" t="s">
        <v>93</v>
      </c>
      <c r="BN132" s="70" t="s">
        <v>93</v>
      </c>
      <c r="BO132" s="70" t="s">
        <v>93</v>
      </c>
      <c r="BP132" s="71" t="s">
        <v>93</v>
      </c>
    </row>
    <row r="133" spans="2:68" x14ac:dyDescent="0.25">
      <c r="B133" s="64">
        <v>5</v>
      </c>
      <c r="C133" s="65">
        <v>19</v>
      </c>
      <c r="D133" s="65" t="s">
        <v>95</v>
      </c>
      <c r="E133" s="66">
        <f>'[3]Master File'!B132</f>
        <v>46146</v>
      </c>
      <c r="F133" s="67" t="str">
        <f>'[3]Master File'!C132</f>
        <v>Explorer 6PM</v>
      </c>
      <c r="G133" s="46"/>
      <c r="I133" s="68" t="s">
        <v>93</v>
      </c>
      <c r="J133" s="68" t="s">
        <v>93</v>
      </c>
      <c r="K133" s="68" t="s">
        <v>93</v>
      </c>
      <c r="L133" s="68" t="s">
        <v>94</v>
      </c>
      <c r="M133" s="68" t="s">
        <v>93</v>
      </c>
      <c r="N133" s="68" t="s">
        <v>93</v>
      </c>
      <c r="O133" s="68" t="s">
        <v>93</v>
      </c>
      <c r="P133" s="68" t="s">
        <v>93</v>
      </c>
      <c r="Q133" s="68" t="s">
        <v>93</v>
      </c>
      <c r="R133" s="68" t="s">
        <v>93</v>
      </c>
      <c r="S133" s="68" t="s">
        <v>93</v>
      </c>
      <c r="T133" s="68" t="s">
        <v>93</v>
      </c>
      <c r="U133" s="68" t="s">
        <v>93</v>
      </c>
      <c r="V133" s="68" t="s">
        <v>93</v>
      </c>
      <c r="W133" s="68" t="s">
        <v>93</v>
      </c>
      <c r="X133" s="68" t="s">
        <v>93</v>
      </c>
      <c r="Y133" s="68" t="s">
        <v>93</v>
      </c>
      <c r="Z133" s="68" t="s">
        <v>94</v>
      </c>
      <c r="AA133" s="68" t="s">
        <v>93</v>
      </c>
      <c r="AB133" s="68" t="s">
        <v>93</v>
      </c>
      <c r="AC133" s="68" t="s">
        <v>93</v>
      </c>
      <c r="AD133" s="68" t="s">
        <v>93</v>
      </c>
      <c r="AE133" s="68" t="s">
        <v>93</v>
      </c>
      <c r="AF133" s="68" t="s">
        <v>93</v>
      </c>
      <c r="AG133" s="68" t="s">
        <v>93</v>
      </c>
      <c r="AH133" s="68" t="s">
        <v>93</v>
      </c>
      <c r="AI133" s="68" t="s">
        <v>93</v>
      </c>
      <c r="AJ133" s="68" t="s">
        <v>93</v>
      </c>
      <c r="AK133" s="68" t="s">
        <v>93</v>
      </c>
      <c r="AL133" s="68" t="s">
        <v>93</v>
      </c>
      <c r="AM133" s="68" t="s">
        <v>93</v>
      </c>
      <c r="AN133" s="68" t="s">
        <v>93</v>
      </c>
      <c r="AO133" s="68" t="s">
        <v>93</v>
      </c>
      <c r="AP133" s="68" t="s">
        <v>93</v>
      </c>
      <c r="AQ133" s="68" t="s">
        <v>93</v>
      </c>
      <c r="AR133" s="68" t="s">
        <v>93</v>
      </c>
      <c r="AS133" s="68" t="s">
        <v>93</v>
      </c>
      <c r="AT133" s="68" t="s">
        <v>93</v>
      </c>
      <c r="AU133" s="68" t="s">
        <v>93</v>
      </c>
      <c r="AV133" s="68" t="s">
        <v>93</v>
      </c>
      <c r="AW133" s="68" t="s">
        <v>93</v>
      </c>
      <c r="AX133" s="68" t="s">
        <v>93</v>
      </c>
      <c r="AY133" s="68" t="s">
        <v>93</v>
      </c>
      <c r="AZ133" s="68" t="s">
        <v>93</v>
      </c>
      <c r="BA133" s="68" t="s">
        <v>93</v>
      </c>
      <c r="BB133" s="68" t="s">
        <v>93</v>
      </c>
      <c r="BC133" s="68" t="s">
        <v>93</v>
      </c>
      <c r="BD133" s="68" t="s">
        <v>93</v>
      </c>
      <c r="BE133" s="68" t="s">
        <v>93</v>
      </c>
      <c r="BF133" s="68" t="s">
        <v>93</v>
      </c>
      <c r="BG133" s="68" t="s">
        <v>93</v>
      </c>
      <c r="BH133" s="68" t="s">
        <v>93</v>
      </c>
      <c r="BI133" s="68" t="s">
        <v>93</v>
      </c>
      <c r="BJ133" s="68" t="s">
        <v>93</v>
      </c>
      <c r="BK133" s="68" t="s">
        <v>93</v>
      </c>
      <c r="BL133" s="68" t="s">
        <v>93</v>
      </c>
      <c r="BM133" s="68" t="s">
        <v>93</v>
      </c>
      <c r="BN133" s="68" t="s">
        <v>93</v>
      </c>
      <c r="BO133" s="68" t="s">
        <v>93</v>
      </c>
      <c r="BP133" s="69" t="s">
        <v>93</v>
      </c>
    </row>
    <row r="134" spans="2:68" x14ac:dyDescent="0.25">
      <c r="B134" s="64">
        <v>5</v>
      </c>
      <c r="C134" s="65">
        <v>19</v>
      </c>
      <c r="D134" s="65" t="s">
        <v>96</v>
      </c>
      <c r="E134" s="66">
        <f>'[3]Master File'!B133</f>
        <v>46147</v>
      </c>
      <c r="F134" s="67" t="str">
        <f>'[3]Master File'!C133</f>
        <v>Lodge 5PM</v>
      </c>
      <c r="G134" s="46"/>
      <c r="I134" s="68" t="s">
        <v>93</v>
      </c>
      <c r="J134" s="68" t="s">
        <v>93</v>
      </c>
      <c r="K134" s="68" t="s">
        <v>93</v>
      </c>
      <c r="L134" s="68" t="s">
        <v>94</v>
      </c>
      <c r="M134" s="68" t="s">
        <v>93</v>
      </c>
      <c r="N134" s="68" t="s">
        <v>93</v>
      </c>
      <c r="O134" s="68" t="s">
        <v>93</v>
      </c>
      <c r="P134" s="68" t="s">
        <v>93</v>
      </c>
      <c r="Q134" s="68" t="s">
        <v>93</v>
      </c>
      <c r="R134" s="68" t="s">
        <v>93</v>
      </c>
      <c r="S134" s="68" t="s">
        <v>93</v>
      </c>
      <c r="T134" s="68" t="s">
        <v>93</v>
      </c>
      <c r="U134" s="68" t="s">
        <v>93</v>
      </c>
      <c r="V134" s="68" t="s">
        <v>93</v>
      </c>
      <c r="W134" s="68" t="s">
        <v>93</v>
      </c>
      <c r="X134" s="68" t="s">
        <v>93</v>
      </c>
      <c r="Y134" s="68" t="s">
        <v>93</v>
      </c>
      <c r="Z134" s="68" t="s">
        <v>94</v>
      </c>
      <c r="AA134" s="68" t="s">
        <v>93</v>
      </c>
      <c r="AB134" s="68" t="s">
        <v>93</v>
      </c>
      <c r="AC134" s="68" t="s">
        <v>93</v>
      </c>
      <c r="AD134" s="68" t="s">
        <v>93</v>
      </c>
      <c r="AE134" s="68" t="s">
        <v>93</v>
      </c>
      <c r="AF134" s="68" t="s">
        <v>93</v>
      </c>
      <c r="AG134" s="68" t="s">
        <v>93</v>
      </c>
      <c r="AH134" s="68" t="s">
        <v>93</v>
      </c>
      <c r="AI134" s="68" t="s">
        <v>93</v>
      </c>
      <c r="AJ134" s="68" t="s">
        <v>93</v>
      </c>
      <c r="AK134" s="68" t="s">
        <v>93</v>
      </c>
      <c r="AL134" s="68" t="s">
        <v>93</v>
      </c>
      <c r="AM134" s="68" t="s">
        <v>93</v>
      </c>
      <c r="AN134" s="68" t="s">
        <v>93</v>
      </c>
      <c r="AO134" s="68" t="s">
        <v>93</v>
      </c>
      <c r="AP134" s="68" t="s">
        <v>93</v>
      </c>
      <c r="AQ134" s="68" t="s">
        <v>93</v>
      </c>
      <c r="AR134" s="68" t="s">
        <v>93</v>
      </c>
      <c r="AS134" s="68" t="s">
        <v>93</v>
      </c>
      <c r="AT134" s="68" t="s">
        <v>93</v>
      </c>
      <c r="AU134" s="68" t="s">
        <v>93</v>
      </c>
      <c r="AV134" s="68" t="s">
        <v>93</v>
      </c>
      <c r="AW134" s="68" t="s">
        <v>93</v>
      </c>
      <c r="AX134" s="68" t="s">
        <v>93</v>
      </c>
      <c r="AY134" s="68" t="s">
        <v>93</v>
      </c>
      <c r="AZ134" s="68" t="s">
        <v>93</v>
      </c>
      <c r="BA134" s="68" t="s">
        <v>93</v>
      </c>
      <c r="BB134" s="68" t="s">
        <v>93</v>
      </c>
      <c r="BC134" s="68" t="s">
        <v>93</v>
      </c>
      <c r="BD134" s="68" t="s">
        <v>93</v>
      </c>
      <c r="BE134" s="68" t="s">
        <v>93</v>
      </c>
      <c r="BF134" s="68" t="s">
        <v>93</v>
      </c>
      <c r="BG134" s="68" t="s">
        <v>93</v>
      </c>
      <c r="BH134" s="68" t="s">
        <v>93</v>
      </c>
      <c r="BI134" s="68" t="s">
        <v>93</v>
      </c>
      <c r="BJ134" s="68" t="s">
        <v>93</v>
      </c>
      <c r="BK134" s="68" t="s">
        <v>93</v>
      </c>
      <c r="BL134" s="68" t="s">
        <v>93</v>
      </c>
      <c r="BM134" s="68" t="s">
        <v>93</v>
      </c>
      <c r="BN134" s="68" t="s">
        <v>93</v>
      </c>
      <c r="BO134" s="68" t="s">
        <v>93</v>
      </c>
      <c r="BP134" s="69" t="s">
        <v>93</v>
      </c>
    </row>
    <row r="135" spans="2:68" x14ac:dyDescent="0.25">
      <c r="B135" s="64">
        <v>5</v>
      </c>
      <c r="C135" s="65">
        <v>19</v>
      </c>
      <c r="D135" s="65" t="s">
        <v>97</v>
      </c>
      <c r="E135" s="66">
        <f>'[3]Master File'!B134</f>
        <v>46148</v>
      </c>
      <c r="F135" s="67" t="str">
        <f>'[3]Master File'!C134</f>
        <v>Lodge 5PM</v>
      </c>
      <c r="G135" s="46"/>
      <c r="I135" s="68" t="s">
        <v>93</v>
      </c>
      <c r="J135" s="68" t="s">
        <v>93</v>
      </c>
      <c r="K135" s="68" t="s">
        <v>93</v>
      </c>
      <c r="L135" s="68" t="s">
        <v>94</v>
      </c>
      <c r="M135" s="68" t="s">
        <v>93</v>
      </c>
      <c r="N135" s="68" t="s">
        <v>93</v>
      </c>
      <c r="O135" s="68" t="s">
        <v>93</v>
      </c>
      <c r="P135" s="68" t="s">
        <v>93</v>
      </c>
      <c r="Q135" s="68" t="s">
        <v>93</v>
      </c>
      <c r="R135" s="68" t="s">
        <v>93</v>
      </c>
      <c r="S135" s="68" t="s">
        <v>93</v>
      </c>
      <c r="T135" s="68" t="s">
        <v>93</v>
      </c>
      <c r="U135" s="68" t="s">
        <v>93</v>
      </c>
      <c r="V135" s="68" t="s">
        <v>93</v>
      </c>
      <c r="W135" s="68" t="s">
        <v>93</v>
      </c>
      <c r="X135" s="68" t="s">
        <v>93</v>
      </c>
      <c r="Y135" s="68" t="s">
        <v>93</v>
      </c>
      <c r="Z135" s="68" t="s">
        <v>94</v>
      </c>
      <c r="AA135" s="68" t="s">
        <v>93</v>
      </c>
      <c r="AB135" s="68" t="s">
        <v>93</v>
      </c>
      <c r="AC135" s="68" t="s">
        <v>93</v>
      </c>
      <c r="AD135" s="68" t="s">
        <v>93</v>
      </c>
      <c r="AE135" s="68" t="s">
        <v>93</v>
      </c>
      <c r="AF135" s="68" t="s">
        <v>93</v>
      </c>
      <c r="AG135" s="68" t="s">
        <v>93</v>
      </c>
      <c r="AH135" s="68" t="s">
        <v>93</v>
      </c>
      <c r="AI135" s="68" t="s">
        <v>93</v>
      </c>
      <c r="AJ135" s="68" t="s">
        <v>93</v>
      </c>
      <c r="AK135" s="68" t="s">
        <v>93</v>
      </c>
      <c r="AL135" s="68" t="s">
        <v>93</v>
      </c>
      <c r="AM135" s="68" t="s">
        <v>93</v>
      </c>
      <c r="AN135" s="68" t="s">
        <v>93</v>
      </c>
      <c r="AO135" s="68" t="s">
        <v>93</v>
      </c>
      <c r="AP135" s="68" t="s">
        <v>93</v>
      </c>
      <c r="AQ135" s="68" t="s">
        <v>93</v>
      </c>
      <c r="AR135" s="68" t="s">
        <v>93</v>
      </c>
      <c r="AS135" s="68" t="s">
        <v>93</v>
      </c>
      <c r="AT135" s="68" t="s">
        <v>93</v>
      </c>
      <c r="AU135" s="68" t="s">
        <v>93</v>
      </c>
      <c r="AV135" s="68" t="s">
        <v>93</v>
      </c>
      <c r="AW135" s="68" t="s">
        <v>93</v>
      </c>
      <c r="AX135" s="68" t="s">
        <v>93</v>
      </c>
      <c r="AY135" s="68" t="s">
        <v>93</v>
      </c>
      <c r="AZ135" s="68" t="s">
        <v>93</v>
      </c>
      <c r="BA135" s="68" t="s">
        <v>93</v>
      </c>
      <c r="BB135" s="68" t="s">
        <v>93</v>
      </c>
      <c r="BC135" s="68" t="s">
        <v>93</v>
      </c>
      <c r="BD135" s="68" t="s">
        <v>93</v>
      </c>
      <c r="BE135" s="68" t="s">
        <v>93</v>
      </c>
      <c r="BF135" s="68" t="s">
        <v>93</v>
      </c>
      <c r="BG135" s="68" t="s">
        <v>93</v>
      </c>
      <c r="BH135" s="68" t="s">
        <v>93</v>
      </c>
      <c r="BI135" s="68" t="s">
        <v>93</v>
      </c>
      <c r="BJ135" s="68" t="s">
        <v>93</v>
      </c>
      <c r="BK135" s="68" t="s">
        <v>93</v>
      </c>
      <c r="BL135" s="68" t="s">
        <v>93</v>
      </c>
      <c r="BM135" s="68" t="s">
        <v>93</v>
      </c>
      <c r="BN135" s="68" t="s">
        <v>93</v>
      </c>
      <c r="BO135" s="68" t="s">
        <v>93</v>
      </c>
      <c r="BP135" s="69" t="s">
        <v>93</v>
      </c>
    </row>
    <row r="136" spans="2:68" x14ac:dyDescent="0.25">
      <c r="B136" s="64">
        <v>5</v>
      </c>
      <c r="C136" s="65">
        <v>19</v>
      </c>
      <c r="D136" s="65" t="s">
        <v>98</v>
      </c>
      <c r="E136" s="66">
        <f>'[3]Master File'!B135</f>
        <v>46149</v>
      </c>
      <c r="F136" s="67" t="str">
        <f>'[3]Master File'!C135</f>
        <v>Lodge 5PM</v>
      </c>
      <c r="G136" s="46"/>
      <c r="I136" s="68" t="s">
        <v>93</v>
      </c>
      <c r="J136" s="68" t="s">
        <v>93</v>
      </c>
      <c r="K136" s="68" t="s">
        <v>93</v>
      </c>
      <c r="L136" s="68" t="s">
        <v>94</v>
      </c>
      <c r="M136" s="68" t="s">
        <v>93</v>
      </c>
      <c r="N136" s="68" t="s">
        <v>93</v>
      </c>
      <c r="O136" s="68" t="s">
        <v>93</v>
      </c>
      <c r="P136" s="68" t="s">
        <v>93</v>
      </c>
      <c r="Q136" s="68" t="s">
        <v>93</v>
      </c>
      <c r="R136" s="68" t="s">
        <v>93</v>
      </c>
      <c r="S136" s="68" t="s">
        <v>93</v>
      </c>
      <c r="T136" s="68" t="s">
        <v>93</v>
      </c>
      <c r="U136" s="68" t="s">
        <v>93</v>
      </c>
      <c r="V136" s="68" t="s">
        <v>93</v>
      </c>
      <c r="W136" s="68" t="s">
        <v>93</v>
      </c>
      <c r="X136" s="68" t="s">
        <v>93</v>
      </c>
      <c r="Y136" s="68" t="s">
        <v>93</v>
      </c>
      <c r="Z136" s="68" t="s">
        <v>94</v>
      </c>
      <c r="AA136" s="68" t="s">
        <v>93</v>
      </c>
      <c r="AB136" s="68" t="s">
        <v>93</v>
      </c>
      <c r="AC136" s="68" t="s">
        <v>93</v>
      </c>
      <c r="AD136" s="68" t="s">
        <v>93</v>
      </c>
      <c r="AE136" s="68" t="s">
        <v>93</v>
      </c>
      <c r="AF136" s="68" t="s">
        <v>93</v>
      </c>
      <c r="AG136" s="68" t="s">
        <v>93</v>
      </c>
      <c r="AH136" s="68" t="s">
        <v>93</v>
      </c>
      <c r="AI136" s="68" t="s">
        <v>93</v>
      </c>
      <c r="AJ136" s="68" t="s">
        <v>93</v>
      </c>
      <c r="AK136" s="68" t="s">
        <v>93</v>
      </c>
      <c r="AL136" s="68" t="s">
        <v>93</v>
      </c>
      <c r="AM136" s="68" t="s">
        <v>93</v>
      </c>
      <c r="AN136" s="68" t="s">
        <v>93</v>
      </c>
      <c r="AO136" s="68" t="s">
        <v>93</v>
      </c>
      <c r="AP136" s="68" t="s">
        <v>93</v>
      </c>
      <c r="AQ136" s="68" t="s">
        <v>93</v>
      </c>
      <c r="AR136" s="68" t="s">
        <v>93</v>
      </c>
      <c r="AS136" s="68" t="s">
        <v>93</v>
      </c>
      <c r="AT136" s="68" t="s">
        <v>93</v>
      </c>
      <c r="AU136" s="68" t="s">
        <v>93</v>
      </c>
      <c r="AV136" s="68" t="s">
        <v>93</v>
      </c>
      <c r="AW136" s="68" t="s">
        <v>93</v>
      </c>
      <c r="AX136" s="68" t="s">
        <v>93</v>
      </c>
      <c r="AY136" s="68" t="s">
        <v>93</v>
      </c>
      <c r="AZ136" s="68" t="s">
        <v>93</v>
      </c>
      <c r="BA136" s="68" t="s">
        <v>93</v>
      </c>
      <c r="BB136" s="68" t="s">
        <v>93</v>
      </c>
      <c r="BC136" s="68" t="s">
        <v>93</v>
      </c>
      <c r="BD136" s="68" t="s">
        <v>93</v>
      </c>
      <c r="BE136" s="68" t="s">
        <v>93</v>
      </c>
      <c r="BF136" s="68" t="s">
        <v>93</v>
      </c>
      <c r="BG136" s="68" t="s">
        <v>93</v>
      </c>
      <c r="BH136" s="68" t="s">
        <v>93</v>
      </c>
      <c r="BI136" s="68" t="s">
        <v>93</v>
      </c>
      <c r="BJ136" s="68" t="s">
        <v>93</v>
      </c>
      <c r="BK136" s="68" t="s">
        <v>93</v>
      </c>
      <c r="BL136" s="68" t="s">
        <v>93</v>
      </c>
      <c r="BM136" s="68" t="s">
        <v>93</v>
      </c>
      <c r="BN136" s="68" t="s">
        <v>93</v>
      </c>
      <c r="BO136" s="68" t="s">
        <v>93</v>
      </c>
      <c r="BP136" s="69" t="s">
        <v>93</v>
      </c>
    </row>
    <row r="137" spans="2:68" x14ac:dyDescent="0.25">
      <c r="B137" s="64">
        <v>5</v>
      </c>
      <c r="C137" s="65">
        <v>19</v>
      </c>
      <c r="D137" s="65" t="s">
        <v>99</v>
      </c>
      <c r="E137" s="66">
        <f>'[3]Master File'!B136</f>
        <v>46150</v>
      </c>
      <c r="F137" s="67" t="str">
        <f>'[3]Master File'!C136</f>
        <v>Lodge 5PM</v>
      </c>
      <c r="G137" s="46"/>
      <c r="I137" s="68" t="s">
        <v>93</v>
      </c>
      <c r="J137" s="68" t="s">
        <v>93</v>
      </c>
      <c r="K137" s="68" t="s">
        <v>93</v>
      </c>
      <c r="L137" s="68" t="s">
        <v>94</v>
      </c>
      <c r="M137" s="68" t="s">
        <v>93</v>
      </c>
      <c r="N137" s="68" t="s">
        <v>93</v>
      </c>
      <c r="O137" s="68" t="s">
        <v>93</v>
      </c>
      <c r="P137" s="68" t="s">
        <v>93</v>
      </c>
      <c r="Q137" s="68" t="s">
        <v>93</v>
      </c>
      <c r="R137" s="68" t="s">
        <v>93</v>
      </c>
      <c r="S137" s="68" t="s">
        <v>93</v>
      </c>
      <c r="T137" s="68" t="s">
        <v>93</v>
      </c>
      <c r="U137" s="68" t="s">
        <v>93</v>
      </c>
      <c r="V137" s="68" t="s">
        <v>93</v>
      </c>
      <c r="W137" s="68" t="s">
        <v>93</v>
      </c>
      <c r="X137" s="68" t="s">
        <v>93</v>
      </c>
      <c r="Y137" s="68" t="s">
        <v>93</v>
      </c>
      <c r="Z137" s="68" t="s">
        <v>94</v>
      </c>
      <c r="AA137" s="68" t="s">
        <v>93</v>
      </c>
      <c r="AB137" s="68" t="s">
        <v>93</v>
      </c>
      <c r="AC137" s="68" t="s">
        <v>93</v>
      </c>
      <c r="AD137" s="68" t="s">
        <v>93</v>
      </c>
      <c r="AE137" s="68" t="s">
        <v>93</v>
      </c>
      <c r="AF137" s="68" t="s">
        <v>93</v>
      </c>
      <c r="AG137" s="68" t="s">
        <v>93</v>
      </c>
      <c r="AH137" s="68" t="s">
        <v>93</v>
      </c>
      <c r="AI137" s="68" t="s">
        <v>93</v>
      </c>
      <c r="AJ137" s="68" t="s">
        <v>93</v>
      </c>
      <c r="AK137" s="68" t="s">
        <v>93</v>
      </c>
      <c r="AL137" s="68" t="s">
        <v>93</v>
      </c>
      <c r="AM137" s="68" t="s">
        <v>93</v>
      </c>
      <c r="AN137" s="68" t="s">
        <v>93</v>
      </c>
      <c r="AO137" s="68" t="s">
        <v>93</v>
      </c>
      <c r="AP137" s="68" t="s">
        <v>93</v>
      </c>
      <c r="AQ137" s="68" t="s">
        <v>93</v>
      </c>
      <c r="AR137" s="68" t="s">
        <v>93</v>
      </c>
      <c r="AS137" s="68" t="s">
        <v>93</v>
      </c>
      <c r="AT137" s="68" t="s">
        <v>93</v>
      </c>
      <c r="AU137" s="68" t="s">
        <v>93</v>
      </c>
      <c r="AV137" s="68" t="s">
        <v>93</v>
      </c>
      <c r="AW137" s="68" t="s">
        <v>93</v>
      </c>
      <c r="AX137" s="68" t="s">
        <v>93</v>
      </c>
      <c r="AY137" s="68" t="s">
        <v>93</v>
      </c>
      <c r="AZ137" s="68" t="s">
        <v>93</v>
      </c>
      <c r="BA137" s="68" t="s">
        <v>93</v>
      </c>
      <c r="BB137" s="68" t="s">
        <v>93</v>
      </c>
      <c r="BC137" s="68" t="s">
        <v>93</v>
      </c>
      <c r="BD137" s="68" t="s">
        <v>93</v>
      </c>
      <c r="BE137" s="68" t="s">
        <v>93</v>
      </c>
      <c r="BF137" s="68" t="s">
        <v>93</v>
      </c>
      <c r="BG137" s="68" t="s">
        <v>93</v>
      </c>
      <c r="BH137" s="68" t="s">
        <v>93</v>
      </c>
      <c r="BI137" s="68" t="s">
        <v>93</v>
      </c>
      <c r="BJ137" s="68" t="s">
        <v>93</v>
      </c>
      <c r="BK137" s="68" t="s">
        <v>93</v>
      </c>
      <c r="BL137" s="68" t="s">
        <v>93</v>
      </c>
      <c r="BM137" s="68" t="s">
        <v>93</v>
      </c>
      <c r="BN137" s="68" t="s">
        <v>93</v>
      </c>
      <c r="BO137" s="68" t="s">
        <v>93</v>
      </c>
      <c r="BP137" s="69" t="s">
        <v>93</v>
      </c>
    </row>
    <row r="138" spans="2:68" x14ac:dyDescent="0.25">
      <c r="B138" s="64">
        <v>5</v>
      </c>
      <c r="C138" s="65">
        <v>19</v>
      </c>
      <c r="D138" s="65" t="s">
        <v>100</v>
      </c>
      <c r="E138" s="66">
        <f>'[3]Master File'!B137</f>
        <v>46151</v>
      </c>
      <c r="F138" s="67" t="str">
        <f>'[3]Master File'!C137</f>
        <v>Explorer 5PM</v>
      </c>
      <c r="G138" s="46"/>
      <c r="I138" s="70" t="s">
        <v>93</v>
      </c>
      <c r="J138" s="70" t="s">
        <v>93</v>
      </c>
      <c r="K138" s="70" t="s">
        <v>93</v>
      </c>
      <c r="L138" s="68" t="s">
        <v>94</v>
      </c>
      <c r="M138" s="70" t="s">
        <v>93</v>
      </c>
      <c r="N138" s="70" t="s">
        <v>93</v>
      </c>
      <c r="O138" s="70" t="s">
        <v>93</v>
      </c>
      <c r="P138" s="70" t="s">
        <v>93</v>
      </c>
      <c r="Q138" s="70" t="s">
        <v>93</v>
      </c>
      <c r="R138" s="70" t="s">
        <v>93</v>
      </c>
      <c r="S138" s="70" t="s">
        <v>93</v>
      </c>
      <c r="T138" s="70" t="s">
        <v>93</v>
      </c>
      <c r="U138" s="70" t="s">
        <v>93</v>
      </c>
      <c r="V138" s="70" t="s">
        <v>93</v>
      </c>
      <c r="W138" s="70" t="s">
        <v>93</v>
      </c>
      <c r="X138" s="70" t="s">
        <v>93</v>
      </c>
      <c r="Y138" s="70" t="s">
        <v>93</v>
      </c>
      <c r="Z138" s="68" t="s">
        <v>94</v>
      </c>
      <c r="AA138" s="70" t="s">
        <v>93</v>
      </c>
      <c r="AB138" s="70" t="s">
        <v>93</v>
      </c>
      <c r="AC138" s="70" t="s">
        <v>93</v>
      </c>
      <c r="AD138" s="70" t="s">
        <v>94</v>
      </c>
      <c r="AE138" s="70" t="s">
        <v>94</v>
      </c>
      <c r="AF138" s="70" t="s">
        <v>93</v>
      </c>
      <c r="AG138" s="70" t="s">
        <v>93</v>
      </c>
      <c r="AH138" s="70" t="s">
        <v>93</v>
      </c>
      <c r="AI138" s="70" t="s">
        <v>93</v>
      </c>
      <c r="AJ138" s="70" t="s">
        <v>93</v>
      </c>
      <c r="AK138" s="70" t="s">
        <v>93</v>
      </c>
      <c r="AL138" s="70" t="s">
        <v>93</v>
      </c>
      <c r="AM138" s="70" t="s">
        <v>93</v>
      </c>
      <c r="AN138" s="70" t="s">
        <v>93</v>
      </c>
      <c r="AO138" s="70" t="s">
        <v>93</v>
      </c>
      <c r="AP138" s="70" t="s">
        <v>93</v>
      </c>
      <c r="AQ138" s="70" t="s">
        <v>93</v>
      </c>
      <c r="AR138" s="70" t="s">
        <v>93</v>
      </c>
      <c r="AS138" s="70" t="s">
        <v>93</v>
      </c>
      <c r="AT138" s="70" t="s">
        <v>93</v>
      </c>
      <c r="AU138" s="70" t="s">
        <v>93</v>
      </c>
      <c r="AV138" s="70" t="s">
        <v>93</v>
      </c>
      <c r="AW138" s="70" t="s">
        <v>93</v>
      </c>
      <c r="AX138" s="70" t="s">
        <v>93</v>
      </c>
      <c r="AY138" s="70" t="s">
        <v>93</v>
      </c>
      <c r="AZ138" s="70" t="s">
        <v>93</v>
      </c>
      <c r="BA138" s="70" t="s">
        <v>93</v>
      </c>
      <c r="BB138" s="70" t="s">
        <v>93</v>
      </c>
      <c r="BC138" s="70" t="s">
        <v>93</v>
      </c>
      <c r="BD138" s="70" t="s">
        <v>93</v>
      </c>
      <c r="BE138" s="70" t="s">
        <v>93</v>
      </c>
      <c r="BF138" s="70" t="s">
        <v>93</v>
      </c>
      <c r="BG138" s="70" t="s">
        <v>93</v>
      </c>
      <c r="BH138" s="70" t="s">
        <v>93</v>
      </c>
      <c r="BI138" s="70" t="s">
        <v>93</v>
      </c>
      <c r="BJ138" s="70" t="s">
        <v>93</v>
      </c>
      <c r="BK138" s="70" t="s">
        <v>93</v>
      </c>
      <c r="BL138" s="70" t="s">
        <v>93</v>
      </c>
      <c r="BM138" s="70" t="s">
        <v>93</v>
      </c>
      <c r="BN138" s="70" t="s">
        <v>93</v>
      </c>
      <c r="BO138" s="70" t="s">
        <v>93</v>
      </c>
      <c r="BP138" s="71" t="s">
        <v>93</v>
      </c>
    </row>
    <row r="139" spans="2:68" x14ac:dyDescent="0.25">
      <c r="B139" s="64">
        <v>5</v>
      </c>
      <c r="C139" s="65">
        <v>20</v>
      </c>
      <c r="D139" s="65" t="s">
        <v>92</v>
      </c>
      <c r="E139" s="66">
        <f>'[3]Master File'!B138</f>
        <v>46152</v>
      </c>
      <c r="F139" s="67" t="str">
        <f>'[3]Master File'!C138</f>
        <v>Explorer 5PM</v>
      </c>
      <c r="G139" s="46"/>
      <c r="I139" s="70" t="s">
        <v>93</v>
      </c>
      <c r="J139" s="70" t="s">
        <v>93</v>
      </c>
      <c r="K139" s="70" t="s">
        <v>93</v>
      </c>
      <c r="L139" s="68" t="s">
        <v>94</v>
      </c>
      <c r="M139" s="70" t="s">
        <v>93</v>
      </c>
      <c r="N139" s="70" t="s">
        <v>93</v>
      </c>
      <c r="O139" s="70" t="s">
        <v>93</v>
      </c>
      <c r="P139" s="70" t="s">
        <v>93</v>
      </c>
      <c r="Q139" s="70" t="s">
        <v>93</v>
      </c>
      <c r="R139" s="70" t="s">
        <v>93</v>
      </c>
      <c r="S139" s="70" t="s">
        <v>93</v>
      </c>
      <c r="T139" s="70" t="s">
        <v>93</v>
      </c>
      <c r="U139" s="70" t="s">
        <v>93</v>
      </c>
      <c r="V139" s="70" t="s">
        <v>93</v>
      </c>
      <c r="W139" s="70" t="s">
        <v>93</v>
      </c>
      <c r="X139" s="70" t="s">
        <v>93</v>
      </c>
      <c r="Y139" s="70" t="s">
        <v>93</v>
      </c>
      <c r="Z139" s="68" t="s">
        <v>94</v>
      </c>
      <c r="AA139" s="70" t="s">
        <v>93</v>
      </c>
      <c r="AB139" s="70" t="s">
        <v>93</v>
      </c>
      <c r="AC139" s="70" t="s">
        <v>93</v>
      </c>
      <c r="AD139" s="70" t="s">
        <v>94</v>
      </c>
      <c r="AE139" s="70" t="s">
        <v>94</v>
      </c>
      <c r="AF139" s="70" t="s">
        <v>93</v>
      </c>
      <c r="AG139" s="70" t="s">
        <v>93</v>
      </c>
      <c r="AH139" s="70" t="s">
        <v>93</v>
      </c>
      <c r="AI139" s="70" t="s">
        <v>93</v>
      </c>
      <c r="AJ139" s="70" t="s">
        <v>93</v>
      </c>
      <c r="AK139" s="70" t="s">
        <v>93</v>
      </c>
      <c r="AL139" s="70" t="s">
        <v>93</v>
      </c>
      <c r="AM139" s="70" t="s">
        <v>93</v>
      </c>
      <c r="AN139" s="70" t="s">
        <v>93</v>
      </c>
      <c r="AO139" s="70" t="s">
        <v>93</v>
      </c>
      <c r="AP139" s="70" t="s">
        <v>93</v>
      </c>
      <c r="AQ139" s="70" t="s">
        <v>93</v>
      </c>
      <c r="AR139" s="70" t="s">
        <v>93</v>
      </c>
      <c r="AS139" s="70" t="s">
        <v>93</v>
      </c>
      <c r="AT139" s="70" t="s">
        <v>93</v>
      </c>
      <c r="AU139" s="70" t="s">
        <v>93</v>
      </c>
      <c r="AV139" s="70" t="s">
        <v>93</v>
      </c>
      <c r="AW139" s="70" t="s">
        <v>93</v>
      </c>
      <c r="AX139" s="70" t="s">
        <v>93</v>
      </c>
      <c r="AY139" s="70" t="s">
        <v>93</v>
      </c>
      <c r="AZ139" s="70" t="s">
        <v>93</v>
      </c>
      <c r="BA139" s="70" t="s">
        <v>93</v>
      </c>
      <c r="BB139" s="70" t="s">
        <v>93</v>
      </c>
      <c r="BC139" s="70" t="s">
        <v>93</v>
      </c>
      <c r="BD139" s="70" t="s">
        <v>93</v>
      </c>
      <c r="BE139" s="70" t="s">
        <v>93</v>
      </c>
      <c r="BF139" s="70" t="s">
        <v>93</v>
      </c>
      <c r="BG139" s="70" t="s">
        <v>93</v>
      </c>
      <c r="BH139" s="70" t="s">
        <v>93</v>
      </c>
      <c r="BI139" s="70" t="s">
        <v>93</v>
      </c>
      <c r="BJ139" s="70" t="s">
        <v>93</v>
      </c>
      <c r="BK139" s="70" t="s">
        <v>93</v>
      </c>
      <c r="BL139" s="70" t="s">
        <v>93</v>
      </c>
      <c r="BM139" s="70" t="s">
        <v>93</v>
      </c>
      <c r="BN139" s="70" t="s">
        <v>93</v>
      </c>
      <c r="BO139" s="70" t="s">
        <v>93</v>
      </c>
      <c r="BP139" s="71" t="s">
        <v>93</v>
      </c>
    </row>
    <row r="140" spans="2:68" x14ac:dyDescent="0.25">
      <c r="B140" s="64">
        <v>5</v>
      </c>
      <c r="C140" s="65">
        <v>20</v>
      </c>
      <c r="D140" s="65" t="s">
        <v>95</v>
      </c>
      <c r="E140" s="66">
        <f>'[3]Master File'!B139</f>
        <v>46153</v>
      </c>
      <c r="F140" s="67" t="str">
        <f>'[3]Master File'!C139</f>
        <v>Lodge 5PM</v>
      </c>
      <c r="G140" s="46"/>
      <c r="I140" s="68" t="s">
        <v>93</v>
      </c>
      <c r="J140" s="68" t="s">
        <v>93</v>
      </c>
      <c r="K140" s="68" t="s">
        <v>93</v>
      </c>
      <c r="L140" s="68" t="s">
        <v>94</v>
      </c>
      <c r="M140" s="68" t="s">
        <v>93</v>
      </c>
      <c r="N140" s="68" t="s">
        <v>93</v>
      </c>
      <c r="O140" s="68" t="s">
        <v>93</v>
      </c>
      <c r="P140" s="68" t="s">
        <v>93</v>
      </c>
      <c r="Q140" s="68" t="s">
        <v>93</v>
      </c>
      <c r="R140" s="68" t="s">
        <v>93</v>
      </c>
      <c r="S140" s="68" t="s">
        <v>93</v>
      </c>
      <c r="T140" s="68" t="s">
        <v>93</v>
      </c>
      <c r="U140" s="68" t="s">
        <v>93</v>
      </c>
      <c r="V140" s="68" t="s">
        <v>93</v>
      </c>
      <c r="W140" s="68" t="s">
        <v>93</v>
      </c>
      <c r="X140" s="68" t="s">
        <v>93</v>
      </c>
      <c r="Y140" s="68" t="s">
        <v>93</v>
      </c>
      <c r="Z140" s="68" t="s">
        <v>94</v>
      </c>
      <c r="AA140" s="68" t="s">
        <v>93</v>
      </c>
      <c r="AB140" s="68" t="s">
        <v>93</v>
      </c>
      <c r="AC140" s="68" t="s">
        <v>93</v>
      </c>
      <c r="AD140" s="68" t="s">
        <v>93</v>
      </c>
      <c r="AE140" s="68" t="s">
        <v>93</v>
      </c>
      <c r="AF140" s="68" t="s">
        <v>93</v>
      </c>
      <c r="AG140" s="68" t="s">
        <v>93</v>
      </c>
      <c r="AH140" s="68" t="s">
        <v>93</v>
      </c>
      <c r="AI140" s="68" t="s">
        <v>93</v>
      </c>
      <c r="AJ140" s="68" t="s">
        <v>93</v>
      </c>
      <c r="AK140" s="68" t="s">
        <v>93</v>
      </c>
      <c r="AL140" s="68" t="s">
        <v>93</v>
      </c>
      <c r="AM140" s="68" t="s">
        <v>93</v>
      </c>
      <c r="AN140" s="68" t="s">
        <v>93</v>
      </c>
      <c r="AO140" s="68" t="s">
        <v>93</v>
      </c>
      <c r="AP140" s="68" t="s">
        <v>93</v>
      </c>
      <c r="AQ140" s="68" t="s">
        <v>93</v>
      </c>
      <c r="AR140" s="68" t="s">
        <v>93</v>
      </c>
      <c r="AS140" s="68" t="s">
        <v>93</v>
      </c>
      <c r="AT140" s="68" t="s">
        <v>93</v>
      </c>
      <c r="AU140" s="68" t="s">
        <v>93</v>
      </c>
      <c r="AV140" s="68" t="s">
        <v>93</v>
      </c>
      <c r="AW140" s="68" t="s">
        <v>93</v>
      </c>
      <c r="AX140" s="68" t="s">
        <v>93</v>
      </c>
      <c r="AY140" s="68" t="s">
        <v>93</v>
      </c>
      <c r="AZ140" s="68" t="s">
        <v>93</v>
      </c>
      <c r="BA140" s="68" t="s">
        <v>93</v>
      </c>
      <c r="BB140" s="68" t="s">
        <v>93</v>
      </c>
      <c r="BC140" s="68" t="s">
        <v>93</v>
      </c>
      <c r="BD140" s="68" t="s">
        <v>93</v>
      </c>
      <c r="BE140" s="68" t="s">
        <v>93</v>
      </c>
      <c r="BF140" s="68" t="s">
        <v>93</v>
      </c>
      <c r="BG140" s="68" t="s">
        <v>93</v>
      </c>
      <c r="BH140" s="68" t="s">
        <v>93</v>
      </c>
      <c r="BI140" s="68" t="s">
        <v>93</v>
      </c>
      <c r="BJ140" s="68" t="s">
        <v>93</v>
      </c>
      <c r="BK140" s="68" t="s">
        <v>93</v>
      </c>
      <c r="BL140" s="68" t="s">
        <v>93</v>
      </c>
      <c r="BM140" s="68" t="s">
        <v>93</v>
      </c>
      <c r="BN140" s="68" t="s">
        <v>93</v>
      </c>
      <c r="BO140" s="68" t="s">
        <v>93</v>
      </c>
      <c r="BP140" s="69" t="s">
        <v>93</v>
      </c>
    </row>
    <row r="141" spans="2:68" x14ac:dyDescent="0.25">
      <c r="B141" s="64">
        <v>5</v>
      </c>
      <c r="C141" s="65">
        <v>20</v>
      </c>
      <c r="D141" s="65" t="s">
        <v>96</v>
      </c>
      <c r="E141" s="66">
        <f>'[3]Master File'!B140</f>
        <v>46154</v>
      </c>
      <c r="F141" s="67" t="str">
        <f>'[3]Master File'!C140</f>
        <v>Lodge 5PM</v>
      </c>
      <c r="G141" s="46"/>
      <c r="I141" s="68" t="s">
        <v>93</v>
      </c>
      <c r="J141" s="68" t="s">
        <v>93</v>
      </c>
      <c r="K141" s="68" t="s">
        <v>93</v>
      </c>
      <c r="L141" s="68" t="s">
        <v>94</v>
      </c>
      <c r="M141" s="68" t="s">
        <v>93</v>
      </c>
      <c r="N141" s="68" t="s">
        <v>93</v>
      </c>
      <c r="O141" s="68" t="s">
        <v>93</v>
      </c>
      <c r="P141" s="68" t="s">
        <v>93</v>
      </c>
      <c r="Q141" s="68" t="s">
        <v>93</v>
      </c>
      <c r="R141" s="68" t="s">
        <v>93</v>
      </c>
      <c r="S141" s="68" t="s">
        <v>93</v>
      </c>
      <c r="T141" s="68" t="s">
        <v>93</v>
      </c>
      <c r="U141" s="68" t="s">
        <v>93</v>
      </c>
      <c r="V141" s="68" t="s">
        <v>93</v>
      </c>
      <c r="W141" s="68" t="s">
        <v>93</v>
      </c>
      <c r="X141" s="68" t="s">
        <v>93</v>
      </c>
      <c r="Y141" s="68" t="s">
        <v>93</v>
      </c>
      <c r="Z141" s="68" t="s">
        <v>94</v>
      </c>
      <c r="AA141" s="68" t="s">
        <v>93</v>
      </c>
      <c r="AB141" s="68" t="s">
        <v>93</v>
      </c>
      <c r="AC141" s="68" t="s">
        <v>93</v>
      </c>
      <c r="AD141" s="68" t="s">
        <v>93</v>
      </c>
      <c r="AE141" s="68" t="s">
        <v>93</v>
      </c>
      <c r="AF141" s="68" t="s">
        <v>93</v>
      </c>
      <c r="AG141" s="68" t="s">
        <v>93</v>
      </c>
      <c r="AH141" s="68" t="s">
        <v>93</v>
      </c>
      <c r="AI141" s="68" t="s">
        <v>93</v>
      </c>
      <c r="AJ141" s="68" t="s">
        <v>93</v>
      </c>
      <c r="AK141" s="68" t="s">
        <v>93</v>
      </c>
      <c r="AL141" s="68" t="s">
        <v>93</v>
      </c>
      <c r="AM141" s="68" t="s">
        <v>93</v>
      </c>
      <c r="AN141" s="68" t="s">
        <v>93</v>
      </c>
      <c r="AO141" s="68" t="s">
        <v>93</v>
      </c>
      <c r="AP141" s="68" t="s">
        <v>93</v>
      </c>
      <c r="AQ141" s="68" t="s">
        <v>93</v>
      </c>
      <c r="AR141" s="68" t="s">
        <v>93</v>
      </c>
      <c r="AS141" s="68" t="s">
        <v>93</v>
      </c>
      <c r="AT141" s="68" t="s">
        <v>93</v>
      </c>
      <c r="AU141" s="68" t="s">
        <v>93</v>
      </c>
      <c r="AV141" s="68" t="s">
        <v>93</v>
      </c>
      <c r="AW141" s="68" t="s">
        <v>93</v>
      </c>
      <c r="AX141" s="68" t="s">
        <v>93</v>
      </c>
      <c r="AY141" s="68" t="s">
        <v>93</v>
      </c>
      <c r="AZ141" s="68" t="s">
        <v>93</v>
      </c>
      <c r="BA141" s="68" t="s">
        <v>93</v>
      </c>
      <c r="BB141" s="68" t="s">
        <v>93</v>
      </c>
      <c r="BC141" s="68" t="s">
        <v>93</v>
      </c>
      <c r="BD141" s="68" t="s">
        <v>93</v>
      </c>
      <c r="BE141" s="68" t="s">
        <v>93</v>
      </c>
      <c r="BF141" s="68" t="s">
        <v>93</v>
      </c>
      <c r="BG141" s="68" t="s">
        <v>93</v>
      </c>
      <c r="BH141" s="68" t="s">
        <v>93</v>
      </c>
      <c r="BI141" s="68" t="s">
        <v>93</v>
      </c>
      <c r="BJ141" s="68" t="s">
        <v>93</v>
      </c>
      <c r="BK141" s="68" t="s">
        <v>93</v>
      </c>
      <c r="BL141" s="68" t="s">
        <v>93</v>
      </c>
      <c r="BM141" s="68" t="s">
        <v>93</v>
      </c>
      <c r="BN141" s="68" t="s">
        <v>93</v>
      </c>
      <c r="BO141" s="68" t="s">
        <v>93</v>
      </c>
      <c r="BP141" s="69" t="s">
        <v>93</v>
      </c>
    </row>
    <row r="142" spans="2:68" x14ac:dyDescent="0.25">
      <c r="B142" s="64">
        <v>5</v>
      </c>
      <c r="C142" s="65">
        <v>20</v>
      </c>
      <c r="D142" s="65" t="s">
        <v>97</v>
      </c>
      <c r="E142" s="66">
        <f>'[3]Master File'!B141</f>
        <v>46155</v>
      </c>
      <c r="F142" s="67" t="str">
        <f>'[3]Master File'!C141</f>
        <v>Lodge 5PM</v>
      </c>
      <c r="G142" s="46"/>
      <c r="I142" s="68" t="s">
        <v>93</v>
      </c>
      <c r="J142" s="68" t="s">
        <v>93</v>
      </c>
      <c r="K142" s="68" t="s">
        <v>93</v>
      </c>
      <c r="L142" s="68" t="s">
        <v>94</v>
      </c>
      <c r="M142" s="68" t="s">
        <v>93</v>
      </c>
      <c r="N142" s="68" t="s">
        <v>93</v>
      </c>
      <c r="O142" s="68" t="s">
        <v>93</v>
      </c>
      <c r="P142" s="68" t="s">
        <v>93</v>
      </c>
      <c r="Q142" s="68" t="s">
        <v>93</v>
      </c>
      <c r="R142" s="68" t="s">
        <v>93</v>
      </c>
      <c r="S142" s="68" t="s">
        <v>93</v>
      </c>
      <c r="T142" s="68" t="s">
        <v>93</v>
      </c>
      <c r="U142" s="68" t="s">
        <v>93</v>
      </c>
      <c r="V142" s="68" t="s">
        <v>93</v>
      </c>
      <c r="W142" s="68" t="s">
        <v>93</v>
      </c>
      <c r="X142" s="68" t="s">
        <v>93</v>
      </c>
      <c r="Y142" s="68" t="s">
        <v>93</v>
      </c>
      <c r="Z142" s="68" t="s">
        <v>94</v>
      </c>
      <c r="AA142" s="68" t="s">
        <v>93</v>
      </c>
      <c r="AB142" s="68" t="s">
        <v>93</v>
      </c>
      <c r="AC142" s="68" t="s">
        <v>93</v>
      </c>
      <c r="AD142" s="68" t="s">
        <v>93</v>
      </c>
      <c r="AE142" s="68" t="s">
        <v>93</v>
      </c>
      <c r="AF142" s="68" t="s">
        <v>93</v>
      </c>
      <c r="AG142" s="68" t="s">
        <v>93</v>
      </c>
      <c r="AH142" s="68" t="s">
        <v>93</v>
      </c>
      <c r="AI142" s="68" t="s">
        <v>93</v>
      </c>
      <c r="AJ142" s="68" t="s">
        <v>93</v>
      </c>
      <c r="AK142" s="68" t="s">
        <v>93</v>
      </c>
      <c r="AL142" s="68" t="s">
        <v>93</v>
      </c>
      <c r="AM142" s="68" t="s">
        <v>93</v>
      </c>
      <c r="AN142" s="68" t="s">
        <v>93</v>
      </c>
      <c r="AO142" s="68" t="s">
        <v>93</v>
      </c>
      <c r="AP142" s="68" t="s">
        <v>93</v>
      </c>
      <c r="AQ142" s="68" t="s">
        <v>93</v>
      </c>
      <c r="AR142" s="68" t="s">
        <v>93</v>
      </c>
      <c r="AS142" s="68" t="s">
        <v>93</v>
      </c>
      <c r="AT142" s="68" t="s">
        <v>93</v>
      </c>
      <c r="AU142" s="68" t="s">
        <v>93</v>
      </c>
      <c r="AV142" s="68" t="s">
        <v>93</v>
      </c>
      <c r="AW142" s="68" t="s">
        <v>93</v>
      </c>
      <c r="AX142" s="68" t="s">
        <v>93</v>
      </c>
      <c r="AY142" s="68" t="s">
        <v>93</v>
      </c>
      <c r="AZ142" s="68" t="s">
        <v>93</v>
      </c>
      <c r="BA142" s="68" t="s">
        <v>93</v>
      </c>
      <c r="BB142" s="68" t="s">
        <v>93</v>
      </c>
      <c r="BC142" s="68" t="s">
        <v>93</v>
      </c>
      <c r="BD142" s="68" t="s">
        <v>93</v>
      </c>
      <c r="BE142" s="68" t="s">
        <v>93</v>
      </c>
      <c r="BF142" s="68" t="s">
        <v>93</v>
      </c>
      <c r="BG142" s="68" t="s">
        <v>93</v>
      </c>
      <c r="BH142" s="68" t="s">
        <v>93</v>
      </c>
      <c r="BI142" s="68" t="s">
        <v>93</v>
      </c>
      <c r="BJ142" s="68" t="s">
        <v>93</v>
      </c>
      <c r="BK142" s="68" t="s">
        <v>93</v>
      </c>
      <c r="BL142" s="68" t="s">
        <v>93</v>
      </c>
      <c r="BM142" s="68" t="s">
        <v>93</v>
      </c>
      <c r="BN142" s="68" t="s">
        <v>93</v>
      </c>
      <c r="BO142" s="68" t="s">
        <v>93</v>
      </c>
      <c r="BP142" s="69" t="s">
        <v>93</v>
      </c>
    </row>
    <row r="143" spans="2:68" x14ac:dyDescent="0.25">
      <c r="B143" s="64">
        <v>5</v>
      </c>
      <c r="C143" s="65">
        <v>20</v>
      </c>
      <c r="D143" s="65" t="s">
        <v>98</v>
      </c>
      <c r="E143" s="66">
        <f>'[3]Master File'!B142</f>
        <v>46156</v>
      </c>
      <c r="F143" s="67" t="str">
        <f>'[3]Master File'!C142</f>
        <v>Lodge 5PM</v>
      </c>
      <c r="G143" s="46"/>
      <c r="I143" s="68" t="s">
        <v>93</v>
      </c>
      <c r="J143" s="68" t="s">
        <v>93</v>
      </c>
      <c r="K143" s="68" t="s">
        <v>93</v>
      </c>
      <c r="L143" s="68" t="s">
        <v>94</v>
      </c>
      <c r="M143" s="68" t="s">
        <v>93</v>
      </c>
      <c r="N143" s="68" t="s">
        <v>93</v>
      </c>
      <c r="O143" s="68" t="s">
        <v>93</v>
      </c>
      <c r="P143" s="68" t="s">
        <v>93</v>
      </c>
      <c r="Q143" s="68" t="s">
        <v>93</v>
      </c>
      <c r="R143" s="68" t="s">
        <v>93</v>
      </c>
      <c r="S143" s="68" t="s">
        <v>93</v>
      </c>
      <c r="T143" s="68" t="s">
        <v>93</v>
      </c>
      <c r="U143" s="68" t="s">
        <v>93</v>
      </c>
      <c r="V143" s="68" t="s">
        <v>93</v>
      </c>
      <c r="W143" s="68" t="s">
        <v>93</v>
      </c>
      <c r="X143" s="68" t="s">
        <v>93</v>
      </c>
      <c r="Y143" s="68" t="s">
        <v>93</v>
      </c>
      <c r="Z143" s="68" t="s">
        <v>94</v>
      </c>
      <c r="AA143" s="68" t="s">
        <v>93</v>
      </c>
      <c r="AB143" s="68" t="s">
        <v>93</v>
      </c>
      <c r="AC143" s="68" t="s">
        <v>93</v>
      </c>
      <c r="AD143" s="68" t="s">
        <v>93</v>
      </c>
      <c r="AE143" s="68" t="s">
        <v>93</v>
      </c>
      <c r="AF143" s="68" t="s">
        <v>93</v>
      </c>
      <c r="AG143" s="68" t="s">
        <v>93</v>
      </c>
      <c r="AH143" s="68" t="s">
        <v>93</v>
      </c>
      <c r="AI143" s="68" t="s">
        <v>93</v>
      </c>
      <c r="AJ143" s="68" t="s">
        <v>93</v>
      </c>
      <c r="AK143" s="68" t="s">
        <v>93</v>
      </c>
      <c r="AL143" s="68" t="s">
        <v>93</v>
      </c>
      <c r="AM143" s="68" t="s">
        <v>93</v>
      </c>
      <c r="AN143" s="68" t="s">
        <v>93</v>
      </c>
      <c r="AO143" s="68" t="s">
        <v>93</v>
      </c>
      <c r="AP143" s="68" t="s">
        <v>93</v>
      </c>
      <c r="AQ143" s="68" t="s">
        <v>93</v>
      </c>
      <c r="AR143" s="68" t="s">
        <v>93</v>
      </c>
      <c r="AS143" s="68" t="s">
        <v>93</v>
      </c>
      <c r="AT143" s="68" t="s">
        <v>93</v>
      </c>
      <c r="AU143" s="68" t="s">
        <v>93</v>
      </c>
      <c r="AV143" s="68" t="s">
        <v>93</v>
      </c>
      <c r="AW143" s="68" t="s">
        <v>93</v>
      </c>
      <c r="AX143" s="68" t="s">
        <v>93</v>
      </c>
      <c r="AY143" s="68" t="s">
        <v>93</v>
      </c>
      <c r="AZ143" s="68" t="s">
        <v>93</v>
      </c>
      <c r="BA143" s="68" t="s">
        <v>93</v>
      </c>
      <c r="BB143" s="68" t="s">
        <v>93</v>
      </c>
      <c r="BC143" s="68" t="s">
        <v>93</v>
      </c>
      <c r="BD143" s="68" t="s">
        <v>93</v>
      </c>
      <c r="BE143" s="68" t="s">
        <v>93</v>
      </c>
      <c r="BF143" s="68" t="s">
        <v>93</v>
      </c>
      <c r="BG143" s="68" t="s">
        <v>93</v>
      </c>
      <c r="BH143" s="68" t="s">
        <v>93</v>
      </c>
      <c r="BI143" s="68" t="s">
        <v>93</v>
      </c>
      <c r="BJ143" s="68" t="s">
        <v>93</v>
      </c>
      <c r="BK143" s="68" t="s">
        <v>93</v>
      </c>
      <c r="BL143" s="68" t="s">
        <v>93</v>
      </c>
      <c r="BM143" s="68" t="s">
        <v>93</v>
      </c>
      <c r="BN143" s="68" t="s">
        <v>93</v>
      </c>
      <c r="BO143" s="68" t="s">
        <v>93</v>
      </c>
      <c r="BP143" s="69" t="s">
        <v>93</v>
      </c>
    </row>
    <row r="144" spans="2:68" x14ac:dyDescent="0.25">
      <c r="B144" s="64">
        <v>5</v>
      </c>
      <c r="C144" s="65">
        <v>20</v>
      </c>
      <c r="D144" s="65" t="s">
        <v>99</v>
      </c>
      <c r="E144" s="66">
        <f>'[3]Master File'!B143</f>
        <v>46157</v>
      </c>
      <c r="F144" s="67" t="str">
        <f>'[3]Master File'!C143</f>
        <v>Explorer 5PM</v>
      </c>
      <c r="G144" s="46"/>
      <c r="I144" s="68" t="s">
        <v>93</v>
      </c>
      <c r="J144" s="68" t="s">
        <v>93</v>
      </c>
      <c r="K144" s="68" t="s">
        <v>93</v>
      </c>
      <c r="L144" s="68" t="s">
        <v>94</v>
      </c>
      <c r="M144" s="68" t="s">
        <v>93</v>
      </c>
      <c r="N144" s="68" t="s">
        <v>93</v>
      </c>
      <c r="O144" s="68" t="s">
        <v>93</v>
      </c>
      <c r="P144" s="68" t="s">
        <v>93</v>
      </c>
      <c r="Q144" s="68" t="s">
        <v>93</v>
      </c>
      <c r="R144" s="68" t="s">
        <v>93</v>
      </c>
      <c r="S144" s="68" t="s">
        <v>93</v>
      </c>
      <c r="T144" s="68" t="s">
        <v>93</v>
      </c>
      <c r="U144" s="68" t="s">
        <v>93</v>
      </c>
      <c r="V144" s="68" t="s">
        <v>93</v>
      </c>
      <c r="W144" s="68" t="s">
        <v>93</v>
      </c>
      <c r="X144" s="68" t="s">
        <v>93</v>
      </c>
      <c r="Y144" s="68" t="s">
        <v>93</v>
      </c>
      <c r="Z144" s="68" t="s">
        <v>94</v>
      </c>
      <c r="AA144" s="68" t="s">
        <v>93</v>
      </c>
      <c r="AB144" s="68" t="s">
        <v>93</v>
      </c>
      <c r="AC144" s="68" t="s">
        <v>93</v>
      </c>
      <c r="AD144" s="68" t="s">
        <v>93</v>
      </c>
      <c r="AE144" s="68" t="s">
        <v>93</v>
      </c>
      <c r="AF144" s="68" t="s">
        <v>93</v>
      </c>
      <c r="AG144" s="68" t="s">
        <v>93</v>
      </c>
      <c r="AH144" s="68" t="s">
        <v>93</v>
      </c>
      <c r="AI144" s="68" t="s">
        <v>93</v>
      </c>
      <c r="AJ144" s="68" t="s">
        <v>93</v>
      </c>
      <c r="AK144" s="68" t="s">
        <v>93</v>
      </c>
      <c r="AL144" s="68" t="s">
        <v>93</v>
      </c>
      <c r="AM144" s="68" t="s">
        <v>93</v>
      </c>
      <c r="AN144" s="68" t="s">
        <v>93</v>
      </c>
      <c r="AO144" s="68" t="s">
        <v>93</v>
      </c>
      <c r="AP144" s="68" t="s">
        <v>93</v>
      </c>
      <c r="AQ144" s="68" t="s">
        <v>93</v>
      </c>
      <c r="AR144" s="68" t="s">
        <v>93</v>
      </c>
      <c r="AS144" s="68" t="s">
        <v>93</v>
      </c>
      <c r="AT144" s="68" t="s">
        <v>93</v>
      </c>
      <c r="AU144" s="68" t="s">
        <v>93</v>
      </c>
      <c r="AV144" s="68" t="s">
        <v>93</v>
      </c>
      <c r="AW144" s="68" t="s">
        <v>93</v>
      </c>
      <c r="AX144" s="68" t="s">
        <v>93</v>
      </c>
      <c r="AY144" s="68" t="s">
        <v>93</v>
      </c>
      <c r="AZ144" s="68" t="s">
        <v>93</v>
      </c>
      <c r="BA144" s="68" t="s">
        <v>93</v>
      </c>
      <c r="BB144" s="68" t="s">
        <v>93</v>
      </c>
      <c r="BC144" s="68" t="s">
        <v>93</v>
      </c>
      <c r="BD144" s="68" t="s">
        <v>93</v>
      </c>
      <c r="BE144" s="68" t="s">
        <v>93</v>
      </c>
      <c r="BF144" s="68" t="s">
        <v>93</v>
      </c>
      <c r="BG144" s="68" t="s">
        <v>93</v>
      </c>
      <c r="BH144" s="68" t="s">
        <v>93</v>
      </c>
      <c r="BI144" s="68" t="s">
        <v>93</v>
      </c>
      <c r="BJ144" s="68" t="s">
        <v>93</v>
      </c>
      <c r="BK144" s="68" t="s">
        <v>93</v>
      </c>
      <c r="BL144" s="68" t="s">
        <v>93</v>
      </c>
      <c r="BM144" s="68" t="s">
        <v>93</v>
      </c>
      <c r="BN144" s="68" t="s">
        <v>93</v>
      </c>
      <c r="BO144" s="68" t="s">
        <v>93</v>
      </c>
      <c r="BP144" s="69" t="s">
        <v>93</v>
      </c>
    </row>
    <row r="145" spans="2:68" x14ac:dyDescent="0.25">
      <c r="B145" s="64">
        <v>5</v>
      </c>
      <c r="C145" s="65">
        <v>20</v>
      </c>
      <c r="D145" s="65" t="s">
        <v>100</v>
      </c>
      <c r="E145" s="66">
        <f>'[3]Master File'!B144</f>
        <v>46158</v>
      </c>
      <c r="F145" s="67" t="str">
        <f>'[3]Master File'!C144</f>
        <v>Explorer 5PM</v>
      </c>
      <c r="G145" s="46"/>
      <c r="I145" s="70" t="s">
        <v>93</v>
      </c>
      <c r="J145" s="70" t="s">
        <v>93</v>
      </c>
      <c r="K145" s="70" t="s">
        <v>93</v>
      </c>
      <c r="L145" s="68" t="s">
        <v>94</v>
      </c>
      <c r="M145" s="70" t="s">
        <v>93</v>
      </c>
      <c r="N145" s="70" t="s">
        <v>93</v>
      </c>
      <c r="O145" s="70" t="s">
        <v>93</v>
      </c>
      <c r="P145" s="70" t="s">
        <v>93</v>
      </c>
      <c r="Q145" s="70" t="s">
        <v>93</v>
      </c>
      <c r="R145" s="70" t="s">
        <v>93</v>
      </c>
      <c r="S145" s="70" t="s">
        <v>93</v>
      </c>
      <c r="T145" s="70" t="s">
        <v>93</v>
      </c>
      <c r="U145" s="70" t="s">
        <v>93</v>
      </c>
      <c r="V145" s="70" t="s">
        <v>93</v>
      </c>
      <c r="W145" s="70" t="s">
        <v>93</v>
      </c>
      <c r="X145" s="70" t="s">
        <v>93</v>
      </c>
      <c r="Y145" s="70" t="s">
        <v>93</v>
      </c>
      <c r="Z145" s="68" t="s">
        <v>94</v>
      </c>
      <c r="AA145" s="70" t="s">
        <v>93</v>
      </c>
      <c r="AB145" s="70" t="s">
        <v>93</v>
      </c>
      <c r="AC145" s="70" t="s">
        <v>93</v>
      </c>
      <c r="AD145" s="70" t="s">
        <v>94</v>
      </c>
      <c r="AE145" s="70" t="s">
        <v>94</v>
      </c>
      <c r="AF145" s="70" t="s">
        <v>93</v>
      </c>
      <c r="AG145" s="70" t="s">
        <v>93</v>
      </c>
      <c r="AH145" s="70" t="s">
        <v>93</v>
      </c>
      <c r="AI145" s="70" t="s">
        <v>93</v>
      </c>
      <c r="AJ145" s="70" t="s">
        <v>93</v>
      </c>
      <c r="AK145" s="70" t="s">
        <v>93</v>
      </c>
      <c r="AL145" s="70" t="s">
        <v>93</v>
      </c>
      <c r="AM145" s="70" t="s">
        <v>93</v>
      </c>
      <c r="AN145" s="70" t="s">
        <v>93</v>
      </c>
      <c r="AO145" s="70" t="s">
        <v>93</v>
      </c>
      <c r="AP145" s="70" t="s">
        <v>93</v>
      </c>
      <c r="AQ145" s="70" t="s">
        <v>93</v>
      </c>
      <c r="AR145" s="70" t="s">
        <v>93</v>
      </c>
      <c r="AS145" s="70" t="s">
        <v>93</v>
      </c>
      <c r="AT145" s="70" t="s">
        <v>93</v>
      </c>
      <c r="AU145" s="70" t="s">
        <v>93</v>
      </c>
      <c r="AV145" s="70" t="s">
        <v>93</v>
      </c>
      <c r="AW145" s="70" t="s">
        <v>93</v>
      </c>
      <c r="AX145" s="70" t="s">
        <v>93</v>
      </c>
      <c r="AY145" s="70" t="s">
        <v>93</v>
      </c>
      <c r="AZ145" s="70" t="s">
        <v>93</v>
      </c>
      <c r="BA145" s="70" t="s">
        <v>93</v>
      </c>
      <c r="BB145" s="70" t="s">
        <v>93</v>
      </c>
      <c r="BC145" s="70" t="s">
        <v>93</v>
      </c>
      <c r="BD145" s="70" t="s">
        <v>93</v>
      </c>
      <c r="BE145" s="70" t="s">
        <v>93</v>
      </c>
      <c r="BF145" s="70" t="s">
        <v>93</v>
      </c>
      <c r="BG145" s="70" t="s">
        <v>93</v>
      </c>
      <c r="BH145" s="70" t="s">
        <v>93</v>
      </c>
      <c r="BI145" s="70" t="s">
        <v>93</v>
      </c>
      <c r="BJ145" s="70" t="s">
        <v>93</v>
      </c>
      <c r="BK145" s="70" t="s">
        <v>93</v>
      </c>
      <c r="BL145" s="70" t="s">
        <v>93</v>
      </c>
      <c r="BM145" s="70" t="s">
        <v>93</v>
      </c>
      <c r="BN145" s="70" t="s">
        <v>93</v>
      </c>
      <c r="BO145" s="70" t="s">
        <v>93</v>
      </c>
      <c r="BP145" s="71" t="s">
        <v>93</v>
      </c>
    </row>
    <row r="146" spans="2:68" x14ac:dyDescent="0.25">
      <c r="B146" s="64">
        <v>5</v>
      </c>
      <c r="C146" s="65">
        <v>21</v>
      </c>
      <c r="D146" s="65" t="s">
        <v>92</v>
      </c>
      <c r="E146" s="66">
        <f>'[3]Master File'!B145</f>
        <v>46159</v>
      </c>
      <c r="F146" s="67" t="str">
        <f>'[3]Master File'!C145</f>
        <v>Explorer 5PM</v>
      </c>
      <c r="G146" s="46"/>
      <c r="I146" s="70" t="s">
        <v>93</v>
      </c>
      <c r="J146" s="70" t="s">
        <v>93</v>
      </c>
      <c r="K146" s="70" t="s">
        <v>93</v>
      </c>
      <c r="L146" s="68" t="s">
        <v>94</v>
      </c>
      <c r="M146" s="70" t="s">
        <v>93</v>
      </c>
      <c r="N146" s="70" t="s">
        <v>93</v>
      </c>
      <c r="O146" s="70" t="s">
        <v>93</v>
      </c>
      <c r="P146" s="70" t="s">
        <v>93</v>
      </c>
      <c r="Q146" s="70" t="s">
        <v>93</v>
      </c>
      <c r="R146" s="70" t="s">
        <v>93</v>
      </c>
      <c r="S146" s="70" t="s">
        <v>93</v>
      </c>
      <c r="T146" s="70" t="s">
        <v>93</v>
      </c>
      <c r="U146" s="70" t="s">
        <v>93</v>
      </c>
      <c r="V146" s="70" t="s">
        <v>93</v>
      </c>
      <c r="W146" s="70" t="s">
        <v>93</v>
      </c>
      <c r="X146" s="70" t="s">
        <v>93</v>
      </c>
      <c r="Y146" s="70" t="s">
        <v>93</v>
      </c>
      <c r="Z146" s="68" t="s">
        <v>94</v>
      </c>
      <c r="AA146" s="70" t="s">
        <v>93</v>
      </c>
      <c r="AB146" s="70" t="s">
        <v>93</v>
      </c>
      <c r="AC146" s="70" t="s">
        <v>93</v>
      </c>
      <c r="AD146" s="70" t="s">
        <v>94</v>
      </c>
      <c r="AE146" s="70" t="s">
        <v>94</v>
      </c>
      <c r="AF146" s="70" t="s">
        <v>93</v>
      </c>
      <c r="AG146" s="70" t="s">
        <v>93</v>
      </c>
      <c r="AH146" s="70" t="s">
        <v>93</v>
      </c>
      <c r="AI146" s="70" t="s">
        <v>93</v>
      </c>
      <c r="AJ146" s="70" t="s">
        <v>93</v>
      </c>
      <c r="AK146" s="70" t="s">
        <v>93</v>
      </c>
      <c r="AL146" s="70" t="s">
        <v>93</v>
      </c>
      <c r="AM146" s="70" t="s">
        <v>93</v>
      </c>
      <c r="AN146" s="70" t="s">
        <v>93</v>
      </c>
      <c r="AO146" s="70" t="s">
        <v>93</v>
      </c>
      <c r="AP146" s="70" t="s">
        <v>93</v>
      </c>
      <c r="AQ146" s="70" t="s">
        <v>93</v>
      </c>
      <c r="AR146" s="70" t="s">
        <v>93</v>
      </c>
      <c r="AS146" s="70" t="s">
        <v>93</v>
      </c>
      <c r="AT146" s="70" t="s">
        <v>93</v>
      </c>
      <c r="AU146" s="70" t="s">
        <v>93</v>
      </c>
      <c r="AV146" s="70" t="s">
        <v>93</v>
      </c>
      <c r="AW146" s="70" t="s">
        <v>93</v>
      </c>
      <c r="AX146" s="70" t="s">
        <v>93</v>
      </c>
      <c r="AY146" s="70" t="s">
        <v>93</v>
      </c>
      <c r="AZ146" s="70" t="s">
        <v>93</v>
      </c>
      <c r="BA146" s="70" t="s">
        <v>93</v>
      </c>
      <c r="BB146" s="70" t="s">
        <v>93</v>
      </c>
      <c r="BC146" s="70" t="s">
        <v>93</v>
      </c>
      <c r="BD146" s="70" t="s">
        <v>93</v>
      </c>
      <c r="BE146" s="70" t="s">
        <v>93</v>
      </c>
      <c r="BF146" s="70" t="s">
        <v>93</v>
      </c>
      <c r="BG146" s="70" t="s">
        <v>93</v>
      </c>
      <c r="BH146" s="70" t="s">
        <v>93</v>
      </c>
      <c r="BI146" s="70" t="s">
        <v>93</v>
      </c>
      <c r="BJ146" s="70" t="s">
        <v>93</v>
      </c>
      <c r="BK146" s="70" t="s">
        <v>93</v>
      </c>
      <c r="BL146" s="70" t="s">
        <v>93</v>
      </c>
      <c r="BM146" s="70" t="s">
        <v>93</v>
      </c>
      <c r="BN146" s="70" t="s">
        <v>93</v>
      </c>
      <c r="BO146" s="70" t="s">
        <v>93</v>
      </c>
      <c r="BP146" s="71" t="s">
        <v>93</v>
      </c>
    </row>
    <row r="147" spans="2:68" x14ac:dyDescent="0.25">
      <c r="B147" s="64">
        <v>5</v>
      </c>
      <c r="C147" s="65">
        <v>21</v>
      </c>
      <c r="D147" s="65" t="s">
        <v>95</v>
      </c>
      <c r="E147" s="66">
        <f>'[3]Master File'!B146</f>
        <v>46160</v>
      </c>
      <c r="F147" s="67" t="str">
        <f>'[3]Master File'!C146</f>
        <v>Explorer 5PM</v>
      </c>
      <c r="G147" s="46"/>
      <c r="I147" s="68" t="s">
        <v>93</v>
      </c>
      <c r="J147" s="68" t="s">
        <v>93</v>
      </c>
      <c r="K147" s="68" t="s">
        <v>93</v>
      </c>
      <c r="L147" s="68" t="s">
        <v>94</v>
      </c>
      <c r="M147" s="68" t="s">
        <v>93</v>
      </c>
      <c r="N147" s="68" t="s">
        <v>93</v>
      </c>
      <c r="O147" s="68" t="s">
        <v>93</v>
      </c>
      <c r="P147" s="68" t="s">
        <v>93</v>
      </c>
      <c r="Q147" s="68" t="s">
        <v>93</v>
      </c>
      <c r="R147" s="68" t="s">
        <v>93</v>
      </c>
      <c r="S147" s="68" t="s">
        <v>93</v>
      </c>
      <c r="T147" s="68" t="s">
        <v>93</v>
      </c>
      <c r="U147" s="68" t="s">
        <v>93</v>
      </c>
      <c r="V147" s="68" t="s">
        <v>93</v>
      </c>
      <c r="W147" s="68" t="s">
        <v>93</v>
      </c>
      <c r="X147" s="68" t="s">
        <v>93</v>
      </c>
      <c r="Y147" s="68" t="s">
        <v>93</v>
      </c>
      <c r="Z147" s="68" t="s">
        <v>94</v>
      </c>
      <c r="AA147" s="68" t="s">
        <v>93</v>
      </c>
      <c r="AB147" s="68" t="s">
        <v>93</v>
      </c>
      <c r="AC147" s="68" t="s">
        <v>93</v>
      </c>
      <c r="AD147" s="68" t="s">
        <v>93</v>
      </c>
      <c r="AE147" s="68" t="s">
        <v>93</v>
      </c>
      <c r="AF147" s="68" t="s">
        <v>93</v>
      </c>
      <c r="AG147" s="68" t="s">
        <v>93</v>
      </c>
      <c r="AH147" s="68" t="s">
        <v>93</v>
      </c>
      <c r="AI147" s="68" t="s">
        <v>93</v>
      </c>
      <c r="AJ147" s="68" t="s">
        <v>93</v>
      </c>
      <c r="AK147" s="68" t="s">
        <v>93</v>
      </c>
      <c r="AL147" s="68" t="s">
        <v>93</v>
      </c>
      <c r="AM147" s="68" t="s">
        <v>93</v>
      </c>
      <c r="AN147" s="68" t="s">
        <v>93</v>
      </c>
      <c r="AO147" s="68" t="s">
        <v>93</v>
      </c>
      <c r="AP147" s="68" t="s">
        <v>93</v>
      </c>
      <c r="AQ147" s="68" t="s">
        <v>93</v>
      </c>
      <c r="AR147" s="68" t="s">
        <v>93</v>
      </c>
      <c r="AS147" s="68" t="s">
        <v>93</v>
      </c>
      <c r="AT147" s="68" t="s">
        <v>93</v>
      </c>
      <c r="AU147" s="68" t="s">
        <v>93</v>
      </c>
      <c r="AV147" s="68" t="s">
        <v>93</v>
      </c>
      <c r="AW147" s="68" t="s">
        <v>93</v>
      </c>
      <c r="AX147" s="68" t="s">
        <v>93</v>
      </c>
      <c r="AY147" s="68" t="s">
        <v>93</v>
      </c>
      <c r="AZ147" s="68" t="s">
        <v>93</v>
      </c>
      <c r="BA147" s="68" t="s">
        <v>93</v>
      </c>
      <c r="BB147" s="68" t="s">
        <v>93</v>
      </c>
      <c r="BC147" s="68" t="s">
        <v>93</v>
      </c>
      <c r="BD147" s="68" t="s">
        <v>93</v>
      </c>
      <c r="BE147" s="68" t="s">
        <v>93</v>
      </c>
      <c r="BF147" s="68" t="s">
        <v>93</v>
      </c>
      <c r="BG147" s="68" t="s">
        <v>93</v>
      </c>
      <c r="BH147" s="68" t="s">
        <v>93</v>
      </c>
      <c r="BI147" s="68" t="s">
        <v>93</v>
      </c>
      <c r="BJ147" s="68" t="s">
        <v>93</v>
      </c>
      <c r="BK147" s="68" t="s">
        <v>93</v>
      </c>
      <c r="BL147" s="68" t="s">
        <v>93</v>
      </c>
      <c r="BM147" s="68" t="s">
        <v>93</v>
      </c>
      <c r="BN147" s="68" t="s">
        <v>93</v>
      </c>
      <c r="BO147" s="68" t="s">
        <v>93</v>
      </c>
      <c r="BP147" s="69" t="s">
        <v>93</v>
      </c>
    </row>
    <row r="148" spans="2:68" x14ac:dyDescent="0.25">
      <c r="B148" s="64">
        <v>5</v>
      </c>
      <c r="C148" s="65">
        <v>21</v>
      </c>
      <c r="D148" s="65" t="s">
        <v>96</v>
      </c>
      <c r="E148" s="66">
        <f>'[3]Master File'!B147</f>
        <v>46161</v>
      </c>
      <c r="F148" s="67" t="str">
        <f>'[3]Master File'!C147</f>
        <v>Lodge 5PM</v>
      </c>
      <c r="G148" s="46"/>
      <c r="I148" s="68" t="s">
        <v>93</v>
      </c>
      <c r="J148" s="68" t="s">
        <v>93</v>
      </c>
      <c r="K148" s="68" t="s">
        <v>93</v>
      </c>
      <c r="L148" s="68" t="s">
        <v>94</v>
      </c>
      <c r="M148" s="68" t="s">
        <v>93</v>
      </c>
      <c r="N148" s="68" t="s">
        <v>93</v>
      </c>
      <c r="O148" s="68" t="s">
        <v>93</v>
      </c>
      <c r="P148" s="68" t="s">
        <v>93</v>
      </c>
      <c r="Q148" s="68" t="s">
        <v>93</v>
      </c>
      <c r="R148" s="68" t="s">
        <v>93</v>
      </c>
      <c r="S148" s="68" t="s">
        <v>93</v>
      </c>
      <c r="T148" s="68" t="s">
        <v>93</v>
      </c>
      <c r="U148" s="68" t="s">
        <v>93</v>
      </c>
      <c r="V148" s="68" t="s">
        <v>93</v>
      </c>
      <c r="W148" s="68" t="s">
        <v>93</v>
      </c>
      <c r="X148" s="68" t="s">
        <v>93</v>
      </c>
      <c r="Y148" s="68" t="s">
        <v>93</v>
      </c>
      <c r="Z148" s="68" t="s">
        <v>94</v>
      </c>
      <c r="AA148" s="68" t="s">
        <v>93</v>
      </c>
      <c r="AB148" s="68" t="s">
        <v>93</v>
      </c>
      <c r="AC148" s="68" t="s">
        <v>93</v>
      </c>
      <c r="AD148" s="68" t="s">
        <v>93</v>
      </c>
      <c r="AE148" s="68" t="s">
        <v>93</v>
      </c>
      <c r="AF148" s="68" t="s">
        <v>93</v>
      </c>
      <c r="AG148" s="68" t="s">
        <v>93</v>
      </c>
      <c r="AH148" s="68" t="s">
        <v>93</v>
      </c>
      <c r="AI148" s="68" t="s">
        <v>93</v>
      </c>
      <c r="AJ148" s="68" t="s">
        <v>93</v>
      </c>
      <c r="AK148" s="68" t="s">
        <v>93</v>
      </c>
      <c r="AL148" s="68" t="s">
        <v>93</v>
      </c>
      <c r="AM148" s="68" t="s">
        <v>93</v>
      </c>
      <c r="AN148" s="68" t="s">
        <v>93</v>
      </c>
      <c r="AO148" s="68" t="s">
        <v>93</v>
      </c>
      <c r="AP148" s="68" t="s">
        <v>93</v>
      </c>
      <c r="AQ148" s="68" t="s">
        <v>93</v>
      </c>
      <c r="AR148" s="68" t="s">
        <v>93</v>
      </c>
      <c r="AS148" s="68" t="s">
        <v>93</v>
      </c>
      <c r="AT148" s="68" t="s">
        <v>93</v>
      </c>
      <c r="AU148" s="68" t="s">
        <v>93</v>
      </c>
      <c r="AV148" s="68" t="s">
        <v>93</v>
      </c>
      <c r="AW148" s="68" t="s">
        <v>93</v>
      </c>
      <c r="AX148" s="68" t="s">
        <v>93</v>
      </c>
      <c r="AY148" s="68" t="s">
        <v>93</v>
      </c>
      <c r="AZ148" s="68" t="s">
        <v>93</v>
      </c>
      <c r="BA148" s="68" t="s">
        <v>93</v>
      </c>
      <c r="BB148" s="68" t="s">
        <v>93</v>
      </c>
      <c r="BC148" s="68" t="s">
        <v>93</v>
      </c>
      <c r="BD148" s="68" t="s">
        <v>93</v>
      </c>
      <c r="BE148" s="68" t="s">
        <v>93</v>
      </c>
      <c r="BF148" s="68" t="s">
        <v>93</v>
      </c>
      <c r="BG148" s="68" t="s">
        <v>93</v>
      </c>
      <c r="BH148" s="68" t="s">
        <v>93</v>
      </c>
      <c r="BI148" s="68" t="s">
        <v>93</v>
      </c>
      <c r="BJ148" s="68" t="s">
        <v>93</v>
      </c>
      <c r="BK148" s="68" t="s">
        <v>93</v>
      </c>
      <c r="BL148" s="68" t="s">
        <v>93</v>
      </c>
      <c r="BM148" s="68" t="s">
        <v>93</v>
      </c>
      <c r="BN148" s="68" t="s">
        <v>93</v>
      </c>
      <c r="BO148" s="68" t="s">
        <v>93</v>
      </c>
      <c r="BP148" s="69" t="s">
        <v>93</v>
      </c>
    </row>
    <row r="149" spans="2:68" x14ac:dyDescent="0.25">
      <c r="B149" s="64">
        <v>5</v>
      </c>
      <c r="C149" s="65">
        <v>21</v>
      </c>
      <c r="D149" s="65" t="s">
        <v>97</v>
      </c>
      <c r="E149" s="66">
        <f>'[3]Master File'!B148</f>
        <v>46162</v>
      </c>
      <c r="F149" s="67" t="str">
        <f>'[3]Master File'!C148</f>
        <v>Lodge 5PM</v>
      </c>
      <c r="G149" s="46"/>
      <c r="I149" s="68" t="s">
        <v>93</v>
      </c>
      <c r="J149" s="68" t="s">
        <v>93</v>
      </c>
      <c r="K149" s="68" t="s">
        <v>93</v>
      </c>
      <c r="L149" s="68" t="s">
        <v>94</v>
      </c>
      <c r="M149" s="68" t="s">
        <v>93</v>
      </c>
      <c r="N149" s="68" t="s">
        <v>93</v>
      </c>
      <c r="O149" s="68" t="s">
        <v>93</v>
      </c>
      <c r="P149" s="68" t="s">
        <v>93</v>
      </c>
      <c r="Q149" s="68" t="s">
        <v>93</v>
      </c>
      <c r="R149" s="68" t="s">
        <v>93</v>
      </c>
      <c r="S149" s="68" t="s">
        <v>93</v>
      </c>
      <c r="T149" s="68" t="s">
        <v>93</v>
      </c>
      <c r="U149" s="68" t="s">
        <v>93</v>
      </c>
      <c r="V149" s="68" t="s">
        <v>93</v>
      </c>
      <c r="W149" s="68" t="s">
        <v>93</v>
      </c>
      <c r="X149" s="68" t="s">
        <v>93</v>
      </c>
      <c r="Y149" s="68" t="s">
        <v>93</v>
      </c>
      <c r="Z149" s="68" t="s">
        <v>94</v>
      </c>
      <c r="AA149" s="68" t="s">
        <v>93</v>
      </c>
      <c r="AB149" s="68" t="s">
        <v>93</v>
      </c>
      <c r="AC149" s="68" t="s">
        <v>93</v>
      </c>
      <c r="AD149" s="68" t="s">
        <v>93</v>
      </c>
      <c r="AE149" s="68" t="s">
        <v>93</v>
      </c>
      <c r="AF149" s="68" t="s">
        <v>93</v>
      </c>
      <c r="AG149" s="68" t="s">
        <v>93</v>
      </c>
      <c r="AH149" s="68" t="s">
        <v>93</v>
      </c>
      <c r="AI149" s="68" t="s">
        <v>93</v>
      </c>
      <c r="AJ149" s="68" t="s">
        <v>93</v>
      </c>
      <c r="AK149" s="68" t="s">
        <v>93</v>
      </c>
      <c r="AL149" s="68" t="s">
        <v>93</v>
      </c>
      <c r="AM149" s="68" t="s">
        <v>93</v>
      </c>
      <c r="AN149" s="68" t="s">
        <v>93</v>
      </c>
      <c r="AO149" s="68" t="s">
        <v>93</v>
      </c>
      <c r="AP149" s="68" t="s">
        <v>93</v>
      </c>
      <c r="AQ149" s="68" t="s">
        <v>93</v>
      </c>
      <c r="AR149" s="68" t="s">
        <v>93</v>
      </c>
      <c r="AS149" s="68" t="s">
        <v>93</v>
      </c>
      <c r="AT149" s="68" t="s">
        <v>93</v>
      </c>
      <c r="AU149" s="68" t="s">
        <v>93</v>
      </c>
      <c r="AV149" s="68" t="s">
        <v>93</v>
      </c>
      <c r="AW149" s="68" t="s">
        <v>93</v>
      </c>
      <c r="AX149" s="68" t="s">
        <v>93</v>
      </c>
      <c r="AY149" s="68" t="s">
        <v>93</v>
      </c>
      <c r="AZ149" s="68" t="s">
        <v>93</v>
      </c>
      <c r="BA149" s="68" t="s">
        <v>93</v>
      </c>
      <c r="BB149" s="68" t="s">
        <v>93</v>
      </c>
      <c r="BC149" s="68" t="s">
        <v>93</v>
      </c>
      <c r="BD149" s="68" t="s">
        <v>93</v>
      </c>
      <c r="BE149" s="68" t="s">
        <v>93</v>
      </c>
      <c r="BF149" s="68" t="s">
        <v>93</v>
      </c>
      <c r="BG149" s="68" t="s">
        <v>93</v>
      </c>
      <c r="BH149" s="68" t="s">
        <v>93</v>
      </c>
      <c r="BI149" s="68" t="s">
        <v>93</v>
      </c>
      <c r="BJ149" s="68" t="s">
        <v>93</v>
      </c>
      <c r="BK149" s="68" t="s">
        <v>93</v>
      </c>
      <c r="BL149" s="68" t="s">
        <v>93</v>
      </c>
      <c r="BM149" s="68" t="s">
        <v>93</v>
      </c>
      <c r="BN149" s="68" t="s">
        <v>93</v>
      </c>
      <c r="BO149" s="68" t="s">
        <v>93</v>
      </c>
      <c r="BP149" s="69" t="s">
        <v>93</v>
      </c>
    </row>
    <row r="150" spans="2:68" x14ac:dyDescent="0.25">
      <c r="B150" s="64">
        <v>5</v>
      </c>
      <c r="C150" s="65">
        <v>21</v>
      </c>
      <c r="D150" s="65" t="s">
        <v>98</v>
      </c>
      <c r="E150" s="66">
        <f>'[3]Master File'!B149</f>
        <v>46163</v>
      </c>
      <c r="F150" s="67" t="str">
        <f>'[3]Master File'!C149</f>
        <v>Explorer 5PM</v>
      </c>
      <c r="G150" s="46"/>
      <c r="I150" s="68" t="s">
        <v>93</v>
      </c>
      <c r="J150" s="68" t="s">
        <v>93</v>
      </c>
      <c r="K150" s="68" t="s">
        <v>93</v>
      </c>
      <c r="L150" s="68" t="s">
        <v>94</v>
      </c>
      <c r="M150" s="68" t="s">
        <v>93</v>
      </c>
      <c r="N150" s="68" t="s">
        <v>93</v>
      </c>
      <c r="O150" s="68" t="s">
        <v>93</v>
      </c>
      <c r="P150" s="68" t="s">
        <v>93</v>
      </c>
      <c r="Q150" s="68" t="s">
        <v>93</v>
      </c>
      <c r="R150" s="68" t="s">
        <v>93</v>
      </c>
      <c r="S150" s="68" t="s">
        <v>93</v>
      </c>
      <c r="T150" s="68" t="s">
        <v>93</v>
      </c>
      <c r="U150" s="68" t="s">
        <v>93</v>
      </c>
      <c r="V150" s="68" t="s">
        <v>93</v>
      </c>
      <c r="W150" s="68" t="s">
        <v>93</v>
      </c>
      <c r="X150" s="68" t="s">
        <v>93</v>
      </c>
      <c r="Y150" s="68" t="s">
        <v>93</v>
      </c>
      <c r="Z150" s="68" t="s">
        <v>94</v>
      </c>
      <c r="AA150" s="68" t="s">
        <v>93</v>
      </c>
      <c r="AB150" s="68" t="s">
        <v>93</v>
      </c>
      <c r="AC150" s="68" t="s">
        <v>93</v>
      </c>
      <c r="AD150" s="68" t="s">
        <v>93</v>
      </c>
      <c r="AE150" s="68" t="s">
        <v>93</v>
      </c>
      <c r="AF150" s="68" t="s">
        <v>93</v>
      </c>
      <c r="AG150" s="68" t="s">
        <v>93</v>
      </c>
      <c r="AH150" s="68" t="s">
        <v>93</v>
      </c>
      <c r="AI150" s="68" t="s">
        <v>93</v>
      </c>
      <c r="AJ150" s="68" t="s">
        <v>93</v>
      </c>
      <c r="AK150" s="68" t="s">
        <v>93</v>
      </c>
      <c r="AL150" s="68" t="s">
        <v>93</v>
      </c>
      <c r="AM150" s="68" t="s">
        <v>93</v>
      </c>
      <c r="AN150" s="68" t="s">
        <v>93</v>
      </c>
      <c r="AO150" s="68" t="s">
        <v>93</v>
      </c>
      <c r="AP150" s="68" t="s">
        <v>93</v>
      </c>
      <c r="AQ150" s="68" t="s">
        <v>93</v>
      </c>
      <c r="AR150" s="68" t="s">
        <v>93</v>
      </c>
      <c r="AS150" s="68" t="s">
        <v>93</v>
      </c>
      <c r="AT150" s="68" t="s">
        <v>93</v>
      </c>
      <c r="AU150" s="68" t="s">
        <v>93</v>
      </c>
      <c r="AV150" s="68" t="s">
        <v>93</v>
      </c>
      <c r="AW150" s="68" t="s">
        <v>93</v>
      </c>
      <c r="AX150" s="68" t="s">
        <v>93</v>
      </c>
      <c r="AY150" s="68" t="s">
        <v>93</v>
      </c>
      <c r="AZ150" s="68" t="s">
        <v>93</v>
      </c>
      <c r="BA150" s="68" t="s">
        <v>93</v>
      </c>
      <c r="BB150" s="68" t="s">
        <v>93</v>
      </c>
      <c r="BC150" s="68" t="s">
        <v>93</v>
      </c>
      <c r="BD150" s="68" t="s">
        <v>93</v>
      </c>
      <c r="BE150" s="68" t="s">
        <v>93</v>
      </c>
      <c r="BF150" s="68" t="s">
        <v>93</v>
      </c>
      <c r="BG150" s="68" t="s">
        <v>93</v>
      </c>
      <c r="BH150" s="68" t="s">
        <v>93</v>
      </c>
      <c r="BI150" s="68" t="s">
        <v>93</v>
      </c>
      <c r="BJ150" s="68" t="s">
        <v>93</v>
      </c>
      <c r="BK150" s="68" t="s">
        <v>93</v>
      </c>
      <c r="BL150" s="68" t="s">
        <v>93</v>
      </c>
      <c r="BM150" s="68" t="s">
        <v>93</v>
      </c>
      <c r="BN150" s="68" t="s">
        <v>93</v>
      </c>
      <c r="BO150" s="68" t="s">
        <v>93</v>
      </c>
      <c r="BP150" s="69" t="s">
        <v>93</v>
      </c>
    </row>
    <row r="151" spans="2:68" x14ac:dyDescent="0.25">
      <c r="B151" s="64">
        <v>5</v>
      </c>
      <c r="C151" s="65">
        <v>21</v>
      </c>
      <c r="D151" s="65" t="s">
        <v>99</v>
      </c>
      <c r="E151" s="66">
        <f>'[3]Master File'!B150</f>
        <v>46164</v>
      </c>
      <c r="F151" s="67" t="str">
        <f>'[3]Master File'!C150</f>
        <v>Explorer 6PM</v>
      </c>
      <c r="G151" s="46"/>
      <c r="I151" s="68" t="s">
        <v>93</v>
      </c>
      <c r="J151" s="68" t="s">
        <v>93</v>
      </c>
      <c r="K151" s="68" t="s">
        <v>93</v>
      </c>
      <c r="L151" s="68" t="s">
        <v>94</v>
      </c>
      <c r="M151" s="68" t="s">
        <v>93</v>
      </c>
      <c r="N151" s="68" t="s">
        <v>93</v>
      </c>
      <c r="O151" s="68" t="s">
        <v>93</v>
      </c>
      <c r="P151" s="68" t="s">
        <v>93</v>
      </c>
      <c r="Q151" s="68" t="s">
        <v>93</v>
      </c>
      <c r="R151" s="68" t="s">
        <v>93</v>
      </c>
      <c r="S151" s="68" t="s">
        <v>93</v>
      </c>
      <c r="T151" s="68" t="s">
        <v>93</v>
      </c>
      <c r="U151" s="68" t="s">
        <v>93</v>
      </c>
      <c r="V151" s="68" t="s">
        <v>93</v>
      </c>
      <c r="W151" s="68" t="s">
        <v>93</v>
      </c>
      <c r="X151" s="68" t="s">
        <v>93</v>
      </c>
      <c r="Y151" s="68" t="s">
        <v>93</v>
      </c>
      <c r="Z151" s="68" t="s">
        <v>94</v>
      </c>
      <c r="AA151" s="68" t="s">
        <v>93</v>
      </c>
      <c r="AB151" s="68" t="s">
        <v>93</v>
      </c>
      <c r="AC151" s="68" t="s">
        <v>93</v>
      </c>
      <c r="AD151" s="68" t="s">
        <v>93</v>
      </c>
      <c r="AE151" s="68" t="s">
        <v>93</v>
      </c>
      <c r="AF151" s="68" t="s">
        <v>93</v>
      </c>
      <c r="AG151" s="68" t="s">
        <v>93</v>
      </c>
      <c r="AH151" s="68" t="s">
        <v>93</v>
      </c>
      <c r="AI151" s="68" t="s">
        <v>93</v>
      </c>
      <c r="AJ151" s="68" t="s">
        <v>93</v>
      </c>
      <c r="AK151" s="68" t="s">
        <v>93</v>
      </c>
      <c r="AL151" s="68" t="s">
        <v>93</v>
      </c>
      <c r="AM151" s="68" t="s">
        <v>93</v>
      </c>
      <c r="AN151" s="68" t="s">
        <v>93</v>
      </c>
      <c r="AO151" s="68" t="s">
        <v>93</v>
      </c>
      <c r="AP151" s="68" t="s">
        <v>93</v>
      </c>
      <c r="AQ151" s="68" t="s">
        <v>93</v>
      </c>
      <c r="AR151" s="68" t="s">
        <v>93</v>
      </c>
      <c r="AS151" s="68" t="s">
        <v>93</v>
      </c>
      <c r="AT151" s="68" t="s">
        <v>93</v>
      </c>
      <c r="AU151" s="68" t="s">
        <v>93</v>
      </c>
      <c r="AV151" s="68" t="s">
        <v>93</v>
      </c>
      <c r="AW151" s="68" t="s">
        <v>93</v>
      </c>
      <c r="AX151" s="68" t="s">
        <v>93</v>
      </c>
      <c r="AY151" s="68" t="s">
        <v>93</v>
      </c>
      <c r="AZ151" s="68" t="s">
        <v>93</v>
      </c>
      <c r="BA151" s="68" t="s">
        <v>93</v>
      </c>
      <c r="BB151" s="68" t="s">
        <v>93</v>
      </c>
      <c r="BC151" s="68" t="s">
        <v>93</v>
      </c>
      <c r="BD151" s="68" t="s">
        <v>93</v>
      </c>
      <c r="BE151" s="68" t="s">
        <v>93</v>
      </c>
      <c r="BF151" s="68" t="s">
        <v>93</v>
      </c>
      <c r="BG151" s="68" t="s">
        <v>93</v>
      </c>
      <c r="BH151" s="68" t="s">
        <v>93</v>
      </c>
      <c r="BI151" s="68" t="s">
        <v>93</v>
      </c>
      <c r="BJ151" s="68" t="s">
        <v>93</v>
      </c>
      <c r="BK151" s="68" t="s">
        <v>93</v>
      </c>
      <c r="BL151" s="68" t="s">
        <v>93</v>
      </c>
      <c r="BM151" s="68" t="s">
        <v>93</v>
      </c>
      <c r="BN151" s="68" t="s">
        <v>93</v>
      </c>
      <c r="BO151" s="68" t="s">
        <v>93</v>
      </c>
      <c r="BP151" s="69" t="s">
        <v>93</v>
      </c>
    </row>
    <row r="152" spans="2:68" x14ac:dyDescent="0.25">
      <c r="B152" s="64">
        <v>5</v>
      </c>
      <c r="C152" s="65">
        <v>21</v>
      </c>
      <c r="D152" s="65" t="s">
        <v>100</v>
      </c>
      <c r="E152" s="66">
        <f>'[3]Master File'!B151</f>
        <v>46165</v>
      </c>
      <c r="F152" s="67" t="str">
        <f>'[3]Master File'!C151</f>
        <v>Explorer 6PM</v>
      </c>
      <c r="G152" s="46"/>
      <c r="I152" s="70" t="s">
        <v>93</v>
      </c>
      <c r="J152" s="70" t="s">
        <v>93</v>
      </c>
      <c r="K152" s="70" t="s">
        <v>93</v>
      </c>
      <c r="L152" s="68" t="s">
        <v>94</v>
      </c>
      <c r="M152" s="70" t="s">
        <v>93</v>
      </c>
      <c r="N152" s="70" t="s">
        <v>93</v>
      </c>
      <c r="O152" s="70" t="s">
        <v>93</v>
      </c>
      <c r="P152" s="70" t="s">
        <v>93</v>
      </c>
      <c r="Q152" s="70" t="s">
        <v>93</v>
      </c>
      <c r="R152" s="70" t="s">
        <v>93</v>
      </c>
      <c r="S152" s="70" t="s">
        <v>93</v>
      </c>
      <c r="T152" s="70" t="s">
        <v>93</v>
      </c>
      <c r="U152" s="70" t="s">
        <v>93</v>
      </c>
      <c r="V152" s="70" t="s">
        <v>93</v>
      </c>
      <c r="W152" s="70" t="s">
        <v>93</v>
      </c>
      <c r="X152" s="70" t="s">
        <v>93</v>
      </c>
      <c r="Y152" s="70" t="s">
        <v>93</v>
      </c>
      <c r="Z152" s="68" t="s">
        <v>94</v>
      </c>
      <c r="AA152" s="70" t="s">
        <v>93</v>
      </c>
      <c r="AB152" s="70" t="s">
        <v>93</v>
      </c>
      <c r="AC152" s="70" t="s">
        <v>93</v>
      </c>
      <c r="AD152" s="70" t="s">
        <v>94</v>
      </c>
      <c r="AE152" s="70" t="s">
        <v>94</v>
      </c>
      <c r="AF152" s="70" t="s">
        <v>93</v>
      </c>
      <c r="AG152" s="70" t="s">
        <v>93</v>
      </c>
      <c r="AH152" s="70" t="s">
        <v>93</v>
      </c>
      <c r="AI152" s="70" t="s">
        <v>93</v>
      </c>
      <c r="AJ152" s="70" t="s">
        <v>93</v>
      </c>
      <c r="AK152" s="70" t="s">
        <v>93</v>
      </c>
      <c r="AL152" s="70" t="s">
        <v>93</v>
      </c>
      <c r="AM152" s="70" t="s">
        <v>93</v>
      </c>
      <c r="AN152" s="70" t="s">
        <v>93</v>
      </c>
      <c r="AO152" s="70" t="s">
        <v>93</v>
      </c>
      <c r="AP152" s="70" t="s">
        <v>93</v>
      </c>
      <c r="AQ152" s="70" t="s">
        <v>93</v>
      </c>
      <c r="AR152" s="70" t="s">
        <v>93</v>
      </c>
      <c r="AS152" s="70" t="s">
        <v>93</v>
      </c>
      <c r="AT152" s="70" t="s">
        <v>93</v>
      </c>
      <c r="AU152" s="70" t="s">
        <v>93</v>
      </c>
      <c r="AV152" s="70" t="s">
        <v>93</v>
      </c>
      <c r="AW152" s="70" t="s">
        <v>93</v>
      </c>
      <c r="AX152" s="70" t="s">
        <v>93</v>
      </c>
      <c r="AY152" s="70" t="s">
        <v>93</v>
      </c>
      <c r="AZ152" s="70" t="s">
        <v>93</v>
      </c>
      <c r="BA152" s="70" t="s">
        <v>93</v>
      </c>
      <c r="BB152" s="70" t="s">
        <v>93</v>
      </c>
      <c r="BC152" s="70" t="s">
        <v>93</v>
      </c>
      <c r="BD152" s="70" t="s">
        <v>93</v>
      </c>
      <c r="BE152" s="70" t="s">
        <v>93</v>
      </c>
      <c r="BF152" s="70" t="s">
        <v>93</v>
      </c>
      <c r="BG152" s="70" t="s">
        <v>93</v>
      </c>
      <c r="BH152" s="70" t="s">
        <v>93</v>
      </c>
      <c r="BI152" s="70" t="s">
        <v>93</v>
      </c>
      <c r="BJ152" s="70" t="s">
        <v>93</v>
      </c>
      <c r="BK152" s="70" t="s">
        <v>93</v>
      </c>
      <c r="BL152" s="70" t="s">
        <v>93</v>
      </c>
      <c r="BM152" s="70" t="s">
        <v>93</v>
      </c>
      <c r="BN152" s="70" t="s">
        <v>93</v>
      </c>
      <c r="BO152" s="70" t="s">
        <v>93</v>
      </c>
      <c r="BP152" s="71" t="s">
        <v>93</v>
      </c>
    </row>
    <row r="153" spans="2:68" x14ac:dyDescent="0.25">
      <c r="B153" s="64">
        <v>5</v>
      </c>
      <c r="C153" s="65">
        <v>22</v>
      </c>
      <c r="D153" s="65" t="s">
        <v>92</v>
      </c>
      <c r="E153" s="66">
        <f>'[3]Master File'!B152</f>
        <v>46166</v>
      </c>
      <c r="F153" s="67" t="str">
        <f>'[3]Master File'!C152</f>
        <v>Explorer 6PM</v>
      </c>
      <c r="G153" s="46"/>
      <c r="I153" s="70" t="s">
        <v>93</v>
      </c>
      <c r="J153" s="70" t="s">
        <v>93</v>
      </c>
      <c r="K153" s="70" t="s">
        <v>93</v>
      </c>
      <c r="L153" s="68" t="s">
        <v>94</v>
      </c>
      <c r="M153" s="70" t="s">
        <v>93</v>
      </c>
      <c r="N153" s="70" t="s">
        <v>93</v>
      </c>
      <c r="O153" s="70" t="s">
        <v>93</v>
      </c>
      <c r="P153" s="70" t="s">
        <v>93</v>
      </c>
      <c r="Q153" s="70" t="s">
        <v>93</v>
      </c>
      <c r="R153" s="70" t="s">
        <v>93</v>
      </c>
      <c r="S153" s="70" t="s">
        <v>93</v>
      </c>
      <c r="T153" s="70" t="s">
        <v>93</v>
      </c>
      <c r="U153" s="70" t="s">
        <v>93</v>
      </c>
      <c r="V153" s="70" t="s">
        <v>93</v>
      </c>
      <c r="W153" s="70" t="s">
        <v>93</v>
      </c>
      <c r="X153" s="70" t="s">
        <v>93</v>
      </c>
      <c r="Y153" s="70" t="s">
        <v>93</v>
      </c>
      <c r="Z153" s="68" t="s">
        <v>94</v>
      </c>
      <c r="AA153" s="70" t="s">
        <v>93</v>
      </c>
      <c r="AB153" s="70" t="s">
        <v>93</v>
      </c>
      <c r="AC153" s="70" t="s">
        <v>93</v>
      </c>
      <c r="AD153" s="70" t="s">
        <v>94</v>
      </c>
      <c r="AE153" s="70" t="s">
        <v>94</v>
      </c>
      <c r="AF153" s="70" t="s">
        <v>93</v>
      </c>
      <c r="AG153" s="70" t="s">
        <v>93</v>
      </c>
      <c r="AH153" s="70" t="s">
        <v>93</v>
      </c>
      <c r="AI153" s="70" t="s">
        <v>93</v>
      </c>
      <c r="AJ153" s="70" t="s">
        <v>93</v>
      </c>
      <c r="AK153" s="70" t="s">
        <v>93</v>
      </c>
      <c r="AL153" s="70" t="s">
        <v>93</v>
      </c>
      <c r="AM153" s="70" t="s">
        <v>93</v>
      </c>
      <c r="AN153" s="70" t="s">
        <v>93</v>
      </c>
      <c r="AO153" s="70" t="s">
        <v>93</v>
      </c>
      <c r="AP153" s="70" t="s">
        <v>93</v>
      </c>
      <c r="AQ153" s="70" t="s">
        <v>93</v>
      </c>
      <c r="AR153" s="70" t="s">
        <v>93</v>
      </c>
      <c r="AS153" s="70" t="s">
        <v>93</v>
      </c>
      <c r="AT153" s="70" t="s">
        <v>93</v>
      </c>
      <c r="AU153" s="70" t="s">
        <v>93</v>
      </c>
      <c r="AV153" s="70" t="s">
        <v>93</v>
      </c>
      <c r="AW153" s="70" t="s">
        <v>93</v>
      </c>
      <c r="AX153" s="70" t="s">
        <v>93</v>
      </c>
      <c r="AY153" s="70" t="s">
        <v>93</v>
      </c>
      <c r="AZ153" s="70" t="s">
        <v>93</v>
      </c>
      <c r="BA153" s="70" t="s">
        <v>93</v>
      </c>
      <c r="BB153" s="70" t="s">
        <v>93</v>
      </c>
      <c r="BC153" s="70" t="s">
        <v>93</v>
      </c>
      <c r="BD153" s="70" t="s">
        <v>93</v>
      </c>
      <c r="BE153" s="70" t="s">
        <v>93</v>
      </c>
      <c r="BF153" s="70" t="s">
        <v>93</v>
      </c>
      <c r="BG153" s="70" t="s">
        <v>93</v>
      </c>
      <c r="BH153" s="70" t="s">
        <v>93</v>
      </c>
      <c r="BI153" s="70" t="s">
        <v>93</v>
      </c>
      <c r="BJ153" s="70" t="s">
        <v>93</v>
      </c>
      <c r="BK153" s="70" t="s">
        <v>93</v>
      </c>
      <c r="BL153" s="70" t="s">
        <v>93</v>
      </c>
      <c r="BM153" s="70" t="s">
        <v>93</v>
      </c>
      <c r="BN153" s="70" t="s">
        <v>93</v>
      </c>
      <c r="BO153" s="70" t="s">
        <v>93</v>
      </c>
      <c r="BP153" s="71" t="s">
        <v>93</v>
      </c>
    </row>
    <row r="154" spans="2:68" x14ac:dyDescent="0.25">
      <c r="B154" s="64">
        <v>5</v>
      </c>
      <c r="C154" s="65">
        <v>22</v>
      </c>
      <c r="D154" s="65" t="s">
        <v>95</v>
      </c>
      <c r="E154" s="66">
        <f>'[3]Master File'!B153</f>
        <v>46167</v>
      </c>
      <c r="F154" s="67" t="str">
        <f>'[3]Master File'!C153</f>
        <v>Explorer 6PM</v>
      </c>
      <c r="G154" s="46"/>
      <c r="I154" s="68" t="s">
        <v>93</v>
      </c>
      <c r="J154" s="68" t="s">
        <v>93</v>
      </c>
      <c r="K154" s="68" t="s">
        <v>93</v>
      </c>
      <c r="L154" s="68" t="s">
        <v>94</v>
      </c>
      <c r="M154" s="68" t="s">
        <v>93</v>
      </c>
      <c r="N154" s="68" t="s">
        <v>93</v>
      </c>
      <c r="O154" s="68" t="s">
        <v>93</v>
      </c>
      <c r="P154" s="68" t="s">
        <v>93</v>
      </c>
      <c r="Q154" s="68" t="s">
        <v>93</v>
      </c>
      <c r="R154" s="68" t="s">
        <v>93</v>
      </c>
      <c r="S154" s="68" t="s">
        <v>93</v>
      </c>
      <c r="T154" s="68" t="s">
        <v>93</v>
      </c>
      <c r="U154" s="68" t="s">
        <v>93</v>
      </c>
      <c r="V154" s="68" t="s">
        <v>93</v>
      </c>
      <c r="W154" s="68" t="s">
        <v>93</v>
      </c>
      <c r="X154" s="68" t="s">
        <v>93</v>
      </c>
      <c r="Y154" s="68" t="s">
        <v>93</v>
      </c>
      <c r="Z154" s="68" t="s">
        <v>94</v>
      </c>
      <c r="AA154" s="68" t="s">
        <v>93</v>
      </c>
      <c r="AB154" s="68" t="s">
        <v>93</v>
      </c>
      <c r="AC154" s="68" t="s">
        <v>93</v>
      </c>
      <c r="AD154" s="68" t="s">
        <v>93</v>
      </c>
      <c r="AE154" s="68" t="s">
        <v>93</v>
      </c>
      <c r="AF154" s="68" t="s">
        <v>93</v>
      </c>
      <c r="AG154" s="68" t="s">
        <v>93</v>
      </c>
      <c r="AH154" s="68" t="s">
        <v>93</v>
      </c>
      <c r="AI154" s="68" t="s">
        <v>93</v>
      </c>
      <c r="AJ154" s="68" t="s">
        <v>93</v>
      </c>
      <c r="AK154" s="68" t="s">
        <v>93</v>
      </c>
      <c r="AL154" s="68" t="s">
        <v>93</v>
      </c>
      <c r="AM154" s="68" t="s">
        <v>93</v>
      </c>
      <c r="AN154" s="68" t="s">
        <v>93</v>
      </c>
      <c r="AO154" s="68" t="s">
        <v>93</v>
      </c>
      <c r="AP154" s="68" t="s">
        <v>93</v>
      </c>
      <c r="AQ154" s="68" t="s">
        <v>93</v>
      </c>
      <c r="AR154" s="68" t="s">
        <v>93</v>
      </c>
      <c r="AS154" s="68" t="s">
        <v>93</v>
      </c>
      <c r="AT154" s="68" t="s">
        <v>93</v>
      </c>
      <c r="AU154" s="68" t="s">
        <v>93</v>
      </c>
      <c r="AV154" s="68" t="s">
        <v>93</v>
      </c>
      <c r="AW154" s="68" t="s">
        <v>93</v>
      </c>
      <c r="AX154" s="68" t="s">
        <v>93</v>
      </c>
      <c r="AY154" s="68" t="s">
        <v>93</v>
      </c>
      <c r="AZ154" s="68" t="s">
        <v>93</v>
      </c>
      <c r="BA154" s="68" t="s">
        <v>93</v>
      </c>
      <c r="BB154" s="68" t="s">
        <v>93</v>
      </c>
      <c r="BC154" s="68" t="s">
        <v>93</v>
      </c>
      <c r="BD154" s="68" t="s">
        <v>93</v>
      </c>
      <c r="BE154" s="68" t="s">
        <v>93</v>
      </c>
      <c r="BF154" s="68" t="s">
        <v>93</v>
      </c>
      <c r="BG154" s="68" t="s">
        <v>93</v>
      </c>
      <c r="BH154" s="68" t="s">
        <v>93</v>
      </c>
      <c r="BI154" s="68" t="s">
        <v>93</v>
      </c>
      <c r="BJ154" s="68" t="s">
        <v>93</v>
      </c>
      <c r="BK154" s="68" t="s">
        <v>93</v>
      </c>
      <c r="BL154" s="68" t="s">
        <v>93</v>
      </c>
      <c r="BM154" s="68" t="s">
        <v>93</v>
      </c>
      <c r="BN154" s="68" t="s">
        <v>93</v>
      </c>
      <c r="BO154" s="68" t="s">
        <v>93</v>
      </c>
      <c r="BP154" s="69" t="s">
        <v>93</v>
      </c>
    </row>
    <row r="155" spans="2:68" x14ac:dyDescent="0.25">
      <c r="B155" s="64">
        <v>5</v>
      </c>
      <c r="C155" s="65">
        <v>22</v>
      </c>
      <c r="D155" s="65" t="s">
        <v>96</v>
      </c>
      <c r="E155" s="66">
        <f>'[3]Master File'!B154</f>
        <v>46168</v>
      </c>
      <c r="F155" s="67" t="str">
        <f>'[3]Master File'!C154</f>
        <v>Explorer 6PM</v>
      </c>
      <c r="G155" s="46"/>
      <c r="I155" s="68" t="s">
        <v>93</v>
      </c>
      <c r="J155" s="68" t="s">
        <v>93</v>
      </c>
      <c r="K155" s="68" t="s">
        <v>93</v>
      </c>
      <c r="L155" s="68" t="s">
        <v>94</v>
      </c>
      <c r="M155" s="68" t="s">
        <v>93</v>
      </c>
      <c r="N155" s="68" t="s">
        <v>93</v>
      </c>
      <c r="O155" s="68" t="s">
        <v>93</v>
      </c>
      <c r="P155" s="68" t="s">
        <v>93</v>
      </c>
      <c r="Q155" s="68" t="s">
        <v>93</v>
      </c>
      <c r="R155" s="68" t="s">
        <v>93</v>
      </c>
      <c r="S155" s="68" t="s">
        <v>93</v>
      </c>
      <c r="T155" s="68" t="s">
        <v>93</v>
      </c>
      <c r="U155" s="68" t="s">
        <v>93</v>
      </c>
      <c r="V155" s="68" t="s">
        <v>93</v>
      </c>
      <c r="W155" s="68" t="s">
        <v>93</v>
      </c>
      <c r="X155" s="68" t="s">
        <v>93</v>
      </c>
      <c r="Y155" s="68" t="s">
        <v>93</v>
      </c>
      <c r="Z155" s="68" t="s">
        <v>94</v>
      </c>
      <c r="AA155" s="68" t="s">
        <v>93</v>
      </c>
      <c r="AB155" s="68" t="s">
        <v>93</v>
      </c>
      <c r="AC155" s="68" t="s">
        <v>93</v>
      </c>
      <c r="AD155" s="68" t="s">
        <v>93</v>
      </c>
      <c r="AE155" s="68" t="s">
        <v>93</v>
      </c>
      <c r="AF155" s="68" t="s">
        <v>93</v>
      </c>
      <c r="AG155" s="68" t="s">
        <v>93</v>
      </c>
      <c r="AH155" s="68" t="s">
        <v>93</v>
      </c>
      <c r="AI155" s="68" t="s">
        <v>93</v>
      </c>
      <c r="AJ155" s="68" t="s">
        <v>93</v>
      </c>
      <c r="AK155" s="68" t="s">
        <v>93</v>
      </c>
      <c r="AL155" s="68" t="s">
        <v>93</v>
      </c>
      <c r="AM155" s="68" t="s">
        <v>93</v>
      </c>
      <c r="AN155" s="68" t="s">
        <v>93</v>
      </c>
      <c r="AO155" s="68" t="s">
        <v>93</v>
      </c>
      <c r="AP155" s="68" t="s">
        <v>93</v>
      </c>
      <c r="AQ155" s="68" t="s">
        <v>93</v>
      </c>
      <c r="AR155" s="68" t="s">
        <v>93</v>
      </c>
      <c r="AS155" s="68" t="s">
        <v>93</v>
      </c>
      <c r="AT155" s="68" t="s">
        <v>93</v>
      </c>
      <c r="AU155" s="68" t="s">
        <v>93</v>
      </c>
      <c r="AV155" s="68" t="s">
        <v>93</v>
      </c>
      <c r="AW155" s="68" t="s">
        <v>93</v>
      </c>
      <c r="AX155" s="68" t="s">
        <v>93</v>
      </c>
      <c r="AY155" s="68" t="s">
        <v>93</v>
      </c>
      <c r="AZ155" s="68" t="s">
        <v>93</v>
      </c>
      <c r="BA155" s="68" t="s">
        <v>93</v>
      </c>
      <c r="BB155" s="68" t="s">
        <v>93</v>
      </c>
      <c r="BC155" s="68" t="s">
        <v>93</v>
      </c>
      <c r="BD155" s="68" t="s">
        <v>93</v>
      </c>
      <c r="BE155" s="68" t="s">
        <v>93</v>
      </c>
      <c r="BF155" s="68" t="s">
        <v>93</v>
      </c>
      <c r="BG155" s="68" t="s">
        <v>93</v>
      </c>
      <c r="BH155" s="68" t="s">
        <v>93</v>
      </c>
      <c r="BI155" s="68" t="s">
        <v>93</v>
      </c>
      <c r="BJ155" s="68" t="s">
        <v>93</v>
      </c>
      <c r="BK155" s="68" t="s">
        <v>93</v>
      </c>
      <c r="BL155" s="68" t="s">
        <v>93</v>
      </c>
      <c r="BM155" s="68" t="s">
        <v>93</v>
      </c>
      <c r="BN155" s="68" t="s">
        <v>93</v>
      </c>
      <c r="BO155" s="68" t="s">
        <v>93</v>
      </c>
      <c r="BP155" s="69" t="s">
        <v>93</v>
      </c>
    </row>
    <row r="156" spans="2:68" x14ac:dyDescent="0.25">
      <c r="B156" s="64">
        <v>5</v>
      </c>
      <c r="C156" s="65">
        <v>22</v>
      </c>
      <c r="D156" s="65" t="s">
        <v>97</v>
      </c>
      <c r="E156" s="66">
        <f>'[3]Master File'!B155</f>
        <v>46169</v>
      </c>
      <c r="F156" s="67" t="str">
        <f>'[3]Master File'!C155</f>
        <v>Explorer 6PM</v>
      </c>
      <c r="G156" s="46"/>
      <c r="I156" s="68" t="s">
        <v>93</v>
      </c>
      <c r="J156" s="68" t="s">
        <v>93</v>
      </c>
      <c r="K156" s="68" t="s">
        <v>93</v>
      </c>
      <c r="L156" s="68" t="s">
        <v>94</v>
      </c>
      <c r="M156" s="68" t="s">
        <v>93</v>
      </c>
      <c r="N156" s="68" t="s">
        <v>93</v>
      </c>
      <c r="O156" s="68" t="s">
        <v>93</v>
      </c>
      <c r="P156" s="68" t="s">
        <v>93</v>
      </c>
      <c r="Q156" s="68" t="s">
        <v>93</v>
      </c>
      <c r="R156" s="68" t="s">
        <v>93</v>
      </c>
      <c r="S156" s="68" t="s">
        <v>93</v>
      </c>
      <c r="T156" s="68" t="s">
        <v>93</v>
      </c>
      <c r="U156" s="68" t="s">
        <v>93</v>
      </c>
      <c r="V156" s="68" t="s">
        <v>93</v>
      </c>
      <c r="W156" s="68" t="s">
        <v>93</v>
      </c>
      <c r="X156" s="68" t="s">
        <v>93</v>
      </c>
      <c r="Y156" s="68" t="s">
        <v>93</v>
      </c>
      <c r="Z156" s="68" t="s">
        <v>94</v>
      </c>
      <c r="AA156" s="68" t="s">
        <v>93</v>
      </c>
      <c r="AB156" s="68" t="s">
        <v>93</v>
      </c>
      <c r="AC156" s="68" t="s">
        <v>93</v>
      </c>
      <c r="AD156" s="68" t="s">
        <v>93</v>
      </c>
      <c r="AE156" s="68" t="s">
        <v>93</v>
      </c>
      <c r="AF156" s="68" t="s">
        <v>93</v>
      </c>
      <c r="AG156" s="68" t="s">
        <v>93</v>
      </c>
      <c r="AH156" s="68" t="s">
        <v>93</v>
      </c>
      <c r="AI156" s="68" t="s">
        <v>93</v>
      </c>
      <c r="AJ156" s="68" t="s">
        <v>93</v>
      </c>
      <c r="AK156" s="68" t="s">
        <v>93</v>
      </c>
      <c r="AL156" s="68" t="s">
        <v>93</v>
      </c>
      <c r="AM156" s="68" t="s">
        <v>93</v>
      </c>
      <c r="AN156" s="68" t="s">
        <v>93</v>
      </c>
      <c r="AO156" s="68" t="s">
        <v>93</v>
      </c>
      <c r="AP156" s="68" t="s">
        <v>93</v>
      </c>
      <c r="AQ156" s="68" t="s">
        <v>93</v>
      </c>
      <c r="AR156" s="68" t="s">
        <v>93</v>
      </c>
      <c r="AS156" s="68" t="s">
        <v>93</v>
      </c>
      <c r="AT156" s="68" t="s">
        <v>93</v>
      </c>
      <c r="AU156" s="68" t="s">
        <v>93</v>
      </c>
      <c r="AV156" s="68" t="s">
        <v>93</v>
      </c>
      <c r="AW156" s="68" t="s">
        <v>93</v>
      </c>
      <c r="AX156" s="68" t="s">
        <v>93</v>
      </c>
      <c r="AY156" s="68" t="s">
        <v>93</v>
      </c>
      <c r="AZ156" s="68" t="s">
        <v>93</v>
      </c>
      <c r="BA156" s="68" t="s">
        <v>93</v>
      </c>
      <c r="BB156" s="68" t="s">
        <v>93</v>
      </c>
      <c r="BC156" s="68" t="s">
        <v>93</v>
      </c>
      <c r="BD156" s="68" t="s">
        <v>93</v>
      </c>
      <c r="BE156" s="68" t="s">
        <v>93</v>
      </c>
      <c r="BF156" s="68" t="s">
        <v>93</v>
      </c>
      <c r="BG156" s="68" t="s">
        <v>93</v>
      </c>
      <c r="BH156" s="68" t="s">
        <v>93</v>
      </c>
      <c r="BI156" s="68" t="s">
        <v>93</v>
      </c>
      <c r="BJ156" s="68" t="s">
        <v>93</v>
      </c>
      <c r="BK156" s="68" t="s">
        <v>93</v>
      </c>
      <c r="BL156" s="68" t="s">
        <v>93</v>
      </c>
      <c r="BM156" s="68" t="s">
        <v>93</v>
      </c>
      <c r="BN156" s="68" t="s">
        <v>93</v>
      </c>
      <c r="BO156" s="68" t="s">
        <v>93</v>
      </c>
      <c r="BP156" s="69" t="s">
        <v>93</v>
      </c>
    </row>
    <row r="157" spans="2:68" x14ac:dyDescent="0.25">
      <c r="B157" s="64">
        <v>5</v>
      </c>
      <c r="C157" s="65">
        <v>22</v>
      </c>
      <c r="D157" s="65" t="s">
        <v>98</v>
      </c>
      <c r="E157" s="66">
        <f>'[3]Master File'!B156</f>
        <v>46170</v>
      </c>
      <c r="F157" s="67" t="str">
        <f>'[3]Master File'!C156</f>
        <v>Explorer 6PM</v>
      </c>
      <c r="G157" s="46"/>
      <c r="I157" s="68" t="s">
        <v>93</v>
      </c>
      <c r="J157" s="68" t="s">
        <v>93</v>
      </c>
      <c r="K157" s="68" t="s">
        <v>93</v>
      </c>
      <c r="L157" s="68" t="s">
        <v>94</v>
      </c>
      <c r="M157" s="68" t="s">
        <v>93</v>
      </c>
      <c r="N157" s="68" t="s">
        <v>93</v>
      </c>
      <c r="O157" s="68" t="s">
        <v>93</v>
      </c>
      <c r="P157" s="68" t="s">
        <v>93</v>
      </c>
      <c r="Q157" s="68" t="s">
        <v>93</v>
      </c>
      <c r="R157" s="68" t="s">
        <v>93</v>
      </c>
      <c r="S157" s="68" t="s">
        <v>93</v>
      </c>
      <c r="T157" s="68" t="s">
        <v>93</v>
      </c>
      <c r="U157" s="68" t="s">
        <v>93</v>
      </c>
      <c r="V157" s="68" t="s">
        <v>93</v>
      </c>
      <c r="W157" s="68" t="s">
        <v>93</v>
      </c>
      <c r="X157" s="68" t="s">
        <v>93</v>
      </c>
      <c r="Y157" s="68" t="s">
        <v>93</v>
      </c>
      <c r="Z157" s="68" t="s">
        <v>94</v>
      </c>
      <c r="AA157" s="68" t="s">
        <v>93</v>
      </c>
      <c r="AB157" s="68" t="s">
        <v>93</v>
      </c>
      <c r="AC157" s="68" t="s">
        <v>93</v>
      </c>
      <c r="AD157" s="68" t="s">
        <v>93</v>
      </c>
      <c r="AE157" s="68" t="s">
        <v>93</v>
      </c>
      <c r="AF157" s="68" t="s">
        <v>93</v>
      </c>
      <c r="AG157" s="68" t="s">
        <v>93</v>
      </c>
      <c r="AH157" s="68" t="s">
        <v>93</v>
      </c>
      <c r="AI157" s="68" t="s">
        <v>93</v>
      </c>
      <c r="AJ157" s="68" t="s">
        <v>93</v>
      </c>
      <c r="AK157" s="68" t="s">
        <v>93</v>
      </c>
      <c r="AL157" s="68" t="s">
        <v>93</v>
      </c>
      <c r="AM157" s="68" t="s">
        <v>93</v>
      </c>
      <c r="AN157" s="68" t="s">
        <v>93</v>
      </c>
      <c r="AO157" s="68" t="s">
        <v>93</v>
      </c>
      <c r="AP157" s="68" t="s">
        <v>93</v>
      </c>
      <c r="AQ157" s="68" t="s">
        <v>93</v>
      </c>
      <c r="AR157" s="68" t="s">
        <v>93</v>
      </c>
      <c r="AS157" s="68" t="s">
        <v>93</v>
      </c>
      <c r="AT157" s="68" t="s">
        <v>93</v>
      </c>
      <c r="AU157" s="68" t="s">
        <v>93</v>
      </c>
      <c r="AV157" s="68" t="s">
        <v>93</v>
      </c>
      <c r="AW157" s="68" t="s">
        <v>93</v>
      </c>
      <c r="AX157" s="68" t="s">
        <v>93</v>
      </c>
      <c r="AY157" s="68" t="s">
        <v>93</v>
      </c>
      <c r="AZ157" s="68" t="s">
        <v>93</v>
      </c>
      <c r="BA157" s="68" t="s">
        <v>93</v>
      </c>
      <c r="BB157" s="68" t="s">
        <v>93</v>
      </c>
      <c r="BC157" s="68" t="s">
        <v>93</v>
      </c>
      <c r="BD157" s="68" t="s">
        <v>93</v>
      </c>
      <c r="BE157" s="68" t="s">
        <v>93</v>
      </c>
      <c r="BF157" s="68" t="s">
        <v>93</v>
      </c>
      <c r="BG157" s="68" t="s">
        <v>93</v>
      </c>
      <c r="BH157" s="68" t="s">
        <v>93</v>
      </c>
      <c r="BI157" s="68" t="s">
        <v>93</v>
      </c>
      <c r="BJ157" s="68" t="s">
        <v>93</v>
      </c>
      <c r="BK157" s="68" t="s">
        <v>93</v>
      </c>
      <c r="BL157" s="68" t="s">
        <v>93</v>
      </c>
      <c r="BM157" s="68" t="s">
        <v>93</v>
      </c>
      <c r="BN157" s="68" t="s">
        <v>93</v>
      </c>
      <c r="BO157" s="68" t="s">
        <v>93</v>
      </c>
      <c r="BP157" s="69" t="s">
        <v>93</v>
      </c>
    </row>
    <row r="158" spans="2:68" x14ac:dyDescent="0.25">
      <c r="B158" s="64">
        <v>5</v>
      </c>
      <c r="C158" s="65">
        <v>22</v>
      </c>
      <c r="D158" s="65" t="s">
        <v>99</v>
      </c>
      <c r="E158" s="66">
        <f>'[3]Master File'!B157</f>
        <v>46171</v>
      </c>
      <c r="F158" s="67" t="str">
        <f>'[3]Master File'!C157</f>
        <v>Explorer + 6PM</v>
      </c>
      <c r="G158" s="46"/>
      <c r="I158" s="68" t="s">
        <v>93</v>
      </c>
      <c r="J158" s="68" t="s">
        <v>93</v>
      </c>
      <c r="K158" s="68" t="s">
        <v>93</v>
      </c>
      <c r="L158" s="68" t="s">
        <v>94</v>
      </c>
      <c r="M158" s="68" t="s">
        <v>93</v>
      </c>
      <c r="N158" s="68" t="s">
        <v>93</v>
      </c>
      <c r="O158" s="68" t="s">
        <v>93</v>
      </c>
      <c r="P158" s="68" t="s">
        <v>93</v>
      </c>
      <c r="Q158" s="68" t="s">
        <v>93</v>
      </c>
      <c r="R158" s="68" t="s">
        <v>93</v>
      </c>
      <c r="S158" s="68" t="s">
        <v>93</v>
      </c>
      <c r="T158" s="68" t="s">
        <v>93</v>
      </c>
      <c r="U158" s="68" t="s">
        <v>93</v>
      </c>
      <c r="V158" s="68" t="s">
        <v>93</v>
      </c>
      <c r="W158" s="68" t="s">
        <v>93</v>
      </c>
      <c r="X158" s="68" t="s">
        <v>93</v>
      </c>
      <c r="Y158" s="68" t="s">
        <v>93</v>
      </c>
      <c r="Z158" s="68" t="s">
        <v>94</v>
      </c>
      <c r="AA158" s="68" t="s">
        <v>93</v>
      </c>
      <c r="AB158" s="68" t="s">
        <v>93</v>
      </c>
      <c r="AC158" s="68" t="s">
        <v>93</v>
      </c>
      <c r="AD158" s="68" t="s">
        <v>93</v>
      </c>
      <c r="AE158" s="68" t="s">
        <v>93</v>
      </c>
      <c r="AF158" s="68" t="s">
        <v>93</v>
      </c>
      <c r="AG158" s="68" t="s">
        <v>93</v>
      </c>
      <c r="AH158" s="68" t="s">
        <v>93</v>
      </c>
      <c r="AI158" s="68" t="s">
        <v>93</v>
      </c>
      <c r="AJ158" s="68" t="s">
        <v>93</v>
      </c>
      <c r="AK158" s="68" t="s">
        <v>93</v>
      </c>
      <c r="AL158" s="68" t="s">
        <v>93</v>
      </c>
      <c r="AM158" s="68" t="s">
        <v>93</v>
      </c>
      <c r="AN158" s="68" t="s">
        <v>93</v>
      </c>
      <c r="AO158" s="68" t="s">
        <v>93</v>
      </c>
      <c r="AP158" s="68" t="s">
        <v>93</v>
      </c>
      <c r="AQ158" s="68" t="s">
        <v>93</v>
      </c>
      <c r="AR158" s="68" t="s">
        <v>93</v>
      </c>
      <c r="AS158" s="68" t="s">
        <v>93</v>
      </c>
      <c r="AT158" s="68" t="s">
        <v>93</v>
      </c>
      <c r="AU158" s="68" t="s">
        <v>93</v>
      </c>
      <c r="AV158" s="68" t="s">
        <v>93</v>
      </c>
      <c r="AW158" s="68" t="s">
        <v>93</v>
      </c>
      <c r="AX158" s="68" t="s">
        <v>93</v>
      </c>
      <c r="AY158" s="68" t="s">
        <v>93</v>
      </c>
      <c r="AZ158" s="68" t="s">
        <v>93</v>
      </c>
      <c r="BA158" s="68" t="s">
        <v>93</v>
      </c>
      <c r="BB158" s="68" t="s">
        <v>93</v>
      </c>
      <c r="BC158" s="68" t="s">
        <v>93</v>
      </c>
      <c r="BD158" s="68" t="s">
        <v>93</v>
      </c>
      <c r="BE158" s="68" t="s">
        <v>93</v>
      </c>
      <c r="BF158" s="68" t="s">
        <v>93</v>
      </c>
      <c r="BG158" s="68" t="s">
        <v>93</v>
      </c>
      <c r="BH158" s="68" t="s">
        <v>93</v>
      </c>
      <c r="BI158" s="68" t="s">
        <v>93</v>
      </c>
      <c r="BJ158" s="68" t="s">
        <v>93</v>
      </c>
      <c r="BK158" s="68" t="s">
        <v>93</v>
      </c>
      <c r="BL158" s="68" t="s">
        <v>93</v>
      </c>
      <c r="BM158" s="68" t="s">
        <v>93</v>
      </c>
      <c r="BN158" s="68" t="s">
        <v>93</v>
      </c>
      <c r="BO158" s="68" t="s">
        <v>93</v>
      </c>
      <c r="BP158" s="69" t="s">
        <v>93</v>
      </c>
    </row>
    <row r="159" spans="2:68" x14ac:dyDescent="0.25">
      <c r="B159" s="64">
        <v>5</v>
      </c>
      <c r="C159" s="65">
        <v>22</v>
      </c>
      <c r="D159" s="65" t="s">
        <v>100</v>
      </c>
      <c r="E159" s="66">
        <f>'[3]Master File'!B158</f>
        <v>46172</v>
      </c>
      <c r="F159" s="67" t="str">
        <f>'[3]Master File'!C158</f>
        <v>Explorer + 6PM</v>
      </c>
      <c r="G159" s="46"/>
      <c r="I159" s="70" t="s">
        <v>93</v>
      </c>
      <c r="J159" s="70" t="s">
        <v>93</v>
      </c>
      <c r="K159" s="70" t="s">
        <v>93</v>
      </c>
      <c r="L159" s="68" t="s">
        <v>94</v>
      </c>
      <c r="M159" s="70" t="s">
        <v>93</v>
      </c>
      <c r="N159" s="70" t="s">
        <v>93</v>
      </c>
      <c r="O159" s="70" t="s">
        <v>93</v>
      </c>
      <c r="P159" s="70" t="s">
        <v>93</v>
      </c>
      <c r="Q159" s="70" t="s">
        <v>93</v>
      </c>
      <c r="R159" s="70" t="s">
        <v>93</v>
      </c>
      <c r="S159" s="70" t="s">
        <v>93</v>
      </c>
      <c r="T159" s="70" t="s">
        <v>93</v>
      </c>
      <c r="U159" s="70" t="s">
        <v>93</v>
      </c>
      <c r="V159" s="70" t="s">
        <v>93</v>
      </c>
      <c r="W159" s="70" t="s">
        <v>93</v>
      </c>
      <c r="X159" s="70" t="s">
        <v>93</v>
      </c>
      <c r="Y159" s="70" t="s">
        <v>93</v>
      </c>
      <c r="Z159" s="68" t="s">
        <v>94</v>
      </c>
      <c r="AA159" s="70" t="s">
        <v>93</v>
      </c>
      <c r="AB159" s="70" t="s">
        <v>93</v>
      </c>
      <c r="AC159" s="70" t="s">
        <v>93</v>
      </c>
      <c r="AD159" s="70" t="s">
        <v>94</v>
      </c>
      <c r="AE159" s="70" t="s">
        <v>94</v>
      </c>
      <c r="AF159" s="70" t="s">
        <v>93</v>
      </c>
      <c r="AG159" s="70" t="s">
        <v>93</v>
      </c>
      <c r="AH159" s="70" t="s">
        <v>93</v>
      </c>
      <c r="AI159" s="70" t="s">
        <v>93</v>
      </c>
      <c r="AJ159" s="70" t="s">
        <v>93</v>
      </c>
      <c r="AK159" s="70" t="s">
        <v>93</v>
      </c>
      <c r="AL159" s="70" t="s">
        <v>93</v>
      </c>
      <c r="AM159" s="70" t="s">
        <v>93</v>
      </c>
      <c r="AN159" s="70" t="s">
        <v>93</v>
      </c>
      <c r="AO159" s="70" t="s">
        <v>93</v>
      </c>
      <c r="AP159" s="70" t="s">
        <v>93</v>
      </c>
      <c r="AQ159" s="70" t="s">
        <v>93</v>
      </c>
      <c r="AR159" s="70" t="s">
        <v>93</v>
      </c>
      <c r="AS159" s="70" t="s">
        <v>93</v>
      </c>
      <c r="AT159" s="70" t="s">
        <v>93</v>
      </c>
      <c r="AU159" s="70" t="s">
        <v>93</v>
      </c>
      <c r="AV159" s="70" t="s">
        <v>93</v>
      </c>
      <c r="AW159" s="70" t="s">
        <v>93</v>
      </c>
      <c r="AX159" s="70" t="s">
        <v>93</v>
      </c>
      <c r="AY159" s="70" t="s">
        <v>93</v>
      </c>
      <c r="AZ159" s="70" t="s">
        <v>93</v>
      </c>
      <c r="BA159" s="70" t="s">
        <v>93</v>
      </c>
      <c r="BB159" s="70" t="s">
        <v>93</v>
      </c>
      <c r="BC159" s="70" t="s">
        <v>93</v>
      </c>
      <c r="BD159" s="70" t="s">
        <v>93</v>
      </c>
      <c r="BE159" s="70" t="s">
        <v>93</v>
      </c>
      <c r="BF159" s="70" t="s">
        <v>93</v>
      </c>
      <c r="BG159" s="70" t="s">
        <v>93</v>
      </c>
      <c r="BH159" s="70" t="s">
        <v>93</v>
      </c>
      <c r="BI159" s="70" t="s">
        <v>93</v>
      </c>
      <c r="BJ159" s="70" t="s">
        <v>93</v>
      </c>
      <c r="BK159" s="70" t="s">
        <v>93</v>
      </c>
      <c r="BL159" s="70" t="s">
        <v>93</v>
      </c>
      <c r="BM159" s="70" t="s">
        <v>93</v>
      </c>
      <c r="BN159" s="70" t="s">
        <v>93</v>
      </c>
      <c r="BO159" s="70" t="s">
        <v>93</v>
      </c>
      <c r="BP159" s="71" t="s">
        <v>93</v>
      </c>
    </row>
    <row r="160" spans="2:68" x14ac:dyDescent="0.25">
      <c r="B160" s="64">
        <v>6</v>
      </c>
      <c r="C160" s="65">
        <v>23</v>
      </c>
      <c r="D160" s="65" t="s">
        <v>92</v>
      </c>
      <c r="E160" s="66">
        <f>'[3]Master File'!B159</f>
        <v>46173</v>
      </c>
      <c r="F160" s="67" t="str">
        <f>'[3]Master File'!C159</f>
        <v>Explorer 6PM</v>
      </c>
      <c r="G160" s="46"/>
      <c r="I160" s="70" t="s">
        <v>93</v>
      </c>
      <c r="J160" s="70" t="s">
        <v>93</v>
      </c>
      <c r="K160" s="70" t="s">
        <v>93</v>
      </c>
      <c r="L160" s="68" t="s">
        <v>94</v>
      </c>
      <c r="M160" s="70" t="s">
        <v>93</v>
      </c>
      <c r="N160" s="70" t="s">
        <v>93</v>
      </c>
      <c r="O160" s="70" t="s">
        <v>93</v>
      </c>
      <c r="P160" s="70" t="s">
        <v>93</v>
      </c>
      <c r="Q160" s="70" t="s">
        <v>93</v>
      </c>
      <c r="R160" s="70" t="s">
        <v>93</v>
      </c>
      <c r="S160" s="70" t="s">
        <v>93</v>
      </c>
      <c r="T160" s="70" t="s">
        <v>93</v>
      </c>
      <c r="U160" s="70" t="s">
        <v>93</v>
      </c>
      <c r="V160" s="70" t="s">
        <v>93</v>
      </c>
      <c r="W160" s="70" t="s">
        <v>93</v>
      </c>
      <c r="X160" s="70" t="s">
        <v>93</v>
      </c>
      <c r="Y160" s="70" t="s">
        <v>93</v>
      </c>
      <c r="Z160" s="68" t="s">
        <v>94</v>
      </c>
      <c r="AA160" s="70" t="s">
        <v>93</v>
      </c>
      <c r="AB160" s="70" t="s">
        <v>93</v>
      </c>
      <c r="AC160" s="70" t="s">
        <v>93</v>
      </c>
      <c r="AD160" s="70" t="s">
        <v>94</v>
      </c>
      <c r="AE160" s="70" t="s">
        <v>94</v>
      </c>
      <c r="AF160" s="70" t="s">
        <v>93</v>
      </c>
      <c r="AG160" s="70" t="s">
        <v>93</v>
      </c>
      <c r="AH160" s="70" t="s">
        <v>93</v>
      </c>
      <c r="AI160" s="70" t="s">
        <v>93</v>
      </c>
      <c r="AJ160" s="70" t="s">
        <v>93</v>
      </c>
      <c r="AK160" s="70" t="s">
        <v>93</v>
      </c>
      <c r="AL160" s="70" t="s">
        <v>93</v>
      </c>
      <c r="AM160" s="70" t="s">
        <v>93</v>
      </c>
      <c r="AN160" s="70" t="s">
        <v>93</v>
      </c>
      <c r="AO160" s="70" t="s">
        <v>93</v>
      </c>
      <c r="AP160" s="70" t="s">
        <v>93</v>
      </c>
      <c r="AQ160" s="70" t="s">
        <v>93</v>
      </c>
      <c r="AR160" s="70" t="s">
        <v>93</v>
      </c>
      <c r="AS160" s="70" t="s">
        <v>93</v>
      </c>
      <c r="AT160" s="70" t="s">
        <v>93</v>
      </c>
      <c r="AU160" s="70" t="s">
        <v>93</v>
      </c>
      <c r="AV160" s="70" t="s">
        <v>93</v>
      </c>
      <c r="AW160" s="70" t="s">
        <v>93</v>
      </c>
      <c r="AX160" s="70" t="s">
        <v>93</v>
      </c>
      <c r="AY160" s="70" t="s">
        <v>93</v>
      </c>
      <c r="AZ160" s="70" t="s">
        <v>93</v>
      </c>
      <c r="BA160" s="70" t="s">
        <v>93</v>
      </c>
      <c r="BB160" s="70" t="s">
        <v>93</v>
      </c>
      <c r="BC160" s="70" t="s">
        <v>93</v>
      </c>
      <c r="BD160" s="70" t="s">
        <v>93</v>
      </c>
      <c r="BE160" s="70" t="s">
        <v>93</v>
      </c>
      <c r="BF160" s="70" t="s">
        <v>93</v>
      </c>
      <c r="BG160" s="70" t="s">
        <v>93</v>
      </c>
      <c r="BH160" s="70" t="s">
        <v>93</v>
      </c>
      <c r="BI160" s="70" t="s">
        <v>93</v>
      </c>
      <c r="BJ160" s="70" t="s">
        <v>93</v>
      </c>
      <c r="BK160" s="70" t="s">
        <v>93</v>
      </c>
      <c r="BL160" s="70" t="s">
        <v>93</v>
      </c>
      <c r="BM160" s="70" t="s">
        <v>93</v>
      </c>
      <c r="BN160" s="70" t="s">
        <v>93</v>
      </c>
      <c r="BO160" s="70" t="s">
        <v>93</v>
      </c>
      <c r="BP160" s="71" t="s">
        <v>93</v>
      </c>
    </row>
    <row r="161" spans="2:68" x14ac:dyDescent="0.25">
      <c r="B161" s="64">
        <v>6</v>
      </c>
      <c r="C161" s="65">
        <v>23</v>
      </c>
      <c r="D161" s="65" t="s">
        <v>95</v>
      </c>
      <c r="E161" s="66">
        <f>'[3]Master File'!B160</f>
        <v>46174</v>
      </c>
      <c r="F161" s="67" t="str">
        <f>'[3]Master File'!C160</f>
        <v>Explorer 6PM</v>
      </c>
      <c r="G161" s="46"/>
      <c r="I161" s="68" t="s">
        <v>93</v>
      </c>
      <c r="J161" s="68" t="s">
        <v>93</v>
      </c>
      <c r="K161" s="68" t="s">
        <v>93</v>
      </c>
      <c r="L161" s="68" t="s">
        <v>94</v>
      </c>
      <c r="M161" s="68" t="s">
        <v>93</v>
      </c>
      <c r="N161" s="68" t="s">
        <v>93</v>
      </c>
      <c r="O161" s="68" t="s">
        <v>93</v>
      </c>
      <c r="P161" s="68" t="s">
        <v>93</v>
      </c>
      <c r="Q161" s="68" t="s">
        <v>93</v>
      </c>
      <c r="R161" s="68" t="s">
        <v>93</v>
      </c>
      <c r="S161" s="68" t="s">
        <v>93</v>
      </c>
      <c r="T161" s="68" t="s">
        <v>93</v>
      </c>
      <c r="U161" s="68" t="s">
        <v>93</v>
      </c>
      <c r="V161" s="68" t="s">
        <v>93</v>
      </c>
      <c r="W161" s="68" t="s">
        <v>93</v>
      </c>
      <c r="X161" s="68" t="s">
        <v>93</v>
      </c>
      <c r="Y161" s="68" t="s">
        <v>93</v>
      </c>
      <c r="Z161" s="68" t="s">
        <v>94</v>
      </c>
      <c r="AA161" s="68" t="s">
        <v>93</v>
      </c>
      <c r="AB161" s="68" t="s">
        <v>93</v>
      </c>
      <c r="AC161" s="68" t="s">
        <v>93</v>
      </c>
      <c r="AD161" s="68" t="s">
        <v>93</v>
      </c>
      <c r="AE161" s="68" t="s">
        <v>93</v>
      </c>
      <c r="AF161" s="68" t="s">
        <v>93</v>
      </c>
      <c r="AG161" s="68" t="s">
        <v>93</v>
      </c>
      <c r="AH161" s="68" t="s">
        <v>93</v>
      </c>
      <c r="AI161" s="68" t="s">
        <v>93</v>
      </c>
      <c r="AJ161" s="68" t="s">
        <v>93</v>
      </c>
      <c r="AK161" s="68" t="s">
        <v>93</v>
      </c>
      <c r="AL161" s="68" t="s">
        <v>93</v>
      </c>
      <c r="AM161" s="68" t="s">
        <v>93</v>
      </c>
      <c r="AN161" s="68" t="s">
        <v>93</v>
      </c>
      <c r="AO161" s="68" t="s">
        <v>93</v>
      </c>
      <c r="AP161" s="68" t="s">
        <v>93</v>
      </c>
      <c r="AQ161" s="68" t="s">
        <v>93</v>
      </c>
      <c r="AR161" s="68" t="s">
        <v>93</v>
      </c>
      <c r="AS161" s="68" t="s">
        <v>93</v>
      </c>
      <c r="AT161" s="68" t="s">
        <v>93</v>
      </c>
      <c r="AU161" s="68" t="s">
        <v>93</v>
      </c>
      <c r="AV161" s="68" t="s">
        <v>93</v>
      </c>
      <c r="AW161" s="68" t="s">
        <v>93</v>
      </c>
      <c r="AX161" s="68" t="s">
        <v>93</v>
      </c>
      <c r="AY161" s="68" t="s">
        <v>93</v>
      </c>
      <c r="AZ161" s="68" t="s">
        <v>93</v>
      </c>
      <c r="BA161" s="68" t="s">
        <v>93</v>
      </c>
      <c r="BB161" s="68" t="s">
        <v>93</v>
      </c>
      <c r="BC161" s="68" t="s">
        <v>93</v>
      </c>
      <c r="BD161" s="68" t="s">
        <v>93</v>
      </c>
      <c r="BE161" s="68" t="s">
        <v>93</v>
      </c>
      <c r="BF161" s="68" t="s">
        <v>93</v>
      </c>
      <c r="BG161" s="68" t="s">
        <v>93</v>
      </c>
      <c r="BH161" s="68" t="s">
        <v>93</v>
      </c>
      <c r="BI161" s="68" t="s">
        <v>93</v>
      </c>
      <c r="BJ161" s="68" t="s">
        <v>93</v>
      </c>
      <c r="BK161" s="68" t="s">
        <v>93</v>
      </c>
      <c r="BL161" s="68" t="s">
        <v>93</v>
      </c>
      <c r="BM161" s="68" t="s">
        <v>93</v>
      </c>
      <c r="BN161" s="68" t="s">
        <v>93</v>
      </c>
      <c r="BO161" s="68" t="s">
        <v>93</v>
      </c>
      <c r="BP161" s="69" t="s">
        <v>93</v>
      </c>
    </row>
    <row r="162" spans="2:68" x14ac:dyDescent="0.25">
      <c r="B162" s="64">
        <v>6</v>
      </c>
      <c r="C162" s="65">
        <v>23</v>
      </c>
      <c r="D162" s="65" t="s">
        <v>96</v>
      </c>
      <c r="E162" s="66">
        <f>'[3]Master File'!B161</f>
        <v>46175</v>
      </c>
      <c r="F162" s="67" t="str">
        <f>'[3]Master File'!C161</f>
        <v>Lodge 5PM</v>
      </c>
      <c r="G162" s="46"/>
      <c r="I162" s="68" t="s">
        <v>93</v>
      </c>
      <c r="J162" s="68" t="s">
        <v>93</v>
      </c>
      <c r="K162" s="68" t="s">
        <v>93</v>
      </c>
      <c r="L162" s="68" t="s">
        <v>94</v>
      </c>
      <c r="M162" s="68" t="s">
        <v>93</v>
      </c>
      <c r="N162" s="68" t="s">
        <v>93</v>
      </c>
      <c r="O162" s="68" t="s">
        <v>93</v>
      </c>
      <c r="P162" s="68" t="s">
        <v>93</v>
      </c>
      <c r="Q162" s="68" t="s">
        <v>93</v>
      </c>
      <c r="R162" s="68" t="s">
        <v>93</v>
      </c>
      <c r="S162" s="68" t="s">
        <v>93</v>
      </c>
      <c r="T162" s="68" t="s">
        <v>93</v>
      </c>
      <c r="U162" s="68" t="s">
        <v>93</v>
      </c>
      <c r="V162" s="68" t="s">
        <v>93</v>
      </c>
      <c r="W162" s="68" t="s">
        <v>93</v>
      </c>
      <c r="X162" s="68" t="s">
        <v>93</v>
      </c>
      <c r="Y162" s="68" t="s">
        <v>93</v>
      </c>
      <c r="Z162" s="68" t="s">
        <v>94</v>
      </c>
      <c r="AA162" s="68" t="s">
        <v>93</v>
      </c>
      <c r="AB162" s="68" t="s">
        <v>93</v>
      </c>
      <c r="AC162" s="68" t="s">
        <v>93</v>
      </c>
      <c r="AD162" s="68" t="s">
        <v>93</v>
      </c>
      <c r="AE162" s="68" t="s">
        <v>93</v>
      </c>
      <c r="AF162" s="68" t="s">
        <v>93</v>
      </c>
      <c r="AG162" s="68" t="s">
        <v>93</v>
      </c>
      <c r="AH162" s="68" t="s">
        <v>93</v>
      </c>
      <c r="AI162" s="68" t="s">
        <v>93</v>
      </c>
      <c r="AJ162" s="68" t="s">
        <v>93</v>
      </c>
      <c r="AK162" s="68" t="s">
        <v>93</v>
      </c>
      <c r="AL162" s="68" t="s">
        <v>93</v>
      </c>
      <c r="AM162" s="68" t="s">
        <v>93</v>
      </c>
      <c r="AN162" s="68" t="s">
        <v>93</v>
      </c>
      <c r="AO162" s="68" t="s">
        <v>93</v>
      </c>
      <c r="AP162" s="68" t="s">
        <v>93</v>
      </c>
      <c r="AQ162" s="68" t="s">
        <v>93</v>
      </c>
      <c r="AR162" s="68" t="s">
        <v>93</v>
      </c>
      <c r="AS162" s="68" t="s">
        <v>93</v>
      </c>
      <c r="AT162" s="68" t="s">
        <v>93</v>
      </c>
      <c r="AU162" s="68" t="s">
        <v>93</v>
      </c>
      <c r="AV162" s="68" t="s">
        <v>93</v>
      </c>
      <c r="AW162" s="68" t="s">
        <v>93</v>
      </c>
      <c r="AX162" s="68" t="s">
        <v>93</v>
      </c>
      <c r="AY162" s="68" t="s">
        <v>93</v>
      </c>
      <c r="AZ162" s="68" t="s">
        <v>93</v>
      </c>
      <c r="BA162" s="68" t="s">
        <v>93</v>
      </c>
      <c r="BB162" s="68" t="s">
        <v>93</v>
      </c>
      <c r="BC162" s="68" t="s">
        <v>93</v>
      </c>
      <c r="BD162" s="68" t="s">
        <v>93</v>
      </c>
      <c r="BE162" s="68" t="s">
        <v>93</v>
      </c>
      <c r="BF162" s="68" t="s">
        <v>93</v>
      </c>
      <c r="BG162" s="68" t="s">
        <v>93</v>
      </c>
      <c r="BH162" s="68" t="s">
        <v>93</v>
      </c>
      <c r="BI162" s="68" t="s">
        <v>93</v>
      </c>
      <c r="BJ162" s="68" t="s">
        <v>93</v>
      </c>
      <c r="BK162" s="68" t="s">
        <v>93</v>
      </c>
      <c r="BL162" s="68" t="s">
        <v>93</v>
      </c>
      <c r="BM162" s="68" t="s">
        <v>93</v>
      </c>
      <c r="BN162" s="68" t="s">
        <v>93</v>
      </c>
      <c r="BO162" s="68" t="s">
        <v>93</v>
      </c>
      <c r="BP162" s="69" t="s">
        <v>93</v>
      </c>
    </row>
    <row r="163" spans="2:68" x14ac:dyDescent="0.25">
      <c r="B163" s="64">
        <v>6</v>
      </c>
      <c r="C163" s="65">
        <v>23</v>
      </c>
      <c r="D163" s="65" t="s">
        <v>97</v>
      </c>
      <c r="E163" s="66">
        <f>'[3]Master File'!B162</f>
        <v>46176</v>
      </c>
      <c r="F163" s="67" t="str">
        <f>'[3]Master File'!C162</f>
        <v>Lodge 5PM</v>
      </c>
      <c r="G163" s="46"/>
      <c r="I163" s="68" t="s">
        <v>93</v>
      </c>
      <c r="J163" s="68" t="s">
        <v>93</v>
      </c>
      <c r="K163" s="68" t="s">
        <v>93</v>
      </c>
      <c r="L163" s="68" t="s">
        <v>94</v>
      </c>
      <c r="M163" s="68" t="s">
        <v>93</v>
      </c>
      <c r="N163" s="68" t="s">
        <v>93</v>
      </c>
      <c r="O163" s="68" t="s">
        <v>93</v>
      </c>
      <c r="P163" s="68" t="s">
        <v>93</v>
      </c>
      <c r="Q163" s="68" t="s">
        <v>93</v>
      </c>
      <c r="R163" s="68" t="s">
        <v>93</v>
      </c>
      <c r="S163" s="68" t="s">
        <v>93</v>
      </c>
      <c r="T163" s="68" t="s">
        <v>93</v>
      </c>
      <c r="U163" s="68" t="s">
        <v>93</v>
      </c>
      <c r="V163" s="68" t="s">
        <v>93</v>
      </c>
      <c r="W163" s="68" t="s">
        <v>93</v>
      </c>
      <c r="X163" s="68" t="s">
        <v>93</v>
      </c>
      <c r="Y163" s="68" t="s">
        <v>93</v>
      </c>
      <c r="Z163" s="68" t="s">
        <v>94</v>
      </c>
      <c r="AA163" s="68" t="s">
        <v>93</v>
      </c>
      <c r="AB163" s="68" t="s">
        <v>93</v>
      </c>
      <c r="AC163" s="68" t="s">
        <v>93</v>
      </c>
      <c r="AD163" s="68" t="s">
        <v>93</v>
      </c>
      <c r="AE163" s="68" t="s">
        <v>93</v>
      </c>
      <c r="AF163" s="68" t="s">
        <v>93</v>
      </c>
      <c r="AG163" s="68" t="s">
        <v>93</v>
      </c>
      <c r="AH163" s="68" t="s">
        <v>93</v>
      </c>
      <c r="AI163" s="68" t="s">
        <v>93</v>
      </c>
      <c r="AJ163" s="68" t="s">
        <v>93</v>
      </c>
      <c r="AK163" s="68" t="s">
        <v>93</v>
      </c>
      <c r="AL163" s="68" t="s">
        <v>93</v>
      </c>
      <c r="AM163" s="68" t="s">
        <v>93</v>
      </c>
      <c r="AN163" s="68" t="s">
        <v>93</v>
      </c>
      <c r="AO163" s="68" t="s">
        <v>93</v>
      </c>
      <c r="AP163" s="68" t="s">
        <v>93</v>
      </c>
      <c r="AQ163" s="68" t="s">
        <v>93</v>
      </c>
      <c r="AR163" s="68" t="s">
        <v>93</v>
      </c>
      <c r="AS163" s="68" t="s">
        <v>93</v>
      </c>
      <c r="AT163" s="68" t="s">
        <v>93</v>
      </c>
      <c r="AU163" s="68" t="s">
        <v>93</v>
      </c>
      <c r="AV163" s="68" t="s">
        <v>93</v>
      </c>
      <c r="AW163" s="68" t="s">
        <v>93</v>
      </c>
      <c r="AX163" s="68" t="s">
        <v>93</v>
      </c>
      <c r="AY163" s="68" t="s">
        <v>93</v>
      </c>
      <c r="AZ163" s="68" t="s">
        <v>93</v>
      </c>
      <c r="BA163" s="68" t="s">
        <v>93</v>
      </c>
      <c r="BB163" s="68" t="s">
        <v>93</v>
      </c>
      <c r="BC163" s="68" t="s">
        <v>93</v>
      </c>
      <c r="BD163" s="68" t="s">
        <v>93</v>
      </c>
      <c r="BE163" s="68" t="s">
        <v>93</v>
      </c>
      <c r="BF163" s="68" t="s">
        <v>93</v>
      </c>
      <c r="BG163" s="68" t="s">
        <v>93</v>
      </c>
      <c r="BH163" s="68" t="s">
        <v>93</v>
      </c>
      <c r="BI163" s="68" t="s">
        <v>93</v>
      </c>
      <c r="BJ163" s="68" t="s">
        <v>93</v>
      </c>
      <c r="BK163" s="68" t="s">
        <v>93</v>
      </c>
      <c r="BL163" s="68" t="s">
        <v>93</v>
      </c>
      <c r="BM163" s="68" t="s">
        <v>93</v>
      </c>
      <c r="BN163" s="68" t="s">
        <v>93</v>
      </c>
      <c r="BO163" s="68" t="s">
        <v>93</v>
      </c>
      <c r="BP163" s="69" t="s">
        <v>93</v>
      </c>
    </row>
    <row r="164" spans="2:68" x14ac:dyDescent="0.25">
      <c r="B164" s="64">
        <v>6</v>
      </c>
      <c r="C164" s="65">
        <v>23</v>
      </c>
      <c r="D164" s="65" t="s">
        <v>98</v>
      </c>
      <c r="E164" s="66">
        <f>'[3]Master File'!B163</f>
        <v>46177</v>
      </c>
      <c r="F164" s="67" t="str">
        <f>'[3]Master File'!C163</f>
        <v>Lodge 5PM</v>
      </c>
      <c r="G164" s="46"/>
      <c r="I164" s="68" t="s">
        <v>93</v>
      </c>
      <c r="J164" s="68" t="s">
        <v>93</v>
      </c>
      <c r="K164" s="68" t="s">
        <v>93</v>
      </c>
      <c r="L164" s="68" t="s">
        <v>94</v>
      </c>
      <c r="M164" s="68" t="s">
        <v>93</v>
      </c>
      <c r="N164" s="68" t="s">
        <v>93</v>
      </c>
      <c r="O164" s="68" t="s">
        <v>93</v>
      </c>
      <c r="P164" s="68" t="s">
        <v>93</v>
      </c>
      <c r="Q164" s="68" t="s">
        <v>93</v>
      </c>
      <c r="R164" s="68" t="s">
        <v>93</v>
      </c>
      <c r="S164" s="68" t="s">
        <v>93</v>
      </c>
      <c r="T164" s="68" t="s">
        <v>93</v>
      </c>
      <c r="U164" s="68" t="s">
        <v>93</v>
      </c>
      <c r="V164" s="68" t="s">
        <v>93</v>
      </c>
      <c r="W164" s="68" t="s">
        <v>93</v>
      </c>
      <c r="X164" s="68" t="s">
        <v>93</v>
      </c>
      <c r="Y164" s="68" t="s">
        <v>93</v>
      </c>
      <c r="Z164" s="68" t="s">
        <v>94</v>
      </c>
      <c r="AA164" s="68" t="s">
        <v>93</v>
      </c>
      <c r="AB164" s="68" t="s">
        <v>93</v>
      </c>
      <c r="AC164" s="68" t="s">
        <v>93</v>
      </c>
      <c r="AD164" s="68" t="s">
        <v>93</v>
      </c>
      <c r="AE164" s="68" t="s">
        <v>93</v>
      </c>
      <c r="AF164" s="68" t="s">
        <v>93</v>
      </c>
      <c r="AG164" s="68" t="s">
        <v>93</v>
      </c>
      <c r="AH164" s="68" t="s">
        <v>93</v>
      </c>
      <c r="AI164" s="68" t="s">
        <v>93</v>
      </c>
      <c r="AJ164" s="68" t="s">
        <v>93</v>
      </c>
      <c r="AK164" s="68" t="s">
        <v>93</v>
      </c>
      <c r="AL164" s="68" t="s">
        <v>93</v>
      </c>
      <c r="AM164" s="68" t="s">
        <v>93</v>
      </c>
      <c r="AN164" s="68" t="s">
        <v>93</v>
      </c>
      <c r="AO164" s="68" t="s">
        <v>93</v>
      </c>
      <c r="AP164" s="68" t="s">
        <v>93</v>
      </c>
      <c r="AQ164" s="68" t="s">
        <v>93</v>
      </c>
      <c r="AR164" s="68" t="s">
        <v>93</v>
      </c>
      <c r="AS164" s="68" t="s">
        <v>93</v>
      </c>
      <c r="AT164" s="68" t="s">
        <v>93</v>
      </c>
      <c r="AU164" s="68" t="s">
        <v>93</v>
      </c>
      <c r="AV164" s="68" t="s">
        <v>93</v>
      </c>
      <c r="AW164" s="68" t="s">
        <v>93</v>
      </c>
      <c r="AX164" s="68" t="s">
        <v>93</v>
      </c>
      <c r="AY164" s="68" t="s">
        <v>93</v>
      </c>
      <c r="AZ164" s="68" t="s">
        <v>93</v>
      </c>
      <c r="BA164" s="68" t="s">
        <v>93</v>
      </c>
      <c r="BB164" s="68" t="s">
        <v>93</v>
      </c>
      <c r="BC164" s="68" t="s">
        <v>93</v>
      </c>
      <c r="BD164" s="68" t="s">
        <v>93</v>
      </c>
      <c r="BE164" s="68" t="s">
        <v>93</v>
      </c>
      <c r="BF164" s="68" t="s">
        <v>93</v>
      </c>
      <c r="BG164" s="68" t="s">
        <v>93</v>
      </c>
      <c r="BH164" s="68" t="s">
        <v>93</v>
      </c>
      <c r="BI164" s="68" t="s">
        <v>93</v>
      </c>
      <c r="BJ164" s="68" t="s">
        <v>93</v>
      </c>
      <c r="BK164" s="68" t="s">
        <v>93</v>
      </c>
      <c r="BL164" s="68" t="s">
        <v>93</v>
      </c>
      <c r="BM164" s="68" t="s">
        <v>93</v>
      </c>
      <c r="BN164" s="68" t="s">
        <v>93</v>
      </c>
      <c r="BO164" s="68" t="s">
        <v>93</v>
      </c>
      <c r="BP164" s="69" t="s">
        <v>93</v>
      </c>
    </row>
    <row r="165" spans="2:68" x14ac:dyDescent="0.25">
      <c r="B165" s="64">
        <v>6</v>
      </c>
      <c r="C165" s="65">
        <v>23</v>
      </c>
      <c r="D165" s="65" t="s">
        <v>99</v>
      </c>
      <c r="E165" s="66">
        <f>'[3]Master File'!B164</f>
        <v>46178</v>
      </c>
      <c r="F165" s="67" t="str">
        <f>'[3]Master File'!C164</f>
        <v>Explorer 5PM</v>
      </c>
      <c r="G165" s="46"/>
      <c r="I165" s="68" t="s">
        <v>93</v>
      </c>
      <c r="J165" s="68" t="s">
        <v>93</v>
      </c>
      <c r="K165" s="68" t="s">
        <v>93</v>
      </c>
      <c r="L165" s="68" t="s">
        <v>94</v>
      </c>
      <c r="M165" s="68" t="s">
        <v>93</v>
      </c>
      <c r="N165" s="68" t="s">
        <v>93</v>
      </c>
      <c r="O165" s="68" t="s">
        <v>93</v>
      </c>
      <c r="P165" s="68" t="s">
        <v>93</v>
      </c>
      <c r="Q165" s="68" t="s">
        <v>93</v>
      </c>
      <c r="R165" s="68" t="s">
        <v>93</v>
      </c>
      <c r="S165" s="68" t="s">
        <v>93</v>
      </c>
      <c r="T165" s="68" t="s">
        <v>93</v>
      </c>
      <c r="U165" s="68" t="s">
        <v>93</v>
      </c>
      <c r="V165" s="68" t="s">
        <v>93</v>
      </c>
      <c r="W165" s="68" t="s">
        <v>93</v>
      </c>
      <c r="X165" s="68" t="s">
        <v>93</v>
      </c>
      <c r="Y165" s="68" t="s">
        <v>93</v>
      </c>
      <c r="Z165" s="68" t="s">
        <v>94</v>
      </c>
      <c r="AA165" s="68" t="s">
        <v>93</v>
      </c>
      <c r="AB165" s="68" t="s">
        <v>93</v>
      </c>
      <c r="AC165" s="68" t="s">
        <v>93</v>
      </c>
      <c r="AD165" s="68" t="s">
        <v>93</v>
      </c>
      <c r="AE165" s="68" t="s">
        <v>93</v>
      </c>
      <c r="AF165" s="68" t="s">
        <v>93</v>
      </c>
      <c r="AG165" s="68" t="s">
        <v>93</v>
      </c>
      <c r="AH165" s="68" t="s">
        <v>93</v>
      </c>
      <c r="AI165" s="68" t="s">
        <v>93</v>
      </c>
      <c r="AJ165" s="68" t="s">
        <v>93</v>
      </c>
      <c r="AK165" s="68" t="s">
        <v>93</v>
      </c>
      <c r="AL165" s="68" t="s">
        <v>93</v>
      </c>
      <c r="AM165" s="68" t="s">
        <v>93</v>
      </c>
      <c r="AN165" s="68" t="s">
        <v>93</v>
      </c>
      <c r="AO165" s="68" t="s">
        <v>93</v>
      </c>
      <c r="AP165" s="68" t="s">
        <v>93</v>
      </c>
      <c r="AQ165" s="68" t="s">
        <v>93</v>
      </c>
      <c r="AR165" s="68" t="s">
        <v>93</v>
      </c>
      <c r="AS165" s="68" t="s">
        <v>93</v>
      </c>
      <c r="AT165" s="68" t="s">
        <v>93</v>
      </c>
      <c r="AU165" s="68" t="s">
        <v>93</v>
      </c>
      <c r="AV165" s="68" t="s">
        <v>93</v>
      </c>
      <c r="AW165" s="68" t="s">
        <v>93</v>
      </c>
      <c r="AX165" s="68" t="s">
        <v>93</v>
      </c>
      <c r="AY165" s="68" t="s">
        <v>93</v>
      </c>
      <c r="AZ165" s="68" t="s">
        <v>93</v>
      </c>
      <c r="BA165" s="68" t="s">
        <v>93</v>
      </c>
      <c r="BB165" s="68" t="s">
        <v>93</v>
      </c>
      <c r="BC165" s="68" t="s">
        <v>93</v>
      </c>
      <c r="BD165" s="68" t="s">
        <v>93</v>
      </c>
      <c r="BE165" s="68" t="s">
        <v>93</v>
      </c>
      <c r="BF165" s="68" t="s">
        <v>93</v>
      </c>
      <c r="BG165" s="68" t="s">
        <v>93</v>
      </c>
      <c r="BH165" s="68" t="s">
        <v>93</v>
      </c>
      <c r="BI165" s="68" t="s">
        <v>93</v>
      </c>
      <c r="BJ165" s="68" t="s">
        <v>93</v>
      </c>
      <c r="BK165" s="68" t="s">
        <v>93</v>
      </c>
      <c r="BL165" s="68" t="s">
        <v>93</v>
      </c>
      <c r="BM165" s="68" t="s">
        <v>93</v>
      </c>
      <c r="BN165" s="68" t="s">
        <v>93</v>
      </c>
      <c r="BO165" s="68" t="s">
        <v>93</v>
      </c>
      <c r="BP165" s="69" t="s">
        <v>93</v>
      </c>
    </row>
    <row r="166" spans="2:68" x14ac:dyDescent="0.25">
      <c r="B166" s="64">
        <v>6</v>
      </c>
      <c r="C166" s="65">
        <v>23</v>
      </c>
      <c r="D166" s="65" t="s">
        <v>100</v>
      </c>
      <c r="E166" s="66">
        <f>'[3]Master File'!B165</f>
        <v>46179</v>
      </c>
      <c r="F166" s="67" t="str">
        <f>'[3]Master File'!C165</f>
        <v>Explorer 6PM</v>
      </c>
      <c r="G166" s="46"/>
      <c r="I166" s="70" t="s">
        <v>93</v>
      </c>
      <c r="J166" s="70" t="s">
        <v>93</v>
      </c>
      <c r="K166" s="70" t="s">
        <v>93</v>
      </c>
      <c r="L166" s="68" t="s">
        <v>94</v>
      </c>
      <c r="M166" s="70" t="s">
        <v>93</v>
      </c>
      <c r="N166" s="70" t="s">
        <v>93</v>
      </c>
      <c r="O166" s="70" t="s">
        <v>93</v>
      </c>
      <c r="P166" s="70" t="s">
        <v>93</v>
      </c>
      <c r="Q166" s="70" t="s">
        <v>93</v>
      </c>
      <c r="R166" s="70" t="s">
        <v>93</v>
      </c>
      <c r="S166" s="70" t="s">
        <v>93</v>
      </c>
      <c r="T166" s="70" t="s">
        <v>93</v>
      </c>
      <c r="U166" s="70" t="s">
        <v>93</v>
      </c>
      <c r="V166" s="70" t="s">
        <v>93</v>
      </c>
      <c r="W166" s="70" t="s">
        <v>93</v>
      </c>
      <c r="X166" s="70" t="s">
        <v>93</v>
      </c>
      <c r="Y166" s="70" t="s">
        <v>93</v>
      </c>
      <c r="Z166" s="68" t="s">
        <v>94</v>
      </c>
      <c r="AA166" s="70" t="s">
        <v>93</v>
      </c>
      <c r="AB166" s="70" t="s">
        <v>93</v>
      </c>
      <c r="AC166" s="70" t="s">
        <v>93</v>
      </c>
      <c r="AD166" s="70" t="s">
        <v>94</v>
      </c>
      <c r="AE166" s="70" t="s">
        <v>94</v>
      </c>
      <c r="AF166" s="70" t="s">
        <v>93</v>
      </c>
      <c r="AG166" s="70" t="s">
        <v>93</v>
      </c>
      <c r="AH166" s="70" t="s">
        <v>93</v>
      </c>
      <c r="AI166" s="70" t="s">
        <v>93</v>
      </c>
      <c r="AJ166" s="70" t="s">
        <v>93</v>
      </c>
      <c r="AK166" s="70" t="s">
        <v>93</v>
      </c>
      <c r="AL166" s="70" t="s">
        <v>93</v>
      </c>
      <c r="AM166" s="70" t="s">
        <v>93</v>
      </c>
      <c r="AN166" s="70" t="s">
        <v>93</v>
      </c>
      <c r="AO166" s="70" t="s">
        <v>93</v>
      </c>
      <c r="AP166" s="70" t="s">
        <v>93</v>
      </c>
      <c r="AQ166" s="70" t="s">
        <v>93</v>
      </c>
      <c r="AR166" s="70" t="s">
        <v>93</v>
      </c>
      <c r="AS166" s="70" t="s">
        <v>93</v>
      </c>
      <c r="AT166" s="70" t="s">
        <v>93</v>
      </c>
      <c r="AU166" s="70" t="s">
        <v>93</v>
      </c>
      <c r="AV166" s="70" t="s">
        <v>93</v>
      </c>
      <c r="AW166" s="70" t="s">
        <v>93</v>
      </c>
      <c r="AX166" s="70" t="s">
        <v>93</v>
      </c>
      <c r="AY166" s="70" t="s">
        <v>93</v>
      </c>
      <c r="AZ166" s="70" t="s">
        <v>93</v>
      </c>
      <c r="BA166" s="70" t="s">
        <v>93</v>
      </c>
      <c r="BB166" s="70" t="s">
        <v>93</v>
      </c>
      <c r="BC166" s="70" t="s">
        <v>93</v>
      </c>
      <c r="BD166" s="70" t="s">
        <v>93</v>
      </c>
      <c r="BE166" s="70" t="s">
        <v>93</v>
      </c>
      <c r="BF166" s="70" t="s">
        <v>93</v>
      </c>
      <c r="BG166" s="70" t="s">
        <v>93</v>
      </c>
      <c r="BH166" s="70" t="s">
        <v>93</v>
      </c>
      <c r="BI166" s="70" t="s">
        <v>93</v>
      </c>
      <c r="BJ166" s="70" t="s">
        <v>93</v>
      </c>
      <c r="BK166" s="70" t="s">
        <v>93</v>
      </c>
      <c r="BL166" s="70" t="s">
        <v>93</v>
      </c>
      <c r="BM166" s="70" t="s">
        <v>93</v>
      </c>
      <c r="BN166" s="70" t="s">
        <v>93</v>
      </c>
      <c r="BO166" s="70" t="s">
        <v>93</v>
      </c>
      <c r="BP166" s="71" t="s">
        <v>93</v>
      </c>
    </row>
    <row r="167" spans="2:68" x14ac:dyDescent="0.25">
      <c r="B167" s="64">
        <v>6</v>
      </c>
      <c r="C167" s="65">
        <v>24</v>
      </c>
      <c r="D167" s="65" t="s">
        <v>92</v>
      </c>
      <c r="E167" s="66">
        <f>'[3]Master File'!B166</f>
        <v>46180</v>
      </c>
      <c r="F167" s="67" t="str">
        <f>'[3]Master File'!C166</f>
        <v>Explorer + 6PM</v>
      </c>
      <c r="G167" s="46"/>
      <c r="I167" s="70" t="s">
        <v>93</v>
      </c>
      <c r="J167" s="70" t="s">
        <v>93</v>
      </c>
      <c r="K167" s="70" t="s">
        <v>93</v>
      </c>
      <c r="L167" s="68" t="s">
        <v>94</v>
      </c>
      <c r="M167" s="70" t="s">
        <v>93</v>
      </c>
      <c r="N167" s="70" t="s">
        <v>93</v>
      </c>
      <c r="O167" s="70" t="s">
        <v>93</v>
      </c>
      <c r="P167" s="70" t="s">
        <v>93</v>
      </c>
      <c r="Q167" s="70" t="s">
        <v>93</v>
      </c>
      <c r="R167" s="70" t="s">
        <v>93</v>
      </c>
      <c r="S167" s="70" t="s">
        <v>93</v>
      </c>
      <c r="T167" s="70" t="s">
        <v>93</v>
      </c>
      <c r="U167" s="70" t="s">
        <v>93</v>
      </c>
      <c r="V167" s="70" t="s">
        <v>93</v>
      </c>
      <c r="W167" s="70" t="s">
        <v>93</v>
      </c>
      <c r="X167" s="70" t="s">
        <v>93</v>
      </c>
      <c r="Y167" s="70" t="s">
        <v>93</v>
      </c>
      <c r="Z167" s="68" t="s">
        <v>94</v>
      </c>
      <c r="AA167" s="70" t="s">
        <v>93</v>
      </c>
      <c r="AB167" s="70" t="s">
        <v>93</v>
      </c>
      <c r="AC167" s="70" t="s">
        <v>93</v>
      </c>
      <c r="AD167" s="70" t="s">
        <v>94</v>
      </c>
      <c r="AE167" s="70" t="s">
        <v>94</v>
      </c>
      <c r="AF167" s="70" t="s">
        <v>93</v>
      </c>
      <c r="AG167" s="70" t="s">
        <v>93</v>
      </c>
      <c r="AH167" s="70" t="s">
        <v>93</v>
      </c>
      <c r="AI167" s="70" t="s">
        <v>93</v>
      </c>
      <c r="AJ167" s="70" t="s">
        <v>93</v>
      </c>
      <c r="AK167" s="70" t="s">
        <v>93</v>
      </c>
      <c r="AL167" s="70" t="s">
        <v>93</v>
      </c>
      <c r="AM167" s="70" t="s">
        <v>93</v>
      </c>
      <c r="AN167" s="70" t="s">
        <v>93</v>
      </c>
      <c r="AO167" s="70" t="s">
        <v>93</v>
      </c>
      <c r="AP167" s="70" t="s">
        <v>93</v>
      </c>
      <c r="AQ167" s="70" t="s">
        <v>93</v>
      </c>
      <c r="AR167" s="70" t="s">
        <v>93</v>
      </c>
      <c r="AS167" s="70" t="s">
        <v>93</v>
      </c>
      <c r="AT167" s="70" t="s">
        <v>93</v>
      </c>
      <c r="AU167" s="70" t="s">
        <v>93</v>
      </c>
      <c r="AV167" s="70" t="s">
        <v>93</v>
      </c>
      <c r="AW167" s="70" t="s">
        <v>93</v>
      </c>
      <c r="AX167" s="70" t="s">
        <v>93</v>
      </c>
      <c r="AY167" s="70" t="s">
        <v>93</v>
      </c>
      <c r="AZ167" s="70" t="s">
        <v>93</v>
      </c>
      <c r="BA167" s="70" t="s">
        <v>93</v>
      </c>
      <c r="BB167" s="70" t="s">
        <v>93</v>
      </c>
      <c r="BC167" s="70" t="s">
        <v>93</v>
      </c>
      <c r="BD167" s="70" t="s">
        <v>93</v>
      </c>
      <c r="BE167" s="70" t="s">
        <v>93</v>
      </c>
      <c r="BF167" s="70" t="s">
        <v>93</v>
      </c>
      <c r="BG167" s="70" t="s">
        <v>93</v>
      </c>
      <c r="BH167" s="70" t="s">
        <v>93</v>
      </c>
      <c r="BI167" s="70" t="s">
        <v>93</v>
      </c>
      <c r="BJ167" s="70" t="s">
        <v>93</v>
      </c>
      <c r="BK167" s="70" t="s">
        <v>93</v>
      </c>
      <c r="BL167" s="70" t="s">
        <v>93</v>
      </c>
      <c r="BM167" s="70" t="s">
        <v>93</v>
      </c>
      <c r="BN167" s="70" t="s">
        <v>93</v>
      </c>
      <c r="BO167" s="70" t="s">
        <v>93</v>
      </c>
      <c r="BP167" s="71" t="s">
        <v>93</v>
      </c>
    </row>
    <row r="168" spans="2:68" x14ac:dyDescent="0.25">
      <c r="B168" s="64">
        <v>6</v>
      </c>
      <c r="C168" s="65">
        <v>24</v>
      </c>
      <c r="D168" s="65" t="s">
        <v>95</v>
      </c>
      <c r="E168" s="66">
        <f>'[3]Master File'!B167</f>
        <v>46181</v>
      </c>
      <c r="F168" s="67" t="str">
        <f>'[3]Master File'!C167</f>
        <v>Lodge 5PM</v>
      </c>
      <c r="G168" s="46"/>
      <c r="I168" s="68" t="s">
        <v>93</v>
      </c>
      <c r="J168" s="68" t="s">
        <v>93</v>
      </c>
      <c r="K168" s="68" t="s">
        <v>93</v>
      </c>
      <c r="L168" s="68" t="s">
        <v>94</v>
      </c>
      <c r="M168" s="68" t="s">
        <v>93</v>
      </c>
      <c r="N168" s="68" t="s">
        <v>93</v>
      </c>
      <c r="O168" s="68" t="s">
        <v>93</v>
      </c>
      <c r="P168" s="68" t="s">
        <v>93</v>
      </c>
      <c r="Q168" s="68" t="s">
        <v>93</v>
      </c>
      <c r="R168" s="68" t="s">
        <v>93</v>
      </c>
      <c r="S168" s="68" t="s">
        <v>93</v>
      </c>
      <c r="T168" s="68" t="s">
        <v>93</v>
      </c>
      <c r="U168" s="68" t="s">
        <v>93</v>
      </c>
      <c r="V168" s="68" t="s">
        <v>93</v>
      </c>
      <c r="W168" s="68" t="s">
        <v>93</v>
      </c>
      <c r="X168" s="68" t="s">
        <v>93</v>
      </c>
      <c r="Y168" s="68" t="s">
        <v>93</v>
      </c>
      <c r="Z168" s="68" t="s">
        <v>94</v>
      </c>
      <c r="AA168" s="68" t="s">
        <v>93</v>
      </c>
      <c r="AB168" s="68" t="s">
        <v>93</v>
      </c>
      <c r="AC168" s="68" t="s">
        <v>93</v>
      </c>
      <c r="AD168" s="68" t="s">
        <v>93</v>
      </c>
      <c r="AE168" s="68" t="s">
        <v>93</v>
      </c>
      <c r="AF168" s="68" t="s">
        <v>93</v>
      </c>
      <c r="AG168" s="68" t="s">
        <v>93</v>
      </c>
      <c r="AH168" s="68" t="s">
        <v>93</v>
      </c>
      <c r="AI168" s="68" t="s">
        <v>93</v>
      </c>
      <c r="AJ168" s="68" t="s">
        <v>93</v>
      </c>
      <c r="AK168" s="68" t="s">
        <v>93</v>
      </c>
      <c r="AL168" s="68" t="s">
        <v>93</v>
      </c>
      <c r="AM168" s="68" t="s">
        <v>93</v>
      </c>
      <c r="AN168" s="68" t="s">
        <v>93</v>
      </c>
      <c r="AO168" s="68" t="s">
        <v>93</v>
      </c>
      <c r="AP168" s="68" t="s">
        <v>93</v>
      </c>
      <c r="AQ168" s="68" t="s">
        <v>93</v>
      </c>
      <c r="AR168" s="68" t="s">
        <v>93</v>
      </c>
      <c r="AS168" s="68" t="s">
        <v>93</v>
      </c>
      <c r="AT168" s="68" t="s">
        <v>93</v>
      </c>
      <c r="AU168" s="68" t="s">
        <v>93</v>
      </c>
      <c r="AV168" s="68" t="s">
        <v>93</v>
      </c>
      <c r="AW168" s="68" t="s">
        <v>93</v>
      </c>
      <c r="AX168" s="68" t="s">
        <v>93</v>
      </c>
      <c r="AY168" s="68" t="s">
        <v>93</v>
      </c>
      <c r="AZ168" s="68" t="s">
        <v>93</v>
      </c>
      <c r="BA168" s="68" t="s">
        <v>93</v>
      </c>
      <c r="BB168" s="68" t="s">
        <v>93</v>
      </c>
      <c r="BC168" s="68" t="s">
        <v>93</v>
      </c>
      <c r="BD168" s="68" t="s">
        <v>93</v>
      </c>
      <c r="BE168" s="68" t="s">
        <v>93</v>
      </c>
      <c r="BF168" s="68" t="s">
        <v>93</v>
      </c>
      <c r="BG168" s="68" t="s">
        <v>93</v>
      </c>
      <c r="BH168" s="68" t="s">
        <v>93</v>
      </c>
      <c r="BI168" s="68" t="s">
        <v>93</v>
      </c>
      <c r="BJ168" s="68" t="s">
        <v>93</v>
      </c>
      <c r="BK168" s="68" t="s">
        <v>93</v>
      </c>
      <c r="BL168" s="68" t="s">
        <v>93</v>
      </c>
      <c r="BM168" s="68" t="s">
        <v>93</v>
      </c>
      <c r="BN168" s="68" t="s">
        <v>93</v>
      </c>
      <c r="BO168" s="68" t="s">
        <v>93</v>
      </c>
      <c r="BP168" s="69" t="s">
        <v>93</v>
      </c>
    </row>
    <row r="169" spans="2:68" x14ac:dyDescent="0.25">
      <c r="B169" s="64">
        <v>6</v>
      </c>
      <c r="C169" s="65">
        <v>24</v>
      </c>
      <c r="D169" s="65" t="s">
        <v>96</v>
      </c>
      <c r="E169" s="66">
        <f>'[3]Master File'!B168</f>
        <v>46182</v>
      </c>
      <c r="F169" s="67" t="str">
        <f>'[3]Master File'!C168</f>
        <v>Lodge 5PM</v>
      </c>
      <c r="G169" s="46"/>
      <c r="I169" s="68" t="s">
        <v>93</v>
      </c>
      <c r="J169" s="68" t="s">
        <v>93</v>
      </c>
      <c r="K169" s="68" t="s">
        <v>93</v>
      </c>
      <c r="L169" s="68" t="s">
        <v>94</v>
      </c>
      <c r="M169" s="68" t="s">
        <v>93</v>
      </c>
      <c r="N169" s="68" t="s">
        <v>93</v>
      </c>
      <c r="O169" s="68" t="s">
        <v>93</v>
      </c>
      <c r="P169" s="68" t="s">
        <v>93</v>
      </c>
      <c r="Q169" s="68" t="s">
        <v>93</v>
      </c>
      <c r="R169" s="68" t="s">
        <v>93</v>
      </c>
      <c r="S169" s="68" t="s">
        <v>93</v>
      </c>
      <c r="T169" s="68" t="s">
        <v>93</v>
      </c>
      <c r="U169" s="68" t="s">
        <v>93</v>
      </c>
      <c r="V169" s="68" t="s">
        <v>93</v>
      </c>
      <c r="W169" s="68" t="s">
        <v>93</v>
      </c>
      <c r="X169" s="68" t="s">
        <v>93</v>
      </c>
      <c r="Y169" s="68" t="s">
        <v>93</v>
      </c>
      <c r="Z169" s="68" t="s">
        <v>94</v>
      </c>
      <c r="AA169" s="68" t="s">
        <v>93</v>
      </c>
      <c r="AB169" s="68" t="s">
        <v>93</v>
      </c>
      <c r="AC169" s="68" t="s">
        <v>93</v>
      </c>
      <c r="AD169" s="68" t="s">
        <v>93</v>
      </c>
      <c r="AE169" s="68" t="s">
        <v>93</v>
      </c>
      <c r="AF169" s="68" t="s">
        <v>93</v>
      </c>
      <c r="AG169" s="68" t="s">
        <v>93</v>
      </c>
      <c r="AH169" s="68" t="s">
        <v>93</v>
      </c>
      <c r="AI169" s="68" t="s">
        <v>93</v>
      </c>
      <c r="AJ169" s="68" t="s">
        <v>93</v>
      </c>
      <c r="AK169" s="68" t="s">
        <v>93</v>
      </c>
      <c r="AL169" s="68" t="s">
        <v>93</v>
      </c>
      <c r="AM169" s="68" t="s">
        <v>93</v>
      </c>
      <c r="AN169" s="68" t="s">
        <v>93</v>
      </c>
      <c r="AO169" s="68" t="s">
        <v>93</v>
      </c>
      <c r="AP169" s="68" t="s">
        <v>93</v>
      </c>
      <c r="AQ169" s="68" t="s">
        <v>93</v>
      </c>
      <c r="AR169" s="68" t="s">
        <v>93</v>
      </c>
      <c r="AS169" s="68" t="s">
        <v>93</v>
      </c>
      <c r="AT169" s="68" t="s">
        <v>93</v>
      </c>
      <c r="AU169" s="68" t="s">
        <v>93</v>
      </c>
      <c r="AV169" s="68" t="s">
        <v>93</v>
      </c>
      <c r="AW169" s="68" t="s">
        <v>93</v>
      </c>
      <c r="AX169" s="68" t="s">
        <v>93</v>
      </c>
      <c r="AY169" s="68" t="s">
        <v>93</v>
      </c>
      <c r="AZ169" s="68" t="s">
        <v>93</v>
      </c>
      <c r="BA169" s="68" t="s">
        <v>93</v>
      </c>
      <c r="BB169" s="68" t="s">
        <v>93</v>
      </c>
      <c r="BC169" s="68" t="s">
        <v>93</v>
      </c>
      <c r="BD169" s="68" t="s">
        <v>93</v>
      </c>
      <c r="BE169" s="68" t="s">
        <v>93</v>
      </c>
      <c r="BF169" s="68" t="s">
        <v>93</v>
      </c>
      <c r="BG169" s="68" t="s">
        <v>93</v>
      </c>
      <c r="BH169" s="68" t="s">
        <v>93</v>
      </c>
      <c r="BI169" s="68" t="s">
        <v>93</v>
      </c>
      <c r="BJ169" s="68" t="s">
        <v>93</v>
      </c>
      <c r="BK169" s="68" t="s">
        <v>93</v>
      </c>
      <c r="BL169" s="68" t="s">
        <v>93</v>
      </c>
      <c r="BM169" s="68" t="s">
        <v>93</v>
      </c>
      <c r="BN169" s="68" t="s">
        <v>93</v>
      </c>
      <c r="BO169" s="68" t="s">
        <v>93</v>
      </c>
      <c r="BP169" s="69" t="s">
        <v>93</v>
      </c>
    </row>
    <row r="170" spans="2:68" x14ac:dyDescent="0.25">
      <c r="B170" s="64">
        <v>6</v>
      </c>
      <c r="C170" s="65">
        <v>24</v>
      </c>
      <c r="D170" s="65" t="s">
        <v>97</v>
      </c>
      <c r="E170" s="66">
        <f>'[3]Master File'!B169</f>
        <v>46183</v>
      </c>
      <c r="F170" s="67" t="str">
        <f>'[3]Master File'!C169</f>
        <v>Explorer 5PM</v>
      </c>
      <c r="G170" s="46"/>
      <c r="I170" s="68" t="s">
        <v>93</v>
      </c>
      <c r="J170" s="68" t="s">
        <v>93</v>
      </c>
      <c r="K170" s="68" t="s">
        <v>93</v>
      </c>
      <c r="L170" s="68" t="s">
        <v>94</v>
      </c>
      <c r="M170" s="68" t="s">
        <v>93</v>
      </c>
      <c r="N170" s="68" t="s">
        <v>93</v>
      </c>
      <c r="O170" s="68" t="s">
        <v>93</v>
      </c>
      <c r="P170" s="68" t="s">
        <v>93</v>
      </c>
      <c r="Q170" s="68" t="s">
        <v>93</v>
      </c>
      <c r="R170" s="68" t="s">
        <v>93</v>
      </c>
      <c r="S170" s="68" t="s">
        <v>93</v>
      </c>
      <c r="T170" s="68" t="s">
        <v>93</v>
      </c>
      <c r="U170" s="68" t="s">
        <v>93</v>
      </c>
      <c r="V170" s="68" t="s">
        <v>93</v>
      </c>
      <c r="W170" s="68" t="s">
        <v>93</v>
      </c>
      <c r="X170" s="68" t="s">
        <v>93</v>
      </c>
      <c r="Y170" s="68" t="s">
        <v>93</v>
      </c>
      <c r="Z170" s="68" t="s">
        <v>94</v>
      </c>
      <c r="AA170" s="68" t="s">
        <v>93</v>
      </c>
      <c r="AB170" s="68" t="s">
        <v>93</v>
      </c>
      <c r="AC170" s="68" t="s">
        <v>93</v>
      </c>
      <c r="AD170" s="68" t="s">
        <v>93</v>
      </c>
      <c r="AE170" s="68" t="s">
        <v>93</v>
      </c>
      <c r="AF170" s="68" t="s">
        <v>93</v>
      </c>
      <c r="AG170" s="68" t="s">
        <v>93</v>
      </c>
      <c r="AH170" s="68" t="s">
        <v>93</v>
      </c>
      <c r="AI170" s="68" t="s">
        <v>93</v>
      </c>
      <c r="AJ170" s="68" t="s">
        <v>93</v>
      </c>
      <c r="AK170" s="68" t="s">
        <v>93</v>
      </c>
      <c r="AL170" s="68" t="s">
        <v>93</v>
      </c>
      <c r="AM170" s="68" t="s">
        <v>93</v>
      </c>
      <c r="AN170" s="68" t="s">
        <v>93</v>
      </c>
      <c r="AO170" s="68" t="s">
        <v>93</v>
      </c>
      <c r="AP170" s="68" t="s">
        <v>93</v>
      </c>
      <c r="AQ170" s="68" t="s">
        <v>93</v>
      </c>
      <c r="AR170" s="68" t="s">
        <v>93</v>
      </c>
      <c r="AS170" s="68" t="s">
        <v>93</v>
      </c>
      <c r="AT170" s="68" t="s">
        <v>93</v>
      </c>
      <c r="AU170" s="68" t="s">
        <v>93</v>
      </c>
      <c r="AV170" s="68" t="s">
        <v>93</v>
      </c>
      <c r="AW170" s="68" t="s">
        <v>93</v>
      </c>
      <c r="AX170" s="68" t="s">
        <v>93</v>
      </c>
      <c r="AY170" s="68" t="s">
        <v>93</v>
      </c>
      <c r="AZ170" s="68" t="s">
        <v>93</v>
      </c>
      <c r="BA170" s="68" t="s">
        <v>93</v>
      </c>
      <c r="BB170" s="68" t="s">
        <v>93</v>
      </c>
      <c r="BC170" s="68" t="s">
        <v>93</v>
      </c>
      <c r="BD170" s="68" t="s">
        <v>93</v>
      </c>
      <c r="BE170" s="68" t="s">
        <v>93</v>
      </c>
      <c r="BF170" s="68" t="s">
        <v>93</v>
      </c>
      <c r="BG170" s="68" t="s">
        <v>93</v>
      </c>
      <c r="BH170" s="68" t="s">
        <v>93</v>
      </c>
      <c r="BI170" s="68" t="s">
        <v>93</v>
      </c>
      <c r="BJ170" s="68" t="s">
        <v>93</v>
      </c>
      <c r="BK170" s="68" t="s">
        <v>93</v>
      </c>
      <c r="BL170" s="68" t="s">
        <v>93</v>
      </c>
      <c r="BM170" s="68" t="s">
        <v>93</v>
      </c>
      <c r="BN170" s="68" t="s">
        <v>93</v>
      </c>
      <c r="BO170" s="68" t="s">
        <v>93</v>
      </c>
      <c r="BP170" s="69" t="s">
        <v>93</v>
      </c>
    </row>
    <row r="171" spans="2:68" x14ac:dyDescent="0.25">
      <c r="B171" s="64">
        <v>6</v>
      </c>
      <c r="C171" s="65">
        <v>24</v>
      </c>
      <c r="D171" s="65" t="s">
        <v>98</v>
      </c>
      <c r="E171" s="66">
        <f>'[3]Master File'!B170</f>
        <v>46184</v>
      </c>
      <c r="F171" s="67" t="str">
        <f>'[3]Master File'!C170</f>
        <v>Lodge 5PM</v>
      </c>
      <c r="G171" s="46"/>
      <c r="I171" s="68" t="s">
        <v>93</v>
      </c>
      <c r="J171" s="68" t="s">
        <v>93</v>
      </c>
      <c r="K171" s="68" t="s">
        <v>93</v>
      </c>
      <c r="L171" s="68" t="s">
        <v>94</v>
      </c>
      <c r="M171" s="68" t="s">
        <v>93</v>
      </c>
      <c r="N171" s="68" t="s">
        <v>93</v>
      </c>
      <c r="O171" s="68" t="s">
        <v>93</v>
      </c>
      <c r="P171" s="68" t="s">
        <v>93</v>
      </c>
      <c r="Q171" s="68" t="s">
        <v>93</v>
      </c>
      <c r="R171" s="68" t="s">
        <v>93</v>
      </c>
      <c r="S171" s="68" t="s">
        <v>93</v>
      </c>
      <c r="T171" s="68" t="s">
        <v>93</v>
      </c>
      <c r="U171" s="68" t="s">
        <v>93</v>
      </c>
      <c r="V171" s="68" t="s">
        <v>93</v>
      </c>
      <c r="W171" s="68" t="s">
        <v>93</v>
      </c>
      <c r="X171" s="68" t="s">
        <v>93</v>
      </c>
      <c r="Y171" s="68" t="s">
        <v>93</v>
      </c>
      <c r="Z171" s="68" t="s">
        <v>94</v>
      </c>
      <c r="AA171" s="68" t="s">
        <v>93</v>
      </c>
      <c r="AB171" s="68" t="s">
        <v>93</v>
      </c>
      <c r="AC171" s="68" t="s">
        <v>93</v>
      </c>
      <c r="AD171" s="68" t="s">
        <v>93</v>
      </c>
      <c r="AE171" s="68" t="s">
        <v>93</v>
      </c>
      <c r="AF171" s="68" t="s">
        <v>93</v>
      </c>
      <c r="AG171" s="68" t="s">
        <v>93</v>
      </c>
      <c r="AH171" s="68" t="s">
        <v>93</v>
      </c>
      <c r="AI171" s="68" t="s">
        <v>93</v>
      </c>
      <c r="AJ171" s="68" t="s">
        <v>93</v>
      </c>
      <c r="AK171" s="68" t="s">
        <v>93</v>
      </c>
      <c r="AL171" s="68" t="s">
        <v>93</v>
      </c>
      <c r="AM171" s="68" t="s">
        <v>93</v>
      </c>
      <c r="AN171" s="68" t="s">
        <v>93</v>
      </c>
      <c r="AO171" s="68" t="s">
        <v>93</v>
      </c>
      <c r="AP171" s="68" t="s">
        <v>93</v>
      </c>
      <c r="AQ171" s="68" t="s">
        <v>93</v>
      </c>
      <c r="AR171" s="68" t="s">
        <v>93</v>
      </c>
      <c r="AS171" s="68" t="s">
        <v>93</v>
      </c>
      <c r="AT171" s="68" t="s">
        <v>93</v>
      </c>
      <c r="AU171" s="68" t="s">
        <v>93</v>
      </c>
      <c r="AV171" s="68" t="s">
        <v>93</v>
      </c>
      <c r="AW171" s="68" t="s">
        <v>93</v>
      </c>
      <c r="AX171" s="68" t="s">
        <v>93</v>
      </c>
      <c r="AY171" s="68" t="s">
        <v>93</v>
      </c>
      <c r="AZ171" s="68" t="s">
        <v>93</v>
      </c>
      <c r="BA171" s="68" t="s">
        <v>93</v>
      </c>
      <c r="BB171" s="68" t="s">
        <v>93</v>
      </c>
      <c r="BC171" s="68" t="s">
        <v>93</v>
      </c>
      <c r="BD171" s="68" t="s">
        <v>93</v>
      </c>
      <c r="BE171" s="68" t="s">
        <v>93</v>
      </c>
      <c r="BF171" s="68" t="s">
        <v>93</v>
      </c>
      <c r="BG171" s="68" t="s">
        <v>93</v>
      </c>
      <c r="BH171" s="68" t="s">
        <v>93</v>
      </c>
      <c r="BI171" s="68" t="s">
        <v>93</v>
      </c>
      <c r="BJ171" s="68" t="s">
        <v>93</v>
      </c>
      <c r="BK171" s="68" t="s">
        <v>93</v>
      </c>
      <c r="BL171" s="68" t="s">
        <v>93</v>
      </c>
      <c r="BM171" s="68" t="s">
        <v>93</v>
      </c>
      <c r="BN171" s="68" t="s">
        <v>93</v>
      </c>
      <c r="BO171" s="68" t="s">
        <v>93</v>
      </c>
      <c r="BP171" s="69" t="s">
        <v>93</v>
      </c>
    </row>
    <row r="172" spans="2:68" x14ac:dyDescent="0.25">
      <c r="B172" s="64">
        <v>6</v>
      </c>
      <c r="C172" s="65">
        <v>24</v>
      </c>
      <c r="D172" s="65" t="s">
        <v>99</v>
      </c>
      <c r="E172" s="66">
        <f>'[3]Master File'!B171</f>
        <v>46185</v>
      </c>
      <c r="F172" s="67" t="str">
        <f>'[3]Master File'!C171</f>
        <v>Lodge 5PM</v>
      </c>
      <c r="G172" s="46"/>
      <c r="I172" s="68" t="s">
        <v>93</v>
      </c>
      <c r="J172" s="68" t="s">
        <v>93</v>
      </c>
      <c r="K172" s="68" t="s">
        <v>93</v>
      </c>
      <c r="L172" s="68" t="s">
        <v>94</v>
      </c>
      <c r="M172" s="68" t="s">
        <v>93</v>
      </c>
      <c r="N172" s="68" t="s">
        <v>93</v>
      </c>
      <c r="O172" s="68" t="s">
        <v>93</v>
      </c>
      <c r="P172" s="68" t="s">
        <v>93</v>
      </c>
      <c r="Q172" s="68" t="s">
        <v>93</v>
      </c>
      <c r="R172" s="68" t="s">
        <v>93</v>
      </c>
      <c r="S172" s="68" t="s">
        <v>93</v>
      </c>
      <c r="T172" s="68" t="s">
        <v>93</v>
      </c>
      <c r="U172" s="68" t="s">
        <v>93</v>
      </c>
      <c r="V172" s="68" t="s">
        <v>93</v>
      </c>
      <c r="W172" s="68" t="s">
        <v>93</v>
      </c>
      <c r="X172" s="68" t="s">
        <v>93</v>
      </c>
      <c r="Y172" s="68" t="s">
        <v>93</v>
      </c>
      <c r="Z172" s="68" t="s">
        <v>94</v>
      </c>
      <c r="AA172" s="68" t="s">
        <v>93</v>
      </c>
      <c r="AB172" s="68" t="s">
        <v>93</v>
      </c>
      <c r="AC172" s="68" t="s">
        <v>93</v>
      </c>
      <c r="AD172" s="68" t="s">
        <v>93</v>
      </c>
      <c r="AE172" s="68" t="s">
        <v>93</v>
      </c>
      <c r="AF172" s="68" t="s">
        <v>93</v>
      </c>
      <c r="AG172" s="68" t="s">
        <v>93</v>
      </c>
      <c r="AH172" s="68" t="s">
        <v>93</v>
      </c>
      <c r="AI172" s="68" t="s">
        <v>93</v>
      </c>
      <c r="AJ172" s="68" t="s">
        <v>93</v>
      </c>
      <c r="AK172" s="68" t="s">
        <v>93</v>
      </c>
      <c r="AL172" s="68" t="s">
        <v>93</v>
      </c>
      <c r="AM172" s="68" t="s">
        <v>93</v>
      </c>
      <c r="AN172" s="68" t="s">
        <v>93</v>
      </c>
      <c r="AO172" s="68" t="s">
        <v>93</v>
      </c>
      <c r="AP172" s="68" t="s">
        <v>93</v>
      </c>
      <c r="AQ172" s="68" t="s">
        <v>93</v>
      </c>
      <c r="AR172" s="68" t="s">
        <v>93</v>
      </c>
      <c r="AS172" s="68" t="s">
        <v>93</v>
      </c>
      <c r="AT172" s="68" t="s">
        <v>93</v>
      </c>
      <c r="AU172" s="68" t="s">
        <v>93</v>
      </c>
      <c r="AV172" s="68" t="s">
        <v>93</v>
      </c>
      <c r="AW172" s="68" t="s">
        <v>93</v>
      </c>
      <c r="AX172" s="68" t="s">
        <v>93</v>
      </c>
      <c r="AY172" s="68" t="s">
        <v>93</v>
      </c>
      <c r="AZ172" s="68" t="s">
        <v>93</v>
      </c>
      <c r="BA172" s="68" t="s">
        <v>93</v>
      </c>
      <c r="BB172" s="68" t="s">
        <v>93</v>
      </c>
      <c r="BC172" s="68" t="s">
        <v>93</v>
      </c>
      <c r="BD172" s="68" t="s">
        <v>93</v>
      </c>
      <c r="BE172" s="68" t="s">
        <v>93</v>
      </c>
      <c r="BF172" s="68" t="s">
        <v>93</v>
      </c>
      <c r="BG172" s="68" t="s">
        <v>93</v>
      </c>
      <c r="BH172" s="68" t="s">
        <v>93</v>
      </c>
      <c r="BI172" s="68" t="s">
        <v>93</v>
      </c>
      <c r="BJ172" s="68" t="s">
        <v>93</v>
      </c>
      <c r="BK172" s="68" t="s">
        <v>93</v>
      </c>
      <c r="BL172" s="68" t="s">
        <v>93</v>
      </c>
      <c r="BM172" s="68" t="s">
        <v>93</v>
      </c>
      <c r="BN172" s="68" t="s">
        <v>93</v>
      </c>
      <c r="BO172" s="68" t="s">
        <v>93</v>
      </c>
      <c r="BP172" s="69" t="s">
        <v>93</v>
      </c>
    </row>
    <row r="173" spans="2:68" x14ac:dyDescent="0.25">
      <c r="B173" s="64">
        <v>6</v>
      </c>
      <c r="C173" s="65">
        <v>24</v>
      </c>
      <c r="D173" s="65" t="s">
        <v>100</v>
      </c>
      <c r="E173" s="66">
        <f>'[3]Master File'!B172</f>
        <v>46186</v>
      </c>
      <c r="F173" s="67" t="str">
        <f>'[3]Master File'!C172</f>
        <v>Explorer 6PM</v>
      </c>
      <c r="G173" s="46"/>
      <c r="I173" s="70" t="s">
        <v>93</v>
      </c>
      <c r="J173" s="70" t="s">
        <v>93</v>
      </c>
      <c r="K173" s="70" t="s">
        <v>93</v>
      </c>
      <c r="L173" s="68" t="s">
        <v>94</v>
      </c>
      <c r="M173" s="70" t="s">
        <v>93</v>
      </c>
      <c r="N173" s="70" t="s">
        <v>93</v>
      </c>
      <c r="O173" s="70" t="s">
        <v>93</v>
      </c>
      <c r="P173" s="70" t="s">
        <v>93</v>
      </c>
      <c r="Q173" s="70" t="s">
        <v>93</v>
      </c>
      <c r="R173" s="70" t="s">
        <v>93</v>
      </c>
      <c r="S173" s="70" t="s">
        <v>93</v>
      </c>
      <c r="T173" s="70" t="s">
        <v>93</v>
      </c>
      <c r="U173" s="70" t="s">
        <v>93</v>
      </c>
      <c r="V173" s="70" t="s">
        <v>93</v>
      </c>
      <c r="W173" s="70" t="s">
        <v>93</v>
      </c>
      <c r="X173" s="70" t="s">
        <v>93</v>
      </c>
      <c r="Y173" s="70" t="s">
        <v>93</v>
      </c>
      <c r="Z173" s="68" t="s">
        <v>94</v>
      </c>
      <c r="AA173" s="70" t="s">
        <v>93</v>
      </c>
      <c r="AB173" s="70" t="s">
        <v>93</v>
      </c>
      <c r="AC173" s="70" t="s">
        <v>93</v>
      </c>
      <c r="AD173" s="70" t="s">
        <v>94</v>
      </c>
      <c r="AE173" s="70" t="s">
        <v>94</v>
      </c>
      <c r="AF173" s="70" t="s">
        <v>93</v>
      </c>
      <c r="AG173" s="70" t="s">
        <v>93</v>
      </c>
      <c r="AH173" s="70" t="s">
        <v>93</v>
      </c>
      <c r="AI173" s="70" t="s">
        <v>93</v>
      </c>
      <c r="AJ173" s="70" t="s">
        <v>93</v>
      </c>
      <c r="AK173" s="70" t="s">
        <v>93</v>
      </c>
      <c r="AL173" s="70" t="s">
        <v>93</v>
      </c>
      <c r="AM173" s="70" t="s">
        <v>93</v>
      </c>
      <c r="AN173" s="70" t="s">
        <v>93</v>
      </c>
      <c r="AO173" s="70" t="s">
        <v>93</v>
      </c>
      <c r="AP173" s="70" t="s">
        <v>93</v>
      </c>
      <c r="AQ173" s="70" t="s">
        <v>93</v>
      </c>
      <c r="AR173" s="70" t="s">
        <v>93</v>
      </c>
      <c r="AS173" s="70" t="s">
        <v>93</v>
      </c>
      <c r="AT173" s="70" t="s">
        <v>93</v>
      </c>
      <c r="AU173" s="70" t="s">
        <v>93</v>
      </c>
      <c r="AV173" s="70" t="s">
        <v>93</v>
      </c>
      <c r="AW173" s="70" t="s">
        <v>93</v>
      </c>
      <c r="AX173" s="70" t="s">
        <v>93</v>
      </c>
      <c r="AY173" s="70" t="s">
        <v>93</v>
      </c>
      <c r="AZ173" s="70" t="s">
        <v>93</v>
      </c>
      <c r="BA173" s="70" t="s">
        <v>93</v>
      </c>
      <c r="BB173" s="70" t="s">
        <v>93</v>
      </c>
      <c r="BC173" s="70" t="s">
        <v>93</v>
      </c>
      <c r="BD173" s="70" t="s">
        <v>93</v>
      </c>
      <c r="BE173" s="70" t="s">
        <v>93</v>
      </c>
      <c r="BF173" s="70" t="s">
        <v>93</v>
      </c>
      <c r="BG173" s="70" t="s">
        <v>93</v>
      </c>
      <c r="BH173" s="70" t="s">
        <v>93</v>
      </c>
      <c r="BI173" s="70" t="s">
        <v>93</v>
      </c>
      <c r="BJ173" s="70" t="s">
        <v>93</v>
      </c>
      <c r="BK173" s="70" t="s">
        <v>93</v>
      </c>
      <c r="BL173" s="70" t="s">
        <v>93</v>
      </c>
      <c r="BM173" s="70" t="s">
        <v>93</v>
      </c>
      <c r="BN173" s="70" t="s">
        <v>93</v>
      </c>
      <c r="BO173" s="70" t="s">
        <v>93</v>
      </c>
      <c r="BP173" s="71" t="s">
        <v>93</v>
      </c>
    </row>
    <row r="174" spans="2:68" x14ac:dyDescent="0.25">
      <c r="B174" s="64">
        <v>6</v>
      </c>
      <c r="C174" s="65">
        <v>25</v>
      </c>
      <c r="D174" s="65" t="s">
        <v>92</v>
      </c>
      <c r="E174" s="66">
        <f>'[3]Master File'!B173</f>
        <v>46187</v>
      </c>
      <c r="F174" s="67" t="str">
        <f>'[3]Master File'!C173</f>
        <v>Explorer 6PM</v>
      </c>
      <c r="G174" s="46"/>
      <c r="I174" s="70" t="s">
        <v>93</v>
      </c>
      <c r="J174" s="70" t="s">
        <v>93</v>
      </c>
      <c r="K174" s="70" t="s">
        <v>93</v>
      </c>
      <c r="L174" s="68" t="s">
        <v>94</v>
      </c>
      <c r="M174" s="70" t="s">
        <v>93</v>
      </c>
      <c r="N174" s="70" t="s">
        <v>93</v>
      </c>
      <c r="O174" s="70" t="s">
        <v>93</v>
      </c>
      <c r="P174" s="70" t="s">
        <v>93</v>
      </c>
      <c r="Q174" s="70" t="s">
        <v>93</v>
      </c>
      <c r="R174" s="70" t="s">
        <v>93</v>
      </c>
      <c r="S174" s="70" t="s">
        <v>93</v>
      </c>
      <c r="T174" s="70" t="s">
        <v>93</v>
      </c>
      <c r="U174" s="70" t="s">
        <v>93</v>
      </c>
      <c r="V174" s="70" t="s">
        <v>93</v>
      </c>
      <c r="W174" s="70" t="s">
        <v>93</v>
      </c>
      <c r="X174" s="70" t="s">
        <v>93</v>
      </c>
      <c r="Y174" s="70" t="s">
        <v>93</v>
      </c>
      <c r="Z174" s="68" t="s">
        <v>94</v>
      </c>
      <c r="AA174" s="70" t="s">
        <v>93</v>
      </c>
      <c r="AB174" s="70" t="s">
        <v>93</v>
      </c>
      <c r="AC174" s="70" t="s">
        <v>93</v>
      </c>
      <c r="AD174" s="70" t="s">
        <v>94</v>
      </c>
      <c r="AE174" s="70" t="s">
        <v>94</v>
      </c>
      <c r="AF174" s="70" t="s">
        <v>93</v>
      </c>
      <c r="AG174" s="70" t="s">
        <v>93</v>
      </c>
      <c r="AH174" s="70" t="s">
        <v>93</v>
      </c>
      <c r="AI174" s="70" t="s">
        <v>93</v>
      </c>
      <c r="AJ174" s="70" t="s">
        <v>93</v>
      </c>
      <c r="AK174" s="70" t="s">
        <v>93</v>
      </c>
      <c r="AL174" s="70" t="s">
        <v>93</v>
      </c>
      <c r="AM174" s="70" t="s">
        <v>93</v>
      </c>
      <c r="AN174" s="70" t="s">
        <v>93</v>
      </c>
      <c r="AO174" s="70" t="s">
        <v>93</v>
      </c>
      <c r="AP174" s="70" t="s">
        <v>93</v>
      </c>
      <c r="AQ174" s="70" t="s">
        <v>93</v>
      </c>
      <c r="AR174" s="70" t="s">
        <v>93</v>
      </c>
      <c r="AS174" s="70" t="s">
        <v>93</v>
      </c>
      <c r="AT174" s="70" t="s">
        <v>93</v>
      </c>
      <c r="AU174" s="70" t="s">
        <v>93</v>
      </c>
      <c r="AV174" s="70" t="s">
        <v>93</v>
      </c>
      <c r="AW174" s="70" t="s">
        <v>93</v>
      </c>
      <c r="AX174" s="70" t="s">
        <v>93</v>
      </c>
      <c r="AY174" s="70" t="s">
        <v>93</v>
      </c>
      <c r="AZ174" s="70" t="s">
        <v>93</v>
      </c>
      <c r="BA174" s="70" t="s">
        <v>93</v>
      </c>
      <c r="BB174" s="70" t="s">
        <v>93</v>
      </c>
      <c r="BC174" s="70" t="s">
        <v>93</v>
      </c>
      <c r="BD174" s="70" t="s">
        <v>93</v>
      </c>
      <c r="BE174" s="70" t="s">
        <v>93</v>
      </c>
      <c r="BF174" s="70" t="s">
        <v>93</v>
      </c>
      <c r="BG174" s="70" t="s">
        <v>93</v>
      </c>
      <c r="BH174" s="70" t="s">
        <v>93</v>
      </c>
      <c r="BI174" s="70" t="s">
        <v>93</v>
      </c>
      <c r="BJ174" s="70" t="s">
        <v>93</v>
      </c>
      <c r="BK174" s="70" t="s">
        <v>93</v>
      </c>
      <c r="BL174" s="70" t="s">
        <v>93</v>
      </c>
      <c r="BM174" s="70" t="s">
        <v>93</v>
      </c>
      <c r="BN174" s="70" t="s">
        <v>93</v>
      </c>
      <c r="BO174" s="70" t="s">
        <v>93</v>
      </c>
      <c r="BP174" s="71" t="s">
        <v>93</v>
      </c>
    </row>
    <row r="175" spans="2:68" x14ac:dyDescent="0.25">
      <c r="B175" s="64">
        <v>6</v>
      </c>
      <c r="C175" s="65">
        <v>25</v>
      </c>
      <c r="D175" s="65" t="s">
        <v>95</v>
      </c>
      <c r="E175" s="66">
        <f>'[3]Master File'!B174</f>
        <v>46188</v>
      </c>
      <c r="F175" s="67" t="str">
        <f>'[3]Master File'!C174</f>
        <v>Lodge 5PM</v>
      </c>
      <c r="G175" s="46"/>
      <c r="I175" s="68" t="s">
        <v>93</v>
      </c>
      <c r="J175" s="68" t="s">
        <v>93</v>
      </c>
      <c r="K175" s="68" t="s">
        <v>93</v>
      </c>
      <c r="L175" s="68" t="s">
        <v>94</v>
      </c>
      <c r="M175" s="68" t="s">
        <v>93</v>
      </c>
      <c r="N175" s="68" t="s">
        <v>93</v>
      </c>
      <c r="O175" s="68" t="s">
        <v>93</v>
      </c>
      <c r="P175" s="68" t="s">
        <v>93</v>
      </c>
      <c r="Q175" s="68" t="s">
        <v>93</v>
      </c>
      <c r="R175" s="68" t="s">
        <v>93</v>
      </c>
      <c r="S175" s="68" t="s">
        <v>93</v>
      </c>
      <c r="T175" s="68" t="s">
        <v>93</v>
      </c>
      <c r="U175" s="68" t="s">
        <v>93</v>
      </c>
      <c r="V175" s="68" t="s">
        <v>93</v>
      </c>
      <c r="W175" s="68" t="s">
        <v>93</v>
      </c>
      <c r="X175" s="68" t="s">
        <v>93</v>
      </c>
      <c r="Y175" s="68" t="s">
        <v>93</v>
      </c>
      <c r="Z175" s="68" t="s">
        <v>94</v>
      </c>
      <c r="AA175" s="68" t="s">
        <v>93</v>
      </c>
      <c r="AB175" s="68" t="s">
        <v>93</v>
      </c>
      <c r="AC175" s="68" t="s">
        <v>93</v>
      </c>
      <c r="AD175" s="68" t="s">
        <v>93</v>
      </c>
      <c r="AE175" s="68" t="s">
        <v>93</v>
      </c>
      <c r="AF175" s="68" t="s">
        <v>93</v>
      </c>
      <c r="AG175" s="68" t="s">
        <v>93</v>
      </c>
      <c r="AH175" s="68" t="s">
        <v>93</v>
      </c>
      <c r="AI175" s="68" t="s">
        <v>93</v>
      </c>
      <c r="AJ175" s="68" t="s">
        <v>93</v>
      </c>
      <c r="AK175" s="68" t="s">
        <v>93</v>
      </c>
      <c r="AL175" s="68" t="s">
        <v>93</v>
      </c>
      <c r="AM175" s="68" t="s">
        <v>93</v>
      </c>
      <c r="AN175" s="68" t="s">
        <v>93</v>
      </c>
      <c r="AO175" s="68" t="s">
        <v>93</v>
      </c>
      <c r="AP175" s="68" t="s">
        <v>93</v>
      </c>
      <c r="AQ175" s="68" t="s">
        <v>93</v>
      </c>
      <c r="AR175" s="68" t="s">
        <v>93</v>
      </c>
      <c r="AS175" s="68" t="s">
        <v>93</v>
      </c>
      <c r="AT175" s="68" t="s">
        <v>93</v>
      </c>
      <c r="AU175" s="68" t="s">
        <v>93</v>
      </c>
      <c r="AV175" s="68" t="s">
        <v>93</v>
      </c>
      <c r="AW175" s="68" t="s">
        <v>93</v>
      </c>
      <c r="AX175" s="68" t="s">
        <v>93</v>
      </c>
      <c r="AY175" s="68" t="s">
        <v>93</v>
      </c>
      <c r="AZ175" s="68" t="s">
        <v>93</v>
      </c>
      <c r="BA175" s="68" t="s">
        <v>93</v>
      </c>
      <c r="BB175" s="68" t="s">
        <v>93</v>
      </c>
      <c r="BC175" s="68" t="s">
        <v>93</v>
      </c>
      <c r="BD175" s="68" t="s">
        <v>93</v>
      </c>
      <c r="BE175" s="68" t="s">
        <v>93</v>
      </c>
      <c r="BF175" s="68" t="s">
        <v>93</v>
      </c>
      <c r="BG175" s="68" t="s">
        <v>93</v>
      </c>
      <c r="BH175" s="68" t="s">
        <v>93</v>
      </c>
      <c r="BI175" s="68" t="s">
        <v>93</v>
      </c>
      <c r="BJ175" s="68" t="s">
        <v>93</v>
      </c>
      <c r="BK175" s="68" t="s">
        <v>93</v>
      </c>
      <c r="BL175" s="68" t="s">
        <v>93</v>
      </c>
      <c r="BM175" s="68" t="s">
        <v>93</v>
      </c>
      <c r="BN175" s="68" t="s">
        <v>93</v>
      </c>
      <c r="BO175" s="68" t="s">
        <v>93</v>
      </c>
      <c r="BP175" s="69" t="s">
        <v>93</v>
      </c>
    </row>
    <row r="176" spans="2:68" x14ac:dyDescent="0.25">
      <c r="B176" s="64">
        <v>6</v>
      </c>
      <c r="C176" s="65">
        <v>25</v>
      </c>
      <c r="D176" s="65" t="s">
        <v>96</v>
      </c>
      <c r="E176" s="66">
        <f>'[3]Master File'!B175</f>
        <v>46189</v>
      </c>
      <c r="F176" s="67" t="str">
        <f>'[3]Master File'!C175</f>
        <v>Lodge 5PM</v>
      </c>
      <c r="G176" s="46"/>
      <c r="I176" s="68" t="s">
        <v>93</v>
      </c>
      <c r="J176" s="68" t="s">
        <v>93</v>
      </c>
      <c r="K176" s="68" t="s">
        <v>93</v>
      </c>
      <c r="L176" s="68" t="s">
        <v>94</v>
      </c>
      <c r="M176" s="68" t="s">
        <v>93</v>
      </c>
      <c r="N176" s="68" t="s">
        <v>93</v>
      </c>
      <c r="O176" s="68" t="s">
        <v>93</v>
      </c>
      <c r="P176" s="68" t="s">
        <v>93</v>
      </c>
      <c r="Q176" s="68" t="s">
        <v>93</v>
      </c>
      <c r="R176" s="68" t="s">
        <v>93</v>
      </c>
      <c r="S176" s="68" t="s">
        <v>93</v>
      </c>
      <c r="T176" s="68" t="s">
        <v>93</v>
      </c>
      <c r="U176" s="68" t="s">
        <v>93</v>
      </c>
      <c r="V176" s="68" t="s">
        <v>93</v>
      </c>
      <c r="W176" s="68" t="s">
        <v>93</v>
      </c>
      <c r="X176" s="68" t="s">
        <v>93</v>
      </c>
      <c r="Y176" s="68" t="s">
        <v>93</v>
      </c>
      <c r="Z176" s="68" t="s">
        <v>94</v>
      </c>
      <c r="AA176" s="68" t="s">
        <v>93</v>
      </c>
      <c r="AB176" s="68" t="s">
        <v>93</v>
      </c>
      <c r="AC176" s="68" t="s">
        <v>93</v>
      </c>
      <c r="AD176" s="68" t="s">
        <v>93</v>
      </c>
      <c r="AE176" s="68" t="s">
        <v>93</v>
      </c>
      <c r="AF176" s="68" t="s">
        <v>93</v>
      </c>
      <c r="AG176" s="68" t="s">
        <v>93</v>
      </c>
      <c r="AH176" s="68" t="s">
        <v>93</v>
      </c>
      <c r="AI176" s="68" t="s">
        <v>93</v>
      </c>
      <c r="AJ176" s="68" t="s">
        <v>93</v>
      </c>
      <c r="AK176" s="68" t="s">
        <v>93</v>
      </c>
      <c r="AL176" s="68" t="s">
        <v>93</v>
      </c>
      <c r="AM176" s="68" t="s">
        <v>93</v>
      </c>
      <c r="AN176" s="68" t="s">
        <v>93</v>
      </c>
      <c r="AO176" s="68" t="s">
        <v>93</v>
      </c>
      <c r="AP176" s="68" t="s">
        <v>93</v>
      </c>
      <c r="AQ176" s="68" t="s">
        <v>93</v>
      </c>
      <c r="AR176" s="68" t="s">
        <v>93</v>
      </c>
      <c r="AS176" s="68" t="s">
        <v>93</v>
      </c>
      <c r="AT176" s="68" t="s">
        <v>93</v>
      </c>
      <c r="AU176" s="68" t="s">
        <v>93</v>
      </c>
      <c r="AV176" s="68" t="s">
        <v>93</v>
      </c>
      <c r="AW176" s="68" t="s">
        <v>93</v>
      </c>
      <c r="AX176" s="68" t="s">
        <v>93</v>
      </c>
      <c r="AY176" s="68" t="s">
        <v>93</v>
      </c>
      <c r="AZ176" s="68" t="s">
        <v>93</v>
      </c>
      <c r="BA176" s="68" t="s">
        <v>93</v>
      </c>
      <c r="BB176" s="68" t="s">
        <v>93</v>
      </c>
      <c r="BC176" s="68" t="s">
        <v>93</v>
      </c>
      <c r="BD176" s="68" t="s">
        <v>93</v>
      </c>
      <c r="BE176" s="68" t="s">
        <v>93</v>
      </c>
      <c r="BF176" s="68" t="s">
        <v>93</v>
      </c>
      <c r="BG176" s="68" t="s">
        <v>93</v>
      </c>
      <c r="BH176" s="68" t="s">
        <v>93</v>
      </c>
      <c r="BI176" s="68" t="s">
        <v>93</v>
      </c>
      <c r="BJ176" s="68" t="s">
        <v>93</v>
      </c>
      <c r="BK176" s="68" t="s">
        <v>93</v>
      </c>
      <c r="BL176" s="68" t="s">
        <v>93</v>
      </c>
      <c r="BM176" s="68" t="s">
        <v>93</v>
      </c>
      <c r="BN176" s="68" t="s">
        <v>93</v>
      </c>
      <c r="BO176" s="68" t="s">
        <v>93</v>
      </c>
      <c r="BP176" s="69" t="s">
        <v>93</v>
      </c>
    </row>
    <row r="177" spans="2:68" x14ac:dyDescent="0.25">
      <c r="B177" s="64">
        <v>6</v>
      </c>
      <c r="C177" s="65">
        <v>25</v>
      </c>
      <c r="D177" s="65" t="s">
        <v>97</v>
      </c>
      <c r="E177" s="66">
        <f>'[3]Master File'!B176</f>
        <v>46190</v>
      </c>
      <c r="F177" s="67" t="str">
        <f>'[3]Master File'!C176</f>
        <v>Lodge 5PM</v>
      </c>
      <c r="G177" s="46"/>
      <c r="I177" s="68" t="s">
        <v>93</v>
      </c>
      <c r="J177" s="68" t="s">
        <v>93</v>
      </c>
      <c r="K177" s="68" t="s">
        <v>93</v>
      </c>
      <c r="L177" s="68" t="s">
        <v>94</v>
      </c>
      <c r="M177" s="68" t="s">
        <v>93</v>
      </c>
      <c r="N177" s="68" t="s">
        <v>93</v>
      </c>
      <c r="O177" s="68" t="s">
        <v>93</v>
      </c>
      <c r="P177" s="68" t="s">
        <v>93</v>
      </c>
      <c r="Q177" s="68" t="s">
        <v>93</v>
      </c>
      <c r="R177" s="68" t="s">
        <v>93</v>
      </c>
      <c r="S177" s="68" t="s">
        <v>93</v>
      </c>
      <c r="T177" s="68" t="s">
        <v>93</v>
      </c>
      <c r="U177" s="68" t="s">
        <v>93</v>
      </c>
      <c r="V177" s="68" t="s">
        <v>93</v>
      </c>
      <c r="W177" s="68" t="s">
        <v>93</v>
      </c>
      <c r="X177" s="68" t="s">
        <v>93</v>
      </c>
      <c r="Y177" s="68" t="s">
        <v>93</v>
      </c>
      <c r="Z177" s="68" t="s">
        <v>94</v>
      </c>
      <c r="AA177" s="68" t="s">
        <v>93</v>
      </c>
      <c r="AB177" s="68" t="s">
        <v>93</v>
      </c>
      <c r="AC177" s="68" t="s">
        <v>93</v>
      </c>
      <c r="AD177" s="68" t="s">
        <v>93</v>
      </c>
      <c r="AE177" s="68" t="s">
        <v>93</v>
      </c>
      <c r="AF177" s="68" t="s">
        <v>93</v>
      </c>
      <c r="AG177" s="68" t="s">
        <v>93</v>
      </c>
      <c r="AH177" s="68" t="s">
        <v>93</v>
      </c>
      <c r="AI177" s="68" t="s">
        <v>93</v>
      </c>
      <c r="AJ177" s="68" t="s">
        <v>93</v>
      </c>
      <c r="AK177" s="68" t="s">
        <v>93</v>
      </c>
      <c r="AL177" s="68" t="s">
        <v>93</v>
      </c>
      <c r="AM177" s="68" t="s">
        <v>93</v>
      </c>
      <c r="AN177" s="68" t="s">
        <v>93</v>
      </c>
      <c r="AO177" s="68" t="s">
        <v>93</v>
      </c>
      <c r="AP177" s="68" t="s">
        <v>93</v>
      </c>
      <c r="AQ177" s="68" t="s">
        <v>93</v>
      </c>
      <c r="AR177" s="68" t="s">
        <v>93</v>
      </c>
      <c r="AS177" s="68" t="s">
        <v>93</v>
      </c>
      <c r="AT177" s="68" t="s">
        <v>93</v>
      </c>
      <c r="AU177" s="68" t="s">
        <v>93</v>
      </c>
      <c r="AV177" s="68" t="s">
        <v>93</v>
      </c>
      <c r="AW177" s="68" t="s">
        <v>93</v>
      </c>
      <c r="AX177" s="68" t="s">
        <v>93</v>
      </c>
      <c r="AY177" s="68" t="s">
        <v>93</v>
      </c>
      <c r="AZ177" s="68" t="s">
        <v>93</v>
      </c>
      <c r="BA177" s="68" t="s">
        <v>93</v>
      </c>
      <c r="BB177" s="68" t="s">
        <v>93</v>
      </c>
      <c r="BC177" s="68" t="s">
        <v>93</v>
      </c>
      <c r="BD177" s="68" t="s">
        <v>93</v>
      </c>
      <c r="BE177" s="68" t="s">
        <v>93</v>
      </c>
      <c r="BF177" s="68" t="s">
        <v>93</v>
      </c>
      <c r="BG177" s="68" t="s">
        <v>93</v>
      </c>
      <c r="BH177" s="68" t="s">
        <v>93</v>
      </c>
      <c r="BI177" s="68" t="s">
        <v>93</v>
      </c>
      <c r="BJ177" s="68" t="s">
        <v>93</v>
      </c>
      <c r="BK177" s="68" t="s">
        <v>93</v>
      </c>
      <c r="BL177" s="68" t="s">
        <v>93</v>
      </c>
      <c r="BM177" s="68" t="s">
        <v>93</v>
      </c>
      <c r="BN177" s="68" t="s">
        <v>93</v>
      </c>
      <c r="BO177" s="68" t="s">
        <v>93</v>
      </c>
      <c r="BP177" s="69" t="s">
        <v>93</v>
      </c>
    </row>
    <row r="178" spans="2:68" x14ac:dyDescent="0.25">
      <c r="B178" s="64">
        <v>6</v>
      </c>
      <c r="C178" s="65">
        <v>25</v>
      </c>
      <c r="D178" s="65" t="s">
        <v>98</v>
      </c>
      <c r="E178" s="66">
        <f>'[3]Master File'!B177</f>
        <v>46191</v>
      </c>
      <c r="F178" s="67" t="str">
        <f>'[3]Master File'!C177</f>
        <v>Lodge 5PM</v>
      </c>
      <c r="G178" s="46"/>
      <c r="I178" s="68" t="s">
        <v>93</v>
      </c>
      <c r="J178" s="68" t="s">
        <v>93</v>
      </c>
      <c r="K178" s="68" t="s">
        <v>93</v>
      </c>
      <c r="L178" s="68" t="s">
        <v>94</v>
      </c>
      <c r="M178" s="68" t="s">
        <v>93</v>
      </c>
      <c r="N178" s="68" t="s">
        <v>93</v>
      </c>
      <c r="O178" s="68" t="s">
        <v>93</v>
      </c>
      <c r="P178" s="68" t="s">
        <v>93</v>
      </c>
      <c r="Q178" s="68" t="s">
        <v>93</v>
      </c>
      <c r="R178" s="68" t="s">
        <v>93</v>
      </c>
      <c r="S178" s="68" t="s">
        <v>93</v>
      </c>
      <c r="T178" s="68" t="s">
        <v>93</v>
      </c>
      <c r="U178" s="68" t="s">
        <v>93</v>
      </c>
      <c r="V178" s="68" t="s">
        <v>93</v>
      </c>
      <c r="W178" s="68" t="s">
        <v>93</v>
      </c>
      <c r="X178" s="68" t="s">
        <v>93</v>
      </c>
      <c r="Y178" s="68" t="s">
        <v>93</v>
      </c>
      <c r="Z178" s="68" t="s">
        <v>94</v>
      </c>
      <c r="AA178" s="68" t="s">
        <v>93</v>
      </c>
      <c r="AB178" s="68" t="s">
        <v>93</v>
      </c>
      <c r="AC178" s="68" t="s">
        <v>93</v>
      </c>
      <c r="AD178" s="68" t="s">
        <v>93</v>
      </c>
      <c r="AE178" s="68" t="s">
        <v>93</v>
      </c>
      <c r="AF178" s="68" t="s">
        <v>93</v>
      </c>
      <c r="AG178" s="68" t="s">
        <v>93</v>
      </c>
      <c r="AH178" s="68" t="s">
        <v>93</v>
      </c>
      <c r="AI178" s="68" t="s">
        <v>93</v>
      </c>
      <c r="AJ178" s="68" t="s">
        <v>93</v>
      </c>
      <c r="AK178" s="68" t="s">
        <v>93</v>
      </c>
      <c r="AL178" s="68" t="s">
        <v>93</v>
      </c>
      <c r="AM178" s="68" t="s">
        <v>93</v>
      </c>
      <c r="AN178" s="68" t="s">
        <v>93</v>
      </c>
      <c r="AO178" s="68" t="s">
        <v>93</v>
      </c>
      <c r="AP178" s="68" t="s">
        <v>93</v>
      </c>
      <c r="AQ178" s="68" t="s">
        <v>93</v>
      </c>
      <c r="AR178" s="68" t="s">
        <v>93</v>
      </c>
      <c r="AS178" s="68" t="s">
        <v>93</v>
      </c>
      <c r="AT178" s="68" t="s">
        <v>93</v>
      </c>
      <c r="AU178" s="68" t="s">
        <v>93</v>
      </c>
      <c r="AV178" s="68" t="s">
        <v>93</v>
      </c>
      <c r="AW178" s="68" t="s">
        <v>93</v>
      </c>
      <c r="AX178" s="68" t="s">
        <v>93</v>
      </c>
      <c r="AY178" s="68" t="s">
        <v>93</v>
      </c>
      <c r="AZ178" s="68" t="s">
        <v>93</v>
      </c>
      <c r="BA178" s="68" t="s">
        <v>93</v>
      </c>
      <c r="BB178" s="68" t="s">
        <v>93</v>
      </c>
      <c r="BC178" s="68" t="s">
        <v>93</v>
      </c>
      <c r="BD178" s="68" t="s">
        <v>93</v>
      </c>
      <c r="BE178" s="68" t="s">
        <v>93</v>
      </c>
      <c r="BF178" s="68" t="s">
        <v>93</v>
      </c>
      <c r="BG178" s="68" t="s">
        <v>93</v>
      </c>
      <c r="BH178" s="68" t="s">
        <v>93</v>
      </c>
      <c r="BI178" s="68" t="s">
        <v>93</v>
      </c>
      <c r="BJ178" s="68" t="s">
        <v>93</v>
      </c>
      <c r="BK178" s="68" t="s">
        <v>93</v>
      </c>
      <c r="BL178" s="68" t="s">
        <v>93</v>
      </c>
      <c r="BM178" s="68" t="s">
        <v>93</v>
      </c>
      <c r="BN178" s="68" t="s">
        <v>93</v>
      </c>
      <c r="BO178" s="68" t="s">
        <v>93</v>
      </c>
      <c r="BP178" s="69" t="s">
        <v>93</v>
      </c>
    </row>
    <row r="179" spans="2:68" x14ac:dyDescent="0.25">
      <c r="B179" s="64">
        <v>6</v>
      </c>
      <c r="C179" s="65">
        <v>25</v>
      </c>
      <c r="D179" s="65" t="s">
        <v>99</v>
      </c>
      <c r="E179" s="66">
        <f>'[3]Master File'!B178</f>
        <v>46192</v>
      </c>
      <c r="F179" s="67" t="str">
        <f>'[3]Master File'!C178</f>
        <v>Explorer 5PM</v>
      </c>
      <c r="G179" s="46"/>
      <c r="I179" s="68" t="s">
        <v>93</v>
      </c>
      <c r="J179" s="68" t="s">
        <v>93</v>
      </c>
      <c r="K179" s="68" t="s">
        <v>93</v>
      </c>
      <c r="L179" s="68" t="s">
        <v>94</v>
      </c>
      <c r="M179" s="68" t="s">
        <v>93</v>
      </c>
      <c r="N179" s="68" t="s">
        <v>93</v>
      </c>
      <c r="O179" s="68" t="s">
        <v>93</v>
      </c>
      <c r="P179" s="68" t="s">
        <v>93</v>
      </c>
      <c r="Q179" s="68" t="s">
        <v>93</v>
      </c>
      <c r="R179" s="68" t="s">
        <v>93</v>
      </c>
      <c r="S179" s="68" t="s">
        <v>93</v>
      </c>
      <c r="T179" s="68" t="s">
        <v>93</v>
      </c>
      <c r="U179" s="68" t="s">
        <v>93</v>
      </c>
      <c r="V179" s="68" t="s">
        <v>93</v>
      </c>
      <c r="W179" s="68" t="s">
        <v>93</v>
      </c>
      <c r="X179" s="68" t="s">
        <v>93</v>
      </c>
      <c r="Y179" s="68" t="s">
        <v>93</v>
      </c>
      <c r="Z179" s="68" t="s">
        <v>94</v>
      </c>
      <c r="AA179" s="68" t="s">
        <v>93</v>
      </c>
      <c r="AB179" s="68" t="s">
        <v>93</v>
      </c>
      <c r="AC179" s="68" t="s">
        <v>93</v>
      </c>
      <c r="AD179" s="68" t="s">
        <v>93</v>
      </c>
      <c r="AE179" s="68" t="s">
        <v>93</v>
      </c>
      <c r="AF179" s="68" t="s">
        <v>93</v>
      </c>
      <c r="AG179" s="68" t="s">
        <v>93</v>
      </c>
      <c r="AH179" s="68" t="s">
        <v>93</v>
      </c>
      <c r="AI179" s="68" t="s">
        <v>93</v>
      </c>
      <c r="AJ179" s="68" t="s">
        <v>93</v>
      </c>
      <c r="AK179" s="68" t="s">
        <v>93</v>
      </c>
      <c r="AL179" s="68" t="s">
        <v>93</v>
      </c>
      <c r="AM179" s="68" t="s">
        <v>93</v>
      </c>
      <c r="AN179" s="68" t="s">
        <v>93</v>
      </c>
      <c r="AO179" s="68" t="s">
        <v>93</v>
      </c>
      <c r="AP179" s="68" t="s">
        <v>93</v>
      </c>
      <c r="AQ179" s="68" t="s">
        <v>93</v>
      </c>
      <c r="AR179" s="68" t="s">
        <v>93</v>
      </c>
      <c r="AS179" s="68" t="s">
        <v>93</v>
      </c>
      <c r="AT179" s="68" t="s">
        <v>93</v>
      </c>
      <c r="AU179" s="68" t="s">
        <v>93</v>
      </c>
      <c r="AV179" s="68" t="s">
        <v>93</v>
      </c>
      <c r="AW179" s="68" t="s">
        <v>93</v>
      </c>
      <c r="AX179" s="68" t="s">
        <v>93</v>
      </c>
      <c r="AY179" s="68" t="s">
        <v>93</v>
      </c>
      <c r="AZ179" s="68" t="s">
        <v>93</v>
      </c>
      <c r="BA179" s="68" t="s">
        <v>93</v>
      </c>
      <c r="BB179" s="68" t="s">
        <v>93</v>
      </c>
      <c r="BC179" s="68" t="s">
        <v>93</v>
      </c>
      <c r="BD179" s="68" t="s">
        <v>93</v>
      </c>
      <c r="BE179" s="68" t="s">
        <v>93</v>
      </c>
      <c r="BF179" s="68" t="s">
        <v>93</v>
      </c>
      <c r="BG179" s="68" t="s">
        <v>93</v>
      </c>
      <c r="BH179" s="68" t="s">
        <v>93</v>
      </c>
      <c r="BI179" s="68" t="s">
        <v>93</v>
      </c>
      <c r="BJ179" s="68" t="s">
        <v>93</v>
      </c>
      <c r="BK179" s="68" t="s">
        <v>93</v>
      </c>
      <c r="BL179" s="68" t="s">
        <v>93</v>
      </c>
      <c r="BM179" s="68" t="s">
        <v>93</v>
      </c>
      <c r="BN179" s="68" t="s">
        <v>93</v>
      </c>
      <c r="BO179" s="68" t="s">
        <v>93</v>
      </c>
      <c r="BP179" s="69" t="s">
        <v>93</v>
      </c>
    </row>
    <row r="180" spans="2:68" x14ac:dyDescent="0.25">
      <c r="B180" s="64">
        <v>6</v>
      </c>
      <c r="C180" s="65">
        <v>25</v>
      </c>
      <c r="D180" s="65" t="s">
        <v>100</v>
      </c>
      <c r="E180" s="66">
        <f>'[3]Master File'!B179</f>
        <v>46193</v>
      </c>
      <c r="F180" s="67" t="str">
        <f>'[3]Master File'!C179</f>
        <v>Explorer 6PM</v>
      </c>
      <c r="G180" s="46"/>
      <c r="I180" s="70" t="s">
        <v>93</v>
      </c>
      <c r="J180" s="70" t="s">
        <v>93</v>
      </c>
      <c r="K180" s="70" t="s">
        <v>93</v>
      </c>
      <c r="L180" s="68" t="s">
        <v>94</v>
      </c>
      <c r="M180" s="70" t="s">
        <v>93</v>
      </c>
      <c r="N180" s="70" t="s">
        <v>93</v>
      </c>
      <c r="O180" s="70" t="s">
        <v>93</v>
      </c>
      <c r="P180" s="70" t="s">
        <v>93</v>
      </c>
      <c r="Q180" s="70" t="s">
        <v>93</v>
      </c>
      <c r="R180" s="70" t="s">
        <v>93</v>
      </c>
      <c r="S180" s="70" t="s">
        <v>93</v>
      </c>
      <c r="T180" s="70" t="s">
        <v>93</v>
      </c>
      <c r="U180" s="70" t="s">
        <v>93</v>
      </c>
      <c r="V180" s="70" t="s">
        <v>93</v>
      </c>
      <c r="W180" s="70" t="s">
        <v>93</v>
      </c>
      <c r="X180" s="70" t="s">
        <v>93</v>
      </c>
      <c r="Y180" s="70" t="s">
        <v>93</v>
      </c>
      <c r="Z180" s="68" t="s">
        <v>94</v>
      </c>
      <c r="AA180" s="70" t="s">
        <v>93</v>
      </c>
      <c r="AB180" s="70" t="s">
        <v>93</v>
      </c>
      <c r="AC180" s="70" t="s">
        <v>93</v>
      </c>
      <c r="AD180" s="70" t="s">
        <v>94</v>
      </c>
      <c r="AE180" s="70" t="s">
        <v>94</v>
      </c>
      <c r="AF180" s="70" t="s">
        <v>93</v>
      </c>
      <c r="AG180" s="70" t="s">
        <v>93</v>
      </c>
      <c r="AH180" s="70" t="s">
        <v>93</v>
      </c>
      <c r="AI180" s="70" t="s">
        <v>93</v>
      </c>
      <c r="AJ180" s="70" t="s">
        <v>93</v>
      </c>
      <c r="AK180" s="70" t="s">
        <v>93</v>
      </c>
      <c r="AL180" s="70" t="s">
        <v>93</v>
      </c>
      <c r="AM180" s="70" t="s">
        <v>93</v>
      </c>
      <c r="AN180" s="70" t="s">
        <v>93</v>
      </c>
      <c r="AO180" s="70" t="s">
        <v>93</v>
      </c>
      <c r="AP180" s="70" t="s">
        <v>93</v>
      </c>
      <c r="AQ180" s="70" t="s">
        <v>93</v>
      </c>
      <c r="AR180" s="70" t="s">
        <v>93</v>
      </c>
      <c r="AS180" s="70" t="s">
        <v>93</v>
      </c>
      <c r="AT180" s="70" t="s">
        <v>93</v>
      </c>
      <c r="AU180" s="70" t="s">
        <v>93</v>
      </c>
      <c r="AV180" s="70" t="s">
        <v>93</v>
      </c>
      <c r="AW180" s="70" t="s">
        <v>93</v>
      </c>
      <c r="AX180" s="70" t="s">
        <v>93</v>
      </c>
      <c r="AY180" s="70" t="s">
        <v>93</v>
      </c>
      <c r="AZ180" s="70" t="s">
        <v>93</v>
      </c>
      <c r="BA180" s="70" t="s">
        <v>93</v>
      </c>
      <c r="BB180" s="70" t="s">
        <v>93</v>
      </c>
      <c r="BC180" s="70" t="s">
        <v>93</v>
      </c>
      <c r="BD180" s="70" t="s">
        <v>93</v>
      </c>
      <c r="BE180" s="70" t="s">
        <v>93</v>
      </c>
      <c r="BF180" s="70" t="s">
        <v>93</v>
      </c>
      <c r="BG180" s="70" t="s">
        <v>93</v>
      </c>
      <c r="BH180" s="70" t="s">
        <v>93</v>
      </c>
      <c r="BI180" s="70" t="s">
        <v>93</v>
      </c>
      <c r="BJ180" s="70" t="s">
        <v>93</v>
      </c>
      <c r="BK180" s="70" t="s">
        <v>93</v>
      </c>
      <c r="BL180" s="70" t="s">
        <v>93</v>
      </c>
      <c r="BM180" s="70" t="s">
        <v>93</v>
      </c>
      <c r="BN180" s="70" t="s">
        <v>93</v>
      </c>
      <c r="BO180" s="70" t="s">
        <v>93</v>
      </c>
      <c r="BP180" s="71" t="s">
        <v>93</v>
      </c>
    </row>
    <row r="181" spans="2:68" x14ac:dyDescent="0.25">
      <c r="B181" s="64">
        <v>6</v>
      </c>
      <c r="C181" s="65">
        <v>26</v>
      </c>
      <c r="D181" s="65" t="s">
        <v>92</v>
      </c>
      <c r="E181" s="66">
        <f>'[3]Master File'!B180</f>
        <v>46194</v>
      </c>
      <c r="F181" s="67" t="str">
        <f>'[3]Master File'!C180</f>
        <v>Explorer 6PM</v>
      </c>
      <c r="G181" s="46"/>
      <c r="I181" s="70" t="s">
        <v>93</v>
      </c>
      <c r="J181" s="70" t="s">
        <v>93</v>
      </c>
      <c r="K181" s="70" t="s">
        <v>93</v>
      </c>
      <c r="L181" s="68" t="s">
        <v>94</v>
      </c>
      <c r="M181" s="70" t="s">
        <v>93</v>
      </c>
      <c r="N181" s="70" t="s">
        <v>93</v>
      </c>
      <c r="O181" s="70" t="s">
        <v>93</v>
      </c>
      <c r="P181" s="70" t="s">
        <v>93</v>
      </c>
      <c r="Q181" s="70" t="s">
        <v>93</v>
      </c>
      <c r="R181" s="70" t="s">
        <v>93</v>
      </c>
      <c r="S181" s="70" t="s">
        <v>93</v>
      </c>
      <c r="T181" s="70" t="s">
        <v>93</v>
      </c>
      <c r="U181" s="70" t="s">
        <v>93</v>
      </c>
      <c r="V181" s="70" t="s">
        <v>93</v>
      </c>
      <c r="W181" s="70" t="s">
        <v>93</v>
      </c>
      <c r="X181" s="70" t="s">
        <v>93</v>
      </c>
      <c r="Y181" s="70" t="s">
        <v>93</v>
      </c>
      <c r="Z181" s="68" t="s">
        <v>94</v>
      </c>
      <c r="AA181" s="70" t="s">
        <v>93</v>
      </c>
      <c r="AB181" s="70" t="s">
        <v>93</v>
      </c>
      <c r="AC181" s="70" t="s">
        <v>93</v>
      </c>
      <c r="AD181" s="70" t="s">
        <v>94</v>
      </c>
      <c r="AE181" s="70" t="s">
        <v>94</v>
      </c>
      <c r="AF181" s="70" t="s">
        <v>93</v>
      </c>
      <c r="AG181" s="70" t="s">
        <v>93</v>
      </c>
      <c r="AH181" s="70" t="s">
        <v>93</v>
      </c>
      <c r="AI181" s="70" t="s">
        <v>93</v>
      </c>
      <c r="AJ181" s="70" t="s">
        <v>93</v>
      </c>
      <c r="AK181" s="70" t="s">
        <v>93</v>
      </c>
      <c r="AL181" s="70" t="s">
        <v>93</v>
      </c>
      <c r="AM181" s="70" t="s">
        <v>93</v>
      </c>
      <c r="AN181" s="70" t="s">
        <v>93</v>
      </c>
      <c r="AO181" s="70" t="s">
        <v>93</v>
      </c>
      <c r="AP181" s="70" t="s">
        <v>93</v>
      </c>
      <c r="AQ181" s="70" t="s">
        <v>93</v>
      </c>
      <c r="AR181" s="70" t="s">
        <v>93</v>
      </c>
      <c r="AS181" s="70" t="s">
        <v>93</v>
      </c>
      <c r="AT181" s="70" t="s">
        <v>93</v>
      </c>
      <c r="AU181" s="70" t="s">
        <v>93</v>
      </c>
      <c r="AV181" s="70" t="s">
        <v>93</v>
      </c>
      <c r="AW181" s="70" t="s">
        <v>93</v>
      </c>
      <c r="AX181" s="70" t="s">
        <v>93</v>
      </c>
      <c r="AY181" s="70" t="s">
        <v>93</v>
      </c>
      <c r="AZ181" s="70" t="s">
        <v>93</v>
      </c>
      <c r="BA181" s="70" t="s">
        <v>93</v>
      </c>
      <c r="BB181" s="70" t="s">
        <v>93</v>
      </c>
      <c r="BC181" s="70" t="s">
        <v>93</v>
      </c>
      <c r="BD181" s="70" t="s">
        <v>93</v>
      </c>
      <c r="BE181" s="70" t="s">
        <v>93</v>
      </c>
      <c r="BF181" s="70" t="s">
        <v>93</v>
      </c>
      <c r="BG181" s="70" t="s">
        <v>93</v>
      </c>
      <c r="BH181" s="70" t="s">
        <v>93</v>
      </c>
      <c r="BI181" s="70" t="s">
        <v>93</v>
      </c>
      <c r="BJ181" s="70" t="s">
        <v>93</v>
      </c>
      <c r="BK181" s="70" t="s">
        <v>93</v>
      </c>
      <c r="BL181" s="70" t="s">
        <v>93</v>
      </c>
      <c r="BM181" s="70" t="s">
        <v>93</v>
      </c>
      <c r="BN181" s="70" t="s">
        <v>93</v>
      </c>
      <c r="BO181" s="70" t="s">
        <v>93</v>
      </c>
      <c r="BP181" s="71" t="s">
        <v>93</v>
      </c>
    </row>
    <row r="182" spans="2:68" x14ac:dyDescent="0.25">
      <c r="B182" s="64">
        <v>6</v>
      </c>
      <c r="C182" s="65">
        <v>26</v>
      </c>
      <c r="D182" s="65" t="s">
        <v>95</v>
      </c>
      <c r="E182" s="66">
        <f>'[3]Master File'!B181</f>
        <v>46195</v>
      </c>
      <c r="F182" s="67" t="str">
        <f>'[3]Master File'!C181</f>
        <v>Explorer 5PM</v>
      </c>
      <c r="G182" s="46"/>
      <c r="I182" s="68" t="s">
        <v>93</v>
      </c>
      <c r="J182" s="68" t="s">
        <v>93</v>
      </c>
      <c r="K182" s="68" t="s">
        <v>93</v>
      </c>
      <c r="L182" s="68" t="s">
        <v>94</v>
      </c>
      <c r="M182" s="68" t="s">
        <v>93</v>
      </c>
      <c r="N182" s="68" t="s">
        <v>93</v>
      </c>
      <c r="O182" s="68" t="s">
        <v>93</v>
      </c>
      <c r="P182" s="68" t="s">
        <v>93</v>
      </c>
      <c r="Q182" s="68" t="s">
        <v>93</v>
      </c>
      <c r="R182" s="68" t="s">
        <v>93</v>
      </c>
      <c r="S182" s="68" t="s">
        <v>93</v>
      </c>
      <c r="T182" s="68" t="s">
        <v>93</v>
      </c>
      <c r="U182" s="68" t="s">
        <v>93</v>
      </c>
      <c r="V182" s="68" t="s">
        <v>93</v>
      </c>
      <c r="W182" s="68" t="s">
        <v>93</v>
      </c>
      <c r="X182" s="68" t="s">
        <v>93</v>
      </c>
      <c r="Y182" s="68" t="s">
        <v>93</v>
      </c>
      <c r="Z182" s="68" t="s">
        <v>94</v>
      </c>
      <c r="AA182" s="68" t="s">
        <v>93</v>
      </c>
      <c r="AB182" s="68" t="s">
        <v>93</v>
      </c>
      <c r="AC182" s="68" t="s">
        <v>93</v>
      </c>
      <c r="AD182" s="68" t="s">
        <v>93</v>
      </c>
      <c r="AE182" s="68" t="s">
        <v>93</v>
      </c>
      <c r="AF182" s="68" t="s">
        <v>93</v>
      </c>
      <c r="AG182" s="68" t="s">
        <v>93</v>
      </c>
      <c r="AH182" s="68" t="s">
        <v>93</v>
      </c>
      <c r="AI182" s="68" t="s">
        <v>93</v>
      </c>
      <c r="AJ182" s="68" t="s">
        <v>93</v>
      </c>
      <c r="AK182" s="68" t="s">
        <v>93</v>
      </c>
      <c r="AL182" s="68" t="s">
        <v>93</v>
      </c>
      <c r="AM182" s="68" t="s">
        <v>93</v>
      </c>
      <c r="AN182" s="68" t="s">
        <v>93</v>
      </c>
      <c r="AO182" s="68" t="s">
        <v>93</v>
      </c>
      <c r="AP182" s="68" t="s">
        <v>93</v>
      </c>
      <c r="AQ182" s="68" t="s">
        <v>93</v>
      </c>
      <c r="AR182" s="68" t="s">
        <v>93</v>
      </c>
      <c r="AS182" s="68" t="s">
        <v>93</v>
      </c>
      <c r="AT182" s="68" t="s">
        <v>93</v>
      </c>
      <c r="AU182" s="68" t="s">
        <v>93</v>
      </c>
      <c r="AV182" s="68" t="s">
        <v>93</v>
      </c>
      <c r="AW182" s="68" t="s">
        <v>93</v>
      </c>
      <c r="AX182" s="68" t="s">
        <v>93</v>
      </c>
      <c r="AY182" s="68" t="s">
        <v>93</v>
      </c>
      <c r="AZ182" s="68" t="s">
        <v>93</v>
      </c>
      <c r="BA182" s="68" t="s">
        <v>93</v>
      </c>
      <c r="BB182" s="68" t="s">
        <v>93</v>
      </c>
      <c r="BC182" s="68" t="s">
        <v>93</v>
      </c>
      <c r="BD182" s="68" t="s">
        <v>93</v>
      </c>
      <c r="BE182" s="68" t="s">
        <v>93</v>
      </c>
      <c r="BF182" s="68" t="s">
        <v>93</v>
      </c>
      <c r="BG182" s="68" t="s">
        <v>93</v>
      </c>
      <c r="BH182" s="68" t="s">
        <v>93</v>
      </c>
      <c r="BI182" s="68" t="s">
        <v>93</v>
      </c>
      <c r="BJ182" s="68" t="s">
        <v>93</v>
      </c>
      <c r="BK182" s="68" t="s">
        <v>93</v>
      </c>
      <c r="BL182" s="68" t="s">
        <v>93</v>
      </c>
      <c r="BM182" s="68" t="s">
        <v>93</v>
      </c>
      <c r="BN182" s="68" t="s">
        <v>93</v>
      </c>
      <c r="BO182" s="68" t="s">
        <v>93</v>
      </c>
      <c r="BP182" s="69" t="s">
        <v>93</v>
      </c>
    </row>
    <row r="183" spans="2:68" x14ac:dyDescent="0.25">
      <c r="B183" s="64">
        <v>6</v>
      </c>
      <c r="C183" s="65">
        <v>26</v>
      </c>
      <c r="D183" s="65" t="s">
        <v>96</v>
      </c>
      <c r="E183" s="66">
        <f>'[3]Master File'!B182</f>
        <v>46196</v>
      </c>
      <c r="F183" s="67" t="str">
        <f>'[3]Master File'!C182</f>
        <v>Explorer 5PM</v>
      </c>
      <c r="G183" s="46"/>
      <c r="I183" s="68" t="s">
        <v>93</v>
      </c>
      <c r="J183" s="68" t="s">
        <v>93</v>
      </c>
      <c r="K183" s="68" t="s">
        <v>93</v>
      </c>
      <c r="L183" s="68" t="s">
        <v>94</v>
      </c>
      <c r="M183" s="68" t="s">
        <v>93</v>
      </c>
      <c r="N183" s="68" t="s">
        <v>93</v>
      </c>
      <c r="O183" s="68" t="s">
        <v>93</v>
      </c>
      <c r="P183" s="68" t="s">
        <v>93</v>
      </c>
      <c r="Q183" s="68" t="s">
        <v>93</v>
      </c>
      <c r="R183" s="68" t="s">
        <v>93</v>
      </c>
      <c r="S183" s="68" t="s">
        <v>93</v>
      </c>
      <c r="T183" s="68" t="s">
        <v>93</v>
      </c>
      <c r="U183" s="68" t="s">
        <v>93</v>
      </c>
      <c r="V183" s="68" t="s">
        <v>93</v>
      </c>
      <c r="W183" s="68" t="s">
        <v>93</v>
      </c>
      <c r="X183" s="68" t="s">
        <v>93</v>
      </c>
      <c r="Y183" s="68" t="s">
        <v>93</v>
      </c>
      <c r="Z183" s="68" t="s">
        <v>94</v>
      </c>
      <c r="AA183" s="68" t="s">
        <v>93</v>
      </c>
      <c r="AB183" s="68" t="s">
        <v>93</v>
      </c>
      <c r="AC183" s="68" t="s">
        <v>93</v>
      </c>
      <c r="AD183" s="68" t="s">
        <v>93</v>
      </c>
      <c r="AE183" s="68" t="s">
        <v>93</v>
      </c>
      <c r="AF183" s="68" t="s">
        <v>93</v>
      </c>
      <c r="AG183" s="68" t="s">
        <v>93</v>
      </c>
      <c r="AH183" s="68" t="s">
        <v>93</v>
      </c>
      <c r="AI183" s="68" t="s">
        <v>93</v>
      </c>
      <c r="AJ183" s="68" t="s">
        <v>93</v>
      </c>
      <c r="AK183" s="68" t="s">
        <v>93</v>
      </c>
      <c r="AL183" s="68" t="s">
        <v>93</v>
      </c>
      <c r="AM183" s="68" t="s">
        <v>93</v>
      </c>
      <c r="AN183" s="68" t="s">
        <v>93</v>
      </c>
      <c r="AO183" s="68" t="s">
        <v>93</v>
      </c>
      <c r="AP183" s="68" t="s">
        <v>93</v>
      </c>
      <c r="AQ183" s="68" t="s">
        <v>93</v>
      </c>
      <c r="AR183" s="68" t="s">
        <v>93</v>
      </c>
      <c r="AS183" s="68" t="s">
        <v>93</v>
      </c>
      <c r="AT183" s="68" t="s">
        <v>93</v>
      </c>
      <c r="AU183" s="68" t="s">
        <v>93</v>
      </c>
      <c r="AV183" s="68" t="s">
        <v>93</v>
      </c>
      <c r="AW183" s="68" t="s">
        <v>93</v>
      </c>
      <c r="AX183" s="68" t="s">
        <v>93</v>
      </c>
      <c r="AY183" s="68" t="s">
        <v>93</v>
      </c>
      <c r="AZ183" s="68" t="s">
        <v>93</v>
      </c>
      <c r="BA183" s="68" t="s">
        <v>93</v>
      </c>
      <c r="BB183" s="68" t="s">
        <v>93</v>
      </c>
      <c r="BC183" s="68" t="s">
        <v>93</v>
      </c>
      <c r="BD183" s="68" t="s">
        <v>93</v>
      </c>
      <c r="BE183" s="68" t="s">
        <v>93</v>
      </c>
      <c r="BF183" s="68" t="s">
        <v>93</v>
      </c>
      <c r="BG183" s="68" t="s">
        <v>93</v>
      </c>
      <c r="BH183" s="68" t="s">
        <v>93</v>
      </c>
      <c r="BI183" s="68" t="s">
        <v>93</v>
      </c>
      <c r="BJ183" s="68" t="s">
        <v>93</v>
      </c>
      <c r="BK183" s="68" t="s">
        <v>93</v>
      </c>
      <c r="BL183" s="68" t="s">
        <v>93</v>
      </c>
      <c r="BM183" s="68" t="s">
        <v>93</v>
      </c>
      <c r="BN183" s="68" t="s">
        <v>93</v>
      </c>
      <c r="BO183" s="68" t="s">
        <v>93</v>
      </c>
      <c r="BP183" s="69" t="s">
        <v>93</v>
      </c>
    </row>
    <row r="184" spans="2:68" x14ac:dyDescent="0.25">
      <c r="B184" s="64">
        <v>6</v>
      </c>
      <c r="C184" s="65">
        <v>26</v>
      </c>
      <c r="D184" s="65" t="s">
        <v>97</v>
      </c>
      <c r="E184" s="66">
        <f>'[3]Master File'!B183</f>
        <v>46197</v>
      </c>
      <c r="F184" s="67" t="str">
        <f>'[3]Master File'!C183</f>
        <v>Explorer 5PM</v>
      </c>
      <c r="G184" s="46"/>
      <c r="I184" s="68" t="s">
        <v>93</v>
      </c>
      <c r="J184" s="68" t="s">
        <v>93</v>
      </c>
      <c r="K184" s="68" t="s">
        <v>93</v>
      </c>
      <c r="L184" s="68" t="s">
        <v>94</v>
      </c>
      <c r="M184" s="68" t="s">
        <v>93</v>
      </c>
      <c r="N184" s="68" t="s">
        <v>93</v>
      </c>
      <c r="O184" s="68" t="s">
        <v>93</v>
      </c>
      <c r="P184" s="68" t="s">
        <v>93</v>
      </c>
      <c r="Q184" s="68" t="s">
        <v>93</v>
      </c>
      <c r="R184" s="68" t="s">
        <v>93</v>
      </c>
      <c r="S184" s="68" t="s">
        <v>93</v>
      </c>
      <c r="T184" s="68" t="s">
        <v>93</v>
      </c>
      <c r="U184" s="68" t="s">
        <v>93</v>
      </c>
      <c r="V184" s="68" t="s">
        <v>93</v>
      </c>
      <c r="W184" s="68" t="s">
        <v>93</v>
      </c>
      <c r="X184" s="68" t="s">
        <v>93</v>
      </c>
      <c r="Y184" s="68" t="s">
        <v>93</v>
      </c>
      <c r="Z184" s="68" t="s">
        <v>94</v>
      </c>
      <c r="AA184" s="68" t="s">
        <v>93</v>
      </c>
      <c r="AB184" s="68" t="s">
        <v>93</v>
      </c>
      <c r="AC184" s="68" t="s">
        <v>93</v>
      </c>
      <c r="AD184" s="68" t="s">
        <v>93</v>
      </c>
      <c r="AE184" s="68" t="s">
        <v>93</v>
      </c>
      <c r="AF184" s="68" t="s">
        <v>93</v>
      </c>
      <c r="AG184" s="68" t="s">
        <v>93</v>
      </c>
      <c r="AH184" s="68" t="s">
        <v>93</v>
      </c>
      <c r="AI184" s="68" t="s">
        <v>93</v>
      </c>
      <c r="AJ184" s="68" t="s">
        <v>93</v>
      </c>
      <c r="AK184" s="68" t="s">
        <v>93</v>
      </c>
      <c r="AL184" s="68" t="s">
        <v>93</v>
      </c>
      <c r="AM184" s="68" t="s">
        <v>93</v>
      </c>
      <c r="AN184" s="68" t="s">
        <v>93</v>
      </c>
      <c r="AO184" s="68" t="s">
        <v>93</v>
      </c>
      <c r="AP184" s="68" t="s">
        <v>93</v>
      </c>
      <c r="AQ184" s="68" t="s">
        <v>93</v>
      </c>
      <c r="AR184" s="68" t="s">
        <v>93</v>
      </c>
      <c r="AS184" s="68" t="s">
        <v>93</v>
      </c>
      <c r="AT184" s="68" t="s">
        <v>93</v>
      </c>
      <c r="AU184" s="68" t="s">
        <v>93</v>
      </c>
      <c r="AV184" s="68" t="s">
        <v>93</v>
      </c>
      <c r="AW184" s="68" t="s">
        <v>93</v>
      </c>
      <c r="AX184" s="68" t="s">
        <v>93</v>
      </c>
      <c r="AY184" s="68" t="s">
        <v>93</v>
      </c>
      <c r="AZ184" s="68" t="s">
        <v>93</v>
      </c>
      <c r="BA184" s="68" t="s">
        <v>93</v>
      </c>
      <c r="BB184" s="68" t="s">
        <v>93</v>
      </c>
      <c r="BC184" s="68" t="s">
        <v>93</v>
      </c>
      <c r="BD184" s="68" t="s">
        <v>93</v>
      </c>
      <c r="BE184" s="68" t="s">
        <v>93</v>
      </c>
      <c r="BF184" s="68" t="s">
        <v>93</v>
      </c>
      <c r="BG184" s="68" t="s">
        <v>93</v>
      </c>
      <c r="BH184" s="68" t="s">
        <v>93</v>
      </c>
      <c r="BI184" s="68" t="s">
        <v>93</v>
      </c>
      <c r="BJ184" s="68" t="s">
        <v>93</v>
      </c>
      <c r="BK184" s="68" t="s">
        <v>93</v>
      </c>
      <c r="BL184" s="68" t="s">
        <v>93</v>
      </c>
      <c r="BM184" s="68" t="s">
        <v>93</v>
      </c>
      <c r="BN184" s="68" t="s">
        <v>93</v>
      </c>
      <c r="BO184" s="68" t="s">
        <v>93</v>
      </c>
      <c r="BP184" s="69" t="s">
        <v>93</v>
      </c>
    </row>
    <row r="185" spans="2:68" x14ac:dyDescent="0.25">
      <c r="B185" s="64">
        <v>6</v>
      </c>
      <c r="C185" s="65">
        <v>26</v>
      </c>
      <c r="D185" s="65" t="s">
        <v>98</v>
      </c>
      <c r="E185" s="66">
        <f>'[3]Master File'!B184</f>
        <v>46198</v>
      </c>
      <c r="F185" s="67" t="str">
        <f>'[3]Master File'!C184</f>
        <v>Explorer 5PM</v>
      </c>
      <c r="G185" s="46"/>
      <c r="I185" s="68" t="s">
        <v>93</v>
      </c>
      <c r="J185" s="68" t="s">
        <v>93</v>
      </c>
      <c r="K185" s="68" t="s">
        <v>93</v>
      </c>
      <c r="L185" s="68" t="s">
        <v>94</v>
      </c>
      <c r="M185" s="68" t="s">
        <v>93</v>
      </c>
      <c r="N185" s="68" t="s">
        <v>93</v>
      </c>
      <c r="O185" s="68" t="s">
        <v>93</v>
      </c>
      <c r="P185" s="68" t="s">
        <v>93</v>
      </c>
      <c r="Q185" s="68" t="s">
        <v>93</v>
      </c>
      <c r="R185" s="68" t="s">
        <v>93</v>
      </c>
      <c r="S185" s="68" t="s">
        <v>93</v>
      </c>
      <c r="T185" s="68" t="s">
        <v>93</v>
      </c>
      <c r="U185" s="68" t="s">
        <v>93</v>
      </c>
      <c r="V185" s="68" t="s">
        <v>93</v>
      </c>
      <c r="W185" s="68" t="s">
        <v>93</v>
      </c>
      <c r="X185" s="68" t="s">
        <v>93</v>
      </c>
      <c r="Y185" s="68" t="s">
        <v>93</v>
      </c>
      <c r="Z185" s="68" t="s">
        <v>94</v>
      </c>
      <c r="AA185" s="68" t="s">
        <v>93</v>
      </c>
      <c r="AB185" s="68" t="s">
        <v>93</v>
      </c>
      <c r="AC185" s="68" t="s">
        <v>93</v>
      </c>
      <c r="AD185" s="68" t="s">
        <v>93</v>
      </c>
      <c r="AE185" s="68" t="s">
        <v>93</v>
      </c>
      <c r="AF185" s="68" t="s">
        <v>93</v>
      </c>
      <c r="AG185" s="68" t="s">
        <v>93</v>
      </c>
      <c r="AH185" s="68" t="s">
        <v>93</v>
      </c>
      <c r="AI185" s="68" t="s">
        <v>93</v>
      </c>
      <c r="AJ185" s="68" t="s">
        <v>93</v>
      </c>
      <c r="AK185" s="68" t="s">
        <v>93</v>
      </c>
      <c r="AL185" s="68" t="s">
        <v>93</v>
      </c>
      <c r="AM185" s="68" t="s">
        <v>93</v>
      </c>
      <c r="AN185" s="68" t="s">
        <v>93</v>
      </c>
      <c r="AO185" s="68" t="s">
        <v>93</v>
      </c>
      <c r="AP185" s="68" t="s">
        <v>93</v>
      </c>
      <c r="AQ185" s="68" t="s">
        <v>93</v>
      </c>
      <c r="AR185" s="68" t="s">
        <v>93</v>
      </c>
      <c r="AS185" s="68" t="s">
        <v>93</v>
      </c>
      <c r="AT185" s="68" t="s">
        <v>93</v>
      </c>
      <c r="AU185" s="68" t="s">
        <v>93</v>
      </c>
      <c r="AV185" s="68" t="s">
        <v>93</v>
      </c>
      <c r="AW185" s="68" t="s">
        <v>93</v>
      </c>
      <c r="AX185" s="68" t="s">
        <v>93</v>
      </c>
      <c r="AY185" s="68" t="s">
        <v>93</v>
      </c>
      <c r="AZ185" s="68" t="s">
        <v>93</v>
      </c>
      <c r="BA185" s="68" t="s">
        <v>93</v>
      </c>
      <c r="BB185" s="68" t="s">
        <v>93</v>
      </c>
      <c r="BC185" s="68" t="s">
        <v>93</v>
      </c>
      <c r="BD185" s="68" t="s">
        <v>93</v>
      </c>
      <c r="BE185" s="68" t="s">
        <v>93</v>
      </c>
      <c r="BF185" s="68" t="s">
        <v>93</v>
      </c>
      <c r="BG185" s="68" t="s">
        <v>93</v>
      </c>
      <c r="BH185" s="68" t="s">
        <v>93</v>
      </c>
      <c r="BI185" s="68" t="s">
        <v>93</v>
      </c>
      <c r="BJ185" s="68" t="s">
        <v>93</v>
      </c>
      <c r="BK185" s="68" t="s">
        <v>93</v>
      </c>
      <c r="BL185" s="68" t="s">
        <v>93</v>
      </c>
      <c r="BM185" s="68" t="s">
        <v>93</v>
      </c>
      <c r="BN185" s="68" t="s">
        <v>93</v>
      </c>
      <c r="BO185" s="68" t="s">
        <v>93</v>
      </c>
      <c r="BP185" s="69" t="s">
        <v>93</v>
      </c>
    </row>
    <row r="186" spans="2:68" x14ac:dyDescent="0.25">
      <c r="B186" s="64">
        <v>6</v>
      </c>
      <c r="C186" s="65">
        <v>26</v>
      </c>
      <c r="D186" s="65" t="s">
        <v>99</v>
      </c>
      <c r="E186" s="66">
        <f>'[3]Master File'!B185</f>
        <v>46199</v>
      </c>
      <c r="F186" s="67" t="str">
        <f>'[3]Master File'!C185</f>
        <v>Explorer + 5PM</v>
      </c>
      <c r="G186" s="46"/>
      <c r="I186" s="68" t="s">
        <v>93</v>
      </c>
      <c r="J186" s="68" t="s">
        <v>93</v>
      </c>
      <c r="K186" s="68" t="s">
        <v>93</v>
      </c>
      <c r="L186" s="68" t="s">
        <v>94</v>
      </c>
      <c r="M186" s="68" t="s">
        <v>93</v>
      </c>
      <c r="N186" s="68" t="s">
        <v>93</v>
      </c>
      <c r="O186" s="68" t="s">
        <v>93</v>
      </c>
      <c r="P186" s="68" t="s">
        <v>93</v>
      </c>
      <c r="Q186" s="68" t="s">
        <v>93</v>
      </c>
      <c r="R186" s="68" t="s">
        <v>93</v>
      </c>
      <c r="S186" s="68" t="s">
        <v>93</v>
      </c>
      <c r="T186" s="68" t="s">
        <v>93</v>
      </c>
      <c r="U186" s="68" t="s">
        <v>93</v>
      </c>
      <c r="V186" s="68" t="s">
        <v>93</v>
      </c>
      <c r="W186" s="68" t="s">
        <v>93</v>
      </c>
      <c r="X186" s="68" t="s">
        <v>93</v>
      </c>
      <c r="Y186" s="68" t="s">
        <v>93</v>
      </c>
      <c r="Z186" s="68" t="s">
        <v>94</v>
      </c>
      <c r="AA186" s="68" t="s">
        <v>93</v>
      </c>
      <c r="AB186" s="68" t="s">
        <v>93</v>
      </c>
      <c r="AC186" s="68" t="s">
        <v>93</v>
      </c>
      <c r="AD186" s="68" t="s">
        <v>93</v>
      </c>
      <c r="AE186" s="68" t="s">
        <v>93</v>
      </c>
      <c r="AF186" s="68" t="s">
        <v>93</v>
      </c>
      <c r="AG186" s="68" t="s">
        <v>93</v>
      </c>
      <c r="AH186" s="68" t="s">
        <v>93</v>
      </c>
      <c r="AI186" s="68" t="s">
        <v>93</v>
      </c>
      <c r="AJ186" s="68" t="s">
        <v>93</v>
      </c>
      <c r="AK186" s="68" t="s">
        <v>93</v>
      </c>
      <c r="AL186" s="68" t="s">
        <v>93</v>
      </c>
      <c r="AM186" s="68" t="s">
        <v>93</v>
      </c>
      <c r="AN186" s="68" t="s">
        <v>93</v>
      </c>
      <c r="AO186" s="68" t="s">
        <v>93</v>
      </c>
      <c r="AP186" s="68" t="s">
        <v>93</v>
      </c>
      <c r="AQ186" s="68" t="s">
        <v>93</v>
      </c>
      <c r="AR186" s="68" t="s">
        <v>93</v>
      </c>
      <c r="AS186" s="68" t="s">
        <v>93</v>
      </c>
      <c r="AT186" s="68" t="s">
        <v>93</v>
      </c>
      <c r="AU186" s="68" t="s">
        <v>93</v>
      </c>
      <c r="AV186" s="68" t="s">
        <v>93</v>
      </c>
      <c r="AW186" s="68" t="s">
        <v>93</v>
      </c>
      <c r="AX186" s="68" t="s">
        <v>93</v>
      </c>
      <c r="AY186" s="68" t="s">
        <v>93</v>
      </c>
      <c r="AZ186" s="68" t="s">
        <v>93</v>
      </c>
      <c r="BA186" s="68" t="s">
        <v>93</v>
      </c>
      <c r="BB186" s="68" t="s">
        <v>93</v>
      </c>
      <c r="BC186" s="68" t="s">
        <v>93</v>
      </c>
      <c r="BD186" s="68" t="s">
        <v>93</v>
      </c>
      <c r="BE186" s="68" t="s">
        <v>93</v>
      </c>
      <c r="BF186" s="68" t="s">
        <v>93</v>
      </c>
      <c r="BG186" s="68" t="s">
        <v>93</v>
      </c>
      <c r="BH186" s="68" t="s">
        <v>93</v>
      </c>
      <c r="BI186" s="68" t="s">
        <v>93</v>
      </c>
      <c r="BJ186" s="68" t="s">
        <v>93</v>
      </c>
      <c r="BK186" s="68" t="s">
        <v>93</v>
      </c>
      <c r="BL186" s="68" t="s">
        <v>93</v>
      </c>
      <c r="BM186" s="68" t="s">
        <v>93</v>
      </c>
      <c r="BN186" s="68" t="s">
        <v>93</v>
      </c>
      <c r="BO186" s="68" t="s">
        <v>93</v>
      </c>
      <c r="BP186" s="69" t="s">
        <v>93</v>
      </c>
    </row>
    <row r="187" spans="2:68" x14ac:dyDescent="0.25">
      <c r="B187" s="64">
        <v>6</v>
      </c>
      <c r="C187" s="65">
        <v>26</v>
      </c>
      <c r="D187" s="65" t="s">
        <v>100</v>
      </c>
      <c r="E187" s="66">
        <f>'[3]Master File'!B186</f>
        <v>46200</v>
      </c>
      <c r="F187" s="67" t="str">
        <f>'[3]Master File'!C186</f>
        <v>Explorer 6PM</v>
      </c>
      <c r="G187" s="46"/>
      <c r="I187" s="70" t="s">
        <v>93</v>
      </c>
      <c r="J187" s="70" t="s">
        <v>93</v>
      </c>
      <c r="K187" s="70" t="s">
        <v>93</v>
      </c>
      <c r="L187" s="68" t="s">
        <v>94</v>
      </c>
      <c r="M187" s="70" t="s">
        <v>93</v>
      </c>
      <c r="N187" s="70" t="s">
        <v>93</v>
      </c>
      <c r="O187" s="70" t="s">
        <v>93</v>
      </c>
      <c r="P187" s="70" t="s">
        <v>93</v>
      </c>
      <c r="Q187" s="70" t="s">
        <v>93</v>
      </c>
      <c r="R187" s="70" t="s">
        <v>93</v>
      </c>
      <c r="S187" s="70" t="s">
        <v>93</v>
      </c>
      <c r="T187" s="70" t="s">
        <v>93</v>
      </c>
      <c r="U187" s="70" t="s">
        <v>93</v>
      </c>
      <c r="V187" s="70" t="s">
        <v>93</v>
      </c>
      <c r="W187" s="70" t="s">
        <v>93</v>
      </c>
      <c r="X187" s="70" t="s">
        <v>93</v>
      </c>
      <c r="Y187" s="70" t="s">
        <v>93</v>
      </c>
      <c r="Z187" s="68" t="s">
        <v>94</v>
      </c>
      <c r="AA187" s="70" t="s">
        <v>93</v>
      </c>
      <c r="AB187" s="70" t="s">
        <v>93</v>
      </c>
      <c r="AC187" s="70" t="s">
        <v>93</v>
      </c>
      <c r="AD187" s="70" t="s">
        <v>94</v>
      </c>
      <c r="AE187" s="70" t="s">
        <v>94</v>
      </c>
      <c r="AF187" s="70" t="s">
        <v>93</v>
      </c>
      <c r="AG187" s="70" t="s">
        <v>93</v>
      </c>
      <c r="AH187" s="70" t="s">
        <v>93</v>
      </c>
      <c r="AI187" s="70" t="s">
        <v>93</v>
      </c>
      <c r="AJ187" s="70" t="s">
        <v>93</v>
      </c>
      <c r="AK187" s="70" t="s">
        <v>93</v>
      </c>
      <c r="AL187" s="70" t="s">
        <v>93</v>
      </c>
      <c r="AM187" s="70" t="s">
        <v>93</v>
      </c>
      <c r="AN187" s="70" t="s">
        <v>93</v>
      </c>
      <c r="AO187" s="70" t="s">
        <v>93</v>
      </c>
      <c r="AP187" s="70" t="s">
        <v>93</v>
      </c>
      <c r="AQ187" s="70" t="s">
        <v>93</v>
      </c>
      <c r="AR187" s="70" t="s">
        <v>93</v>
      </c>
      <c r="AS187" s="70" t="s">
        <v>93</v>
      </c>
      <c r="AT187" s="70" t="s">
        <v>93</v>
      </c>
      <c r="AU187" s="70" t="s">
        <v>93</v>
      </c>
      <c r="AV187" s="70" t="s">
        <v>93</v>
      </c>
      <c r="AW187" s="70" t="s">
        <v>93</v>
      </c>
      <c r="AX187" s="70" t="s">
        <v>93</v>
      </c>
      <c r="AY187" s="70" t="s">
        <v>93</v>
      </c>
      <c r="AZ187" s="70" t="s">
        <v>93</v>
      </c>
      <c r="BA187" s="70" t="s">
        <v>93</v>
      </c>
      <c r="BB187" s="70" t="s">
        <v>93</v>
      </c>
      <c r="BC187" s="70" t="s">
        <v>93</v>
      </c>
      <c r="BD187" s="70" t="s">
        <v>93</v>
      </c>
      <c r="BE187" s="70" t="s">
        <v>93</v>
      </c>
      <c r="BF187" s="70" t="s">
        <v>93</v>
      </c>
      <c r="BG187" s="70" t="s">
        <v>93</v>
      </c>
      <c r="BH187" s="70" t="s">
        <v>93</v>
      </c>
      <c r="BI187" s="70" t="s">
        <v>93</v>
      </c>
      <c r="BJ187" s="70" t="s">
        <v>93</v>
      </c>
      <c r="BK187" s="70" t="s">
        <v>93</v>
      </c>
      <c r="BL187" s="70" t="s">
        <v>93</v>
      </c>
      <c r="BM187" s="70" t="s">
        <v>93</v>
      </c>
      <c r="BN187" s="70" t="s">
        <v>93</v>
      </c>
      <c r="BO187" s="70" t="s">
        <v>93</v>
      </c>
      <c r="BP187" s="71" t="s">
        <v>93</v>
      </c>
    </row>
    <row r="188" spans="2:68" x14ac:dyDescent="0.25">
      <c r="B188" s="64">
        <v>7</v>
      </c>
      <c r="C188" s="65">
        <v>27</v>
      </c>
      <c r="D188" s="65" t="s">
        <v>92</v>
      </c>
      <c r="E188" s="66">
        <f>'[3]Master File'!B187</f>
        <v>46201</v>
      </c>
      <c r="F188" s="67" t="str">
        <f>'[3]Master File'!C187</f>
        <v>Explorer 6PM</v>
      </c>
      <c r="G188" s="46"/>
      <c r="I188" s="70" t="s">
        <v>93</v>
      </c>
      <c r="J188" s="70" t="s">
        <v>93</v>
      </c>
      <c r="K188" s="70" t="s">
        <v>93</v>
      </c>
      <c r="L188" s="68" t="s">
        <v>94</v>
      </c>
      <c r="M188" s="70" t="s">
        <v>93</v>
      </c>
      <c r="N188" s="70" t="s">
        <v>93</v>
      </c>
      <c r="O188" s="70" t="s">
        <v>93</v>
      </c>
      <c r="P188" s="70" t="s">
        <v>93</v>
      </c>
      <c r="Q188" s="70" t="s">
        <v>93</v>
      </c>
      <c r="R188" s="70" t="s">
        <v>93</v>
      </c>
      <c r="S188" s="70" t="s">
        <v>93</v>
      </c>
      <c r="T188" s="70" t="s">
        <v>93</v>
      </c>
      <c r="U188" s="70" t="s">
        <v>93</v>
      </c>
      <c r="V188" s="70" t="s">
        <v>93</v>
      </c>
      <c r="W188" s="70" t="s">
        <v>93</v>
      </c>
      <c r="X188" s="70" t="s">
        <v>93</v>
      </c>
      <c r="Y188" s="70" t="s">
        <v>93</v>
      </c>
      <c r="Z188" s="68" t="s">
        <v>94</v>
      </c>
      <c r="AA188" s="70" t="s">
        <v>93</v>
      </c>
      <c r="AB188" s="70" t="s">
        <v>93</v>
      </c>
      <c r="AC188" s="70" t="s">
        <v>93</v>
      </c>
      <c r="AD188" s="70" t="s">
        <v>94</v>
      </c>
      <c r="AE188" s="70" t="s">
        <v>94</v>
      </c>
      <c r="AF188" s="70" t="s">
        <v>93</v>
      </c>
      <c r="AG188" s="70" t="s">
        <v>93</v>
      </c>
      <c r="AH188" s="70" t="s">
        <v>93</v>
      </c>
      <c r="AI188" s="70" t="s">
        <v>93</v>
      </c>
      <c r="AJ188" s="70" t="s">
        <v>93</v>
      </c>
      <c r="AK188" s="70" t="s">
        <v>93</v>
      </c>
      <c r="AL188" s="70" t="s">
        <v>93</v>
      </c>
      <c r="AM188" s="70" t="s">
        <v>93</v>
      </c>
      <c r="AN188" s="70" t="s">
        <v>93</v>
      </c>
      <c r="AO188" s="70" t="s">
        <v>93</v>
      </c>
      <c r="AP188" s="70" t="s">
        <v>93</v>
      </c>
      <c r="AQ188" s="70" t="s">
        <v>93</v>
      </c>
      <c r="AR188" s="70" t="s">
        <v>93</v>
      </c>
      <c r="AS188" s="70" t="s">
        <v>93</v>
      </c>
      <c r="AT188" s="70" t="s">
        <v>93</v>
      </c>
      <c r="AU188" s="70" t="s">
        <v>93</v>
      </c>
      <c r="AV188" s="70" t="s">
        <v>93</v>
      </c>
      <c r="AW188" s="70" t="s">
        <v>93</v>
      </c>
      <c r="AX188" s="70" t="s">
        <v>93</v>
      </c>
      <c r="AY188" s="70" t="s">
        <v>93</v>
      </c>
      <c r="AZ188" s="70" t="s">
        <v>93</v>
      </c>
      <c r="BA188" s="70" t="s">
        <v>93</v>
      </c>
      <c r="BB188" s="70" t="s">
        <v>93</v>
      </c>
      <c r="BC188" s="70" t="s">
        <v>93</v>
      </c>
      <c r="BD188" s="70" t="s">
        <v>93</v>
      </c>
      <c r="BE188" s="70" t="s">
        <v>93</v>
      </c>
      <c r="BF188" s="70" t="s">
        <v>93</v>
      </c>
      <c r="BG188" s="70" t="s">
        <v>93</v>
      </c>
      <c r="BH188" s="70" t="s">
        <v>93</v>
      </c>
      <c r="BI188" s="70" t="s">
        <v>93</v>
      </c>
      <c r="BJ188" s="70" t="s">
        <v>93</v>
      </c>
      <c r="BK188" s="70" t="s">
        <v>93</v>
      </c>
      <c r="BL188" s="70" t="s">
        <v>93</v>
      </c>
      <c r="BM188" s="70" t="s">
        <v>93</v>
      </c>
      <c r="BN188" s="70" t="s">
        <v>93</v>
      </c>
      <c r="BO188" s="70" t="s">
        <v>93</v>
      </c>
      <c r="BP188" s="71" t="s">
        <v>93</v>
      </c>
    </row>
    <row r="189" spans="2:68" x14ac:dyDescent="0.25">
      <c r="B189" s="64">
        <v>7</v>
      </c>
      <c r="C189" s="65">
        <v>27</v>
      </c>
      <c r="D189" s="65" t="s">
        <v>95</v>
      </c>
      <c r="E189" s="66">
        <f>'[3]Master File'!B188</f>
        <v>46202</v>
      </c>
      <c r="F189" s="67" t="str">
        <f>'[3]Master File'!C188</f>
        <v>Lodge + Sch Exp</v>
      </c>
      <c r="G189" s="46"/>
      <c r="I189" s="68" t="s">
        <v>93</v>
      </c>
      <c r="J189" s="68" t="s">
        <v>93</v>
      </c>
      <c r="K189" s="68" t="s">
        <v>93</v>
      </c>
      <c r="L189" s="68" t="s">
        <v>94</v>
      </c>
      <c r="M189" s="68" t="s">
        <v>93</v>
      </c>
      <c r="N189" s="68" t="s">
        <v>93</v>
      </c>
      <c r="O189" s="68" t="s">
        <v>93</v>
      </c>
      <c r="P189" s="68" t="s">
        <v>93</v>
      </c>
      <c r="Q189" s="68" t="s">
        <v>93</v>
      </c>
      <c r="R189" s="68" t="s">
        <v>93</v>
      </c>
      <c r="S189" s="68" t="s">
        <v>93</v>
      </c>
      <c r="T189" s="68" t="s">
        <v>93</v>
      </c>
      <c r="U189" s="68" t="s">
        <v>93</v>
      </c>
      <c r="V189" s="68" t="s">
        <v>93</v>
      </c>
      <c r="W189" s="68" t="s">
        <v>93</v>
      </c>
      <c r="X189" s="68" t="s">
        <v>93</v>
      </c>
      <c r="Y189" s="68" t="s">
        <v>93</v>
      </c>
      <c r="Z189" s="68" t="s">
        <v>94</v>
      </c>
      <c r="AA189" s="68" t="s">
        <v>93</v>
      </c>
      <c r="AB189" s="68" t="s">
        <v>93</v>
      </c>
      <c r="AC189" s="68" t="s">
        <v>93</v>
      </c>
      <c r="AD189" s="68" t="s">
        <v>93</v>
      </c>
      <c r="AE189" s="68" t="s">
        <v>93</v>
      </c>
      <c r="AF189" s="68" t="s">
        <v>93</v>
      </c>
      <c r="AG189" s="68" t="s">
        <v>93</v>
      </c>
      <c r="AH189" s="68" t="s">
        <v>93</v>
      </c>
      <c r="AI189" s="68" t="s">
        <v>93</v>
      </c>
      <c r="AJ189" s="68" t="s">
        <v>93</v>
      </c>
      <c r="AK189" s="68" t="s">
        <v>93</v>
      </c>
      <c r="AL189" s="68" t="s">
        <v>93</v>
      </c>
      <c r="AM189" s="68" t="s">
        <v>93</v>
      </c>
      <c r="AN189" s="68" t="s">
        <v>93</v>
      </c>
      <c r="AO189" s="68" t="s">
        <v>93</v>
      </c>
      <c r="AP189" s="68" t="s">
        <v>93</v>
      </c>
      <c r="AQ189" s="68" t="s">
        <v>93</v>
      </c>
      <c r="AR189" s="68" t="s">
        <v>93</v>
      </c>
      <c r="AS189" s="68" t="s">
        <v>93</v>
      </c>
      <c r="AT189" s="68" t="s">
        <v>93</v>
      </c>
      <c r="AU189" s="68" t="s">
        <v>93</v>
      </c>
      <c r="AV189" s="68" t="s">
        <v>93</v>
      </c>
      <c r="AW189" s="68" t="s">
        <v>93</v>
      </c>
      <c r="AX189" s="68" t="s">
        <v>93</v>
      </c>
      <c r="AY189" s="68" t="s">
        <v>93</v>
      </c>
      <c r="AZ189" s="68" t="s">
        <v>93</v>
      </c>
      <c r="BA189" s="68" t="s">
        <v>93</v>
      </c>
      <c r="BB189" s="68" t="s">
        <v>93</v>
      </c>
      <c r="BC189" s="68" t="s">
        <v>93</v>
      </c>
      <c r="BD189" s="68" t="s">
        <v>93</v>
      </c>
      <c r="BE189" s="68" t="s">
        <v>93</v>
      </c>
      <c r="BF189" s="68" t="s">
        <v>93</v>
      </c>
      <c r="BG189" s="68" t="s">
        <v>93</v>
      </c>
      <c r="BH189" s="68" t="s">
        <v>93</v>
      </c>
      <c r="BI189" s="68" t="s">
        <v>93</v>
      </c>
      <c r="BJ189" s="68" t="s">
        <v>93</v>
      </c>
      <c r="BK189" s="68" t="s">
        <v>93</v>
      </c>
      <c r="BL189" s="68" t="s">
        <v>93</v>
      </c>
      <c r="BM189" s="68" t="s">
        <v>93</v>
      </c>
      <c r="BN189" s="68" t="s">
        <v>93</v>
      </c>
      <c r="BO189" s="68" t="s">
        <v>93</v>
      </c>
      <c r="BP189" s="69" t="s">
        <v>93</v>
      </c>
    </row>
    <row r="190" spans="2:68" x14ac:dyDescent="0.25">
      <c r="B190" s="64">
        <v>7</v>
      </c>
      <c r="C190" s="65">
        <v>27</v>
      </c>
      <c r="D190" s="65" t="s">
        <v>96</v>
      </c>
      <c r="E190" s="66">
        <f>'[3]Master File'!B189</f>
        <v>46203</v>
      </c>
      <c r="F190" s="67" t="str">
        <f>'[3]Master File'!C189</f>
        <v>Lodge + Sch Exp</v>
      </c>
      <c r="G190" s="46"/>
      <c r="I190" s="68" t="s">
        <v>93</v>
      </c>
      <c r="J190" s="68" t="s">
        <v>93</v>
      </c>
      <c r="K190" s="68" t="s">
        <v>93</v>
      </c>
      <c r="L190" s="68" t="s">
        <v>94</v>
      </c>
      <c r="M190" s="68" t="s">
        <v>93</v>
      </c>
      <c r="N190" s="68" t="s">
        <v>93</v>
      </c>
      <c r="O190" s="68" t="s">
        <v>93</v>
      </c>
      <c r="P190" s="68" t="s">
        <v>93</v>
      </c>
      <c r="Q190" s="68" t="s">
        <v>93</v>
      </c>
      <c r="R190" s="68" t="s">
        <v>93</v>
      </c>
      <c r="S190" s="68" t="s">
        <v>93</v>
      </c>
      <c r="T190" s="68" t="s">
        <v>93</v>
      </c>
      <c r="U190" s="68" t="s">
        <v>93</v>
      </c>
      <c r="V190" s="68" t="s">
        <v>93</v>
      </c>
      <c r="W190" s="68" t="s">
        <v>93</v>
      </c>
      <c r="X190" s="68" t="s">
        <v>93</v>
      </c>
      <c r="Y190" s="68" t="s">
        <v>93</v>
      </c>
      <c r="Z190" s="68" t="s">
        <v>94</v>
      </c>
      <c r="AA190" s="68" t="s">
        <v>93</v>
      </c>
      <c r="AB190" s="68" t="s">
        <v>93</v>
      </c>
      <c r="AC190" s="68" t="s">
        <v>93</v>
      </c>
      <c r="AD190" s="68" t="s">
        <v>93</v>
      </c>
      <c r="AE190" s="68" t="s">
        <v>93</v>
      </c>
      <c r="AF190" s="68" t="s">
        <v>93</v>
      </c>
      <c r="AG190" s="68" t="s">
        <v>93</v>
      </c>
      <c r="AH190" s="68" t="s">
        <v>93</v>
      </c>
      <c r="AI190" s="68" t="s">
        <v>93</v>
      </c>
      <c r="AJ190" s="68" t="s">
        <v>93</v>
      </c>
      <c r="AK190" s="68" t="s">
        <v>93</v>
      </c>
      <c r="AL190" s="68" t="s">
        <v>93</v>
      </c>
      <c r="AM190" s="68" t="s">
        <v>93</v>
      </c>
      <c r="AN190" s="68" t="s">
        <v>93</v>
      </c>
      <c r="AO190" s="68" t="s">
        <v>93</v>
      </c>
      <c r="AP190" s="68" t="s">
        <v>93</v>
      </c>
      <c r="AQ190" s="68" t="s">
        <v>93</v>
      </c>
      <c r="AR190" s="68" t="s">
        <v>93</v>
      </c>
      <c r="AS190" s="68" t="s">
        <v>93</v>
      </c>
      <c r="AT190" s="68" t="s">
        <v>93</v>
      </c>
      <c r="AU190" s="68" t="s">
        <v>93</v>
      </c>
      <c r="AV190" s="68" t="s">
        <v>93</v>
      </c>
      <c r="AW190" s="68" t="s">
        <v>93</v>
      </c>
      <c r="AX190" s="68" t="s">
        <v>93</v>
      </c>
      <c r="AY190" s="68" t="s">
        <v>93</v>
      </c>
      <c r="AZ190" s="68" t="s">
        <v>93</v>
      </c>
      <c r="BA190" s="68" t="s">
        <v>93</v>
      </c>
      <c r="BB190" s="68" t="s">
        <v>93</v>
      </c>
      <c r="BC190" s="68" t="s">
        <v>93</v>
      </c>
      <c r="BD190" s="68" t="s">
        <v>93</v>
      </c>
      <c r="BE190" s="68" t="s">
        <v>93</v>
      </c>
      <c r="BF190" s="68" t="s">
        <v>93</v>
      </c>
      <c r="BG190" s="68" t="s">
        <v>93</v>
      </c>
      <c r="BH190" s="68" t="s">
        <v>93</v>
      </c>
      <c r="BI190" s="68" t="s">
        <v>93</v>
      </c>
      <c r="BJ190" s="68" t="s">
        <v>93</v>
      </c>
      <c r="BK190" s="68" t="s">
        <v>93</v>
      </c>
      <c r="BL190" s="68" t="s">
        <v>93</v>
      </c>
      <c r="BM190" s="68" t="s">
        <v>93</v>
      </c>
      <c r="BN190" s="68" t="s">
        <v>93</v>
      </c>
      <c r="BO190" s="68" t="s">
        <v>93</v>
      </c>
      <c r="BP190" s="69" t="s">
        <v>93</v>
      </c>
    </row>
    <row r="191" spans="2:68" x14ac:dyDescent="0.25">
      <c r="B191" s="64">
        <v>7</v>
      </c>
      <c r="C191" s="65">
        <v>27</v>
      </c>
      <c r="D191" s="65" t="s">
        <v>97</v>
      </c>
      <c r="E191" s="66">
        <f>'[3]Master File'!B190</f>
        <v>46204</v>
      </c>
      <c r="F191" s="67" t="str">
        <f>'[3]Master File'!C190</f>
        <v>Lodge + Sch Exp</v>
      </c>
      <c r="G191" s="46"/>
      <c r="I191" s="68" t="s">
        <v>93</v>
      </c>
      <c r="J191" s="68" t="s">
        <v>93</v>
      </c>
      <c r="K191" s="68" t="s">
        <v>93</v>
      </c>
      <c r="L191" s="68" t="s">
        <v>94</v>
      </c>
      <c r="M191" s="68" t="s">
        <v>93</v>
      </c>
      <c r="N191" s="68" t="s">
        <v>93</v>
      </c>
      <c r="O191" s="68" t="s">
        <v>93</v>
      </c>
      <c r="P191" s="68" t="s">
        <v>93</v>
      </c>
      <c r="Q191" s="68" t="s">
        <v>93</v>
      </c>
      <c r="R191" s="68" t="s">
        <v>93</v>
      </c>
      <c r="S191" s="68" t="s">
        <v>93</v>
      </c>
      <c r="T191" s="68" t="s">
        <v>93</v>
      </c>
      <c r="U191" s="68" t="s">
        <v>93</v>
      </c>
      <c r="V191" s="68" t="s">
        <v>93</v>
      </c>
      <c r="W191" s="68" t="s">
        <v>93</v>
      </c>
      <c r="X191" s="68" t="s">
        <v>93</v>
      </c>
      <c r="Y191" s="68" t="s">
        <v>93</v>
      </c>
      <c r="Z191" s="68" t="s">
        <v>94</v>
      </c>
      <c r="AA191" s="68" t="s">
        <v>93</v>
      </c>
      <c r="AB191" s="68" t="s">
        <v>93</v>
      </c>
      <c r="AC191" s="68" t="s">
        <v>93</v>
      </c>
      <c r="AD191" s="68" t="s">
        <v>93</v>
      </c>
      <c r="AE191" s="68" t="s">
        <v>93</v>
      </c>
      <c r="AF191" s="68" t="s">
        <v>93</v>
      </c>
      <c r="AG191" s="68" t="s">
        <v>93</v>
      </c>
      <c r="AH191" s="68" t="s">
        <v>93</v>
      </c>
      <c r="AI191" s="68" t="s">
        <v>93</v>
      </c>
      <c r="AJ191" s="68" t="s">
        <v>93</v>
      </c>
      <c r="AK191" s="68" t="s">
        <v>93</v>
      </c>
      <c r="AL191" s="68" t="s">
        <v>93</v>
      </c>
      <c r="AM191" s="68" t="s">
        <v>93</v>
      </c>
      <c r="AN191" s="68" t="s">
        <v>93</v>
      </c>
      <c r="AO191" s="68" t="s">
        <v>93</v>
      </c>
      <c r="AP191" s="68" t="s">
        <v>93</v>
      </c>
      <c r="AQ191" s="68" t="s">
        <v>93</v>
      </c>
      <c r="AR191" s="68" t="s">
        <v>93</v>
      </c>
      <c r="AS191" s="68" t="s">
        <v>93</v>
      </c>
      <c r="AT191" s="68" t="s">
        <v>93</v>
      </c>
      <c r="AU191" s="68" t="s">
        <v>93</v>
      </c>
      <c r="AV191" s="68" t="s">
        <v>93</v>
      </c>
      <c r="AW191" s="68" t="s">
        <v>93</v>
      </c>
      <c r="AX191" s="68" t="s">
        <v>93</v>
      </c>
      <c r="AY191" s="68" t="s">
        <v>93</v>
      </c>
      <c r="AZ191" s="68" t="s">
        <v>93</v>
      </c>
      <c r="BA191" s="68" t="s">
        <v>93</v>
      </c>
      <c r="BB191" s="68" t="s">
        <v>93</v>
      </c>
      <c r="BC191" s="68" t="s">
        <v>93</v>
      </c>
      <c r="BD191" s="68" t="s">
        <v>93</v>
      </c>
      <c r="BE191" s="68" t="s">
        <v>93</v>
      </c>
      <c r="BF191" s="68" t="s">
        <v>93</v>
      </c>
      <c r="BG191" s="68" t="s">
        <v>93</v>
      </c>
      <c r="BH191" s="68" t="s">
        <v>93</v>
      </c>
      <c r="BI191" s="68" t="s">
        <v>93</v>
      </c>
      <c r="BJ191" s="68" t="s">
        <v>93</v>
      </c>
      <c r="BK191" s="68" t="s">
        <v>93</v>
      </c>
      <c r="BL191" s="68" t="s">
        <v>93</v>
      </c>
      <c r="BM191" s="68" t="s">
        <v>93</v>
      </c>
      <c r="BN191" s="68" t="s">
        <v>93</v>
      </c>
      <c r="BO191" s="68" t="s">
        <v>93</v>
      </c>
      <c r="BP191" s="69" t="s">
        <v>93</v>
      </c>
    </row>
    <row r="192" spans="2:68" x14ac:dyDescent="0.25">
      <c r="B192" s="64">
        <v>7</v>
      </c>
      <c r="C192" s="65">
        <v>27</v>
      </c>
      <c r="D192" s="65" t="s">
        <v>98</v>
      </c>
      <c r="E192" s="66">
        <f>'[3]Master File'!B191</f>
        <v>46205</v>
      </c>
      <c r="F192" s="67" t="str">
        <f>'[3]Master File'!C191</f>
        <v>Lodge + Sch Exp</v>
      </c>
      <c r="G192" s="46"/>
      <c r="I192" s="68" t="s">
        <v>93</v>
      </c>
      <c r="J192" s="68" t="s">
        <v>93</v>
      </c>
      <c r="K192" s="68" t="s">
        <v>93</v>
      </c>
      <c r="L192" s="68" t="s">
        <v>94</v>
      </c>
      <c r="M192" s="68" t="s">
        <v>93</v>
      </c>
      <c r="N192" s="68" t="s">
        <v>93</v>
      </c>
      <c r="O192" s="68" t="s">
        <v>93</v>
      </c>
      <c r="P192" s="68" t="s">
        <v>93</v>
      </c>
      <c r="Q192" s="68" t="s">
        <v>93</v>
      </c>
      <c r="R192" s="68" t="s">
        <v>93</v>
      </c>
      <c r="S192" s="68" t="s">
        <v>93</v>
      </c>
      <c r="T192" s="68" t="s">
        <v>93</v>
      </c>
      <c r="U192" s="68" t="s">
        <v>93</v>
      </c>
      <c r="V192" s="68" t="s">
        <v>93</v>
      </c>
      <c r="W192" s="68" t="s">
        <v>93</v>
      </c>
      <c r="X192" s="68" t="s">
        <v>93</v>
      </c>
      <c r="Y192" s="68" t="s">
        <v>93</v>
      </c>
      <c r="Z192" s="68" t="s">
        <v>94</v>
      </c>
      <c r="AA192" s="68" t="s">
        <v>93</v>
      </c>
      <c r="AB192" s="68" t="s">
        <v>93</v>
      </c>
      <c r="AC192" s="68" t="s">
        <v>93</v>
      </c>
      <c r="AD192" s="68" t="s">
        <v>93</v>
      </c>
      <c r="AE192" s="68" t="s">
        <v>93</v>
      </c>
      <c r="AF192" s="68" t="s">
        <v>93</v>
      </c>
      <c r="AG192" s="68" t="s">
        <v>93</v>
      </c>
      <c r="AH192" s="68" t="s">
        <v>93</v>
      </c>
      <c r="AI192" s="68" t="s">
        <v>93</v>
      </c>
      <c r="AJ192" s="68" t="s">
        <v>93</v>
      </c>
      <c r="AK192" s="68" t="s">
        <v>93</v>
      </c>
      <c r="AL192" s="68" t="s">
        <v>93</v>
      </c>
      <c r="AM192" s="68" t="s">
        <v>93</v>
      </c>
      <c r="AN192" s="68" t="s">
        <v>93</v>
      </c>
      <c r="AO192" s="68" t="s">
        <v>93</v>
      </c>
      <c r="AP192" s="68" t="s">
        <v>93</v>
      </c>
      <c r="AQ192" s="68" t="s">
        <v>93</v>
      </c>
      <c r="AR192" s="68" t="s">
        <v>93</v>
      </c>
      <c r="AS192" s="68" t="s">
        <v>93</v>
      </c>
      <c r="AT192" s="68" t="s">
        <v>93</v>
      </c>
      <c r="AU192" s="68" t="s">
        <v>93</v>
      </c>
      <c r="AV192" s="68" t="s">
        <v>93</v>
      </c>
      <c r="AW192" s="68" t="s">
        <v>93</v>
      </c>
      <c r="AX192" s="68" t="s">
        <v>93</v>
      </c>
      <c r="AY192" s="68" t="s">
        <v>93</v>
      </c>
      <c r="AZ192" s="68" t="s">
        <v>93</v>
      </c>
      <c r="BA192" s="68" t="s">
        <v>93</v>
      </c>
      <c r="BB192" s="68" t="s">
        <v>93</v>
      </c>
      <c r="BC192" s="68" t="s">
        <v>93</v>
      </c>
      <c r="BD192" s="68" t="s">
        <v>93</v>
      </c>
      <c r="BE192" s="68" t="s">
        <v>93</v>
      </c>
      <c r="BF192" s="68" t="s">
        <v>93</v>
      </c>
      <c r="BG192" s="68" t="s">
        <v>93</v>
      </c>
      <c r="BH192" s="68" t="s">
        <v>93</v>
      </c>
      <c r="BI192" s="68" t="s">
        <v>93</v>
      </c>
      <c r="BJ192" s="68" t="s">
        <v>93</v>
      </c>
      <c r="BK192" s="68" t="s">
        <v>93</v>
      </c>
      <c r="BL192" s="68" t="s">
        <v>93</v>
      </c>
      <c r="BM192" s="68" t="s">
        <v>93</v>
      </c>
      <c r="BN192" s="68" t="s">
        <v>93</v>
      </c>
      <c r="BO192" s="68" t="s">
        <v>93</v>
      </c>
      <c r="BP192" s="69" t="s">
        <v>93</v>
      </c>
    </row>
    <row r="193" spans="2:68" x14ac:dyDescent="0.25">
      <c r="B193" s="64">
        <v>7</v>
      </c>
      <c r="C193" s="65">
        <v>27</v>
      </c>
      <c r="D193" s="65" t="s">
        <v>99</v>
      </c>
      <c r="E193" s="66">
        <f>'[3]Master File'!B192</f>
        <v>46206</v>
      </c>
      <c r="F193" s="67" t="str">
        <f>'[3]Master File'!C192</f>
        <v>Lodge + Sch Exp</v>
      </c>
      <c r="G193" s="46"/>
      <c r="I193" s="68" t="s">
        <v>93</v>
      </c>
      <c r="J193" s="68" t="s">
        <v>93</v>
      </c>
      <c r="K193" s="68" t="s">
        <v>93</v>
      </c>
      <c r="L193" s="68" t="s">
        <v>94</v>
      </c>
      <c r="M193" s="68" t="s">
        <v>93</v>
      </c>
      <c r="N193" s="68" t="s">
        <v>93</v>
      </c>
      <c r="O193" s="68" t="s">
        <v>93</v>
      </c>
      <c r="P193" s="68" t="s">
        <v>93</v>
      </c>
      <c r="Q193" s="68" t="s">
        <v>93</v>
      </c>
      <c r="R193" s="68" t="s">
        <v>93</v>
      </c>
      <c r="S193" s="68" t="s">
        <v>93</v>
      </c>
      <c r="T193" s="68" t="s">
        <v>93</v>
      </c>
      <c r="U193" s="68" t="s">
        <v>93</v>
      </c>
      <c r="V193" s="68" t="s">
        <v>93</v>
      </c>
      <c r="W193" s="68" t="s">
        <v>93</v>
      </c>
      <c r="X193" s="68" t="s">
        <v>93</v>
      </c>
      <c r="Y193" s="68" t="s">
        <v>93</v>
      </c>
      <c r="Z193" s="68" t="s">
        <v>94</v>
      </c>
      <c r="AA193" s="68" t="s">
        <v>93</v>
      </c>
      <c r="AB193" s="68" t="s">
        <v>93</v>
      </c>
      <c r="AC193" s="68" t="s">
        <v>93</v>
      </c>
      <c r="AD193" s="68" t="s">
        <v>93</v>
      </c>
      <c r="AE193" s="68" t="s">
        <v>93</v>
      </c>
      <c r="AF193" s="68" t="s">
        <v>93</v>
      </c>
      <c r="AG193" s="68" t="s">
        <v>93</v>
      </c>
      <c r="AH193" s="68" t="s">
        <v>93</v>
      </c>
      <c r="AI193" s="68" t="s">
        <v>93</v>
      </c>
      <c r="AJ193" s="68" t="s">
        <v>93</v>
      </c>
      <c r="AK193" s="68" t="s">
        <v>93</v>
      </c>
      <c r="AL193" s="68" t="s">
        <v>93</v>
      </c>
      <c r="AM193" s="68" t="s">
        <v>93</v>
      </c>
      <c r="AN193" s="68" t="s">
        <v>93</v>
      </c>
      <c r="AO193" s="68" t="s">
        <v>93</v>
      </c>
      <c r="AP193" s="68" t="s">
        <v>93</v>
      </c>
      <c r="AQ193" s="68" t="s">
        <v>93</v>
      </c>
      <c r="AR193" s="68" t="s">
        <v>93</v>
      </c>
      <c r="AS193" s="68" t="s">
        <v>93</v>
      </c>
      <c r="AT193" s="68" t="s">
        <v>93</v>
      </c>
      <c r="AU193" s="68" t="s">
        <v>93</v>
      </c>
      <c r="AV193" s="68" t="s">
        <v>93</v>
      </c>
      <c r="AW193" s="68" t="s">
        <v>93</v>
      </c>
      <c r="AX193" s="68" t="s">
        <v>93</v>
      </c>
      <c r="AY193" s="68" t="s">
        <v>93</v>
      </c>
      <c r="AZ193" s="68" t="s">
        <v>93</v>
      </c>
      <c r="BA193" s="68" t="s">
        <v>93</v>
      </c>
      <c r="BB193" s="68" t="s">
        <v>93</v>
      </c>
      <c r="BC193" s="68" t="s">
        <v>93</v>
      </c>
      <c r="BD193" s="68" t="s">
        <v>93</v>
      </c>
      <c r="BE193" s="68" t="s">
        <v>93</v>
      </c>
      <c r="BF193" s="68" t="s">
        <v>93</v>
      </c>
      <c r="BG193" s="68" t="s">
        <v>93</v>
      </c>
      <c r="BH193" s="68" t="s">
        <v>93</v>
      </c>
      <c r="BI193" s="68" t="s">
        <v>93</v>
      </c>
      <c r="BJ193" s="68" t="s">
        <v>93</v>
      </c>
      <c r="BK193" s="68" t="s">
        <v>93</v>
      </c>
      <c r="BL193" s="68" t="s">
        <v>93</v>
      </c>
      <c r="BM193" s="68" t="s">
        <v>93</v>
      </c>
      <c r="BN193" s="68" t="s">
        <v>93</v>
      </c>
      <c r="BO193" s="68" t="s">
        <v>93</v>
      </c>
      <c r="BP193" s="69" t="s">
        <v>93</v>
      </c>
    </row>
    <row r="194" spans="2:68" x14ac:dyDescent="0.25">
      <c r="B194" s="64">
        <v>7</v>
      </c>
      <c r="C194" s="65">
        <v>27</v>
      </c>
      <c r="D194" s="65" t="s">
        <v>100</v>
      </c>
      <c r="E194" s="66">
        <f>'[3]Master File'!B193</f>
        <v>46207</v>
      </c>
      <c r="F194" s="67" t="str">
        <f>'[3]Master File'!C193</f>
        <v>Explorer 6PM</v>
      </c>
      <c r="G194" s="46"/>
      <c r="I194" s="70" t="s">
        <v>93</v>
      </c>
      <c r="J194" s="70" t="s">
        <v>93</v>
      </c>
      <c r="K194" s="70" t="s">
        <v>93</v>
      </c>
      <c r="L194" s="68" t="s">
        <v>94</v>
      </c>
      <c r="M194" s="70" t="s">
        <v>93</v>
      </c>
      <c r="N194" s="70" t="s">
        <v>93</v>
      </c>
      <c r="O194" s="70" t="s">
        <v>93</v>
      </c>
      <c r="P194" s="70" t="s">
        <v>93</v>
      </c>
      <c r="Q194" s="70" t="s">
        <v>93</v>
      </c>
      <c r="R194" s="70" t="s">
        <v>93</v>
      </c>
      <c r="S194" s="70" t="s">
        <v>93</v>
      </c>
      <c r="T194" s="70" t="s">
        <v>93</v>
      </c>
      <c r="U194" s="70" t="s">
        <v>93</v>
      </c>
      <c r="V194" s="70" t="s">
        <v>93</v>
      </c>
      <c r="W194" s="70" t="s">
        <v>93</v>
      </c>
      <c r="X194" s="70" t="s">
        <v>93</v>
      </c>
      <c r="Y194" s="70" t="s">
        <v>93</v>
      </c>
      <c r="Z194" s="68" t="s">
        <v>94</v>
      </c>
      <c r="AA194" s="70" t="s">
        <v>93</v>
      </c>
      <c r="AB194" s="70" t="s">
        <v>93</v>
      </c>
      <c r="AC194" s="70" t="s">
        <v>93</v>
      </c>
      <c r="AD194" s="70" t="s">
        <v>94</v>
      </c>
      <c r="AE194" s="70" t="s">
        <v>94</v>
      </c>
      <c r="AF194" s="70" t="s">
        <v>93</v>
      </c>
      <c r="AG194" s="70" t="s">
        <v>93</v>
      </c>
      <c r="AH194" s="70" t="s">
        <v>93</v>
      </c>
      <c r="AI194" s="70" t="s">
        <v>93</v>
      </c>
      <c r="AJ194" s="70" t="s">
        <v>93</v>
      </c>
      <c r="AK194" s="70" t="s">
        <v>93</v>
      </c>
      <c r="AL194" s="70" t="s">
        <v>93</v>
      </c>
      <c r="AM194" s="70" t="s">
        <v>93</v>
      </c>
      <c r="AN194" s="70" t="s">
        <v>93</v>
      </c>
      <c r="AO194" s="70" t="s">
        <v>93</v>
      </c>
      <c r="AP194" s="70" t="s">
        <v>93</v>
      </c>
      <c r="AQ194" s="70" t="s">
        <v>93</v>
      </c>
      <c r="AR194" s="70" t="s">
        <v>93</v>
      </c>
      <c r="AS194" s="70" t="s">
        <v>93</v>
      </c>
      <c r="AT194" s="70" t="s">
        <v>93</v>
      </c>
      <c r="AU194" s="70" t="s">
        <v>93</v>
      </c>
      <c r="AV194" s="70" t="s">
        <v>93</v>
      </c>
      <c r="AW194" s="70" t="s">
        <v>93</v>
      </c>
      <c r="AX194" s="70" t="s">
        <v>93</v>
      </c>
      <c r="AY194" s="70" t="s">
        <v>93</v>
      </c>
      <c r="AZ194" s="70" t="s">
        <v>93</v>
      </c>
      <c r="BA194" s="70" t="s">
        <v>93</v>
      </c>
      <c r="BB194" s="70" t="s">
        <v>93</v>
      </c>
      <c r="BC194" s="70" t="s">
        <v>93</v>
      </c>
      <c r="BD194" s="70" t="s">
        <v>93</v>
      </c>
      <c r="BE194" s="70" t="s">
        <v>93</v>
      </c>
      <c r="BF194" s="70" t="s">
        <v>93</v>
      </c>
      <c r="BG194" s="70" t="s">
        <v>93</v>
      </c>
      <c r="BH194" s="70" t="s">
        <v>93</v>
      </c>
      <c r="BI194" s="70" t="s">
        <v>93</v>
      </c>
      <c r="BJ194" s="70" t="s">
        <v>93</v>
      </c>
      <c r="BK194" s="70" t="s">
        <v>93</v>
      </c>
      <c r="BL194" s="70" t="s">
        <v>93</v>
      </c>
      <c r="BM194" s="70" t="s">
        <v>93</v>
      </c>
      <c r="BN194" s="70" t="s">
        <v>93</v>
      </c>
      <c r="BO194" s="70" t="s">
        <v>93</v>
      </c>
      <c r="BP194" s="71" t="s">
        <v>93</v>
      </c>
    </row>
    <row r="195" spans="2:68" x14ac:dyDescent="0.25">
      <c r="B195" s="64">
        <v>7</v>
      </c>
      <c r="C195" s="65">
        <v>28</v>
      </c>
      <c r="D195" s="65" t="s">
        <v>92</v>
      </c>
      <c r="E195" s="66">
        <f>'[3]Master File'!B194</f>
        <v>46208</v>
      </c>
      <c r="F195" s="67" t="str">
        <f>'[3]Master File'!C194</f>
        <v>Explorer 6PM</v>
      </c>
      <c r="G195" s="46"/>
      <c r="I195" s="70" t="s">
        <v>93</v>
      </c>
      <c r="J195" s="70" t="s">
        <v>93</v>
      </c>
      <c r="K195" s="70" t="s">
        <v>93</v>
      </c>
      <c r="L195" s="68" t="s">
        <v>94</v>
      </c>
      <c r="M195" s="70" t="s">
        <v>93</v>
      </c>
      <c r="N195" s="70" t="s">
        <v>93</v>
      </c>
      <c r="O195" s="70" t="s">
        <v>93</v>
      </c>
      <c r="P195" s="70" t="s">
        <v>93</v>
      </c>
      <c r="Q195" s="70" t="s">
        <v>93</v>
      </c>
      <c r="R195" s="70" t="s">
        <v>93</v>
      </c>
      <c r="S195" s="70" t="s">
        <v>93</v>
      </c>
      <c r="T195" s="70" t="s">
        <v>93</v>
      </c>
      <c r="U195" s="70" t="s">
        <v>93</v>
      </c>
      <c r="V195" s="70" t="s">
        <v>93</v>
      </c>
      <c r="W195" s="70" t="s">
        <v>93</v>
      </c>
      <c r="X195" s="70" t="s">
        <v>93</v>
      </c>
      <c r="Y195" s="70" t="s">
        <v>93</v>
      </c>
      <c r="Z195" s="68" t="s">
        <v>94</v>
      </c>
      <c r="AA195" s="70" t="s">
        <v>93</v>
      </c>
      <c r="AB195" s="70" t="s">
        <v>93</v>
      </c>
      <c r="AC195" s="70" t="s">
        <v>93</v>
      </c>
      <c r="AD195" s="70" t="s">
        <v>94</v>
      </c>
      <c r="AE195" s="70" t="s">
        <v>94</v>
      </c>
      <c r="AF195" s="70" t="s">
        <v>93</v>
      </c>
      <c r="AG195" s="70" t="s">
        <v>93</v>
      </c>
      <c r="AH195" s="70" t="s">
        <v>93</v>
      </c>
      <c r="AI195" s="70" t="s">
        <v>93</v>
      </c>
      <c r="AJ195" s="70" t="s">
        <v>93</v>
      </c>
      <c r="AK195" s="70" t="s">
        <v>93</v>
      </c>
      <c r="AL195" s="70" t="s">
        <v>93</v>
      </c>
      <c r="AM195" s="70" t="s">
        <v>93</v>
      </c>
      <c r="AN195" s="70" t="s">
        <v>93</v>
      </c>
      <c r="AO195" s="70" t="s">
        <v>93</v>
      </c>
      <c r="AP195" s="70" t="s">
        <v>93</v>
      </c>
      <c r="AQ195" s="70" t="s">
        <v>93</v>
      </c>
      <c r="AR195" s="70" t="s">
        <v>93</v>
      </c>
      <c r="AS195" s="70" t="s">
        <v>93</v>
      </c>
      <c r="AT195" s="70" t="s">
        <v>93</v>
      </c>
      <c r="AU195" s="70" t="s">
        <v>93</v>
      </c>
      <c r="AV195" s="70" t="s">
        <v>93</v>
      </c>
      <c r="AW195" s="70" t="s">
        <v>93</v>
      </c>
      <c r="AX195" s="70" t="s">
        <v>93</v>
      </c>
      <c r="AY195" s="70" t="s">
        <v>93</v>
      </c>
      <c r="AZ195" s="70" t="s">
        <v>93</v>
      </c>
      <c r="BA195" s="70" t="s">
        <v>93</v>
      </c>
      <c r="BB195" s="70" t="s">
        <v>93</v>
      </c>
      <c r="BC195" s="70" t="s">
        <v>93</v>
      </c>
      <c r="BD195" s="70" t="s">
        <v>93</v>
      </c>
      <c r="BE195" s="70" t="s">
        <v>93</v>
      </c>
      <c r="BF195" s="70" t="s">
        <v>93</v>
      </c>
      <c r="BG195" s="70" t="s">
        <v>93</v>
      </c>
      <c r="BH195" s="70" t="s">
        <v>93</v>
      </c>
      <c r="BI195" s="70" t="s">
        <v>93</v>
      </c>
      <c r="BJ195" s="70" t="s">
        <v>93</v>
      </c>
      <c r="BK195" s="70" t="s">
        <v>93</v>
      </c>
      <c r="BL195" s="70" t="s">
        <v>93</v>
      </c>
      <c r="BM195" s="70" t="s">
        <v>93</v>
      </c>
      <c r="BN195" s="70" t="s">
        <v>93</v>
      </c>
      <c r="BO195" s="70" t="s">
        <v>93</v>
      </c>
      <c r="BP195" s="71" t="s">
        <v>93</v>
      </c>
    </row>
    <row r="196" spans="2:68" x14ac:dyDescent="0.25">
      <c r="B196" s="64">
        <v>7</v>
      </c>
      <c r="C196" s="65">
        <v>28</v>
      </c>
      <c r="D196" s="65" t="s">
        <v>95</v>
      </c>
      <c r="E196" s="66">
        <f>'[3]Master File'!B195</f>
        <v>46209</v>
      </c>
      <c r="F196" s="67" t="str">
        <f>'[3]Master File'!C195</f>
        <v>Lodge + Sch Exp</v>
      </c>
      <c r="G196" s="46"/>
      <c r="I196" s="68" t="s">
        <v>93</v>
      </c>
      <c r="J196" s="68" t="s">
        <v>93</v>
      </c>
      <c r="K196" s="68" t="s">
        <v>93</v>
      </c>
      <c r="L196" s="68" t="s">
        <v>94</v>
      </c>
      <c r="M196" s="68" t="s">
        <v>93</v>
      </c>
      <c r="N196" s="68" t="s">
        <v>93</v>
      </c>
      <c r="O196" s="68" t="s">
        <v>93</v>
      </c>
      <c r="P196" s="68" t="s">
        <v>93</v>
      </c>
      <c r="Q196" s="68" t="s">
        <v>93</v>
      </c>
      <c r="R196" s="68" t="s">
        <v>93</v>
      </c>
      <c r="S196" s="68" t="s">
        <v>93</v>
      </c>
      <c r="T196" s="68" t="s">
        <v>93</v>
      </c>
      <c r="U196" s="68" t="s">
        <v>93</v>
      </c>
      <c r="V196" s="68" t="s">
        <v>93</v>
      </c>
      <c r="W196" s="68" t="s">
        <v>93</v>
      </c>
      <c r="X196" s="68" t="s">
        <v>93</v>
      </c>
      <c r="Y196" s="68" t="s">
        <v>93</v>
      </c>
      <c r="Z196" s="68" t="s">
        <v>94</v>
      </c>
      <c r="AA196" s="68" t="s">
        <v>93</v>
      </c>
      <c r="AB196" s="68" t="s">
        <v>93</v>
      </c>
      <c r="AC196" s="68" t="s">
        <v>93</v>
      </c>
      <c r="AD196" s="68" t="s">
        <v>93</v>
      </c>
      <c r="AE196" s="68" t="s">
        <v>93</v>
      </c>
      <c r="AF196" s="68" t="s">
        <v>93</v>
      </c>
      <c r="AG196" s="68" t="s">
        <v>93</v>
      </c>
      <c r="AH196" s="68" t="s">
        <v>93</v>
      </c>
      <c r="AI196" s="68" t="s">
        <v>93</v>
      </c>
      <c r="AJ196" s="68" t="s">
        <v>93</v>
      </c>
      <c r="AK196" s="68" t="s">
        <v>93</v>
      </c>
      <c r="AL196" s="68" t="s">
        <v>93</v>
      </c>
      <c r="AM196" s="68" t="s">
        <v>93</v>
      </c>
      <c r="AN196" s="68" t="s">
        <v>93</v>
      </c>
      <c r="AO196" s="68" t="s">
        <v>93</v>
      </c>
      <c r="AP196" s="68" t="s">
        <v>93</v>
      </c>
      <c r="AQ196" s="68" t="s">
        <v>93</v>
      </c>
      <c r="AR196" s="68" t="s">
        <v>93</v>
      </c>
      <c r="AS196" s="68" t="s">
        <v>93</v>
      </c>
      <c r="AT196" s="68" t="s">
        <v>93</v>
      </c>
      <c r="AU196" s="68" t="s">
        <v>93</v>
      </c>
      <c r="AV196" s="68" t="s">
        <v>93</v>
      </c>
      <c r="AW196" s="68" t="s">
        <v>93</v>
      </c>
      <c r="AX196" s="68" t="s">
        <v>93</v>
      </c>
      <c r="AY196" s="68" t="s">
        <v>93</v>
      </c>
      <c r="AZ196" s="68" t="s">
        <v>93</v>
      </c>
      <c r="BA196" s="68" t="s">
        <v>93</v>
      </c>
      <c r="BB196" s="68" t="s">
        <v>93</v>
      </c>
      <c r="BC196" s="68" t="s">
        <v>93</v>
      </c>
      <c r="BD196" s="68" t="s">
        <v>93</v>
      </c>
      <c r="BE196" s="68" t="s">
        <v>93</v>
      </c>
      <c r="BF196" s="68" t="s">
        <v>93</v>
      </c>
      <c r="BG196" s="68" t="s">
        <v>93</v>
      </c>
      <c r="BH196" s="68" t="s">
        <v>93</v>
      </c>
      <c r="BI196" s="68" t="s">
        <v>93</v>
      </c>
      <c r="BJ196" s="68" t="s">
        <v>93</v>
      </c>
      <c r="BK196" s="68" t="s">
        <v>93</v>
      </c>
      <c r="BL196" s="68" t="s">
        <v>93</v>
      </c>
      <c r="BM196" s="68" t="s">
        <v>93</v>
      </c>
      <c r="BN196" s="68" t="s">
        <v>93</v>
      </c>
      <c r="BO196" s="68" t="s">
        <v>93</v>
      </c>
      <c r="BP196" s="69" t="s">
        <v>93</v>
      </c>
    </row>
    <row r="197" spans="2:68" x14ac:dyDescent="0.25">
      <c r="B197" s="64">
        <v>7</v>
      </c>
      <c r="C197" s="65">
        <v>28</v>
      </c>
      <c r="D197" s="65" t="s">
        <v>96</v>
      </c>
      <c r="E197" s="66">
        <f>'[3]Master File'!B196</f>
        <v>46210</v>
      </c>
      <c r="F197" s="67" t="str">
        <f>'[3]Master File'!C196</f>
        <v>Lodge + Sch Exp</v>
      </c>
      <c r="G197" s="46"/>
      <c r="I197" s="68" t="s">
        <v>93</v>
      </c>
      <c r="J197" s="68" t="s">
        <v>93</v>
      </c>
      <c r="K197" s="68" t="s">
        <v>93</v>
      </c>
      <c r="L197" s="68" t="s">
        <v>94</v>
      </c>
      <c r="M197" s="68" t="s">
        <v>93</v>
      </c>
      <c r="N197" s="68" t="s">
        <v>93</v>
      </c>
      <c r="O197" s="68" t="s">
        <v>93</v>
      </c>
      <c r="P197" s="68" t="s">
        <v>93</v>
      </c>
      <c r="Q197" s="68" t="s">
        <v>93</v>
      </c>
      <c r="R197" s="68" t="s">
        <v>93</v>
      </c>
      <c r="S197" s="68" t="s">
        <v>93</v>
      </c>
      <c r="T197" s="68" t="s">
        <v>93</v>
      </c>
      <c r="U197" s="68" t="s">
        <v>93</v>
      </c>
      <c r="V197" s="68" t="s">
        <v>93</v>
      </c>
      <c r="W197" s="68" t="s">
        <v>93</v>
      </c>
      <c r="X197" s="68" t="s">
        <v>93</v>
      </c>
      <c r="Y197" s="68" t="s">
        <v>93</v>
      </c>
      <c r="Z197" s="68" t="s">
        <v>94</v>
      </c>
      <c r="AA197" s="68" t="s">
        <v>93</v>
      </c>
      <c r="AB197" s="68" t="s">
        <v>93</v>
      </c>
      <c r="AC197" s="68" t="s">
        <v>93</v>
      </c>
      <c r="AD197" s="68" t="s">
        <v>93</v>
      </c>
      <c r="AE197" s="68" t="s">
        <v>93</v>
      </c>
      <c r="AF197" s="68" t="s">
        <v>93</v>
      </c>
      <c r="AG197" s="68" t="s">
        <v>93</v>
      </c>
      <c r="AH197" s="68" t="s">
        <v>93</v>
      </c>
      <c r="AI197" s="68" t="s">
        <v>93</v>
      </c>
      <c r="AJ197" s="68" t="s">
        <v>93</v>
      </c>
      <c r="AK197" s="68" t="s">
        <v>93</v>
      </c>
      <c r="AL197" s="68" t="s">
        <v>93</v>
      </c>
      <c r="AM197" s="68" t="s">
        <v>93</v>
      </c>
      <c r="AN197" s="68" t="s">
        <v>93</v>
      </c>
      <c r="AO197" s="68" t="s">
        <v>93</v>
      </c>
      <c r="AP197" s="68" t="s">
        <v>93</v>
      </c>
      <c r="AQ197" s="68" t="s">
        <v>93</v>
      </c>
      <c r="AR197" s="68" t="s">
        <v>93</v>
      </c>
      <c r="AS197" s="68" t="s">
        <v>93</v>
      </c>
      <c r="AT197" s="68" t="s">
        <v>93</v>
      </c>
      <c r="AU197" s="68" t="s">
        <v>93</v>
      </c>
      <c r="AV197" s="68" t="s">
        <v>93</v>
      </c>
      <c r="AW197" s="68" t="s">
        <v>93</v>
      </c>
      <c r="AX197" s="68" t="s">
        <v>93</v>
      </c>
      <c r="AY197" s="68" t="s">
        <v>93</v>
      </c>
      <c r="AZ197" s="68" t="s">
        <v>93</v>
      </c>
      <c r="BA197" s="68" t="s">
        <v>93</v>
      </c>
      <c r="BB197" s="68" t="s">
        <v>93</v>
      </c>
      <c r="BC197" s="68" t="s">
        <v>93</v>
      </c>
      <c r="BD197" s="68" t="s">
        <v>93</v>
      </c>
      <c r="BE197" s="68" t="s">
        <v>93</v>
      </c>
      <c r="BF197" s="68" t="s">
        <v>93</v>
      </c>
      <c r="BG197" s="68" t="s">
        <v>93</v>
      </c>
      <c r="BH197" s="68" t="s">
        <v>93</v>
      </c>
      <c r="BI197" s="68" t="s">
        <v>93</v>
      </c>
      <c r="BJ197" s="68" t="s">
        <v>93</v>
      </c>
      <c r="BK197" s="68" t="s">
        <v>93</v>
      </c>
      <c r="BL197" s="68" t="s">
        <v>93</v>
      </c>
      <c r="BM197" s="68" t="s">
        <v>93</v>
      </c>
      <c r="BN197" s="68" t="s">
        <v>93</v>
      </c>
      <c r="BO197" s="68" t="s">
        <v>93</v>
      </c>
      <c r="BP197" s="69" t="s">
        <v>93</v>
      </c>
    </row>
    <row r="198" spans="2:68" x14ac:dyDescent="0.25">
      <c r="B198" s="64">
        <v>7</v>
      </c>
      <c r="C198" s="65">
        <v>28</v>
      </c>
      <c r="D198" s="65" t="s">
        <v>97</v>
      </c>
      <c r="E198" s="66">
        <f>'[3]Master File'!B197</f>
        <v>46211</v>
      </c>
      <c r="F198" s="67" t="str">
        <f>'[3]Master File'!C197</f>
        <v>Lodge + Sch Exp</v>
      </c>
      <c r="G198" s="46"/>
      <c r="I198" s="68" t="s">
        <v>93</v>
      </c>
      <c r="J198" s="68" t="s">
        <v>93</v>
      </c>
      <c r="K198" s="68" t="s">
        <v>93</v>
      </c>
      <c r="L198" s="68" t="s">
        <v>94</v>
      </c>
      <c r="M198" s="68" t="s">
        <v>93</v>
      </c>
      <c r="N198" s="68" t="s">
        <v>93</v>
      </c>
      <c r="O198" s="68" t="s">
        <v>93</v>
      </c>
      <c r="P198" s="68" t="s">
        <v>93</v>
      </c>
      <c r="Q198" s="68" t="s">
        <v>93</v>
      </c>
      <c r="R198" s="68" t="s">
        <v>93</v>
      </c>
      <c r="S198" s="68" t="s">
        <v>93</v>
      </c>
      <c r="T198" s="68" t="s">
        <v>93</v>
      </c>
      <c r="U198" s="68" t="s">
        <v>93</v>
      </c>
      <c r="V198" s="68" t="s">
        <v>93</v>
      </c>
      <c r="W198" s="68" t="s">
        <v>93</v>
      </c>
      <c r="X198" s="68" t="s">
        <v>93</v>
      </c>
      <c r="Y198" s="68" t="s">
        <v>93</v>
      </c>
      <c r="Z198" s="68" t="s">
        <v>94</v>
      </c>
      <c r="AA198" s="68" t="s">
        <v>93</v>
      </c>
      <c r="AB198" s="68" t="s">
        <v>93</v>
      </c>
      <c r="AC198" s="68" t="s">
        <v>93</v>
      </c>
      <c r="AD198" s="68" t="s">
        <v>93</v>
      </c>
      <c r="AE198" s="68" t="s">
        <v>93</v>
      </c>
      <c r="AF198" s="68" t="s">
        <v>93</v>
      </c>
      <c r="AG198" s="68" t="s">
        <v>93</v>
      </c>
      <c r="AH198" s="68" t="s">
        <v>93</v>
      </c>
      <c r="AI198" s="68" t="s">
        <v>93</v>
      </c>
      <c r="AJ198" s="68" t="s">
        <v>93</v>
      </c>
      <c r="AK198" s="68" t="s">
        <v>93</v>
      </c>
      <c r="AL198" s="68" t="s">
        <v>93</v>
      </c>
      <c r="AM198" s="68" t="s">
        <v>93</v>
      </c>
      <c r="AN198" s="68" t="s">
        <v>93</v>
      </c>
      <c r="AO198" s="68" t="s">
        <v>93</v>
      </c>
      <c r="AP198" s="68" t="s">
        <v>93</v>
      </c>
      <c r="AQ198" s="68" t="s">
        <v>93</v>
      </c>
      <c r="AR198" s="68" t="s">
        <v>93</v>
      </c>
      <c r="AS198" s="68" t="s">
        <v>93</v>
      </c>
      <c r="AT198" s="68" t="s">
        <v>93</v>
      </c>
      <c r="AU198" s="68" t="s">
        <v>93</v>
      </c>
      <c r="AV198" s="68" t="s">
        <v>93</v>
      </c>
      <c r="AW198" s="68" t="s">
        <v>93</v>
      </c>
      <c r="AX198" s="68" t="s">
        <v>93</v>
      </c>
      <c r="AY198" s="68" t="s">
        <v>93</v>
      </c>
      <c r="AZ198" s="68" t="s">
        <v>93</v>
      </c>
      <c r="BA198" s="68" t="s">
        <v>93</v>
      </c>
      <c r="BB198" s="68" t="s">
        <v>93</v>
      </c>
      <c r="BC198" s="68" t="s">
        <v>93</v>
      </c>
      <c r="BD198" s="68" t="s">
        <v>93</v>
      </c>
      <c r="BE198" s="68" t="s">
        <v>93</v>
      </c>
      <c r="BF198" s="68" t="s">
        <v>93</v>
      </c>
      <c r="BG198" s="68" t="s">
        <v>93</v>
      </c>
      <c r="BH198" s="68" t="s">
        <v>93</v>
      </c>
      <c r="BI198" s="68" t="s">
        <v>93</v>
      </c>
      <c r="BJ198" s="68" t="s">
        <v>93</v>
      </c>
      <c r="BK198" s="68" t="s">
        <v>93</v>
      </c>
      <c r="BL198" s="68" t="s">
        <v>93</v>
      </c>
      <c r="BM198" s="68" t="s">
        <v>93</v>
      </c>
      <c r="BN198" s="68" t="s">
        <v>93</v>
      </c>
      <c r="BO198" s="68" t="s">
        <v>93</v>
      </c>
      <c r="BP198" s="69" t="s">
        <v>93</v>
      </c>
    </row>
    <row r="199" spans="2:68" x14ac:dyDescent="0.25">
      <c r="B199" s="64">
        <v>7</v>
      </c>
      <c r="C199" s="65">
        <v>28</v>
      </c>
      <c r="D199" s="65" t="s">
        <v>98</v>
      </c>
      <c r="E199" s="66">
        <f>'[3]Master File'!B198</f>
        <v>46212</v>
      </c>
      <c r="F199" s="67" t="str">
        <f>'[3]Master File'!C198</f>
        <v>Lodge + Sch Exp</v>
      </c>
      <c r="G199" s="46"/>
      <c r="I199" s="68" t="s">
        <v>93</v>
      </c>
      <c r="J199" s="68" t="s">
        <v>93</v>
      </c>
      <c r="K199" s="68" t="s">
        <v>93</v>
      </c>
      <c r="L199" s="68" t="s">
        <v>94</v>
      </c>
      <c r="M199" s="68" t="s">
        <v>93</v>
      </c>
      <c r="N199" s="68" t="s">
        <v>93</v>
      </c>
      <c r="O199" s="68" t="s">
        <v>93</v>
      </c>
      <c r="P199" s="68" t="s">
        <v>93</v>
      </c>
      <c r="Q199" s="68" t="s">
        <v>93</v>
      </c>
      <c r="R199" s="68" t="s">
        <v>93</v>
      </c>
      <c r="S199" s="68" t="s">
        <v>93</v>
      </c>
      <c r="T199" s="68" t="s">
        <v>93</v>
      </c>
      <c r="U199" s="68" t="s">
        <v>93</v>
      </c>
      <c r="V199" s="68" t="s">
        <v>93</v>
      </c>
      <c r="W199" s="68" t="s">
        <v>93</v>
      </c>
      <c r="X199" s="68" t="s">
        <v>93</v>
      </c>
      <c r="Y199" s="68" t="s">
        <v>93</v>
      </c>
      <c r="Z199" s="68" t="s">
        <v>94</v>
      </c>
      <c r="AA199" s="68" t="s">
        <v>93</v>
      </c>
      <c r="AB199" s="68" t="s">
        <v>93</v>
      </c>
      <c r="AC199" s="68" t="s">
        <v>93</v>
      </c>
      <c r="AD199" s="68" t="s">
        <v>93</v>
      </c>
      <c r="AE199" s="68" t="s">
        <v>93</v>
      </c>
      <c r="AF199" s="68" t="s">
        <v>93</v>
      </c>
      <c r="AG199" s="68" t="s">
        <v>93</v>
      </c>
      <c r="AH199" s="68" t="s">
        <v>93</v>
      </c>
      <c r="AI199" s="68" t="s">
        <v>93</v>
      </c>
      <c r="AJ199" s="68" t="s">
        <v>93</v>
      </c>
      <c r="AK199" s="68" t="s">
        <v>93</v>
      </c>
      <c r="AL199" s="68" t="s">
        <v>93</v>
      </c>
      <c r="AM199" s="68" t="s">
        <v>93</v>
      </c>
      <c r="AN199" s="68" t="s">
        <v>93</v>
      </c>
      <c r="AO199" s="68" t="s">
        <v>93</v>
      </c>
      <c r="AP199" s="68" t="s">
        <v>93</v>
      </c>
      <c r="AQ199" s="68" t="s">
        <v>93</v>
      </c>
      <c r="AR199" s="68" t="s">
        <v>93</v>
      </c>
      <c r="AS199" s="68" t="s">
        <v>93</v>
      </c>
      <c r="AT199" s="68" t="s">
        <v>93</v>
      </c>
      <c r="AU199" s="68" t="s">
        <v>93</v>
      </c>
      <c r="AV199" s="68" t="s">
        <v>93</v>
      </c>
      <c r="AW199" s="68" t="s">
        <v>93</v>
      </c>
      <c r="AX199" s="68" t="s">
        <v>93</v>
      </c>
      <c r="AY199" s="68" t="s">
        <v>93</v>
      </c>
      <c r="AZ199" s="68" t="s">
        <v>93</v>
      </c>
      <c r="BA199" s="68" t="s">
        <v>93</v>
      </c>
      <c r="BB199" s="68" t="s">
        <v>93</v>
      </c>
      <c r="BC199" s="68" t="s">
        <v>93</v>
      </c>
      <c r="BD199" s="68" t="s">
        <v>93</v>
      </c>
      <c r="BE199" s="68" t="s">
        <v>93</v>
      </c>
      <c r="BF199" s="68" t="s">
        <v>93</v>
      </c>
      <c r="BG199" s="68" t="s">
        <v>93</v>
      </c>
      <c r="BH199" s="68" t="s">
        <v>93</v>
      </c>
      <c r="BI199" s="68" t="s">
        <v>93</v>
      </c>
      <c r="BJ199" s="68" t="s">
        <v>93</v>
      </c>
      <c r="BK199" s="68" t="s">
        <v>93</v>
      </c>
      <c r="BL199" s="68" t="s">
        <v>93</v>
      </c>
      <c r="BM199" s="68" t="s">
        <v>93</v>
      </c>
      <c r="BN199" s="68" t="s">
        <v>93</v>
      </c>
      <c r="BO199" s="68" t="s">
        <v>93</v>
      </c>
      <c r="BP199" s="69" t="s">
        <v>93</v>
      </c>
    </row>
    <row r="200" spans="2:68" x14ac:dyDescent="0.25">
      <c r="B200" s="64">
        <v>7</v>
      </c>
      <c r="C200" s="65">
        <v>28</v>
      </c>
      <c r="D200" s="65" t="s">
        <v>99</v>
      </c>
      <c r="E200" s="66">
        <f>'[3]Master File'!B199</f>
        <v>46213</v>
      </c>
      <c r="F200" s="67" t="str">
        <f>'[3]Master File'!C199</f>
        <v>Lodge + Sch Exp</v>
      </c>
      <c r="G200" s="46"/>
      <c r="I200" s="68" t="s">
        <v>93</v>
      </c>
      <c r="J200" s="68" t="s">
        <v>93</v>
      </c>
      <c r="K200" s="68" t="s">
        <v>93</v>
      </c>
      <c r="L200" s="68" t="s">
        <v>94</v>
      </c>
      <c r="M200" s="68" t="s">
        <v>93</v>
      </c>
      <c r="N200" s="68" t="s">
        <v>93</v>
      </c>
      <c r="O200" s="68" t="s">
        <v>93</v>
      </c>
      <c r="P200" s="68" t="s">
        <v>93</v>
      </c>
      <c r="Q200" s="68" t="s">
        <v>93</v>
      </c>
      <c r="R200" s="68" t="s">
        <v>93</v>
      </c>
      <c r="S200" s="68" t="s">
        <v>93</v>
      </c>
      <c r="T200" s="68" t="s">
        <v>93</v>
      </c>
      <c r="U200" s="68" t="s">
        <v>93</v>
      </c>
      <c r="V200" s="68" t="s">
        <v>93</v>
      </c>
      <c r="W200" s="68" t="s">
        <v>93</v>
      </c>
      <c r="X200" s="68" t="s">
        <v>93</v>
      </c>
      <c r="Y200" s="68" t="s">
        <v>93</v>
      </c>
      <c r="Z200" s="68" t="s">
        <v>94</v>
      </c>
      <c r="AA200" s="68" t="s">
        <v>93</v>
      </c>
      <c r="AB200" s="68" t="s">
        <v>93</v>
      </c>
      <c r="AC200" s="68" t="s">
        <v>93</v>
      </c>
      <c r="AD200" s="68" t="s">
        <v>93</v>
      </c>
      <c r="AE200" s="68" t="s">
        <v>93</v>
      </c>
      <c r="AF200" s="68" t="s">
        <v>93</v>
      </c>
      <c r="AG200" s="68" t="s">
        <v>93</v>
      </c>
      <c r="AH200" s="68" t="s">
        <v>93</v>
      </c>
      <c r="AI200" s="68" t="s">
        <v>93</v>
      </c>
      <c r="AJ200" s="68" t="s">
        <v>93</v>
      </c>
      <c r="AK200" s="68" t="s">
        <v>93</v>
      </c>
      <c r="AL200" s="68" t="s">
        <v>93</v>
      </c>
      <c r="AM200" s="68" t="s">
        <v>93</v>
      </c>
      <c r="AN200" s="68" t="s">
        <v>93</v>
      </c>
      <c r="AO200" s="68" t="s">
        <v>93</v>
      </c>
      <c r="AP200" s="68" t="s">
        <v>93</v>
      </c>
      <c r="AQ200" s="68" t="s">
        <v>93</v>
      </c>
      <c r="AR200" s="68" t="s">
        <v>93</v>
      </c>
      <c r="AS200" s="68" t="s">
        <v>93</v>
      </c>
      <c r="AT200" s="68" t="s">
        <v>93</v>
      </c>
      <c r="AU200" s="68" t="s">
        <v>93</v>
      </c>
      <c r="AV200" s="68" t="s">
        <v>93</v>
      </c>
      <c r="AW200" s="68" t="s">
        <v>93</v>
      </c>
      <c r="AX200" s="68" t="s">
        <v>93</v>
      </c>
      <c r="AY200" s="68" t="s">
        <v>93</v>
      </c>
      <c r="AZ200" s="68" t="s">
        <v>93</v>
      </c>
      <c r="BA200" s="68" t="s">
        <v>93</v>
      </c>
      <c r="BB200" s="68" t="s">
        <v>93</v>
      </c>
      <c r="BC200" s="68" t="s">
        <v>93</v>
      </c>
      <c r="BD200" s="68" t="s">
        <v>93</v>
      </c>
      <c r="BE200" s="68" t="s">
        <v>93</v>
      </c>
      <c r="BF200" s="68" t="s">
        <v>93</v>
      </c>
      <c r="BG200" s="68" t="s">
        <v>93</v>
      </c>
      <c r="BH200" s="68" t="s">
        <v>93</v>
      </c>
      <c r="BI200" s="68" t="s">
        <v>93</v>
      </c>
      <c r="BJ200" s="68" t="s">
        <v>93</v>
      </c>
      <c r="BK200" s="68" t="s">
        <v>93</v>
      </c>
      <c r="BL200" s="68" t="s">
        <v>93</v>
      </c>
      <c r="BM200" s="68" t="s">
        <v>93</v>
      </c>
      <c r="BN200" s="68" t="s">
        <v>93</v>
      </c>
      <c r="BO200" s="68" t="s">
        <v>93</v>
      </c>
      <c r="BP200" s="69" t="s">
        <v>93</v>
      </c>
    </row>
    <row r="201" spans="2:68" x14ac:dyDescent="0.25">
      <c r="B201" s="64">
        <v>7</v>
      </c>
      <c r="C201" s="65">
        <v>28</v>
      </c>
      <c r="D201" s="65" t="s">
        <v>100</v>
      </c>
      <c r="E201" s="66">
        <f>'[3]Master File'!B200</f>
        <v>46214</v>
      </c>
      <c r="F201" s="67" t="str">
        <f>'[3]Master File'!C200</f>
        <v>Explorer 6PM</v>
      </c>
      <c r="G201" s="46"/>
      <c r="I201" s="70" t="s">
        <v>93</v>
      </c>
      <c r="J201" s="70" t="s">
        <v>93</v>
      </c>
      <c r="K201" s="70" t="s">
        <v>93</v>
      </c>
      <c r="L201" s="68" t="s">
        <v>94</v>
      </c>
      <c r="M201" s="70" t="s">
        <v>93</v>
      </c>
      <c r="N201" s="70" t="s">
        <v>93</v>
      </c>
      <c r="O201" s="70" t="s">
        <v>93</v>
      </c>
      <c r="P201" s="70" t="s">
        <v>93</v>
      </c>
      <c r="Q201" s="70" t="s">
        <v>93</v>
      </c>
      <c r="R201" s="70" t="s">
        <v>93</v>
      </c>
      <c r="S201" s="70" t="s">
        <v>93</v>
      </c>
      <c r="T201" s="70" t="s">
        <v>93</v>
      </c>
      <c r="U201" s="70" t="s">
        <v>93</v>
      </c>
      <c r="V201" s="70" t="s">
        <v>93</v>
      </c>
      <c r="W201" s="70" t="s">
        <v>93</v>
      </c>
      <c r="X201" s="70" t="s">
        <v>93</v>
      </c>
      <c r="Y201" s="70" t="s">
        <v>93</v>
      </c>
      <c r="Z201" s="68" t="s">
        <v>94</v>
      </c>
      <c r="AA201" s="70" t="s">
        <v>93</v>
      </c>
      <c r="AB201" s="70" t="s">
        <v>93</v>
      </c>
      <c r="AC201" s="70" t="s">
        <v>93</v>
      </c>
      <c r="AD201" s="70" t="s">
        <v>94</v>
      </c>
      <c r="AE201" s="70" t="s">
        <v>94</v>
      </c>
      <c r="AF201" s="70" t="s">
        <v>93</v>
      </c>
      <c r="AG201" s="70" t="s">
        <v>93</v>
      </c>
      <c r="AH201" s="70" t="s">
        <v>93</v>
      </c>
      <c r="AI201" s="70" t="s">
        <v>93</v>
      </c>
      <c r="AJ201" s="70" t="s">
        <v>93</v>
      </c>
      <c r="AK201" s="70" t="s">
        <v>93</v>
      </c>
      <c r="AL201" s="70" t="s">
        <v>93</v>
      </c>
      <c r="AM201" s="70" t="s">
        <v>93</v>
      </c>
      <c r="AN201" s="70" t="s">
        <v>93</v>
      </c>
      <c r="AO201" s="70" t="s">
        <v>93</v>
      </c>
      <c r="AP201" s="70" t="s">
        <v>93</v>
      </c>
      <c r="AQ201" s="70" t="s">
        <v>93</v>
      </c>
      <c r="AR201" s="70" t="s">
        <v>93</v>
      </c>
      <c r="AS201" s="70" t="s">
        <v>93</v>
      </c>
      <c r="AT201" s="70" t="s">
        <v>93</v>
      </c>
      <c r="AU201" s="70" t="s">
        <v>93</v>
      </c>
      <c r="AV201" s="70" t="s">
        <v>93</v>
      </c>
      <c r="AW201" s="70" t="s">
        <v>93</v>
      </c>
      <c r="AX201" s="70" t="s">
        <v>93</v>
      </c>
      <c r="AY201" s="70" t="s">
        <v>93</v>
      </c>
      <c r="AZ201" s="70" t="s">
        <v>93</v>
      </c>
      <c r="BA201" s="70" t="s">
        <v>93</v>
      </c>
      <c r="BB201" s="70" t="s">
        <v>93</v>
      </c>
      <c r="BC201" s="70" t="s">
        <v>93</v>
      </c>
      <c r="BD201" s="70" t="s">
        <v>93</v>
      </c>
      <c r="BE201" s="70" t="s">
        <v>93</v>
      </c>
      <c r="BF201" s="70" t="s">
        <v>93</v>
      </c>
      <c r="BG201" s="70" t="s">
        <v>93</v>
      </c>
      <c r="BH201" s="70" t="s">
        <v>93</v>
      </c>
      <c r="BI201" s="70" t="s">
        <v>93</v>
      </c>
      <c r="BJ201" s="70" t="s">
        <v>93</v>
      </c>
      <c r="BK201" s="70" t="s">
        <v>93</v>
      </c>
      <c r="BL201" s="70" t="s">
        <v>93</v>
      </c>
      <c r="BM201" s="70" t="s">
        <v>93</v>
      </c>
      <c r="BN201" s="70" t="s">
        <v>93</v>
      </c>
      <c r="BO201" s="70" t="s">
        <v>93</v>
      </c>
      <c r="BP201" s="71" t="s">
        <v>93</v>
      </c>
    </row>
    <row r="202" spans="2:68" x14ac:dyDescent="0.25">
      <c r="B202" s="64">
        <v>7</v>
      </c>
      <c r="C202" s="65">
        <v>29</v>
      </c>
      <c r="D202" s="65" t="s">
        <v>92</v>
      </c>
      <c r="E202" s="66">
        <f>'[3]Master File'!B201</f>
        <v>46215</v>
      </c>
      <c r="F202" s="67" t="str">
        <f>'[3]Master File'!C201</f>
        <v>Explorer 6PM</v>
      </c>
      <c r="G202" s="46"/>
      <c r="I202" s="70" t="s">
        <v>93</v>
      </c>
      <c r="J202" s="70" t="s">
        <v>93</v>
      </c>
      <c r="K202" s="70" t="s">
        <v>93</v>
      </c>
      <c r="L202" s="68" t="s">
        <v>94</v>
      </c>
      <c r="M202" s="70" t="s">
        <v>93</v>
      </c>
      <c r="N202" s="70" t="s">
        <v>93</v>
      </c>
      <c r="O202" s="70" t="s">
        <v>93</v>
      </c>
      <c r="P202" s="70" t="s">
        <v>93</v>
      </c>
      <c r="Q202" s="70" t="s">
        <v>93</v>
      </c>
      <c r="R202" s="70" t="s">
        <v>93</v>
      </c>
      <c r="S202" s="70" t="s">
        <v>93</v>
      </c>
      <c r="T202" s="70" t="s">
        <v>93</v>
      </c>
      <c r="U202" s="70" t="s">
        <v>93</v>
      </c>
      <c r="V202" s="70" t="s">
        <v>93</v>
      </c>
      <c r="W202" s="70" t="s">
        <v>93</v>
      </c>
      <c r="X202" s="70" t="s">
        <v>93</v>
      </c>
      <c r="Y202" s="70" t="s">
        <v>93</v>
      </c>
      <c r="Z202" s="68" t="s">
        <v>94</v>
      </c>
      <c r="AA202" s="70" t="s">
        <v>93</v>
      </c>
      <c r="AB202" s="70" t="s">
        <v>93</v>
      </c>
      <c r="AC202" s="70" t="s">
        <v>93</v>
      </c>
      <c r="AD202" s="70" t="s">
        <v>94</v>
      </c>
      <c r="AE202" s="70" t="s">
        <v>94</v>
      </c>
      <c r="AF202" s="70" t="s">
        <v>93</v>
      </c>
      <c r="AG202" s="70" t="s">
        <v>93</v>
      </c>
      <c r="AH202" s="70" t="s">
        <v>93</v>
      </c>
      <c r="AI202" s="70" t="s">
        <v>93</v>
      </c>
      <c r="AJ202" s="70" t="s">
        <v>93</v>
      </c>
      <c r="AK202" s="70" t="s">
        <v>93</v>
      </c>
      <c r="AL202" s="70" t="s">
        <v>93</v>
      </c>
      <c r="AM202" s="70" t="s">
        <v>93</v>
      </c>
      <c r="AN202" s="70" t="s">
        <v>93</v>
      </c>
      <c r="AO202" s="70" t="s">
        <v>93</v>
      </c>
      <c r="AP202" s="70" t="s">
        <v>93</v>
      </c>
      <c r="AQ202" s="70" t="s">
        <v>93</v>
      </c>
      <c r="AR202" s="70" t="s">
        <v>93</v>
      </c>
      <c r="AS202" s="70" t="s">
        <v>93</v>
      </c>
      <c r="AT202" s="70" t="s">
        <v>93</v>
      </c>
      <c r="AU202" s="70" t="s">
        <v>93</v>
      </c>
      <c r="AV202" s="70" t="s">
        <v>93</v>
      </c>
      <c r="AW202" s="70" t="s">
        <v>93</v>
      </c>
      <c r="AX202" s="70" t="s">
        <v>93</v>
      </c>
      <c r="AY202" s="70" t="s">
        <v>93</v>
      </c>
      <c r="AZ202" s="70" t="s">
        <v>93</v>
      </c>
      <c r="BA202" s="70" t="s">
        <v>93</v>
      </c>
      <c r="BB202" s="70" t="s">
        <v>93</v>
      </c>
      <c r="BC202" s="70" t="s">
        <v>93</v>
      </c>
      <c r="BD202" s="70" t="s">
        <v>93</v>
      </c>
      <c r="BE202" s="70" t="s">
        <v>93</v>
      </c>
      <c r="BF202" s="70" t="s">
        <v>93</v>
      </c>
      <c r="BG202" s="70" t="s">
        <v>93</v>
      </c>
      <c r="BH202" s="70" t="s">
        <v>93</v>
      </c>
      <c r="BI202" s="70" t="s">
        <v>93</v>
      </c>
      <c r="BJ202" s="70" t="s">
        <v>93</v>
      </c>
      <c r="BK202" s="70" t="s">
        <v>93</v>
      </c>
      <c r="BL202" s="70" t="s">
        <v>93</v>
      </c>
      <c r="BM202" s="70" t="s">
        <v>93</v>
      </c>
      <c r="BN202" s="70" t="s">
        <v>93</v>
      </c>
      <c r="BO202" s="70" t="s">
        <v>93</v>
      </c>
      <c r="BP202" s="71" t="s">
        <v>93</v>
      </c>
    </row>
    <row r="203" spans="2:68" x14ac:dyDescent="0.25">
      <c r="B203" s="64">
        <v>7</v>
      </c>
      <c r="C203" s="65">
        <v>29</v>
      </c>
      <c r="D203" s="65" t="s">
        <v>95</v>
      </c>
      <c r="E203" s="66">
        <f>'[3]Master File'!B202</f>
        <v>46216</v>
      </c>
      <c r="F203" s="67" t="str">
        <f>'[3]Master File'!C202</f>
        <v>Explorer 5PM</v>
      </c>
      <c r="G203" s="46"/>
      <c r="I203" s="68" t="s">
        <v>93</v>
      </c>
      <c r="J203" s="68" t="s">
        <v>93</v>
      </c>
      <c r="K203" s="68" t="s">
        <v>93</v>
      </c>
      <c r="L203" s="68" t="s">
        <v>94</v>
      </c>
      <c r="M203" s="68" t="s">
        <v>93</v>
      </c>
      <c r="N203" s="68" t="s">
        <v>93</v>
      </c>
      <c r="O203" s="68" t="s">
        <v>93</v>
      </c>
      <c r="P203" s="68" t="s">
        <v>93</v>
      </c>
      <c r="Q203" s="68" t="s">
        <v>93</v>
      </c>
      <c r="R203" s="68" t="s">
        <v>93</v>
      </c>
      <c r="S203" s="68" t="s">
        <v>93</v>
      </c>
      <c r="T203" s="68" t="s">
        <v>93</v>
      </c>
      <c r="U203" s="68" t="s">
        <v>93</v>
      </c>
      <c r="V203" s="68" t="s">
        <v>93</v>
      </c>
      <c r="W203" s="68" t="s">
        <v>93</v>
      </c>
      <c r="X203" s="68" t="s">
        <v>93</v>
      </c>
      <c r="Y203" s="68" t="s">
        <v>93</v>
      </c>
      <c r="Z203" s="68" t="s">
        <v>94</v>
      </c>
      <c r="AA203" s="68" t="s">
        <v>93</v>
      </c>
      <c r="AB203" s="68" t="s">
        <v>93</v>
      </c>
      <c r="AC203" s="68" t="s">
        <v>93</v>
      </c>
      <c r="AD203" s="68" t="s">
        <v>93</v>
      </c>
      <c r="AE203" s="68" t="s">
        <v>93</v>
      </c>
      <c r="AF203" s="68" t="s">
        <v>93</v>
      </c>
      <c r="AG203" s="68" t="s">
        <v>93</v>
      </c>
      <c r="AH203" s="68" t="s">
        <v>93</v>
      </c>
      <c r="AI203" s="68" t="s">
        <v>93</v>
      </c>
      <c r="AJ203" s="68" t="s">
        <v>93</v>
      </c>
      <c r="AK203" s="68" t="s">
        <v>93</v>
      </c>
      <c r="AL203" s="68" t="s">
        <v>93</v>
      </c>
      <c r="AM203" s="68" t="s">
        <v>93</v>
      </c>
      <c r="AN203" s="68" t="s">
        <v>93</v>
      </c>
      <c r="AO203" s="68" t="s">
        <v>93</v>
      </c>
      <c r="AP203" s="68" t="s">
        <v>93</v>
      </c>
      <c r="AQ203" s="68" t="s">
        <v>93</v>
      </c>
      <c r="AR203" s="68" t="s">
        <v>93</v>
      </c>
      <c r="AS203" s="68" t="s">
        <v>93</v>
      </c>
      <c r="AT203" s="68" t="s">
        <v>93</v>
      </c>
      <c r="AU203" s="68" t="s">
        <v>93</v>
      </c>
      <c r="AV203" s="68" t="s">
        <v>93</v>
      </c>
      <c r="AW203" s="68" t="s">
        <v>93</v>
      </c>
      <c r="AX203" s="68" t="s">
        <v>93</v>
      </c>
      <c r="AY203" s="68" t="s">
        <v>93</v>
      </c>
      <c r="AZ203" s="68" t="s">
        <v>93</v>
      </c>
      <c r="BA203" s="68" t="s">
        <v>93</v>
      </c>
      <c r="BB203" s="68" t="s">
        <v>93</v>
      </c>
      <c r="BC203" s="68" t="s">
        <v>93</v>
      </c>
      <c r="BD203" s="68" t="s">
        <v>93</v>
      </c>
      <c r="BE203" s="68" t="s">
        <v>93</v>
      </c>
      <c r="BF203" s="68" t="s">
        <v>93</v>
      </c>
      <c r="BG203" s="68" t="s">
        <v>93</v>
      </c>
      <c r="BH203" s="68" t="s">
        <v>93</v>
      </c>
      <c r="BI203" s="68" t="s">
        <v>93</v>
      </c>
      <c r="BJ203" s="68" t="s">
        <v>93</v>
      </c>
      <c r="BK203" s="68" t="s">
        <v>93</v>
      </c>
      <c r="BL203" s="68" t="s">
        <v>93</v>
      </c>
      <c r="BM203" s="68" t="s">
        <v>93</v>
      </c>
      <c r="BN203" s="68" t="s">
        <v>93</v>
      </c>
      <c r="BO203" s="68" t="s">
        <v>93</v>
      </c>
      <c r="BP203" s="69" t="s">
        <v>93</v>
      </c>
    </row>
    <row r="204" spans="2:68" x14ac:dyDescent="0.25">
      <c r="B204" s="64">
        <v>7</v>
      </c>
      <c r="C204" s="65">
        <v>29</v>
      </c>
      <c r="D204" s="65" t="s">
        <v>96</v>
      </c>
      <c r="E204" s="66">
        <f>'[3]Master File'!B203</f>
        <v>46217</v>
      </c>
      <c r="F204" s="67" t="str">
        <f>'[3]Master File'!C203</f>
        <v>Explorer 5PM</v>
      </c>
      <c r="G204" s="46"/>
      <c r="I204" s="68" t="s">
        <v>93</v>
      </c>
      <c r="J204" s="68" t="s">
        <v>93</v>
      </c>
      <c r="K204" s="68" t="s">
        <v>93</v>
      </c>
      <c r="L204" s="68" t="s">
        <v>94</v>
      </c>
      <c r="M204" s="68" t="s">
        <v>93</v>
      </c>
      <c r="N204" s="68" t="s">
        <v>93</v>
      </c>
      <c r="O204" s="68" t="s">
        <v>93</v>
      </c>
      <c r="P204" s="68" t="s">
        <v>93</v>
      </c>
      <c r="Q204" s="68" t="s">
        <v>93</v>
      </c>
      <c r="R204" s="68" t="s">
        <v>93</v>
      </c>
      <c r="S204" s="68" t="s">
        <v>93</v>
      </c>
      <c r="T204" s="68" t="s">
        <v>93</v>
      </c>
      <c r="U204" s="68" t="s">
        <v>93</v>
      </c>
      <c r="V204" s="68" t="s">
        <v>93</v>
      </c>
      <c r="W204" s="68" t="s">
        <v>93</v>
      </c>
      <c r="X204" s="68" t="s">
        <v>93</v>
      </c>
      <c r="Y204" s="68" t="s">
        <v>93</v>
      </c>
      <c r="Z204" s="68" t="s">
        <v>94</v>
      </c>
      <c r="AA204" s="68" t="s">
        <v>93</v>
      </c>
      <c r="AB204" s="68" t="s">
        <v>93</v>
      </c>
      <c r="AC204" s="68" t="s">
        <v>93</v>
      </c>
      <c r="AD204" s="68" t="s">
        <v>93</v>
      </c>
      <c r="AE204" s="68" t="s">
        <v>93</v>
      </c>
      <c r="AF204" s="68" t="s">
        <v>93</v>
      </c>
      <c r="AG204" s="68" t="s">
        <v>93</v>
      </c>
      <c r="AH204" s="68" t="s">
        <v>93</v>
      </c>
      <c r="AI204" s="68" t="s">
        <v>93</v>
      </c>
      <c r="AJ204" s="68" t="s">
        <v>93</v>
      </c>
      <c r="AK204" s="68" t="s">
        <v>93</v>
      </c>
      <c r="AL204" s="68" t="s">
        <v>93</v>
      </c>
      <c r="AM204" s="68" t="s">
        <v>93</v>
      </c>
      <c r="AN204" s="68" t="s">
        <v>93</v>
      </c>
      <c r="AO204" s="68" t="s">
        <v>93</v>
      </c>
      <c r="AP204" s="68" t="s">
        <v>93</v>
      </c>
      <c r="AQ204" s="68" t="s">
        <v>93</v>
      </c>
      <c r="AR204" s="68" t="s">
        <v>93</v>
      </c>
      <c r="AS204" s="68" t="s">
        <v>93</v>
      </c>
      <c r="AT204" s="68" t="s">
        <v>93</v>
      </c>
      <c r="AU204" s="68" t="s">
        <v>93</v>
      </c>
      <c r="AV204" s="68" t="s">
        <v>93</v>
      </c>
      <c r="AW204" s="68" t="s">
        <v>93</v>
      </c>
      <c r="AX204" s="68" t="s">
        <v>93</v>
      </c>
      <c r="AY204" s="68" t="s">
        <v>93</v>
      </c>
      <c r="AZ204" s="68" t="s">
        <v>93</v>
      </c>
      <c r="BA204" s="68" t="s">
        <v>93</v>
      </c>
      <c r="BB204" s="68" t="s">
        <v>93</v>
      </c>
      <c r="BC204" s="68" t="s">
        <v>93</v>
      </c>
      <c r="BD204" s="68" t="s">
        <v>93</v>
      </c>
      <c r="BE204" s="68" t="s">
        <v>93</v>
      </c>
      <c r="BF204" s="68" t="s">
        <v>93</v>
      </c>
      <c r="BG204" s="68" t="s">
        <v>93</v>
      </c>
      <c r="BH204" s="68" t="s">
        <v>93</v>
      </c>
      <c r="BI204" s="68" t="s">
        <v>93</v>
      </c>
      <c r="BJ204" s="68" t="s">
        <v>93</v>
      </c>
      <c r="BK204" s="68" t="s">
        <v>93</v>
      </c>
      <c r="BL204" s="68" t="s">
        <v>93</v>
      </c>
      <c r="BM204" s="68" t="s">
        <v>93</v>
      </c>
      <c r="BN204" s="68" t="s">
        <v>93</v>
      </c>
      <c r="BO204" s="68" t="s">
        <v>93</v>
      </c>
      <c r="BP204" s="69" t="s">
        <v>93</v>
      </c>
    </row>
    <row r="205" spans="2:68" x14ac:dyDescent="0.25">
      <c r="B205" s="64">
        <v>7</v>
      </c>
      <c r="C205" s="65">
        <v>29</v>
      </c>
      <c r="D205" s="65" t="s">
        <v>97</v>
      </c>
      <c r="E205" s="66">
        <f>'[3]Master File'!B204</f>
        <v>46218</v>
      </c>
      <c r="F205" s="67" t="str">
        <f>'[3]Master File'!C204</f>
        <v>Explorer 5PM</v>
      </c>
      <c r="G205" s="46"/>
      <c r="I205" s="68" t="s">
        <v>93</v>
      </c>
      <c r="J205" s="68" t="s">
        <v>93</v>
      </c>
      <c r="K205" s="68" t="s">
        <v>93</v>
      </c>
      <c r="L205" s="68" t="s">
        <v>94</v>
      </c>
      <c r="M205" s="68" t="s">
        <v>93</v>
      </c>
      <c r="N205" s="68" t="s">
        <v>93</v>
      </c>
      <c r="O205" s="68" t="s">
        <v>93</v>
      </c>
      <c r="P205" s="68" t="s">
        <v>93</v>
      </c>
      <c r="Q205" s="68" t="s">
        <v>93</v>
      </c>
      <c r="R205" s="68" t="s">
        <v>93</v>
      </c>
      <c r="S205" s="68" t="s">
        <v>93</v>
      </c>
      <c r="T205" s="68" t="s">
        <v>93</v>
      </c>
      <c r="U205" s="68" t="s">
        <v>93</v>
      </c>
      <c r="V205" s="68" t="s">
        <v>93</v>
      </c>
      <c r="W205" s="68" t="s">
        <v>93</v>
      </c>
      <c r="X205" s="68" t="s">
        <v>93</v>
      </c>
      <c r="Y205" s="68" t="s">
        <v>93</v>
      </c>
      <c r="Z205" s="68" t="s">
        <v>94</v>
      </c>
      <c r="AA205" s="68" t="s">
        <v>93</v>
      </c>
      <c r="AB205" s="68" t="s">
        <v>93</v>
      </c>
      <c r="AC205" s="68" t="s">
        <v>93</v>
      </c>
      <c r="AD205" s="68" t="s">
        <v>93</v>
      </c>
      <c r="AE205" s="68" t="s">
        <v>93</v>
      </c>
      <c r="AF205" s="68" t="s">
        <v>93</v>
      </c>
      <c r="AG205" s="68" t="s">
        <v>93</v>
      </c>
      <c r="AH205" s="68" t="s">
        <v>93</v>
      </c>
      <c r="AI205" s="68" t="s">
        <v>93</v>
      </c>
      <c r="AJ205" s="68" t="s">
        <v>93</v>
      </c>
      <c r="AK205" s="68" t="s">
        <v>93</v>
      </c>
      <c r="AL205" s="68" t="s">
        <v>93</v>
      </c>
      <c r="AM205" s="68" t="s">
        <v>93</v>
      </c>
      <c r="AN205" s="68" t="s">
        <v>93</v>
      </c>
      <c r="AO205" s="68" t="s">
        <v>93</v>
      </c>
      <c r="AP205" s="68" t="s">
        <v>93</v>
      </c>
      <c r="AQ205" s="68" t="s">
        <v>93</v>
      </c>
      <c r="AR205" s="68" t="s">
        <v>93</v>
      </c>
      <c r="AS205" s="68" t="s">
        <v>93</v>
      </c>
      <c r="AT205" s="68" t="s">
        <v>93</v>
      </c>
      <c r="AU205" s="68" t="s">
        <v>93</v>
      </c>
      <c r="AV205" s="68" t="s">
        <v>93</v>
      </c>
      <c r="AW205" s="68" t="s">
        <v>93</v>
      </c>
      <c r="AX205" s="68" t="s">
        <v>93</v>
      </c>
      <c r="AY205" s="68" t="s">
        <v>93</v>
      </c>
      <c r="AZ205" s="68" t="s">
        <v>93</v>
      </c>
      <c r="BA205" s="68" t="s">
        <v>93</v>
      </c>
      <c r="BB205" s="68" t="s">
        <v>93</v>
      </c>
      <c r="BC205" s="68" t="s">
        <v>93</v>
      </c>
      <c r="BD205" s="68" t="s">
        <v>93</v>
      </c>
      <c r="BE205" s="68" t="s">
        <v>93</v>
      </c>
      <c r="BF205" s="68" t="s">
        <v>93</v>
      </c>
      <c r="BG205" s="68" t="s">
        <v>93</v>
      </c>
      <c r="BH205" s="68" t="s">
        <v>93</v>
      </c>
      <c r="BI205" s="68" t="s">
        <v>93</v>
      </c>
      <c r="BJ205" s="68" t="s">
        <v>93</v>
      </c>
      <c r="BK205" s="68" t="s">
        <v>93</v>
      </c>
      <c r="BL205" s="68" t="s">
        <v>93</v>
      </c>
      <c r="BM205" s="68" t="s">
        <v>93</v>
      </c>
      <c r="BN205" s="68" t="s">
        <v>93</v>
      </c>
      <c r="BO205" s="68" t="s">
        <v>93</v>
      </c>
      <c r="BP205" s="69" t="s">
        <v>93</v>
      </c>
    </row>
    <row r="206" spans="2:68" x14ac:dyDescent="0.25">
      <c r="B206" s="64">
        <v>7</v>
      </c>
      <c r="C206" s="65">
        <v>29</v>
      </c>
      <c r="D206" s="65" t="s">
        <v>98</v>
      </c>
      <c r="E206" s="66">
        <f>'[3]Master File'!B205</f>
        <v>46219</v>
      </c>
      <c r="F206" s="67" t="str">
        <f>'[3]Master File'!C205</f>
        <v>Explorer + 5PM</v>
      </c>
      <c r="G206" s="46"/>
      <c r="I206" s="68" t="s">
        <v>93</v>
      </c>
      <c r="J206" s="68" t="s">
        <v>93</v>
      </c>
      <c r="K206" s="68" t="s">
        <v>93</v>
      </c>
      <c r="L206" s="68" t="s">
        <v>94</v>
      </c>
      <c r="M206" s="68" t="s">
        <v>93</v>
      </c>
      <c r="N206" s="68" t="s">
        <v>93</v>
      </c>
      <c r="O206" s="68" t="s">
        <v>93</v>
      </c>
      <c r="P206" s="68" t="s">
        <v>93</v>
      </c>
      <c r="Q206" s="68" t="s">
        <v>93</v>
      </c>
      <c r="R206" s="68" t="s">
        <v>93</v>
      </c>
      <c r="S206" s="68" t="s">
        <v>93</v>
      </c>
      <c r="T206" s="68" t="s">
        <v>93</v>
      </c>
      <c r="U206" s="68" t="s">
        <v>93</v>
      </c>
      <c r="V206" s="68" t="s">
        <v>93</v>
      </c>
      <c r="W206" s="68" t="s">
        <v>93</v>
      </c>
      <c r="X206" s="68" t="s">
        <v>93</v>
      </c>
      <c r="Y206" s="68" t="s">
        <v>93</v>
      </c>
      <c r="Z206" s="68" t="s">
        <v>94</v>
      </c>
      <c r="AA206" s="68" t="s">
        <v>93</v>
      </c>
      <c r="AB206" s="68" t="s">
        <v>93</v>
      </c>
      <c r="AC206" s="68" t="s">
        <v>93</v>
      </c>
      <c r="AD206" s="68" t="s">
        <v>93</v>
      </c>
      <c r="AE206" s="68" t="s">
        <v>93</v>
      </c>
      <c r="AF206" s="68" t="s">
        <v>93</v>
      </c>
      <c r="AG206" s="68" t="s">
        <v>93</v>
      </c>
      <c r="AH206" s="68" t="s">
        <v>93</v>
      </c>
      <c r="AI206" s="68" t="s">
        <v>93</v>
      </c>
      <c r="AJ206" s="68" t="s">
        <v>93</v>
      </c>
      <c r="AK206" s="68" t="s">
        <v>93</v>
      </c>
      <c r="AL206" s="68" t="s">
        <v>93</v>
      </c>
      <c r="AM206" s="68" t="s">
        <v>93</v>
      </c>
      <c r="AN206" s="68" t="s">
        <v>93</v>
      </c>
      <c r="AO206" s="68" t="s">
        <v>93</v>
      </c>
      <c r="AP206" s="68" t="s">
        <v>93</v>
      </c>
      <c r="AQ206" s="68" t="s">
        <v>93</v>
      </c>
      <c r="AR206" s="68" t="s">
        <v>93</v>
      </c>
      <c r="AS206" s="68" t="s">
        <v>93</v>
      </c>
      <c r="AT206" s="68" t="s">
        <v>93</v>
      </c>
      <c r="AU206" s="68" t="s">
        <v>93</v>
      </c>
      <c r="AV206" s="68" t="s">
        <v>93</v>
      </c>
      <c r="AW206" s="68" t="s">
        <v>93</v>
      </c>
      <c r="AX206" s="68" t="s">
        <v>93</v>
      </c>
      <c r="AY206" s="68" t="s">
        <v>93</v>
      </c>
      <c r="AZ206" s="68" t="s">
        <v>93</v>
      </c>
      <c r="BA206" s="68" t="s">
        <v>93</v>
      </c>
      <c r="BB206" s="68" t="s">
        <v>93</v>
      </c>
      <c r="BC206" s="68" t="s">
        <v>93</v>
      </c>
      <c r="BD206" s="68" t="s">
        <v>93</v>
      </c>
      <c r="BE206" s="68" t="s">
        <v>93</v>
      </c>
      <c r="BF206" s="68" t="s">
        <v>93</v>
      </c>
      <c r="BG206" s="68" t="s">
        <v>93</v>
      </c>
      <c r="BH206" s="68" t="s">
        <v>93</v>
      </c>
      <c r="BI206" s="68" t="s">
        <v>93</v>
      </c>
      <c r="BJ206" s="68" t="s">
        <v>93</v>
      </c>
      <c r="BK206" s="68" t="s">
        <v>93</v>
      </c>
      <c r="BL206" s="68" t="s">
        <v>93</v>
      </c>
      <c r="BM206" s="68" t="s">
        <v>93</v>
      </c>
      <c r="BN206" s="68" t="s">
        <v>93</v>
      </c>
      <c r="BO206" s="68" t="s">
        <v>93</v>
      </c>
      <c r="BP206" s="69" t="s">
        <v>93</v>
      </c>
    </row>
    <row r="207" spans="2:68" x14ac:dyDescent="0.25">
      <c r="B207" s="64">
        <v>7</v>
      </c>
      <c r="C207" s="65">
        <v>29</v>
      </c>
      <c r="D207" s="65" t="s">
        <v>99</v>
      </c>
      <c r="E207" s="66">
        <f>'[3]Master File'!B206</f>
        <v>46220</v>
      </c>
      <c r="F207" s="67" t="str">
        <f>'[3]Master File'!C206</f>
        <v>Explorer 5PM</v>
      </c>
      <c r="G207" s="46"/>
      <c r="I207" s="68" t="s">
        <v>93</v>
      </c>
      <c r="J207" s="68" t="s">
        <v>93</v>
      </c>
      <c r="K207" s="68" t="s">
        <v>93</v>
      </c>
      <c r="L207" s="68" t="s">
        <v>94</v>
      </c>
      <c r="M207" s="68" t="s">
        <v>93</v>
      </c>
      <c r="N207" s="68" t="s">
        <v>93</v>
      </c>
      <c r="O207" s="68" t="s">
        <v>93</v>
      </c>
      <c r="P207" s="68" t="s">
        <v>93</v>
      </c>
      <c r="Q207" s="68" t="s">
        <v>93</v>
      </c>
      <c r="R207" s="68" t="s">
        <v>93</v>
      </c>
      <c r="S207" s="68" t="s">
        <v>93</v>
      </c>
      <c r="T207" s="68" t="s">
        <v>93</v>
      </c>
      <c r="U207" s="68" t="s">
        <v>93</v>
      </c>
      <c r="V207" s="68" t="s">
        <v>93</v>
      </c>
      <c r="W207" s="68" t="s">
        <v>93</v>
      </c>
      <c r="X207" s="68" t="s">
        <v>93</v>
      </c>
      <c r="Y207" s="68" t="s">
        <v>93</v>
      </c>
      <c r="Z207" s="68" t="s">
        <v>94</v>
      </c>
      <c r="AA207" s="68" t="s">
        <v>93</v>
      </c>
      <c r="AB207" s="68" t="s">
        <v>93</v>
      </c>
      <c r="AC207" s="68" t="s">
        <v>93</v>
      </c>
      <c r="AD207" s="68" t="s">
        <v>93</v>
      </c>
      <c r="AE207" s="68" t="s">
        <v>93</v>
      </c>
      <c r="AF207" s="68" t="s">
        <v>93</v>
      </c>
      <c r="AG207" s="68" t="s">
        <v>93</v>
      </c>
      <c r="AH207" s="68" t="s">
        <v>93</v>
      </c>
      <c r="AI207" s="68" t="s">
        <v>93</v>
      </c>
      <c r="AJ207" s="68" t="s">
        <v>93</v>
      </c>
      <c r="AK207" s="68" t="s">
        <v>93</v>
      </c>
      <c r="AL207" s="68" t="s">
        <v>93</v>
      </c>
      <c r="AM207" s="68" t="s">
        <v>93</v>
      </c>
      <c r="AN207" s="68" t="s">
        <v>93</v>
      </c>
      <c r="AO207" s="68" t="s">
        <v>93</v>
      </c>
      <c r="AP207" s="68" t="s">
        <v>93</v>
      </c>
      <c r="AQ207" s="68" t="s">
        <v>93</v>
      </c>
      <c r="AR207" s="68" t="s">
        <v>93</v>
      </c>
      <c r="AS207" s="68" t="s">
        <v>93</v>
      </c>
      <c r="AT207" s="68" t="s">
        <v>93</v>
      </c>
      <c r="AU207" s="68" t="s">
        <v>93</v>
      </c>
      <c r="AV207" s="68" t="s">
        <v>93</v>
      </c>
      <c r="AW207" s="68" t="s">
        <v>93</v>
      </c>
      <c r="AX207" s="68" t="s">
        <v>93</v>
      </c>
      <c r="AY207" s="68" t="s">
        <v>93</v>
      </c>
      <c r="AZ207" s="68" t="s">
        <v>93</v>
      </c>
      <c r="BA207" s="68" t="s">
        <v>93</v>
      </c>
      <c r="BB207" s="68" t="s">
        <v>93</v>
      </c>
      <c r="BC207" s="68" t="s">
        <v>93</v>
      </c>
      <c r="BD207" s="68" t="s">
        <v>93</v>
      </c>
      <c r="BE207" s="68" t="s">
        <v>93</v>
      </c>
      <c r="BF207" s="68" t="s">
        <v>93</v>
      </c>
      <c r="BG207" s="68" t="s">
        <v>93</v>
      </c>
      <c r="BH207" s="68" t="s">
        <v>93</v>
      </c>
      <c r="BI207" s="68" t="s">
        <v>93</v>
      </c>
      <c r="BJ207" s="68" t="s">
        <v>93</v>
      </c>
      <c r="BK207" s="68" t="s">
        <v>93</v>
      </c>
      <c r="BL207" s="68" t="s">
        <v>93</v>
      </c>
      <c r="BM207" s="68" t="s">
        <v>93</v>
      </c>
      <c r="BN207" s="68" t="s">
        <v>93</v>
      </c>
      <c r="BO207" s="68" t="s">
        <v>93</v>
      </c>
      <c r="BP207" s="69" t="s">
        <v>93</v>
      </c>
    </row>
    <row r="208" spans="2:68" x14ac:dyDescent="0.25">
      <c r="B208" s="64">
        <v>7</v>
      </c>
      <c r="C208" s="65">
        <v>29</v>
      </c>
      <c r="D208" s="65" t="s">
        <v>100</v>
      </c>
      <c r="E208" s="66">
        <f>'[3]Master File'!B207</f>
        <v>46221</v>
      </c>
      <c r="F208" s="67" t="str">
        <f>'[3]Master File'!C207</f>
        <v>Explorer + 6PM</v>
      </c>
      <c r="G208" s="46"/>
      <c r="I208" s="70" t="s">
        <v>93</v>
      </c>
      <c r="J208" s="70" t="s">
        <v>93</v>
      </c>
      <c r="K208" s="70" t="s">
        <v>93</v>
      </c>
      <c r="L208" s="68" t="s">
        <v>94</v>
      </c>
      <c r="M208" s="70" t="s">
        <v>93</v>
      </c>
      <c r="N208" s="70" t="s">
        <v>93</v>
      </c>
      <c r="O208" s="70" t="s">
        <v>93</v>
      </c>
      <c r="P208" s="70" t="s">
        <v>93</v>
      </c>
      <c r="Q208" s="70" t="s">
        <v>93</v>
      </c>
      <c r="R208" s="70" t="s">
        <v>93</v>
      </c>
      <c r="S208" s="70" t="s">
        <v>93</v>
      </c>
      <c r="T208" s="70" t="s">
        <v>93</v>
      </c>
      <c r="U208" s="70" t="s">
        <v>93</v>
      </c>
      <c r="V208" s="70" t="s">
        <v>93</v>
      </c>
      <c r="W208" s="70" t="s">
        <v>93</v>
      </c>
      <c r="X208" s="70" t="s">
        <v>93</v>
      </c>
      <c r="Y208" s="70" t="s">
        <v>93</v>
      </c>
      <c r="Z208" s="68" t="s">
        <v>94</v>
      </c>
      <c r="AA208" s="70" t="s">
        <v>93</v>
      </c>
      <c r="AB208" s="70" t="s">
        <v>93</v>
      </c>
      <c r="AC208" s="70" t="s">
        <v>93</v>
      </c>
      <c r="AD208" s="70" t="s">
        <v>94</v>
      </c>
      <c r="AE208" s="70" t="s">
        <v>94</v>
      </c>
      <c r="AF208" s="70" t="s">
        <v>93</v>
      </c>
      <c r="AG208" s="70" t="s">
        <v>93</v>
      </c>
      <c r="AH208" s="70" t="s">
        <v>93</v>
      </c>
      <c r="AI208" s="70" t="s">
        <v>93</v>
      </c>
      <c r="AJ208" s="70" t="s">
        <v>93</v>
      </c>
      <c r="AK208" s="70" t="s">
        <v>93</v>
      </c>
      <c r="AL208" s="70" t="s">
        <v>93</v>
      </c>
      <c r="AM208" s="70" t="s">
        <v>93</v>
      </c>
      <c r="AN208" s="70" t="s">
        <v>93</v>
      </c>
      <c r="AO208" s="70" t="s">
        <v>93</v>
      </c>
      <c r="AP208" s="70" t="s">
        <v>93</v>
      </c>
      <c r="AQ208" s="70" t="s">
        <v>93</v>
      </c>
      <c r="AR208" s="70" t="s">
        <v>93</v>
      </c>
      <c r="AS208" s="70" t="s">
        <v>93</v>
      </c>
      <c r="AT208" s="70" t="s">
        <v>93</v>
      </c>
      <c r="AU208" s="70" t="s">
        <v>93</v>
      </c>
      <c r="AV208" s="70" t="s">
        <v>93</v>
      </c>
      <c r="AW208" s="70" t="s">
        <v>93</v>
      </c>
      <c r="AX208" s="70" t="s">
        <v>93</v>
      </c>
      <c r="AY208" s="70" t="s">
        <v>93</v>
      </c>
      <c r="AZ208" s="70" t="s">
        <v>93</v>
      </c>
      <c r="BA208" s="70" t="s">
        <v>93</v>
      </c>
      <c r="BB208" s="70" t="s">
        <v>93</v>
      </c>
      <c r="BC208" s="70" t="s">
        <v>93</v>
      </c>
      <c r="BD208" s="70" t="s">
        <v>93</v>
      </c>
      <c r="BE208" s="70" t="s">
        <v>93</v>
      </c>
      <c r="BF208" s="70" t="s">
        <v>93</v>
      </c>
      <c r="BG208" s="70" t="s">
        <v>93</v>
      </c>
      <c r="BH208" s="70" t="s">
        <v>93</v>
      </c>
      <c r="BI208" s="70" t="s">
        <v>93</v>
      </c>
      <c r="BJ208" s="70" t="s">
        <v>93</v>
      </c>
      <c r="BK208" s="70" t="s">
        <v>93</v>
      </c>
      <c r="BL208" s="70" t="s">
        <v>93</v>
      </c>
      <c r="BM208" s="70" t="s">
        <v>93</v>
      </c>
      <c r="BN208" s="70" t="s">
        <v>93</v>
      </c>
      <c r="BO208" s="70" t="s">
        <v>93</v>
      </c>
      <c r="BP208" s="71" t="s">
        <v>93</v>
      </c>
    </row>
    <row r="209" spans="2:68" x14ac:dyDescent="0.25">
      <c r="B209" s="64">
        <v>7</v>
      </c>
      <c r="C209" s="65">
        <v>30</v>
      </c>
      <c r="D209" s="65" t="s">
        <v>92</v>
      </c>
      <c r="E209" s="66">
        <f>'[3]Master File'!B208</f>
        <v>46222</v>
      </c>
      <c r="F209" s="67" t="str">
        <f>'[3]Master File'!C208</f>
        <v>Explorer + 6PM</v>
      </c>
      <c r="G209" s="46"/>
      <c r="I209" s="70" t="s">
        <v>93</v>
      </c>
      <c r="J209" s="70" t="s">
        <v>93</v>
      </c>
      <c r="K209" s="70" t="s">
        <v>93</v>
      </c>
      <c r="L209" s="68" t="s">
        <v>94</v>
      </c>
      <c r="M209" s="70" t="s">
        <v>93</v>
      </c>
      <c r="N209" s="70" t="s">
        <v>93</v>
      </c>
      <c r="O209" s="70" t="s">
        <v>93</v>
      </c>
      <c r="P209" s="70" t="s">
        <v>93</v>
      </c>
      <c r="Q209" s="70" t="s">
        <v>93</v>
      </c>
      <c r="R209" s="70" t="s">
        <v>93</v>
      </c>
      <c r="S209" s="70" t="s">
        <v>93</v>
      </c>
      <c r="T209" s="70" t="s">
        <v>93</v>
      </c>
      <c r="U209" s="70" t="s">
        <v>93</v>
      </c>
      <c r="V209" s="70" t="s">
        <v>93</v>
      </c>
      <c r="W209" s="70" t="s">
        <v>93</v>
      </c>
      <c r="X209" s="70" t="s">
        <v>93</v>
      </c>
      <c r="Y209" s="70" t="s">
        <v>93</v>
      </c>
      <c r="Z209" s="68" t="s">
        <v>94</v>
      </c>
      <c r="AA209" s="70" t="s">
        <v>93</v>
      </c>
      <c r="AB209" s="70" t="s">
        <v>93</v>
      </c>
      <c r="AC209" s="70" t="s">
        <v>93</v>
      </c>
      <c r="AD209" s="70" t="s">
        <v>94</v>
      </c>
      <c r="AE209" s="70" t="s">
        <v>94</v>
      </c>
      <c r="AF209" s="70" t="s">
        <v>93</v>
      </c>
      <c r="AG209" s="70" t="s">
        <v>93</v>
      </c>
      <c r="AH209" s="70" t="s">
        <v>93</v>
      </c>
      <c r="AI209" s="70" t="s">
        <v>93</v>
      </c>
      <c r="AJ209" s="70" t="s">
        <v>93</v>
      </c>
      <c r="AK209" s="70" t="s">
        <v>93</v>
      </c>
      <c r="AL209" s="70" t="s">
        <v>93</v>
      </c>
      <c r="AM209" s="70" t="s">
        <v>93</v>
      </c>
      <c r="AN209" s="70" t="s">
        <v>93</v>
      </c>
      <c r="AO209" s="70" t="s">
        <v>93</v>
      </c>
      <c r="AP209" s="70" t="s">
        <v>93</v>
      </c>
      <c r="AQ209" s="70" t="s">
        <v>93</v>
      </c>
      <c r="AR209" s="70" t="s">
        <v>93</v>
      </c>
      <c r="AS209" s="70" t="s">
        <v>93</v>
      </c>
      <c r="AT209" s="70" t="s">
        <v>93</v>
      </c>
      <c r="AU209" s="70" t="s">
        <v>93</v>
      </c>
      <c r="AV209" s="70" t="s">
        <v>93</v>
      </c>
      <c r="AW209" s="70" t="s">
        <v>93</v>
      </c>
      <c r="AX209" s="70" t="s">
        <v>93</v>
      </c>
      <c r="AY209" s="70" t="s">
        <v>93</v>
      </c>
      <c r="AZ209" s="70" t="s">
        <v>93</v>
      </c>
      <c r="BA209" s="70" t="s">
        <v>93</v>
      </c>
      <c r="BB209" s="70" t="s">
        <v>93</v>
      </c>
      <c r="BC209" s="70" t="s">
        <v>93</v>
      </c>
      <c r="BD209" s="70" t="s">
        <v>93</v>
      </c>
      <c r="BE209" s="70" t="s">
        <v>93</v>
      </c>
      <c r="BF209" s="70" t="s">
        <v>93</v>
      </c>
      <c r="BG209" s="70" t="s">
        <v>93</v>
      </c>
      <c r="BH209" s="70" t="s">
        <v>93</v>
      </c>
      <c r="BI209" s="70" t="s">
        <v>93</v>
      </c>
      <c r="BJ209" s="70" t="s">
        <v>93</v>
      </c>
      <c r="BK209" s="70" t="s">
        <v>93</v>
      </c>
      <c r="BL209" s="70" t="s">
        <v>93</v>
      </c>
      <c r="BM209" s="70" t="s">
        <v>93</v>
      </c>
      <c r="BN209" s="70" t="s">
        <v>93</v>
      </c>
      <c r="BO209" s="70" t="s">
        <v>93</v>
      </c>
      <c r="BP209" s="71" t="s">
        <v>93</v>
      </c>
    </row>
    <row r="210" spans="2:68" x14ac:dyDescent="0.25">
      <c r="B210" s="64">
        <v>7</v>
      </c>
      <c r="C210" s="65">
        <v>30</v>
      </c>
      <c r="D210" s="65" t="s">
        <v>95</v>
      </c>
      <c r="E210" s="66">
        <f>'[3]Master File'!B209</f>
        <v>46223</v>
      </c>
      <c r="F210" s="67" t="str">
        <f>'[3]Master File'!C209</f>
        <v>Explorer + 5PM</v>
      </c>
      <c r="G210" s="46"/>
      <c r="I210" s="68" t="s">
        <v>93</v>
      </c>
      <c r="J210" s="68" t="s">
        <v>93</v>
      </c>
      <c r="K210" s="68" t="s">
        <v>93</v>
      </c>
      <c r="L210" s="68" t="s">
        <v>94</v>
      </c>
      <c r="M210" s="68" t="s">
        <v>93</v>
      </c>
      <c r="N210" s="68" t="s">
        <v>93</v>
      </c>
      <c r="O210" s="68" t="s">
        <v>93</v>
      </c>
      <c r="P210" s="68" t="s">
        <v>93</v>
      </c>
      <c r="Q210" s="68" t="s">
        <v>93</v>
      </c>
      <c r="R210" s="68" t="s">
        <v>93</v>
      </c>
      <c r="S210" s="68" t="s">
        <v>93</v>
      </c>
      <c r="T210" s="68" t="s">
        <v>93</v>
      </c>
      <c r="U210" s="68" t="s">
        <v>93</v>
      </c>
      <c r="V210" s="68" t="s">
        <v>93</v>
      </c>
      <c r="W210" s="68" t="s">
        <v>93</v>
      </c>
      <c r="X210" s="68" t="s">
        <v>93</v>
      </c>
      <c r="Y210" s="68" t="s">
        <v>93</v>
      </c>
      <c r="Z210" s="68" t="s">
        <v>94</v>
      </c>
      <c r="AA210" s="68" t="s">
        <v>93</v>
      </c>
      <c r="AB210" s="68" t="s">
        <v>93</v>
      </c>
      <c r="AC210" s="68" t="s">
        <v>93</v>
      </c>
      <c r="AD210" s="68" t="s">
        <v>93</v>
      </c>
      <c r="AE210" s="68" t="s">
        <v>93</v>
      </c>
      <c r="AF210" s="68" t="s">
        <v>93</v>
      </c>
      <c r="AG210" s="68" t="s">
        <v>93</v>
      </c>
      <c r="AH210" s="68" t="s">
        <v>93</v>
      </c>
      <c r="AI210" s="68" t="s">
        <v>93</v>
      </c>
      <c r="AJ210" s="68" t="s">
        <v>93</v>
      </c>
      <c r="AK210" s="68" t="s">
        <v>93</v>
      </c>
      <c r="AL210" s="68" t="s">
        <v>93</v>
      </c>
      <c r="AM210" s="68" t="s">
        <v>93</v>
      </c>
      <c r="AN210" s="68" t="s">
        <v>93</v>
      </c>
      <c r="AO210" s="68" t="s">
        <v>93</v>
      </c>
      <c r="AP210" s="68" t="s">
        <v>93</v>
      </c>
      <c r="AQ210" s="68" t="s">
        <v>93</v>
      </c>
      <c r="AR210" s="68" t="s">
        <v>93</v>
      </c>
      <c r="AS210" s="68" t="s">
        <v>93</v>
      </c>
      <c r="AT210" s="68" t="s">
        <v>93</v>
      </c>
      <c r="AU210" s="68" t="s">
        <v>93</v>
      </c>
      <c r="AV210" s="68" t="s">
        <v>93</v>
      </c>
      <c r="AW210" s="68" t="s">
        <v>93</v>
      </c>
      <c r="AX210" s="68" t="s">
        <v>93</v>
      </c>
      <c r="AY210" s="68" t="s">
        <v>93</v>
      </c>
      <c r="AZ210" s="68" t="s">
        <v>93</v>
      </c>
      <c r="BA210" s="68" t="s">
        <v>93</v>
      </c>
      <c r="BB210" s="68" t="s">
        <v>93</v>
      </c>
      <c r="BC210" s="68" t="s">
        <v>93</v>
      </c>
      <c r="BD210" s="68" t="s">
        <v>93</v>
      </c>
      <c r="BE210" s="68" t="s">
        <v>93</v>
      </c>
      <c r="BF210" s="68" t="s">
        <v>93</v>
      </c>
      <c r="BG210" s="68" t="s">
        <v>93</v>
      </c>
      <c r="BH210" s="68" t="s">
        <v>93</v>
      </c>
      <c r="BI210" s="68" t="s">
        <v>93</v>
      </c>
      <c r="BJ210" s="68" t="s">
        <v>93</v>
      </c>
      <c r="BK210" s="68" t="s">
        <v>93</v>
      </c>
      <c r="BL210" s="68" t="s">
        <v>93</v>
      </c>
      <c r="BM210" s="68" t="s">
        <v>93</v>
      </c>
      <c r="BN210" s="68" t="s">
        <v>93</v>
      </c>
      <c r="BO210" s="68" t="s">
        <v>93</v>
      </c>
      <c r="BP210" s="69" t="s">
        <v>93</v>
      </c>
    </row>
    <row r="211" spans="2:68" x14ac:dyDescent="0.25">
      <c r="B211" s="64">
        <v>7</v>
      </c>
      <c r="C211" s="65">
        <v>30</v>
      </c>
      <c r="D211" s="65" t="s">
        <v>96</v>
      </c>
      <c r="E211" s="66">
        <f>'[3]Master File'!B210</f>
        <v>46224</v>
      </c>
      <c r="F211" s="67" t="str">
        <f>'[3]Master File'!C210</f>
        <v>Explorer + 5PM</v>
      </c>
      <c r="G211" s="46"/>
      <c r="I211" s="68" t="s">
        <v>93</v>
      </c>
      <c r="J211" s="68" t="s">
        <v>93</v>
      </c>
      <c r="K211" s="68" t="s">
        <v>93</v>
      </c>
      <c r="L211" s="68" t="s">
        <v>94</v>
      </c>
      <c r="M211" s="68" t="s">
        <v>93</v>
      </c>
      <c r="N211" s="68" t="s">
        <v>93</v>
      </c>
      <c r="O211" s="68" t="s">
        <v>93</v>
      </c>
      <c r="P211" s="68" t="s">
        <v>93</v>
      </c>
      <c r="Q211" s="68" t="s">
        <v>93</v>
      </c>
      <c r="R211" s="68" t="s">
        <v>93</v>
      </c>
      <c r="S211" s="68" t="s">
        <v>93</v>
      </c>
      <c r="T211" s="68" t="s">
        <v>93</v>
      </c>
      <c r="U211" s="68" t="s">
        <v>93</v>
      </c>
      <c r="V211" s="68" t="s">
        <v>93</v>
      </c>
      <c r="W211" s="68" t="s">
        <v>93</v>
      </c>
      <c r="X211" s="68" t="s">
        <v>93</v>
      </c>
      <c r="Y211" s="68" t="s">
        <v>93</v>
      </c>
      <c r="Z211" s="68" t="s">
        <v>94</v>
      </c>
      <c r="AA211" s="68" t="s">
        <v>93</v>
      </c>
      <c r="AB211" s="68" t="s">
        <v>93</v>
      </c>
      <c r="AC211" s="68" t="s">
        <v>93</v>
      </c>
      <c r="AD211" s="68" t="s">
        <v>93</v>
      </c>
      <c r="AE211" s="68" t="s">
        <v>93</v>
      </c>
      <c r="AF211" s="68" t="s">
        <v>93</v>
      </c>
      <c r="AG211" s="68" t="s">
        <v>93</v>
      </c>
      <c r="AH211" s="68" t="s">
        <v>93</v>
      </c>
      <c r="AI211" s="68" t="s">
        <v>93</v>
      </c>
      <c r="AJ211" s="68" t="s">
        <v>93</v>
      </c>
      <c r="AK211" s="68" t="s">
        <v>93</v>
      </c>
      <c r="AL211" s="68" t="s">
        <v>93</v>
      </c>
      <c r="AM211" s="68" t="s">
        <v>93</v>
      </c>
      <c r="AN211" s="68" t="s">
        <v>93</v>
      </c>
      <c r="AO211" s="68" t="s">
        <v>93</v>
      </c>
      <c r="AP211" s="68" t="s">
        <v>93</v>
      </c>
      <c r="AQ211" s="68" t="s">
        <v>93</v>
      </c>
      <c r="AR211" s="68" t="s">
        <v>93</v>
      </c>
      <c r="AS211" s="68" t="s">
        <v>93</v>
      </c>
      <c r="AT211" s="68" t="s">
        <v>93</v>
      </c>
      <c r="AU211" s="68" t="s">
        <v>93</v>
      </c>
      <c r="AV211" s="68" t="s">
        <v>93</v>
      </c>
      <c r="AW211" s="68" t="s">
        <v>93</v>
      </c>
      <c r="AX211" s="68" t="s">
        <v>93</v>
      </c>
      <c r="AY211" s="68" t="s">
        <v>93</v>
      </c>
      <c r="AZ211" s="68" t="s">
        <v>93</v>
      </c>
      <c r="BA211" s="68" t="s">
        <v>93</v>
      </c>
      <c r="BB211" s="68" t="s">
        <v>93</v>
      </c>
      <c r="BC211" s="68" t="s">
        <v>93</v>
      </c>
      <c r="BD211" s="68" t="s">
        <v>93</v>
      </c>
      <c r="BE211" s="68" t="s">
        <v>93</v>
      </c>
      <c r="BF211" s="68" t="s">
        <v>93</v>
      </c>
      <c r="BG211" s="68" t="s">
        <v>93</v>
      </c>
      <c r="BH211" s="68" t="s">
        <v>93</v>
      </c>
      <c r="BI211" s="68" t="s">
        <v>93</v>
      </c>
      <c r="BJ211" s="68" t="s">
        <v>93</v>
      </c>
      <c r="BK211" s="68" t="s">
        <v>93</v>
      </c>
      <c r="BL211" s="68" t="s">
        <v>93</v>
      </c>
      <c r="BM211" s="68" t="s">
        <v>93</v>
      </c>
      <c r="BN211" s="68" t="s">
        <v>93</v>
      </c>
      <c r="BO211" s="68" t="s">
        <v>93</v>
      </c>
      <c r="BP211" s="69" t="s">
        <v>93</v>
      </c>
    </row>
    <row r="212" spans="2:68" x14ac:dyDescent="0.25">
      <c r="B212" s="64">
        <v>7</v>
      </c>
      <c r="C212" s="65">
        <v>30</v>
      </c>
      <c r="D212" s="65" t="s">
        <v>97</v>
      </c>
      <c r="E212" s="66">
        <f>'[3]Master File'!B211</f>
        <v>46225</v>
      </c>
      <c r="F212" s="67" t="str">
        <f>'[3]Master File'!C211</f>
        <v>Explorer + 5PM</v>
      </c>
      <c r="G212" s="46"/>
      <c r="I212" s="68" t="s">
        <v>93</v>
      </c>
      <c r="J212" s="68" t="s">
        <v>93</v>
      </c>
      <c r="K212" s="68" t="s">
        <v>93</v>
      </c>
      <c r="L212" s="68" t="s">
        <v>94</v>
      </c>
      <c r="M212" s="68" t="s">
        <v>93</v>
      </c>
      <c r="N212" s="68" t="s">
        <v>93</v>
      </c>
      <c r="O212" s="68" t="s">
        <v>93</v>
      </c>
      <c r="P212" s="68" t="s">
        <v>93</v>
      </c>
      <c r="Q212" s="68" t="s">
        <v>93</v>
      </c>
      <c r="R212" s="68" t="s">
        <v>93</v>
      </c>
      <c r="S212" s="68" t="s">
        <v>93</v>
      </c>
      <c r="T212" s="68" t="s">
        <v>93</v>
      </c>
      <c r="U212" s="68" t="s">
        <v>93</v>
      </c>
      <c r="V212" s="68" t="s">
        <v>93</v>
      </c>
      <c r="W212" s="68" t="s">
        <v>93</v>
      </c>
      <c r="X212" s="68" t="s">
        <v>93</v>
      </c>
      <c r="Y212" s="68" t="s">
        <v>93</v>
      </c>
      <c r="Z212" s="68" t="s">
        <v>94</v>
      </c>
      <c r="AA212" s="68" t="s">
        <v>93</v>
      </c>
      <c r="AB212" s="68" t="s">
        <v>93</v>
      </c>
      <c r="AC212" s="68" t="s">
        <v>93</v>
      </c>
      <c r="AD212" s="68" t="s">
        <v>93</v>
      </c>
      <c r="AE212" s="68" t="s">
        <v>93</v>
      </c>
      <c r="AF212" s="68" t="s">
        <v>93</v>
      </c>
      <c r="AG212" s="68" t="s">
        <v>93</v>
      </c>
      <c r="AH212" s="68" t="s">
        <v>93</v>
      </c>
      <c r="AI212" s="68" t="s">
        <v>93</v>
      </c>
      <c r="AJ212" s="68" t="s">
        <v>93</v>
      </c>
      <c r="AK212" s="68" t="s">
        <v>93</v>
      </c>
      <c r="AL212" s="68" t="s">
        <v>93</v>
      </c>
      <c r="AM212" s="68" t="s">
        <v>93</v>
      </c>
      <c r="AN212" s="68" t="s">
        <v>93</v>
      </c>
      <c r="AO212" s="68" t="s">
        <v>93</v>
      </c>
      <c r="AP212" s="68" t="s">
        <v>93</v>
      </c>
      <c r="AQ212" s="68" t="s">
        <v>93</v>
      </c>
      <c r="AR212" s="68" t="s">
        <v>93</v>
      </c>
      <c r="AS212" s="68" t="s">
        <v>93</v>
      </c>
      <c r="AT212" s="68" t="s">
        <v>93</v>
      </c>
      <c r="AU212" s="68" t="s">
        <v>93</v>
      </c>
      <c r="AV212" s="68" t="s">
        <v>93</v>
      </c>
      <c r="AW212" s="68" t="s">
        <v>93</v>
      </c>
      <c r="AX212" s="68" t="s">
        <v>93</v>
      </c>
      <c r="AY212" s="68" t="s">
        <v>93</v>
      </c>
      <c r="AZ212" s="68" t="s">
        <v>93</v>
      </c>
      <c r="BA212" s="68" t="s">
        <v>93</v>
      </c>
      <c r="BB212" s="68" t="s">
        <v>93</v>
      </c>
      <c r="BC212" s="68" t="s">
        <v>93</v>
      </c>
      <c r="BD212" s="68" t="s">
        <v>93</v>
      </c>
      <c r="BE212" s="68" t="s">
        <v>93</v>
      </c>
      <c r="BF212" s="68" t="s">
        <v>93</v>
      </c>
      <c r="BG212" s="68" t="s">
        <v>93</v>
      </c>
      <c r="BH212" s="68" t="s">
        <v>93</v>
      </c>
      <c r="BI212" s="68" t="s">
        <v>93</v>
      </c>
      <c r="BJ212" s="68" t="s">
        <v>93</v>
      </c>
      <c r="BK212" s="68" t="s">
        <v>93</v>
      </c>
      <c r="BL212" s="68" t="s">
        <v>93</v>
      </c>
      <c r="BM212" s="68" t="s">
        <v>93</v>
      </c>
      <c r="BN212" s="68" t="s">
        <v>93</v>
      </c>
      <c r="BO212" s="68" t="s">
        <v>93</v>
      </c>
      <c r="BP212" s="69" t="s">
        <v>93</v>
      </c>
    </row>
    <row r="213" spans="2:68" x14ac:dyDescent="0.25">
      <c r="B213" s="64">
        <v>7</v>
      </c>
      <c r="C213" s="65">
        <v>30</v>
      </c>
      <c r="D213" s="65" t="s">
        <v>98</v>
      </c>
      <c r="E213" s="66">
        <f>'[3]Master File'!B212</f>
        <v>46226</v>
      </c>
      <c r="F213" s="67" t="str">
        <f>'[3]Master File'!C212</f>
        <v>Explorer + 5PM</v>
      </c>
      <c r="G213" s="46"/>
      <c r="I213" s="68" t="s">
        <v>93</v>
      </c>
      <c r="J213" s="68" t="s">
        <v>93</v>
      </c>
      <c r="K213" s="68" t="s">
        <v>93</v>
      </c>
      <c r="L213" s="68" t="s">
        <v>94</v>
      </c>
      <c r="M213" s="68" t="s">
        <v>93</v>
      </c>
      <c r="N213" s="68" t="s">
        <v>93</v>
      </c>
      <c r="O213" s="68" t="s">
        <v>93</v>
      </c>
      <c r="P213" s="68" t="s">
        <v>93</v>
      </c>
      <c r="Q213" s="68" t="s">
        <v>93</v>
      </c>
      <c r="R213" s="68" t="s">
        <v>93</v>
      </c>
      <c r="S213" s="68" t="s">
        <v>93</v>
      </c>
      <c r="T213" s="68" t="s">
        <v>93</v>
      </c>
      <c r="U213" s="68" t="s">
        <v>93</v>
      </c>
      <c r="V213" s="68" t="s">
        <v>93</v>
      </c>
      <c r="W213" s="68" t="s">
        <v>93</v>
      </c>
      <c r="X213" s="68" t="s">
        <v>93</v>
      </c>
      <c r="Y213" s="68" t="s">
        <v>93</v>
      </c>
      <c r="Z213" s="68" t="s">
        <v>94</v>
      </c>
      <c r="AA213" s="68" t="s">
        <v>93</v>
      </c>
      <c r="AB213" s="68" t="s">
        <v>93</v>
      </c>
      <c r="AC213" s="68" t="s">
        <v>93</v>
      </c>
      <c r="AD213" s="68" t="s">
        <v>93</v>
      </c>
      <c r="AE213" s="68" t="s">
        <v>93</v>
      </c>
      <c r="AF213" s="68" t="s">
        <v>93</v>
      </c>
      <c r="AG213" s="68" t="s">
        <v>93</v>
      </c>
      <c r="AH213" s="68" t="s">
        <v>93</v>
      </c>
      <c r="AI213" s="68" t="s">
        <v>93</v>
      </c>
      <c r="AJ213" s="68" t="s">
        <v>93</v>
      </c>
      <c r="AK213" s="68" t="s">
        <v>93</v>
      </c>
      <c r="AL213" s="68" t="s">
        <v>93</v>
      </c>
      <c r="AM213" s="68" t="s">
        <v>93</v>
      </c>
      <c r="AN213" s="68" t="s">
        <v>93</v>
      </c>
      <c r="AO213" s="68" t="s">
        <v>93</v>
      </c>
      <c r="AP213" s="68" t="s">
        <v>93</v>
      </c>
      <c r="AQ213" s="68" t="s">
        <v>93</v>
      </c>
      <c r="AR213" s="68" t="s">
        <v>93</v>
      </c>
      <c r="AS213" s="68" t="s">
        <v>93</v>
      </c>
      <c r="AT213" s="68" t="s">
        <v>93</v>
      </c>
      <c r="AU213" s="68" t="s">
        <v>93</v>
      </c>
      <c r="AV213" s="68" t="s">
        <v>93</v>
      </c>
      <c r="AW213" s="68" t="s">
        <v>93</v>
      </c>
      <c r="AX213" s="68" t="s">
        <v>93</v>
      </c>
      <c r="AY213" s="68" t="s">
        <v>93</v>
      </c>
      <c r="AZ213" s="68" t="s">
        <v>93</v>
      </c>
      <c r="BA213" s="68" t="s">
        <v>93</v>
      </c>
      <c r="BB213" s="68" t="s">
        <v>93</v>
      </c>
      <c r="BC213" s="68" t="s">
        <v>93</v>
      </c>
      <c r="BD213" s="68" t="s">
        <v>93</v>
      </c>
      <c r="BE213" s="68" t="s">
        <v>93</v>
      </c>
      <c r="BF213" s="68" t="s">
        <v>93</v>
      </c>
      <c r="BG213" s="68" t="s">
        <v>93</v>
      </c>
      <c r="BH213" s="68" t="s">
        <v>93</v>
      </c>
      <c r="BI213" s="68" t="s">
        <v>93</v>
      </c>
      <c r="BJ213" s="68" t="s">
        <v>93</v>
      </c>
      <c r="BK213" s="68" t="s">
        <v>93</v>
      </c>
      <c r="BL213" s="68" t="s">
        <v>93</v>
      </c>
      <c r="BM213" s="68" t="s">
        <v>93</v>
      </c>
      <c r="BN213" s="68" t="s">
        <v>93</v>
      </c>
      <c r="BO213" s="68" t="s">
        <v>93</v>
      </c>
      <c r="BP213" s="69" t="s">
        <v>93</v>
      </c>
    </row>
    <row r="214" spans="2:68" x14ac:dyDescent="0.25">
      <c r="B214" s="64">
        <v>7</v>
      </c>
      <c r="C214" s="65">
        <v>30</v>
      </c>
      <c r="D214" s="65" t="s">
        <v>99</v>
      </c>
      <c r="E214" s="66">
        <f>'[3]Master File'!B213</f>
        <v>46227</v>
      </c>
      <c r="F214" s="67" t="str">
        <f>'[3]Master File'!C213</f>
        <v>Explorer + 5PM</v>
      </c>
      <c r="G214" s="46"/>
      <c r="I214" s="68" t="s">
        <v>93</v>
      </c>
      <c r="J214" s="68" t="s">
        <v>93</v>
      </c>
      <c r="K214" s="68" t="s">
        <v>93</v>
      </c>
      <c r="L214" s="68" t="s">
        <v>94</v>
      </c>
      <c r="M214" s="68" t="s">
        <v>93</v>
      </c>
      <c r="N214" s="68" t="s">
        <v>93</v>
      </c>
      <c r="O214" s="68" t="s">
        <v>93</v>
      </c>
      <c r="P214" s="68" t="s">
        <v>93</v>
      </c>
      <c r="Q214" s="68" t="s">
        <v>93</v>
      </c>
      <c r="R214" s="68" t="s">
        <v>93</v>
      </c>
      <c r="S214" s="68" t="s">
        <v>93</v>
      </c>
      <c r="T214" s="68" t="s">
        <v>93</v>
      </c>
      <c r="U214" s="68" t="s">
        <v>93</v>
      </c>
      <c r="V214" s="68" t="s">
        <v>93</v>
      </c>
      <c r="W214" s="68" t="s">
        <v>93</v>
      </c>
      <c r="X214" s="68" t="s">
        <v>93</v>
      </c>
      <c r="Y214" s="68" t="s">
        <v>93</v>
      </c>
      <c r="Z214" s="68" t="s">
        <v>94</v>
      </c>
      <c r="AA214" s="68" t="s">
        <v>93</v>
      </c>
      <c r="AB214" s="68" t="s">
        <v>93</v>
      </c>
      <c r="AC214" s="68" t="s">
        <v>93</v>
      </c>
      <c r="AD214" s="68" t="s">
        <v>93</v>
      </c>
      <c r="AE214" s="68" t="s">
        <v>93</v>
      </c>
      <c r="AF214" s="68" t="s">
        <v>93</v>
      </c>
      <c r="AG214" s="68" t="s">
        <v>93</v>
      </c>
      <c r="AH214" s="68" t="s">
        <v>93</v>
      </c>
      <c r="AI214" s="68" t="s">
        <v>93</v>
      </c>
      <c r="AJ214" s="68" t="s">
        <v>93</v>
      </c>
      <c r="AK214" s="68" t="s">
        <v>93</v>
      </c>
      <c r="AL214" s="68" t="s">
        <v>93</v>
      </c>
      <c r="AM214" s="68" t="s">
        <v>93</v>
      </c>
      <c r="AN214" s="68" t="s">
        <v>93</v>
      </c>
      <c r="AO214" s="68" t="s">
        <v>93</v>
      </c>
      <c r="AP214" s="68" t="s">
        <v>93</v>
      </c>
      <c r="AQ214" s="68" t="s">
        <v>93</v>
      </c>
      <c r="AR214" s="68" t="s">
        <v>93</v>
      </c>
      <c r="AS214" s="68" t="s">
        <v>93</v>
      </c>
      <c r="AT214" s="68" t="s">
        <v>93</v>
      </c>
      <c r="AU214" s="68" t="s">
        <v>93</v>
      </c>
      <c r="AV214" s="68" t="s">
        <v>93</v>
      </c>
      <c r="AW214" s="68" t="s">
        <v>93</v>
      </c>
      <c r="AX214" s="68" t="s">
        <v>93</v>
      </c>
      <c r="AY214" s="68" t="s">
        <v>93</v>
      </c>
      <c r="AZ214" s="68" t="s">
        <v>93</v>
      </c>
      <c r="BA214" s="68" t="s">
        <v>93</v>
      </c>
      <c r="BB214" s="68" t="s">
        <v>93</v>
      </c>
      <c r="BC214" s="68" t="s">
        <v>93</v>
      </c>
      <c r="BD214" s="68" t="s">
        <v>93</v>
      </c>
      <c r="BE214" s="68" t="s">
        <v>93</v>
      </c>
      <c r="BF214" s="68" t="s">
        <v>93</v>
      </c>
      <c r="BG214" s="68" t="s">
        <v>93</v>
      </c>
      <c r="BH214" s="68" t="s">
        <v>93</v>
      </c>
      <c r="BI214" s="68" t="s">
        <v>93</v>
      </c>
      <c r="BJ214" s="68" t="s">
        <v>93</v>
      </c>
      <c r="BK214" s="68" t="s">
        <v>93</v>
      </c>
      <c r="BL214" s="68" t="s">
        <v>93</v>
      </c>
      <c r="BM214" s="68" t="s">
        <v>93</v>
      </c>
      <c r="BN214" s="68" t="s">
        <v>93</v>
      </c>
      <c r="BO214" s="68" t="s">
        <v>93</v>
      </c>
      <c r="BP214" s="69" t="s">
        <v>93</v>
      </c>
    </row>
    <row r="215" spans="2:68" x14ac:dyDescent="0.25">
      <c r="B215" s="64">
        <v>7</v>
      </c>
      <c r="C215" s="65">
        <v>30</v>
      </c>
      <c r="D215" s="65" t="s">
        <v>100</v>
      </c>
      <c r="E215" s="66">
        <f>'[3]Master File'!B214</f>
        <v>46228</v>
      </c>
      <c r="F215" s="67" t="str">
        <f>'[3]Master File'!C214</f>
        <v>Explorer 6PM</v>
      </c>
      <c r="G215" s="46"/>
      <c r="I215" s="70" t="s">
        <v>93</v>
      </c>
      <c r="J215" s="70" t="s">
        <v>93</v>
      </c>
      <c r="K215" s="70" t="s">
        <v>93</v>
      </c>
      <c r="L215" s="68" t="s">
        <v>94</v>
      </c>
      <c r="M215" s="70" t="s">
        <v>93</v>
      </c>
      <c r="N215" s="70" t="s">
        <v>93</v>
      </c>
      <c r="O215" s="70" t="s">
        <v>93</v>
      </c>
      <c r="P215" s="70" t="s">
        <v>93</v>
      </c>
      <c r="Q215" s="70" t="s">
        <v>93</v>
      </c>
      <c r="R215" s="70" t="s">
        <v>93</v>
      </c>
      <c r="S215" s="70" t="s">
        <v>93</v>
      </c>
      <c r="T215" s="70" t="s">
        <v>93</v>
      </c>
      <c r="U215" s="70" t="s">
        <v>93</v>
      </c>
      <c r="V215" s="70" t="s">
        <v>93</v>
      </c>
      <c r="W215" s="70" t="s">
        <v>93</v>
      </c>
      <c r="X215" s="70" t="s">
        <v>93</v>
      </c>
      <c r="Y215" s="70" t="s">
        <v>93</v>
      </c>
      <c r="Z215" s="68" t="s">
        <v>94</v>
      </c>
      <c r="AA215" s="70" t="s">
        <v>93</v>
      </c>
      <c r="AB215" s="70" t="s">
        <v>93</v>
      </c>
      <c r="AC215" s="70" t="s">
        <v>93</v>
      </c>
      <c r="AD215" s="70" t="s">
        <v>94</v>
      </c>
      <c r="AE215" s="70" t="s">
        <v>94</v>
      </c>
      <c r="AF215" s="70" t="s">
        <v>93</v>
      </c>
      <c r="AG215" s="70" t="s">
        <v>93</v>
      </c>
      <c r="AH215" s="70" t="s">
        <v>93</v>
      </c>
      <c r="AI215" s="70" t="s">
        <v>93</v>
      </c>
      <c r="AJ215" s="70" t="s">
        <v>93</v>
      </c>
      <c r="AK215" s="70" t="s">
        <v>93</v>
      </c>
      <c r="AL215" s="70" t="s">
        <v>93</v>
      </c>
      <c r="AM215" s="70" t="s">
        <v>93</v>
      </c>
      <c r="AN215" s="70" t="s">
        <v>93</v>
      </c>
      <c r="AO215" s="70" t="s">
        <v>93</v>
      </c>
      <c r="AP215" s="70" t="s">
        <v>93</v>
      </c>
      <c r="AQ215" s="70" t="s">
        <v>93</v>
      </c>
      <c r="AR215" s="70" t="s">
        <v>93</v>
      </c>
      <c r="AS215" s="70" t="s">
        <v>93</v>
      </c>
      <c r="AT215" s="70" t="s">
        <v>93</v>
      </c>
      <c r="AU215" s="70" t="s">
        <v>93</v>
      </c>
      <c r="AV215" s="70" t="s">
        <v>93</v>
      </c>
      <c r="AW215" s="70" t="s">
        <v>93</v>
      </c>
      <c r="AX215" s="70" t="s">
        <v>93</v>
      </c>
      <c r="AY215" s="70" t="s">
        <v>93</v>
      </c>
      <c r="AZ215" s="70" t="s">
        <v>93</v>
      </c>
      <c r="BA215" s="70" t="s">
        <v>93</v>
      </c>
      <c r="BB215" s="70" t="s">
        <v>93</v>
      </c>
      <c r="BC215" s="70" t="s">
        <v>93</v>
      </c>
      <c r="BD215" s="70" t="s">
        <v>93</v>
      </c>
      <c r="BE215" s="70" t="s">
        <v>93</v>
      </c>
      <c r="BF215" s="70" t="s">
        <v>93</v>
      </c>
      <c r="BG215" s="70" t="s">
        <v>93</v>
      </c>
      <c r="BH215" s="70" t="s">
        <v>93</v>
      </c>
      <c r="BI215" s="70" t="s">
        <v>93</v>
      </c>
      <c r="BJ215" s="70" t="s">
        <v>93</v>
      </c>
      <c r="BK215" s="70" t="s">
        <v>93</v>
      </c>
      <c r="BL215" s="70" t="s">
        <v>93</v>
      </c>
      <c r="BM215" s="70" t="s">
        <v>93</v>
      </c>
      <c r="BN215" s="70" t="s">
        <v>93</v>
      </c>
      <c r="BO215" s="70" t="s">
        <v>93</v>
      </c>
      <c r="BP215" s="71" t="s">
        <v>93</v>
      </c>
    </row>
    <row r="216" spans="2:68" x14ac:dyDescent="0.25">
      <c r="B216" s="64">
        <v>7</v>
      </c>
      <c r="C216" s="65">
        <v>31</v>
      </c>
      <c r="D216" s="65" t="s">
        <v>92</v>
      </c>
      <c r="E216" s="66">
        <f>'[3]Master File'!B215</f>
        <v>46229</v>
      </c>
      <c r="F216" s="67" t="str">
        <f>'[3]Master File'!C215</f>
        <v>Explorer 6PM</v>
      </c>
      <c r="G216" s="46"/>
      <c r="I216" s="70" t="s">
        <v>93</v>
      </c>
      <c r="J216" s="70" t="s">
        <v>93</v>
      </c>
      <c r="K216" s="70" t="s">
        <v>93</v>
      </c>
      <c r="L216" s="68" t="s">
        <v>94</v>
      </c>
      <c r="M216" s="70" t="s">
        <v>93</v>
      </c>
      <c r="N216" s="70" t="s">
        <v>93</v>
      </c>
      <c r="O216" s="70" t="s">
        <v>93</v>
      </c>
      <c r="P216" s="70" t="s">
        <v>93</v>
      </c>
      <c r="Q216" s="70" t="s">
        <v>93</v>
      </c>
      <c r="R216" s="70" t="s">
        <v>93</v>
      </c>
      <c r="S216" s="70" t="s">
        <v>93</v>
      </c>
      <c r="T216" s="70" t="s">
        <v>93</v>
      </c>
      <c r="U216" s="70" t="s">
        <v>93</v>
      </c>
      <c r="V216" s="70" t="s">
        <v>93</v>
      </c>
      <c r="W216" s="70" t="s">
        <v>93</v>
      </c>
      <c r="X216" s="70" t="s">
        <v>93</v>
      </c>
      <c r="Y216" s="70" t="s">
        <v>93</v>
      </c>
      <c r="Z216" s="68" t="s">
        <v>94</v>
      </c>
      <c r="AA216" s="70" t="s">
        <v>93</v>
      </c>
      <c r="AB216" s="70" t="s">
        <v>93</v>
      </c>
      <c r="AC216" s="70" t="s">
        <v>93</v>
      </c>
      <c r="AD216" s="70" t="s">
        <v>94</v>
      </c>
      <c r="AE216" s="70" t="s">
        <v>94</v>
      </c>
      <c r="AF216" s="70" t="s">
        <v>93</v>
      </c>
      <c r="AG216" s="70" t="s">
        <v>93</v>
      </c>
      <c r="AH216" s="70" t="s">
        <v>93</v>
      </c>
      <c r="AI216" s="70" t="s">
        <v>93</v>
      </c>
      <c r="AJ216" s="70" t="s">
        <v>93</v>
      </c>
      <c r="AK216" s="70" t="s">
        <v>93</v>
      </c>
      <c r="AL216" s="70" t="s">
        <v>93</v>
      </c>
      <c r="AM216" s="70" t="s">
        <v>93</v>
      </c>
      <c r="AN216" s="70" t="s">
        <v>93</v>
      </c>
      <c r="AO216" s="70" t="s">
        <v>93</v>
      </c>
      <c r="AP216" s="70" t="s">
        <v>93</v>
      </c>
      <c r="AQ216" s="70" t="s">
        <v>93</v>
      </c>
      <c r="AR216" s="70" t="s">
        <v>93</v>
      </c>
      <c r="AS216" s="70" t="s">
        <v>93</v>
      </c>
      <c r="AT216" s="70" t="s">
        <v>93</v>
      </c>
      <c r="AU216" s="70" t="s">
        <v>93</v>
      </c>
      <c r="AV216" s="70" t="s">
        <v>93</v>
      </c>
      <c r="AW216" s="70" t="s">
        <v>93</v>
      </c>
      <c r="AX216" s="70" t="s">
        <v>93</v>
      </c>
      <c r="AY216" s="70" t="s">
        <v>93</v>
      </c>
      <c r="AZ216" s="70" t="s">
        <v>93</v>
      </c>
      <c r="BA216" s="70" t="s">
        <v>93</v>
      </c>
      <c r="BB216" s="70" t="s">
        <v>93</v>
      </c>
      <c r="BC216" s="70" t="s">
        <v>93</v>
      </c>
      <c r="BD216" s="70" t="s">
        <v>93</v>
      </c>
      <c r="BE216" s="70" t="s">
        <v>93</v>
      </c>
      <c r="BF216" s="70" t="s">
        <v>93</v>
      </c>
      <c r="BG216" s="70" t="s">
        <v>93</v>
      </c>
      <c r="BH216" s="70" t="s">
        <v>93</v>
      </c>
      <c r="BI216" s="70" t="s">
        <v>93</v>
      </c>
      <c r="BJ216" s="70" t="s">
        <v>93</v>
      </c>
      <c r="BK216" s="70" t="s">
        <v>93</v>
      </c>
      <c r="BL216" s="70" t="s">
        <v>93</v>
      </c>
      <c r="BM216" s="70" t="s">
        <v>93</v>
      </c>
      <c r="BN216" s="70" t="s">
        <v>93</v>
      </c>
      <c r="BO216" s="70" t="s">
        <v>93</v>
      </c>
      <c r="BP216" s="71" t="s">
        <v>93</v>
      </c>
    </row>
    <row r="217" spans="2:68" x14ac:dyDescent="0.25">
      <c r="B217" s="64">
        <v>7</v>
      </c>
      <c r="C217" s="65">
        <v>31</v>
      </c>
      <c r="D217" s="65" t="s">
        <v>95</v>
      </c>
      <c r="E217" s="66">
        <f>'[3]Master File'!B216</f>
        <v>46230</v>
      </c>
      <c r="F217" s="67" t="str">
        <f>'[3]Master File'!C216</f>
        <v>Explorer 6PM</v>
      </c>
      <c r="G217" s="46"/>
      <c r="I217" s="68" t="s">
        <v>93</v>
      </c>
      <c r="J217" s="68" t="s">
        <v>93</v>
      </c>
      <c r="K217" s="68" t="s">
        <v>93</v>
      </c>
      <c r="L217" s="68" t="s">
        <v>94</v>
      </c>
      <c r="M217" s="68" t="s">
        <v>93</v>
      </c>
      <c r="N217" s="68" t="s">
        <v>93</v>
      </c>
      <c r="O217" s="68" t="s">
        <v>93</v>
      </c>
      <c r="P217" s="68" t="s">
        <v>93</v>
      </c>
      <c r="Q217" s="68" t="s">
        <v>93</v>
      </c>
      <c r="R217" s="68" t="s">
        <v>93</v>
      </c>
      <c r="S217" s="68" t="s">
        <v>93</v>
      </c>
      <c r="T217" s="68" t="s">
        <v>93</v>
      </c>
      <c r="U217" s="68" t="s">
        <v>93</v>
      </c>
      <c r="V217" s="68" t="s">
        <v>93</v>
      </c>
      <c r="W217" s="68" t="s">
        <v>93</v>
      </c>
      <c r="X217" s="68" t="s">
        <v>93</v>
      </c>
      <c r="Y217" s="68" t="s">
        <v>93</v>
      </c>
      <c r="Z217" s="68" t="s">
        <v>94</v>
      </c>
      <c r="AA217" s="68" t="s">
        <v>93</v>
      </c>
      <c r="AB217" s="68" t="s">
        <v>93</v>
      </c>
      <c r="AC217" s="68" t="s">
        <v>93</v>
      </c>
      <c r="AD217" s="68" t="s">
        <v>93</v>
      </c>
      <c r="AE217" s="68" t="s">
        <v>93</v>
      </c>
      <c r="AF217" s="68" t="s">
        <v>93</v>
      </c>
      <c r="AG217" s="68" t="s">
        <v>93</v>
      </c>
      <c r="AH217" s="68" t="s">
        <v>93</v>
      </c>
      <c r="AI217" s="68" t="s">
        <v>93</v>
      </c>
      <c r="AJ217" s="68" t="s">
        <v>93</v>
      </c>
      <c r="AK217" s="68" t="s">
        <v>93</v>
      </c>
      <c r="AL217" s="68" t="s">
        <v>93</v>
      </c>
      <c r="AM217" s="68" t="s">
        <v>93</v>
      </c>
      <c r="AN217" s="68" t="s">
        <v>93</v>
      </c>
      <c r="AO217" s="68" t="s">
        <v>93</v>
      </c>
      <c r="AP217" s="68" t="s">
        <v>93</v>
      </c>
      <c r="AQ217" s="68" t="s">
        <v>93</v>
      </c>
      <c r="AR217" s="68" t="s">
        <v>93</v>
      </c>
      <c r="AS217" s="68" t="s">
        <v>93</v>
      </c>
      <c r="AT217" s="68" t="s">
        <v>93</v>
      </c>
      <c r="AU217" s="68" t="s">
        <v>93</v>
      </c>
      <c r="AV217" s="68" t="s">
        <v>93</v>
      </c>
      <c r="AW217" s="68" t="s">
        <v>93</v>
      </c>
      <c r="AX217" s="68" t="s">
        <v>93</v>
      </c>
      <c r="AY217" s="68" t="s">
        <v>93</v>
      </c>
      <c r="AZ217" s="68" t="s">
        <v>93</v>
      </c>
      <c r="BA217" s="68" t="s">
        <v>93</v>
      </c>
      <c r="BB217" s="68" t="s">
        <v>93</v>
      </c>
      <c r="BC217" s="68" t="s">
        <v>93</v>
      </c>
      <c r="BD217" s="68" t="s">
        <v>93</v>
      </c>
      <c r="BE217" s="68" t="s">
        <v>93</v>
      </c>
      <c r="BF217" s="68" t="s">
        <v>93</v>
      </c>
      <c r="BG217" s="68" t="s">
        <v>93</v>
      </c>
      <c r="BH217" s="68" t="s">
        <v>93</v>
      </c>
      <c r="BI217" s="68" t="s">
        <v>93</v>
      </c>
      <c r="BJ217" s="68" t="s">
        <v>93</v>
      </c>
      <c r="BK217" s="68" t="s">
        <v>93</v>
      </c>
      <c r="BL217" s="68" t="s">
        <v>93</v>
      </c>
      <c r="BM217" s="68" t="s">
        <v>93</v>
      </c>
      <c r="BN217" s="68" t="s">
        <v>93</v>
      </c>
      <c r="BO217" s="68" t="s">
        <v>93</v>
      </c>
      <c r="BP217" s="69" t="s">
        <v>93</v>
      </c>
    </row>
    <row r="218" spans="2:68" x14ac:dyDescent="0.25">
      <c r="B218" s="64">
        <v>7</v>
      </c>
      <c r="C218" s="65">
        <v>31</v>
      </c>
      <c r="D218" s="65" t="s">
        <v>96</v>
      </c>
      <c r="E218" s="66">
        <f>'[3]Master File'!B217</f>
        <v>46231</v>
      </c>
      <c r="F218" s="67" t="str">
        <f>'[3]Master File'!C217</f>
        <v>Explorer 6PM</v>
      </c>
      <c r="G218" s="46"/>
      <c r="I218" s="68" t="s">
        <v>93</v>
      </c>
      <c r="J218" s="68" t="s">
        <v>93</v>
      </c>
      <c r="K218" s="68" t="s">
        <v>93</v>
      </c>
      <c r="L218" s="68" t="s">
        <v>94</v>
      </c>
      <c r="M218" s="68" t="s">
        <v>93</v>
      </c>
      <c r="N218" s="68" t="s">
        <v>93</v>
      </c>
      <c r="O218" s="68" t="s">
        <v>93</v>
      </c>
      <c r="P218" s="68" t="s">
        <v>93</v>
      </c>
      <c r="Q218" s="68" t="s">
        <v>93</v>
      </c>
      <c r="R218" s="68" t="s">
        <v>93</v>
      </c>
      <c r="S218" s="68" t="s">
        <v>93</v>
      </c>
      <c r="T218" s="68" t="s">
        <v>93</v>
      </c>
      <c r="U218" s="68" t="s">
        <v>93</v>
      </c>
      <c r="V218" s="68" t="s">
        <v>93</v>
      </c>
      <c r="W218" s="68" t="s">
        <v>93</v>
      </c>
      <c r="X218" s="68" t="s">
        <v>93</v>
      </c>
      <c r="Y218" s="68" t="s">
        <v>93</v>
      </c>
      <c r="Z218" s="68" t="s">
        <v>94</v>
      </c>
      <c r="AA218" s="68" t="s">
        <v>93</v>
      </c>
      <c r="AB218" s="68" t="s">
        <v>93</v>
      </c>
      <c r="AC218" s="68" t="s">
        <v>93</v>
      </c>
      <c r="AD218" s="68" t="s">
        <v>93</v>
      </c>
      <c r="AE218" s="68" t="s">
        <v>93</v>
      </c>
      <c r="AF218" s="68" t="s">
        <v>93</v>
      </c>
      <c r="AG218" s="68" t="s">
        <v>93</v>
      </c>
      <c r="AH218" s="68" t="s">
        <v>93</v>
      </c>
      <c r="AI218" s="68" t="s">
        <v>93</v>
      </c>
      <c r="AJ218" s="68" t="s">
        <v>93</v>
      </c>
      <c r="AK218" s="68" t="s">
        <v>93</v>
      </c>
      <c r="AL218" s="68" t="s">
        <v>93</v>
      </c>
      <c r="AM218" s="68" t="s">
        <v>93</v>
      </c>
      <c r="AN218" s="68" t="s">
        <v>93</v>
      </c>
      <c r="AO218" s="68" t="s">
        <v>93</v>
      </c>
      <c r="AP218" s="68" t="s">
        <v>93</v>
      </c>
      <c r="AQ218" s="68" t="s">
        <v>93</v>
      </c>
      <c r="AR218" s="68" t="s">
        <v>93</v>
      </c>
      <c r="AS218" s="68" t="s">
        <v>93</v>
      </c>
      <c r="AT218" s="68" t="s">
        <v>93</v>
      </c>
      <c r="AU218" s="68" t="s">
        <v>93</v>
      </c>
      <c r="AV218" s="68" t="s">
        <v>93</v>
      </c>
      <c r="AW218" s="68" t="s">
        <v>93</v>
      </c>
      <c r="AX218" s="68" t="s">
        <v>93</v>
      </c>
      <c r="AY218" s="68" t="s">
        <v>93</v>
      </c>
      <c r="AZ218" s="68" t="s">
        <v>93</v>
      </c>
      <c r="BA218" s="68" t="s">
        <v>93</v>
      </c>
      <c r="BB218" s="68" t="s">
        <v>93</v>
      </c>
      <c r="BC218" s="68" t="s">
        <v>93</v>
      </c>
      <c r="BD218" s="68" t="s">
        <v>93</v>
      </c>
      <c r="BE218" s="68" t="s">
        <v>93</v>
      </c>
      <c r="BF218" s="68" t="s">
        <v>93</v>
      </c>
      <c r="BG218" s="68" t="s">
        <v>93</v>
      </c>
      <c r="BH218" s="68" t="s">
        <v>93</v>
      </c>
      <c r="BI218" s="68" t="s">
        <v>93</v>
      </c>
      <c r="BJ218" s="68" t="s">
        <v>93</v>
      </c>
      <c r="BK218" s="68" t="s">
        <v>93</v>
      </c>
      <c r="BL218" s="68" t="s">
        <v>93</v>
      </c>
      <c r="BM218" s="68" t="s">
        <v>93</v>
      </c>
      <c r="BN218" s="68" t="s">
        <v>93</v>
      </c>
      <c r="BO218" s="68" t="s">
        <v>93</v>
      </c>
      <c r="BP218" s="69" t="s">
        <v>93</v>
      </c>
    </row>
    <row r="219" spans="2:68" x14ac:dyDescent="0.25">
      <c r="B219" s="64">
        <v>7</v>
      </c>
      <c r="C219" s="65">
        <v>31</v>
      </c>
      <c r="D219" s="65" t="s">
        <v>97</v>
      </c>
      <c r="E219" s="66">
        <f>'[3]Master File'!B218</f>
        <v>46232</v>
      </c>
      <c r="F219" s="67" t="str">
        <f>'[3]Master File'!C218</f>
        <v>Explorer 6PM</v>
      </c>
      <c r="G219" s="46"/>
      <c r="I219" s="68" t="s">
        <v>93</v>
      </c>
      <c r="J219" s="68" t="s">
        <v>93</v>
      </c>
      <c r="K219" s="68" t="s">
        <v>93</v>
      </c>
      <c r="L219" s="68" t="s">
        <v>94</v>
      </c>
      <c r="M219" s="68" t="s">
        <v>93</v>
      </c>
      <c r="N219" s="68" t="s">
        <v>93</v>
      </c>
      <c r="O219" s="68" t="s">
        <v>93</v>
      </c>
      <c r="P219" s="68" t="s">
        <v>93</v>
      </c>
      <c r="Q219" s="68" t="s">
        <v>93</v>
      </c>
      <c r="R219" s="68" t="s">
        <v>93</v>
      </c>
      <c r="S219" s="68" t="s">
        <v>93</v>
      </c>
      <c r="T219" s="68" t="s">
        <v>93</v>
      </c>
      <c r="U219" s="68" t="s">
        <v>93</v>
      </c>
      <c r="V219" s="68" t="s">
        <v>93</v>
      </c>
      <c r="W219" s="68" t="s">
        <v>93</v>
      </c>
      <c r="X219" s="68" t="s">
        <v>93</v>
      </c>
      <c r="Y219" s="68" t="s">
        <v>93</v>
      </c>
      <c r="Z219" s="68" t="s">
        <v>94</v>
      </c>
      <c r="AA219" s="68" t="s">
        <v>93</v>
      </c>
      <c r="AB219" s="68" t="s">
        <v>93</v>
      </c>
      <c r="AC219" s="68" t="s">
        <v>93</v>
      </c>
      <c r="AD219" s="68" t="s">
        <v>93</v>
      </c>
      <c r="AE219" s="68" t="s">
        <v>93</v>
      </c>
      <c r="AF219" s="68" t="s">
        <v>93</v>
      </c>
      <c r="AG219" s="68" t="s">
        <v>93</v>
      </c>
      <c r="AH219" s="68" t="s">
        <v>93</v>
      </c>
      <c r="AI219" s="68" t="s">
        <v>93</v>
      </c>
      <c r="AJ219" s="68" t="s">
        <v>93</v>
      </c>
      <c r="AK219" s="68" t="s">
        <v>93</v>
      </c>
      <c r="AL219" s="68" t="s">
        <v>93</v>
      </c>
      <c r="AM219" s="68" t="s">
        <v>93</v>
      </c>
      <c r="AN219" s="68" t="s">
        <v>93</v>
      </c>
      <c r="AO219" s="68" t="s">
        <v>93</v>
      </c>
      <c r="AP219" s="68" t="s">
        <v>93</v>
      </c>
      <c r="AQ219" s="68" t="s">
        <v>93</v>
      </c>
      <c r="AR219" s="68" t="s">
        <v>93</v>
      </c>
      <c r="AS219" s="68" t="s">
        <v>93</v>
      </c>
      <c r="AT219" s="68" t="s">
        <v>93</v>
      </c>
      <c r="AU219" s="68" t="s">
        <v>93</v>
      </c>
      <c r="AV219" s="68" t="s">
        <v>93</v>
      </c>
      <c r="AW219" s="68" t="s">
        <v>93</v>
      </c>
      <c r="AX219" s="68" t="s">
        <v>93</v>
      </c>
      <c r="AY219" s="68" t="s">
        <v>93</v>
      </c>
      <c r="AZ219" s="68" t="s">
        <v>93</v>
      </c>
      <c r="BA219" s="68" t="s">
        <v>93</v>
      </c>
      <c r="BB219" s="68" t="s">
        <v>93</v>
      </c>
      <c r="BC219" s="68" t="s">
        <v>93</v>
      </c>
      <c r="BD219" s="68" t="s">
        <v>93</v>
      </c>
      <c r="BE219" s="68" t="s">
        <v>93</v>
      </c>
      <c r="BF219" s="68" t="s">
        <v>93</v>
      </c>
      <c r="BG219" s="68" t="s">
        <v>93</v>
      </c>
      <c r="BH219" s="68" t="s">
        <v>93</v>
      </c>
      <c r="BI219" s="68" t="s">
        <v>93</v>
      </c>
      <c r="BJ219" s="68" t="s">
        <v>93</v>
      </c>
      <c r="BK219" s="68" t="s">
        <v>93</v>
      </c>
      <c r="BL219" s="68" t="s">
        <v>93</v>
      </c>
      <c r="BM219" s="68" t="s">
        <v>93</v>
      </c>
      <c r="BN219" s="68" t="s">
        <v>93</v>
      </c>
      <c r="BO219" s="68" t="s">
        <v>93</v>
      </c>
      <c r="BP219" s="69" t="s">
        <v>93</v>
      </c>
    </row>
    <row r="220" spans="2:68" x14ac:dyDescent="0.25">
      <c r="B220" s="64">
        <v>7</v>
      </c>
      <c r="C220" s="65">
        <v>31</v>
      </c>
      <c r="D220" s="65" t="s">
        <v>98</v>
      </c>
      <c r="E220" s="66">
        <f>'[3]Master File'!B219</f>
        <v>46233</v>
      </c>
      <c r="F220" s="67" t="str">
        <f>'[3]Master File'!C219</f>
        <v>Explorer 6PM</v>
      </c>
      <c r="G220" s="46"/>
      <c r="I220" s="68" t="s">
        <v>93</v>
      </c>
      <c r="J220" s="68" t="s">
        <v>93</v>
      </c>
      <c r="K220" s="68" t="s">
        <v>93</v>
      </c>
      <c r="L220" s="68" t="s">
        <v>94</v>
      </c>
      <c r="M220" s="68" t="s">
        <v>93</v>
      </c>
      <c r="N220" s="68" t="s">
        <v>93</v>
      </c>
      <c r="O220" s="68" t="s">
        <v>93</v>
      </c>
      <c r="P220" s="68" t="s">
        <v>93</v>
      </c>
      <c r="Q220" s="68" t="s">
        <v>93</v>
      </c>
      <c r="R220" s="68" t="s">
        <v>93</v>
      </c>
      <c r="S220" s="68" t="s">
        <v>93</v>
      </c>
      <c r="T220" s="68" t="s">
        <v>93</v>
      </c>
      <c r="U220" s="68" t="s">
        <v>93</v>
      </c>
      <c r="V220" s="68" t="s">
        <v>93</v>
      </c>
      <c r="W220" s="68" t="s">
        <v>93</v>
      </c>
      <c r="X220" s="68" t="s">
        <v>93</v>
      </c>
      <c r="Y220" s="68" t="s">
        <v>93</v>
      </c>
      <c r="Z220" s="68" t="s">
        <v>94</v>
      </c>
      <c r="AA220" s="68" t="s">
        <v>93</v>
      </c>
      <c r="AB220" s="68" t="s">
        <v>93</v>
      </c>
      <c r="AC220" s="68" t="s">
        <v>93</v>
      </c>
      <c r="AD220" s="68" t="s">
        <v>93</v>
      </c>
      <c r="AE220" s="68" t="s">
        <v>93</v>
      </c>
      <c r="AF220" s="68" t="s">
        <v>93</v>
      </c>
      <c r="AG220" s="68" t="s">
        <v>93</v>
      </c>
      <c r="AH220" s="68" t="s">
        <v>93</v>
      </c>
      <c r="AI220" s="68" t="s">
        <v>93</v>
      </c>
      <c r="AJ220" s="68" t="s">
        <v>93</v>
      </c>
      <c r="AK220" s="68" t="s">
        <v>93</v>
      </c>
      <c r="AL220" s="68" t="s">
        <v>93</v>
      </c>
      <c r="AM220" s="68" t="s">
        <v>93</v>
      </c>
      <c r="AN220" s="68" t="s">
        <v>93</v>
      </c>
      <c r="AO220" s="68" t="s">
        <v>93</v>
      </c>
      <c r="AP220" s="68" t="s">
        <v>93</v>
      </c>
      <c r="AQ220" s="68" t="s">
        <v>93</v>
      </c>
      <c r="AR220" s="68" t="s">
        <v>93</v>
      </c>
      <c r="AS220" s="68" t="s">
        <v>93</v>
      </c>
      <c r="AT220" s="68" t="s">
        <v>93</v>
      </c>
      <c r="AU220" s="68" t="s">
        <v>93</v>
      </c>
      <c r="AV220" s="68" t="s">
        <v>93</v>
      </c>
      <c r="AW220" s="68" t="s">
        <v>93</v>
      </c>
      <c r="AX220" s="68" t="s">
        <v>93</v>
      </c>
      <c r="AY220" s="68" t="s">
        <v>93</v>
      </c>
      <c r="AZ220" s="68" t="s">
        <v>93</v>
      </c>
      <c r="BA220" s="68" t="s">
        <v>93</v>
      </c>
      <c r="BB220" s="68" t="s">
        <v>93</v>
      </c>
      <c r="BC220" s="68" t="s">
        <v>93</v>
      </c>
      <c r="BD220" s="68" t="s">
        <v>93</v>
      </c>
      <c r="BE220" s="68" t="s">
        <v>93</v>
      </c>
      <c r="BF220" s="68" t="s">
        <v>93</v>
      </c>
      <c r="BG220" s="68" t="s">
        <v>93</v>
      </c>
      <c r="BH220" s="68" t="s">
        <v>93</v>
      </c>
      <c r="BI220" s="68" t="s">
        <v>93</v>
      </c>
      <c r="BJ220" s="68" t="s">
        <v>93</v>
      </c>
      <c r="BK220" s="68" t="s">
        <v>93</v>
      </c>
      <c r="BL220" s="68" t="s">
        <v>93</v>
      </c>
      <c r="BM220" s="68" t="s">
        <v>93</v>
      </c>
      <c r="BN220" s="68" t="s">
        <v>93</v>
      </c>
      <c r="BO220" s="68" t="s">
        <v>93</v>
      </c>
      <c r="BP220" s="69" t="s">
        <v>93</v>
      </c>
    </row>
    <row r="221" spans="2:68" x14ac:dyDescent="0.25">
      <c r="B221" s="64">
        <v>7</v>
      </c>
      <c r="C221" s="65">
        <v>31</v>
      </c>
      <c r="D221" s="65" t="s">
        <v>99</v>
      </c>
      <c r="E221" s="66">
        <f>'[3]Master File'!B220</f>
        <v>46234</v>
      </c>
      <c r="F221" s="67" t="str">
        <f>'[3]Master File'!C220</f>
        <v>Explorer 6PM</v>
      </c>
      <c r="G221" s="46"/>
      <c r="I221" s="68" t="s">
        <v>93</v>
      </c>
      <c r="J221" s="68" t="s">
        <v>93</v>
      </c>
      <c r="K221" s="68" t="s">
        <v>93</v>
      </c>
      <c r="L221" s="68" t="s">
        <v>94</v>
      </c>
      <c r="M221" s="68" t="s">
        <v>93</v>
      </c>
      <c r="N221" s="68" t="s">
        <v>93</v>
      </c>
      <c r="O221" s="68" t="s">
        <v>93</v>
      </c>
      <c r="P221" s="68" t="s">
        <v>93</v>
      </c>
      <c r="Q221" s="68" t="s">
        <v>93</v>
      </c>
      <c r="R221" s="68" t="s">
        <v>93</v>
      </c>
      <c r="S221" s="68" t="s">
        <v>93</v>
      </c>
      <c r="T221" s="68" t="s">
        <v>93</v>
      </c>
      <c r="U221" s="68" t="s">
        <v>93</v>
      </c>
      <c r="V221" s="68" t="s">
        <v>93</v>
      </c>
      <c r="W221" s="68" t="s">
        <v>93</v>
      </c>
      <c r="X221" s="68" t="s">
        <v>93</v>
      </c>
      <c r="Y221" s="68" t="s">
        <v>93</v>
      </c>
      <c r="Z221" s="68" t="s">
        <v>94</v>
      </c>
      <c r="AA221" s="68" t="s">
        <v>93</v>
      </c>
      <c r="AB221" s="68" t="s">
        <v>93</v>
      </c>
      <c r="AC221" s="68" t="s">
        <v>93</v>
      </c>
      <c r="AD221" s="68" t="s">
        <v>93</v>
      </c>
      <c r="AE221" s="68" t="s">
        <v>93</v>
      </c>
      <c r="AF221" s="68" t="s">
        <v>93</v>
      </c>
      <c r="AG221" s="68" t="s">
        <v>93</v>
      </c>
      <c r="AH221" s="68" t="s">
        <v>93</v>
      </c>
      <c r="AI221" s="68" t="s">
        <v>93</v>
      </c>
      <c r="AJ221" s="68" t="s">
        <v>93</v>
      </c>
      <c r="AK221" s="68" t="s">
        <v>93</v>
      </c>
      <c r="AL221" s="68" t="s">
        <v>93</v>
      </c>
      <c r="AM221" s="68" t="s">
        <v>93</v>
      </c>
      <c r="AN221" s="68" t="s">
        <v>93</v>
      </c>
      <c r="AO221" s="68" t="s">
        <v>93</v>
      </c>
      <c r="AP221" s="68" t="s">
        <v>93</v>
      </c>
      <c r="AQ221" s="68" t="s">
        <v>93</v>
      </c>
      <c r="AR221" s="68" t="s">
        <v>93</v>
      </c>
      <c r="AS221" s="68" t="s">
        <v>93</v>
      </c>
      <c r="AT221" s="68" t="s">
        <v>93</v>
      </c>
      <c r="AU221" s="68" t="s">
        <v>93</v>
      </c>
      <c r="AV221" s="68" t="s">
        <v>93</v>
      </c>
      <c r="AW221" s="68" t="s">
        <v>93</v>
      </c>
      <c r="AX221" s="68" t="s">
        <v>93</v>
      </c>
      <c r="AY221" s="68" t="s">
        <v>93</v>
      </c>
      <c r="AZ221" s="68" t="s">
        <v>93</v>
      </c>
      <c r="BA221" s="68" t="s">
        <v>93</v>
      </c>
      <c r="BB221" s="68" t="s">
        <v>93</v>
      </c>
      <c r="BC221" s="68" t="s">
        <v>93</v>
      </c>
      <c r="BD221" s="68" t="s">
        <v>93</v>
      </c>
      <c r="BE221" s="68" t="s">
        <v>93</v>
      </c>
      <c r="BF221" s="68" t="s">
        <v>93</v>
      </c>
      <c r="BG221" s="68" t="s">
        <v>93</v>
      </c>
      <c r="BH221" s="68" t="s">
        <v>93</v>
      </c>
      <c r="BI221" s="68" t="s">
        <v>93</v>
      </c>
      <c r="BJ221" s="68" t="s">
        <v>93</v>
      </c>
      <c r="BK221" s="68" t="s">
        <v>93</v>
      </c>
      <c r="BL221" s="68" t="s">
        <v>93</v>
      </c>
      <c r="BM221" s="68" t="s">
        <v>93</v>
      </c>
      <c r="BN221" s="68" t="s">
        <v>93</v>
      </c>
      <c r="BO221" s="68" t="s">
        <v>93</v>
      </c>
      <c r="BP221" s="69" t="s">
        <v>93</v>
      </c>
    </row>
    <row r="222" spans="2:68" x14ac:dyDescent="0.25">
      <c r="B222" s="64">
        <v>7</v>
      </c>
      <c r="C222" s="65">
        <v>31</v>
      </c>
      <c r="D222" s="65" t="s">
        <v>100</v>
      </c>
      <c r="E222" s="66">
        <f>'[3]Master File'!B221</f>
        <v>46235</v>
      </c>
      <c r="F222" s="67" t="str">
        <f>'[3]Master File'!C221</f>
        <v>Explorer + 6PM</v>
      </c>
      <c r="G222" s="46"/>
      <c r="I222" s="70" t="s">
        <v>93</v>
      </c>
      <c r="J222" s="70" t="s">
        <v>93</v>
      </c>
      <c r="K222" s="70" t="s">
        <v>93</v>
      </c>
      <c r="L222" s="68" t="s">
        <v>94</v>
      </c>
      <c r="M222" s="70" t="s">
        <v>93</v>
      </c>
      <c r="N222" s="70" t="s">
        <v>93</v>
      </c>
      <c r="O222" s="70" t="s">
        <v>93</v>
      </c>
      <c r="P222" s="70" t="s">
        <v>93</v>
      </c>
      <c r="Q222" s="70" t="s">
        <v>93</v>
      </c>
      <c r="R222" s="70" t="s">
        <v>93</v>
      </c>
      <c r="S222" s="70" t="s">
        <v>93</v>
      </c>
      <c r="T222" s="70" t="s">
        <v>93</v>
      </c>
      <c r="U222" s="70" t="s">
        <v>93</v>
      </c>
      <c r="V222" s="70" t="s">
        <v>93</v>
      </c>
      <c r="W222" s="70" t="s">
        <v>93</v>
      </c>
      <c r="X222" s="70" t="s">
        <v>93</v>
      </c>
      <c r="Y222" s="70" t="s">
        <v>93</v>
      </c>
      <c r="Z222" s="68" t="s">
        <v>94</v>
      </c>
      <c r="AA222" s="70" t="s">
        <v>93</v>
      </c>
      <c r="AB222" s="70" t="s">
        <v>93</v>
      </c>
      <c r="AC222" s="70" t="s">
        <v>93</v>
      </c>
      <c r="AD222" s="70" t="s">
        <v>94</v>
      </c>
      <c r="AE222" s="70" t="s">
        <v>94</v>
      </c>
      <c r="AF222" s="70" t="s">
        <v>93</v>
      </c>
      <c r="AG222" s="70" t="s">
        <v>93</v>
      </c>
      <c r="AH222" s="70" t="s">
        <v>93</v>
      </c>
      <c r="AI222" s="70" t="s">
        <v>93</v>
      </c>
      <c r="AJ222" s="70" t="s">
        <v>93</v>
      </c>
      <c r="AK222" s="70" t="s">
        <v>93</v>
      </c>
      <c r="AL222" s="70" t="s">
        <v>93</v>
      </c>
      <c r="AM222" s="70" t="s">
        <v>93</v>
      </c>
      <c r="AN222" s="70" t="s">
        <v>93</v>
      </c>
      <c r="AO222" s="70" t="s">
        <v>93</v>
      </c>
      <c r="AP222" s="70" t="s">
        <v>93</v>
      </c>
      <c r="AQ222" s="70" t="s">
        <v>93</v>
      </c>
      <c r="AR222" s="70" t="s">
        <v>93</v>
      </c>
      <c r="AS222" s="70" t="s">
        <v>93</v>
      </c>
      <c r="AT222" s="70" t="s">
        <v>93</v>
      </c>
      <c r="AU222" s="70" t="s">
        <v>93</v>
      </c>
      <c r="AV222" s="70" t="s">
        <v>93</v>
      </c>
      <c r="AW222" s="70" t="s">
        <v>93</v>
      </c>
      <c r="AX222" s="70" t="s">
        <v>93</v>
      </c>
      <c r="AY222" s="70" t="s">
        <v>93</v>
      </c>
      <c r="AZ222" s="70" t="s">
        <v>93</v>
      </c>
      <c r="BA222" s="70" t="s">
        <v>93</v>
      </c>
      <c r="BB222" s="70" t="s">
        <v>93</v>
      </c>
      <c r="BC222" s="70" t="s">
        <v>93</v>
      </c>
      <c r="BD222" s="70" t="s">
        <v>93</v>
      </c>
      <c r="BE222" s="70" t="s">
        <v>93</v>
      </c>
      <c r="BF222" s="70" t="s">
        <v>93</v>
      </c>
      <c r="BG222" s="70" t="s">
        <v>93</v>
      </c>
      <c r="BH222" s="70" t="s">
        <v>93</v>
      </c>
      <c r="BI222" s="70" t="s">
        <v>93</v>
      </c>
      <c r="BJ222" s="70" t="s">
        <v>93</v>
      </c>
      <c r="BK222" s="70" t="s">
        <v>93</v>
      </c>
      <c r="BL222" s="70" t="s">
        <v>93</v>
      </c>
      <c r="BM222" s="70" t="s">
        <v>93</v>
      </c>
      <c r="BN222" s="70" t="s">
        <v>93</v>
      </c>
      <c r="BO222" s="70" t="s">
        <v>93</v>
      </c>
      <c r="BP222" s="71" t="s">
        <v>93</v>
      </c>
    </row>
    <row r="223" spans="2:68" x14ac:dyDescent="0.25">
      <c r="B223" s="64">
        <v>8</v>
      </c>
      <c r="C223" s="65">
        <v>32</v>
      </c>
      <c r="D223" s="65" t="s">
        <v>92</v>
      </c>
      <c r="E223" s="66">
        <f>'[3]Master File'!B222</f>
        <v>46236</v>
      </c>
      <c r="F223" s="67" t="str">
        <f>'[3]Master File'!C222</f>
        <v>Explorer 6PM</v>
      </c>
      <c r="G223" s="46"/>
      <c r="I223" s="70" t="s">
        <v>93</v>
      </c>
      <c r="J223" s="70" t="s">
        <v>93</v>
      </c>
      <c r="K223" s="70" t="s">
        <v>93</v>
      </c>
      <c r="L223" s="68" t="s">
        <v>94</v>
      </c>
      <c r="M223" s="70" t="s">
        <v>93</v>
      </c>
      <c r="N223" s="70" t="s">
        <v>93</v>
      </c>
      <c r="O223" s="70" t="s">
        <v>93</v>
      </c>
      <c r="P223" s="70" t="s">
        <v>93</v>
      </c>
      <c r="Q223" s="70" t="s">
        <v>93</v>
      </c>
      <c r="R223" s="70" t="s">
        <v>93</v>
      </c>
      <c r="S223" s="70" t="s">
        <v>93</v>
      </c>
      <c r="T223" s="70" t="s">
        <v>93</v>
      </c>
      <c r="U223" s="70" t="s">
        <v>93</v>
      </c>
      <c r="V223" s="70" t="s">
        <v>93</v>
      </c>
      <c r="W223" s="70" t="s">
        <v>93</v>
      </c>
      <c r="X223" s="70" t="s">
        <v>93</v>
      </c>
      <c r="Y223" s="70" t="s">
        <v>93</v>
      </c>
      <c r="Z223" s="68" t="s">
        <v>94</v>
      </c>
      <c r="AA223" s="70" t="s">
        <v>93</v>
      </c>
      <c r="AB223" s="70" t="s">
        <v>93</v>
      </c>
      <c r="AC223" s="70" t="s">
        <v>93</v>
      </c>
      <c r="AD223" s="70" t="s">
        <v>94</v>
      </c>
      <c r="AE223" s="70" t="s">
        <v>94</v>
      </c>
      <c r="AF223" s="70" t="s">
        <v>93</v>
      </c>
      <c r="AG223" s="70" t="s">
        <v>93</v>
      </c>
      <c r="AH223" s="70" t="s">
        <v>93</v>
      </c>
      <c r="AI223" s="70" t="s">
        <v>93</v>
      </c>
      <c r="AJ223" s="70" t="s">
        <v>93</v>
      </c>
      <c r="AK223" s="70" t="s">
        <v>93</v>
      </c>
      <c r="AL223" s="70" t="s">
        <v>93</v>
      </c>
      <c r="AM223" s="70" t="s">
        <v>93</v>
      </c>
      <c r="AN223" s="70" t="s">
        <v>93</v>
      </c>
      <c r="AO223" s="70" t="s">
        <v>93</v>
      </c>
      <c r="AP223" s="70" t="s">
        <v>93</v>
      </c>
      <c r="AQ223" s="70" t="s">
        <v>93</v>
      </c>
      <c r="AR223" s="70" t="s">
        <v>93</v>
      </c>
      <c r="AS223" s="70" t="s">
        <v>93</v>
      </c>
      <c r="AT223" s="70" t="s">
        <v>93</v>
      </c>
      <c r="AU223" s="70" t="s">
        <v>93</v>
      </c>
      <c r="AV223" s="70" t="s">
        <v>93</v>
      </c>
      <c r="AW223" s="70" t="s">
        <v>93</v>
      </c>
      <c r="AX223" s="70" t="s">
        <v>93</v>
      </c>
      <c r="AY223" s="70" t="s">
        <v>93</v>
      </c>
      <c r="AZ223" s="70" t="s">
        <v>93</v>
      </c>
      <c r="BA223" s="70" t="s">
        <v>93</v>
      </c>
      <c r="BB223" s="70" t="s">
        <v>93</v>
      </c>
      <c r="BC223" s="70" t="s">
        <v>93</v>
      </c>
      <c r="BD223" s="70" t="s">
        <v>93</v>
      </c>
      <c r="BE223" s="70" t="s">
        <v>93</v>
      </c>
      <c r="BF223" s="70" t="s">
        <v>93</v>
      </c>
      <c r="BG223" s="70" t="s">
        <v>93</v>
      </c>
      <c r="BH223" s="70" t="s">
        <v>93</v>
      </c>
      <c r="BI223" s="70" t="s">
        <v>93</v>
      </c>
      <c r="BJ223" s="70" t="s">
        <v>93</v>
      </c>
      <c r="BK223" s="70" t="s">
        <v>93</v>
      </c>
      <c r="BL223" s="70" t="s">
        <v>93</v>
      </c>
      <c r="BM223" s="70" t="s">
        <v>93</v>
      </c>
      <c r="BN223" s="70" t="s">
        <v>93</v>
      </c>
      <c r="BO223" s="70" t="s">
        <v>93</v>
      </c>
      <c r="BP223" s="71" t="s">
        <v>93</v>
      </c>
    </row>
    <row r="224" spans="2:68" x14ac:dyDescent="0.25">
      <c r="B224" s="64">
        <v>8</v>
      </c>
      <c r="C224" s="65">
        <v>32</v>
      </c>
      <c r="D224" s="65" t="s">
        <v>95</v>
      </c>
      <c r="E224" s="66">
        <f>'[3]Master File'!B223</f>
        <v>46237</v>
      </c>
      <c r="F224" s="67" t="str">
        <f>'[3]Master File'!C223</f>
        <v>Explorer 6PM</v>
      </c>
      <c r="G224" s="46"/>
      <c r="I224" s="68" t="s">
        <v>93</v>
      </c>
      <c r="J224" s="68" t="s">
        <v>93</v>
      </c>
      <c r="K224" s="68" t="s">
        <v>93</v>
      </c>
      <c r="L224" s="68" t="s">
        <v>94</v>
      </c>
      <c r="M224" s="68" t="s">
        <v>93</v>
      </c>
      <c r="N224" s="68" t="s">
        <v>93</v>
      </c>
      <c r="O224" s="68" t="s">
        <v>93</v>
      </c>
      <c r="P224" s="68" t="s">
        <v>93</v>
      </c>
      <c r="Q224" s="68" t="s">
        <v>93</v>
      </c>
      <c r="R224" s="68" t="s">
        <v>93</v>
      </c>
      <c r="S224" s="68" t="s">
        <v>93</v>
      </c>
      <c r="T224" s="68" t="s">
        <v>93</v>
      </c>
      <c r="U224" s="68" t="s">
        <v>93</v>
      </c>
      <c r="V224" s="68" t="s">
        <v>93</v>
      </c>
      <c r="W224" s="68" t="s">
        <v>93</v>
      </c>
      <c r="X224" s="68" t="s">
        <v>93</v>
      </c>
      <c r="Y224" s="68" t="s">
        <v>93</v>
      </c>
      <c r="Z224" s="68" t="s">
        <v>94</v>
      </c>
      <c r="AA224" s="68" t="s">
        <v>93</v>
      </c>
      <c r="AB224" s="68" t="s">
        <v>93</v>
      </c>
      <c r="AC224" s="68" t="s">
        <v>93</v>
      </c>
      <c r="AD224" s="68" t="s">
        <v>93</v>
      </c>
      <c r="AE224" s="68" t="s">
        <v>93</v>
      </c>
      <c r="AF224" s="68" t="s">
        <v>93</v>
      </c>
      <c r="AG224" s="68" t="s">
        <v>93</v>
      </c>
      <c r="AH224" s="68" t="s">
        <v>93</v>
      </c>
      <c r="AI224" s="68" t="s">
        <v>93</v>
      </c>
      <c r="AJ224" s="68" t="s">
        <v>93</v>
      </c>
      <c r="AK224" s="68" t="s">
        <v>93</v>
      </c>
      <c r="AL224" s="68" t="s">
        <v>93</v>
      </c>
      <c r="AM224" s="68" t="s">
        <v>93</v>
      </c>
      <c r="AN224" s="68" t="s">
        <v>93</v>
      </c>
      <c r="AO224" s="68" t="s">
        <v>93</v>
      </c>
      <c r="AP224" s="68" t="s">
        <v>93</v>
      </c>
      <c r="AQ224" s="68" t="s">
        <v>93</v>
      </c>
      <c r="AR224" s="68" t="s">
        <v>93</v>
      </c>
      <c r="AS224" s="68" t="s">
        <v>93</v>
      </c>
      <c r="AT224" s="68" t="s">
        <v>93</v>
      </c>
      <c r="AU224" s="68" t="s">
        <v>93</v>
      </c>
      <c r="AV224" s="68" t="s">
        <v>93</v>
      </c>
      <c r="AW224" s="68" t="s">
        <v>93</v>
      </c>
      <c r="AX224" s="68" t="s">
        <v>93</v>
      </c>
      <c r="AY224" s="68" t="s">
        <v>93</v>
      </c>
      <c r="AZ224" s="68" t="s">
        <v>93</v>
      </c>
      <c r="BA224" s="68" t="s">
        <v>93</v>
      </c>
      <c r="BB224" s="68" t="s">
        <v>93</v>
      </c>
      <c r="BC224" s="68" t="s">
        <v>93</v>
      </c>
      <c r="BD224" s="68" t="s">
        <v>93</v>
      </c>
      <c r="BE224" s="68" t="s">
        <v>93</v>
      </c>
      <c r="BF224" s="68" t="s">
        <v>93</v>
      </c>
      <c r="BG224" s="68" t="s">
        <v>93</v>
      </c>
      <c r="BH224" s="68" t="s">
        <v>93</v>
      </c>
      <c r="BI224" s="68" t="s">
        <v>93</v>
      </c>
      <c r="BJ224" s="68" t="s">
        <v>93</v>
      </c>
      <c r="BK224" s="68" t="s">
        <v>93</v>
      </c>
      <c r="BL224" s="68" t="s">
        <v>93</v>
      </c>
      <c r="BM224" s="68" t="s">
        <v>93</v>
      </c>
      <c r="BN224" s="68" t="s">
        <v>93</v>
      </c>
      <c r="BO224" s="68" t="s">
        <v>93</v>
      </c>
      <c r="BP224" s="69" t="s">
        <v>93</v>
      </c>
    </row>
    <row r="225" spans="2:68" x14ac:dyDescent="0.25">
      <c r="B225" s="64">
        <v>8</v>
      </c>
      <c r="C225" s="65">
        <v>32</v>
      </c>
      <c r="D225" s="65" t="s">
        <v>96</v>
      </c>
      <c r="E225" s="66">
        <f>'[3]Master File'!B224</f>
        <v>46238</v>
      </c>
      <c r="F225" s="67" t="str">
        <f>'[3]Master File'!C224</f>
        <v>Explorer 6PM</v>
      </c>
      <c r="G225" s="46"/>
      <c r="I225" s="68" t="s">
        <v>93</v>
      </c>
      <c r="J225" s="68" t="s">
        <v>93</v>
      </c>
      <c r="K225" s="68" t="s">
        <v>93</v>
      </c>
      <c r="L225" s="68" t="s">
        <v>94</v>
      </c>
      <c r="M225" s="68" t="s">
        <v>93</v>
      </c>
      <c r="N225" s="68" t="s">
        <v>93</v>
      </c>
      <c r="O225" s="68" t="s">
        <v>93</v>
      </c>
      <c r="P225" s="68" t="s">
        <v>93</v>
      </c>
      <c r="Q225" s="68" t="s">
        <v>93</v>
      </c>
      <c r="R225" s="68" t="s">
        <v>93</v>
      </c>
      <c r="S225" s="68" t="s">
        <v>93</v>
      </c>
      <c r="T225" s="68" t="s">
        <v>93</v>
      </c>
      <c r="U225" s="68" t="s">
        <v>93</v>
      </c>
      <c r="V225" s="68" t="s">
        <v>93</v>
      </c>
      <c r="W225" s="68" t="s">
        <v>93</v>
      </c>
      <c r="X225" s="68" t="s">
        <v>93</v>
      </c>
      <c r="Y225" s="68" t="s">
        <v>93</v>
      </c>
      <c r="Z225" s="68" t="s">
        <v>94</v>
      </c>
      <c r="AA225" s="68" t="s">
        <v>93</v>
      </c>
      <c r="AB225" s="68" t="s">
        <v>93</v>
      </c>
      <c r="AC225" s="68" t="s">
        <v>93</v>
      </c>
      <c r="AD225" s="68" t="s">
        <v>93</v>
      </c>
      <c r="AE225" s="68" t="s">
        <v>93</v>
      </c>
      <c r="AF225" s="68" t="s">
        <v>93</v>
      </c>
      <c r="AG225" s="68" t="s">
        <v>93</v>
      </c>
      <c r="AH225" s="68" t="s">
        <v>93</v>
      </c>
      <c r="AI225" s="68" t="s">
        <v>93</v>
      </c>
      <c r="AJ225" s="68" t="s">
        <v>93</v>
      </c>
      <c r="AK225" s="68" t="s">
        <v>93</v>
      </c>
      <c r="AL225" s="68" t="s">
        <v>93</v>
      </c>
      <c r="AM225" s="68" t="s">
        <v>93</v>
      </c>
      <c r="AN225" s="68" t="s">
        <v>93</v>
      </c>
      <c r="AO225" s="68" t="s">
        <v>93</v>
      </c>
      <c r="AP225" s="68" t="s">
        <v>93</v>
      </c>
      <c r="AQ225" s="68" t="s">
        <v>93</v>
      </c>
      <c r="AR225" s="68" t="s">
        <v>93</v>
      </c>
      <c r="AS225" s="68" t="s">
        <v>93</v>
      </c>
      <c r="AT225" s="68" t="s">
        <v>93</v>
      </c>
      <c r="AU225" s="68" t="s">
        <v>93</v>
      </c>
      <c r="AV225" s="68" t="s">
        <v>93</v>
      </c>
      <c r="AW225" s="68" t="s">
        <v>93</v>
      </c>
      <c r="AX225" s="68" t="s">
        <v>93</v>
      </c>
      <c r="AY225" s="68" t="s">
        <v>93</v>
      </c>
      <c r="AZ225" s="68" t="s">
        <v>93</v>
      </c>
      <c r="BA225" s="68" t="s">
        <v>93</v>
      </c>
      <c r="BB225" s="68" t="s">
        <v>93</v>
      </c>
      <c r="BC225" s="68" t="s">
        <v>93</v>
      </c>
      <c r="BD225" s="68" t="s">
        <v>93</v>
      </c>
      <c r="BE225" s="68" t="s">
        <v>93</v>
      </c>
      <c r="BF225" s="68" t="s">
        <v>93</v>
      </c>
      <c r="BG225" s="68" t="s">
        <v>93</v>
      </c>
      <c r="BH225" s="68" t="s">
        <v>93</v>
      </c>
      <c r="BI225" s="68" t="s">
        <v>93</v>
      </c>
      <c r="BJ225" s="68" t="s">
        <v>93</v>
      </c>
      <c r="BK225" s="68" t="s">
        <v>93</v>
      </c>
      <c r="BL225" s="68" t="s">
        <v>93</v>
      </c>
      <c r="BM225" s="68" t="s">
        <v>93</v>
      </c>
      <c r="BN225" s="68" t="s">
        <v>93</v>
      </c>
      <c r="BO225" s="68" t="s">
        <v>93</v>
      </c>
      <c r="BP225" s="69" t="s">
        <v>93</v>
      </c>
    </row>
    <row r="226" spans="2:68" x14ac:dyDescent="0.25">
      <c r="B226" s="64">
        <v>8</v>
      </c>
      <c r="C226" s="65">
        <v>32</v>
      </c>
      <c r="D226" s="65" t="s">
        <v>97</v>
      </c>
      <c r="E226" s="66">
        <f>'[3]Master File'!B225</f>
        <v>46239</v>
      </c>
      <c r="F226" s="67" t="str">
        <f>'[3]Master File'!C225</f>
        <v>Explorer + 6PM</v>
      </c>
      <c r="G226" s="46"/>
      <c r="I226" s="68" t="s">
        <v>93</v>
      </c>
      <c r="J226" s="68" t="s">
        <v>93</v>
      </c>
      <c r="K226" s="68" t="s">
        <v>93</v>
      </c>
      <c r="L226" s="68" t="s">
        <v>94</v>
      </c>
      <c r="M226" s="68" t="s">
        <v>93</v>
      </c>
      <c r="N226" s="68" t="s">
        <v>93</v>
      </c>
      <c r="O226" s="68" t="s">
        <v>93</v>
      </c>
      <c r="P226" s="68" t="s">
        <v>93</v>
      </c>
      <c r="Q226" s="68" t="s">
        <v>93</v>
      </c>
      <c r="R226" s="68" t="s">
        <v>93</v>
      </c>
      <c r="S226" s="68" t="s">
        <v>93</v>
      </c>
      <c r="T226" s="68" t="s">
        <v>93</v>
      </c>
      <c r="U226" s="68" t="s">
        <v>93</v>
      </c>
      <c r="V226" s="68" t="s">
        <v>93</v>
      </c>
      <c r="W226" s="68" t="s">
        <v>93</v>
      </c>
      <c r="X226" s="68" t="s">
        <v>93</v>
      </c>
      <c r="Y226" s="68" t="s">
        <v>93</v>
      </c>
      <c r="Z226" s="68" t="s">
        <v>94</v>
      </c>
      <c r="AA226" s="68" t="s">
        <v>93</v>
      </c>
      <c r="AB226" s="68" t="s">
        <v>93</v>
      </c>
      <c r="AC226" s="68" t="s">
        <v>93</v>
      </c>
      <c r="AD226" s="68" t="s">
        <v>93</v>
      </c>
      <c r="AE226" s="68" t="s">
        <v>93</v>
      </c>
      <c r="AF226" s="68" t="s">
        <v>93</v>
      </c>
      <c r="AG226" s="68" t="s">
        <v>93</v>
      </c>
      <c r="AH226" s="68" t="s">
        <v>93</v>
      </c>
      <c r="AI226" s="68" t="s">
        <v>93</v>
      </c>
      <c r="AJ226" s="68" t="s">
        <v>93</v>
      </c>
      <c r="AK226" s="68" t="s">
        <v>93</v>
      </c>
      <c r="AL226" s="68" t="s">
        <v>93</v>
      </c>
      <c r="AM226" s="68" t="s">
        <v>93</v>
      </c>
      <c r="AN226" s="68" t="s">
        <v>93</v>
      </c>
      <c r="AO226" s="68" t="s">
        <v>93</v>
      </c>
      <c r="AP226" s="68" t="s">
        <v>93</v>
      </c>
      <c r="AQ226" s="68" t="s">
        <v>93</v>
      </c>
      <c r="AR226" s="68" t="s">
        <v>93</v>
      </c>
      <c r="AS226" s="68" t="s">
        <v>93</v>
      </c>
      <c r="AT226" s="68" t="s">
        <v>93</v>
      </c>
      <c r="AU226" s="68" t="s">
        <v>93</v>
      </c>
      <c r="AV226" s="68" t="s">
        <v>93</v>
      </c>
      <c r="AW226" s="68" t="s">
        <v>93</v>
      </c>
      <c r="AX226" s="68" t="s">
        <v>93</v>
      </c>
      <c r="AY226" s="68" t="s">
        <v>93</v>
      </c>
      <c r="AZ226" s="68" t="s">
        <v>93</v>
      </c>
      <c r="BA226" s="68" t="s">
        <v>93</v>
      </c>
      <c r="BB226" s="68" t="s">
        <v>93</v>
      </c>
      <c r="BC226" s="68" t="s">
        <v>93</v>
      </c>
      <c r="BD226" s="68" t="s">
        <v>93</v>
      </c>
      <c r="BE226" s="68" t="s">
        <v>93</v>
      </c>
      <c r="BF226" s="68" t="s">
        <v>93</v>
      </c>
      <c r="BG226" s="68" t="s">
        <v>93</v>
      </c>
      <c r="BH226" s="68" t="s">
        <v>93</v>
      </c>
      <c r="BI226" s="68" t="s">
        <v>93</v>
      </c>
      <c r="BJ226" s="68" t="s">
        <v>93</v>
      </c>
      <c r="BK226" s="68" t="s">
        <v>93</v>
      </c>
      <c r="BL226" s="68" t="s">
        <v>93</v>
      </c>
      <c r="BM226" s="68" t="s">
        <v>93</v>
      </c>
      <c r="BN226" s="68" t="s">
        <v>93</v>
      </c>
      <c r="BO226" s="68" t="s">
        <v>93</v>
      </c>
      <c r="BP226" s="69" t="s">
        <v>93</v>
      </c>
    </row>
    <row r="227" spans="2:68" x14ac:dyDescent="0.25">
      <c r="B227" s="64">
        <v>8</v>
      </c>
      <c r="C227" s="65">
        <v>32</v>
      </c>
      <c r="D227" s="65" t="s">
        <v>98</v>
      </c>
      <c r="E227" s="66">
        <f>'[3]Master File'!B226</f>
        <v>46240</v>
      </c>
      <c r="F227" s="67" t="str">
        <f>'[3]Master File'!C226</f>
        <v>Explorer 6PM</v>
      </c>
      <c r="G227" s="46"/>
      <c r="I227" s="68" t="s">
        <v>93</v>
      </c>
      <c r="J227" s="68" t="s">
        <v>93</v>
      </c>
      <c r="K227" s="68" t="s">
        <v>93</v>
      </c>
      <c r="L227" s="68" t="s">
        <v>94</v>
      </c>
      <c r="M227" s="68" t="s">
        <v>93</v>
      </c>
      <c r="N227" s="68" t="s">
        <v>93</v>
      </c>
      <c r="O227" s="68" t="s">
        <v>93</v>
      </c>
      <c r="P227" s="68" t="s">
        <v>93</v>
      </c>
      <c r="Q227" s="68" t="s">
        <v>93</v>
      </c>
      <c r="R227" s="68" t="s">
        <v>93</v>
      </c>
      <c r="S227" s="68" t="s">
        <v>93</v>
      </c>
      <c r="T227" s="68" t="s">
        <v>93</v>
      </c>
      <c r="U227" s="68" t="s">
        <v>93</v>
      </c>
      <c r="V227" s="68" t="s">
        <v>93</v>
      </c>
      <c r="W227" s="68" t="s">
        <v>93</v>
      </c>
      <c r="X227" s="68" t="s">
        <v>93</v>
      </c>
      <c r="Y227" s="68" t="s">
        <v>93</v>
      </c>
      <c r="Z227" s="68" t="s">
        <v>94</v>
      </c>
      <c r="AA227" s="68" t="s">
        <v>93</v>
      </c>
      <c r="AB227" s="68" t="s">
        <v>93</v>
      </c>
      <c r="AC227" s="68" t="s">
        <v>93</v>
      </c>
      <c r="AD227" s="68" t="s">
        <v>93</v>
      </c>
      <c r="AE227" s="68" t="s">
        <v>93</v>
      </c>
      <c r="AF227" s="68" t="s">
        <v>93</v>
      </c>
      <c r="AG227" s="68" t="s">
        <v>93</v>
      </c>
      <c r="AH227" s="68" t="s">
        <v>93</v>
      </c>
      <c r="AI227" s="68" t="s">
        <v>93</v>
      </c>
      <c r="AJ227" s="68" t="s">
        <v>93</v>
      </c>
      <c r="AK227" s="68" t="s">
        <v>93</v>
      </c>
      <c r="AL227" s="68" t="s">
        <v>93</v>
      </c>
      <c r="AM227" s="68" t="s">
        <v>93</v>
      </c>
      <c r="AN227" s="68" t="s">
        <v>93</v>
      </c>
      <c r="AO227" s="68" t="s">
        <v>93</v>
      </c>
      <c r="AP227" s="68" t="s">
        <v>93</v>
      </c>
      <c r="AQ227" s="68" t="s">
        <v>93</v>
      </c>
      <c r="AR227" s="68" t="s">
        <v>93</v>
      </c>
      <c r="AS227" s="68" t="s">
        <v>93</v>
      </c>
      <c r="AT227" s="68" t="s">
        <v>93</v>
      </c>
      <c r="AU227" s="68" t="s">
        <v>93</v>
      </c>
      <c r="AV227" s="68" t="s">
        <v>93</v>
      </c>
      <c r="AW227" s="68" t="s">
        <v>93</v>
      </c>
      <c r="AX227" s="68" t="s">
        <v>93</v>
      </c>
      <c r="AY227" s="68" t="s">
        <v>93</v>
      </c>
      <c r="AZ227" s="68" t="s">
        <v>93</v>
      </c>
      <c r="BA227" s="68" t="s">
        <v>93</v>
      </c>
      <c r="BB227" s="68" t="s">
        <v>93</v>
      </c>
      <c r="BC227" s="68" t="s">
        <v>93</v>
      </c>
      <c r="BD227" s="68" t="s">
        <v>93</v>
      </c>
      <c r="BE227" s="68" t="s">
        <v>93</v>
      </c>
      <c r="BF227" s="68" t="s">
        <v>93</v>
      </c>
      <c r="BG227" s="68" t="s">
        <v>93</v>
      </c>
      <c r="BH227" s="68" t="s">
        <v>93</v>
      </c>
      <c r="BI227" s="68" t="s">
        <v>93</v>
      </c>
      <c r="BJ227" s="68" t="s">
        <v>93</v>
      </c>
      <c r="BK227" s="68" t="s">
        <v>93</v>
      </c>
      <c r="BL227" s="68" t="s">
        <v>93</v>
      </c>
      <c r="BM227" s="68" t="s">
        <v>93</v>
      </c>
      <c r="BN227" s="68" t="s">
        <v>93</v>
      </c>
      <c r="BO227" s="68" t="s">
        <v>93</v>
      </c>
      <c r="BP227" s="69" t="s">
        <v>93</v>
      </c>
    </row>
    <row r="228" spans="2:68" x14ac:dyDescent="0.25">
      <c r="B228" s="64">
        <v>8</v>
      </c>
      <c r="C228" s="65">
        <v>32</v>
      </c>
      <c r="D228" s="65" t="s">
        <v>99</v>
      </c>
      <c r="E228" s="66">
        <f>'[3]Master File'!B227</f>
        <v>46241</v>
      </c>
      <c r="F228" s="67" t="str">
        <f>'[3]Master File'!C227</f>
        <v>Explorer 6PM</v>
      </c>
      <c r="G228" s="46"/>
      <c r="I228" s="68" t="s">
        <v>93</v>
      </c>
      <c r="J228" s="68" t="s">
        <v>93</v>
      </c>
      <c r="K228" s="68" t="s">
        <v>93</v>
      </c>
      <c r="L228" s="68" t="s">
        <v>94</v>
      </c>
      <c r="M228" s="68" t="s">
        <v>93</v>
      </c>
      <c r="N228" s="68" t="s">
        <v>93</v>
      </c>
      <c r="O228" s="68" t="s">
        <v>93</v>
      </c>
      <c r="P228" s="68" t="s">
        <v>93</v>
      </c>
      <c r="Q228" s="68" t="s">
        <v>93</v>
      </c>
      <c r="R228" s="68" t="s">
        <v>93</v>
      </c>
      <c r="S228" s="68" t="s">
        <v>93</v>
      </c>
      <c r="T228" s="68" t="s">
        <v>93</v>
      </c>
      <c r="U228" s="68" t="s">
        <v>93</v>
      </c>
      <c r="V228" s="68" t="s">
        <v>93</v>
      </c>
      <c r="W228" s="68" t="s">
        <v>93</v>
      </c>
      <c r="X228" s="68" t="s">
        <v>93</v>
      </c>
      <c r="Y228" s="68" t="s">
        <v>93</v>
      </c>
      <c r="Z228" s="68" t="s">
        <v>94</v>
      </c>
      <c r="AA228" s="68" t="s">
        <v>93</v>
      </c>
      <c r="AB228" s="68" t="s">
        <v>93</v>
      </c>
      <c r="AC228" s="68" t="s">
        <v>93</v>
      </c>
      <c r="AD228" s="68" t="s">
        <v>93</v>
      </c>
      <c r="AE228" s="68" t="s">
        <v>93</v>
      </c>
      <c r="AF228" s="68" t="s">
        <v>93</v>
      </c>
      <c r="AG228" s="68" t="s">
        <v>93</v>
      </c>
      <c r="AH228" s="68" t="s">
        <v>93</v>
      </c>
      <c r="AI228" s="68" t="s">
        <v>93</v>
      </c>
      <c r="AJ228" s="68" t="s">
        <v>93</v>
      </c>
      <c r="AK228" s="68" t="s">
        <v>93</v>
      </c>
      <c r="AL228" s="68" t="s">
        <v>93</v>
      </c>
      <c r="AM228" s="68" t="s">
        <v>93</v>
      </c>
      <c r="AN228" s="68" t="s">
        <v>93</v>
      </c>
      <c r="AO228" s="68" t="s">
        <v>93</v>
      </c>
      <c r="AP228" s="68" t="s">
        <v>93</v>
      </c>
      <c r="AQ228" s="68" t="s">
        <v>93</v>
      </c>
      <c r="AR228" s="68" t="s">
        <v>93</v>
      </c>
      <c r="AS228" s="68" t="s">
        <v>93</v>
      </c>
      <c r="AT228" s="68" t="s">
        <v>93</v>
      </c>
      <c r="AU228" s="68" t="s">
        <v>93</v>
      </c>
      <c r="AV228" s="68" t="s">
        <v>93</v>
      </c>
      <c r="AW228" s="68" t="s">
        <v>93</v>
      </c>
      <c r="AX228" s="68" t="s">
        <v>93</v>
      </c>
      <c r="AY228" s="68" t="s">
        <v>93</v>
      </c>
      <c r="AZ228" s="68" t="s">
        <v>93</v>
      </c>
      <c r="BA228" s="68" t="s">
        <v>93</v>
      </c>
      <c r="BB228" s="68" t="s">
        <v>93</v>
      </c>
      <c r="BC228" s="68" t="s">
        <v>93</v>
      </c>
      <c r="BD228" s="68" t="s">
        <v>93</v>
      </c>
      <c r="BE228" s="68" t="s">
        <v>93</v>
      </c>
      <c r="BF228" s="68" t="s">
        <v>93</v>
      </c>
      <c r="BG228" s="68" t="s">
        <v>93</v>
      </c>
      <c r="BH228" s="68" t="s">
        <v>93</v>
      </c>
      <c r="BI228" s="68" t="s">
        <v>93</v>
      </c>
      <c r="BJ228" s="68" t="s">
        <v>93</v>
      </c>
      <c r="BK228" s="68" t="s">
        <v>93</v>
      </c>
      <c r="BL228" s="68" t="s">
        <v>93</v>
      </c>
      <c r="BM228" s="68" t="s">
        <v>93</v>
      </c>
      <c r="BN228" s="68" t="s">
        <v>93</v>
      </c>
      <c r="BO228" s="68" t="s">
        <v>93</v>
      </c>
      <c r="BP228" s="69" t="s">
        <v>93</v>
      </c>
    </row>
    <row r="229" spans="2:68" x14ac:dyDescent="0.25">
      <c r="B229" s="64">
        <v>8</v>
      </c>
      <c r="C229" s="65">
        <v>32</v>
      </c>
      <c r="D229" s="65" t="s">
        <v>100</v>
      </c>
      <c r="E229" s="66">
        <f>'[3]Master File'!B228</f>
        <v>46242</v>
      </c>
      <c r="F229" s="67" t="str">
        <f>'[3]Master File'!C228</f>
        <v>Explorer + 6PM</v>
      </c>
      <c r="G229" s="46"/>
      <c r="I229" s="70" t="s">
        <v>93</v>
      </c>
      <c r="J229" s="70" t="s">
        <v>93</v>
      </c>
      <c r="K229" s="70" t="s">
        <v>93</v>
      </c>
      <c r="L229" s="68" t="s">
        <v>94</v>
      </c>
      <c r="M229" s="70" t="s">
        <v>93</v>
      </c>
      <c r="N229" s="70" t="s">
        <v>93</v>
      </c>
      <c r="O229" s="70" t="s">
        <v>93</v>
      </c>
      <c r="P229" s="70" t="s">
        <v>93</v>
      </c>
      <c r="Q229" s="70" t="s">
        <v>93</v>
      </c>
      <c r="R229" s="70" t="s">
        <v>93</v>
      </c>
      <c r="S229" s="70" t="s">
        <v>93</v>
      </c>
      <c r="T229" s="70" t="s">
        <v>93</v>
      </c>
      <c r="U229" s="70" t="s">
        <v>93</v>
      </c>
      <c r="V229" s="70" t="s">
        <v>93</v>
      </c>
      <c r="W229" s="70" t="s">
        <v>93</v>
      </c>
      <c r="X229" s="70" t="s">
        <v>93</v>
      </c>
      <c r="Y229" s="70" t="s">
        <v>93</v>
      </c>
      <c r="Z229" s="68" t="s">
        <v>94</v>
      </c>
      <c r="AA229" s="70" t="s">
        <v>93</v>
      </c>
      <c r="AB229" s="70" t="s">
        <v>93</v>
      </c>
      <c r="AC229" s="70" t="s">
        <v>93</v>
      </c>
      <c r="AD229" s="70" t="s">
        <v>94</v>
      </c>
      <c r="AE229" s="70" t="s">
        <v>94</v>
      </c>
      <c r="AF229" s="70" t="s">
        <v>93</v>
      </c>
      <c r="AG229" s="70" t="s">
        <v>93</v>
      </c>
      <c r="AH229" s="70" t="s">
        <v>93</v>
      </c>
      <c r="AI229" s="70" t="s">
        <v>93</v>
      </c>
      <c r="AJ229" s="70" t="s">
        <v>93</v>
      </c>
      <c r="AK229" s="70" t="s">
        <v>93</v>
      </c>
      <c r="AL229" s="70" t="s">
        <v>93</v>
      </c>
      <c r="AM229" s="70" t="s">
        <v>93</v>
      </c>
      <c r="AN229" s="70" t="s">
        <v>93</v>
      </c>
      <c r="AO229" s="70" t="s">
        <v>93</v>
      </c>
      <c r="AP229" s="70" t="s">
        <v>93</v>
      </c>
      <c r="AQ229" s="70" t="s">
        <v>93</v>
      </c>
      <c r="AR229" s="70" t="s">
        <v>93</v>
      </c>
      <c r="AS229" s="70" t="s">
        <v>93</v>
      </c>
      <c r="AT229" s="70" t="s">
        <v>93</v>
      </c>
      <c r="AU229" s="70" t="s">
        <v>93</v>
      </c>
      <c r="AV229" s="70" t="s">
        <v>93</v>
      </c>
      <c r="AW229" s="70" t="s">
        <v>93</v>
      </c>
      <c r="AX229" s="70" t="s">
        <v>93</v>
      </c>
      <c r="AY229" s="70" t="s">
        <v>93</v>
      </c>
      <c r="AZ229" s="70" t="s">
        <v>93</v>
      </c>
      <c r="BA229" s="70" t="s">
        <v>93</v>
      </c>
      <c r="BB229" s="70" t="s">
        <v>93</v>
      </c>
      <c r="BC229" s="70" t="s">
        <v>93</v>
      </c>
      <c r="BD229" s="70" t="s">
        <v>93</v>
      </c>
      <c r="BE229" s="70" t="s">
        <v>93</v>
      </c>
      <c r="BF229" s="70" t="s">
        <v>93</v>
      </c>
      <c r="BG229" s="70" t="s">
        <v>93</v>
      </c>
      <c r="BH229" s="70" t="s">
        <v>93</v>
      </c>
      <c r="BI229" s="70" t="s">
        <v>93</v>
      </c>
      <c r="BJ229" s="70" t="s">
        <v>93</v>
      </c>
      <c r="BK229" s="70" t="s">
        <v>93</v>
      </c>
      <c r="BL229" s="70" t="s">
        <v>93</v>
      </c>
      <c r="BM229" s="70" t="s">
        <v>93</v>
      </c>
      <c r="BN229" s="70" t="s">
        <v>93</v>
      </c>
      <c r="BO229" s="70" t="s">
        <v>93</v>
      </c>
      <c r="BP229" s="71" t="s">
        <v>93</v>
      </c>
    </row>
    <row r="230" spans="2:68" x14ac:dyDescent="0.25">
      <c r="B230" s="64">
        <v>8</v>
      </c>
      <c r="C230" s="65">
        <v>33</v>
      </c>
      <c r="D230" s="65" t="s">
        <v>92</v>
      </c>
      <c r="E230" s="66">
        <f>'[3]Master File'!B229</f>
        <v>46243</v>
      </c>
      <c r="F230" s="67" t="str">
        <f>'[3]Master File'!C229</f>
        <v>Explorer 6PM</v>
      </c>
      <c r="G230" s="46"/>
      <c r="I230" s="70" t="s">
        <v>93</v>
      </c>
      <c r="J230" s="70" t="s">
        <v>93</v>
      </c>
      <c r="K230" s="70" t="s">
        <v>93</v>
      </c>
      <c r="L230" s="68" t="s">
        <v>94</v>
      </c>
      <c r="M230" s="70" t="s">
        <v>93</v>
      </c>
      <c r="N230" s="70" t="s">
        <v>93</v>
      </c>
      <c r="O230" s="70" t="s">
        <v>93</v>
      </c>
      <c r="P230" s="70" t="s">
        <v>93</v>
      </c>
      <c r="Q230" s="70" t="s">
        <v>93</v>
      </c>
      <c r="R230" s="70" t="s">
        <v>93</v>
      </c>
      <c r="S230" s="70" t="s">
        <v>93</v>
      </c>
      <c r="T230" s="70" t="s">
        <v>93</v>
      </c>
      <c r="U230" s="70" t="s">
        <v>93</v>
      </c>
      <c r="V230" s="70" t="s">
        <v>93</v>
      </c>
      <c r="W230" s="70" t="s">
        <v>93</v>
      </c>
      <c r="X230" s="70" t="s">
        <v>93</v>
      </c>
      <c r="Y230" s="70" t="s">
        <v>93</v>
      </c>
      <c r="Z230" s="68" t="s">
        <v>94</v>
      </c>
      <c r="AA230" s="70" t="s">
        <v>93</v>
      </c>
      <c r="AB230" s="70" t="s">
        <v>93</v>
      </c>
      <c r="AC230" s="70" t="s">
        <v>93</v>
      </c>
      <c r="AD230" s="70" t="s">
        <v>94</v>
      </c>
      <c r="AE230" s="70" t="s">
        <v>94</v>
      </c>
      <c r="AF230" s="70" t="s">
        <v>93</v>
      </c>
      <c r="AG230" s="70" t="s">
        <v>93</v>
      </c>
      <c r="AH230" s="70" t="s">
        <v>93</v>
      </c>
      <c r="AI230" s="70" t="s">
        <v>93</v>
      </c>
      <c r="AJ230" s="70" t="s">
        <v>93</v>
      </c>
      <c r="AK230" s="70" t="s">
        <v>93</v>
      </c>
      <c r="AL230" s="70" t="s">
        <v>93</v>
      </c>
      <c r="AM230" s="70" t="s">
        <v>93</v>
      </c>
      <c r="AN230" s="70" t="s">
        <v>93</v>
      </c>
      <c r="AO230" s="70" t="s">
        <v>93</v>
      </c>
      <c r="AP230" s="70" t="s">
        <v>93</v>
      </c>
      <c r="AQ230" s="70" t="s">
        <v>93</v>
      </c>
      <c r="AR230" s="70" t="s">
        <v>93</v>
      </c>
      <c r="AS230" s="70" t="s">
        <v>93</v>
      </c>
      <c r="AT230" s="70" t="s">
        <v>93</v>
      </c>
      <c r="AU230" s="70" t="s">
        <v>93</v>
      </c>
      <c r="AV230" s="70" t="s">
        <v>93</v>
      </c>
      <c r="AW230" s="70" t="s">
        <v>93</v>
      </c>
      <c r="AX230" s="70" t="s">
        <v>93</v>
      </c>
      <c r="AY230" s="70" t="s">
        <v>93</v>
      </c>
      <c r="AZ230" s="70" t="s">
        <v>93</v>
      </c>
      <c r="BA230" s="70" t="s">
        <v>93</v>
      </c>
      <c r="BB230" s="70" t="s">
        <v>93</v>
      </c>
      <c r="BC230" s="70" t="s">
        <v>93</v>
      </c>
      <c r="BD230" s="70" t="s">
        <v>93</v>
      </c>
      <c r="BE230" s="70" t="s">
        <v>93</v>
      </c>
      <c r="BF230" s="70" t="s">
        <v>93</v>
      </c>
      <c r="BG230" s="70" t="s">
        <v>93</v>
      </c>
      <c r="BH230" s="70" t="s">
        <v>93</v>
      </c>
      <c r="BI230" s="70" t="s">
        <v>93</v>
      </c>
      <c r="BJ230" s="70" t="s">
        <v>93</v>
      </c>
      <c r="BK230" s="70" t="s">
        <v>93</v>
      </c>
      <c r="BL230" s="70" t="s">
        <v>93</v>
      </c>
      <c r="BM230" s="70" t="s">
        <v>93</v>
      </c>
      <c r="BN230" s="70" t="s">
        <v>93</v>
      </c>
      <c r="BO230" s="70" t="s">
        <v>93</v>
      </c>
      <c r="BP230" s="71" t="s">
        <v>93</v>
      </c>
    </row>
    <row r="231" spans="2:68" x14ac:dyDescent="0.25">
      <c r="B231" s="64">
        <v>8</v>
      </c>
      <c r="C231" s="65">
        <v>33</v>
      </c>
      <c r="D231" s="65" t="s">
        <v>95</v>
      </c>
      <c r="E231" s="66">
        <f>'[3]Master File'!B230</f>
        <v>46244</v>
      </c>
      <c r="F231" s="67" t="str">
        <f>'[3]Master File'!C230</f>
        <v>Explorer 6PM</v>
      </c>
      <c r="G231" s="46"/>
      <c r="I231" s="68" t="s">
        <v>93</v>
      </c>
      <c r="J231" s="68" t="s">
        <v>93</v>
      </c>
      <c r="K231" s="68" t="s">
        <v>93</v>
      </c>
      <c r="L231" s="68" t="s">
        <v>94</v>
      </c>
      <c r="M231" s="68" t="s">
        <v>93</v>
      </c>
      <c r="N231" s="68" t="s">
        <v>93</v>
      </c>
      <c r="O231" s="68" t="s">
        <v>93</v>
      </c>
      <c r="P231" s="68" t="s">
        <v>93</v>
      </c>
      <c r="Q231" s="68" t="s">
        <v>93</v>
      </c>
      <c r="R231" s="68" t="s">
        <v>93</v>
      </c>
      <c r="S231" s="68" t="s">
        <v>93</v>
      </c>
      <c r="T231" s="68" t="s">
        <v>93</v>
      </c>
      <c r="U231" s="68" t="s">
        <v>93</v>
      </c>
      <c r="V231" s="68" t="s">
        <v>93</v>
      </c>
      <c r="W231" s="68" t="s">
        <v>93</v>
      </c>
      <c r="X231" s="68" t="s">
        <v>93</v>
      </c>
      <c r="Y231" s="68" t="s">
        <v>93</v>
      </c>
      <c r="Z231" s="68" t="s">
        <v>94</v>
      </c>
      <c r="AA231" s="68" t="s">
        <v>93</v>
      </c>
      <c r="AB231" s="68" t="s">
        <v>93</v>
      </c>
      <c r="AC231" s="68" t="s">
        <v>93</v>
      </c>
      <c r="AD231" s="68" t="s">
        <v>93</v>
      </c>
      <c r="AE231" s="68" t="s">
        <v>93</v>
      </c>
      <c r="AF231" s="68" t="s">
        <v>93</v>
      </c>
      <c r="AG231" s="68" t="s">
        <v>93</v>
      </c>
      <c r="AH231" s="68" t="s">
        <v>93</v>
      </c>
      <c r="AI231" s="68" t="s">
        <v>93</v>
      </c>
      <c r="AJ231" s="68" t="s">
        <v>93</v>
      </c>
      <c r="AK231" s="68" t="s">
        <v>93</v>
      </c>
      <c r="AL231" s="68" t="s">
        <v>93</v>
      </c>
      <c r="AM231" s="68" t="s">
        <v>93</v>
      </c>
      <c r="AN231" s="68" t="s">
        <v>93</v>
      </c>
      <c r="AO231" s="68" t="s">
        <v>93</v>
      </c>
      <c r="AP231" s="68" t="s">
        <v>93</v>
      </c>
      <c r="AQ231" s="68" t="s">
        <v>93</v>
      </c>
      <c r="AR231" s="68" t="s">
        <v>93</v>
      </c>
      <c r="AS231" s="68" t="s">
        <v>93</v>
      </c>
      <c r="AT231" s="68" t="s">
        <v>93</v>
      </c>
      <c r="AU231" s="68" t="s">
        <v>93</v>
      </c>
      <c r="AV231" s="68" t="s">
        <v>93</v>
      </c>
      <c r="AW231" s="68" t="s">
        <v>93</v>
      </c>
      <c r="AX231" s="68" t="s">
        <v>93</v>
      </c>
      <c r="AY231" s="68" t="s">
        <v>93</v>
      </c>
      <c r="AZ231" s="68" t="s">
        <v>93</v>
      </c>
      <c r="BA231" s="68" t="s">
        <v>93</v>
      </c>
      <c r="BB231" s="68" t="s">
        <v>93</v>
      </c>
      <c r="BC231" s="68" t="s">
        <v>93</v>
      </c>
      <c r="BD231" s="68" t="s">
        <v>93</v>
      </c>
      <c r="BE231" s="68" t="s">
        <v>93</v>
      </c>
      <c r="BF231" s="68" t="s">
        <v>93</v>
      </c>
      <c r="BG231" s="68" t="s">
        <v>93</v>
      </c>
      <c r="BH231" s="68" t="s">
        <v>93</v>
      </c>
      <c r="BI231" s="68" t="s">
        <v>93</v>
      </c>
      <c r="BJ231" s="68" t="s">
        <v>93</v>
      </c>
      <c r="BK231" s="68" t="s">
        <v>93</v>
      </c>
      <c r="BL231" s="68" t="s">
        <v>93</v>
      </c>
      <c r="BM231" s="68" t="s">
        <v>93</v>
      </c>
      <c r="BN231" s="68" t="s">
        <v>93</v>
      </c>
      <c r="BO231" s="68" t="s">
        <v>93</v>
      </c>
      <c r="BP231" s="69" t="s">
        <v>93</v>
      </c>
    </row>
    <row r="232" spans="2:68" x14ac:dyDescent="0.25">
      <c r="B232" s="64">
        <v>8</v>
      </c>
      <c r="C232" s="65">
        <v>33</v>
      </c>
      <c r="D232" s="65" t="s">
        <v>96</v>
      </c>
      <c r="E232" s="66">
        <f>'[3]Master File'!B231</f>
        <v>46245</v>
      </c>
      <c r="F232" s="67" t="str">
        <f>'[3]Master File'!C231</f>
        <v>Explorer + 6PM</v>
      </c>
      <c r="G232" s="46"/>
      <c r="I232" s="68" t="s">
        <v>93</v>
      </c>
      <c r="J232" s="68" t="s">
        <v>93</v>
      </c>
      <c r="K232" s="68" t="s">
        <v>93</v>
      </c>
      <c r="L232" s="68" t="s">
        <v>94</v>
      </c>
      <c r="M232" s="68" t="s">
        <v>93</v>
      </c>
      <c r="N232" s="68" t="s">
        <v>93</v>
      </c>
      <c r="O232" s="68" t="s">
        <v>93</v>
      </c>
      <c r="P232" s="68" t="s">
        <v>93</v>
      </c>
      <c r="Q232" s="68" t="s">
        <v>93</v>
      </c>
      <c r="R232" s="68" t="s">
        <v>93</v>
      </c>
      <c r="S232" s="68" t="s">
        <v>93</v>
      </c>
      <c r="T232" s="68" t="s">
        <v>93</v>
      </c>
      <c r="U232" s="68" t="s">
        <v>93</v>
      </c>
      <c r="V232" s="68" t="s">
        <v>93</v>
      </c>
      <c r="W232" s="68" t="s">
        <v>93</v>
      </c>
      <c r="X232" s="68" t="s">
        <v>93</v>
      </c>
      <c r="Y232" s="68" t="s">
        <v>93</v>
      </c>
      <c r="Z232" s="68" t="s">
        <v>94</v>
      </c>
      <c r="AA232" s="68" t="s">
        <v>93</v>
      </c>
      <c r="AB232" s="68" t="s">
        <v>93</v>
      </c>
      <c r="AC232" s="68" t="s">
        <v>93</v>
      </c>
      <c r="AD232" s="68" t="s">
        <v>93</v>
      </c>
      <c r="AE232" s="68" t="s">
        <v>93</v>
      </c>
      <c r="AF232" s="68" t="s">
        <v>93</v>
      </c>
      <c r="AG232" s="68" t="s">
        <v>93</v>
      </c>
      <c r="AH232" s="68" t="s">
        <v>93</v>
      </c>
      <c r="AI232" s="68" t="s">
        <v>93</v>
      </c>
      <c r="AJ232" s="68" t="s">
        <v>93</v>
      </c>
      <c r="AK232" s="68" t="s">
        <v>93</v>
      </c>
      <c r="AL232" s="68" t="s">
        <v>93</v>
      </c>
      <c r="AM232" s="68" t="s">
        <v>93</v>
      </c>
      <c r="AN232" s="68" t="s">
        <v>93</v>
      </c>
      <c r="AO232" s="68" t="s">
        <v>93</v>
      </c>
      <c r="AP232" s="68" t="s">
        <v>93</v>
      </c>
      <c r="AQ232" s="68" t="s">
        <v>93</v>
      </c>
      <c r="AR232" s="68" t="s">
        <v>93</v>
      </c>
      <c r="AS232" s="68" t="s">
        <v>93</v>
      </c>
      <c r="AT232" s="68" t="s">
        <v>93</v>
      </c>
      <c r="AU232" s="68" t="s">
        <v>93</v>
      </c>
      <c r="AV232" s="68" t="s">
        <v>93</v>
      </c>
      <c r="AW232" s="68" t="s">
        <v>93</v>
      </c>
      <c r="AX232" s="68" t="s">
        <v>93</v>
      </c>
      <c r="AY232" s="68" t="s">
        <v>93</v>
      </c>
      <c r="AZ232" s="68" t="s">
        <v>93</v>
      </c>
      <c r="BA232" s="68" t="s">
        <v>93</v>
      </c>
      <c r="BB232" s="68" t="s">
        <v>93</v>
      </c>
      <c r="BC232" s="68" t="s">
        <v>93</v>
      </c>
      <c r="BD232" s="68" t="s">
        <v>93</v>
      </c>
      <c r="BE232" s="68" t="s">
        <v>93</v>
      </c>
      <c r="BF232" s="68" t="s">
        <v>93</v>
      </c>
      <c r="BG232" s="68" t="s">
        <v>93</v>
      </c>
      <c r="BH232" s="68" t="s">
        <v>93</v>
      </c>
      <c r="BI232" s="68" t="s">
        <v>93</v>
      </c>
      <c r="BJ232" s="68" t="s">
        <v>93</v>
      </c>
      <c r="BK232" s="68" t="s">
        <v>93</v>
      </c>
      <c r="BL232" s="68" t="s">
        <v>93</v>
      </c>
      <c r="BM232" s="68" t="s">
        <v>93</v>
      </c>
      <c r="BN232" s="68" t="s">
        <v>93</v>
      </c>
      <c r="BO232" s="68" t="s">
        <v>93</v>
      </c>
      <c r="BP232" s="69" t="s">
        <v>93</v>
      </c>
    </row>
    <row r="233" spans="2:68" x14ac:dyDescent="0.25">
      <c r="B233" s="64">
        <v>8</v>
      </c>
      <c r="C233" s="65">
        <v>33</v>
      </c>
      <c r="D233" s="65" t="s">
        <v>97</v>
      </c>
      <c r="E233" s="66">
        <f>'[3]Master File'!B232</f>
        <v>46246</v>
      </c>
      <c r="F233" s="67" t="str">
        <f>'[3]Master File'!C232</f>
        <v>Explorer + 6PM</v>
      </c>
      <c r="G233" s="46"/>
      <c r="I233" s="68" t="s">
        <v>93</v>
      </c>
      <c r="J233" s="68" t="s">
        <v>93</v>
      </c>
      <c r="K233" s="68" t="s">
        <v>93</v>
      </c>
      <c r="L233" s="68" t="s">
        <v>94</v>
      </c>
      <c r="M233" s="68" t="s">
        <v>93</v>
      </c>
      <c r="N233" s="68" t="s">
        <v>93</v>
      </c>
      <c r="O233" s="68" t="s">
        <v>93</v>
      </c>
      <c r="P233" s="68" t="s">
        <v>93</v>
      </c>
      <c r="Q233" s="68" t="s">
        <v>93</v>
      </c>
      <c r="R233" s="68" t="s">
        <v>93</v>
      </c>
      <c r="S233" s="68" t="s">
        <v>93</v>
      </c>
      <c r="T233" s="68" t="s">
        <v>93</v>
      </c>
      <c r="U233" s="68" t="s">
        <v>93</v>
      </c>
      <c r="V233" s="68" t="s">
        <v>93</v>
      </c>
      <c r="W233" s="68" t="s">
        <v>93</v>
      </c>
      <c r="X233" s="68" t="s">
        <v>93</v>
      </c>
      <c r="Y233" s="68" t="s">
        <v>93</v>
      </c>
      <c r="Z233" s="68" t="s">
        <v>94</v>
      </c>
      <c r="AA233" s="68" t="s">
        <v>93</v>
      </c>
      <c r="AB233" s="68" t="s">
        <v>93</v>
      </c>
      <c r="AC233" s="68" t="s">
        <v>93</v>
      </c>
      <c r="AD233" s="68" t="s">
        <v>93</v>
      </c>
      <c r="AE233" s="68" t="s">
        <v>93</v>
      </c>
      <c r="AF233" s="68" t="s">
        <v>93</v>
      </c>
      <c r="AG233" s="68" t="s">
        <v>93</v>
      </c>
      <c r="AH233" s="68" t="s">
        <v>93</v>
      </c>
      <c r="AI233" s="68" t="s">
        <v>93</v>
      </c>
      <c r="AJ233" s="68" t="s">
        <v>93</v>
      </c>
      <c r="AK233" s="68" t="s">
        <v>93</v>
      </c>
      <c r="AL233" s="68" t="s">
        <v>93</v>
      </c>
      <c r="AM233" s="68" t="s">
        <v>93</v>
      </c>
      <c r="AN233" s="68" t="s">
        <v>93</v>
      </c>
      <c r="AO233" s="68" t="s">
        <v>93</v>
      </c>
      <c r="AP233" s="68" t="s">
        <v>93</v>
      </c>
      <c r="AQ233" s="68" t="s">
        <v>93</v>
      </c>
      <c r="AR233" s="68" t="s">
        <v>93</v>
      </c>
      <c r="AS233" s="68" t="s">
        <v>93</v>
      </c>
      <c r="AT233" s="68" t="s">
        <v>93</v>
      </c>
      <c r="AU233" s="68" t="s">
        <v>93</v>
      </c>
      <c r="AV233" s="68" t="s">
        <v>93</v>
      </c>
      <c r="AW233" s="68" t="s">
        <v>93</v>
      </c>
      <c r="AX233" s="68" t="s">
        <v>93</v>
      </c>
      <c r="AY233" s="68" t="s">
        <v>93</v>
      </c>
      <c r="AZ233" s="68" t="s">
        <v>93</v>
      </c>
      <c r="BA233" s="68" t="s">
        <v>93</v>
      </c>
      <c r="BB233" s="68" t="s">
        <v>93</v>
      </c>
      <c r="BC233" s="68" t="s">
        <v>93</v>
      </c>
      <c r="BD233" s="68" t="s">
        <v>93</v>
      </c>
      <c r="BE233" s="68" t="s">
        <v>93</v>
      </c>
      <c r="BF233" s="68" t="s">
        <v>93</v>
      </c>
      <c r="BG233" s="68" t="s">
        <v>93</v>
      </c>
      <c r="BH233" s="68" t="s">
        <v>93</v>
      </c>
      <c r="BI233" s="68" t="s">
        <v>93</v>
      </c>
      <c r="BJ233" s="68" t="s">
        <v>93</v>
      </c>
      <c r="BK233" s="68" t="s">
        <v>93</v>
      </c>
      <c r="BL233" s="68" t="s">
        <v>93</v>
      </c>
      <c r="BM233" s="68" t="s">
        <v>93</v>
      </c>
      <c r="BN233" s="68" t="s">
        <v>93</v>
      </c>
      <c r="BO233" s="68" t="s">
        <v>93</v>
      </c>
      <c r="BP233" s="69" t="s">
        <v>93</v>
      </c>
    </row>
    <row r="234" spans="2:68" x14ac:dyDescent="0.25">
      <c r="B234" s="64">
        <v>8</v>
      </c>
      <c r="C234" s="65">
        <v>33</v>
      </c>
      <c r="D234" s="65" t="s">
        <v>98</v>
      </c>
      <c r="E234" s="66">
        <f>'[3]Master File'!B233</f>
        <v>46247</v>
      </c>
      <c r="F234" s="67" t="str">
        <f>'[3]Master File'!C233</f>
        <v>Explorer + 6PM</v>
      </c>
      <c r="G234" s="46"/>
      <c r="I234" s="68" t="s">
        <v>93</v>
      </c>
      <c r="J234" s="68" t="s">
        <v>93</v>
      </c>
      <c r="K234" s="68" t="s">
        <v>93</v>
      </c>
      <c r="L234" s="68" t="s">
        <v>94</v>
      </c>
      <c r="M234" s="68" t="s">
        <v>93</v>
      </c>
      <c r="N234" s="68" t="s">
        <v>93</v>
      </c>
      <c r="O234" s="68" t="s">
        <v>93</v>
      </c>
      <c r="P234" s="68" t="s">
        <v>93</v>
      </c>
      <c r="Q234" s="68" t="s">
        <v>93</v>
      </c>
      <c r="R234" s="68" t="s">
        <v>93</v>
      </c>
      <c r="S234" s="68" t="s">
        <v>93</v>
      </c>
      <c r="T234" s="68" t="s">
        <v>93</v>
      </c>
      <c r="U234" s="68" t="s">
        <v>93</v>
      </c>
      <c r="V234" s="68" t="s">
        <v>93</v>
      </c>
      <c r="W234" s="68" t="s">
        <v>93</v>
      </c>
      <c r="X234" s="68" t="s">
        <v>93</v>
      </c>
      <c r="Y234" s="68" t="s">
        <v>93</v>
      </c>
      <c r="Z234" s="68" t="s">
        <v>94</v>
      </c>
      <c r="AA234" s="68" t="s">
        <v>93</v>
      </c>
      <c r="AB234" s="68" t="s">
        <v>93</v>
      </c>
      <c r="AC234" s="68" t="s">
        <v>93</v>
      </c>
      <c r="AD234" s="68" t="s">
        <v>93</v>
      </c>
      <c r="AE234" s="68" t="s">
        <v>93</v>
      </c>
      <c r="AF234" s="68" t="s">
        <v>93</v>
      </c>
      <c r="AG234" s="68" t="s">
        <v>93</v>
      </c>
      <c r="AH234" s="68" t="s">
        <v>93</v>
      </c>
      <c r="AI234" s="68" t="s">
        <v>93</v>
      </c>
      <c r="AJ234" s="68" t="s">
        <v>93</v>
      </c>
      <c r="AK234" s="68" t="s">
        <v>93</v>
      </c>
      <c r="AL234" s="68" t="s">
        <v>93</v>
      </c>
      <c r="AM234" s="68" t="s">
        <v>93</v>
      </c>
      <c r="AN234" s="68" t="s">
        <v>93</v>
      </c>
      <c r="AO234" s="68" t="s">
        <v>93</v>
      </c>
      <c r="AP234" s="68" t="s">
        <v>93</v>
      </c>
      <c r="AQ234" s="68" t="s">
        <v>93</v>
      </c>
      <c r="AR234" s="68" t="s">
        <v>93</v>
      </c>
      <c r="AS234" s="68" t="s">
        <v>93</v>
      </c>
      <c r="AT234" s="68" t="s">
        <v>93</v>
      </c>
      <c r="AU234" s="68" t="s">
        <v>93</v>
      </c>
      <c r="AV234" s="68" t="s">
        <v>93</v>
      </c>
      <c r="AW234" s="68" t="s">
        <v>93</v>
      </c>
      <c r="AX234" s="68" t="s">
        <v>93</v>
      </c>
      <c r="AY234" s="68" t="s">
        <v>93</v>
      </c>
      <c r="AZ234" s="68" t="s">
        <v>93</v>
      </c>
      <c r="BA234" s="68" t="s">
        <v>93</v>
      </c>
      <c r="BB234" s="68" t="s">
        <v>93</v>
      </c>
      <c r="BC234" s="68" t="s">
        <v>93</v>
      </c>
      <c r="BD234" s="68" t="s">
        <v>93</v>
      </c>
      <c r="BE234" s="68" t="s">
        <v>93</v>
      </c>
      <c r="BF234" s="68" t="s">
        <v>93</v>
      </c>
      <c r="BG234" s="68" t="s">
        <v>93</v>
      </c>
      <c r="BH234" s="68" t="s">
        <v>93</v>
      </c>
      <c r="BI234" s="68" t="s">
        <v>93</v>
      </c>
      <c r="BJ234" s="68" t="s">
        <v>93</v>
      </c>
      <c r="BK234" s="68" t="s">
        <v>93</v>
      </c>
      <c r="BL234" s="68" t="s">
        <v>93</v>
      </c>
      <c r="BM234" s="68" t="s">
        <v>93</v>
      </c>
      <c r="BN234" s="68" t="s">
        <v>93</v>
      </c>
      <c r="BO234" s="68" t="s">
        <v>93</v>
      </c>
      <c r="BP234" s="69" t="s">
        <v>93</v>
      </c>
    </row>
    <row r="235" spans="2:68" x14ac:dyDescent="0.25">
      <c r="B235" s="64">
        <v>8</v>
      </c>
      <c r="C235" s="65">
        <v>33</v>
      </c>
      <c r="D235" s="65" t="s">
        <v>99</v>
      </c>
      <c r="E235" s="66">
        <f>'[3]Master File'!B234</f>
        <v>46248</v>
      </c>
      <c r="F235" s="67" t="str">
        <f>'[3]Master File'!C234</f>
        <v>Explorer + 6PM</v>
      </c>
      <c r="G235" s="46"/>
      <c r="I235" s="68" t="s">
        <v>93</v>
      </c>
      <c r="J235" s="68" t="s">
        <v>93</v>
      </c>
      <c r="K235" s="68" t="s">
        <v>93</v>
      </c>
      <c r="L235" s="68" t="s">
        <v>94</v>
      </c>
      <c r="M235" s="68" t="s">
        <v>93</v>
      </c>
      <c r="N235" s="68" t="s">
        <v>93</v>
      </c>
      <c r="O235" s="68" t="s">
        <v>93</v>
      </c>
      <c r="P235" s="68" t="s">
        <v>93</v>
      </c>
      <c r="Q235" s="68" t="s">
        <v>93</v>
      </c>
      <c r="R235" s="68" t="s">
        <v>93</v>
      </c>
      <c r="S235" s="68" t="s">
        <v>93</v>
      </c>
      <c r="T235" s="68" t="s">
        <v>93</v>
      </c>
      <c r="U235" s="68" t="s">
        <v>93</v>
      </c>
      <c r="V235" s="68" t="s">
        <v>93</v>
      </c>
      <c r="W235" s="68" t="s">
        <v>93</v>
      </c>
      <c r="X235" s="68" t="s">
        <v>93</v>
      </c>
      <c r="Y235" s="68" t="s">
        <v>93</v>
      </c>
      <c r="Z235" s="68" t="s">
        <v>94</v>
      </c>
      <c r="AA235" s="68" t="s">
        <v>93</v>
      </c>
      <c r="AB235" s="68" t="s">
        <v>93</v>
      </c>
      <c r="AC235" s="68" t="s">
        <v>93</v>
      </c>
      <c r="AD235" s="68" t="s">
        <v>93</v>
      </c>
      <c r="AE235" s="68" t="s">
        <v>93</v>
      </c>
      <c r="AF235" s="68" t="s">
        <v>93</v>
      </c>
      <c r="AG235" s="68" t="s">
        <v>93</v>
      </c>
      <c r="AH235" s="68" t="s">
        <v>93</v>
      </c>
      <c r="AI235" s="68" t="s">
        <v>93</v>
      </c>
      <c r="AJ235" s="68" t="s">
        <v>93</v>
      </c>
      <c r="AK235" s="68" t="s">
        <v>93</v>
      </c>
      <c r="AL235" s="68" t="s">
        <v>93</v>
      </c>
      <c r="AM235" s="68" t="s">
        <v>93</v>
      </c>
      <c r="AN235" s="68" t="s">
        <v>93</v>
      </c>
      <c r="AO235" s="68" t="s">
        <v>93</v>
      </c>
      <c r="AP235" s="68" t="s">
        <v>93</v>
      </c>
      <c r="AQ235" s="68" t="s">
        <v>93</v>
      </c>
      <c r="AR235" s="68" t="s">
        <v>93</v>
      </c>
      <c r="AS235" s="68" t="s">
        <v>93</v>
      </c>
      <c r="AT235" s="68" t="s">
        <v>93</v>
      </c>
      <c r="AU235" s="68" t="s">
        <v>93</v>
      </c>
      <c r="AV235" s="68" t="s">
        <v>93</v>
      </c>
      <c r="AW235" s="68" t="s">
        <v>93</v>
      </c>
      <c r="AX235" s="68" t="s">
        <v>93</v>
      </c>
      <c r="AY235" s="68" t="s">
        <v>93</v>
      </c>
      <c r="AZ235" s="68" t="s">
        <v>93</v>
      </c>
      <c r="BA235" s="68" t="s">
        <v>93</v>
      </c>
      <c r="BB235" s="68" t="s">
        <v>93</v>
      </c>
      <c r="BC235" s="68" t="s">
        <v>93</v>
      </c>
      <c r="BD235" s="68" t="s">
        <v>93</v>
      </c>
      <c r="BE235" s="68" t="s">
        <v>93</v>
      </c>
      <c r="BF235" s="68" t="s">
        <v>93</v>
      </c>
      <c r="BG235" s="68" t="s">
        <v>93</v>
      </c>
      <c r="BH235" s="68" t="s">
        <v>93</v>
      </c>
      <c r="BI235" s="68" t="s">
        <v>93</v>
      </c>
      <c r="BJ235" s="68" t="s">
        <v>93</v>
      </c>
      <c r="BK235" s="68" t="s">
        <v>93</v>
      </c>
      <c r="BL235" s="68" t="s">
        <v>93</v>
      </c>
      <c r="BM235" s="68" t="s">
        <v>93</v>
      </c>
      <c r="BN235" s="68" t="s">
        <v>93</v>
      </c>
      <c r="BO235" s="68" t="s">
        <v>93</v>
      </c>
      <c r="BP235" s="69" t="s">
        <v>93</v>
      </c>
    </row>
    <row r="236" spans="2:68" x14ac:dyDescent="0.25">
      <c r="B236" s="64">
        <v>8</v>
      </c>
      <c r="C236" s="65">
        <v>33</v>
      </c>
      <c r="D236" s="65" t="s">
        <v>100</v>
      </c>
      <c r="E236" s="66">
        <f>'[3]Master File'!B235</f>
        <v>46249</v>
      </c>
      <c r="F236" s="67" t="str">
        <f>'[3]Master File'!C235</f>
        <v>Explorer + 6PM</v>
      </c>
      <c r="G236" s="46"/>
      <c r="I236" s="70" t="s">
        <v>93</v>
      </c>
      <c r="J236" s="70" t="s">
        <v>93</v>
      </c>
      <c r="K236" s="70" t="s">
        <v>93</v>
      </c>
      <c r="L236" s="68" t="s">
        <v>94</v>
      </c>
      <c r="M236" s="70" t="s">
        <v>93</v>
      </c>
      <c r="N236" s="70" t="s">
        <v>93</v>
      </c>
      <c r="O236" s="70" t="s">
        <v>93</v>
      </c>
      <c r="P236" s="70" t="s">
        <v>93</v>
      </c>
      <c r="Q236" s="70" t="s">
        <v>93</v>
      </c>
      <c r="R236" s="70" t="s">
        <v>93</v>
      </c>
      <c r="S236" s="70" t="s">
        <v>93</v>
      </c>
      <c r="T236" s="70" t="s">
        <v>93</v>
      </c>
      <c r="U236" s="70" t="s">
        <v>93</v>
      </c>
      <c r="V236" s="70" t="s">
        <v>93</v>
      </c>
      <c r="W236" s="70" t="s">
        <v>93</v>
      </c>
      <c r="X236" s="70" t="s">
        <v>93</v>
      </c>
      <c r="Y236" s="70" t="s">
        <v>93</v>
      </c>
      <c r="Z236" s="68" t="s">
        <v>94</v>
      </c>
      <c r="AA236" s="70" t="s">
        <v>93</v>
      </c>
      <c r="AB236" s="70" t="s">
        <v>93</v>
      </c>
      <c r="AC236" s="70" t="s">
        <v>93</v>
      </c>
      <c r="AD236" s="70" t="s">
        <v>94</v>
      </c>
      <c r="AE236" s="70" t="s">
        <v>94</v>
      </c>
      <c r="AF236" s="70" t="s">
        <v>93</v>
      </c>
      <c r="AG236" s="70" t="s">
        <v>93</v>
      </c>
      <c r="AH236" s="70" t="s">
        <v>93</v>
      </c>
      <c r="AI236" s="70" t="s">
        <v>93</v>
      </c>
      <c r="AJ236" s="70" t="s">
        <v>93</v>
      </c>
      <c r="AK236" s="70" t="s">
        <v>93</v>
      </c>
      <c r="AL236" s="70" t="s">
        <v>93</v>
      </c>
      <c r="AM236" s="70" t="s">
        <v>93</v>
      </c>
      <c r="AN236" s="70" t="s">
        <v>93</v>
      </c>
      <c r="AO236" s="70" t="s">
        <v>93</v>
      </c>
      <c r="AP236" s="70" t="s">
        <v>93</v>
      </c>
      <c r="AQ236" s="70" t="s">
        <v>93</v>
      </c>
      <c r="AR236" s="70" t="s">
        <v>93</v>
      </c>
      <c r="AS236" s="70" t="s">
        <v>93</v>
      </c>
      <c r="AT236" s="70" t="s">
        <v>93</v>
      </c>
      <c r="AU236" s="70" t="s">
        <v>93</v>
      </c>
      <c r="AV236" s="70" t="s">
        <v>93</v>
      </c>
      <c r="AW236" s="70" t="s">
        <v>93</v>
      </c>
      <c r="AX236" s="70" t="s">
        <v>93</v>
      </c>
      <c r="AY236" s="70" t="s">
        <v>93</v>
      </c>
      <c r="AZ236" s="70" t="s">
        <v>93</v>
      </c>
      <c r="BA236" s="70" t="s">
        <v>93</v>
      </c>
      <c r="BB236" s="70" t="s">
        <v>93</v>
      </c>
      <c r="BC236" s="70" t="s">
        <v>93</v>
      </c>
      <c r="BD236" s="70" t="s">
        <v>93</v>
      </c>
      <c r="BE236" s="70" t="s">
        <v>93</v>
      </c>
      <c r="BF236" s="70" t="s">
        <v>93</v>
      </c>
      <c r="BG236" s="70" t="s">
        <v>93</v>
      </c>
      <c r="BH236" s="70" t="s">
        <v>93</v>
      </c>
      <c r="BI236" s="70" t="s">
        <v>93</v>
      </c>
      <c r="BJ236" s="70" t="s">
        <v>93</v>
      </c>
      <c r="BK236" s="70" t="s">
        <v>93</v>
      </c>
      <c r="BL236" s="70" t="s">
        <v>93</v>
      </c>
      <c r="BM236" s="70" t="s">
        <v>93</v>
      </c>
      <c r="BN236" s="70" t="s">
        <v>93</v>
      </c>
      <c r="BO236" s="70" t="s">
        <v>93</v>
      </c>
      <c r="BP236" s="71" t="s">
        <v>93</v>
      </c>
    </row>
    <row r="237" spans="2:68" x14ac:dyDescent="0.25">
      <c r="B237" s="64">
        <v>8</v>
      </c>
      <c r="C237" s="65">
        <v>34</v>
      </c>
      <c r="D237" s="65" t="s">
        <v>92</v>
      </c>
      <c r="E237" s="66">
        <f>'[3]Master File'!B236</f>
        <v>46250</v>
      </c>
      <c r="F237" s="67" t="str">
        <f>'[3]Master File'!C236</f>
        <v>Explorer + 6PM</v>
      </c>
      <c r="G237" s="46"/>
      <c r="I237" s="70" t="s">
        <v>93</v>
      </c>
      <c r="J237" s="70" t="s">
        <v>93</v>
      </c>
      <c r="K237" s="70" t="s">
        <v>93</v>
      </c>
      <c r="L237" s="68" t="s">
        <v>94</v>
      </c>
      <c r="M237" s="70" t="s">
        <v>93</v>
      </c>
      <c r="N237" s="70" t="s">
        <v>93</v>
      </c>
      <c r="O237" s="70" t="s">
        <v>93</v>
      </c>
      <c r="P237" s="70" t="s">
        <v>93</v>
      </c>
      <c r="Q237" s="70" t="s">
        <v>93</v>
      </c>
      <c r="R237" s="70" t="s">
        <v>93</v>
      </c>
      <c r="S237" s="70" t="s">
        <v>93</v>
      </c>
      <c r="T237" s="70" t="s">
        <v>93</v>
      </c>
      <c r="U237" s="70" t="s">
        <v>93</v>
      </c>
      <c r="V237" s="70" t="s">
        <v>93</v>
      </c>
      <c r="W237" s="70" t="s">
        <v>93</v>
      </c>
      <c r="X237" s="70" t="s">
        <v>93</v>
      </c>
      <c r="Y237" s="70" t="s">
        <v>93</v>
      </c>
      <c r="Z237" s="68" t="s">
        <v>94</v>
      </c>
      <c r="AA237" s="70" t="s">
        <v>93</v>
      </c>
      <c r="AB237" s="70" t="s">
        <v>93</v>
      </c>
      <c r="AC237" s="70" t="s">
        <v>93</v>
      </c>
      <c r="AD237" s="70" t="s">
        <v>94</v>
      </c>
      <c r="AE237" s="70" t="s">
        <v>94</v>
      </c>
      <c r="AF237" s="70" t="s">
        <v>93</v>
      </c>
      <c r="AG237" s="70" t="s">
        <v>93</v>
      </c>
      <c r="AH237" s="70" t="s">
        <v>93</v>
      </c>
      <c r="AI237" s="70" t="s">
        <v>93</v>
      </c>
      <c r="AJ237" s="70" t="s">
        <v>93</v>
      </c>
      <c r="AK237" s="70" t="s">
        <v>93</v>
      </c>
      <c r="AL237" s="70" t="s">
        <v>93</v>
      </c>
      <c r="AM237" s="70" t="s">
        <v>93</v>
      </c>
      <c r="AN237" s="70" t="s">
        <v>93</v>
      </c>
      <c r="AO237" s="70" t="s">
        <v>93</v>
      </c>
      <c r="AP237" s="70" t="s">
        <v>93</v>
      </c>
      <c r="AQ237" s="70" t="s">
        <v>93</v>
      </c>
      <c r="AR237" s="70" t="s">
        <v>93</v>
      </c>
      <c r="AS237" s="70" t="s">
        <v>93</v>
      </c>
      <c r="AT237" s="70" t="s">
        <v>93</v>
      </c>
      <c r="AU237" s="70" t="s">
        <v>93</v>
      </c>
      <c r="AV237" s="70" t="s">
        <v>93</v>
      </c>
      <c r="AW237" s="70" t="s">
        <v>93</v>
      </c>
      <c r="AX237" s="70" t="s">
        <v>93</v>
      </c>
      <c r="AY237" s="70" t="s">
        <v>93</v>
      </c>
      <c r="AZ237" s="70" t="s">
        <v>93</v>
      </c>
      <c r="BA237" s="70" t="s">
        <v>93</v>
      </c>
      <c r="BB237" s="70" t="s">
        <v>93</v>
      </c>
      <c r="BC237" s="70" t="s">
        <v>93</v>
      </c>
      <c r="BD237" s="70" t="s">
        <v>93</v>
      </c>
      <c r="BE237" s="70" t="s">
        <v>93</v>
      </c>
      <c r="BF237" s="70" t="s">
        <v>93</v>
      </c>
      <c r="BG237" s="70" t="s">
        <v>93</v>
      </c>
      <c r="BH237" s="70" t="s">
        <v>93</v>
      </c>
      <c r="BI237" s="70" t="s">
        <v>93</v>
      </c>
      <c r="BJ237" s="70" t="s">
        <v>93</v>
      </c>
      <c r="BK237" s="70" t="s">
        <v>93</v>
      </c>
      <c r="BL237" s="70" t="s">
        <v>93</v>
      </c>
      <c r="BM237" s="70" t="s">
        <v>93</v>
      </c>
      <c r="BN237" s="70" t="s">
        <v>93</v>
      </c>
      <c r="BO237" s="70" t="s">
        <v>93</v>
      </c>
      <c r="BP237" s="71" t="s">
        <v>93</v>
      </c>
    </row>
    <row r="238" spans="2:68" x14ac:dyDescent="0.25">
      <c r="B238" s="64">
        <v>8</v>
      </c>
      <c r="C238" s="65">
        <v>34</v>
      </c>
      <c r="D238" s="65" t="s">
        <v>95</v>
      </c>
      <c r="E238" s="66">
        <f>'[3]Master File'!B237</f>
        <v>46251</v>
      </c>
      <c r="F238" s="67" t="str">
        <f>'[3]Master File'!C237</f>
        <v>Explorer + 6PM</v>
      </c>
      <c r="G238" s="46"/>
      <c r="I238" s="72" t="s">
        <v>93</v>
      </c>
      <c r="J238" s="72" t="s">
        <v>93</v>
      </c>
      <c r="K238" s="72" t="s">
        <v>93</v>
      </c>
      <c r="L238" s="68" t="s">
        <v>94</v>
      </c>
      <c r="M238" s="72" t="s">
        <v>93</v>
      </c>
      <c r="N238" s="72" t="s">
        <v>93</v>
      </c>
      <c r="O238" s="72" t="s">
        <v>93</v>
      </c>
      <c r="P238" s="72" t="s">
        <v>93</v>
      </c>
      <c r="Q238" s="72" t="s">
        <v>93</v>
      </c>
      <c r="R238" s="72" t="s">
        <v>93</v>
      </c>
      <c r="S238" s="72" t="s">
        <v>93</v>
      </c>
      <c r="T238" s="72" t="s">
        <v>93</v>
      </c>
      <c r="U238" s="72" t="s">
        <v>93</v>
      </c>
      <c r="V238" s="72" t="s">
        <v>93</v>
      </c>
      <c r="W238" s="72" t="s">
        <v>93</v>
      </c>
      <c r="X238" s="72" t="s">
        <v>93</v>
      </c>
      <c r="Y238" s="72" t="s">
        <v>93</v>
      </c>
      <c r="Z238" s="68" t="s">
        <v>94</v>
      </c>
      <c r="AA238" s="72" t="s">
        <v>93</v>
      </c>
      <c r="AB238" s="72" t="s">
        <v>93</v>
      </c>
      <c r="AC238" s="72" t="s">
        <v>93</v>
      </c>
      <c r="AD238" s="72" t="s">
        <v>93</v>
      </c>
      <c r="AE238" s="72" t="s">
        <v>93</v>
      </c>
      <c r="AF238" s="72" t="s">
        <v>93</v>
      </c>
      <c r="AG238" s="72" t="s">
        <v>93</v>
      </c>
      <c r="AH238" s="72" t="s">
        <v>93</v>
      </c>
      <c r="AI238" s="72" t="s">
        <v>93</v>
      </c>
      <c r="AJ238" s="72" t="s">
        <v>93</v>
      </c>
      <c r="AK238" s="72" t="s">
        <v>93</v>
      </c>
      <c r="AL238" s="72" t="s">
        <v>93</v>
      </c>
      <c r="AM238" s="72" t="s">
        <v>93</v>
      </c>
      <c r="AN238" s="72" t="s">
        <v>93</v>
      </c>
      <c r="AO238" s="72" t="s">
        <v>93</v>
      </c>
      <c r="AP238" s="72" t="s">
        <v>93</v>
      </c>
      <c r="AQ238" s="72" t="s">
        <v>93</v>
      </c>
      <c r="AR238" s="72" t="s">
        <v>93</v>
      </c>
      <c r="AS238" s="72" t="s">
        <v>93</v>
      </c>
      <c r="AT238" s="72" t="s">
        <v>93</v>
      </c>
      <c r="AU238" s="72" t="s">
        <v>93</v>
      </c>
      <c r="AV238" s="72" t="s">
        <v>93</v>
      </c>
      <c r="AW238" s="72" t="s">
        <v>93</v>
      </c>
      <c r="AX238" s="72" t="s">
        <v>93</v>
      </c>
      <c r="AY238" s="72" t="s">
        <v>93</v>
      </c>
      <c r="AZ238" s="72" t="s">
        <v>93</v>
      </c>
      <c r="BA238" s="72" t="s">
        <v>93</v>
      </c>
      <c r="BB238" s="72" t="s">
        <v>93</v>
      </c>
      <c r="BC238" s="72" t="s">
        <v>93</v>
      </c>
      <c r="BD238" s="72" t="s">
        <v>93</v>
      </c>
      <c r="BE238" s="72" t="s">
        <v>93</v>
      </c>
      <c r="BF238" s="72" t="s">
        <v>93</v>
      </c>
      <c r="BG238" s="72" t="s">
        <v>93</v>
      </c>
      <c r="BH238" s="72" t="s">
        <v>93</v>
      </c>
      <c r="BI238" s="72" t="s">
        <v>93</v>
      </c>
      <c r="BJ238" s="72" t="s">
        <v>93</v>
      </c>
      <c r="BK238" s="72" t="s">
        <v>93</v>
      </c>
      <c r="BL238" s="72" t="s">
        <v>93</v>
      </c>
      <c r="BM238" s="72" t="s">
        <v>93</v>
      </c>
      <c r="BN238" s="72" t="s">
        <v>93</v>
      </c>
      <c r="BO238" s="72" t="s">
        <v>93</v>
      </c>
      <c r="BP238" s="73" t="s">
        <v>93</v>
      </c>
    </row>
    <row r="239" spans="2:68" x14ac:dyDescent="0.25">
      <c r="B239" s="64">
        <v>8</v>
      </c>
      <c r="C239" s="65">
        <v>34</v>
      </c>
      <c r="D239" s="65" t="s">
        <v>96</v>
      </c>
      <c r="E239" s="66">
        <f>'[3]Master File'!B238</f>
        <v>46252</v>
      </c>
      <c r="F239" s="67" t="str">
        <f>'[3]Master File'!C238</f>
        <v>Explorer + 6PM</v>
      </c>
      <c r="G239" s="46"/>
      <c r="I239" s="68" t="s">
        <v>93</v>
      </c>
      <c r="J239" s="68" t="s">
        <v>93</v>
      </c>
      <c r="K239" s="68" t="s">
        <v>93</v>
      </c>
      <c r="L239" s="68" t="s">
        <v>94</v>
      </c>
      <c r="M239" s="68" t="s">
        <v>93</v>
      </c>
      <c r="N239" s="68" t="s">
        <v>93</v>
      </c>
      <c r="O239" s="68" t="s">
        <v>93</v>
      </c>
      <c r="P239" s="68" t="s">
        <v>93</v>
      </c>
      <c r="Q239" s="68" t="s">
        <v>93</v>
      </c>
      <c r="R239" s="68" t="s">
        <v>93</v>
      </c>
      <c r="S239" s="68" t="s">
        <v>93</v>
      </c>
      <c r="T239" s="68" t="s">
        <v>93</v>
      </c>
      <c r="U239" s="68" t="s">
        <v>93</v>
      </c>
      <c r="V239" s="68" t="s">
        <v>93</v>
      </c>
      <c r="W239" s="68" t="s">
        <v>93</v>
      </c>
      <c r="X239" s="68" t="s">
        <v>93</v>
      </c>
      <c r="Y239" s="68" t="s">
        <v>93</v>
      </c>
      <c r="Z239" s="68" t="s">
        <v>94</v>
      </c>
      <c r="AA239" s="68" t="s">
        <v>93</v>
      </c>
      <c r="AB239" s="68" t="s">
        <v>93</v>
      </c>
      <c r="AC239" s="68" t="s">
        <v>93</v>
      </c>
      <c r="AD239" s="68" t="s">
        <v>93</v>
      </c>
      <c r="AE239" s="68" t="s">
        <v>93</v>
      </c>
      <c r="AF239" s="68" t="s">
        <v>93</v>
      </c>
      <c r="AG239" s="68" t="s">
        <v>93</v>
      </c>
      <c r="AH239" s="68" t="s">
        <v>93</v>
      </c>
      <c r="AI239" s="68" t="s">
        <v>93</v>
      </c>
      <c r="AJ239" s="68" t="s">
        <v>93</v>
      </c>
      <c r="AK239" s="68" t="s">
        <v>93</v>
      </c>
      <c r="AL239" s="68" t="s">
        <v>93</v>
      </c>
      <c r="AM239" s="68" t="s">
        <v>93</v>
      </c>
      <c r="AN239" s="68" t="s">
        <v>93</v>
      </c>
      <c r="AO239" s="68" t="s">
        <v>93</v>
      </c>
      <c r="AP239" s="68" t="s">
        <v>93</v>
      </c>
      <c r="AQ239" s="68" t="s">
        <v>93</v>
      </c>
      <c r="AR239" s="68" t="s">
        <v>93</v>
      </c>
      <c r="AS239" s="68" t="s">
        <v>93</v>
      </c>
      <c r="AT239" s="68" t="s">
        <v>93</v>
      </c>
      <c r="AU239" s="68" t="s">
        <v>93</v>
      </c>
      <c r="AV239" s="68" t="s">
        <v>93</v>
      </c>
      <c r="AW239" s="68" t="s">
        <v>93</v>
      </c>
      <c r="AX239" s="68" t="s">
        <v>93</v>
      </c>
      <c r="AY239" s="68" t="s">
        <v>93</v>
      </c>
      <c r="AZ239" s="68" t="s">
        <v>93</v>
      </c>
      <c r="BA239" s="68" t="s">
        <v>93</v>
      </c>
      <c r="BB239" s="68" t="s">
        <v>93</v>
      </c>
      <c r="BC239" s="68" t="s">
        <v>93</v>
      </c>
      <c r="BD239" s="68" t="s">
        <v>93</v>
      </c>
      <c r="BE239" s="68" t="s">
        <v>93</v>
      </c>
      <c r="BF239" s="68" t="s">
        <v>93</v>
      </c>
      <c r="BG239" s="68" t="s">
        <v>93</v>
      </c>
      <c r="BH239" s="68" t="s">
        <v>93</v>
      </c>
      <c r="BI239" s="68" t="s">
        <v>93</v>
      </c>
      <c r="BJ239" s="68" t="s">
        <v>93</v>
      </c>
      <c r="BK239" s="68" t="s">
        <v>93</v>
      </c>
      <c r="BL239" s="68" t="s">
        <v>93</v>
      </c>
      <c r="BM239" s="68" t="s">
        <v>93</v>
      </c>
      <c r="BN239" s="68" t="s">
        <v>93</v>
      </c>
      <c r="BO239" s="68" t="s">
        <v>93</v>
      </c>
      <c r="BP239" s="69" t="s">
        <v>93</v>
      </c>
    </row>
    <row r="240" spans="2:68" x14ac:dyDescent="0.25">
      <c r="B240" s="64">
        <v>8</v>
      </c>
      <c r="C240" s="65">
        <v>34</v>
      </c>
      <c r="D240" s="65" t="s">
        <v>97</v>
      </c>
      <c r="E240" s="66">
        <f>'[3]Master File'!B239</f>
        <v>46253</v>
      </c>
      <c r="F240" s="67" t="str">
        <f>'[3]Master File'!C239</f>
        <v>Explorer + 6PM</v>
      </c>
      <c r="G240" s="46"/>
      <c r="I240" s="68" t="s">
        <v>93</v>
      </c>
      <c r="J240" s="68" t="s">
        <v>93</v>
      </c>
      <c r="K240" s="68" t="s">
        <v>93</v>
      </c>
      <c r="L240" s="68" t="s">
        <v>94</v>
      </c>
      <c r="M240" s="68" t="s">
        <v>93</v>
      </c>
      <c r="N240" s="68" t="s">
        <v>93</v>
      </c>
      <c r="O240" s="68" t="s">
        <v>93</v>
      </c>
      <c r="P240" s="68" t="s">
        <v>93</v>
      </c>
      <c r="Q240" s="68" t="s">
        <v>93</v>
      </c>
      <c r="R240" s="68" t="s">
        <v>93</v>
      </c>
      <c r="S240" s="68" t="s">
        <v>93</v>
      </c>
      <c r="T240" s="68" t="s">
        <v>93</v>
      </c>
      <c r="U240" s="68" t="s">
        <v>93</v>
      </c>
      <c r="V240" s="68" t="s">
        <v>93</v>
      </c>
      <c r="W240" s="68" t="s">
        <v>93</v>
      </c>
      <c r="X240" s="68" t="s">
        <v>93</v>
      </c>
      <c r="Y240" s="68" t="s">
        <v>93</v>
      </c>
      <c r="Z240" s="68" t="s">
        <v>94</v>
      </c>
      <c r="AA240" s="68" t="s">
        <v>93</v>
      </c>
      <c r="AB240" s="68" t="s">
        <v>93</v>
      </c>
      <c r="AC240" s="68" t="s">
        <v>93</v>
      </c>
      <c r="AD240" s="68" t="s">
        <v>93</v>
      </c>
      <c r="AE240" s="68" t="s">
        <v>93</v>
      </c>
      <c r="AF240" s="68" t="s">
        <v>93</v>
      </c>
      <c r="AG240" s="68" t="s">
        <v>93</v>
      </c>
      <c r="AH240" s="68" t="s">
        <v>93</v>
      </c>
      <c r="AI240" s="68" t="s">
        <v>93</v>
      </c>
      <c r="AJ240" s="68" t="s">
        <v>93</v>
      </c>
      <c r="AK240" s="68" t="s">
        <v>93</v>
      </c>
      <c r="AL240" s="68" t="s">
        <v>93</v>
      </c>
      <c r="AM240" s="68" t="s">
        <v>93</v>
      </c>
      <c r="AN240" s="68" t="s">
        <v>93</v>
      </c>
      <c r="AO240" s="68" t="s">
        <v>93</v>
      </c>
      <c r="AP240" s="68" t="s">
        <v>93</v>
      </c>
      <c r="AQ240" s="68" t="s">
        <v>93</v>
      </c>
      <c r="AR240" s="68" t="s">
        <v>93</v>
      </c>
      <c r="AS240" s="68" t="s">
        <v>93</v>
      </c>
      <c r="AT240" s="68" t="s">
        <v>93</v>
      </c>
      <c r="AU240" s="68" t="s">
        <v>93</v>
      </c>
      <c r="AV240" s="68" t="s">
        <v>93</v>
      </c>
      <c r="AW240" s="68" t="s">
        <v>93</v>
      </c>
      <c r="AX240" s="68" t="s">
        <v>93</v>
      </c>
      <c r="AY240" s="68" t="s">
        <v>93</v>
      </c>
      <c r="AZ240" s="68" t="s">
        <v>93</v>
      </c>
      <c r="BA240" s="68" t="s">
        <v>93</v>
      </c>
      <c r="BB240" s="68" t="s">
        <v>93</v>
      </c>
      <c r="BC240" s="68" t="s">
        <v>93</v>
      </c>
      <c r="BD240" s="68" t="s">
        <v>93</v>
      </c>
      <c r="BE240" s="68" t="s">
        <v>93</v>
      </c>
      <c r="BF240" s="68" t="s">
        <v>93</v>
      </c>
      <c r="BG240" s="68" t="s">
        <v>93</v>
      </c>
      <c r="BH240" s="68" t="s">
        <v>93</v>
      </c>
      <c r="BI240" s="68" t="s">
        <v>93</v>
      </c>
      <c r="BJ240" s="68" t="s">
        <v>93</v>
      </c>
      <c r="BK240" s="68" t="s">
        <v>93</v>
      </c>
      <c r="BL240" s="68" t="s">
        <v>93</v>
      </c>
      <c r="BM240" s="68" t="s">
        <v>93</v>
      </c>
      <c r="BN240" s="68" t="s">
        <v>93</v>
      </c>
      <c r="BO240" s="68" t="s">
        <v>93</v>
      </c>
      <c r="BP240" s="69" t="s">
        <v>93</v>
      </c>
    </row>
    <row r="241" spans="2:68" x14ac:dyDescent="0.25">
      <c r="B241" s="64">
        <v>8</v>
      </c>
      <c r="C241" s="65">
        <v>34</v>
      </c>
      <c r="D241" s="65" t="s">
        <v>98</v>
      </c>
      <c r="E241" s="66">
        <f>'[3]Master File'!B240</f>
        <v>46254</v>
      </c>
      <c r="F241" s="67" t="str">
        <f>'[3]Master File'!C240</f>
        <v>Explorer + 6PM</v>
      </c>
      <c r="G241" s="46"/>
      <c r="I241" s="68" t="s">
        <v>93</v>
      </c>
      <c r="J241" s="68" t="s">
        <v>93</v>
      </c>
      <c r="K241" s="68" t="s">
        <v>93</v>
      </c>
      <c r="L241" s="68" t="s">
        <v>94</v>
      </c>
      <c r="M241" s="68" t="s">
        <v>93</v>
      </c>
      <c r="N241" s="68" t="s">
        <v>93</v>
      </c>
      <c r="O241" s="68" t="s">
        <v>93</v>
      </c>
      <c r="P241" s="68" t="s">
        <v>93</v>
      </c>
      <c r="Q241" s="68" t="s">
        <v>93</v>
      </c>
      <c r="R241" s="68" t="s">
        <v>93</v>
      </c>
      <c r="S241" s="68" t="s">
        <v>93</v>
      </c>
      <c r="T241" s="68" t="s">
        <v>93</v>
      </c>
      <c r="U241" s="68" t="s">
        <v>93</v>
      </c>
      <c r="V241" s="68" t="s">
        <v>93</v>
      </c>
      <c r="W241" s="68" t="s">
        <v>93</v>
      </c>
      <c r="X241" s="68" t="s">
        <v>93</v>
      </c>
      <c r="Y241" s="68" t="s">
        <v>93</v>
      </c>
      <c r="Z241" s="68" t="s">
        <v>94</v>
      </c>
      <c r="AA241" s="68" t="s">
        <v>93</v>
      </c>
      <c r="AB241" s="68" t="s">
        <v>93</v>
      </c>
      <c r="AC241" s="68" t="s">
        <v>93</v>
      </c>
      <c r="AD241" s="68" t="s">
        <v>93</v>
      </c>
      <c r="AE241" s="68" t="s">
        <v>93</v>
      </c>
      <c r="AF241" s="68" t="s">
        <v>93</v>
      </c>
      <c r="AG241" s="68" t="s">
        <v>93</v>
      </c>
      <c r="AH241" s="68" t="s">
        <v>93</v>
      </c>
      <c r="AI241" s="68" t="s">
        <v>93</v>
      </c>
      <c r="AJ241" s="68" t="s">
        <v>93</v>
      </c>
      <c r="AK241" s="68" t="s">
        <v>93</v>
      </c>
      <c r="AL241" s="68" t="s">
        <v>93</v>
      </c>
      <c r="AM241" s="68" t="s">
        <v>93</v>
      </c>
      <c r="AN241" s="68" t="s">
        <v>93</v>
      </c>
      <c r="AO241" s="68" t="s">
        <v>93</v>
      </c>
      <c r="AP241" s="68" t="s">
        <v>93</v>
      </c>
      <c r="AQ241" s="68" t="s">
        <v>93</v>
      </c>
      <c r="AR241" s="68" t="s">
        <v>93</v>
      </c>
      <c r="AS241" s="68" t="s">
        <v>93</v>
      </c>
      <c r="AT241" s="68" t="s">
        <v>93</v>
      </c>
      <c r="AU241" s="68" t="s">
        <v>93</v>
      </c>
      <c r="AV241" s="68" t="s">
        <v>93</v>
      </c>
      <c r="AW241" s="68" t="s">
        <v>93</v>
      </c>
      <c r="AX241" s="68" t="s">
        <v>93</v>
      </c>
      <c r="AY241" s="68" t="s">
        <v>93</v>
      </c>
      <c r="AZ241" s="68" t="s">
        <v>93</v>
      </c>
      <c r="BA241" s="68" t="s">
        <v>93</v>
      </c>
      <c r="BB241" s="68" t="s">
        <v>93</v>
      </c>
      <c r="BC241" s="68" t="s">
        <v>93</v>
      </c>
      <c r="BD241" s="68" t="s">
        <v>93</v>
      </c>
      <c r="BE241" s="68" t="s">
        <v>93</v>
      </c>
      <c r="BF241" s="68" t="s">
        <v>93</v>
      </c>
      <c r="BG241" s="68" t="s">
        <v>93</v>
      </c>
      <c r="BH241" s="68" t="s">
        <v>93</v>
      </c>
      <c r="BI241" s="68" t="s">
        <v>93</v>
      </c>
      <c r="BJ241" s="68" t="s">
        <v>93</v>
      </c>
      <c r="BK241" s="68" t="s">
        <v>93</v>
      </c>
      <c r="BL241" s="68" t="s">
        <v>93</v>
      </c>
      <c r="BM241" s="68" t="s">
        <v>93</v>
      </c>
      <c r="BN241" s="68" t="s">
        <v>93</v>
      </c>
      <c r="BO241" s="68" t="s">
        <v>93</v>
      </c>
      <c r="BP241" s="69" t="s">
        <v>93</v>
      </c>
    </row>
    <row r="242" spans="2:68" x14ac:dyDescent="0.25">
      <c r="B242" s="64">
        <v>8</v>
      </c>
      <c r="C242" s="65">
        <v>34</v>
      </c>
      <c r="D242" s="65" t="s">
        <v>99</v>
      </c>
      <c r="E242" s="66">
        <f>'[3]Master File'!B241</f>
        <v>46255</v>
      </c>
      <c r="F242" s="67" t="str">
        <f>'[3]Master File'!C241</f>
        <v>Explorer + 6PM</v>
      </c>
      <c r="G242" s="46"/>
      <c r="I242" s="68" t="s">
        <v>93</v>
      </c>
      <c r="J242" s="68" t="s">
        <v>93</v>
      </c>
      <c r="K242" s="68" t="s">
        <v>93</v>
      </c>
      <c r="L242" s="68" t="s">
        <v>94</v>
      </c>
      <c r="M242" s="68" t="s">
        <v>93</v>
      </c>
      <c r="N242" s="68" t="s">
        <v>93</v>
      </c>
      <c r="O242" s="68" t="s">
        <v>93</v>
      </c>
      <c r="P242" s="68" t="s">
        <v>93</v>
      </c>
      <c r="Q242" s="68" t="s">
        <v>93</v>
      </c>
      <c r="R242" s="68" t="s">
        <v>93</v>
      </c>
      <c r="S242" s="68" t="s">
        <v>93</v>
      </c>
      <c r="T242" s="68" t="s">
        <v>93</v>
      </c>
      <c r="U242" s="68" t="s">
        <v>93</v>
      </c>
      <c r="V242" s="68" t="s">
        <v>93</v>
      </c>
      <c r="W242" s="68" t="s">
        <v>93</v>
      </c>
      <c r="X242" s="68" t="s">
        <v>93</v>
      </c>
      <c r="Y242" s="68" t="s">
        <v>93</v>
      </c>
      <c r="Z242" s="68" t="s">
        <v>94</v>
      </c>
      <c r="AA242" s="68" t="s">
        <v>93</v>
      </c>
      <c r="AB242" s="68" t="s">
        <v>93</v>
      </c>
      <c r="AC242" s="68" t="s">
        <v>93</v>
      </c>
      <c r="AD242" s="68" t="s">
        <v>93</v>
      </c>
      <c r="AE242" s="68" t="s">
        <v>93</v>
      </c>
      <c r="AF242" s="68" t="s">
        <v>93</v>
      </c>
      <c r="AG242" s="68" t="s">
        <v>93</v>
      </c>
      <c r="AH242" s="68" t="s">
        <v>93</v>
      </c>
      <c r="AI242" s="68" t="s">
        <v>93</v>
      </c>
      <c r="AJ242" s="68" t="s">
        <v>93</v>
      </c>
      <c r="AK242" s="68" t="s">
        <v>93</v>
      </c>
      <c r="AL242" s="68" t="s">
        <v>93</v>
      </c>
      <c r="AM242" s="68" t="s">
        <v>93</v>
      </c>
      <c r="AN242" s="68" t="s">
        <v>93</v>
      </c>
      <c r="AO242" s="68" t="s">
        <v>93</v>
      </c>
      <c r="AP242" s="68" t="s">
        <v>93</v>
      </c>
      <c r="AQ242" s="68" t="s">
        <v>93</v>
      </c>
      <c r="AR242" s="68" t="s">
        <v>93</v>
      </c>
      <c r="AS242" s="68" t="s">
        <v>93</v>
      </c>
      <c r="AT242" s="68" t="s">
        <v>93</v>
      </c>
      <c r="AU242" s="68" t="s">
        <v>93</v>
      </c>
      <c r="AV242" s="68" t="s">
        <v>93</v>
      </c>
      <c r="AW242" s="68" t="s">
        <v>93</v>
      </c>
      <c r="AX242" s="68" t="s">
        <v>93</v>
      </c>
      <c r="AY242" s="68" t="s">
        <v>93</v>
      </c>
      <c r="AZ242" s="68" t="s">
        <v>93</v>
      </c>
      <c r="BA242" s="68" t="s">
        <v>93</v>
      </c>
      <c r="BB242" s="68" t="s">
        <v>93</v>
      </c>
      <c r="BC242" s="68" t="s">
        <v>93</v>
      </c>
      <c r="BD242" s="68" t="s">
        <v>93</v>
      </c>
      <c r="BE242" s="68" t="s">
        <v>93</v>
      </c>
      <c r="BF242" s="68" t="s">
        <v>93</v>
      </c>
      <c r="BG242" s="68" t="s">
        <v>93</v>
      </c>
      <c r="BH242" s="68" t="s">
        <v>93</v>
      </c>
      <c r="BI242" s="68" t="s">
        <v>93</v>
      </c>
      <c r="BJ242" s="68" t="s">
        <v>93</v>
      </c>
      <c r="BK242" s="68" t="s">
        <v>93</v>
      </c>
      <c r="BL242" s="68" t="s">
        <v>93</v>
      </c>
      <c r="BM242" s="68" t="s">
        <v>93</v>
      </c>
      <c r="BN242" s="68" t="s">
        <v>93</v>
      </c>
      <c r="BO242" s="68" t="s">
        <v>93</v>
      </c>
      <c r="BP242" s="69" t="s">
        <v>93</v>
      </c>
    </row>
    <row r="243" spans="2:68" x14ac:dyDescent="0.25">
      <c r="B243" s="64">
        <v>8</v>
      </c>
      <c r="C243" s="65">
        <v>34</v>
      </c>
      <c r="D243" s="65" t="s">
        <v>100</v>
      </c>
      <c r="E243" s="66">
        <f>'[3]Master File'!B242</f>
        <v>46256</v>
      </c>
      <c r="F243" s="67" t="str">
        <f>'[3]Master File'!C242</f>
        <v>Explorer + 6PM</v>
      </c>
      <c r="G243" s="46"/>
      <c r="I243" s="74" t="s">
        <v>93</v>
      </c>
      <c r="J243" s="74" t="s">
        <v>93</v>
      </c>
      <c r="K243" s="74" t="s">
        <v>93</v>
      </c>
      <c r="L243" s="68" t="s">
        <v>94</v>
      </c>
      <c r="M243" s="74" t="s">
        <v>93</v>
      </c>
      <c r="N243" s="74" t="s">
        <v>93</v>
      </c>
      <c r="O243" s="74" t="s">
        <v>93</v>
      </c>
      <c r="P243" s="74" t="s">
        <v>93</v>
      </c>
      <c r="Q243" s="74" t="s">
        <v>93</v>
      </c>
      <c r="R243" s="74" t="s">
        <v>93</v>
      </c>
      <c r="S243" s="74" t="s">
        <v>93</v>
      </c>
      <c r="T243" s="74" t="s">
        <v>93</v>
      </c>
      <c r="U243" s="74" t="s">
        <v>93</v>
      </c>
      <c r="V243" s="74" t="s">
        <v>93</v>
      </c>
      <c r="W243" s="74" t="s">
        <v>93</v>
      </c>
      <c r="X243" s="74" t="s">
        <v>93</v>
      </c>
      <c r="Y243" s="74" t="s">
        <v>93</v>
      </c>
      <c r="Z243" s="68" t="s">
        <v>94</v>
      </c>
      <c r="AA243" s="74" t="s">
        <v>93</v>
      </c>
      <c r="AB243" s="74" t="s">
        <v>93</v>
      </c>
      <c r="AC243" s="74" t="s">
        <v>93</v>
      </c>
      <c r="AD243" s="74" t="s">
        <v>94</v>
      </c>
      <c r="AE243" s="74" t="s">
        <v>94</v>
      </c>
      <c r="AF243" s="74" t="s">
        <v>93</v>
      </c>
      <c r="AG243" s="74" t="s">
        <v>93</v>
      </c>
      <c r="AH243" s="74" t="s">
        <v>93</v>
      </c>
      <c r="AI243" s="74" t="s">
        <v>93</v>
      </c>
      <c r="AJ243" s="74" t="s">
        <v>93</v>
      </c>
      <c r="AK243" s="74" t="s">
        <v>93</v>
      </c>
      <c r="AL243" s="74" t="s">
        <v>93</v>
      </c>
      <c r="AM243" s="74" t="s">
        <v>93</v>
      </c>
      <c r="AN243" s="74" t="s">
        <v>93</v>
      </c>
      <c r="AO243" s="74" t="s">
        <v>93</v>
      </c>
      <c r="AP243" s="74" t="s">
        <v>93</v>
      </c>
      <c r="AQ243" s="74" t="s">
        <v>93</v>
      </c>
      <c r="AR243" s="74" t="s">
        <v>93</v>
      </c>
      <c r="AS243" s="74" t="s">
        <v>93</v>
      </c>
      <c r="AT243" s="74" t="s">
        <v>93</v>
      </c>
      <c r="AU243" s="74" t="s">
        <v>93</v>
      </c>
      <c r="AV243" s="74" t="s">
        <v>93</v>
      </c>
      <c r="AW243" s="74" t="s">
        <v>93</v>
      </c>
      <c r="AX243" s="74" t="s">
        <v>93</v>
      </c>
      <c r="AY243" s="74" t="s">
        <v>93</v>
      </c>
      <c r="AZ243" s="74" t="s">
        <v>93</v>
      </c>
      <c r="BA243" s="74" t="s">
        <v>93</v>
      </c>
      <c r="BB243" s="74" t="s">
        <v>93</v>
      </c>
      <c r="BC243" s="74" t="s">
        <v>93</v>
      </c>
      <c r="BD243" s="74" t="s">
        <v>93</v>
      </c>
      <c r="BE243" s="74" t="s">
        <v>93</v>
      </c>
      <c r="BF243" s="74" t="s">
        <v>93</v>
      </c>
      <c r="BG243" s="74" t="s">
        <v>93</v>
      </c>
      <c r="BH243" s="74" t="s">
        <v>93</v>
      </c>
      <c r="BI243" s="74" t="s">
        <v>93</v>
      </c>
      <c r="BJ243" s="74" t="s">
        <v>93</v>
      </c>
      <c r="BK243" s="74" t="s">
        <v>93</v>
      </c>
      <c r="BL243" s="74" t="s">
        <v>93</v>
      </c>
      <c r="BM243" s="74" t="s">
        <v>93</v>
      </c>
      <c r="BN243" s="74" t="s">
        <v>93</v>
      </c>
      <c r="BO243" s="74" t="s">
        <v>93</v>
      </c>
      <c r="BP243" s="75" t="s">
        <v>93</v>
      </c>
    </row>
    <row r="244" spans="2:68" x14ac:dyDescent="0.25">
      <c r="B244" s="64">
        <v>8</v>
      </c>
      <c r="C244" s="65">
        <v>35</v>
      </c>
      <c r="D244" s="65" t="s">
        <v>92</v>
      </c>
      <c r="E244" s="66">
        <f>'[3]Master File'!B243</f>
        <v>46257</v>
      </c>
      <c r="F244" s="67" t="str">
        <f>'[3]Master File'!C243</f>
        <v>Explorer + 6PM</v>
      </c>
      <c r="G244" s="46"/>
      <c r="I244" s="74" t="s">
        <v>93</v>
      </c>
      <c r="J244" s="74" t="s">
        <v>93</v>
      </c>
      <c r="K244" s="74" t="s">
        <v>93</v>
      </c>
      <c r="L244" s="68" t="s">
        <v>94</v>
      </c>
      <c r="M244" s="74" t="s">
        <v>93</v>
      </c>
      <c r="N244" s="74" t="s">
        <v>93</v>
      </c>
      <c r="O244" s="74" t="s">
        <v>93</v>
      </c>
      <c r="P244" s="74" t="s">
        <v>93</v>
      </c>
      <c r="Q244" s="74" t="s">
        <v>93</v>
      </c>
      <c r="R244" s="74" t="s">
        <v>93</v>
      </c>
      <c r="S244" s="74" t="s">
        <v>93</v>
      </c>
      <c r="T244" s="74" t="s">
        <v>93</v>
      </c>
      <c r="U244" s="74" t="s">
        <v>93</v>
      </c>
      <c r="V244" s="74" t="s">
        <v>93</v>
      </c>
      <c r="W244" s="74" t="s">
        <v>93</v>
      </c>
      <c r="X244" s="74" t="s">
        <v>93</v>
      </c>
      <c r="Y244" s="74" t="s">
        <v>93</v>
      </c>
      <c r="Z244" s="68" t="s">
        <v>94</v>
      </c>
      <c r="AA244" s="74" t="s">
        <v>93</v>
      </c>
      <c r="AB244" s="74" t="s">
        <v>93</v>
      </c>
      <c r="AC244" s="74" t="s">
        <v>93</v>
      </c>
      <c r="AD244" s="74" t="s">
        <v>94</v>
      </c>
      <c r="AE244" s="74" t="s">
        <v>94</v>
      </c>
      <c r="AF244" s="74" t="s">
        <v>93</v>
      </c>
      <c r="AG244" s="74" t="s">
        <v>93</v>
      </c>
      <c r="AH244" s="74" t="s">
        <v>93</v>
      </c>
      <c r="AI244" s="74" t="s">
        <v>93</v>
      </c>
      <c r="AJ244" s="74" t="s">
        <v>93</v>
      </c>
      <c r="AK244" s="74" t="s">
        <v>93</v>
      </c>
      <c r="AL244" s="74" t="s">
        <v>93</v>
      </c>
      <c r="AM244" s="74" t="s">
        <v>93</v>
      </c>
      <c r="AN244" s="74" t="s">
        <v>93</v>
      </c>
      <c r="AO244" s="74" t="s">
        <v>93</v>
      </c>
      <c r="AP244" s="74" t="s">
        <v>93</v>
      </c>
      <c r="AQ244" s="74" t="s">
        <v>93</v>
      </c>
      <c r="AR244" s="74" t="s">
        <v>93</v>
      </c>
      <c r="AS244" s="74" t="s">
        <v>93</v>
      </c>
      <c r="AT244" s="74" t="s">
        <v>93</v>
      </c>
      <c r="AU244" s="74" t="s">
        <v>93</v>
      </c>
      <c r="AV244" s="74" t="s">
        <v>93</v>
      </c>
      <c r="AW244" s="74" t="s">
        <v>93</v>
      </c>
      <c r="AX244" s="74" t="s">
        <v>93</v>
      </c>
      <c r="AY244" s="74" t="s">
        <v>93</v>
      </c>
      <c r="AZ244" s="74" t="s">
        <v>93</v>
      </c>
      <c r="BA244" s="74" t="s">
        <v>93</v>
      </c>
      <c r="BB244" s="74" t="s">
        <v>93</v>
      </c>
      <c r="BC244" s="74" t="s">
        <v>93</v>
      </c>
      <c r="BD244" s="74" t="s">
        <v>93</v>
      </c>
      <c r="BE244" s="74" t="s">
        <v>93</v>
      </c>
      <c r="BF244" s="74" t="s">
        <v>93</v>
      </c>
      <c r="BG244" s="74" t="s">
        <v>93</v>
      </c>
      <c r="BH244" s="74" t="s">
        <v>93</v>
      </c>
      <c r="BI244" s="74" t="s">
        <v>93</v>
      </c>
      <c r="BJ244" s="74" t="s">
        <v>93</v>
      </c>
      <c r="BK244" s="74" t="s">
        <v>93</v>
      </c>
      <c r="BL244" s="74" t="s">
        <v>93</v>
      </c>
      <c r="BM244" s="74" t="s">
        <v>93</v>
      </c>
      <c r="BN244" s="74" t="s">
        <v>93</v>
      </c>
      <c r="BO244" s="74" t="s">
        <v>93</v>
      </c>
      <c r="BP244" s="75" t="s">
        <v>93</v>
      </c>
    </row>
    <row r="245" spans="2:68" x14ac:dyDescent="0.25">
      <c r="B245" s="64">
        <v>8</v>
      </c>
      <c r="C245" s="65">
        <v>35</v>
      </c>
      <c r="D245" s="65" t="s">
        <v>95</v>
      </c>
      <c r="E245" s="66">
        <f>'[3]Master File'!B244</f>
        <v>46258</v>
      </c>
      <c r="F245" s="67" t="str">
        <f>'[3]Master File'!C244</f>
        <v>Explorer + 6PM</v>
      </c>
      <c r="G245" s="46"/>
      <c r="I245" s="68" t="s">
        <v>93</v>
      </c>
      <c r="J245" s="68" t="s">
        <v>93</v>
      </c>
      <c r="K245" s="68" t="s">
        <v>93</v>
      </c>
      <c r="L245" s="68" t="s">
        <v>94</v>
      </c>
      <c r="M245" s="68" t="s">
        <v>93</v>
      </c>
      <c r="N245" s="68" t="s">
        <v>93</v>
      </c>
      <c r="O245" s="68" t="s">
        <v>93</v>
      </c>
      <c r="P245" s="68" t="s">
        <v>93</v>
      </c>
      <c r="Q245" s="68" t="s">
        <v>93</v>
      </c>
      <c r="R245" s="68" t="s">
        <v>93</v>
      </c>
      <c r="S245" s="68" t="s">
        <v>93</v>
      </c>
      <c r="T245" s="68" t="s">
        <v>93</v>
      </c>
      <c r="U245" s="68" t="s">
        <v>93</v>
      </c>
      <c r="V245" s="68" t="s">
        <v>93</v>
      </c>
      <c r="W245" s="68" t="s">
        <v>93</v>
      </c>
      <c r="X245" s="68" t="s">
        <v>93</v>
      </c>
      <c r="Y245" s="68" t="s">
        <v>93</v>
      </c>
      <c r="Z245" s="68" t="s">
        <v>94</v>
      </c>
      <c r="AA245" s="68" t="s">
        <v>93</v>
      </c>
      <c r="AB245" s="68" t="s">
        <v>93</v>
      </c>
      <c r="AC245" s="68" t="s">
        <v>93</v>
      </c>
      <c r="AD245" s="68" t="s">
        <v>93</v>
      </c>
      <c r="AE245" s="68" t="s">
        <v>93</v>
      </c>
      <c r="AF245" s="68" t="s">
        <v>93</v>
      </c>
      <c r="AG245" s="68" t="s">
        <v>93</v>
      </c>
      <c r="AH245" s="68" t="s">
        <v>93</v>
      </c>
      <c r="AI245" s="68" t="s">
        <v>93</v>
      </c>
      <c r="AJ245" s="68" t="s">
        <v>93</v>
      </c>
      <c r="AK245" s="68" t="s">
        <v>93</v>
      </c>
      <c r="AL245" s="68" t="s">
        <v>93</v>
      </c>
      <c r="AM245" s="68" t="s">
        <v>93</v>
      </c>
      <c r="AN245" s="68" t="s">
        <v>93</v>
      </c>
      <c r="AO245" s="68" t="s">
        <v>93</v>
      </c>
      <c r="AP245" s="68" t="s">
        <v>93</v>
      </c>
      <c r="AQ245" s="68" t="s">
        <v>93</v>
      </c>
      <c r="AR245" s="68" t="s">
        <v>93</v>
      </c>
      <c r="AS245" s="68" t="s">
        <v>93</v>
      </c>
      <c r="AT245" s="68" t="s">
        <v>93</v>
      </c>
      <c r="AU245" s="68" t="s">
        <v>93</v>
      </c>
      <c r="AV245" s="68" t="s">
        <v>93</v>
      </c>
      <c r="AW245" s="68" t="s">
        <v>93</v>
      </c>
      <c r="AX245" s="68" t="s">
        <v>93</v>
      </c>
      <c r="AY245" s="68" t="s">
        <v>93</v>
      </c>
      <c r="AZ245" s="68" t="s">
        <v>93</v>
      </c>
      <c r="BA245" s="68" t="s">
        <v>93</v>
      </c>
      <c r="BB245" s="68" t="s">
        <v>93</v>
      </c>
      <c r="BC245" s="68" t="s">
        <v>93</v>
      </c>
      <c r="BD245" s="68" t="s">
        <v>93</v>
      </c>
      <c r="BE245" s="68" t="s">
        <v>93</v>
      </c>
      <c r="BF245" s="68" t="s">
        <v>93</v>
      </c>
      <c r="BG245" s="68" t="s">
        <v>93</v>
      </c>
      <c r="BH245" s="68" t="s">
        <v>93</v>
      </c>
      <c r="BI245" s="68" t="s">
        <v>93</v>
      </c>
      <c r="BJ245" s="68" t="s">
        <v>93</v>
      </c>
      <c r="BK245" s="68" t="s">
        <v>93</v>
      </c>
      <c r="BL245" s="68" t="s">
        <v>93</v>
      </c>
      <c r="BM245" s="68" t="s">
        <v>93</v>
      </c>
      <c r="BN245" s="68" t="s">
        <v>93</v>
      </c>
      <c r="BO245" s="68" t="s">
        <v>93</v>
      </c>
      <c r="BP245" s="69" t="s">
        <v>93</v>
      </c>
    </row>
    <row r="246" spans="2:68" x14ac:dyDescent="0.25">
      <c r="B246" s="64">
        <v>8</v>
      </c>
      <c r="C246" s="65">
        <v>35</v>
      </c>
      <c r="D246" s="65" t="s">
        <v>96</v>
      </c>
      <c r="E246" s="66">
        <f>'[3]Master File'!B245</f>
        <v>46259</v>
      </c>
      <c r="F246" s="67" t="str">
        <f>'[3]Master File'!C245</f>
        <v>Explorer + 6PM</v>
      </c>
      <c r="G246" s="46"/>
      <c r="I246" s="68" t="s">
        <v>93</v>
      </c>
      <c r="J246" s="68" t="s">
        <v>93</v>
      </c>
      <c r="K246" s="68" t="s">
        <v>93</v>
      </c>
      <c r="L246" s="68" t="s">
        <v>94</v>
      </c>
      <c r="M246" s="68" t="s">
        <v>93</v>
      </c>
      <c r="N246" s="68" t="s">
        <v>93</v>
      </c>
      <c r="O246" s="68" t="s">
        <v>93</v>
      </c>
      <c r="P246" s="68" t="s">
        <v>93</v>
      </c>
      <c r="Q246" s="68" t="s">
        <v>93</v>
      </c>
      <c r="R246" s="68" t="s">
        <v>93</v>
      </c>
      <c r="S246" s="68" t="s">
        <v>93</v>
      </c>
      <c r="T246" s="68" t="s">
        <v>93</v>
      </c>
      <c r="U246" s="68" t="s">
        <v>93</v>
      </c>
      <c r="V246" s="68" t="s">
        <v>93</v>
      </c>
      <c r="W246" s="68" t="s">
        <v>93</v>
      </c>
      <c r="X246" s="68" t="s">
        <v>93</v>
      </c>
      <c r="Y246" s="68" t="s">
        <v>93</v>
      </c>
      <c r="Z246" s="68" t="s">
        <v>94</v>
      </c>
      <c r="AA246" s="68" t="s">
        <v>93</v>
      </c>
      <c r="AB246" s="68" t="s">
        <v>93</v>
      </c>
      <c r="AC246" s="68" t="s">
        <v>93</v>
      </c>
      <c r="AD246" s="68" t="s">
        <v>93</v>
      </c>
      <c r="AE246" s="68" t="s">
        <v>93</v>
      </c>
      <c r="AF246" s="68" t="s">
        <v>93</v>
      </c>
      <c r="AG246" s="68" t="s">
        <v>93</v>
      </c>
      <c r="AH246" s="68" t="s">
        <v>93</v>
      </c>
      <c r="AI246" s="68" t="s">
        <v>93</v>
      </c>
      <c r="AJ246" s="68" t="s">
        <v>93</v>
      </c>
      <c r="AK246" s="68" t="s">
        <v>93</v>
      </c>
      <c r="AL246" s="68" t="s">
        <v>93</v>
      </c>
      <c r="AM246" s="68" t="s">
        <v>93</v>
      </c>
      <c r="AN246" s="68" t="s">
        <v>93</v>
      </c>
      <c r="AO246" s="68" t="s">
        <v>93</v>
      </c>
      <c r="AP246" s="68" t="s">
        <v>93</v>
      </c>
      <c r="AQ246" s="68" t="s">
        <v>93</v>
      </c>
      <c r="AR246" s="68" t="s">
        <v>93</v>
      </c>
      <c r="AS246" s="68" t="s">
        <v>93</v>
      </c>
      <c r="AT246" s="68" t="s">
        <v>93</v>
      </c>
      <c r="AU246" s="68" t="s">
        <v>93</v>
      </c>
      <c r="AV246" s="68" t="s">
        <v>93</v>
      </c>
      <c r="AW246" s="68" t="s">
        <v>93</v>
      </c>
      <c r="AX246" s="68" t="s">
        <v>93</v>
      </c>
      <c r="AY246" s="68" t="s">
        <v>93</v>
      </c>
      <c r="AZ246" s="68" t="s">
        <v>93</v>
      </c>
      <c r="BA246" s="68" t="s">
        <v>93</v>
      </c>
      <c r="BB246" s="68" t="s">
        <v>93</v>
      </c>
      <c r="BC246" s="68" t="s">
        <v>93</v>
      </c>
      <c r="BD246" s="68" t="s">
        <v>93</v>
      </c>
      <c r="BE246" s="68" t="s">
        <v>93</v>
      </c>
      <c r="BF246" s="68" t="s">
        <v>93</v>
      </c>
      <c r="BG246" s="68" t="s">
        <v>93</v>
      </c>
      <c r="BH246" s="68" t="s">
        <v>93</v>
      </c>
      <c r="BI246" s="68" t="s">
        <v>93</v>
      </c>
      <c r="BJ246" s="68" t="s">
        <v>93</v>
      </c>
      <c r="BK246" s="68" t="s">
        <v>93</v>
      </c>
      <c r="BL246" s="68" t="s">
        <v>93</v>
      </c>
      <c r="BM246" s="68" t="s">
        <v>93</v>
      </c>
      <c r="BN246" s="68" t="s">
        <v>93</v>
      </c>
      <c r="BO246" s="68" t="s">
        <v>93</v>
      </c>
      <c r="BP246" s="69" t="s">
        <v>93</v>
      </c>
    </row>
    <row r="247" spans="2:68" x14ac:dyDescent="0.25">
      <c r="B247" s="64">
        <v>8</v>
      </c>
      <c r="C247" s="65">
        <v>35</v>
      </c>
      <c r="D247" s="65" t="s">
        <v>97</v>
      </c>
      <c r="E247" s="66">
        <f>'[3]Master File'!B246</f>
        <v>46260</v>
      </c>
      <c r="F247" s="67" t="str">
        <f>'[3]Master File'!C246</f>
        <v>Explorer + 6PM</v>
      </c>
      <c r="G247" s="46"/>
      <c r="I247" s="68" t="s">
        <v>93</v>
      </c>
      <c r="J247" s="68" t="s">
        <v>93</v>
      </c>
      <c r="K247" s="68" t="s">
        <v>93</v>
      </c>
      <c r="L247" s="68" t="s">
        <v>94</v>
      </c>
      <c r="M247" s="68" t="s">
        <v>93</v>
      </c>
      <c r="N247" s="68" t="s">
        <v>93</v>
      </c>
      <c r="O247" s="68" t="s">
        <v>93</v>
      </c>
      <c r="P247" s="68" t="s">
        <v>93</v>
      </c>
      <c r="Q247" s="68" t="s">
        <v>93</v>
      </c>
      <c r="R247" s="68" t="s">
        <v>93</v>
      </c>
      <c r="S247" s="68" t="s">
        <v>93</v>
      </c>
      <c r="T247" s="68" t="s">
        <v>93</v>
      </c>
      <c r="U247" s="68" t="s">
        <v>93</v>
      </c>
      <c r="V247" s="68" t="s">
        <v>93</v>
      </c>
      <c r="W247" s="68" t="s">
        <v>93</v>
      </c>
      <c r="X247" s="68" t="s">
        <v>93</v>
      </c>
      <c r="Y247" s="68" t="s">
        <v>93</v>
      </c>
      <c r="Z247" s="68" t="s">
        <v>94</v>
      </c>
      <c r="AA247" s="68" t="s">
        <v>93</v>
      </c>
      <c r="AB247" s="68" t="s">
        <v>93</v>
      </c>
      <c r="AC247" s="68" t="s">
        <v>93</v>
      </c>
      <c r="AD247" s="68" t="s">
        <v>93</v>
      </c>
      <c r="AE247" s="68" t="s">
        <v>93</v>
      </c>
      <c r="AF247" s="68" t="s">
        <v>93</v>
      </c>
      <c r="AG247" s="68" t="s">
        <v>93</v>
      </c>
      <c r="AH247" s="68" t="s">
        <v>93</v>
      </c>
      <c r="AI247" s="68" t="s">
        <v>93</v>
      </c>
      <c r="AJ247" s="68" t="s">
        <v>93</v>
      </c>
      <c r="AK247" s="68" t="s">
        <v>93</v>
      </c>
      <c r="AL247" s="68" t="s">
        <v>93</v>
      </c>
      <c r="AM247" s="68" t="s">
        <v>93</v>
      </c>
      <c r="AN247" s="68" t="s">
        <v>93</v>
      </c>
      <c r="AO247" s="68" t="s">
        <v>93</v>
      </c>
      <c r="AP247" s="68" t="s">
        <v>93</v>
      </c>
      <c r="AQ247" s="68" t="s">
        <v>93</v>
      </c>
      <c r="AR247" s="68" t="s">
        <v>93</v>
      </c>
      <c r="AS247" s="68" t="s">
        <v>93</v>
      </c>
      <c r="AT247" s="68" t="s">
        <v>93</v>
      </c>
      <c r="AU247" s="68" t="s">
        <v>93</v>
      </c>
      <c r="AV247" s="68" t="s">
        <v>93</v>
      </c>
      <c r="AW247" s="68" t="s">
        <v>93</v>
      </c>
      <c r="AX247" s="68" t="s">
        <v>93</v>
      </c>
      <c r="AY247" s="68" t="s">
        <v>93</v>
      </c>
      <c r="AZ247" s="68" t="s">
        <v>93</v>
      </c>
      <c r="BA247" s="68" t="s">
        <v>93</v>
      </c>
      <c r="BB247" s="68" t="s">
        <v>93</v>
      </c>
      <c r="BC247" s="68" t="s">
        <v>93</v>
      </c>
      <c r="BD247" s="68" t="s">
        <v>93</v>
      </c>
      <c r="BE247" s="68" t="s">
        <v>93</v>
      </c>
      <c r="BF247" s="68" t="s">
        <v>93</v>
      </c>
      <c r="BG247" s="68" t="s">
        <v>93</v>
      </c>
      <c r="BH247" s="68" t="s">
        <v>93</v>
      </c>
      <c r="BI247" s="68" t="s">
        <v>93</v>
      </c>
      <c r="BJ247" s="68" t="s">
        <v>93</v>
      </c>
      <c r="BK247" s="68" t="s">
        <v>93</v>
      </c>
      <c r="BL247" s="68" t="s">
        <v>93</v>
      </c>
      <c r="BM247" s="68" t="s">
        <v>93</v>
      </c>
      <c r="BN247" s="68" t="s">
        <v>93</v>
      </c>
      <c r="BO247" s="68" t="s">
        <v>93</v>
      </c>
      <c r="BP247" s="69" t="s">
        <v>93</v>
      </c>
    </row>
    <row r="248" spans="2:68" x14ac:dyDescent="0.25">
      <c r="B248" s="64">
        <v>8</v>
      </c>
      <c r="C248" s="65">
        <v>35</v>
      </c>
      <c r="D248" s="65" t="s">
        <v>98</v>
      </c>
      <c r="E248" s="66">
        <f>'[3]Master File'!B247</f>
        <v>46261</v>
      </c>
      <c r="F248" s="67" t="str">
        <f>'[3]Master File'!C247</f>
        <v>Explorer + 6PM</v>
      </c>
      <c r="G248" s="46"/>
      <c r="I248" s="68" t="s">
        <v>93</v>
      </c>
      <c r="J248" s="68" t="s">
        <v>93</v>
      </c>
      <c r="K248" s="68" t="s">
        <v>93</v>
      </c>
      <c r="L248" s="68" t="s">
        <v>94</v>
      </c>
      <c r="M248" s="68" t="s">
        <v>93</v>
      </c>
      <c r="N248" s="68" t="s">
        <v>93</v>
      </c>
      <c r="O248" s="68" t="s">
        <v>93</v>
      </c>
      <c r="P248" s="68" t="s">
        <v>93</v>
      </c>
      <c r="Q248" s="68" t="s">
        <v>93</v>
      </c>
      <c r="R248" s="68" t="s">
        <v>93</v>
      </c>
      <c r="S248" s="68" t="s">
        <v>93</v>
      </c>
      <c r="T248" s="68" t="s">
        <v>93</v>
      </c>
      <c r="U248" s="68" t="s">
        <v>93</v>
      </c>
      <c r="V248" s="68" t="s">
        <v>93</v>
      </c>
      <c r="W248" s="68" t="s">
        <v>93</v>
      </c>
      <c r="X248" s="68" t="s">
        <v>93</v>
      </c>
      <c r="Y248" s="68" t="s">
        <v>93</v>
      </c>
      <c r="Z248" s="68" t="s">
        <v>94</v>
      </c>
      <c r="AA248" s="68" t="s">
        <v>93</v>
      </c>
      <c r="AB248" s="68" t="s">
        <v>93</v>
      </c>
      <c r="AC248" s="68" t="s">
        <v>93</v>
      </c>
      <c r="AD248" s="68" t="s">
        <v>93</v>
      </c>
      <c r="AE248" s="68" t="s">
        <v>93</v>
      </c>
      <c r="AF248" s="68" t="s">
        <v>93</v>
      </c>
      <c r="AG248" s="68" t="s">
        <v>93</v>
      </c>
      <c r="AH248" s="68" t="s">
        <v>93</v>
      </c>
      <c r="AI248" s="68" t="s">
        <v>93</v>
      </c>
      <c r="AJ248" s="68" t="s">
        <v>93</v>
      </c>
      <c r="AK248" s="68" t="s">
        <v>93</v>
      </c>
      <c r="AL248" s="68" t="s">
        <v>93</v>
      </c>
      <c r="AM248" s="68" t="s">
        <v>93</v>
      </c>
      <c r="AN248" s="68" t="s">
        <v>93</v>
      </c>
      <c r="AO248" s="68" t="s">
        <v>93</v>
      </c>
      <c r="AP248" s="68" t="s">
        <v>93</v>
      </c>
      <c r="AQ248" s="68" t="s">
        <v>93</v>
      </c>
      <c r="AR248" s="68" t="s">
        <v>93</v>
      </c>
      <c r="AS248" s="68" t="s">
        <v>93</v>
      </c>
      <c r="AT248" s="68" t="s">
        <v>93</v>
      </c>
      <c r="AU248" s="68" t="s">
        <v>93</v>
      </c>
      <c r="AV248" s="68" t="s">
        <v>93</v>
      </c>
      <c r="AW248" s="68" t="s">
        <v>93</v>
      </c>
      <c r="AX248" s="68" t="s">
        <v>93</v>
      </c>
      <c r="AY248" s="68" t="s">
        <v>93</v>
      </c>
      <c r="AZ248" s="68" t="s">
        <v>93</v>
      </c>
      <c r="BA248" s="68" t="s">
        <v>93</v>
      </c>
      <c r="BB248" s="68" t="s">
        <v>93</v>
      </c>
      <c r="BC248" s="68" t="s">
        <v>93</v>
      </c>
      <c r="BD248" s="68" t="s">
        <v>93</v>
      </c>
      <c r="BE248" s="68" t="s">
        <v>93</v>
      </c>
      <c r="BF248" s="68" t="s">
        <v>93</v>
      </c>
      <c r="BG248" s="68" t="s">
        <v>93</v>
      </c>
      <c r="BH248" s="68" t="s">
        <v>93</v>
      </c>
      <c r="BI248" s="68" t="s">
        <v>93</v>
      </c>
      <c r="BJ248" s="68" t="s">
        <v>93</v>
      </c>
      <c r="BK248" s="68" t="s">
        <v>93</v>
      </c>
      <c r="BL248" s="68" t="s">
        <v>93</v>
      </c>
      <c r="BM248" s="68" t="s">
        <v>93</v>
      </c>
      <c r="BN248" s="68" t="s">
        <v>93</v>
      </c>
      <c r="BO248" s="68" t="s">
        <v>93</v>
      </c>
      <c r="BP248" s="69" t="s">
        <v>93</v>
      </c>
    </row>
    <row r="249" spans="2:68" x14ac:dyDescent="0.25">
      <c r="B249" s="64">
        <v>8</v>
      </c>
      <c r="C249" s="65">
        <v>35</v>
      </c>
      <c r="D249" s="65" t="s">
        <v>99</v>
      </c>
      <c r="E249" s="66">
        <f>'[3]Master File'!B248</f>
        <v>46262</v>
      </c>
      <c r="F249" s="67" t="str">
        <f>'[3]Master File'!C248</f>
        <v>Explorer + 6PM</v>
      </c>
      <c r="G249" s="46"/>
      <c r="I249" s="68" t="s">
        <v>93</v>
      </c>
      <c r="J249" s="68" t="s">
        <v>93</v>
      </c>
      <c r="K249" s="68" t="s">
        <v>93</v>
      </c>
      <c r="L249" s="68" t="s">
        <v>94</v>
      </c>
      <c r="M249" s="68" t="s">
        <v>93</v>
      </c>
      <c r="N249" s="68" t="s">
        <v>93</v>
      </c>
      <c r="O249" s="68" t="s">
        <v>93</v>
      </c>
      <c r="P249" s="68" t="s">
        <v>93</v>
      </c>
      <c r="Q249" s="68" t="s">
        <v>93</v>
      </c>
      <c r="R249" s="68" t="s">
        <v>93</v>
      </c>
      <c r="S249" s="68" t="s">
        <v>93</v>
      </c>
      <c r="T249" s="68" t="s">
        <v>93</v>
      </c>
      <c r="U249" s="68" t="s">
        <v>93</v>
      </c>
      <c r="V249" s="68" t="s">
        <v>93</v>
      </c>
      <c r="W249" s="68" t="s">
        <v>93</v>
      </c>
      <c r="X249" s="68" t="s">
        <v>93</v>
      </c>
      <c r="Y249" s="68" t="s">
        <v>93</v>
      </c>
      <c r="Z249" s="68" t="s">
        <v>94</v>
      </c>
      <c r="AA249" s="68" t="s">
        <v>93</v>
      </c>
      <c r="AB249" s="68" t="s">
        <v>93</v>
      </c>
      <c r="AC249" s="68" t="s">
        <v>93</v>
      </c>
      <c r="AD249" s="68" t="s">
        <v>93</v>
      </c>
      <c r="AE249" s="68" t="s">
        <v>93</v>
      </c>
      <c r="AF249" s="68" t="s">
        <v>93</v>
      </c>
      <c r="AG249" s="68" t="s">
        <v>93</v>
      </c>
      <c r="AH249" s="68" t="s">
        <v>93</v>
      </c>
      <c r="AI249" s="68" t="s">
        <v>93</v>
      </c>
      <c r="AJ249" s="68" t="s">
        <v>93</v>
      </c>
      <c r="AK249" s="68" t="s">
        <v>93</v>
      </c>
      <c r="AL249" s="68" t="s">
        <v>93</v>
      </c>
      <c r="AM249" s="68" t="s">
        <v>93</v>
      </c>
      <c r="AN249" s="68" t="s">
        <v>93</v>
      </c>
      <c r="AO249" s="68" t="s">
        <v>93</v>
      </c>
      <c r="AP249" s="68" t="s">
        <v>93</v>
      </c>
      <c r="AQ249" s="68" t="s">
        <v>93</v>
      </c>
      <c r="AR249" s="68" t="s">
        <v>93</v>
      </c>
      <c r="AS249" s="68" t="s">
        <v>93</v>
      </c>
      <c r="AT249" s="68" t="s">
        <v>93</v>
      </c>
      <c r="AU249" s="68" t="s">
        <v>93</v>
      </c>
      <c r="AV249" s="68" t="s">
        <v>93</v>
      </c>
      <c r="AW249" s="68" t="s">
        <v>93</v>
      </c>
      <c r="AX249" s="68" t="s">
        <v>93</v>
      </c>
      <c r="AY249" s="68" t="s">
        <v>93</v>
      </c>
      <c r="AZ249" s="68" t="s">
        <v>93</v>
      </c>
      <c r="BA249" s="68" t="s">
        <v>93</v>
      </c>
      <c r="BB249" s="68" t="s">
        <v>93</v>
      </c>
      <c r="BC249" s="68" t="s">
        <v>93</v>
      </c>
      <c r="BD249" s="68" t="s">
        <v>93</v>
      </c>
      <c r="BE249" s="68" t="s">
        <v>93</v>
      </c>
      <c r="BF249" s="68" t="s">
        <v>93</v>
      </c>
      <c r="BG249" s="68" t="s">
        <v>93</v>
      </c>
      <c r="BH249" s="68" t="s">
        <v>93</v>
      </c>
      <c r="BI249" s="68" t="s">
        <v>93</v>
      </c>
      <c r="BJ249" s="68" t="s">
        <v>93</v>
      </c>
      <c r="BK249" s="68" t="s">
        <v>93</v>
      </c>
      <c r="BL249" s="68" t="s">
        <v>93</v>
      </c>
      <c r="BM249" s="68" t="s">
        <v>93</v>
      </c>
      <c r="BN249" s="68" t="s">
        <v>93</v>
      </c>
      <c r="BO249" s="68" t="s">
        <v>93</v>
      </c>
      <c r="BP249" s="69" t="s">
        <v>93</v>
      </c>
    </row>
    <row r="250" spans="2:68" x14ac:dyDescent="0.25">
      <c r="B250" s="64">
        <v>8</v>
      </c>
      <c r="C250" s="65">
        <v>35</v>
      </c>
      <c r="D250" s="65" t="s">
        <v>100</v>
      </c>
      <c r="E250" s="66">
        <f>'[3]Master File'!B249</f>
        <v>46263</v>
      </c>
      <c r="F250" s="67" t="str">
        <f>'[3]Master File'!C249</f>
        <v>Explorer + 6PM</v>
      </c>
      <c r="G250" s="46"/>
      <c r="I250" s="74" t="s">
        <v>93</v>
      </c>
      <c r="J250" s="74" t="s">
        <v>93</v>
      </c>
      <c r="K250" s="74" t="s">
        <v>93</v>
      </c>
      <c r="L250" s="68" t="s">
        <v>94</v>
      </c>
      <c r="M250" s="74" t="s">
        <v>93</v>
      </c>
      <c r="N250" s="74" t="s">
        <v>93</v>
      </c>
      <c r="O250" s="74" t="s">
        <v>93</v>
      </c>
      <c r="P250" s="74" t="s">
        <v>93</v>
      </c>
      <c r="Q250" s="74" t="s">
        <v>93</v>
      </c>
      <c r="R250" s="74" t="s">
        <v>93</v>
      </c>
      <c r="S250" s="74" t="s">
        <v>93</v>
      </c>
      <c r="T250" s="74" t="s">
        <v>93</v>
      </c>
      <c r="U250" s="74" t="s">
        <v>93</v>
      </c>
      <c r="V250" s="74" t="s">
        <v>93</v>
      </c>
      <c r="W250" s="74" t="s">
        <v>93</v>
      </c>
      <c r="X250" s="74" t="s">
        <v>93</v>
      </c>
      <c r="Y250" s="74" t="s">
        <v>93</v>
      </c>
      <c r="Z250" s="68" t="s">
        <v>94</v>
      </c>
      <c r="AA250" s="74" t="s">
        <v>93</v>
      </c>
      <c r="AB250" s="74" t="s">
        <v>93</v>
      </c>
      <c r="AC250" s="74" t="s">
        <v>93</v>
      </c>
      <c r="AD250" s="74" t="s">
        <v>94</v>
      </c>
      <c r="AE250" s="74" t="s">
        <v>94</v>
      </c>
      <c r="AF250" s="74" t="s">
        <v>93</v>
      </c>
      <c r="AG250" s="74" t="s">
        <v>93</v>
      </c>
      <c r="AH250" s="74" t="s">
        <v>93</v>
      </c>
      <c r="AI250" s="74" t="s">
        <v>93</v>
      </c>
      <c r="AJ250" s="74" t="s">
        <v>93</v>
      </c>
      <c r="AK250" s="74" t="s">
        <v>93</v>
      </c>
      <c r="AL250" s="74" t="s">
        <v>93</v>
      </c>
      <c r="AM250" s="74" t="s">
        <v>93</v>
      </c>
      <c r="AN250" s="74" t="s">
        <v>93</v>
      </c>
      <c r="AO250" s="74" t="s">
        <v>93</v>
      </c>
      <c r="AP250" s="74" t="s">
        <v>93</v>
      </c>
      <c r="AQ250" s="74" t="s">
        <v>93</v>
      </c>
      <c r="AR250" s="74" t="s">
        <v>93</v>
      </c>
      <c r="AS250" s="74" t="s">
        <v>93</v>
      </c>
      <c r="AT250" s="74" t="s">
        <v>93</v>
      </c>
      <c r="AU250" s="74" t="s">
        <v>93</v>
      </c>
      <c r="AV250" s="74" t="s">
        <v>93</v>
      </c>
      <c r="AW250" s="74" t="s">
        <v>93</v>
      </c>
      <c r="AX250" s="74" t="s">
        <v>93</v>
      </c>
      <c r="AY250" s="74" t="s">
        <v>93</v>
      </c>
      <c r="AZ250" s="74" t="s">
        <v>93</v>
      </c>
      <c r="BA250" s="74" t="s">
        <v>93</v>
      </c>
      <c r="BB250" s="74" t="s">
        <v>93</v>
      </c>
      <c r="BC250" s="74" t="s">
        <v>93</v>
      </c>
      <c r="BD250" s="74" t="s">
        <v>93</v>
      </c>
      <c r="BE250" s="74" t="s">
        <v>93</v>
      </c>
      <c r="BF250" s="74" t="s">
        <v>93</v>
      </c>
      <c r="BG250" s="74" t="s">
        <v>93</v>
      </c>
      <c r="BH250" s="74" t="s">
        <v>93</v>
      </c>
      <c r="BI250" s="74" t="s">
        <v>93</v>
      </c>
      <c r="BJ250" s="74" t="s">
        <v>93</v>
      </c>
      <c r="BK250" s="74" t="s">
        <v>93</v>
      </c>
      <c r="BL250" s="74" t="s">
        <v>93</v>
      </c>
      <c r="BM250" s="74" t="s">
        <v>93</v>
      </c>
      <c r="BN250" s="74" t="s">
        <v>93</v>
      </c>
      <c r="BO250" s="74" t="s">
        <v>93</v>
      </c>
      <c r="BP250" s="75" t="s">
        <v>93</v>
      </c>
    </row>
    <row r="251" spans="2:68" x14ac:dyDescent="0.25">
      <c r="B251" s="64">
        <v>9</v>
      </c>
      <c r="C251" s="65">
        <v>36</v>
      </c>
      <c r="D251" s="65" t="s">
        <v>92</v>
      </c>
      <c r="E251" s="66">
        <f>'[3]Master File'!B250</f>
        <v>46264</v>
      </c>
      <c r="F251" s="67" t="str">
        <f>'[3]Master File'!C250</f>
        <v>Explorer + 6PM</v>
      </c>
      <c r="G251" s="46"/>
      <c r="I251" s="74" t="s">
        <v>93</v>
      </c>
      <c r="J251" s="74" t="s">
        <v>93</v>
      </c>
      <c r="K251" s="74" t="s">
        <v>93</v>
      </c>
      <c r="L251" s="68" t="s">
        <v>94</v>
      </c>
      <c r="M251" s="74" t="s">
        <v>93</v>
      </c>
      <c r="N251" s="74" t="s">
        <v>93</v>
      </c>
      <c r="O251" s="74" t="s">
        <v>93</v>
      </c>
      <c r="P251" s="74" t="s">
        <v>93</v>
      </c>
      <c r="Q251" s="74" t="s">
        <v>93</v>
      </c>
      <c r="R251" s="74" t="s">
        <v>93</v>
      </c>
      <c r="S251" s="74" t="s">
        <v>93</v>
      </c>
      <c r="T251" s="74" t="s">
        <v>93</v>
      </c>
      <c r="U251" s="74" t="s">
        <v>93</v>
      </c>
      <c r="V251" s="74" t="s">
        <v>93</v>
      </c>
      <c r="W251" s="74" t="s">
        <v>93</v>
      </c>
      <c r="X251" s="74" t="s">
        <v>93</v>
      </c>
      <c r="Y251" s="74" t="s">
        <v>93</v>
      </c>
      <c r="Z251" s="68" t="s">
        <v>94</v>
      </c>
      <c r="AA251" s="74" t="s">
        <v>93</v>
      </c>
      <c r="AB251" s="74" t="s">
        <v>93</v>
      </c>
      <c r="AC251" s="74" t="s">
        <v>93</v>
      </c>
      <c r="AD251" s="74" t="s">
        <v>94</v>
      </c>
      <c r="AE251" s="74" t="s">
        <v>94</v>
      </c>
      <c r="AF251" s="74" t="s">
        <v>93</v>
      </c>
      <c r="AG251" s="74" t="s">
        <v>93</v>
      </c>
      <c r="AH251" s="74" t="s">
        <v>93</v>
      </c>
      <c r="AI251" s="74" t="s">
        <v>93</v>
      </c>
      <c r="AJ251" s="74" t="s">
        <v>93</v>
      </c>
      <c r="AK251" s="74" t="s">
        <v>93</v>
      </c>
      <c r="AL251" s="74" t="s">
        <v>93</v>
      </c>
      <c r="AM251" s="74" t="s">
        <v>93</v>
      </c>
      <c r="AN251" s="74" t="s">
        <v>93</v>
      </c>
      <c r="AO251" s="74" t="s">
        <v>93</v>
      </c>
      <c r="AP251" s="74" t="s">
        <v>93</v>
      </c>
      <c r="AQ251" s="74" t="s">
        <v>93</v>
      </c>
      <c r="AR251" s="74" t="s">
        <v>93</v>
      </c>
      <c r="AS251" s="74" t="s">
        <v>93</v>
      </c>
      <c r="AT251" s="74" t="s">
        <v>93</v>
      </c>
      <c r="AU251" s="74" t="s">
        <v>93</v>
      </c>
      <c r="AV251" s="74" t="s">
        <v>93</v>
      </c>
      <c r="AW251" s="74" t="s">
        <v>93</v>
      </c>
      <c r="AX251" s="74" t="s">
        <v>93</v>
      </c>
      <c r="AY251" s="74" t="s">
        <v>93</v>
      </c>
      <c r="AZ251" s="74" t="s">
        <v>93</v>
      </c>
      <c r="BA251" s="74" t="s">
        <v>93</v>
      </c>
      <c r="BB251" s="74" t="s">
        <v>93</v>
      </c>
      <c r="BC251" s="74" t="s">
        <v>93</v>
      </c>
      <c r="BD251" s="74" t="s">
        <v>93</v>
      </c>
      <c r="BE251" s="74" t="s">
        <v>93</v>
      </c>
      <c r="BF251" s="74" t="s">
        <v>93</v>
      </c>
      <c r="BG251" s="74" t="s">
        <v>93</v>
      </c>
      <c r="BH251" s="74" t="s">
        <v>93</v>
      </c>
      <c r="BI251" s="74" t="s">
        <v>93</v>
      </c>
      <c r="BJ251" s="74" t="s">
        <v>93</v>
      </c>
      <c r="BK251" s="74" t="s">
        <v>93</v>
      </c>
      <c r="BL251" s="74" t="s">
        <v>93</v>
      </c>
      <c r="BM251" s="74" t="s">
        <v>93</v>
      </c>
      <c r="BN251" s="74" t="s">
        <v>93</v>
      </c>
      <c r="BO251" s="74" t="s">
        <v>93</v>
      </c>
      <c r="BP251" s="75" t="s">
        <v>93</v>
      </c>
    </row>
    <row r="252" spans="2:68" x14ac:dyDescent="0.25">
      <c r="B252" s="64">
        <v>9</v>
      </c>
      <c r="C252" s="65">
        <v>36</v>
      </c>
      <c r="D252" s="65" t="s">
        <v>95</v>
      </c>
      <c r="E252" s="66">
        <f>'[3]Master File'!B251</f>
        <v>46265</v>
      </c>
      <c r="F252" s="67" t="str">
        <f>'[3]Master File'!C251</f>
        <v>Explorer + 6PM</v>
      </c>
      <c r="G252" s="46"/>
      <c r="I252" s="68" t="s">
        <v>93</v>
      </c>
      <c r="J252" s="68" t="s">
        <v>93</v>
      </c>
      <c r="K252" s="68" t="s">
        <v>93</v>
      </c>
      <c r="L252" s="68" t="s">
        <v>94</v>
      </c>
      <c r="M252" s="68" t="s">
        <v>93</v>
      </c>
      <c r="N252" s="68" t="s">
        <v>93</v>
      </c>
      <c r="O252" s="68" t="s">
        <v>93</v>
      </c>
      <c r="P252" s="68" t="s">
        <v>93</v>
      </c>
      <c r="Q252" s="68" t="s">
        <v>93</v>
      </c>
      <c r="R252" s="68" t="s">
        <v>93</v>
      </c>
      <c r="S252" s="68" t="s">
        <v>93</v>
      </c>
      <c r="T252" s="68" t="s">
        <v>93</v>
      </c>
      <c r="U252" s="68" t="s">
        <v>93</v>
      </c>
      <c r="V252" s="68" t="s">
        <v>93</v>
      </c>
      <c r="W252" s="68" t="s">
        <v>93</v>
      </c>
      <c r="X252" s="68" t="s">
        <v>93</v>
      </c>
      <c r="Y252" s="68" t="s">
        <v>93</v>
      </c>
      <c r="Z252" s="68" t="s">
        <v>94</v>
      </c>
      <c r="AA252" s="68" t="s">
        <v>93</v>
      </c>
      <c r="AB252" s="68" t="s">
        <v>93</v>
      </c>
      <c r="AC252" s="68" t="s">
        <v>93</v>
      </c>
      <c r="AD252" s="68" t="s">
        <v>93</v>
      </c>
      <c r="AE252" s="68" t="s">
        <v>93</v>
      </c>
      <c r="AF252" s="68" t="s">
        <v>93</v>
      </c>
      <c r="AG252" s="68" t="s">
        <v>93</v>
      </c>
      <c r="AH252" s="68" t="s">
        <v>93</v>
      </c>
      <c r="AI252" s="68" t="s">
        <v>93</v>
      </c>
      <c r="AJ252" s="68" t="s">
        <v>93</v>
      </c>
      <c r="AK252" s="68" t="s">
        <v>93</v>
      </c>
      <c r="AL252" s="68" t="s">
        <v>93</v>
      </c>
      <c r="AM252" s="68" t="s">
        <v>93</v>
      </c>
      <c r="AN252" s="68" t="s">
        <v>93</v>
      </c>
      <c r="AO252" s="68" t="s">
        <v>93</v>
      </c>
      <c r="AP252" s="68" t="s">
        <v>93</v>
      </c>
      <c r="AQ252" s="68" t="s">
        <v>93</v>
      </c>
      <c r="AR252" s="68" t="s">
        <v>93</v>
      </c>
      <c r="AS252" s="68" t="s">
        <v>93</v>
      </c>
      <c r="AT252" s="68" t="s">
        <v>93</v>
      </c>
      <c r="AU252" s="68" t="s">
        <v>93</v>
      </c>
      <c r="AV252" s="68" t="s">
        <v>93</v>
      </c>
      <c r="AW252" s="68" t="s">
        <v>93</v>
      </c>
      <c r="AX252" s="68" t="s">
        <v>93</v>
      </c>
      <c r="AY252" s="68" t="s">
        <v>93</v>
      </c>
      <c r="AZ252" s="68" t="s">
        <v>93</v>
      </c>
      <c r="BA252" s="68" t="s">
        <v>93</v>
      </c>
      <c r="BB252" s="68" t="s">
        <v>93</v>
      </c>
      <c r="BC252" s="68" t="s">
        <v>93</v>
      </c>
      <c r="BD252" s="68" t="s">
        <v>93</v>
      </c>
      <c r="BE252" s="68" t="s">
        <v>93</v>
      </c>
      <c r="BF252" s="68" t="s">
        <v>93</v>
      </c>
      <c r="BG252" s="68" t="s">
        <v>93</v>
      </c>
      <c r="BH252" s="68" t="s">
        <v>93</v>
      </c>
      <c r="BI252" s="68" t="s">
        <v>93</v>
      </c>
      <c r="BJ252" s="68" t="s">
        <v>93</v>
      </c>
      <c r="BK252" s="68" t="s">
        <v>93</v>
      </c>
      <c r="BL252" s="68" t="s">
        <v>93</v>
      </c>
      <c r="BM252" s="68" t="s">
        <v>93</v>
      </c>
      <c r="BN252" s="68" t="s">
        <v>93</v>
      </c>
      <c r="BO252" s="68" t="s">
        <v>93</v>
      </c>
      <c r="BP252" s="69" t="s">
        <v>93</v>
      </c>
    </row>
    <row r="253" spans="2:68" x14ac:dyDescent="0.25">
      <c r="B253" s="64">
        <v>9</v>
      </c>
      <c r="C253" s="65">
        <v>36</v>
      </c>
      <c r="D253" s="65" t="s">
        <v>96</v>
      </c>
      <c r="E253" s="66">
        <f>'[3]Master File'!B252</f>
        <v>46266</v>
      </c>
      <c r="F253" s="67" t="str">
        <f>'[3]Master File'!C252</f>
        <v>Explorer + 5PM</v>
      </c>
      <c r="G253" s="46"/>
      <c r="I253" s="68" t="s">
        <v>93</v>
      </c>
      <c r="J253" s="68" t="s">
        <v>93</v>
      </c>
      <c r="K253" s="68" t="s">
        <v>93</v>
      </c>
      <c r="L253" s="68" t="s">
        <v>94</v>
      </c>
      <c r="M253" s="68" t="s">
        <v>93</v>
      </c>
      <c r="N253" s="68" t="s">
        <v>93</v>
      </c>
      <c r="O253" s="68" t="s">
        <v>93</v>
      </c>
      <c r="P253" s="68" t="s">
        <v>93</v>
      </c>
      <c r="Q253" s="68" t="s">
        <v>93</v>
      </c>
      <c r="R253" s="68" t="s">
        <v>93</v>
      </c>
      <c r="S253" s="68" t="s">
        <v>93</v>
      </c>
      <c r="T253" s="68" t="s">
        <v>93</v>
      </c>
      <c r="U253" s="68" t="s">
        <v>93</v>
      </c>
      <c r="V253" s="68" t="s">
        <v>93</v>
      </c>
      <c r="W253" s="68" t="s">
        <v>93</v>
      </c>
      <c r="X253" s="68" t="s">
        <v>93</v>
      </c>
      <c r="Y253" s="68" t="s">
        <v>93</v>
      </c>
      <c r="Z253" s="68" t="s">
        <v>94</v>
      </c>
      <c r="AA253" s="68" t="s">
        <v>93</v>
      </c>
      <c r="AB253" s="68" t="s">
        <v>93</v>
      </c>
      <c r="AC253" s="68" t="s">
        <v>93</v>
      </c>
      <c r="AD253" s="68" t="s">
        <v>93</v>
      </c>
      <c r="AE253" s="68" t="s">
        <v>93</v>
      </c>
      <c r="AF253" s="68" t="s">
        <v>93</v>
      </c>
      <c r="AG253" s="68" t="s">
        <v>93</v>
      </c>
      <c r="AH253" s="68" t="s">
        <v>93</v>
      </c>
      <c r="AI253" s="68" t="s">
        <v>93</v>
      </c>
      <c r="AJ253" s="68" t="s">
        <v>93</v>
      </c>
      <c r="AK253" s="68" t="s">
        <v>93</v>
      </c>
      <c r="AL253" s="68" t="s">
        <v>93</v>
      </c>
      <c r="AM253" s="68" t="s">
        <v>93</v>
      </c>
      <c r="AN253" s="68" t="s">
        <v>93</v>
      </c>
      <c r="AO253" s="68" t="s">
        <v>93</v>
      </c>
      <c r="AP253" s="68" t="s">
        <v>93</v>
      </c>
      <c r="AQ253" s="68" t="s">
        <v>93</v>
      </c>
      <c r="AR253" s="68" t="s">
        <v>93</v>
      </c>
      <c r="AS253" s="68" t="s">
        <v>93</v>
      </c>
      <c r="AT253" s="68" t="s">
        <v>93</v>
      </c>
      <c r="AU253" s="68" t="s">
        <v>93</v>
      </c>
      <c r="AV253" s="68" t="s">
        <v>93</v>
      </c>
      <c r="AW253" s="68" t="s">
        <v>93</v>
      </c>
      <c r="AX253" s="68" t="s">
        <v>93</v>
      </c>
      <c r="AY253" s="68" t="s">
        <v>93</v>
      </c>
      <c r="AZ253" s="68" t="s">
        <v>93</v>
      </c>
      <c r="BA253" s="68" t="s">
        <v>93</v>
      </c>
      <c r="BB253" s="68" t="s">
        <v>93</v>
      </c>
      <c r="BC253" s="68" t="s">
        <v>93</v>
      </c>
      <c r="BD253" s="68" t="s">
        <v>93</v>
      </c>
      <c r="BE253" s="68" t="s">
        <v>93</v>
      </c>
      <c r="BF253" s="68" t="s">
        <v>93</v>
      </c>
      <c r="BG253" s="68" t="s">
        <v>93</v>
      </c>
      <c r="BH253" s="68" t="s">
        <v>93</v>
      </c>
      <c r="BI253" s="68" t="s">
        <v>93</v>
      </c>
      <c r="BJ253" s="68" t="s">
        <v>93</v>
      </c>
      <c r="BK253" s="68" t="s">
        <v>93</v>
      </c>
      <c r="BL253" s="68" t="s">
        <v>93</v>
      </c>
      <c r="BM253" s="68" t="s">
        <v>93</v>
      </c>
      <c r="BN253" s="68" t="s">
        <v>93</v>
      </c>
      <c r="BO253" s="68" t="s">
        <v>93</v>
      </c>
      <c r="BP253" s="69" t="s">
        <v>93</v>
      </c>
    </row>
    <row r="254" spans="2:68" x14ac:dyDescent="0.25">
      <c r="B254" s="64">
        <v>9</v>
      </c>
      <c r="C254" s="65">
        <v>36</v>
      </c>
      <c r="D254" s="65" t="s">
        <v>97</v>
      </c>
      <c r="E254" s="66">
        <f>'[3]Master File'!B253</f>
        <v>46267</v>
      </c>
      <c r="F254" s="67" t="str">
        <f>'[3]Master File'!C253</f>
        <v>Explorer + 5PM</v>
      </c>
      <c r="G254" s="46"/>
      <c r="I254" s="68" t="s">
        <v>93</v>
      </c>
      <c r="J254" s="68" t="s">
        <v>93</v>
      </c>
      <c r="K254" s="68" t="s">
        <v>93</v>
      </c>
      <c r="L254" s="68" t="s">
        <v>94</v>
      </c>
      <c r="M254" s="68" t="s">
        <v>93</v>
      </c>
      <c r="N254" s="68" t="s">
        <v>93</v>
      </c>
      <c r="O254" s="68" t="s">
        <v>93</v>
      </c>
      <c r="P254" s="68" t="s">
        <v>93</v>
      </c>
      <c r="Q254" s="68" t="s">
        <v>93</v>
      </c>
      <c r="R254" s="68" t="s">
        <v>93</v>
      </c>
      <c r="S254" s="68" t="s">
        <v>93</v>
      </c>
      <c r="T254" s="68" t="s">
        <v>93</v>
      </c>
      <c r="U254" s="68" t="s">
        <v>93</v>
      </c>
      <c r="V254" s="68" t="s">
        <v>93</v>
      </c>
      <c r="W254" s="68" t="s">
        <v>93</v>
      </c>
      <c r="X254" s="68" t="s">
        <v>93</v>
      </c>
      <c r="Y254" s="68" t="s">
        <v>93</v>
      </c>
      <c r="Z254" s="68" t="s">
        <v>94</v>
      </c>
      <c r="AA254" s="68" t="s">
        <v>93</v>
      </c>
      <c r="AB254" s="68" t="s">
        <v>93</v>
      </c>
      <c r="AC254" s="68" t="s">
        <v>93</v>
      </c>
      <c r="AD254" s="68" t="s">
        <v>93</v>
      </c>
      <c r="AE254" s="68" t="s">
        <v>93</v>
      </c>
      <c r="AF254" s="68" t="s">
        <v>93</v>
      </c>
      <c r="AG254" s="68" t="s">
        <v>93</v>
      </c>
      <c r="AH254" s="68" t="s">
        <v>93</v>
      </c>
      <c r="AI254" s="68" t="s">
        <v>93</v>
      </c>
      <c r="AJ254" s="68" t="s">
        <v>93</v>
      </c>
      <c r="AK254" s="68" t="s">
        <v>93</v>
      </c>
      <c r="AL254" s="68" t="s">
        <v>93</v>
      </c>
      <c r="AM254" s="68" t="s">
        <v>93</v>
      </c>
      <c r="AN254" s="68" t="s">
        <v>93</v>
      </c>
      <c r="AO254" s="68" t="s">
        <v>93</v>
      </c>
      <c r="AP254" s="68" t="s">
        <v>93</v>
      </c>
      <c r="AQ254" s="68" t="s">
        <v>93</v>
      </c>
      <c r="AR254" s="68" t="s">
        <v>93</v>
      </c>
      <c r="AS254" s="68" t="s">
        <v>93</v>
      </c>
      <c r="AT254" s="68" t="s">
        <v>93</v>
      </c>
      <c r="AU254" s="68" t="s">
        <v>93</v>
      </c>
      <c r="AV254" s="68" t="s">
        <v>93</v>
      </c>
      <c r="AW254" s="68" t="s">
        <v>93</v>
      </c>
      <c r="AX254" s="68" t="s">
        <v>93</v>
      </c>
      <c r="AY254" s="68" t="s">
        <v>93</v>
      </c>
      <c r="AZ254" s="68" t="s">
        <v>93</v>
      </c>
      <c r="BA254" s="68" t="s">
        <v>93</v>
      </c>
      <c r="BB254" s="68" t="s">
        <v>93</v>
      </c>
      <c r="BC254" s="68" t="s">
        <v>93</v>
      </c>
      <c r="BD254" s="68" t="s">
        <v>93</v>
      </c>
      <c r="BE254" s="68" t="s">
        <v>93</v>
      </c>
      <c r="BF254" s="68" t="s">
        <v>93</v>
      </c>
      <c r="BG254" s="68" t="s">
        <v>93</v>
      </c>
      <c r="BH254" s="68" t="s">
        <v>93</v>
      </c>
      <c r="BI254" s="68" t="s">
        <v>93</v>
      </c>
      <c r="BJ254" s="68" t="s">
        <v>93</v>
      </c>
      <c r="BK254" s="68" t="s">
        <v>93</v>
      </c>
      <c r="BL254" s="68" t="s">
        <v>93</v>
      </c>
      <c r="BM254" s="68" t="s">
        <v>93</v>
      </c>
      <c r="BN254" s="68" t="s">
        <v>93</v>
      </c>
      <c r="BO254" s="68" t="s">
        <v>93</v>
      </c>
      <c r="BP254" s="69" t="s">
        <v>93</v>
      </c>
    </row>
    <row r="255" spans="2:68" x14ac:dyDescent="0.25">
      <c r="B255" s="64">
        <v>9</v>
      </c>
      <c r="C255" s="65">
        <v>36</v>
      </c>
      <c r="D255" s="65" t="s">
        <v>98</v>
      </c>
      <c r="E255" s="66">
        <f>'[3]Master File'!B254</f>
        <v>46268</v>
      </c>
      <c r="F255" s="67" t="str">
        <f>'[3]Master File'!C254</f>
        <v>Lodge 5PM</v>
      </c>
      <c r="G255" s="46"/>
      <c r="I255" s="68" t="s">
        <v>93</v>
      </c>
      <c r="J255" s="68" t="s">
        <v>93</v>
      </c>
      <c r="K255" s="68" t="s">
        <v>93</v>
      </c>
      <c r="L255" s="68" t="s">
        <v>94</v>
      </c>
      <c r="M255" s="68" t="s">
        <v>93</v>
      </c>
      <c r="N255" s="68" t="s">
        <v>93</v>
      </c>
      <c r="O255" s="68" t="s">
        <v>93</v>
      </c>
      <c r="P255" s="68" t="s">
        <v>93</v>
      </c>
      <c r="Q255" s="68" t="s">
        <v>93</v>
      </c>
      <c r="R255" s="68" t="s">
        <v>93</v>
      </c>
      <c r="S255" s="68" t="s">
        <v>93</v>
      </c>
      <c r="T255" s="68" t="s">
        <v>93</v>
      </c>
      <c r="U255" s="68" t="s">
        <v>93</v>
      </c>
      <c r="V255" s="68" t="s">
        <v>93</v>
      </c>
      <c r="W255" s="68" t="s">
        <v>93</v>
      </c>
      <c r="X255" s="68" t="s">
        <v>93</v>
      </c>
      <c r="Y255" s="68" t="s">
        <v>93</v>
      </c>
      <c r="Z255" s="68" t="s">
        <v>94</v>
      </c>
      <c r="AA255" s="68" t="s">
        <v>93</v>
      </c>
      <c r="AB255" s="68" t="s">
        <v>93</v>
      </c>
      <c r="AC255" s="68" t="s">
        <v>93</v>
      </c>
      <c r="AD255" s="68" t="s">
        <v>93</v>
      </c>
      <c r="AE255" s="68" t="s">
        <v>93</v>
      </c>
      <c r="AF255" s="68" t="s">
        <v>93</v>
      </c>
      <c r="AG255" s="68" t="s">
        <v>93</v>
      </c>
      <c r="AH255" s="68" t="s">
        <v>93</v>
      </c>
      <c r="AI255" s="68" t="s">
        <v>93</v>
      </c>
      <c r="AJ255" s="68" t="s">
        <v>93</v>
      </c>
      <c r="AK255" s="68" t="s">
        <v>93</v>
      </c>
      <c r="AL255" s="68" t="s">
        <v>93</v>
      </c>
      <c r="AM255" s="68" t="s">
        <v>93</v>
      </c>
      <c r="AN255" s="68" t="s">
        <v>93</v>
      </c>
      <c r="AO255" s="68" t="s">
        <v>93</v>
      </c>
      <c r="AP255" s="68" t="s">
        <v>93</v>
      </c>
      <c r="AQ255" s="68" t="s">
        <v>93</v>
      </c>
      <c r="AR255" s="68" t="s">
        <v>93</v>
      </c>
      <c r="AS255" s="68" t="s">
        <v>93</v>
      </c>
      <c r="AT255" s="68" t="s">
        <v>93</v>
      </c>
      <c r="AU255" s="68" t="s">
        <v>93</v>
      </c>
      <c r="AV255" s="68" t="s">
        <v>93</v>
      </c>
      <c r="AW255" s="68" t="s">
        <v>93</v>
      </c>
      <c r="AX255" s="68" t="s">
        <v>93</v>
      </c>
      <c r="AY255" s="68" t="s">
        <v>93</v>
      </c>
      <c r="AZ255" s="68" t="s">
        <v>93</v>
      </c>
      <c r="BA255" s="68" t="s">
        <v>93</v>
      </c>
      <c r="BB255" s="68" t="s">
        <v>93</v>
      </c>
      <c r="BC255" s="68" t="s">
        <v>93</v>
      </c>
      <c r="BD255" s="68" t="s">
        <v>93</v>
      </c>
      <c r="BE255" s="68" t="s">
        <v>93</v>
      </c>
      <c r="BF255" s="68" t="s">
        <v>93</v>
      </c>
      <c r="BG255" s="68" t="s">
        <v>93</v>
      </c>
      <c r="BH255" s="68" t="s">
        <v>93</v>
      </c>
      <c r="BI255" s="68" t="s">
        <v>93</v>
      </c>
      <c r="BJ255" s="68" t="s">
        <v>93</v>
      </c>
      <c r="BK255" s="68" t="s">
        <v>93</v>
      </c>
      <c r="BL255" s="68" t="s">
        <v>93</v>
      </c>
      <c r="BM255" s="68" t="s">
        <v>93</v>
      </c>
      <c r="BN255" s="68" t="s">
        <v>93</v>
      </c>
      <c r="BO255" s="68" t="s">
        <v>93</v>
      </c>
      <c r="BP255" s="69" t="s">
        <v>93</v>
      </c>
    </row>
    <row r="256" spans="2:68" x14ac:dyDescent="0.25">
      <c r="B256" s="64">
        <v>9</v>
      </c>
      <c r="C256" s="65">
        <v>36</v>
      </c>
      <c r="D256" s="65" t="s">
        <v>99</v>
      </c>
      <c r="E256" s="66">
        <f>'[3]Master File'!B255</f>
        <v>46269</v>
      </c>
      <c r="F256" s="67" t="str">
        <f>'[3]Master File'!C255</f>
        <v>Lodge 5PM</v>
      </c>
      <c r="G256" s="46"/>
      <c r="I256" s="68" t="s">
        <v>93</v>
      </c>
      <c r="J256" s="68" t="s">
        <v>93</v>
      </c>
      <c r="K256" s="68" t="s">
        <v>93</v>
      </c>
      <c r="L256" s="68" t="s">
        <v>94</v>
      </c>
      <c r="M256" s="68" t="s">
        <v>93</v>
      </c>
      <c r="N256" s="68" t="s">
        <v>93</v>
      </c>
      <c r="O256" s="68" t="s">
        <v>93</v>
      </c>
      <c r="P256" s="68" t="s">
        <v>93</v>
      </c>
      <c r="Q256" s="68" t="s">
        <v>93</v>
      </c>
      <c r="R256" s="68" t="s">
        <v>93</v>
      </c>
      <c r="S256" s="68" t="s">
        <v>93</v>
      </c>
      <c r="T256" s="68" t="s">
        <v>93</v>
      </c>
      <c r="U256" s="68" t="s">
        <v>93</v>
      </c>
      <c r="V256" s="68" t="s">
        <v>93</v>
      </c>
      <c r="W256" s="68" t="s">
        <v>93</v>
      </c>
      <c r="X256" s="68" t="s">
        <v>93</v>
      </c>
      <c r="Y256" s="68" t="s">
        <v>93</v>
      </c>
      <c r="Z256" s="68" t="s">
        <v>94</v>
      </c>
      <c r="AA256" s="68" t="s">
        <v>93</v>
      </c>
      <c r="AB256" s="68" t="s">
        <v>93</v>
      </c>
      <c r="AC256" s="68" t="s">
        <v>93</v>
      </c>
      <c r="AD256" s="68" t="s">
        <v>93</v>
      </c>
      <c r="AE256" s="68" t="s">
        <v>93</v>
      </c>
      <c r="AF256" s="68" t="s">
        <v>93</v>
      </c>
      <c r="AG256" s="68" t="s">
        <v>93</v>
      </c>
      <c r="AH256" s="68" t="s">
        <v>93</v>
      </c>
      <c r="AI256" s="68" t="s">
        <v>93</v>
      </c>
      <c r="AJ256" s="68" t="s">
        <v>93</v>
      </c>
      <c r="AK256" s="68" t="s">
        <v>93</v>
      </c>
      <c r="AL256" s="68" t="s">
        <v>93</v>
      </c>
      <c r="AM256" s="68" t="s">
        <v>93</v>
      </c>
      <c r="AN256" s="68" t="s">
        <v>93</v>
      </c>
      <c r="AO256" s="68" t="s">
        <v>93</v>
      </c>
      <c r="AP256" s="68" t="s">
        <v>93</v>
      </c>
      <c r="AQ256" s="68" t="s">
        <v>93</v>
      </c>
      <c r="AR256" s="68" t="s">
        <v>93</v>
      </c>
      <c r="AS256" s="68" t="s">
        <v>93</v>
      </c>
      <c r="AT256" s="68" t="s">
        <v>93</v>
      </c>
      <c r="AU256" s="68" t="s">
        <v>93</v>
      </c>
      <c r="AV256" s="68" t="s">
        <v>93</v>
      </c>
      <c r="AW256" s="68" t="s">
        <v>93</v>
      </c>
      <c r="AX256" s="68" t="s">
        <v>93</v>
      </c>
      <c r="AY256" s="68" t="s">
        <v>93</v>
      </c>
      <c r="AZ256" s="68" t="s">
        <v>93</v>
      </c>
      <c r="BA256" s="68" t="s">
        <v>93</v>
      </c>
      <c r="BB256" s="68" t="s">
        <v>93</v>
      </c>
      <c r="BC256" s="68" t="s">
        <v>93</v>
      </c>
      <c r="BD256" s="68" t="s">
        <v>93</v>
      </c>
      <c r="BE256" s="68" t="s">
        <v>93</v>
      </c>
      <c r="BF256" s="68" t="s">
        <v>93</v>
      </c>
      <c r="BG256" s="68" t="s">
        <v>93</v>
      </c>
      <c r="BH256" s="68" t="s">
        <v>93</v>
      </c>
      <c r="BI256" s="68" t="s">
        <v>93</v>
      </c>
      <c r="BJ256" s="68" t="s">
        <v>93</v>
      </c>
      <c r="BK256" s="68" t="s">
        <v>93</v>
      </c>
      <c r="BL256" s="68" t="s">
        <v>93</v>
      </c>
      <c r="BM256" s="68" t="s">
        <v>93</v>
      </c>
      <c r="BN256" s="68" t="s">
        <v>93</v>
      </c>
      <c r="BO256" s="68" t="s">
        <v>93</v>
      </c>
      <c r="BP256" s="69" t="s">
        <v>93</v>
      </c>
    </row>
    <row r="257" spans="2:68" x14ac:dyDescent="0.25">
      <c r="B257" s="64">
        <v>9</v>
      </c>
      <c r="C257" s="65">
        <v>36</v>
      </c>
      <c r="D257" s="65" t="s">
        <v>100</v>
      </c>
      <c r="E257" s="66">
        <f>'[3]Master File'!B256</f>
        <v>46270</v>
      </c>
      <c r="F257" s="67" t="str">
        <f>'[3]Master File'!C256</f>
        <v>Explorer 6PM</v>
      </c>
      <c r="G257" s="46"/>
      <c r="I257" s="74" t="s">
        <v>93</v>
      </c>
      <c r="J257" s="74" t="s">
        <v>93</v>
      </c>
      <c r="K257" s="74" t="s">
        <v>93</v>
      </c>
      <c r="L257" s="68" t="s">
        <v>94</v>
      </c>
      <c r="M257" s="74" t="s">
        <v>93</v>
      </c>
      <c r="N257" s="74" t="s">
        <v>93</v>
      </c>
      <c r="O257" s="74" t="s">
        <v>93</v>
      </c>
      <c r="P257" s="74" t="s">
        <v>93</v>
      </c>
      <c r="Q257" s="74" t="s">
        <v>93</v>
      </c>
      <c r="R257" s="74" t="s">
        <v>93</v>
      </c>
      <c r="S257" s="74" t="s">
        <v>93</v>
      </c>
      <c r="T257" s="74" t="s">
        <v>93</v>
      </c>
      <c r="U257" s="74" t="s">
        <v>93</v>
      </c>
      <c r="V257" s="74" t="s">
        <v>93</v>
      </c>
      <c r="W257" s="74" t="s">
        <v>93</v>
      </c>
      <c r="X257" s="74" t="s">
        <v>93</v>
      </c>
      <c r="Y257" s="74" t="s">
        <v>93</v>
      </c>
      <c r="Z257" s="68" t="s">
        <v>94</v>
      </c>
      <c r="AA257" s="74" t="s">
        <v>93</v>
      </c>
      <c r="AB257" s="74" t="s">
        <v>93</v>
      </c>
      <c r="AC257" s="74" t="s">
        <v>93</v>
      </c>
      <c r="AD257" s="74" t="s">
        <v>94</v>
      </c>
      <c r="AE257" s="74" t="s">
        <v>94</v>
      </c>
      <c r="AF257" s="74" t="s">
        <v>93</v>
      </c>
      <c r="AG257" s="74" t="s">
        <v>93</v>
      </c>
      <c r="AH257" s="74" t="s">
        <v>93</v>
      </c>
      <c r="AI257" s="74" t="s">
        <v>93</v>
      </c>
      <c r="AJ257" s="74" t="s">
        <v>93</v>
      </c>
      <c r="AK257" s="74" t="s">
        <v>93</v>
      </c>
      <c r="AL257" s="74" t="s">
        <v>93</v>
      </c>
      <c r="AM257" s="74" t="s">
        <v>93</v>
      </c>
      <c r="AN257" s="74" t="s">
        <v>93</v>
      </c>
      <c r="AO257" s="74" t="s">
        <v>93</v>
      </c>
      <c r="AP257" s="74" t="s">
        <v>93</v>
      </c>
      <c r="AQ257" s="74" t="s">
        <v>93</v>
      </c>
      <c r="AR257" s="74" t="s">
        <v>93</v>
      </c>
      <c r="AS257" s="74" t="s">
        <v>93</v>
      </c>
      <c r="AT257" s="74" t="s">
        <v>93</v>
      </c>
      <c r="AU257" s="74" t="s">
        <v>93</v>
      </c>
      <c r="AV257" s="74" t="s">
        <v>93</v>
      </c>
      <c r="AW257" s="74" t="s">
        <v>93</v>
      </c>
      <c r="AX257" s="74" t="s">
        <v>93</v>
      </c>
      <c r="AY257" s="74" t="s">
        <v>93</v>
      </c>
      <c r="AZ257" s="74" t="s">
        <v>93</v>
      </c>
      <c r="BA257" s="74" t="s">
        <v>93</v>
      </c>
      <c r="BB257" s="74" t="s">
        <v>93</v>
      </c>
      <c r="BC257" s="74" t="s">
        <v>93</v>
      </c>
      <c r="BD257" s="74" t="s">
        <v>93</v>
      </c>
      <c r="BE257" s="74" t="s">
        <v>93</v>
      </c>
      <c r="BF257" s="74" t="s">
        <v>93</v>
      </c>
      <c r="BG257" s="74" t="s">
        <v>93</v>
      </c>
      <c r="BH257" s="74" t="s">
        <v>93</v>
      </c>
      <c r="BI257" s="74" t="s">
        <v>93</v>
      </c>
      <c r="BJ257" s="74" t="s">
        <v>93</v>
      </c>
      <c r="BK257" s="74" t="s">
        <v>93</v>
      </c>
      <c r="BL257" s="74" t="s">
        <v>93</v>
      </c>
      <c r="BM257" s="74" t="s">
        <v>93</v>
      </c>
      <c r="BN257" s="74" t="s">
        <v>93</v>
      </c>
      <c r="BO257" s="74" t="s">
        <v>93</v>
      </c>
      <c r="BP257" s="75" t="s">
        <v>93</v>
      </c>
    </row>
    <row r="258" spans="2:68" x14ac:dyDescent="0.25">
      <c r="B258" s="64">
        <v>9</v>
      </c>
      <c r="C258" s="65">
        <v>37</v>
      </c>
      <c r="D258" s="65" t="s">
        <v>92</v>
      </c>
      <c r="E258" s="66">
        <f>'[3]Master File'!B257</f>
        <v>46271</v>
      </c>
      <c r="F258" s="67" t="str">
        <f>'[3]Master File'!C257</f>
        <v>Explorer 6PM</v>
      </c>
      <c r="G258" s="46"/>
      <c r="I258" s="74" t="s">
        <v>93</v>
      </c>
      <c r="J258" s="74" t="s">
        <v>93</v>
      </c>
      <c r="K258" s="74" t="s">
        <v>93</v>
      </c>
      <c r="L258" s="68" t="s">
        <v>94</v>
      </c>
      <c r="M258" s="74" t="s">
        <v>93</v>
      </c>
      <c r="N258" s="74" t="s">
        <v>93</v>
      </c>
      <c r="O258" s="74" t="s">
        <v>93</v>
      </c>
      <c r="P258" s="74" t="s">
        <v>93</v>
      </c>
      <c r="Q258" s="74" t="s">
        <v>93</v>
      </c>
      <c r="R258" s="74" t="s">
        <v>93</v>
      </c>
      <c r="S258" s="74" t="s">
        <v>93</v>
      </c>
      <c r="T258" s="74" t="s">
        <v>93</v>
      </c>
      <c r="U258" s="74" t="s">
        <v>93</v>
      </c>
      <c r="V258" s="74" t="s">
        <v>93</v>
      </c>
      <c r="W258" s="74" t="s">
        <v>93</v>
      </c>
      <c r="X258" s="74" t="s">
        <v>93</v>
      </c>
      <c r="Y258" s="74" t="s">
        <v>93</v>
      </c>
      <c r="Z258" s="68" t="s">
        <v>94</v>
      </c>
      <c r="AA258" s="74" t="s">
        <v>93</v>
      </c>
      <c r="AB258" s="74" t="s">
        <v>93</v>
      </c>
      <c r="AC258" s="74" t="s">
        <v>93</v>
      </c>
      <c r="AD258" s="74" t="s">
        <v>94</v>
      </c>
      <c r="AE258" s="74" t="s">
        <v>94</v>
      </c>
      <c r="AF258" s="74" t="s">
        <v>93</v>
      </c>
      <c r="AG258" s="74" t="s">
        <v>93</v>
      </c>
      <c r="AH258" s="74" t="s">
        <v>93</v>
      </c>
      <c r="AI258" s="74" t="s">
        <v>93</v>
      </c>
      <c r="AJ258" s="74" t="s">
        <v>93</v>
      </c>
      <c r="AK258" s="74" t="s">
        <v>93</v>
      </c>
      <c r="AL258" s="74" t="s">
        <v>93</v>
      </c>
      <c r="AM258" s="74" t="s">
        <v>93</v>
      </c>
      <c r="AN258" s="74" t="s">
        <v>93</v>
      </c>
      <c r="AO258" s="74" t="s">
        <v>93</v>
      </c>
      <c r="AP258" s="74" t="s">
        <v>93</v>
      </c>
      <c r="AQ258" s="74" t="s">
        <v>93</v>
      </c>
      <c r="AR258" s="74" t="s">
        <v>93</v>
      </c>
      <c r="AS258" s="74" t="s">
        <v>93</v>
      </c>
      <c r="AT258" s="74" t="s">
        <v>93</v>
      </c>
      <c r="AU258" s="74" t="s">
        <v>93</v>
      </c>
      <c r="AV258" s="74" t="s">
        <v>93</v>
      </c>
      <c r="AW258" s="74" t="s">
        <v>93</v>
      </c>
      <c r="AX258" s="74" t="s">
        <v>93</v>
      </c>
      <c r="AY258" s="74" t="s">
        <v>93</v>
      </c>
      <c r="AZ258" s="74" t="s">
        <v>93</v>
      </c>
      <c r="BA258" s="74" t="s">
        <v>93</v>
      </c>
      <c r="BB258" s="74" t="s">
        <v>93</v>
      </c>
      <c r="BC258" s="74" t="s">
        <v>93</v>
      </c>
      <c r="BD258" s="74" t="s">
        <v>93</v>
      </c>
      <c r="BE258" s="74" t="s">
        <v>93</v>
      </c>
      <c r="BF258" s="74" t="s">
        <v>93</v>
      </c>
      <c r="BG258" s="74" t="s">
        <v>93</v>
      </c>
      <c r="BH258" s="74" t="s">
        <v>93</v>
      </c>
      <c r="BI258" s="74" t="s">
        <v>93</v>
      </c>
      <c r="BJ258" s="74" t="s">
        <v>93</v>
      </c>
      <c r="BK258" s="74" t="s">
        <v>93</v>
      </c>
      <c r="BL258" s="74" t="s">
        <v>93</v>
      </c>
      <c r="BM258" s="74" t="s">
        <v>93</v>
      </c>
      <c r="BN258" s="74" t="s">
        <v>93</v>
      </c>
      <c r="BO258" s="74" t="s">
        <v>93</v>
      </c>
      <c r="BP258" s="75" t="s">
        <v>93</v>
      </c>
    </row>
    <row r="259" spans="2:68" x14ac:dyDescent="0.25">
      <c r="B259" s="64">
        <v>9</v>
      </c>
      <c r="C259" s="65">
        <v>37</v>
      </c>
      <c r="D259" s="65" t="s">
        <v>95</v>
      </c>
      <c r="E259" s="66">
        <f>'[3]Master File'!B258</f>
        <v>46272</v>
      </c>
      <c r="F259" s="67" t="str">
        <f>'[3]Master File'!C258</f>
        <v>Lodge 5PM</v>
      </c>
      <c r="G259" s="46"/>
      <c r="I259" s="68" t="s">
        <v>93</v>
      </c>
      <c r="J259" s="68" t="s">
        <v>93</v>
      </c>
      <c r="K259" s="68" t="s">
        <v>93</v>
      </c>
      <c r="L259" s="68" t="s">
        <v>94</v>
      </c>
      <c r="M259" s="68" t="s">
        <v>93</v>
      </c>
      <c r="N259" s="68" t="s">
        <v>93</v>
      </c>
      <c r="O259" s="68" t="s">
        <v>93</v>
      </c>
      <c r="P259" s="68" t="s">
        <v>93</v>
      </c>
      <c r="Q259" s="68" t="s">
        <v>93</v>
      </c>
      <c r="R259" s="68" t="s">
        <v>93</v>
      </c>
      <c r="S259" s="68" t="s">
        <v>93</v>
      </c>
      <c r="T259" s="68" t="s">
        <v>93</v>
      </c>
      <c r="U259" s="68" t="s">
        <v>93</v>
      </c>
      <c r="V259" s="68" t="s">
        <v>93</v>
      </c>
      <c r="W259" s="68" t="s">
        <v>93</v>
      </c>
      <c r="X259" s="68" t="s">
        <v>93</v>
      </c>
      <c r="Y259" s="68" t="s">
        <v>93</v>
      </c>
      <c r="Z259" s="68" t="s">
        <v>94</v>
      </c>
      <c r="AA259" s="68" t="s">
        <v>93</v>
      </c>
      <c r="AB259" s="68" t="s">
        <v>93</v>
      </c>
      <c r="AC259" s="68" t="s">
        <v>93</v>
      </c>
      <c r="AD259" s="68" t="s">
        <v>93</v>
      </c>
      <c r="AE259" s="68" t="s">
        <v>93</v>
      </c>
      <c r="AF259" s="68" t="s">
        <v>93</v>
      </c>
      <c r="AG259" s="68" t="s">
        <v>93</v>
      </c>
      <c r="AH259" s="68" t="s">
        <v>93</v>
      </c>
      <c r="AI259" s="68" t="s">
        <v>93</v>
      </c>
      <c r="AJ259" s="68" t="s">
        <v>93</v>
      </c>
      <c r="AK259" s="68" t="s">
        <v>93</v>
      </c>
      <c r="AL259" s="68" t="s">
        <v>93</v>
      </c>
      <c r="AM259" s="68" t="s">
        <v>93</v>
      </c>
      <c r="AN259" s="68" t="s">
        <v>93</v>
      </c>
      <c r="AO259" s="68" t="s">
        <v>93</v>
      </c>
      <c r="AP259" s="68" t="s">
        <v>93</v>
      </c>
      <c r="AQ259" s="68" t="s">
        <v>93</v>
      </c>
      <c r="AR259" s="68" t="s">
        <v>93</v>
      </c>
      <c r="AS259" s="68" t="s">
        <v>93</v>
      </c>
      <c r="AT259" s="68" t="s">
        <v>93</v>
      </c>
      <c r="AU259" s="68" t="s">
        <v>93</v>
      </c>
      <c r="AV259" s="68" t="s">
        <v>93</v>
      </c>
      <c r="AW259" s="68" t="s">
        <v>93</v>
      </c>
      <c r="AX259" s="68" t="s">
        <v>93</v>
      </c>
      <c r="AY259" s="68" t="s">
        <v>93</v>
      </c>
      <c r="AZ259" s="68" t="s">
        <v>93</v>
      </c>
      <c r="BA259" s="68" t="s">
        <v>93</v>
      </c>
      <c r="BB259" s="68" t="s">
        <v>93</v>
      </c>
      <c r="BC259" s="68" t="s">
        <v>93</v>
      </c>
      <c r="BD259" s="68" t="s">
        <v>93</v>
      </c>
      <c r="BE259" s="68" t="s">
        <v>93</v>
      </c>
      <c r="BF259" s="68" t="s">
        <v>93</v>
      </c>
      <c r="BG259" s="68" t="s">
        <v>93</v>
      </c>
      <c r="BH259" s="68" t="s">
        <v>93</v>
      </c>
      <c r="BI259" s="68" t="s">
        <v>93</v>
      </c>
      <c r="BJ259" s="68" t="s">
        <v>93</v>
      </c>
      <c r="BK259" s="68" t="s">
        <v>93</v>
      </c>
      <c r="BL259" s="68" t="s">
        <v>93</v>
      </c>
      <c r="BM259" s="68" t="s">
        <v>93</v>
      </c>
      <c r="BN259" s="68" t="s">
        <v>93</v>
      </c>
      <c r="BO259" s="68" t="s">
        <v>93</v>
      </c>
      <c r="BP259" s="69" t="s">
        <v>93</v>
      </c>
    </row>
    <row r="260" spans="2:68" x14ac:dyDescent="0.25">
      <c r="B260" s="64">
        <v>9</v>
      </c>
      <c r="C260" s="65">
        <v>37</v>
      </c>
      <c r="D260" s="65" t="s">
        <v>96</v>
      </c>
      <c r="E260" s="66">
        <f>'[3]Master File'!B259</f>
        <v>46273</v>
      </c>
      <c r="F260" s="67" t="str">
        <f>'[3]Master File'!C259</f>
        <v>Closed</v>
      </c>
      <c r="G260" s="46"/>
      <c r="I260" s="68" t="s">
        <v>93</v>
      </c>
      <c r="J260" s="68" t="s">
        <v>93</v>
      </c>
      <c r="K260" s="68" t="s">
        <v>93</v>
      </c>
      <c r="L260" s="68" t="s">
        <v>94</v>
      </c>
      <c r="M260" s="68" t="s">
        <v>93</v>
      </c>
      <c r="N260" s="68" t="s">
        <v>93</v>
      </c>
      <c r="O260" s="68" t="s">
        <v>93</v>
      </c>
      <c r="P260" s="68" t="s">
        <v>93</v>
      </c>
      <c r="Q260" s="68" t="s">
        <v>93</v>
      </c>
      <c r="R260" s="68" t="s">
        <v>93</v>
      </c>
      <c r="S260" s="68" t="s">
        <v>93</v>
      </c>
      <c r="T260" s="68" t="s">
        <v>93</v>
      </c>
      <c r="U260" s="68" t="s">
        <v>93</v>
      </c>
      <c r="V260" s="68" t="s">
        <v>93</v>
      </c>
      <c r="W260" s="68" t="s">
        <v>93</v>
      </c>
      <c r="X260" s="68" t="s">
        <v>93</v>
      </c>
      <c r="Y260" s="68" t="s">
        <v>93</v>
      </c>
      <c r="Z260" s="68" t="s">
        <v>94</v>
      </c>
      <c r="AA260" s="68" t="s">
        <v>93</v>
      </c>
      <c r="AB260" s="68" t="s">
        <v>93</v>
      </c>
      <c r="AC260" s="68" t="s">
        <v>93</v>
      </c>
      <c r="AD260" s="68" t="s">
        <v>93</v>
      </c>
      <c r="AE260" s="68" t="s">
        <v>93</v>
      </c>
      <c r="AF260" s="68" t="s">
        <v>93</v>
      </c>
      <c r="AG260" s="68" t="s">
        <v>93</v>
      </c>
      <c r="AH260" s="68" t="s">
        <v>93</v>
      </c>
      <c r="AI260" s="68" t="s">
        <v>93</v>
      </c>
      <c r="AJ260" s="68" t="s">
        <v>93</v>
      </c>
      <c r="AK260" s="68" t="s">
        <v>93</v>
      </c>
      <c r="AL260" s="68" t="s">
        <v>93</v>
      </c>
      <c r="AM260" s="68" t="s">
        <v>93</v>
      </c>
      <c r="AN260" s="68" t="s">
        <v>93</v>
      </c>
      <c r="AO260" s="68" t="s">
        <v>93</v>
      </c>
      <c r="AP260" s="68" t="s">
        <v>93</v>
      </c>
      <c r="AQ260" s="68" t="s">
        <v>93</v>
      </c>
      <c r="AR260" s="68" t="s">
        <v>93</v>
      </c>
      <c r="AS260" s="68" t="s">
        <v>93</v>
      </c>
      <c r="AT260" s="68" t="s">
        <v>93</v>
      </c>
      <c r="AU260" s="68" t="s">
        <v>93</v>
      </c>
      <c r="AV260" s="68" t="s">
        <v>93</v>
      </c>
      <c r="AW260" s="68" t="s">
        <v>93</v>
      </c>
      <c r="AX260" s="68" t="s">
        <v>93</v>
      </c>
      <c r="AY260" s="68" t="s">
        <v>93</v>
      </c>
      <c r="AZ260" s="68" t="s">
        <v>93</v>
      </c>
      <c r="BA260" s="68" t="s">
        <v>93</v>
      </c>
      <c r="BB260" s="68" t="s">
        <v>93</v>
      </c>
      <c r="BC260" s="68" t="s">
        <v>93</v>
      </c>
      <c r="BD260" s="68" t="s">
        <v>93</v>
      </c>
      <c r="BE260" s="68" t="s">
        <v>93</v>
      </c>
      <c r="BF260" s="68" t="s">
        <v>93</v>
      </c>
      <c r="BG260" s="68" t="s">
        <v>93</v>
      </c>
      <c r="BH260" s="68" t="s">
        <v>93</v>
      </c>
      <c r="BI260" s="68" t="s">
        <v>93</v>
      </c>
      <c r="BJ260" s="68" t="s">
        <v>93</v>
      </c>
      <c r="BK260" s="68" t="s">
        <v>93</v>
      </c>
      <c r="BL260" s="68" t="s">
        <v>93</v>
      </c>
      <c r="BM260" s="68" t="s">
        <v>93</v>
      </c>
      <c r="BN260" s="68" t="s">
        <v>93</v>
      </c>
      <c r="BO260" s="68" t="s">
        <v>93</v>
      </c>
      <c r="BP260" s="69" t="s">
        <v>93</v>
      </c>
    </row>
    <row r="261" spans="2:68" x14ac:dyDescent="0.25">
      <c r="B261" s="64">
        <v>9</v>
      </c>
      <c r="C261" s="65">
        <v>37</v>
      </c>
      <c r="D261" s="65" t="s">
        <v>97</v>
      </c>
      <c r="E261" s="66">
        <f>'[3]Master File'!B260</f>
        <v>46274</v>
      </c>
      <c r="F261" s="67" t="str">
        <f>'[3]Master File'!C260</f>
        <v>Closed</v>
      </c>
      <c r="G261" s="46"/>
      <c r="I261" s="68" t="s">
        <v>93</v>
      </c>
      <c r="J261" s="68" t="s">
        <v>93</v>
      </c>
      <c r="K261" s="68" t="s">
        <v>93</v>
      </c>
      <c r="L261" s="68" t="s">
        <v>94</v>
      </c>
      <c r="M261" s="68" t="s">
        <v>93</v>
      </c>
      <c r="N261" s="68" t="s">
        <v>93</v>
      </c>
      <c r="O261" s="68" t="s">
        <v>93</v>
      </c>
      <c r="P261" s="68" t="s">
        <v>93</v>
      </c>
      <c r="Q261" s="68" t="s">
        <v>93</v>
      </c>
      <c r="R261" s="68" t="s">
        <v>93</v>
      </c>
      <c r="S261" s="68" t="s">
        <v>93</v>
      </c>
      <c r="T261" s="68" t="s">
        <v>93</v>
      </c>
      <c r="U261" s="68" t="s">
        <v>93</v>
      </c>
      <c r="V261" s="68" t="s">
        <v>93</v>
      </c>
      <c r="W261" s="68" t="s">
        <v>93</v>
      </c>
      <c r="X261" s="68" t="s">
        <v>93</v>
      </c>
      <c r="Y261" s="68" t="s">
        <v>93</v>
      </c>
      <c r="Z261" s="68" t="s">
        <v>94</v>
      </c>
      <c r="AA261" s="68" t="s">
        <v>93</v>
      </c>
      <c r="AB261" s="68" t="s">
        <v>93</v>
      </c>
      <c r="AC261" s="68" t="s">
        <v>93</v>
      </c>
      <c r="AD261" s="68" t="s">
        <v>93</v>
      </c>
      <c r="AE261" s="68" t="s">
        <v>93</v>
      </c>
      <c r="AF261" s="68" t="s">
        <v>93</v>
      </c>
      <c r="AG261" s="68" t="s">
        <v>93</v>
      </c>
      <c r="AH261" s="68" t="s">
        <v>93</v>
      </c>
      <c r="AI261" s="68" t="s">
        <v>93</v>
      </c>
      <c r="AJ261" s="68" t="s">
        <v>93</v>
      </c>
      <c r="AK261" s="68" t="s">
        <v>93</v>
      </c>
      <c r="AL261" s="68" t="s">
        <v>93</v>
      </c>
      <c r="AM261" s="68" t="s">
        <v>93</v>
      </c>
      <c r="AN261" s="68" t="s">
        <v>93</v>
      </c>
      <c r="AO261" s="68" t="s">
        <v>93</v>
      </c>
      <c r="AP261" s="68" t="s">
        <v>93</v>
      </c>
      <c r="AQ261" s="68" t="s">
        <v>93</v>
      </c>
      <c r="AR261" s="68" t="s">
        <v>93</v>
      </c>
      <c r="AS261" s="68" t="s">
        <v>93</v>
      </c>
      <c r="AT261" s="68" t="s">
        <v>93</v>
      </c>
      <c r="AU261" s="68" t="s">
        <v>93</v>
      </c>
      <c r="AV261" s="68" t="s">
        <v>93</v>
      </c>
      <c r="AW261" s="68" t="s">
        <v>93</v>
      </c>
      <c r="AX261" s="68" t="s">
        <v>93</v>
      </c>
      <c r="AY261" s="68" t="s">
        <v>93</v>
      </c>
      <c r="AZ261" s="68" t="s">
        <v>93</v>
      </c>
      <c r="BA261" s="68" t="s">
        <v>93</v>
      </c>
      <c r="BB261" s="68" t="s">
        <v>93</v>
      </c>
      <c r="BC261" s="68" t="s">
        <v>93</v>
      </c>
      <c r="BD261" s="68" t="s">
        <v>93</v>
      </c>
      <c r="BE261" s="68" t="s">
        <v>93</v>
      </c>
      <c r="BF261" s="68" t="s">
        <v>93</v>
      </c>
      <c r="BG261" s="68" t="s">
        <v>93</v>
      </c>
      <c r="BH261" s="68" t="s">
        <v>93</v>
      </c>
      <c r="BI261" s="68" t="s">
        <v>93</v>
      </c>
      <c r="BJ261" s="68" t="s">
        <v>93</v>
      </c>
      <c r="BK261" s="68" t="s">
        <v>93</v>
      </c>
      <c r="BL261" s="68" t="s">
        <v>93</v>
      </c>
      <c r="BM261" s="68" t="s">
        <v>93</v>
      </c>
      <c r="BN261" s="68" t="s">
        <v>93</v>
      </c>
      <c r="BO261" s="68" t="s">
        <v>93</v>
      </c>
      <c r="BP261" s="69" t="s">
        <v>93</v>
      </c>
    </row>
    <row r="262" spans="2:68" x14ac:dyDescent="0.25">
      <c r="B262" s="64">
        <v>9</v>
      </c>
      <c r="C262" s="65">
        <v>37</v>
      </c>
      <c r="D262" s="65" t="s">
        <v>98</v>
      </c>
      <c r="E262" s="66">
        <f>'[3]Master File'!B261</f>
        <v>46275</v>
      </c>
      <c r="F262" s="67" t="str">
        <f>'[3]Master File'!C261</f>
        <v>Lodge 5PM</v>
      </c>
      <c r="G262" s="46"/>
      <c r="I262" s="68" t="s">
        <v>93</v>
      </c>
      <c r="J262" s="68" t="s">
        <v>93</v>
      </c>
      <c r="K262" s="68" t="s">
        <v>93</v>
      </c>
      <c r="L262" s="68" t="s">
        <v>94</v>
      </c>
      <c r="M262" s="68" t="s">
        <v>93</v>
      </c>
      <c r="N262" s="68" t="s">
        <v>93</v>
      </c>
      <c r="O262" s="68" t="s">
        <v>93</v>
      </c>
      <c r="P262" s="68" t="s">
        <v>93</v>
      </c>
      <c r="Q262" s="68" t="s">
        <v>93</v>
      </c>
      <c r="R262" s="68" t="s">
        <v>93</v>
      </c>
      <c r="S262" s="68" t="s">
        <v>93</v>
      </c>
      <c r="T262" s="68" t="s">
        <v>93</v>
      </c>
      <c r="U262" s="68" t="s">
        <v>93</v>
      </c>
      <c r="V262" s="68" t="s">
        <v>93</v>
      </c>
      <c r="W262" s="68" t="s">
        <v>93</v>
      </c>
      <c r="X262" s="68" t="s">
        <v>93</v>
      </c>
      <c r="Y262" s="68" t="s">
        <v>93</v>
      </c>
      <c r="Z262" s="68" t="s">
        <v>94</v>
      </c>
      <c r="AA262" s="68" t="s">
        <v>93</v>
      </c>
      <c r="AB262" s="68" t="s">
        <v>93</v>
      </c>
      <c r="AC262" s="68" t="s">
        <v>93</v>
      </c>
      <c r="AD262" s="68" t="s">
        <v>93</v>
      </c>
      <c r="AE262" s="68" t="s">
        <v>93</v>
      </c>
      <c r="AF262" s="68" t="s">
        <v>93</v>
      </c>
      <c r="AG262" s="68" t="s">
        <v>93</v>
      </c>
      <c r="AH262" s="68" t="s">
        <v>93</v>
      </c>
      <c r="AI262" s="68" t="s">
        <v>93</v>
      </c>
      <c r="AJ262" s="68" t="s">
        <v>93</v>
      </c>
      <c r="AK262" s="68" t="s">
        <v>93</v>
      </c>
      <c r="AL262" s="68" t="s">
        <v>93</v>
      </c>
      <c r="AM262" s="68" t="s">
        <v>93</v>
      </c>
      <c r="AN262" s="68" t="s">
        <v>93</v>
      </c>
      <c r="AO262" s="68" t="s">
        <v>93</v>
      </c>
      <c r="AP262" s="68" t="s">
        <v>93</v>
      </c>
      <c r="AQ262" s="68" t="s">
        <v>93</v>
      </c>
      <c r="AR262" s="68" t="s">
        <v>93</v>
      </c>
      <c r="AS262" s="68" t="s">
        <v>93</v>
      </c>
      <c r="AT262" s="68" t="s">
        <v>93</v>
      </c>
      <c r="AU262" s="68" t="s">
        <v>93</v>
      </c>
      <c r="AV262" s="68" t="s">
        <v>93</v>
      </c>
      <c r="AW262" s="68" t="s">
        <v>93</v>
      </c>
      <c r="AX262" s="68" t="s">
        <v>93</v>
      </c>
      <c r="AY262" s="68" t="s">
        <v>93</v>
      </c>
      <c r="AZ262" s="68" t="s">
        <v>93</v>
      </c>
      <c r="BA262" s="68" t="s">
        <v>93</v>
      </c>
      <c r="BB262" s="68" t="s">
        <v>93</v>
      </c>
      <c r="BC262" s="68" t="s">
        <v>93</v>
      </c>
      <c r="BD262" s="68" t="s">
        <v>93</v>
      </c>
      <c r="BE262" s="68" t="s">
        <v>93</v>
      </c>
      <c r="BF262" s="68" t="s">
        <v>93</v>
      </c>
      <c r="BG262" s="68" t="s">
        <v>93</v>
      </c>
      <c r="BH262" s="68" t="s">
        <v>93</v>
      </c>
      <c r="BI262" s="68" t="s">
        <v>93</v>
      </c>
      <c r="BJ262" s="68" t="s">
        <v>93</v>
      </c>
      <c r="BK262" s="68" t="s">
        <v>93</v>
      </c>
      <c r="BL262" s="68" t="s">
        <v>93</v>
      </c>
      <c r="BM262" s="68" t="s">
        <v>93</v>
      </c>
      <c r="BN262" s="68" t="s">
        <v>93</v>
      </c>
      <c r="BO262" s="68" t="s">
        <v>93</v>
      </c>
      <c r="BP262" s="69" t="s">
        <v>93</v>
      </c>
    </row>
    <row r="263" spans="2:68" x14ac:dyDescent="0.25">
      <c r="B263" s="64">
        <v>9</v>
      </c>
      <c r="C263" s="65">
        <v>37</v>
      </c>
      <c r="D263" s="65" t="s">
        <v>99</v>
      </c>
      <c r="E263" s="66">
        <f>'[3]Master File'!B262</f>
        <v>46276</v>
      </c>
      <c r="F263" s="67" t="str">
        <f>'[3]Master File'!C262</f>
        <v>Lodge 5PM</v>
      </c>
      <c r="G263" s="46"/>
      <c r="I263" s="68" t="s">
        <v>93</v>
      </c>
      <c r="J263" s="68" t="s">
        <v>93</v>
      </c>
      <c r="K263" s="68" t="s">
        <v>93</v>
      </c>
      <c r="L263" s="68" t="s">
        <v>94</v>
      </c>
      <c r="M263" s="68" t="s">
        <v>93</v>
      </c>
      <c r="N263" s="68" t="s">
        <v>93</v>
      </c>
      <c r="O263" s="68" t="s">
        <v>93</v>
      </c>
      <c r="P263" s="68" t="s">
        <v>93</v>
      </c>
      <c r="Q263" s="68" t="s">
        <v>93</v>
      </c>
      <c r="R263" s="68" t="s">
        <v>93</v>
      </c>
      <c r="S263" s="68" t="s">
        <v>93</v>
      </c>
      <c r="T263" s="68" t="s">
        <v>93</v>
      </c>
      <c r="U263" s="68" t="s">
        <v>93</v>
      </c>
      <c r="V263" s="68" t="s">
        <v>93</v>
      </c>
      <c r="W263" s="68" t="s">
        <v>93</v>
      </c>
      <c r="X263" s="68" t="s">
        <v>93</v>
      </c>
      <c r="Y263" s="68" t="s">
        <v>93</v>
      </c>
      <c r="Z263" s="68" t="s">
        <v>94</v>
      </c>
      <c r="AA263" s="68" t="s">
        <v>93</v>
      </c>
      <c r="AB263" s="68" t="s">
        <v>93</v>
      </c>
      <c r="AC263" s="68" t="s">
        <v>93</v>
      </c>
      <c r="AD263" s="68" t="s">
        <v>93</v>
      </c>
      <c r="AE263" s="68" t="s">
        <v>93</v>
      </c>
      <c r="AF263" s="68" t="s">
        <v>93</v>
      </c>
      <c r="AG263" s="68" t="s">
        <v>93</v>
      </c>
      <c r="AH263" s="68" t="s">
        <v>93</v>
      </c>
      <c r="AI263" s="68" t="s">
        <v>93</v>
      </c>
      <c r="AJ263" s="68" t="s">
        <v>93</v>
      </c>
      <c r="AK263" s="68" t="s">
        <v>93</v>
      </c>
      <c r="AL263" s="68" t="s">
        <v>93</v>
      </c>
      <c r="AM263" s="68" t="s">
        <v>93</v>
      </c>
      <c r="AN263" s="68" t="s">
        <v>93</v>
      </c>
      <c r="AO263" s="68" t="s">
        <v>93</v>
      </c>
      <c r="AP263" s="68" t="s">
        <v>93</v>
      </c>
      <c r="AQ263" s="68" t="s">
        <v>93</v>
      </c>
      <c r="AR263" s="68" t="s">
        <v>93</v>
      </c>
      <c r="AS263" s="68" t="s">
        <v>93</v>
      </c>
      <c r="AT263" s="68" t="s">
        <v>93</v>
      </c>
      <c r="AU263" s="68" t="s">
        <v>93</v>
      </c>
      <c r="AV263" s="68" t="s">
        <v>93</v>
      </c>
      <c r="AW263" s="68" t="s">
        <v>93</v>
      </c>
      <c r="AX263" s="68" t="s">
        <v>93</v>
      </c>
      <c r="AY263" s="68" t="s">
        <v>93</v>
      </c>
      <c r="AZ263" s="68" t="s">
        <v>93</v>
      </c>
      <c r="BA263" s="68" t="s">
        <v>93</v>
      </c>
      <c r="BB263" s="68" t="s">
        <v>93</v>
      </c>
      <c r="BC263" s="68" t="s">
        <v>93</v>
      </c>
      <c r="BD263" s="68" t="s">
        <v>93</v>
      </c>
      <c r="BE263" s="68" t="s">
        <v>93</v>
      </c>
      <c r="BF263" s="68" t="s">
        <v>93</v>
      </c>
      <c r="BG263" s="68" t="s">
        <v>93</v>
      </c>
      <c r="BH263" s="68" t="s">
        <v>93</v>
      </c>
      <c r="BI263" s="68" t="s">
        <v>93</v>
      </c>
      <c r="BJ263" s="68" t="s">
        <v>93</v>
      </c>
      <c r="BK263" s="68" t="s">
        <v>93</v>
      </c>
      <c r="BL263" s="68" t="s">
        <v>93</v>
      </c>
      <c r="BM263" s="68" t="s">
        <v>93</v>
      </c>
      <c r="BN263" s="68" t="s">
        <v>93</v>
      </c>
      <c r="BO263" s="68" t="s">
        <v>93</v>
      </c>
      <c r="BP263" s="69" t="s">
        <v>93</v>
      </c>
    </row>
    <row r="264" spans="2:68" x14ac:dyDescent="0.25">
      <c r="B264" s="64">
        <v>9</v>
      </c>
      <c r="C264" s="65">
        <v>37</v>
      </c>
      <c r="D264" s="65" t="s">
        <v>100</v>
      </c>
      <c r="E264" s="66">
        <f>'[3]Master File'!B263</f>
        <v>46277</v>
      </c>
      <c r="F264" s="67" t="str">
        <f>'[3]Master File'!C263</f>
        <v>Explorer 5PM</v>
      </c>
      <c r="G264" s="46"/>
      <c r="I264" s="74" t="s">
        <v>93</v>
      </c>
      <c r="J264" s="74" t="s">
        <v>93</v>
      </c>
      <c r="K264" s="74" t="s">
        <v>93</v>
      </c>
      <c r="L264" s="68" t="s">
        <v>94</v>
      </c>
      <c r="M264" s="74" t="s">
        <v>93</v>
      </c>
      <c r="N264" s="74" t="s">
        <v>93</v>
      </c>
      <c r="O264" s="74" t="s">
        <v>93</v>
      </c>
      <c r="P264" s="74" t="s">
        <v>93</v>
      </c>
      <c r="Q264" s="74" t="s">
        <v>93</v>
      </c>
      <c r="R264" s="74" t="s">
        <v>93</v>
      </c>
      <c r="S264" s="74" t="s">
        <v>93</v>
      </c>
      <c r="T264" s="74" t="s">
        <v>93</v>
      </c>
      <c r="U264" s="74" t="s">
        <v>93</v>
      </c>
      <c r="V264" s="74" t="s">
        <v>93</v>
      </c>
      <c r="W264" s="74" t="s">
        <v>93</v>
      </c>
      <c r="X264" s="74" t="s">
        <v>93</v>
      </c>
      <c r="Y264" s="74" t="s">
        <v>93</v>
      </c>
      <c r="Z264" s="68" t="s">
        <v>94</v>
      </c>
      <c r="AA264" s="74" t="s">
        <v>93</v>
      </c>
      <c r="AB264" s="74" t="s">
        <v>93</v>
      </c>
      <c r="AC264" s="74" t="s">
        <v>93</v>
      </c>
      <c r="AD264" s="74" t="s">
        <v>94</v>
      </c>
      <c r="AE264" s="74" t="s">
        <v>94</v>
      </c>
      <c r="AF264" s="74" t="s">
        <v>93</v>
      </c>
      <c r="AG264" s="74" t="s">
        <v>93</v>
      </c>
      <c r="AH264" s="74" t="s">
        <v>93</v>
      </c>
      <c r="AI264" s="74" t="s">
        <v>93</v>
      </c>
      <c r="AJ264" s="74" t="s">
        <v>93</v>
      </c>
      <c r="AK264" s="74" t="s">
        <v>93</v>
      </c>
      <c r="AL264" s="74" t="s">
        <v>93</v>
      </c>
      <c r="AM264" s="74" t="s">
        <v>93</v>
      </c>
      <c r="AN264" s="74" t="s">
        <v>93</v>
      </c>
      <c r="AO264" s="74" t="s">
        <v>93</v>
      </c>
      <c r="AP264" s="74" t="s">
        <v>93</v>
      </c>
      <c r="AQ264" s="74" t="s">
        <v>93</v>
      </c>
      <c r="AR264" s="74" t="s">
        <v>93</v>
      </c>
      <c r="AS264" s="74" t="s">
        <v>93</v>
      </c>
      <c r="AT264" s="74" t="s">
        <v>93</v>
      </c>
      <c r="AU264" s="74" t="s">
        <v>93</v>
      </c>
      <c r="AV264" s="74" t="s">
        <v>93</v>
      </c>
      <c r="AW264" s="74" t="s">
        <v>93</v>
      </c>
      <c r="AX264" s="74" t="s">
        <v>93</v>
      </c>
      <c r="AY264" s="74" t="s">
        <v>93</v>
      </c>
      <c r="AZ264" s="74" t="s">
        <v>93</v>
      </c>
      <c r="BA264" s="74" t="s">
        <v>93</v>
      </c>
      <c r="BB264" s="74" t="s">
        <v>93</v>
      </c>
      <c r="BC264" s="74" t="s">
        <v>93</v>
      </c>
      <c r="BD264" s="74" t="s">
        <v>93</v>
      </c>
      <c r="BE264" s="74" t="s">
        <v>93</v>
      </c>
      <c r="BF264" s="74" t="s">
        <v>93</v>
      </c>
      <c r="BG264" s="74" t="s">
        <v>93</v>
      </c>
      <c r="BH264" s="74" t="s">
        <v>93</v>
      </c>
      <c r="BI264" s="74" t="s">
        <v>93</v>
      </c>
      <c r="BJ264" s="74" t="s">
        <v>93</v>
      </c>
      <c r="BK264" s="74" t="s">
        <v>93</v>
      </c>
      <c r="BL264" s="74" t="s">
        <v>93</v>
      </c>
      <c r="BM264" s="74" t="s">
        <v>93</v>
      </c>
      <c r="BN264" s="74" t="s">
        <v>93</v>
      </c>
      <c r="BO264" s="74" t="s">
        <v>93</v>
      </c>
      <c r="BP264" s="75" t="s">
        <v>93</v>
      </c>
    </row>
    <row r="265" spans="2:68" x14ac:dyDescent="0.25">
      <c r="B265" s="64">
        <v>9</v>
      </c>
      <c r="C265" s="65">
        <v>38</v>
      </c>
      <c r="D265" s="65" t="s">
        <v>92</v>
      </c>
      <c r="E265" s="66">
        <f>'[3]Master File'!B264</f>
        <v>46278</v>
      </c>
      <c r="F265" s="67" t="str">
        <f>'[3]Master File'!C264</f>
        <v>Explorer 5PM</v>
      </c>
      <c r="G265" s="46"/>
      <c r="I265" s="74" t="s">
        <v>93</v>
      </c>
      <c r="J265" s="74" t="s">
        <v>93</v>
      </c>
      <c r="K265" s="74" t="s">
        <v>93</v>
      </c>
      <c r="L265" s="68" t="s">
        <v>94</v>
      </c>
      <c r="M265" s="74" t="s">
        <v>93</v>
      </c>
      <c r="N265" s="74" t="s">
        <v>93</v>
      </c>
      <c r="O265" s="74" t="s">
        <v>93</v>
      </c>
      <c r="P265" s="74" t="s">
        <v>93</v>
      </c>
      <c r="Q265" s="74" t="s">
        <v>93</v>
      </c>
      <c r="R265" s="74" t="s">
        <v>93</v>
      </c>
      <c r="S265" s="74" t="s">
        <v>93</v>
      </c>
      <c r="T265" s="74" t="s">
        <v>93</v>
      </c>
      <c r="U265" s="74" t="s">
        <v>93</v>
      </c>
      <c r="V265" s="74" t="s">
        <v>93</v>
      </c>
      <c r="W265" s="74" t="s">
        <v>93</v>
      </c>
      <c r="X265" s="74" t="s">
        <v>93</v>
      </c>
      <c r="Y265" s="74" t="s">
        <v>93</v>
      </c>
      <c r="Z265" s="68" t="s">
        <v>94</v>
      </c>
      <c r="AA265" s="74" t="s">
        <v>93</v>
      </c>
      <c r="AB265" s="74" t="s">
        <v>93</v>
      </c>
      <c r="AC265" s="74" t="s">
        <v>93</v>
      </c>
      <c r="AD265" s="74" t="s">
        <v>94</v>
      </c>
      <c r="AE265" s="74" t="s">
        <v>94</v>
      </c>
      <c r="AF265" s="74" t="s">
        <v>93</v>
      </c>
      <c r="AG265" s="74" t="s">
        <v>93</v>
      </c>
      <c r="AH265" s="74" t="s">
        <v>93</v>
      </c>
      <c r="AI265" s="74" t="s">
        <v>93</v>
      </c>
      <c r="AJ265" s="74" t="s">
        <v>93</v>
      </c>
      <c r="AK265" s="74" t="s">
        <v>93</v>
      </c>
      <c r="AL265" s="74" t="s">
        <v>93</v>
      </c>
      <c r="AM265" s="74" t="s">
        <v>93</v>
      </c>
      <c r="AN265" s="74" t="s">
        <v>93</v>
      </c>
      <c r="AO265" s="74" t="s">
        <v>93</v>
      </c>
      <c r="AP265" s="74" t="s">
        <v>93</v>
      </c>
      <c r="AQ265" s="74" t="s">
        <v>93</v>
      </c>
      <c r="AR265" s="74" t="s">
        <v>93</v>
      </c>
      <c r="AS265" s="74" t="s">
        <v>93</v>
      </c>
      <c r="AT265" s="74" t="s">
        <v>93</v>
      </c>
      <c r="AU265" s="74" t="s">
        <v>93</v>
      </c>
      <c r="AV265" s="74" t="s">
        <v>93</v>
      </c>
      <c r="AW265" s="74" t="s">
        <v>93</v>
      </c>
      <c r="AX265" s="74" t="s">
        <v>93</v>
      </c>
      <c r="AY265" s="74" t="s">
        <v>93</v>
      </c>
      <c r="AZ265" s="74" t="s">
        <v>93</v>
      </c>
      <c r="BA265" s="74" t="s">
        <v>93</v>
      </c>
      <c r="BB265" s="74" t="s">
        <v>93</v>
      </c>
      <c r="BC265" s="74" t="s">
        <v>93</v>
      </c>
      <c r="BD265" s="74" t="s">
        <v>93</v>
      </c>
      <c r="BE265" s="74" t="s">
        <v>93</v>
      </c>
      <c r="BF265" s="74" t="s">
        <v>93</v>
      </c>
      <c r="BG265" s="74" t="s">
        <v>93</v>
      </c>
      <c r="BH265" s="74" t="s">
        <v>93</v>
      </c>
      <c r="BI265" s="74" t="s">
        <v>93</v>
      </c>
      <c r="BJ265" s="74" t="s">
        <v>93</v>
      </c>
      <c r="BK265" s="74" t="s">
        <v>93</v>
      </c>
      <c r="BL265" s="74" t="s">
        <v>93</v>
      </c>
      <c r="BM265" s="74" t="s">
        <v>93</v>
      </c>
      <c r="BN265" s="74" t="s">
        <v>93</v>
      </c>
      <c r="BO265" s="74" t="s">
        <v>93</v>
      </c>
      <c r="BP265" s="75" t="s">
        <v>93</v>
      </c>
    </row>
    <row r="266" spans="2:68" x14ac:dyDescent="0.25">
      <c r="B266" s="64">
        <v>9</v>
      </c>
      <c r="C266" s="65">
        <v>38</v>
      </c>
      <c r="D266" s="65" t="s">
        <v>95</v>
      </c>
      <c r="E266" s="66">
        <f>'[3]Master File'!B265</f>
        <v>46279</v>
      </c>
      <c r="F266" s="67" t="str">
        <f>'[3]Master File'!C265</f>
        <v>Lodge 5PM</v>
      </c>
      <c r="G266" s="46"/>
      <c r="I266" s="68" t="s">
        <v>93</v>
      </c>
      <c r="J266" s="68" t="s">
        <v>93</v>
      </c>
      <c r="K266" s="68" t="s">
        <v>93</v>
      </c>
      <c r="L266" s="68" t="s">
        <v>94</v>
      </c>
      <c r="M266" s="68" t="s">
        <v>93</v>
      </c>
      <c r="N266" s="68" t="s">
        <v>93</v>
      </c>
      <c r="O266" s="68" t="s">
        <v>93</v>
      </c>
      <c r="P266" s="68" t="s">
        <v>93</v>
      </c>
      <c r="Q266" s="68" t="s">
        <v>93</v>
      </c>
      <c r="R266" s="68" t="s">
        <v>93</v>
      </c>
      <c r="S266" s="68" t="s">
        <v>93</v>
      </c>
      <c r="T266" s="68" t="s">
        <v>93</v>
      </c>
      <c r="U266" s="68" t="s">
        <v>93</v>
      </c>
      <c r="V266" s="68" t="s">
        <v>93</v>
      </c>
      <c r="W266" s="68" t="s">
        <v>93</v>
      </c>
      <c r="X266" s="68" t="s">
        <v>93</v>
      </c>
      <c r="Y266" s="68" t="s">
        <v>93</v>
      </c>
      <c r="Z266" s="68" t="s">
        <v>94</v>
      </c>
      <c r="AA266" s="68" t="s">
        <v>93</v>
      </c>
      <c r="AB266" s="68" t="s">
        <v>93</v>
      </c>
      <c r="AC266" s="68" t="s">
        <v>93</v>
      </c>
      <c r="AD266" s="68" t="s">
        <v>93</v>
      </c>
      <c r="AE266" s="68" t="s">
        <v>93</v>
      </c>
      <c r="AF266" s="68" t="s">
        <v>93</v>
      </c>
      <c r="AG266" s="68" t="s">
        <v>93</v>
      </c>
      <c r="AH266" s="68" t="s">
        <v>93</v>
      </c>
      <c r="AI266" s="68" t="s">
        <v>93</v>
      </c>
      <c r="AJ266" s="68" t="s">
        <v>93</v>
      </c>
      <c r="AK266" s="68" t="s">
        <v>93</v>
      </c>
      <c r="AL266" s="68" t="s">
        <v>93</v>
      </c>
      <c r="AM266" s="68" t="s">
        <v>93</v>
      </c>
      <c r="AN266" s="68" t="s">
        <v>93</v>
      </c>
      <c r="AO266" s="68" t="s">
        <v>93</v>
      </c>
      <c r="AP266" s="68" t="s">
        <v>93</v>
      </c>
      <c r="AQ266" s="68" t="s">
        <v>93</v>
      </c>
      <c r="AR266" s="68" t="s">
        <v>93</v>
      </c>
      <c r="AS266" s="68" t="s">
        <v>93</v>
      </c>
      <c r="AT266" s="68" t="s">
        <v>93</v>
      </c>
      <c r="AU266" s="68" t="s">
        <v>93</v>
      </c>
      <c r="AV266" s="68" t="s">
        <v>93</v>
      </c>
      <c r="AW266" s="68" t="s">
        <v>93</v>
      </c>
      <c r="AX266" s="68" t="s">
        <v>93</v>
      </c>
      <c r="AY266" s="68" t="s">
        <v>93</v>
      </c>
      <c r="AZ266" s="68" t="s">
        <v>93</v>
      </c>
      <c r="BA266" s="68" t="s">
        <v>93</v>
      </c>
      <c r="BB266" s="68" t="s">
        <v>93</v>
      </c>
      <c r="BC266" s="68" t="s">
        <v>93</v>
      </c>
      <c r="BD266" s="68" t="s">
        <v>93</v>
      </c>
      <c r="BE266" s="68" t="s">
        <v>93</v>
      </c>
      <c r="BF266" s="68" t="s">
        <v>93</v>
      </c>
      <c r="BG266" s="68" t="s">
        <v>93</v>
      </c>
      <c r="BH266" s="68" t="s">
        <v>93</v>
      </c>
      <c r="BI266" s="68" t="s">
        <v>93</v>
      </c>
      <c r="BJ266" s="68" t="s">
        <v>93</v>
      </c>
      <c r="BK266" s="68" t="s">
        <v>93</v>
      </c>
      <c r="BL266" s="68" t="s">
        <v>93</v>
      </c>
      <c r="BM266" s="68" t="s">
        <v>93</v>
      </c>
      <c r="BN266" s="68" t="s">
        <v>93</v>
      </c>
      <c r="BO266" s="68" t="s">
        <v>93</v>
      </c>
      <c r="BP266" s="69" t="s">
        <v>93</v>
      </c>
    </row>
    <row r="267" spans="2:68" x14ac:dyDescent="0.25">
      <c r="B267" s="64">
        <v>9</v>
      </c>
      <c r="C267" s="65">
        <v>38</v>
      </c>
      <c r="D267" s="65" t="s">
        <v>96</v>
      </c>
      <c r="E267" s="66">
        <f>'[3]Master File'!B266</f>
        <v>46280</v>
      </c>
      <c r="F267" s="67" t="str">
        <f>'[3]Master File'!C266</f>
        <v>Closed</v>
      </c>
      <c r="G267" s="46"/>
      <c r="I267" s="68" t="s">
        <v>93</v>
      </c>
      <c r="J267" s="68" t="s">
        <v>93</v>
      </c>
      <c r="K267" s="68" t="s">
        <v>93</v>
      </c>
      <c r="L267" s="68" t="s">
        <v>94</v>
      </c>
      <c r="M267" s="68" t="s">
        <v>93</v>
      </c>
      <c r="N267" s="68" t="s">
        <v>93</v>
      </c>
      <c r="O267" s="68" t="s">
        <v>93</v>
      </c>
      <c r="P267" s="68" t="s">
        <v>93</v>
      </c>
      <c r="Q267" s="68" t="s">
        <v>93</v>
      </c>
      <c r="R267" s="68" t="s">
        <v>93</v>
      </c>
      <c r="S267" s="68" t="s">
        <v>93</v>
      </c>
      <c r="T267" s="68" t="s">
        <v>93</v>
      </c>
      <c r="U267" s="68" t="s">
        <v>93</v>
      </c>
      <c r="V267" s="68" t="s">
        <v>93</v>
      </c>
      <c r="W267" s="68" t="s">
        <v>93</v>
      </c>
      <c r="X267" s="68" t="s">
        <v>93</v>
      </c>
      <c r="Y267" s="68" t="s">
        <v>93</v>
      </c>
      <c r="Z267" s="68" t="s">
        <v>94</v>
      </c>
      <c r="AA267" s="68" t="s">
        <v>93</v>
      </c>
      <c r="AB267" s="68" t="s">
        <v>93</v>
      </c>
      <c r="AC267" s="68" t="s">
        <v>93</v>
      </c>
      <c r="AD267" s="68" t="s">
        <v>93</v>
      </c>
      <c r="AE267" s="68" t="s">
        <v>93</v>
      </c>
      <c r="AF267" s="68" t="s">
        <v>93</v>
      </c>
      <c r="AG267" s="68" t="s">
        <v>93</v>
      </c>
      <c r="AH267" s="68" t="s">
        <v>93</v>
      </c>
      <c r="AI267" s="68" t="s">
        <v>93</v>
      </c>
      <c r="AJ267" s="68" t="s">
        <v>93</v>
      </c>
      <c r="AK267" s="68" t="s">
        <v>93</v>
      </c>
      <c r="AL267" s="68" t="s">
        <v>93</v>
      </c>
      <c r="AM267" s="68" t="s">
        <v>93</v>
      </c>
      <c r="AN267" s="68" t="s">
        <v>93</v>
      </c>
      <c r="AO267" s="68" t="s">
        <v>93</v>
      </c>
      <c r="AP267" s="68" t="s">
        <v>93</v>
      </c>
      <c r="AQ267" s="68" t="s">
        <v>93</v>
      </c>
      <c r="AR267" s="68" t="s">
        <v>93</v>
      </c>
      <c r="AS267" s="68" t="s">
        <v>93</v>
      </c>
      <c r="AT267" s="68" t="s">
        <v>93</v>
      </c>
      <c r="AU267" s="68" t="s">
        <v>93</v>
      </c>
      <c r="AV267" s="68" t="s">
        <v>93</v>
      </c>
      <c r="AW267" s="68" t="s">
        <v>93</v>
      </c>
      <c r="AX267" s="68" t="s">
        <v>93</v>
      </c>
      <c r="AY267" s="68" t="s">
        <v>93</v>
      </c>
      <c r="AZ267" s="68" t="s">
        <v>93</v>
      </c>
      <c r="BA267" s="68" t="s">
        <v>93</v>
      </c>
      <c r="BB267" s="68" t="s">
        <v>93</v>
      </c>
      <c r="BC267" s="68" t="s">
        <v>93</v>
      </c>
      <c r="BD267" s="68" t="s">
        <v>93</v>
      </c>
      <c r="BE267" s="68" t="s">
        <v>93</v>
      </c>
      <c r="BF267" s="68" t="s">
        <v>93</v>
      </c>
      <c r="BG267" s="68" t="s">
        <v>93</v>
      </c>
      <c r="BH267" s="68" t="s">
        <v>93</v>
      </c>
      <c r="BI267" s="68" t="s">
        <v>93</v>
      </c>
      <c r="BJ267" s="68" t="s">
        <v>93</v>
      </c>
      <c r="BK267" s="68" t="s">
        <v>93</v>
      </c>
      <c r="BL267" s="68" t="s">
        <v>93</v>
      </c>
      <c r="BM267" s="68" t="s">
        <v>93</v>
      </c>
      <c r="BN267" s="68" t="s">
        <v>93</v>
      </c>
      <c r="BO267" s="68" t="s">
        <v>93</v>
      </c>
      <c r="BP267" s="69" t="s">
        <v>93</v>
      </c>
    </row>
    <row r="268" spans="2:68" x14ac:dyDescent="0.25">
      <c r="B268" s="64">
        <v>9</v>
      </c>
      <c r="C268" s="65">
        <v>38</v>
      </c>
      <c r="D268" s="65" t="s">
        <v>97</v>
      </c>
      <c r="E268" s="66">
        <f>'[3]Master File'!B267</f>
        <v>46281</v>
      </c>
      <c r="F268" s="67" t="str">
        <f>'[3]Master File'!C267</f>
        <v>Closed</v>
      </c>
      <c r="G268" s="46"/>
      <c r="I268" s="68" t="s">
        <v>93</v>
      </c>
      <c r="J268" s="68" t="s">
        <v>93</v>
      </c>
      <c r="K268" s="68" t="s">
        <v>93</v>
      </c>
      <c r="L268" s="68" t="s">
        <v>94</v>
      </c>
      <c r="M268" s="68" t="s">
        <v>93</v>
      </c>
      <c r="N268" s="68" t="s">
        <v>93</v>
      </c>
      <c r="O268" s="68" t="s">
        <v>93</v>
      </c>
      <c r="P268" s="68" t="s">
        <v>93</v>
      </c>
      <c r="Q268" s="68" t="s">
        <v>93</v>
      </c>
      <c r="R268" s="68" t="s">
        <v>93</v>
      </c>
      <c r="S268" s="68" t="s">
        <v>93</v>
      </c>
      <c r="T268" s="68" t="s">
        <v>93</v>
      </c>
      <c r="U268" s="68" t="s">
        <v>93</v>
      </c>
      <c r="V268" s="68" t="s">
        <v>93</v>
      </c>
      <c r="W268" s="68" t="s">
        <v>93</v>
      </c>
      <c r="X268" s="68" t="s">
        <v>93</v>
      </c>
      <c r="Y268" s="68" t="s">
        <v>93</v>
      </c>
      <c r="Z268" s="68" t="s">
        <v>94</v>
      </c>
      <c r="AA268" s="68" t="s">
        <v>93</v>
      </c>
      <c r="AB268" s="68" t="s">
        <v>93</v>
      </c>
      <c r="AC268" s="68" t="s">
        <v>93</v>
      </c>
      <c r="AD268" s="68" t="s">
        <v>93</v>
      </c>
      <c r="AE268" s="68" t="s">
        <v>93</v>
      </c>
      <c r="AF268" s="68" t="s">
        <v>93</v>
      </c>
      <c r="AG268" s="68" t="s">
        <v>93</v>
      </c>
      <c r="AH268" s="68" t="s">
        <v>93</v>
      </c>
      <c r="AI268" s="68" t="s">
        <v>93</v>
      </c>
      <c r="AJ268" s="68" t="s">
        <v>93</v>
      </c>
      <c r="AK268" s="68" t="s">
        <v>93</v>
      </c>
      <c r="AL268" s="68" t="s">
        <v>93</v>
      </c>
      <c r="AM268" s="68" t="s">
        <v>93</v>
      </c>
      <c r="AN268" s="68" t="s">
        <v>93</v>
      </c>
      <c r="AO268" s="68" t="s">
        <v>93</v>
      </c>
      <c r="AP268" s="68" t="s">
        <v>93</v>
      </c>
      <c r="AQ268" s="68" t="s">
        <v>93</v>
      </c>
      <c r="AR268" s="68" t="s">
        <v>93</v>
      </c>
      <c r="AS268" s="68" t="s">
        <v>93</v>
      </c>
      <c r="AT268" s="68" t="s">
        <v>93</v>
      </c>
      <c r="AU268" s="68" t="s">
        <v>93</v>
      </c>
      <c r="AV268" s="68" t="s">
        <v>93</v>
      </c>
      <c r="AW268" s="68" t="s">
        <v>93</v>
      </c>
      <c r="AX268" s="68" t="s">
        <v>93</v>
      </c>
      <c r="AY268" s="68" t="s">
        <v>93</v>
      </c>
      <c r="AZ268" s="68" t="s">
        <v>93</v>
      </c>
      <c r="BA268" s="68" t="s">
        <v>93</v>
      </c>
      <c r="BB268" s="68" t="s">
        <v>93</v>
      </c>
      <c r="BC268" s="68" t="s">
        <v>93</v>
      </c>
      <c r="BD268" s="68" t="s">
        <v>93</v>
      </c>
      <c r="BE268" s="68" t="s">
        <v>93</v>
      </c>
      <c r="BF268" s="68" t="s">
        <v>93</v>
      </c>
      <c r="BG268" s="68" t="s">
        <v>93</v>
      </c>
      <c r="BH268" s="68" t="s">
        <v>93</v>
      </c>
      <c r="BI268" s="68" t="s">
        <v>93</v>
      </c>
      <c r="BJ268" s="68" t="s">
        <v>93</v>
      </c>
      <c r="BK268" s="68" t="s">
        <v>93</v>
      </c>
      <c r="BL268" s="68" t="s">
        <v>93</v>
      </c>
      <c r="BM268" s="68" t="s">
        <v>93</v>
      </c>
      <c r="BN268" s="68" t="s">
        <v>93</v>
      </c>
      <c r="BO268" s="68" t="s">
        <v>93</v>
      </c>
      <c r="BP268" s="69" t="s">
        <v>93</v>
      </c>
    </row>
    <row r="269" spans="2:68" x14ac:dyDescent="0.25">
      <c r="B269" s="64">
        <v>9</v>
      </c>
      <c r="C269" s="65">
        <v>38</v>
      </c>
      <c r="D269" s="65" t="s">
        <v>98</v>
      </c>
      <c r="E269" s="66">
        <f>'[3]Master File'!B268</f>
        <v>46282</v>
      </c>
      <c r="F269" s="67" t="str">
        <f>'[3]Master File'!C268</f>
        <v>Lodge 5PM</v>
      </c>
      <c r="G269" s="46"/>
      <c r="I269" s="68" t="s">
        <v>93</v>
      </c>
      <c r="J269" s="68" t="s">
        <v>93</v>
      </c>
      <c r="K269" s="68" t="s">
        <v>93</v>
      </c>
      <c r="L269" s="68" t="s">
        <v>94</v>
      </c>
      <c r="M269" s="68" t="s">
        <v>93</v>
      </c>
      <c r="N269" s="68" t="s">
        <v>93</v>
      </c>
      <c r="O269" s="68" t="s">
        <v>93</v>
      </c>
      <c r="P269" s="68" t="s">
        <v>93</v>
      </c>
      <c r="Q269" s="68" t="s">
        <v>93</v>
      </c>
      <c r="R269" s="68" t="s">
        <v>93</v>
      </c>
      <c r="S269" s="68" t="s">
        <v>93</v>
      </c>
      <c r="T269" s="68" t="s">
        <v>93</v>
      </c>
      <c r="U269" s="68" t="s">
        <v>93</v>
      </c>
      <c r="V269" s="68" t="s">
        <v>93</v>
      </c>
      <c r="W269" s="68" t="s">
        <v>93</v>
      </c>
      <c r="X269" s="68" t="s">
        <v>93</v>
      </c>
      <c r="Y269" s="68" t="s">
        <v>93</v>
      </c>
      <c r="Z269" s="68" t="s">
        <v>94</v>
      </c>
      <c r="AA269" s="68" t="s">
        <v>93</v>
      </c>
      <c r="AB269" s="68" t="s">
        <v>93</v>
      </c>
      <c r="AC269" s="68" t="s">
        <v>93</v>
      </c>
      <c r="AD269" s="68" t="s">
        <v>93</v>
      </c>
      <c r="AE269" s="68" t="s">
        <v>93</v>
      </c>
      <c r="AF269" s="68" t="s">
        <v>93</v>
      </c>
      <c r="AG269" s="68" t="s">
        <v>93</v>
      </c>
      <c r="AH269" s="68" t="s">
        <v>93</v>
      </c>
      <c r="AI269" s="68" t="s">
        <v>93</v>
      </c>
      <c r="AJ269" s="68" t="s">
        <v>93</v>
      </c>
      <c r="AK269" s="68" t="s">
        <v>93</v>
      </c>
      <c r="AL269" s="68" t="s">
        <v>93</v>
      </c>
      <c r="AM269" s="68" t="s">
        <v>93</v>
      </c>
      <c r="AN269" s="68" t="s">
        <v>93</v>
      </c>
      <c r="AO269" s="68" t="s">
        <v>93</v>
      </c>
      <c r="AP269" s="68" t="s">
        <v>93</v>
      </c>
      <c r="AQ269" s="68" t="s">
        <v>93</v>
      </c>
      <c r="AR269" s="68" t="s">
        <v>93</v>
      </c>
      <c r="AS269" s="68" t="s">
        <v>93</v>
      </c>
      <c r="AT269" s="68" t="s">
        <v>93</v>
      </c>
      <c r="AU269" s="68" t="s">
        <v>93</v>
      </c>
      <c r="AV269" s="68" t="s">
        <v>93</v>
      </c>
      <c r="AW269" s="68" t="s">
        <v>93</v>
      </c>
      <c r="AX269" s="68" t="s">
        <v>93</v>
      </c>
      <c r="AY269" s="68" t="s">
        <v>93</v>
      </c>
      <c r="AZ269" s="68" t="s">
        <v>93</v>
      </c>
      <c r="BA269" s="68" t="s">
        <v>93</v>
      </c>
      <c r="BB269" s="68" t="s">
        <v>93</v>
      </c>
      <c r="BC269" s="68" t="s">
        <v>93</v>
      </c>
      <c r="BD269" s="68" t="s">
        <v>93</v>
      </c>
      <c r="BE269" s="68" t="s">
        <v>93</v>
      </c>
      <c r="BF269" s="68" t="s">
        <v>93</v>
      </c>
      <c r="BG269" s="68" t="s">
        <v>93</v>
      </c>
      <c r="BH269" s="68" t="s">
        <v>93</v>
      </c>
      <c r="BI269" s="68" t="s">
        <v>93</v>
      </c>
      <c r="BJ269" s="68" t="s">
        <v>93</v>
      </c>
      <c r="BK269" s="68" t="s">
        <v>93</v>
      </c>
      <c r="BL269" s="68" t="s">
        <v>93</v>
      </c>
      <c r="BM269" s="68" t="s">
        <v>93</v>
      </c>
      <c r="BN269" s="68" t="s">
        <v>93</v>
      </c>
      <c r="BO269" s="68" t="s">
        <v>93</v>
      </c>
      <c r="BP269" s="69" t="s">
        <v>93</v>
      </c>
    </row>
    <row r="270" spans="2:68" x14ac:dyDescent="0.25">
      <c r="B270" s="64">
        <v>9</v>
      </c>
      <c r="C270" s="65">
        <v>38</v>
      </c>
      <c r="D270" s="65" t="s">
        <v>99</v>
      </c>
      <c r="E270" s="66">
        <f>'[3]Master File'!B269</f>
        <v>46283</v>
      </c>
      <c r="F270" s="67" t="str">
        <f>'[3]Master File'!C269</f>
        <v>Lodge 5PM</v>
      </c>
      <c r="G270" s="46"/>
      <c r="I270" s="68" t="s">
        <v>93</v>
      </c>
      <c r="J270" s="68" t="s">
        <v>93</v>
      </c>
      <c r="K270" s="68" t="s">
        <v>93</v>
      </c>
      <c r="L270" s="68" t="s">
        <v>94</v>
      </c>
      <c r="M270" s="68" t="s">
        <v>93</v>
      </c>
      <c r="N270" s="68" t="s">
        <v>93</v>
      </c>
      <c r="O270" s="68" t="s">
        <v>93</v>
      </c>
      <c r="P270" s="68" t="s">
        <v>93</v>
      </c>
      <c r="Q270" s="68" t="s">
        <v>93</v>
      </c>
      <c r="R270" s="68" t="s">
        <v>93</v>
      </c>
      <c r="S270" s="68" t="s">
        <v>93</v>
      </c>
      <c r="T270" s="68" t="s">
        <v>93</v>
      </c>
      <c r="U270" s="68" t="s">
        <v>93</v>
      </c>
      <c r="V270" s="68" t="s">
        <v>93</v>
      </c>
      <c r="W270" s="68" t="s">
        <v>93</v>
      </c>
      <c r="X270" s="68" t="s">
        <v>93</v>
      </c>
      <c r="Y270" s="68" t="s">
        <v>93</v>
      </c>
      <c r="Z270" s="68" t="s">
        <v>94</v>
      </c>
      <c r="AA270" s="68" t="s">
        <v>93</v>
      </c>
      <c r="AB270" s="68" t="s">
        <v>93</v>
      </c>
      <c r="AC270" s="68" t="s">
        <v>93</v>
      </c>
      <c r="AD270" s="68" t="s">
        <v>93</v>
      </c>
      <c r="AE270" s="68" t="s">
        <v>93</v>
      </c>
      <c r="AF270" s="68" t="s">
        <v>93</v>
      </c>
      <c r="AG270" s="68" t="s">
        <v>93</v>
      </c>
      <c r="AH270" s="68" t="s">
        <v>93</v>
      </c>
      <c r="AI270" s="68" t="s">
        <v>93</v>
      </c>
      <c r="AJ270" s="68" t="s">
        <v>93</v>
      </c>
      <c r="AK270" s="68" t="s">
        <v>93</v>
      </c>
      <c r="AL270" s="68" t="s">
        <v>93</v>
      </c>
      <c r="AM270" s="68" t="s">
        <v>93</v>
      </c>
      <c r="AN270" s="68" t="s">
        <v>93</v>
      </c>
      <c r="AO270" s="68" t="s">
        <v>93</v>
      </c>
      <c r="AP270" s="68" t="s">
        <v>93</v>
      </c>
      <c r="AQ270" s="68" t="s">
        <v>93</v>
      </c>
      <c r="AR270" s="68" t="s">
        <v>93</v>
      </c>
      <c r="AS270" s="68" t="s">
        <v>93</v>
      </c>
      <c r="AT270" s="68" t="s">
        <v>93</v>
      </c>
      <c r="AU270" s="68" t="s">
        <v>93</v>
      </c>
      <c r="AV270" s="68" t="s">
        <v>93</v>
      </c>
      <c r="AW270" s="68" t="s">
        <v>93</v>
      </c>
      <c r="AX270" s="68" t="s">
        <v>93</v>
      </c>
      <c r="AY270" s="68" t="s">
        <v>93</v>
      </c>
      <c r="AZ270" s="68" t="s">
        <v>93</v>
      </c>
      <c r="BA270" s="68" t="s">
        <v>93</v>
      </c>
      <c r="BB270" s="68" t="s">
        <v>93</v>
      </c>
      <c r="BC270" s="68" t="s">
        <v>93</v>
      </c>
      <c r="BD270" s="68" t="s">
        <v>93</v>
      </c>
      <c r="BE270" s="68" t="s">
        <v>93</v>
      </c>
      <c r="BF270" s="68" t="s">
        <v>93</v>
      </c>
      <c r="BG270" s="68" t="s">
        <v>93</v>
      </c>
      <c r="BH270" s="68" t="s">
        <v>93</v>
      </c>
      <c r="BI270" s="68" t="s">
        <v>93</v>
      </c>
      <c r="BJ270" s="68" t="s">
        <v>93</v>
      </c>
      <c r="BK270" s="68" t="s">
        <v>93</v>
      </c>
      <c r="BL270" s="68" t="s">
        <v>93</v>
      </c>
      <c r="BM270" s="68" t="s">
        <v>93</v>
      </c>
      <c r="BN270" s="68" t="s">
        <v>93</v>
      </c>
      <c r="BO270" s="68" t="s">
        <v>93</v>
      </c>
      <c r="BP270" s="69" t="s">
        <v>93</v>
      </c>
    </row>
    <row r="271" spans="2:68" x14ac:dyDescent="0.25">
      <c r="B271" s="64">
        <v>9</v>
      </c>
      <c r="C271" s="65">
        <v>38</v>
      </c>
      <c r="D271" s="65" t="s">
        <v>100</v>
      </c>
      <c r="E271" s="66">
        <f>'[3]Master File'!B270</f>
        <v>46284</v>
      </c>
      <c r="F271" s="67" t="str">
        <f>'[3]Master File'!C270</f>
        <v>Explorer 5PM</v>
      </c>
      <c r="G271" s="46"/>
      <c r="I271" s="74" t="s">
        <v>93</v>
      </c>
      <c r="J271" s="74" t="s">
        <v>93</v>
      </c>
      <c r="K271" s="74" t="s">
        <v>93</v>
      </c>
      <c r="L271" s="68" t="s">
        <v>94</v>
      </c>
      <c r="M271" s="74" t="s">
        <v>93</v>
      </c>
      <c r="N271" s="74" t="s">
        <v>93</v>
      </c>
      <c r="O271" s="74" t="s">
        <v>93</v>
      </c>
      <c r="P271" s="74" t="s">
        <v>93</v>
      </c>
      <c r="Q271" s="74" t="s">
        <v>93</v>
      </c>
      <c r="R271" s="74" t="s">
        <v>93</v>
      </c>
      <c r="S271" s="74" t="s">
        <v>93</v>
      </c>
      <c r="T271" s="74" t="s">
        <v>93</v>
      </c>
      <c r="U271" s="74" t="s">
        <v>93</v>
      </c>
      <c r="V271" s="74" t="s">
        <v>93</v>
      </c>
      <c r="W271" s="74" t="s">
        <v>93</v>
      </c>
      <c r="X271" s="74" t="s">
        <v>93</v>
      </c>
      <c r="Y271" s="74" t="s">
        <v>93</v>
      </c>
      <c r="Z271" s="68" t="s">
        <v>94</v>
      </c>
      <c r="AA271" s="74" t="s">
        <v>93</v>
      </c>
      <c r="AB271" s="74" t="s">
        <v>93</v>
      </c>
      <c r="AC271" s="74" t="s">
        <v>93</v>
      </c>
      <c r="AD271" s="74" t="s">
        <v>94</v>
      </c>
      <c r="AE271" s="74" t="s">
        <v>94</v>
      </c>
      <c r="AF271" s="74" t="s">
        <v>93</v>
      </c>
      <c r="AG271" s="74" t="s">
        <v>93</v>
      </c>
      <c r="AH271" s="74" t="s">
        <v>93</v>
      </c>
      <c r="AI271" s="74" t="s">
        <v>93</v>
      </c>
      <c r="AJ271" s="74" t="s">
        <v>93</v>
      </c>
      <c r="AK271" s="74" t="s">
        <v>93</v>
      </c>
      <c r="AL271" s="74" t="s">
        <v>93</v>
      </c>
      <c r="AM271" s="74" t="s">
        <v>93</v>
      </c>
      <c r="AN271" s="74" t="s">
        <v>93</v>
      </c>
      <c r="AO271" s="74" t="s">
        <v>93</v>
      </c>
      <c r="AP271" s="74" t="s">
        <v>93</v>
      </c>
      <c r="AQ271" s="74" t="s">
        <v>93</v>
      </c>
      <c r="AR271" s="74" t="s">
        <v>93</v>
      </c>
      <c r="AS271" s="74" t="s">
        <v>93</v>
      </c>
      <c r="AT271" s="74" t="s">
        <v>93</v>
      </c>
      <c r="AU271" s="74" t="s">
        <v>93</v>
      </c>
      <c r="AV271" s="74" t="s">
        <v>93</v>
      </c>
      <c r="AW271" s="74" t="s">
        <v>93</v>
      </c>
      <c r="AX271" s="74" t="s">
        <v>93</v>
      </c>
      <c r="AY271" s="74" t="s">
        <v>93</v>
      </c>
      <c r="AZ271" s="74" t="s">
        <v>93</v>
      </c>
      <c r="BA271" s="74" t="s">
        <v>93</v>
      </c>
      <c r="BB271" s="74" t="s">
        <v>93</v>
      </c>
      <c r="BC271" s="74" t="s">
        <v>93</v>
      </c>
      <c r="BD271" s="74" t="s">
        <v>93</v>
      </c>
      <c r="BE271" s="74" t="s">
        <v>93</v>
      </c>
      <c r="BF271" s="74" t="s">
        <v>93</v>
      </c>
      <c r="BG271" s="74" t="s">
        <v>93</v>
      </c>
      <c r="BH271" s="74" t="s">
        <v>93</v>
      </c>
      <c r="BI271" s="74" t="s">
        <v>93</v>
      </c>
      <c r="BJ271" s="74" t="s">
        <v>93</v>
      </c>
      <c r="BK271" s="74" t="s">
        <v>93</v>
      </c>
      <c r="BL271" s="74" t="s">
        <v>93</v>
      </c>
      <c r="BM271" s="74" t="s">
        <v>93</v>
      </c>
      <c r="BN271" s="74" t="s">
        <v>93</v>
      </c>
      <c r="BO271" s="74" t="s">
        <v>93</v>
      </c>
      <c r="BP271" s="75" t="s">
        <v>93</v>
      </c>
    </row>
    <row r="272" spans="2:68" x14ac:dyDescent="0.25">
      <c r="B272" s="64">
        <v>9</v>
      </c>
      <c r="C272" s="65">
        <v>39</v>
      </c>
      <c r="D272" s="65" t="s">
        <v>92</v>
      </c>
      <c r="E272" s="66">
        <f>'[3]Master File'!B271</f>
        <v>46285</v>
      </c>
      <c r="F272" s="67" t="str">
        <f>'[3]Master File'!C271</f>
        <v>Explorer 5PM</v>
      </c>
      <c r="G272" s="46"/>
      <c r="I272" s="74" t="s">
        <v>93</v>
      </c>
      <c r="J272" s="74" t="s">
        <v>93</v>
      </c>
      <c r="K272" s="74" t="s">
        <v>93</v>
      </c>
      <c r="L272" s="68" t="s">
        <v>94</v>
      </c>
      <c r="M272" s="74" t="s">
        <v>93</v>
      </c>
      <c r="N272" s="74" t="s">
        <v>93</v>
      </c>
      <c r="O272" s="74" t="s">
        <v>93</v>
      </c>
      <c r="P272" s="74" t="s">
        <v>93</v>
      </c>
      <c r="Q272" s="74" t="s">
        <v>93</v>
      </c>
      <c r="R272" s="74" t="s">
        <v>93</v>
      </c>
      <c r="S272" s="74" t="s">
        <v>93</v>
      </c>
      <c r="T272" s="74" t="s">
        <v>93</v>
      </c>
      <c r="U272" s="74" t="s">
        <v>93</v>
      </c>
      <c r="V272" s="74" t="s">
        <v>93</v>
      </c>
      <c r="W272" s="74" t="s">
        <v>93</v>
      </c>
      <c r="X272" s="74" t="s">
        <v>93</v>
      </c>
      <c r="Y272" s="74" t="s">
        <v>93</v>
      </c>
      <c r="Z272" s="68" t="s">
        <v>94</v>
      </c>
      <c r="AA272" s="74" t="s">
        <v>93</v>
      </c>
      <c r="AB272" s="74" t="s">
        <v>93</v>
      </c>
      <c r="AC272" s="74" t="s">
        <v>93</v>
      </c>
      <c r="AD272" s="74" t="s">
        <v>94</v>
      </c>
      <c r="AE272" s="74" t="s">
        <v>94</v>
      </c>
      <c r="AF272" s="74" t="s">
        <v>93</v>
      </c>
      <c r="AG272" s="74" t="s">
        <v>93</v>
      </c>
      <c r="AH272" s="74" t="s">
        <v>93</v>
      </c>
      <c r="AI272" s="74" t="s">
        <v>93</v>
      </c>
      <c r="AJ272" s="74" t="s">
        <v>93</v>
      </c>
      <c r="AK272" s="74" t="s">
        <v>93</v>
      </c>
      <c r="AL272" s="74" t="s">
        <v>93</v>
      </c>
      <c r="AM272" s="74" t="s">
        <v>93</v>
      </c>
      <c r="AN272" s="74" t="s">
        <v>93</v>
      </c>
      <c r="AO272" s="74" t="s">
        <v>93</v>
      </c>
      <c r="AP272" s="74" t="s">
        <v>93</v>
      </c>
      <c r="AQ272" s="74" t="s">
        <v>93</v>
      </c>
      <c r="AR272" s="74" t="s">
        <v>93</v>
      </c>
      <c r="AS272" s="74" t="s">
        <v>93</v>
      </c>
      <c r="AT272" s="74" t="s">
        <v>93</v>
      </c>
      <c r="AU272" s="74" t="s">
        <v>93</v>
      </c>
      <c r="AV272" s="74" t="s">
        <v>93</v>
      </c>
      <c r="AW272" s="74" t="s">
        <v>93</v>
      </c>
      <c r="AX272" s="74" t="s">
        <v>93</v>
      </c>
      <c r="AY272" s="74" t="s">
        <v>93</v>
      </c>
      <c r="AZ272" s="74" t="s">
        <v>93</v>
      </c>
      <c r="BA272" s="74" t="s">
        <v>93</v>
      </c>
      <c r="BB272" s="74" t="s">
        <v>93</v>
      </c>
      <c r="BC272" s="74" t="s">
        <v>93</v>
      </c>
      <c r="BD272" s="74" t="s">
        <v>93</v>
      </c>
      <c r="BE272" s="74" t="s">
        <v>93</v>
      </c>
      <c r="BF272" s="74" t="s">
        <v>93</v>
      </c>
      <c r="BG272" s="74" t="s">
        <v>93</v>
      </c>
      <c r="BH272" s="74" t="s">
        <v>93</v>
      </c>
      <c r="BI272" s="74" t="s">
        <v>93</v>
      </c>
      <c r="BJ272" s="74" t="s">
        <v>93</v>
      </c>
      <c r="BK272" s="74" t="s">
        <v>93</v>
      </c>
      <c r="BL272" s="74" t="s">
        <v>93</v>
      </c>
      <c r="BM272" s="74" t="s">
        <v>93</v>
      </c>
      <c r="BN272" s="74" t="s">
        <v>93</v>
      </c>
      <c r="BO272" s="74" t="s">
        <v>93</v>
      </c>
      <c r="BP272" s="75" t="s">
        <v>93</v>
      </c>
    </row>
    <row r="273" spans="2:68" x14ac:dyDescent="0.25">
      <c r="B273" s="64">
        <v>9</v>
      </c>
      <c r="C273" s="65">
        <v>39</v>
      </c>
      <c r="D273" s="65" t="s">
        <v>95</v>
      </c>
      <c r="E273" s="66">
        <f>'[3]Master File'!B272</f>
        <v>46286</v>
      </c>
      <c r="F273" s="67" t="str">
        <f>'[3]Master File'!C272</f>
        <v>Lodge 5PM</v>
      </c>
      <c r="G273" s="46"/>
      <c r="I273" s="68" t="s">
        <v>93</v>
      </c>
      <c r="J273" s="68" t="s">
        <v>93</v>
      </c>
      <c r="K273" s="68" t="s">
        <v>93</v>
      </c>
      <c r="L273" s="68" t="s">
        <v>94</v>
      </c>
      <c r="M273" s="68" t="s">
        <v>93</v>
      </c>
      <c r="N273" s="68" t="s">
        <v>93</v>
      </c>
      <c r="O273" s="68" t="s">
        <v>93</v>
      </c>
      <c r="P273" s="68" t="s">
        <v>93</v>
      </c>
      <c r="Q273" s="68" t="s">
        <v>93</v>
      </c>
      <c r="R273" s="68" t="s">
        <v>93</v>
      </c>
      <c r="S273" s="68" t="s">
        <v>93</v>
      </c>
      <c r="T273" s="68" t="s">
        <v>93</v>
      </c>
      <c r="U273" s="68" t="s">
        <v>93</v>
      </c>
      <c r="V273" s="68" t="s">
        <v>93</v>
      </c>
      <c r="W273" s="68" t="s">
        <v>93</v>
      </c>
      <c r="X273" s="68" t="s">
        <v>93</v>
      </c>
      <c r="Y273" s="68" t="s">
        <v>93</v>
      </c>
      <c r="Z273" s="68" t="s">
        <v>94</v>
      </c>
      <c r="AA273" s="68" t="s">
        <v>93</v>
      </c>
      <c r="AB273" s="68" t="s">
        <v>93</v>
      </c>
      <c r="AC273" s="68" t="s">
        <v>93</v>
      </c>
      <c r="AD273" s="68" t="s">
        <v>93</v>
      </c>
      <c r="AE273" s="68" t="s">
        <v>93</v>
      </c>
      <c r="AF273" s="68" t="s">
        <v>93</v>
      </c>
      <c r="AG273" s="68" t="s">
        <v>93</v>
      </c>
      <c r="AH273" s="68" t="s">
        <v>93</v>
      </c>
      <c r="AI273" s="68" t="s">
        <v>93</v>
      </c>
      <c r="AJ273" s="68" t="s">
        <v>93</v>
      </c>
      <c r="AK273" s="68" t="s">
        <v>93</v>
      </c>
      <c r="AL273" s="68" t="s">
        <v>93</v>
      </c>
      <c r="AM273" s="68" t="s">
        <v>93</v>
      </c>
      <c r="AN273" s="68" t="s">
        <v>93</v>
      </c>
      <c r="AO273" s="68" t="s">
        <v>93</v>
      </c>
      <c r="AP273" s="68" t="s">
        <v>93</v>
      </c>
      <c r="AQ273" s="68" t="s">
        <v>93</v>
      </c>
      <c r="AR273" s="68" t="s">
        <v>93</v>
      </c>
      <c r="AS273" s="68" t="s">
        <v>93</v>
      </c>
      <c r="AT273" s="68" t="s">
        <v>93</v>
      </c>
      <c r="AU273" s="68" t="s">
        <v>93</v>
      </c>
      <c r="AV273" s="68" t="s">
        <v>93</v>
      </c>
      <c r="AW273" s="68" t="s">
        <v>93</v>
      </c>
      <c r="AX273" s="68" t="s">
        <v>93</v>
      </c>
      <c r="AY273" s="68" t="s">
        <v>93</v>
      </c>
      <c r="AZ273" s="68" t="s">
        <v>93</v>
      </c>
      <c r="BA273" s="68" t="s">
        <v>93</v>
      </c>
      <c r="BB273" s="68" t="s">
        <v>93</v>
      </c>
      <c r="BC273" s="68" t="s">
        <v>93</v>
      </c>
      <c r="BD273" s="68" t="s">
        <v>93</v>
      </c>
      <c r="BE273" s="68" t="s">
        <v>93</v>
      </c>
      <c r="BF273" s="68" t="s">
        <v>93</v>
      </c>
      <c r="BG273" s="68" t="s">
        <v>93</v>
      </c>
      <c r="BH273" s="68" t="s">
        <v>93</v>
      </c>
      <c r="BI273" s="68" t="s">
        <v>93</v>
      </c>
      <c r="BJ273" s="68" t="s">
        <v>93</v>
      </c>
      <c r="BK273" s="68" t="s">
        <v>93</v>
      </c>
      <c r="BL273" s="68" t="s">
        <v>93</v>
      </c>
      <c r="BM273" s="68" t="s">
        <v>93</v>
      </c>
      <c r="BN273" s="68" t="s">
        <v>93</v>
      </c>
      <c r="BO273" s="68" t="s">
        <v>93</v>
      </c>
      <c r="BP273" s="69" t="s">
        <v>93</v>
      </c>
    </row>
    <row r="274" spans="2:68" x14ac:dyDescent="0.25">
      <c r="B274" s="64">
        <v>9</v>
      </c>
      <c r="C274" s="65">
        <v>39</v>
      </c>
      <c r="D274" s="65" t="s">
        <v>96</v>
      </c>
      <c r="E274" s="66">
        <f>'[3]Master File'!B273</f>
        <v>46287</v>
      </c>
      <c r="F274" s="67" t="str">
        <f>'[3]Master File'!C273</f>
        <v>Closed</v>
      </c>
      <c r="G274" s="46"/>
      <c r="I274" s="68" t="s">
        <v>93</v>
      </c>
      <c r="J274" s="68" t="s">
        <v>93</v>
      </c>
      <c r="K274" s="68" t="s">
        <v>93</v>
      </c>
      <c r="L274" s="68" t="s">
        <v>94</v>
      </c>
      <c r="M274" s="68" t="s">
        <v>93</v>
      </c>
      <c r="N274" s="68" t="s">
        <v>93</v>
      </c>
      <c r="O274" s="68" t="s">
        <v>93</v>
      </c>
      <c r="P274" s="68" t="s">
        <v>93</v>
      </c>
      <c r="Q274" s="68" t="s">
        <v>93</v>
      </c>
      <c r="R274" s="68" t="s">
        <v>93</v>
      </c>
      <c r="S274" s="68" t="s">
        <v>93</v>
      </c>
      <c r="T274" s="68" t="s">
        <v>93</v>
      </c>
      <c r="U274" s="68" t="s">
        <v>93</v>
      </c>
      <c r="V274" s="68" t="s">
        <v>93</v>
      </c>
      <c r="W274" s="68" t="s">
        <v>93</v>
      </c>
      <c r="X274" s="68" t="s">
        <v>93</v>
      </c>
      <c r="Y274" s="68" t="s">
        <v>93</v>
      </c>
      <c r="Z274" s="68" t="s">
        <v>94</v>
      </c>
      <c r="AA274" s="68" t="s">
        <v>93</v>
      </c>
      <c r="AB274" s="68" t="s">
        <v>93</v>
      </c>
      <c r="AC274" s="68" t="s">
        <v>93</v>
      </c>
      <c r="AD274" s="68" t="s">
        <v>93</v>
      </c>
      <c r="AE274" s="68" t="s">
        <v>93</v>
      </c>
      <c r="AF274" s="68" t="s">
        <v>93</v>
      </c>
      <c r="AG274" s="68" t="s">
        <v>93</v>
      </c>
      <c r="AH274" s="68" t="s">
        <v>93</v>
      </c>
      <c r="AI274" s="68" t="s">
        <v>93</v>
      </c>
      <c r="AJ274" s="68" t="s">
        <v>93</v>
      </c>
      <c r="AK274" s="68" t="s">
        <v>93</v>
      </c>
      <c r="AL274" s="68" t="s">
        <v>93</v>
      </c>
      <c r="AM274" s="68" t="s">
        <v>93</v>
      </c>
      <c r="AN274" s="68" t="s">
        <v>93</v>
      </c>
      <c r="AO274" s="68" t="s">
        <v>93</v>
      </c>
      <c r="AP274" s="68" t="s">
        <v>93</v>
      </c>
      <c r="AQ274" s="68" t="s">
        <v>93</v>
      </c>
      <c r="AR274" s="68" t="s">
        <v>93</v>
      </c>
      <c r="AS274" s="68" t="s">
        <v>93</v>
      </c>
      <c r="AT274" s="68" t="s">
        <v>93</v>
      </c>
      <c r="AU274" s="68" t="s">
        <v>93</v>
      </c>
      <c r="AV274" s="68" t="s">
        <v>93</v>
      </c>
      <c r="AW274" s="68" t="s">
        <v>93</v>
      </c>
      <c r="AX274" s="68" t="s">
        <v>93</v>
      </c>
      <c r="AY274" s="68" t="s">
        <v>93</v>
      </c>
      <c r="AZ274" s="68" t="s">
        <v>93</v>
      </c>
      <c r="BA274" s="68" t="s">
        <v>93</v>
      </c>
      <c r="BB274" s="68" t="s">
        <v>93</v>
      </c>
      <c r="BC274" s="68" t="s">
        <v>93</v>
      </c>
      <c r="BD274" s="68" t="s">
        <v>93</v>
      </c>
      <c r="BE274" s="68" t="s">
        <v>93</v>
      </c>
      <c r="BF274" s="68" t="s">
        <v>93</v>
      </c>
      <c r="BG274" s="68" t="s">
        <v>93</v>
      </c>
      <c r="BH274" s="68" t="s">
        <v>93</v>
      </c>
      <c r="BI274" s="68" t="s">
        <v>93</v>
      </c>
      <c r="BJ274" s="68" t="s">
        <v>93</v>
      </c>
      <c r="BK274" s="68" t="s">
        <v>93</v>
      </c>
      <c r="BL274" s="68" t="s">
        <v>93</v>
      </c>
      <c r="BM274" s="68" t="s">
        <v>93</v>
      </c>
      <c r="BN274" s="68" t="s">
        <v>93</v>
      </c>
      <c r="BO274" s="68" t="s">
        <v>93</v>
      </c>
      <c r="BP274" s="69" t="s">
        <v>93</v>
      </c>
    </row>
    <row r="275" spans="2:68" x14ac:dyDescent="0.25">
      <c r="B275" s="64">
        <v>9</v>
      </c>
      <c r="C275" s="65">
        <v>39</v>
      </c>
      <c r="D275" s="65" t="s">
        <v>97</v>
      </c>
      <c r="E275" s="66">
        <f>'[3]Master File'!B274</f>
        <v>46288</v>
      </c>
      <c r="F275" s="67" t="str">
        <f>'[3]Master File'!C274</f>
        <v>Closed</v>
      </c>
      <c r="G275" s="46"/>
      <c r="I275" s="68" t="s">
        <v>93</v>
      </c>
      <c r="J275" s="68" t="s">
        <v>93</v>
      </c>
      <c r="K275" s="68" t="s">
        <v>93</v>
      </c>
      <c r="L275" s="68" t="s">
        <v>94</v>
      </c>
      <c r="M275" s="68" t="s">
        <v>93</v>
      </c>
      <c r="N275" s="68" t="s">
        <v>93</v>
      </c>
      <c r="O275" s="68" t="s">
        <v>93</v>
      </c>
      <c r="P275" s="68" t="s">
        <v>93</v>
      </c>
      <c r="Q275" s="68" t="s">
        <v>93</v>
      </c>
      <c r="R275" s="68" t="s">
        <v>93</v>
      </c>
      <c r="S275" s="68" t="s">
        <v>93</v>
      </c>
      <c r="T275" s="68" t="s">
        <v>93</v>
      </c>
      <c r="U275" s="68" t="s">
        <v>93</v>
      </c>
      <c r="V275" s="68" t="s">
        <v>93</v>
      </c>
      <c r="W275" s="68" t="s">
        <v>93</v>
      </c>
      <c r="X275" s="68" t="s">
        <v>93</v>
      </c>
      <c r="Y275" s="68" t="s">
        <v>93</v>
      </c>
      <c r="Z275" s="68" t="s">
        <v>94</v>
      </c>
      <c r="AA275" s="68" t="s">
        <v>93</v>
      </c>
      <c r="AB275" s="68" t="s">
        <v>93</v>
      </c>
      <c r="AC275" s="68" t="s">
        <v>93</v>
      </c>
      <c r="AD275" s="68" t="s">
        <v>93</v>
      </c>
      <c r="AE275" s="68" t="s">
        <v>93</v>
      </c>
      <c r="AF275" s="68" t="s">
        <v>93</v>
      </c>
      <c r="AG275" s="68" t="s">
        <v>93</v>
      </c>
      <c r="AH275" s="68" t="s">
        <v>93</v>
      </c>
      <c r="AI275" s="68" t="s">
        <v>93</v>
      </c>
      <c r="AJ275" s="68" t="s">
        <v>93</v>
      </c>
      <c r="AK275" s="68" t="s">
        <v>93</v>
      </c>
      <c r="AL275" s="68" t="s">
        <v>93</v>
      </c>
      <c r="AM275" s="68" t="s">
        <v>93</v>
      </c>
      <c r="AN275" s="68" t="s">
        <v>93</v>
      </c>
      <c r="AO275" s="68" t="s">
        <v>93</v>
      </c>
      <c r="AP275" s="68" t="s">
        <v>93</v>
      </c>
      <c r="AQ275" s="68" t="s">
        <v>93</v>
      </c>
      <c r="AR275" s="68" t="s">
        <v>93</v>
      </c>
      <c r="AS275" s="68" t="s">
        <v>93</v>
      </c>
      <c r="AT275" s="68" t="s">
        <v>93</v>
      </c>
      <c r="AU275" s="68" t="s">
        <v>93</v>
      </c>
      <c r="AV275" s="68" t="s">
        <v>93</v>
      </c>
      <c r="AW275" s="68" t="s">
        <v>93</v>
      </c>
      <c r="AX275" s="68" t="s">
        <v>93</v>
      </c>
      <c r="AY275" s="68" t="s">
        <v>93</v>
      </c>
      <c r="AZ275" s="68" t="s">
        <v>93</v>
      </c>
      <c r="BA275" s="68" t="s">
        <v>93</v>
      </c>
      <c r="BB275" s="68" t="s">
        <v>93</v>
      </c>
      <c r="BC275" s="68" t="s">
        <v>93</v>
      </c>
      <c r="BD275" s="68" t="s">
        <v>93</v>
      </c>
      <c r="BE275" s="68" t="s">
        <v>93</v>
      </c>
      <c r="BF275" s="68" t="s">
        <v>93</v>
      </c>
      <c r="BG275" s="68" t="s">
        <v>93</v>
      </c>
      <c r="BH275" s="68" t="s">
        <v>93</v>
      </c>
      <c r="BI275" s="68" t="s">
        <v>93</v>
      </c>
      <c r="BJ275" s="68" t="s">
        <v>93</v>
      </c>
      <c r="BK275" s="68" t="s">
        <v>93</v>
      </c>
      <c r="BL275" s="68" t="s">
        <v>93</v>
      </c>
      <c r="BM275" s="68" t="s">
        <v>93</v>
      </c>
      <c r="BN275" s="68" t="s">
        <v>93</v>
      </c>
      <c r="BO275" s="68" t="s">
        <v>93</v>
      </c>
      <c r="BP275" s="69" t="s">
        <v>93</v>
      </c>
    </row>
    <row r="276" spans="2:68" x14ac:dyDescent="0.25">
      <c r="B276" s="64">
        <v>9</v>
      </c>
      <c r="C276" s="65">
        <v>39</v>
      </c>
      <c r="D276" s="65" t="s">
        <v>98</v>
      </c>
      <c r="E276" s="66">
        <f>'[3]Master File'!B275</f>
        <v>46289</v>
      </c>
      <c r="F276" s="67" t="str">
        <f>'[3]Master File'!C275</f>
        <v>Lodge 5PM</v>
      </c>
      <c r="G276" s="46"/>
      <c r="I276" s="68" t="s">
        <v>93</v>
      </c>
      <c r="J276" s="68" t="s">
        <v>93</v>
      </c>
      <c r="K276" s="68" t="s">
        <v>93</v>
      </c>
      <c r="L276" s="68" t="s">
        <v>94</v>
      </c>
      <c r="M276" s="68" t="s">
        <v>93</v>
      </c>
      <c r="N276" s="68" t="s">
        <v>93</v>
      </c>
      <c r="O276" s="68" t="s">
        <v>93</v>
      </c>
      <c r="P276" s="68" t="s">
        <v>93</v>
      </c>
      <c r="Q276" s="68" t="s">
        <v>93</v>
      </c>
      <c r="R276" s="68" t="s">
        <v>93</v>
      </c>
      <c r="S276" s="68" t="s">
        <v>93</v>
      </c>
      <c r="T276" s="68" t="s">
        <v>93</v>
      </c>
      <c r="U276" s="68" t="s">
        <v>93</v>
      </c>
      <c r="V276" s="68" t="s">
        <v>93</v>
      </c>
      <c r="W276" s="68" t="s">
        <v>93</v>
      </c>
      <c r="X276" s="68" t="s">
        <v>93</v>
      </c>
      <c r="Y276" s="68" t="s">
        <v>93</v>
      </c>
      <c r="Z276" s="68" t="s">
        <v>94</v>
      </c>
      <c r="AA276" s="68" t="s">
        <v>93</v>
      </c>
      <c r="AB276" s="68" t="s">
        <v>93</v>
      </c>
      <c r="AC276" s="68" t="s">
        <v>93</v>
      </c>
      <c r="AD276" s="68" t="s">
        <v>93</v>
      </c>
      <c r="AE276" s="68" t="s">
        <v>93</v>
      </c>
      <c r="AF276" s="68" t="s">
        <v>93</v>
      </c>
      <c r="AG276" s="68" t="s">
        <v>93</v>
      </c>
      <c r="AH276" s="68" t="s">
        <v>93</v>
      </c>
      <c r="AI276" s="68" t="s">
        <v>93</v>
      </c>
      <c r="AJ276" s="68" t="s">
        <v>93</v>
      </c>
      <c r="AK276" s="68" t="s">
        <v>93</v>
      </c>
      <c r="AL276" s="68" t="s">
        <v>93</v>
      </c>
      <c r="AM276" s="68" t="s">
        <v>93</v>
      </c>
      <c r="AN276" s="68" t="s">
        <v>93</v>
      </c>
      <c r="AO276" s="68" t="s">
        <v>93</v>
      </c>
      <c r="AP276" s="68" t="s">
        <v>93</v>
      </c>
      <c r="AQ276" s="68" t="s">
        <v>93</v>
      </c>
      <c r="AR276" s="68" t="s">
        <v>93</v>
      </c>
      <c r="AS276" s="68" t="s">
        <v>93</v>
      </c>
      <c r="AT276" s="68" t="s">
        <v>93</v>
      </c>
      <c r="AU276" s="68" t="s">
        <v>93</v>
      </c>
      <c r="AV276" s="68" t="s">
        <v>93</v>
      </c>
      <c r="AW276" s="68" t="s">
        <v>93</v>
      </c>
      <c r="AX276" s="68" t="s">
        <v>93</v>
      </c>
      <c r="AY276" s="68" t="s">
        <v>93</v>
      </c>
      <c r="AZ276" s="68" t="s">
        <v>93</v>
      </c>
      <c r="BA276" s="68" t="s">
        <v>93</v>
      </c>
      <c r="BB276" s="68" t="s">
        <v>93</v>
      </c>
      <c r="BC276" s="68" t="s">
        <v>93</v>
      </c>
      <c r="BD276" s="68" t="s">
        <v>93</v>
      </c>
      <c r="BE276" s="68" t="s">
        <v>93</v>
      </c>
      <c r="BF276" s="68" t="s">
        <v>93</v>
      </c>
      <c r="BG276" s="68" t="s">
        <v>93</v>
      </c>
      <c r="BH276" s="68" t="s">
        <v>93</v>
      </c>
      <c r="BI276" s="68" t="s">
        <v>93</v>
      </c>
      <c r="BJ276" s="68" t="s">
        <v>93</v>
      </c>
      <c r="BK276" s="68" t="s">
        <v>93</v>
      </c>
      <c r="BL276" s="68" t="s">
        <v>93</v>
      </c>
      <c r="BM276" s="68" t="s">
        <v>93</v>
      </c>
      <c r="BN276" s="68" t="s">
        <v>93</v>
      </c>
      <c r="BO276" s="68" t="s">
        <v>93</v>
      </c>
      <c r="BP276" s="69" t="s">
        <v>93</v>
      </c>
    </row>
    <row r="277" spans="2:68" x14ac:dyDescent="0.25">
      <c r="B277" s="64">
        <v>9</v>
      </c>
      <c r="C277" s="65">
        <v>39</v>
      </c>
      <c r="D277" s="65" t="s">
        <v>99</v>
      </c>
      <c r="E277" s="66">
        <f>'[3]Master File'!B276</f>
        <v>46290</v>
      </c>
      <c r="F277" s="67" t="str">
        <f>'[3]Master File'!C276</f>
        <v>Lodge 5PM</v>
      </c>
      <c r="G277" s="46"/>
      <c r="I277" s="68" t="s">
        <v>93</v>
      </c>
      <c r="J277" s="68" t="s">
        <v>93</v>
      </c>
      <c r="K277" s="68" t="s">
        <v>93</v>
      </c>
      <c r="L277" s="68" t="s">
        <v>94</v>
      </c>
      <c r="M277" s="68" t="s">
        <v>93</v>
      </c>
      <c r="N277" s="68" t="s">
        <v>93</v>
      </c>
      <c r="O277" s="68" t="s">
        <v>93</v>
      </c>
      <c r="P277" s="68" t="s">
        <v>93</v>
      </c>
      <c r="Q277" s="68" t="s">
        <v>93</v>
      </c>
      <c r="R277" s="68" t="s">
        <v>93</v>
      </c>
      <c r="S277" s="68" t="s">
        <v>93</v>
      </c>
      <c r="T277" s="68" t="s">
        <v>93</v>
      </c>
      <c r="U277" s="68" t="s">
        <v>93</v>
      </c>
      <c r="V277" s="68" t="s">
        <v>93</v>
      </c>
      <c r="W277" s="68" t="s">
        <v>93</v>
      </c>
      <c r="X277" s="68" t="s">
        <v>93</v>
      </c>
      <c r="Y277" s="68" t="s">
        <v>93</v>
      </c>
      <c r="Z277" s="68" t="s">
        <v>94</v>
      </c>
      <c r="AA277" s="68" t="s">
        <v>93</v>
      </c>
      <c r="AB277" s="68" t="s">
        <v>93</v>
      </c>
      <c r="AC277" s="68" t="s">
        <v>93</v>
      </c>
      <c r="AD277" s="68" t="s">
        <v>93</v>
      </c>
      <c r="AE277" s="68" t="s">
        <v>93</v>
      </c>
      <c r="AF277" s="68" t="s">
        <v>93</v>
      </c>
      <c r="AG277" s="68" t="s">
        <v>93</v>
      </c>
      <c r="AH277" s="68" t="s">
        <v>93</v>
      </c>
      <c r="AI277" s="68" t="s">
        <v>93</v>
      </c>
      <c r="AJ277" s="68" t="s">
        <v>93</v>
      </c>
      <c r="AK277" s="68" t="s">
        <v>93</v>
      </c>
      <c r="AL277" s="68" t="s">
        <v>93</v>
      </c>
      <c r="AM277" s="68" t="s">
        <v>93</v>
      </c>
      <c r="AN277" s="68" t="s">
        <v>93</v>
      </c>
      <c r="AO277" s="68" t="s">
        <v>93</v>
      </c>
      <c r="AP277" s="68" t="s">
        <v>93</v>
      </c>
      <c r="AQ277" s="68" t="s">
        <v>93</v>
      </c>
      <c r="AR277" s="68" t="s">
        <v>93</v>
      </c>
      <c r="AS277" s="68" t="s">
        <v>93</v>
      </c>
      <c r="AT277" s="68" t="s">
        <v>93</v>
      </c>
      <c r="AU277" s="68" t="s">
        <v>93</v>
      </c>
      <c r="AV277" s="68" t="s">
        <v>93</v>
      </c>
      <c r="AW277" s="68" t="s">
        <v>93</v>
      </c>
      <c r="AX277" s="68" t="s">
        <v>93</v>
      </c>
      <c r="AY277" s="68" t="s">
        <v>93</v>
      </c>
      <c r="AZ277" s="68" t="s">
        <v>93</v>
      </c>
      <c r="BA277" s="68" t="s">
        <v>93</v>
      </c>
      <c r="BB277" s="68" t="s">
        <v>93</v>
      </c>
      <c r="BC277" s="68" t="s">
        <v>93</v>
      </c>
      <c r="BD277" s="68" t="s">
        <v>93</v>
      </c>
      <c r="BE277" s="68" t="s">
        <v>93</v>
      </c>
      <c r="BF277" s="68" t="s">
        <v>93</v>
      </c>
      <c r="BG277" s="68" t="s">
        <v>93</v>
      </c>
      <c r="BH277" s="68" t="s">
        <v>93</v>
      </c>
      <c r="BI277" s="68" t="s">
        <v>93</v>
      </c>
      <c r="BJ277" s="68" t="s">
        <v>93</v>
      </c>
      <c r="BK277" s="68" t="s">
        <v>93</v>
      </c>
      <c r="BL277" s="68" t="s">
        <v>93</v>
      </c>
      <c r="BM277" s="68" t="s">
        <v>93</v>
      </c>
      <c r="BN277" s="68" t="s">
        <v>93</v>
      </c>
      <c r="BO277" s="68" t="s">
        <v>93</v>
      </c>
      <c r="BP277" s="69" t="s">
        <v>93</v>
      </c>
    </row>
    <row r="278" spans="2:68" x14ac:dyDescent="0.25">
      <c r="B278" s="64">
        <v>9</v>
      </c>
      <c r="C278" s="65">
        <v>39</v>
      </c>
      <c r="D278" s="65" t="s">
        <v>100</v>
      </c>
      <c r="E278" s="66">
        <f>'[3]Master File'!B277</f>
        <v>46291</v>
      </c>
      <c r="F278" s="67" t="str">
        <f>'[3]Master File'!C277</f>
        <v>Explorer 5PM</v>
      </c>
      <c r="G278" s="46"/>
      <c r="I278" s="74" t="s">
        <v>93</v>
      </c>
      <c r="J278" s="74" t="s">
        <v>93</v>
      </c>
      <c r="K278" s="74" t="s">
        <v>93</v>
      </c>
      <c r="L278" s="68" t="s">
        <v>94</v>
      </c>
      <c r="M278" s="74" t="s">
        <v>93</v>
      </c>
      <c r="N278" s="74" t="s">
        <v>93</v>
      </c>
      <c r="O278" s="74" t="s">
        <v>93</v>
      </c>
      <c r="P278" s="74" t="s">
        <v>93</v>
      </c>
      <c r="Q278" s="74" t="s">
        <v>93</v>
      </c>
      <c r="R278" s="74" t="s">
        <v>93</v>
      </c>
      <c r="S278" s="74" t="s">
        <v>93</v>
      </c>
      <c r="T278" s="74" t="s">
        <v>93</v>
      </c>
      <c r="U278" s="74" t="s">
        <v>93</v>
      </c>
      <c r="V278" s="74" t="s">
        <v>93</v>
      </c>
      <c r="W278" s="74" t="s">
        <v>93</v>
      </c>
      <c r="X278" s="74" t="s">
        <v>93</v>
      </c>
      <c r="Y278" s="74" t="s">
        <v>93</v>
      </c>
      <c r="Z278" s="68" t="s">
        <v>94</v>
      </c>
      <c r="AA278" s="74" t="s">
        <v>93</v>
      </c>
      <c r="AB278" s="74" t="s">
        <v>93</v>
      </c>
      <c r="AC278" s="74" t="s">
        <v>93</v>
      </c>
      <c r="AD278" s="74" t="s">
        <v>94</v>
      </c>
      <c r="AE278" s="74" t="s">
        <v>94</v>
      </c>
      <c r="AF278" s="74" t="s">
        <v>93</v>
      </c>
      <c r="AG278" s="74" t="s">
        <v>93</v>
      </c>
      <c r="AH278" s="74" t="s">
        <v>93</v>
      </c>
      <c r="AI278" s="74" t="s">
        <v>93</v>
      </c>
      <c r="AJ278" s="74" t="s">
        <v>93</v>
      </c>
      <c r="AK278" s="74" t="s">
        <v>93</v>
      </c>
      <c r="AL278" s="74" t="s">
        <v>93</v>
      </c>
      <c r="AM278" s="74" t="s">
        <v>93</v>
      </c>
      <c r="AN278" s="74" t="s">
        <v>93</v>
      </c>
      <c r="AO278" s="74" t="s">
        <v>93</v>
      </c>
      <c r="AP278" s="74" t="s">
        <v>93</v>
      </c>
      <c r="AQ278" s="74" t="s">
        <v>93</v>
      </c>
      <c r="AR278" s="74" t="s">
        <v>93</v>
      </c>
      <c r="AS278" s="74" t="s">
        <v>93</v>
      </c>
      <c r="AT278" s="74" t="s">
        <v>93</v>
      </c>
      <c r="AU278" s="74" t="s">
        <v>93</v>
      </c>
      <c r="AV278" s="74" t="s">
        <v>93</v>
      </c>
      <c r="AW278" s="74" t="s">
        <v>93</v>
      </c>
      <c r="AX278" s="74" t="s">
        <v>93</v>
      </c>
      <c r="AY278" s="74" t="s">
        <v>93</v>
      </c>
      <c r="AZ278" s="74" t="s">
        <v>93</v>
      </c>
      <c r="BA278" s="74" t="s">
        <v>93</v>
      </c>
      <c r="BB278" s="74" t="s">
        <v>93</v>
      </c>
      <c r="BC278" s="74" t="s">
        <v>93</v>
      </c>
      <c r="BD278" s="74" t="s">
        <v>93</v>
      </c>
      <c r="BE278" s="74" t="s">
        <v>93</v>
      </c>
      <c r="BF278" s="74" t="s">
        <v>93</v>
      </c>
      <c r="BG278" s="74" t="s">
        <v>93</v>
      </c>
      <c r="BH278" s="74" t="s">
        <v>93</v>
      </c>
      <c r="BI278" s="74" t="s">
        <v>93</v>
      </c>
      <c r="BJ278" s="74" t="s">
        <v>93</v>
      </c>
      <c r="BK278" s="74" t="s">
        <v>93</v>
      </c>
      <c r="BL278" s="74" t="s">
        <v>93</v>
      </c>
      <c r="BM278" s="74" t="s">
        <v>93</v>
      </c>
      <c r="BN278" s="74" t="s">
        <v>93</v>
      </c>
      <c r="BO278" s="74" t="s">
        <v>93</v>
      </c>
      <c r="BP278" s="75" t="s">
        <v>93</v>
      </c>
    </row>
    <row r="279" spans="2:68" x14ac:dyDescent="0.25">
      <c r="B279" s="64">
        <v>10</v>
      </c>
      <c r="C279" s="65">
        <v>40</v>
      </c>
      <c r="D279" s="65" t="s">
        <v>92</v>
      </c>
      <c r="E279" s="66">
        <f>'[3]Master File'!B278</f>
        <v>46292</v>
      </c>
      <c r="F279" s="67" t="str">
        <f>'[3]Master File'!C278</f>
        <v>Explorer 5PM</v>
      </c>
      <c r="G279" s="46"/>
      <c r="I279" s="74" t="s">
        <v>93</v>
      </c>
      <c r="J279" s="74" t="s">
        <v>93</v>
      </c>
      <c r="K279" s="74" t="s">
        <v>93</v>
      </c>
      <c r="L279" s="68" t="s">
        <v>94</v>
      </c>
      <c r="M279" s="74" t="s">
        <v>93</v>
      </c>
      <c r="N279" s="74" t="s">
        <v>93</v>
      </c>
      <c r="O279" s="74" t="s">
        <v>93</v>
      </c>
      <c r="P279" s="74" t="s">
        <v>93</v>
      </c>
      <c r="Q279" s="74" t="s">
        <v>93</v>
      </c>
      <c r="R279" s="74" t="s">
        <v>93</v>
      </c>
      <c r="S279" s="74" t="s">
        <v>93</v>
      </c>
      <c r="T279" s="74" t="s">
        <v>93</v>
      </c>
      <c r="U279" s="74" t="s">
        <v>93</v>
      </c>
      <c r="V279" s="74" t="s">
        <v>93</v>
      </c>
      <c r="W279" s="74" t="s">
        <v>93</v>
      </c>
      <c r="X279" s="74" t="s">
        <v>93</v>
      </c>
      <c r="Y279" s="74" t="s">
        <v>93</v>
      </c>
      <c r="Z279" s="68" t="s">
        <v>94</v>
      </c>
      <c r="AA279" s="74" t="s">
        <v>93</v>
      </c>
      <c r="AB279" s="74" t="s">
        <v>93</v>
      </c>
      <c r="AC279" s="74" t="s">
        <v>93</v>
      </c>
      <c r="AD279" s="74" t="s">
        <v>94</v>
      </c>
      <c r="AE279" s="74" t="s">
        <v>94</v>
      </c>
      <c r="AF279" s="74" t="s">
        <v>93</v>
      </c>
      <c r="AG279" s="74" t="s">
        <v>93</v>
      </c>
      <c r="AH279" s="74" t="s">
        <v>93</v>
      </c>
      <c r="AI279" s="74" t="s">
        <v>93</v>
      </c>
      <c r="AJ279" s="74" t="s">
        <v>93</v>
      </c>
      <c r="AK279" s="74" t="s">
        <v>93</v>
      </c>
      <c r="AL279" s="74" t="s">
        <v>93</v>
      </c>
      <c r="AM279" s="74" t="s">
        <v>93</v>
      </c>
      <c r="AN279" s="74" t="s">
        <v>93</v>
      </c>
      <c r="AO279" s="74" t="s">
        <v>93</v>
      </c>
      <c r="AP279" s="74" t="s">
        <v>93</v>
      </c>
      <c r="AQ279" s="74" t="s">
        <v>93</v>
      </c>
      <c r="AR279" s="74" t="s">
        <v>93</v>
      </c>
      <c r="AS279" s="74" t="s">
        <v>93</v>
      </c>
      <c r="AT279" s="74" t="s">
        <v>93</v>
      </c>
      <c r="AU279" s="74" t="s">
        <v>93</v>
      </c>
      <c r="AV279" s="74" t="s">
        <v>93</v>
      </c>
      <c r="AW279" s="74" t="s">
        <v>93</v>
      </c>
      <c r="AX279" s="74" t="s">
        <v>93</v>
      </c>
      <c r="AY279" s="74" t="s">
        <v>93</v>
      </c>
      <c r="AZ279" s="74" t="s">
        <v>93</v>
      </c>
      <c r="BA279" s="74" t="s">
        <v>93</v>
      </c>
      <c r="BB279" s="74" t="s">
        <v>93</v>
      </c>
      <c r="BC279" s="74" t="s">
        <v>93</v>
      </c>
      <c r="BD279" s="74" t="s">
        <v>93</v>
      </c>
      <c r="BE279" s="74" t="s">
        <v>93</v>
      </c>
      <c r="BF279" s="74" t="s">
        <v>93</v>
      </c>
      <c r="BG279" s="74" t="s">
        <v>93</v>
      </c>
      <c r="BH279" s="74" t="s">
        <v>93</v>
      </c>
      <c r="BI279" s="74" t="s">
        <v>93</v>
      </c>
      <c r="BJ279" s="74" t="s">
        <v>93</v>
      </c>
      <c r="BK279" s="74" t="s">
        <v>93</v>
      </c>
      <c r="BL279" s="74" t="s">
        <v>93</v>
      </c>
      <c r="BM279" s="74" t="s">
        <v>93</v>
      </c>
      <c r="BN279" s="74" t="s">
        <v>93</v>
      </c>
      <c r="BO279" s="74" t="s">
        <v>93</v>
      </c>
      <c r="BP279" s="75" t="s">
        <v>93</v>
      </c>
    </row>
    <row r="280" spans="2:68" x14ac:dyDescent="0.25">
      <c r="B280" s="64">
        <v>10</v>
      </c>
      <c r="C280" s="65">
        <v>40</v>
      </c>
      <c r="D280" s="65" t="s">
        <v>95</v>
      </c>
      <c r="E280" s="66">
        <f>'[3]Master File'!B279</f>
        <v>46293</v>
      </c>
      <c r="F280" s="67" t="str">
        <f>'[3]Master File'!C279</f>
        <v>Lodge 5PM</v>
      </c>
      <c r="G280" s="46"/>
      <c r="I280" s="68" t="s">
        <v>93</v>
      </c>
      <c r="J280" s="68" t="s">
        <v>93</v>
      </c>
      <c r="K280" s="68" t="s">
        <v>93</v>
      </c>
      <c r="L280" s="68" t="s">
        <v>94</v>
      </c>
      <c r="M280" s="68" t="s">
        <v>93</v>
      </c>
      <c r="N280" s="68" t="s">
        <v>93</v>
      </c>
      <c r="O280" s="68" t="s">
        <v>93</v>
      </c>
      <c r="P280" s="68" t="s">
        <v>93</v>
      </c>
      <c r="Q280" s="68" t="s">
        <v>93</v>
      </c>
      <c r="R280" s="68" t="s">
        <v>93</v>
      </c>
      <c r="S280" s="68" t="s">
        <v>93</v>
      </c>
      <c r="T280" s="68" t="s">
        <v>93</v>
      </c>
      <c r="U280" s="68" t="s">
        <v>93</v>
      </c>
      <c r="V280" s="68" t="s">
        <v>93</v>
      </c>
      <c r="W280" s="68" t="s">
        <v>93</v>
      </c>
      <c r="X280" s="68" t="s">
        <v>93</v>
      </c>
      <c r="Y280" s="68" t="s">
        <v>93</v>
      </c>
      <c r="Z280" s="68" t="s">
        <v>94</v>
      </c>
      <c r="AA280" s="68" t="s">
        <v>93</v>
      </c>
      <c r="AB280" s="68" t="s">
        <v>93</v>
      </c>
      <c r="AC280" s="68" t="s">
        <v>93</v>
      </c>
      <c r="AD280" s="68" t="s">
        <v>93</v>
      </c>
      <c r="AE280" s="68" t="s">
        <v>93</v>
      </c>
      <c r="AF280" s="68" t="s">
        <v>93</v>
      </c>
      <c r="AG280" s="68" t="s">
        <v>93</v>
      </c>
      <c r="AH280" s="68" t="s">
        <v>93</v>
      </c>
      <c r="AI280" s="68" t="s">
        <v>93</v>
      </c>
      <c r="AJ280" s="68" t="s">
        <v>93</v>
      </c>
      <c r="AK280" s="68" t="s">
        <v>93</v>
      </c>
      <c r="AL280" s="68" t="s">
        <v>93</v>
      </c>
      <c r="AM280" s="68" t="s">
        <v>93</v>
      </c>
      <c r="AN280" s="68" t="s">
        <v>93</v>
      </c>
      <c r="AO280" s="68" t="s">
        <v>93</v>
      </c>
      <c r="AP280" s="68" t="s">
        <v>93</v>
      </c>
      <c r="AQ280" s="68" t="s">
        <v>93</v>
      </c>
      <c r="AR280" s="68" t="s">
        <v>93</v>
      </c>
      <c r="AS280" s="68" t="s">
        <v>93</v>
      </c>
      <c r="AT280" s="68" t="s">
        <v>93</v>
      </c>
      <c r="AU280" s="68" t="s">
        <v>93</v>
      </c>
      <c r="AV280" s="68" t="s">
        <v>93</v>
      </c>
      <c r="AW280" s="68" t="s">
        <v>93</v>
      </c>
      <c r="AX280" s="68" t="s">
        <v>93</v>
      </c>
      <c r="AY280" s="68" t="s">
        <v>93</v>
      </c>
      <c r="AZ280" s="68" t="s">
        <v>93</v>
      </c>
      <c r="BA280" s="68" t="s">
        <v>93</v>
      </c>
      <c r="BB280" s="68" t="s">
        <v>93</v>
      </c>
      <c r="BC280" s="68" t="s">
        <v>93</v>
      </c>
      <c r="BD280" s="68" t="s">
        <v>93</v>
      </c>
      <c r="BE280" s="68" t="s">
        <v>93</v>
      </c>
      <c r="BF280" s="68" t="s">
        <v>93</v>
      </c>
      <c r="BG280" s="68" t="s">
        <v>93</v>
      </c>
      <c r="BH280" s="68" t="s">
        <v>93</v>
      </c>
      <c r="BI280" s="68" t="s">
        <v>93</v>
      </c>
      <c r="BJ280" s="68" t="s">
        <v>93</v>
      </c>
      <c r="BK280" s="68" t="s">
        <v>93</v>
      </c>
      <c r="BL280" s="68" t="s">
        <v>93</v>
      </c>
      <c r="BM280" s="68" t="s">
        <v>93</v>
      </c>
      <c r="BN280" s="68" t="s">
        <v>93</v>
      </c>
      <c r="BO280" s="68" t="s">
        <v>93</v>
      </c>
      <c r="BP280" s="69" t="s">
        <v>93</v>
      </c>
    </row>
    <row r="281" spans="2:68" x14ac:dyDescent="0.25">
      <c r="B281" s="64">
        <v>10</v>
      </c>
      <c r="C281" s="65">
        <v>40</v>
      </c>
      <c r="D281" s="65" t="s">
        <v>96</v>
      </c>
      <c r="E281" s="66">
        <f>'[3]Master File'!B280</f>
        <v>46294</v>
      </c>
      <c r="F281" s="67" t="str">
        <f>'[3]Master File'!C280</f>
        <v>Closed</v>
      </c>
      <c r="G281" s="46"/>
      <c r="I281" s="68" t="s">
        <v>93</v>
      </c>
      <c r="J281" s="68" t="s">
        <v>93</v>
      </c>
      <c r="K281" s="68" t="s">
        <v>93</v>
      </c>
      <c r="L281" s="68" t="s">
        <v>94</v>
      </c>
      <c r="M281" s="68" t="s">
        <v>93</v>
      </c>
      <c r="N281" s="68" t="s">
        <v>93</v>
      </c>
      <c r="O281" s="68" t="s">
        <v>93</v>
      </c>
      <c r="P281" s="68" t="s">
        <v>93</v>
      </c>
      <c r="Q281" s="68" t="s">
        <v>93</v>
      </c>
      <c r="R281" s="68" t="s">
        <v>93</v>
      </c>
      <c r="S281" s="68" t="s">
        <v>93</v>
      </c>
      <c r="T281" s="68" t="s">
        <v>93</v>
      </c>
      <c r="U281" s="68" t="s">
        <v>93</v>
      </c>
      <c r="V281" s="68" t="s">
        <v>93</v>
      </c>
      <c r="W281" s="68" t="s">
        <v>93</v>
      </c>
      <c r="X281" s="68" t="s">
        <v>93</v>
      </c>
      <c r="Y281" s="68" t="s">
        <v>93</v>
      </c>
      <c r="Z281" s="68" t="s">
        <v>94</v>
      </c>
      <c r="AA281" s="68" t="s">
        <v>93</v>
      </c>
      <c r="AB281" s="68" t="s">
        <v>93</v>
      </c>
      <c r="AC281" s="68" t="s">
        <v>93</v>
      </c>
      <c r="AD281" s="68" t="s">
        <v>93</v>
      </c>
      <c r="AE281" s="68" t="s">
        <v>93</v>
      </c>
      <c r="AF281" s="68" t="s">
        <v>93</v>
      </c>
      <c r="AG281" s="68" t="s">
        <v>93</v>
      </c>
      <c r="AH281" s="68" t="s">
        <v>93</v>
      </c>
      <c r="AI281" s="68" t="s">
        <v>93</v>
      </c>
      <c r="AJ281" s="68" t="s">
        <v>93</v>
      </c>
      <c r="AK281" s="68" t="s">
        <v>93</v>
      </c>
      <c r="AL281" s="68" t="s">
        <v>93</v>
      </c>
      <c r="AM281" s="68" t="s">
        <v>93</v>
      </c>
      <c r="AN281" s="68" t="s">
        <v>93</v>
      </c>
      <c r="AO281" s="68" t="s">
        <v>93</v>
      </c>
      <c r="AP281" s="68" t="s">
        <v>93</v>
      </c>
      <c r="AQ281" s="68" t="s">
        <v>93</v>
      </c>
      <c r="AR281" s="68" t="s">
        <v>93</v>
      </c>
      <c r="AS281" s="68" t="s">
        <v>93</v>
      </c>
      <c r="AT281" s="68" t="s">
        <v>93</v>
      </c>
      <c r="AU281" s="68" t="s">
        <v>93</v>
      </c>
      <c r="AV281" s="68" t="s">
        <v>93</v>
      </c>
      <c r="AW281" s="68" t="s">
        <v>93</v>
      </c>
      <c r="AX281" s="68" t="s">
        <v>93</v>
      </c>
      <c r="AY281" s="68" t="s">
        <v>93</v>
      </c>
      <c r="AZ281" s="68" t="s">
        <v>93</v>
      </c>
      <c r="BA281" s="68" t="s">
        <v>93</v>
      </c>
      <c r="BB281" s="68" t="s">
        <v>93</v>
      </c>
      <c r="BC281" s="68" t="s">
        <v>93</v>
      </c>
      <c r="BD281" s="68" t="s">
        <v>93</v>
      </c>
      <c r="BE281" s="68" t="s">
        <v>93</v>
      </c>
      <c r="BF281" s="68" t="s">
        <v>93</v>
      </c>
      <c r="BG281" s="68" t="s">
        <v>93</v>
      </c>
      <c r="BH281" s="68" t="s">
        <v>93</v>
      </c>
      <c r="BI281" s="68" t="s">
        <v>93</v>
      </c>
      <c r="BJ281" s="68" t="s">
        <v>93</v>
      </c>
      <c r="BK281" s="68" t="s">
        <v>93</v>
      </c>
      <c r="BL281" s="68" t="s">
        <v>93</v>
      </c>
      <c r="BM281" s="68" t="s">
        <v>93</v>
      </c>
      <c r="BN281" s="68" t="s">
        <v>93</v>
      </c>
      <c r="BO281" s="68" t="s">
        <v>93</v>
      </c>
      <c r="BP281" s="69" t="s">
        <v>93</v>
      </c>
    </row>
    <row r="282" spans="2:68" x14ac:dyDescent="0.25">
      <c r="B282" s="64">
        <v>10</v>
      </c>
      <c r="C282" s="65">
        <v>40</v>
      </c>
      <c r="D282" s="65" t="s">
        <v>97</v>
      </c>
      <c r="E282" s="66">
        <f>'[3]Master File'!B281</f>
        <v>46295</v>
      </c>
      <c r="F282" s="67" t="str">
        <f>'[3]Master File'!C281</f>
        <v>Closed</v>
      </c>
      <c r="G282" s="46"/>
      <c r="I282" s="68" t="s">
        <v>93</v>
      </c>
      <c r="J282" s="68" t="s">
        <v>93</v>
      </c>
      <c r="K282" s="68" t="s">
        <v>93</v>
      </c>
      <c r="L282" s="68" t="s">
        <v>94</v>
      </c>
      <c r="M282" s="68" t="s">
        <v>93</v>
      </c>
      <c r="N282" s="68" t="s">
        <v>93</v>
      </c>
      <c r="O282" s="68" t="s">
        <v>93</v>
      </c>
      <c r="P282" s="68" t="s">
        <v>93</v>
      </c>
      <c r="Q282" s="68" t="s">
        <v>93</v>
      </c>
      <c r="R282" s="68" t="s">
        <v>93</v>
      </c>
      <c r="S282" s="68" t="s">
        <v>93</v>
      </c>
      <c r="T282" s="68" t="s">
        <v>93</v>
      </c>
      <c r="U282" s="68" t="s">
        <v>93</v>
      </c>
      <c r="V282" s="68" t="s">
        <v>93</v>
      </c>
      <c r="W282" s="68" t="s">
        <v>93</v>
      </c>
      <c r="X282" s="68" t="s">
        <v>93</v>
      </c>
      <c r="Y282" s="68" t="s">
        <v>93</v>
      </c>
      <c r="Z282" s="68" t="s">
        <v>94</v>
      </c>
      <c r="AA282" s="68" t="s">
        <v>93</v>
      </c>
      <c r="AB282" s="68" t="s">
        <v>93</v>
      </c>
      <c r="AC282" s="68" t="s">
        <v>93</v>
      </c>
      <c r="AD282" s="68" t="s">
        <v>93</v>
      </c>
      <c r="AE282" s="68" t="s">
        <v>93</v>
      </c>
      <c r="AF282" s="68" t="s">
        <v>93</v>
      </c>
      <c r="AG282" s="68" t="s">
        <v>93</v>
      </c>
      <c r="AH282" s="68" t="s">
        <v>93</v>
      </c>
      <c r="AI282" s="68" t="s">
        <v>93</v>
      </c>
      <c r="AJ282" s="68" t="s">
        <v>93</v>
      </c>
      <c r="AK282" s="68" t="s">
        <v>93</v>
      </c>
      <c r="AL282" s="68" t="s">
        <v>93</v>
      </c>
      <c r="AM282" s="68" t="s">
        <v>93</v>
      </c>
      <c r="AN282" s="68" t="s">
        <v>93</v>
      </c>
      <c r="AO282" s="68" t="s">
        <v>93</v>
      </c>
      <c r="AP282" s="68" t="s">
        <v>93</v>
      </c>
      <c r="AQ282" s="68" t="s">
        <v>93</v>
      </c>
      <c r="AR282" s="68" t="s">
        <v>93</v>
      </c>
      <c r="AS282" s="68" t="s">
        <v>93</v>
      </c>
      <c r="AT282" s="68" t="s">
        <v>93</v>
      </c>
      <c r="AU282" s="68" t="s">
        <v>93</v>
      </c>
      <c r="AV282" s="68" t="s">
        <v>93</v>
      </c>
      <c r="AW282" s="68" t="s">
        <v>93</v>
      </c>
      <c r="AX282" s="68" t="s">
        <v>93</v>
      </c>
      <c r="AY282" s="68" t="s">
        <v>93</v>
      </c>
      <c r="AZ282" s="68" t="s">
        <v>93</v>
      </c>
      <c r="BA282" s="68" t="s">
        <v>93</v>
      </c>
      <c r="BB282" s="68" t="s">
        <v>93</v>
      </c>
      <c r="BC282" s="68" t="s">
        <v>93</v>
      </c>
      <c r="BD282" s="68" t="s">
        <v>93</v>
      </c>
      <c r="BE282" s="68" t="s">
        <v>93</v>
      </c>
      <c r="BF282" s="68" t="s">
        <v>93</v>
      </c>
      <c r="BG282" s="68" t="s">
        <v>93</v>
      </c>
      <c r="BH282" s="68" t="s">
        <v>93</v>
      </c>
      <c r="BI282" s="68" t="s">
        <v>93</v>
      </c>
      <c r="BJ282" s="68" t="s">
        <v>93</v>
      </c>
      <c r="BK282" s="68" t="s">
        <v>93</v>
      </c>
      <c r="BL282" s="68" t="s">
        <v>93</v>
      </c>
      <c r="BM282" s="68" t="s">
        <v>93</v>
      </c>
      <c r="BN282" s="68" t="s">
        <v>93</v>
      </c>
      <c r="BO282" s="68" t="s">
        <v>93</v>
      </c>
      <c r="BP282" s="69" t="s">
        <v>93</v>
      </c>
    </row>
    <row r="283" spans="2:68" x14ac:dyDescent="0.25">
      <c r="B283" s="64">
        <v>10</v>
      </c>
      <c r="C283" s="65">
        <v>40</v>
      </c>
      <c r="D283" s="65" t="s">
        <v>98</v>
      </c>
      <c r="E283" s="66">
        <f>'[3]Master File'!B282</f>
        <v>46296</v>
      </c>
      <c r="F283" s="67" t="str">
        <f>'[3]Master File'!C282</f>
        <v>Lodge 5PM</v>
      </c>
      <c r="G283" s="46"/>
      <c r="I283" s="68" t="s">
        <v>93</v>
      </c>
      <c r="J283" s="68" t="s">
        <v>93</v>
      </c>
      <c r="K283" s="68" t="s">
        <v>93</v>
      </c>
      <c r="L283" s="68" t="s">
        <v>94</v>
      </c>
      <c r="M283" s="68" t="s">
        <v>93</v>
      </c>
      <c r="N283" s="68" t="s">
        <v>93</v>
      </c>
      <c r="O283" s="68" t="s">
        <v>93</v>
      </c>
      <c r="P283" s="68" t="s">
        <v>93</v>
      </c>
      <c r="Q283" s="68" t="s">
        <v>93</v>
      </c>
      <c r="R283" s="68" t="s">
        <v>93</v>
      </c>
      <c r="S283" s="68" t="s">
        <v>93</v>
      </c>
      <c r="T283" s="68" t="s">
        <v>93</v>
      </c>
      <c r="U283" s="68" t="s">
        <v>93</v>
      </c>
      <c r="V283" s="68" t="s">
        <v>93</v>
      </c>
      <c r="W283" s="68" t="s">
        <v>93</v>
      </c>
      <c r="X283" s="68" t="s">
        <v>93</v>
      </c>
      <c r="Y283" s="68" t="s">
        <v>93</v>
      </c>
      <c r="Z283" s="68" t="s">
        <v>94</v>
      </c>
      <c r="AA283" s="68" t="s">
        <v>93</v>
      </c>
      <c r="AB283" s="68" t="s">
        <v>93</v>
      </c>
      <c r="AC283" s="68" t="s">
        <v>93</v>
      </c>
      <c r="AD283" s="68" t="s">
        <v>93</v>
      </c>
      <c r="AE283" s="68" t="s">
        <v>93</v>
      </c>
      <c r="AF283" s="68" t="s">
        <v>93</v>
      </c>
      <c r="AG283" s="68" t="s">
        <v>93</v>
      </c>
      <c r="AH283" s="68" t="s">
        <v>93</v>
      </c>
      <c r="AI283" s="68" t="s">
        <v>93</v>
      </c>
      <c r="AJ283" s="68" t="s">
        <v>93</v>
      </c>
      <c r="AK283" s="68" t="s">
        <v>93</v>
      </c>
      <c r="AL283" s="68" t="s">
        <v>93</v>
      </c>
      <c r="AM283" s="68" t="s">
        <v>93</v>
      </c>
      <c r="AN283" s="68" t="s">
        <v>93</v>
      </c>
      <c r="AO283" s="68" t="s">
        <v>93</v>
      </c>
      <c r="AP283" s="68" t="s">
        <v>93</v>
      </c>
      <c r="AQ283" s="68" t="s">
        <v>93</v>
      </c>
      <c r="AR283" s="68" t="s">
        <v>93</v>
      </c>
      <c r="AS283" s="68" t="s">
        <v>93</v>
      </c>
      <c r="AT283" s="68" t="s">
        <v>93</v>
      </c>
      <c r="AU283" s="68" t="s">
        <v>93</v>
      </c>
      <c r="AV283" s="68" t="s">
        <v>93</v>
      </c>
      <c r="AW283" s="68" t="s">
        <v>93</v>
      </c>
      <c r="AX283" s="68" t="s">
        <v>93</v>
      </c>
      <c r="AY283" s="68" t="s">
        <v>93</v>
      </c>
      <c r="AZ283" s="68" t="s">
        <v>93</v>
      </c>
      <c r="BA283" s="68" t="s">
        <v>93</v>
      </c>
      <c r="BB283" s="68" t="s">
        <v>93</v>
      </c>
      <c r="BC283" s="68" t="s">
        <v>93</v>
      </c>
      <c r="BD283" s="68" t="s">
        <v>93</v>
      </c>
      <c r="BE283" s="68" t="s">
        <v>93</v>
      </c>
      <c r="BF283" s="68" t="s">
        <v>93</v>
      </c>
      <c r="BG283" s="68" t="s">
        <v>93</v>
      </c>
      <c r="BH283" s="68" t="s">
        <v>93</v>
      </c>
      <c r="BI283" s="68" t="s">
        <v>93</v>
      </c>
      <c r="BJ283" s="68" t="s">
        <v>93</v>
      </c>
      <c r="BK283" s="68" t="s">
        <v>93</v>
      </c>
      <c r="BL283" s="68" t="s">
        <v>93</v>
      </c>
      <c r="BM283" s="68" t="s">
        <v>93</v>
      </c>
      <c r="BN283" s="68" t="s">
        <v>93</v>
      </c>
      <c r="BO283" s="68" t="s">
        <v>93</v>
      </c>
      <c r="BP283" s="69" t="s">
        <v>93</v>
      </c>
    </row>
    <row r="284" spans="2:68" x14ac:dyDescent="0.25">
      <c r="B284" s="64">
        <v>10</v>
      </c>
      <c r="C284" s="65">
        <v>40</v>
      </c>
      <c r="D284" s="65" t="s">
        <v>99</v>
      </c>
      <c r="E284" s="66">
        <f>'[3]Master File'!B283</f>
        <v>46297</v>
      </c>
      <c r="F284" s="67" t="str">
        <f>'[3]Master File'!C283</f>
        <v>Lodge 5PM</v>
      </c>
      <c r="G284" s="46"/>
      <c r="I284" s="68" t="s">
        <v>93</v>
      </c>
      <c r="J284" s="68" t="s">
        <v>93</v>
      </c>
      <c r="K284" s="68" t="s">
        <v>93</v>
      </c>
      <c r="L284" s="68" t="s">
        <v>94</v>
      </c>
      <c r="M284" s="68" t="s">
        <v>93</v>
      </c>
      <c r="N284" s="68" t="s">
        <v>93</v>
      </c>
      <c r="O284" s="68" t="s">
        <v>93</v>
      </c>
      <c r="P284" s="68" t="s">
        <v>93</v>
      </c>
      <c r="Q284" s="68" t="s">
        <v>93</v>
      </c>
      <c r="R284" s="68" t="s">
        <v>93</v>
      </c>
      <c r="S284" s="68" t="s">
        <v>93</v>
      </c>
      <c r="T284" s="68" t="s">
        <v>93</v>
      </c>
      <c r="U284" s="68" t="s">
        <v>93</v>
      </c>
      <c r="V284" s="68" t="s">
        <v>93</v>
      </c>
      <c r="W284" s="68" t="s">
        <v>93</v>
      </c>
      <c r="X284" s="68" t="s">
        <v>93</v>
      </c>
      <c r="Y284" s="68" t="s">
        <v>93</v>
      </c>
      <c r="Z284" s="68" t="s">
        <v>94</v>
      </c>
      <c r="AA284" s="68" t="s">
        <v>93</v>
      </c>
      <c r="AB284" s="68" t="s">
        <v>93</v>
      </c>
      <c r="AC284" s="68" t="s">
        <v>93</v>
      </c>
      <c r="AD284" s="68" t="s">
        <v>93</v>
      </c>
      <c r="AE284" s="68" t="s">
        <v>93</v>
      </c>
      <c r="AF284" s="68" t="s">
        <v>93</v>
      </c>
      <c r="AG284" s="68" t="s">
        <v>93</v>
      </c>
      <c r="AH284" s="68" t="s">
        <v>93</v>
      </c>
      <c r="AI284" s="68" t="s">
        <v>93</v>
      </c>
      <c r="AJ284" s="68" t="s">
        <v>93</v>
      </c>
      <c r="AK284" s="68" t="s">
        <v>93</v>
      </c>
      <c r="AL284" s="68" t="s">
        <v>93</v>
      </c>
      <c r="AM284" s="68" t="s">
        <v>93</v>
      </c>
      <c r="AN284" s="68" t="s">
        <v>93</v>
      </c>
      <c r="AO284" s="68" t="s">
        <v>93</v>
      </c>
      <c r="AP284" s="68" t="s">
        <v>93</v>
      </c>
      <c r="AQ284" s="68" t="s">
        <v>93</v>
      </c>
      <c r="AR284" s="68" t="s">
        <v>93</v>
      </c>
      <c r="AS284" s="68" t="s">
        <v>93</v>
      </c>
      <c r="AT284" s="68" t="s">
        <v>93</v>
      </c>
      <c r="AU284" s="68" t="s">
        <v>93</v>
      </c>
      <c r="AV284" s="68" t="s">
        <v>93</v>
      </c>
      <c r="AW284" s="68" t="s">
        <v>93</v>
      </c>
      <c r="AX284" s="68" t="s">
        <v>93</v>
      </c>
      <c r="AY284" s="68" t="s">
        <v>93</v>
      </c>
      <c r="AZ284" s="68" t="s">
        <v>93</v>
      </c>
      <c r="BA284" s="68" t="s">
        <v>93</v>
      </c>
      <c r="BB284" s="68" t="s">
        <v>93</v>
      </c>
      <c r="BC284" s="68" t="s">
        <v>93</v>
      </c>
      <c r="BD284" s="68" t="s">
        <v>93</v>
      </c>
      <c r="BE284" s="68" t="s">
        <v>93</v>
      </c>
      <c r="BF284" s="68" t="s">
        <v>93</v>
      </c>
      <c r="BG284" s="68" t="s">
        <v>93</v>
      </c>
      <c r="BH284" s="68" t="s">
        <v>93</v>
      </c>
      <c r="BI284" s="68" t="s">
        <v>93</v>
      </c>
      <c r="BJ284" s="68" t="s">
        <v>93</v>
      </c>
      <c r="BK284" s="68" t="s">
        <v>93</v>
      </c>
      <c r="BL284" s="68" t="s">
        <v>93</v>
      </c>
      <c r="BM284" s="68" t="s">
        <v>93</v>
      </c>
      <c r="BN284" s="68" t="s">
        <v>93</v>
      </c>
      <c r="BO284" s="68" t="s">
        <v>93</v>
      </c>
      <c r="BP284" s="69" t="s">
        <v>93</v>
      </c>
    </row>
    <row r="285" spans="2:68" x14ac:dyDescent="0.25">
      <c r="B285" s="64">
        <v>10</v>
      </c>
      <c r="C285" s="65">
        <v>40</v>
      </c>
      <c r="D285" s="65" t="s">
        <v>100</v>
      </c>
      <c r="E285" s="66">
        <f>'[3]Master File'!B284</f>
        <v>46298</v>
      </c>
      <c r="F285" s="67" t="str">
        <f>'[3]Master File'!C284</f>
        <v>Explorer 5PM</v>
      </c>
      <c r="G285" s="46"/>
      <c r="I285" s="74" t="s">
        <v>93</v>
      </c>
      <c r="J285" s="74" t="s">
        <v>93</v>
      </c>
      <c r="K285" s="74" t="s">
        <v>93</v>
      </c>
      <c r="L285" s="68" t="s">
        <v>94</v>
      </c>
      <c r="M285" s="74" t="s">
        <v>93</v>
      </c>
      <c r="N285" s="74" t="s">
        <v>93</v>
      </c>
      <c r="O285" s="74" t="s">
        <v>93</v>
      </c>
      <c r="P285" s="74" t="s">
        <v>93</v>
      </c>
      <c r="Q285" s="74" t="s">
        <v>93</v>
      </c>
      <c r="R285" s="74" t="s">
        <v>93</v>
      </c>
      <c r="S285" s="74" t="s">
        <v>93</v>
      </c>
      <c r="T285" s="74" t="s">
        <v>93</v>
      </c>
      <c r="U285" s="74" t="s">
        <v>93</v>
      </c>
      <c r="V285" s="74" t="s">
        <v>93</v>
      </c>
      <c r="W285" s="74" t="s">
        <v>93</v>
      </c>
      <c r="X285" s="74" t="s">
        <v>93</v>
      </c>
      <c r="Y285" s="74" t="s">
        <v>93</v>
      </c>
      <c r="Z285" s="68" t="s">
        <v>94</v>
      </c>
      <c r="AA285" s="74" t="s">
        <v>93</v>
      </c>
      <c r="AB285" s="74" t="s">
        <v>93</v>
      </c>
      <c r="AC285" s="74" t="s">
        <v>93</v>
      </c>
      <c r="AD285" s="74" t="s">
        <v>94</v>
      </c>
      <c r="AE285" s="74" t="s">
        <v>94</v>
      </c>
      <c r="AF285" s="74" t="s">
        <v>93</v>
      </c>
      <c r="AG285" s="74" t="s">
        <v>93</v>
      </c>
      <c r="AH285" s="74" t="s">
        <v>93</v>
      </c>
      <c r="AI285" s="74" t="s">
        <v>93</v>
      </c>
      <c r="AJ285" s="74" t="s">
        <v>93</v>
      </c>
      <c r="AK285" s="74" t="s">
        <v>93</v>
      </c>
      <c r="AL285" s="74" t="s">
        <v>93</v>
      </c>
      <c r="AM285" s="74" t="s">
        <v>93</v>
      </c>
      <c r="AN285" s="74" t="s">
        <v>93</v>
      </c>
      <c r="AO285" s="74" t="s">
        <v>93</v>
      </c>
      <c r="AP285" s="74" t="s">
        <v>93</v>
      </c>
      <c r="AQ285" s="74" t="s">
        <v>93</v>
      </c>
      <c r="AR285" s="74" t="s">
        <v>93</v>
      </c>
      <c r="AS285" s="74" t="s">
        <v>93</v>
      </c>
      <c r="AT285" s="74" t="s">
        <v>93</v>
      </c>
      <c r="AU285" s="74" t="s">
        <v>93</v>
      </c>
      <c r="AV285" s="74" t="s">
        <v>93</v>
      </c>
      <c r="AW285" s="74" t="s">
        <v>93</v>
      </c>
      <c r="AX285" s="74" t="s">
        <v>93</v>
      </c>
      <c r="AY285" s="74" t="s">
        <v>93</v>
      </c>
      <c r="AZ285" s="74" t="s">
        <v>93</v>
      </c>
      <c r="BA285" s="74" t="s">
        <v>93</v>
      </c>
      <c r="BB285" s="74" t="s">
        <v>93</v>
      </c>
      <c r="BC285" s="74" t="s">
        <v>93</v>
      </c>
      <c r="BD285" s="74" t="s">
        <v>93</v>
      </c>
      <c r="BE285" s="74" t="s">
        <v>93</v>
      </c>
      <c r="BF285" s="74" t="s">
        <v>93</v>
      </c>
      <c r="BG285" s="74" t="s">
        <v>93</v>
      </c>
      <c r="BH285" s="74" t="s">
        <v>93</v>
      </c>
      <c r="BI285" s="74" t="s">
        <v>93</v>
      </c>
      <c r="BJ285" s="74" t="s">
        <v>93</v>
      </c>
      <c r="BK285" s="74" t="s">
        <v>93</v>
      </c>
      <c r="BL285" s="74" t="s">
        <v>93</v>
      </c>
      <c r="BM285" s="74" t="s">
        <v>93</v>
      </c>
      <c r="BN285" s="74" t="s">
        <v>93</v>
      </c>
      <c r="BO285" s="74" t="s">
        <v>93</v>
      </c>
      <c r="BP285" s="75" t="s">
        <v>93</v>
      </c>
    </row>
    <row r="286" spans="2:68" x14ac:dyDescent="0.25">
      <c r="B286" s="64">
        <v>10</v>
      </c>
      <c r="C286" s="65">
        <v>41</v>
      </c>
      <c r="D286" s="65" t="s">
        <v>92</v>
      </c>
      <c r="E286" s="66">
        <f>'[3]Master File'!B285</f>
        <v>46299</v>
      </c>
      <c r="F286" s="67" t="str">
        <f>'[3]Master File'!C285</f>
        <v>Explorer 5PM</v>
      </c>
      <c r="G286" s="46"/>
      <c r="I286" s="74" t="s">
        <v>93</v>
      </c>
      <c r="J286" s="74" t="s">
        <v>93</v>
      </c>
      <c r="K286" s="74" t="s">
        <v>93</v>
      </c>
      <c r="L286" s="68" t="s">
        <v>94</v>
      </c>
      <c r="M286" s="74" t="s">
        <v>93</v>
      </c>
      <c r="N286" s="74" t="s">
        <v>93</v>
      </c>
      <c r="O286" s="74" t="s">
        <v>93</v>
      </c>
      <c r="P286" s="74" t="s">
        <v>93</v>
      </c>
      <c r="Q286" s="74" t="s">
        <v>93</v>
      </c>
      <c r="R286" s="74" t="s">
        <v>93</v>
      </c>
      <c r="S286" s="74" t="s">
        <v>93</v>
      </c>
      <c r="T286" s="74" t="s">
        <v>93</v>
      </c>
      <c r="U286" s="74" t="s">
        <v>93</v>
      </c>
      <c r="V286" s="74" t="s">
        <v>93</v>
      </c>
      <c r="W286" s="74" t="s">
        <v>93</v>
      </c>
      <c r="X286" s="74" t="s">
        <v>93</v>
      </c>
      <c r="Y286" s="74" t="s">
        <v>93</v>
      </c>
      <c r="Z286" s="68" t="s">
        <v>94</v>
      </c>
      <c r="AA286" s="74" t="s">
        <v>93</v>
      </c>
      <c r="AB286" s="74" t="s">
        <v>93</v>
      </c>
      <c r="AC286" s="74" t="s">
        <v>93</v>
      </c>
      <c r="AD286" s="74" t="s">
        <v>94</v>
      </c>
      <c r="AE286" s="74" t="s">
        <v>94</v>
      </c>
      <c r="AF286" s="74" t="s">
        <v>93</v>
      </c>
      <c r="AG286" s="74" t="s">
        <v>93</v>
      </c>
      <c r="AH286" s="74" t="s">
        <v>93</v>
      </c>
      <c r="AI286" s="74" t="s">
        <v>93</v>
      </c>
      <c r="AJ286" s="74" t="s">
        <v>93</v>
      </c>
      <c r="AK286" s="74" t="s">
        <v>93</v>
      </c>
      <c r="AL286" s="74" t="s">
        <v>93</v>
      </c>
      <c r="AM286" s="74" t="s">
        <v>93</v>
      </c>
      <c r="AN286" s="74" t="s">
        <v>93</v>
      </c>
      <c r="AO286" s="74" t="s">
        <v>93</v>
      </c>
      <c r="AP286" s="74" t="s">
        <v>93</v>
      </c>
      <c r="AQ286" s="74" t="s">
        <v>93</v>
      </c>
      <c r="AR286" s="74" t="s">
        <v>93</v>
      </c>
      <c r="AS286" s="74" t="s">
        <v>93</v>
      </c>
      <c r="AT286" s="74" t="s">
        <v>93</v>
      </c>
      <c r="AU286" s="74" t="s">
        <v>93</v>
      </c>
      <c r="AV286" s="74" t="s">
        <v>93</v>
      </c>
      <c r="AW286" s="74" t="s">
        <v>93</v>
      </c>
      <c r="AX286" s="74" t="s">
        <v>93</v>
      </c>
      <c r="AY286" s="74" t="s">
        <v>93</v>
      </c>
      <c r="AZ286" s="74" t="s">
        <v>93</v>
      </c>
      <c r="BA286" s="74" t="s">
        <v>93</v>
      </c>
      <c r="BB286" s="74" t="s">
        <v>93</v>
      </c>
      <c r="BC286" s="74" t="s">
        <v>93</v>
      </c>
      <c r="BD286" s="74" t="s">
        <v>93</v>
      </c>
      <c r="BE286" s="74" t="s">
        <v>93</v>
      </c>
      <c r="BF286" s="74" t="s">
        <v>93</v>
      </c>
      <c r="BG286" s="74" t="s">
        <v>93</v>
      </c>
      <c r="BH286" s="74" t="s">
        <v>93</v>
      </c>
      <c r="BI286" s="74" t="s">
        <v>93</v>
      </c>
      <c r="BJ286" s="74" t="s">
        <v>93</v>
      </c>
      <c r="BK286" s="74" t="s">
        <v>93</v>
      </c>
      <c r="BL286" s="74" t="s">
        <v>93</v>
      </c>
      <c r="BM286" s="74" t="s">
        <v>93</v>
      </c>
      <c r="BN286" s="74" t="s">
        <v>93</v>
      </c>
      <c r="BO286" s="74" t="s">
        <v>93</v>
      </c>
      <c r="BP286" s="75" t="s">
        <v>93</v>
      </c>
    </row>
    <row r="287" spans="2:68" x14ac:dyDescent="0.25">
      <c r="B287" s="64">
        <v>10</v>
      </c>
      <c r="C287" s="65">
        <v>41</v>
      </c>
      <c r="D287" s="65" t="s">
        <v>95</v>
      </c>
      <c r="E287" s="66">
        <f>'[3]Master File'!B286</f>
        <v>46300</v>
      </c>
      <c r="F287" s="67" t="str">
        <f>'[3]Master File'!C286</f>
        <v>Lodge 5PM</v>
      </c>
      <c r="G287" s="46"/>
      <c r="I287" s="68" t="s">
        <v>93</v>
      </c>
      <c r="J287" s="68" t="s">
        <v>93</v>
      </c>
      <c r="K287" s="68" t="s">
        <v>93</v>
      </c>
      <c r="L287" s="68" t="s">
        <v>94</v>
      </c>
      <c r="M287" s="68" t="s">
        <v>93</v>
      </c>
      <c r="N287" s="68" t="s">
        <v>93</v>
      </c>
      <c r="O287" s="68" t="s">
        <v>93</v>
      </c>
      <c r="P287" s="68" t="s">
        <v>93</v>
      </c>
      <c r="Q287" s="68" t="s">
        <v>93</v>
      </c>
      <c r="R287" s="68" t="s">
        <v>93</v>
      </c>
      <c r="S287" s="68" t="s">
        <v>93</v>
      </c>
      <c r="T287" s="68" t="s">
        <v>94</v>
      </c>
      <c r="U287" s="68" t="s">
        <v>93</v>
      </c>
      <c r="V287" s="68" t="s">
        <v>93</v>
      </c>
      <c r="W287" s="68" t="s">
        <v>93</v>
      </c>
      <c r="X287" s="68" t="s">
        <v>93</v>
      </c>
      <c r="Y287" s="68" t="s">
        <v>93</v>
      </c>
      <c r="Z287" s="68" t="s">
        <v>94</v>
      </c>
      <c r="AA287" s="68" t="s">
        <v>93</v>
      </c>
      <c r="AB287" s="68" t="s">
        <v>93</v>
      </c>
      <c r="AC287" s="68" t="s">
        <v>93</v>
      </c>
      <c r="AD287" s="68" t="s">
        <v>93</v>
      </c>
      <c r="AE287" s="68" t="s">
        <v>93</v>
      </c>
      <c r="AF287" s="68" t="s">
        <v>93</v>
      </c>
      <c r="AG287" s="68" t="s">
        <v>93</v>
      </c>
      <c r="AH287" s="68" t="s">
        <v>93</v>
      </c>
      <c r="AI287" s="68" t="s">
        <v>93</v>
      </c>
      <c r="AJ287" s="68" t="s">
        <v>93</v>
      </c>
      <c r="AK287" s="68" t="s">
        <v>93</v>
      </c>
      <c r="AL287" s="68" t="s">
        <v>93</v>
      </c>
      <c r="AM287" s="68" t="s">
        <v>93</v>
      </c>
      <c r="AN287" s="68" t="s">
        <v>93</v>
      </c>
      <c r="AO287" s="68" t="s">
        <v>93</v>
      </c>
      <c r="AP287" s="68" t="s">
        <v>93</v>
      </c>
      <c r="AQ287" s="68" t="s">
        <v>93</v>
      </c>
      <c r="AR287" s="68" t="s">
        <v>93</v>
      </c>
      <c r="AS287" s="68" t="s">
        <v>93</v>
      </c>
      <c r="AT287" s="68" t="s">
        <v>93</v>
      </c>
      <c r="AU287" s="68" t="s">
        <v>93</v>
      </c>
      <c r="AV287" s="68" t="s">
        <v>93</v>
      </c>
      <c r="AW287" s="68" t="s">
        <v>93</v>
      </c>
      <c r="AX287" s="68" t="s">
        <v>93</v>
      </c>
      <c r="AY287" s="68" t="s">
        <v>93</v>
      </c>
      <c r="AZ287" s="68" t="s">
        <v>93</v>
      </c>
      <c r="BA287" s="68" t="s">
        <v>93</v>
      </c>
      <c r="BB287" s="68" t="s">
        <v>93</v>
      </c>
      <c r="BC287" s="68" t="s">
        <v>93</v>
      </c>
      <c r="BD287" s="68" t="s">
        <v>93</v>
      </c>
      <c r="BE287" s="68" t="s">
        <v>93</v>
      </c>
      <c r="BF287" s="68" t="s">
        <v>93</v>
      </c>
      <c r="BG287" s="68" t="s">
        <v>93</v>
      </c>
      <c r="BH287" s="68" t="s">
        <v>93</v>
      </c>
      <c r="BI287" s="68" t="s">
        <v>93</v>
      </c>
      <c r="BJ287" s="68" t="s">
        <v>93</v>
      </c>
      <c r="BK287" s="68" t="s">
        <v>93</v>
      </c>
      <c r="BL287" s="68" t="s">
        <v>93</v>
      </c>
      <c r="BM287" s="68" t="s">
        <v>93</v>
      </c>
      <c r="BN287" s="68" t="s">
        <v>93</v>
      </c>
      <c r="BO287" s="68" t="s">
        <v>93</v>
      </c>
      <c r="BP287" s="69" t="s">
        <v>93</v>
      </c>
    </row>
    <row r="288" spans="2:68" x14ac:dyDescent="0.25">
      <c r="B288" s="64">
        <v>10</v>
      </c>
      <c r="C288" s="65">
        <v>41</v>
      </c>
      <c r="D288" s="65" t="s">
        <v>96</v>
      </c>
      <c r="E288" s="66">
        <f>'[3]Master File'!B287</f>
        <v>46301</v>
      </c>
      <c r="F288" s="67" t="str">
        <f>'[3]Master File'!C287</f>
        <v>Closed</v>
      </c>
      <c r="G288" s="46"/>
      <c r="I288" s="68" t="s">
        <v>93</v>
      </c>
      <c r="J288" s="68" t="s">
        <v>93</v>
      </c>
      <c r="K288" s="68" t="s">
        <v>93</v>
      </c>
      <c r="L288" s="68" t="s">
        <v>94</v>
      </c>
      <c r="M288" s="68" t="s">
        <v>93</v>
      </c>
      <c r="N288" s="68" t="s">
        <v>93</v>
      </c>
      <c r="O288" s="68" t="s">
        <v>93</v>
      </c>
      <c r="P288" s="68" t="s">
        <v>93</v>
      </c>
      <c r="Q288" s="68" t="s">
        <v>93</v>
      </c>
      <c r="R288" s="68" t="s">
        <v>93</v>
      </c>
      <c r="S288" s="68" t="s">
        <v>93</v>
      </c>
      <c r="T288" s="68" t="s">
        <v>94</v>
      </c>
      <c r="U288" s="68" t="s">
        <v>93</v>
      </c>
      <c r="V288" s="68" t="s">
        <v>93</v>
      </c>
      <c r="W288" s="68" t="s">
        <v>93</v>
      </c>
      <c r="X288" s="68" t="s">
        <v>93</v>
      </c>
      <c r="Y288" s="68" t="s">
        <v>93</v>
      </c>
      <c r="Z288" s="68" t="s">
        <v>94</v>
      </c>
      <c r="AA288" s="68" t="s">
        <v>93</v>
      </c>
      <c r="AB288" s="68" t="s">
        <v>93</v>
      </c>
      <c r="AC288" s="68" t="s">
        <v>93</v>
      </c>
      <c r="AD288" s="68" t="s">
        <v>93</v>
      </c>
      <c r="AE288" s="68" t="s">
        <v>93</v>
      </c>
      <c r="AF288" s="68" t="s">
        <v>93</v>
      </c>
      <c r="AG288" s="68" t="s">
        <v>93</v>
      </c>
      <c r="AH288" s="68" t="s">
        <v>93</v>
      </c>
      <c r="AI288" s="68" t="s">
        <v>93</v>
      </c>
      <c r="AJ288" s="68" t="s">
        <v>93</v>
      </c>
      <c r="AK288" s="68" t="s">
        <v>93</v>
      </c>
      <c r="AL288" s="68" t="s">
        <v>93</v>
      </c>
      <c r="AM288" s="68" t="s">
        <v>93</v>
      </c>
      <c r="AN288" s="68" t="s">
        <v>93</v>
      </c>
      <c r="AO288" s="68" t="s">
        <v>93</v>
      </c>
      <c r="AP288" s="68" t="s">
        <v>93</v>
      </c>
      <c r="AQ288" s="68" t="s">
        <v>93</v>
      </c>
      <c r="AR288" s="68" t="s">
        <v>93</v>
      </c>
      <c r="AS288" s="68" t="s">
        <v>93</v>
      </c>
      <c r="AT288" s="68" t="s">
        <v>93</v>
      </c>
      <c r="AU288" s="68" t="s">
        <v>93</v>
      </c>
      <c r="AV288" s="68" t="s">
        <v>93</v>
      </c>
      <c r="AW288" s="68" t="s">
        <v>93</v>
      </c>
      <c r="AX288" s="68" t="s">
        <v>93</v>
      </c>
      <c r="AY288" s="68" t="s">
        <v>93</v>
      </c>
      <c r="AZ288" s="68" t="s">
        <v>93</v>
      </c>
      <c r="BA288" s="68" t="s">
        <v>93</v>
      </c>
      <c r="BB288" s="68" t="s">
        <v>93</v>
      </c>
      <c r="BC288" s="68" t="s">
        <v>93</v>
      </c>
      <c r="BD288" s="68" t="s">
        <v>93</v>
      </c>
      <c r="BE288" s="68" t="s">
        <v>93</v>
      </c>
      <c r="BF288" s="68" t="s">
        <v>93</v>
      </c>
      <c r="BG288" s="68" t="s">
        <v>93</v>
      </c>
      <c r="BH288" s="68" t="s">
        <v>93</v>
      </c>
      <c r="BI288" s="68" t="s">
        <v>93</v>
      </c>
      <c r="BJ288" s="68" t="s">
        <v>93</v>
      </c>
      <c r="BK288" s="68" t="s">
        <v>93</v>
      </c>
      <c r="BL288" s="68" t="s">
        <v>93</v>
      </c>
      <c r="BM288" s="68" t="s">
        <v>93</v>
      </c>
      <c r="BN288" s="68" t="s">
        <v>93</v>
      </c>
      <c r="BO288" s="68" t="s">
        <v>93</v>
      </c>
      <c r="BP288" s="69" t="s">
        <v>93</v>
      </c>
    </row>
    <row r="289" spans="2:68" x14ac:dyDescent="0.25">
      <c r="B289" s="64">
        <v>10</v>
      </c>
      <c r="C289" s="65">
        <v>41</v>
      </c>
      <c r="D289" s="65" t="s">
        <v>97</v>
      </c>
      <c r="E289" s="66">
        <f>'[3]Master File'!B288</f>
        <v>46302</v>
      </c>
      <c r="F289" s="67" t="str">
        <f>'[3]Master File'!C288</f>
        <v>Closed</v>
      </c>
      <c r="G289" s="46"/>
      <c r="I289" s="68" t="s">
        <v>93</v>
      </c>
      <c r="J289" s="68" t="s">
        <v>93</v>
      </c>
      <c r="K289" s="68" t="s">
        <v>93</v>
      </c>
      <c r="L289" s="68" t="s">
        <v>94</v>
      </c>
      <c r="M289" s="68" t="s">
        <v>93</v>
      </c>
      <c r="N289" s="68" t="s">
        <v>93</v>
      </c>
      <c r="O289" s="68" t="s">
        <v>93</v>
      </c>
      <c r="P289" s="68" t="s">
        <v>93</v>
      </c>
      <c r="Q289" s="68" t="s">
        <v>93</v>
      </c>
      <c r="R289" s="68" t="s">
        <v>93</v>
      </c>
      <c r="S289" s="68" t="s">
        <v>93</v>
      </c>
      <c r="T289" s="68" t="s">
        <v>94</v>
      </c>
      <c r="U289" s="68" t="s">
        <v>93</v>
      </c>
      <c r="V289" s="68" t="s">
        <v>93</v>
      </c>
      <c r="W289" s="68" t="s">
        <v>93</v>
      </c>
      <c r="X289" s="68" t="s">
        <v>93</v>
      </c>
      <c r="Y289" s="68" t="s">
        <v>93</v>
      </c>
      <c r="Z289" s="68" t="s">
        <v>94</v>
      </c>
      <c r="AA289" s="68" t="s">
        <v>93</v>
      </c>
      <c r="AB289" s="68" t="s">
        <v>93</v>
      </c>
      <c r="AC289" s="68" t="s">
        <v>93</v>
      </c>
      <c r="AD289" s="68" t="s">
        <v>93</v>
      </c>
      <c r="AE289" s="68" t="s">
        <v>93</v>
      </c>
      <c r="AF289" s="68" t="s">
        <v>93</v>
      </c>
      <c r="AG289" s="68" t="s">
        <v>93</v>
      </c>
      <c r="AH289" s="68" t="s">
        <v>93</v>
      </c>
      <c r="AI289" s="68" t="s">
        <v>93</v>
      </c>
      <c r="AJ289" s="68" t="s">
        <v>93</v>
      </c>
      <c r="AK289" s="68" t="s">
        <v>93</v>
      </c>
      <c r="AL289" s="68" t="s">
        <v>93</v>
      </c>
      <c r="AM289" s="68" t="s">
        <v>93</v>
      </c>
      <c r="AN289" s="68" t="s">
        <v>93</v>
      </c>
      <c r="AO289" s="68" t="s">
        <v>93</v>
      </c>
      <c r="AP289" s="68" t="s">
        <v>93</v>
      </c>
      <c r="AQ289" s="68" t="s">
        <v>93</v>
      </c>
      <c r="AR289" s="68" t="s">
        <v>93</v>
      </c>
      <c r="AS289" s="68" t="s">
        <v>93</v>
      </c>
      <c r="AT289" s="68" t="s">
        <v>93</v>
      </c>
      <c r="AU289" s="68" t="s">
        <v>93</v>
      </c>
      <c r="AV289" s="68" t="s">
        <v>93</v>
      </c>
      <c r="AW289" s="68" t="s">
        <v>93</v>
      </c>
      <c r="AX289" s="68" t="s">
        <v>93</v>
      </c>
      <c r="AY289" s="68" t="s">
        <v>93</v>
      </c>
      <c r="AZ289" s="68" t="s">
        <v>93</v>
      </c>
      <c r="BA289" s="68" t="s">
        <v>93</v>
      </c>
      <c r="BB289" s="68" t="s">
        <v>93</v>
      </c>
      <c r="BC289" s="68" t="s">
        <v>93</v>
      </c>
      <c r="BD289" s="68" t="s">
        <v>93</v>
      </c>
      <c r="BE289" s="68" t="s">
        <v>93</v>
      </c>
      <c r="BF289" s="68" t="s">
        <v>93</v>
      </c>
      <c r="BG289" s="68" t="s">
        <v>93</v>
      </c>
      <c r="BH289" s="68" t="s">
        <v>93</v>
      </c>
      <c r="BI289" s="68" t="s">
        <v>93</v>
      </c>
      <c r="BJ289" s="68" t="s">
        <v>93</v>
      </c>
      <c r="BK289" s="68" t="s">
        <v>93</v>
      </c>
      <c r="BL289" s="68" t="s">
        <v>93</v>
      </c>
      <c r="BM289" s="68" t="s">
        <v>93</v>
      </c>
      <c r="BN289" s="68" t="s">
        <v>93</v>
      </c>
      <c r="BO289" s="68" t="s">
        <v>93</v>
      </c>
      <c r="BP289" s="69" t="s">
        <v>93</v>
      </c>
    </row>
    <row r="290" spans="2:68" x14ac:dyDescent="0.25">
      <c r="B290" s="64">
        <v>10</v>
      </c>
      <c r="C290" s="65">
        <v>41</v>
      </c>
      <c r="D290" s="65" t="s">
        <v>98</v>
      </c>
      <c r="E290" s="66">
        <f>'[3]Master File'!B289</f>
        <v>46303</v>
      </c>
      <c r="F290" s="67" t="str">
        <f>'[3]Master File'!C289</f>
        <v>Lodge 5PM</v>
      </c>
      <c r="G290" s="46"/>
      <c r="I290" s="68" t="s">
        <v>93</v>
      </c>
      <c r="J290" s="68" t="s">
        <v>93</v>
      </c>
      <c r="K290" s="68" t="s">
        <v>93</v>
      </c>
      <c r="L290" s="68" t="s">
        <v>94</v>
      </c>
      <c r="M290" s="68" t="s">
        <v>93</v>
      </c>
      <c r="N290" s="68" t="s">
        <v>93</v>
      </c>
      <c r="O290" s="68" t="s">
        <v>93</v>
      </c>
      <c r="P290" s="68" t="s">
        <v>93</v>
      </c>
      <c r="Q290" s="68" t="s">
        <v>93</v>
      </c>
      <c r="R290" s="68" t="s">
        <v>93</v>
      </c>
      <c r="S290" s="68" t="s">
        <v>93</v>
      </c>
      <c r="T290" s="68" t="s">
        <v>94</v>
      </c>
      <c r="U290" s="68" t="s">
        <v>93</v>
      </c>
      <c r="V290" s="68" t="s">
        <v>93</v>
      </c>
      <c r="W290" s="68" t="s">
        <v>93</v>
      </c>
      <c r="X290" s="68" t="s">
        <v>93</v>
      </c>
      <c r="Y290" s="68" t="s">
        <v>93</v>
      </c>
      <c r="Z290" s="68" t="s">
        <v>94</v>
      </c>
      <c r="AA290" s="68" t="s">
        <v>93</v>
      </c>
      <c r="AB290" s="68" t="s">
        <v>93</v>
      </c>
      <c r="AC290" s="68" t="s">
        <v>93</v>
      </c>
      <c r="AD290" s="68" t="s">
        <v>93</v>
      </c>
      <c r="AE290" s="68" t="s">
        <v>93</v>
      </c>
      <c r="AF290" s="68" t="s">
        <v>93</v>
      </c>
      <c r="AG290" s="68" t="s">
        <v>93</v>
      </c>
      <c r="AH290" s="68" t="s">
        <v>93</v>
      </c>
      <c r="AI290" s="68" t="s">
        <v>93</v>
      </c>
      <c r="AJ290" s="68" t="s">
        <v>93</v>
      </c>
      <c r="AK290" s="68" t="s">
        <v>93</v>
      </c>
      <c r="AL290" s="68" t="s">
        <v>93</v>
      </c>
      <c r="AM290" s="68" t="s">
        <v>93</v>
      </c>
      <c r="AN290" s="68" t="s">
        <v>93</v>
      </c>
      <c r="AO290" s="68" t="s">
        <v>93</v>
      </c>
      <c r="AP290" s="68" t="s">
        <v>93</v>
      </c>
      <c r="AQ290" s="68" t="s">
        <v>93</v>
      </c>
      <c r="AR290" s="68" t="s">
        <v>93</v>
      </c>
      <c r="AS290" s="68" t="s">
        <v>93</v>
      </c>
      <c r="AT290" s="68" t="s">
        <v>93</v>
      </c>
      <c r="AU290" s="68" t="s">
        <v>93</v>
      </c>
      <c r="AV290" s="68" t="s">
        <v>93</v>
      </c>
      <c r="AW290" s="68" t="s">
        <v>93</v>
      </c>
      <c r="AX290" s="68" t="s">
        <v>93</v>
      </c>
      <c r="AY290" s="68" t="s">
        <v>93</v>
      </c>
      <c r="AZ290" s="68" t="s">
        <v>93</v>
      </c>
      <c r="BA290" s="68" t="s">
        <v>93</v>
      </c>
      <c r="BB290" s="68" t="s">
        <v>93</v>
      </c>
      <c r="BC290" s="68" t="s">
        <v>93</v>
      </c>
      <c r="BD290" s="68" t="s">
        <v>93</v>
      </c>
      <c r="BE290" s="68" t="s">
        <v>93</v>
      </c>
      <c r="BF290" s="68" t="s">
        <v>93</v>
      </c>
      <c r="BG290" s="68" t="s">
        <v>93</v>
      </c>
      <c r="BH290" s="68" t="s">
        <v>93</v>
      </c>
      <c r="BI290" s="68" t="s">
        <v>93</v>
      </c>
      <c r="BJ290" s="68" t="s">
        <v>93</v>
      </c>
      <c r="BK290" s="68" t="s">
        <v>93</v>
      </c>
      <c r="BL290" s="68" t="s">
        <v>93</v>
      </c>
      <c r="BM290" s="68" t="s">
        <v>93</v>
      </c>
      <c r="BN290" s="68" t="s">
        <v>93</v>
      </c>
      <c r="BO290" s="68" t="s">
        <v>93</v>
      </c>
      <c r="BP290" s="69" t="s">
        <v>93</v>
      </c>
    </row>
    <row r="291" spans="2:68" x14ac:dyDescent="0.25">
      <c r="B291" s="64">
        <v>10</v>
      </c>
      <c r="C291" s="65">
        <v>41</v>
      </c>
      <c r="D291" s="65" t="s">
        <v>99</v>
      </c>
      <c r="E291" s="66">
        <f>'[3]Master File'!B290</f>
        <v>46304</v>
      </c>
      <c r="F291" s="67" t="str">
        <f>'[3]Master File'!C290</f>
        <v>Lodge 5PM</v>
      </c>
      <c r="G291" s="46"/>
      <c r="I291" s="68" t="s">
        <v>93</v>
      </c>
      <c r="J291" s="68" t="s">
        <v>93</v>
      </c>
      <c r="K291" s="68" t="s">
        <v>93</v>
      </c>
      <c r="L291" s="68" t="s">
        <v>94</v>
      </c>
      <c r="M291" s="68" t="s">
        <v>93</v>
      </c>
      <c r="N291" s="68" t="s">
        <v>93</v>
      </c>
      <c r="O291" s="68" t="s">
        <v>93</v>
      </c>
      <c r="P291" s="68" t="s">
        <v>93</v>
      </c>
      <c r="Q291" s="68" t="s">
        <v>93</v>
      </c>
      <c r="R291" s="68" t="s">
        <v>93</v>
      </c>
      <c r="S291" s="68" t="s">
        <v>93</v>
      </c>
      <c r="T291" s="68" t="s">
        <v>94</v>
      </c>
      <c r="U291" s="68" t="s">
        <v>93</v>
      </c>
      <c r="V291" s="68" t="s">
        <v>93</v>
      </c>
      <c r="W291" s="68" t="s">
        <v>93</v>
      </c>
      <c r="X291" s="68" t="s">
        <v>93</v>
      </c>
      <c r="Y291" s="68" t="s">
        <v>93</v>
      </c>
      <c r="Z291" s="68" t="s">
        <v>94</v>
      </c>
      <c r="AA291" s="68" t="s">
        <v>93</v>
      </c>
      <c r="AB291" s="68" t="s">
        <v>93</v>
      </c>
      <c r="AC291" s="68" t="s">
        <v>93</v>
      </c>
      <c r="AD291" s="68" t="s">
        <v>93</v>
      </c>
      <c r="AE291" s="68" t="s">
        <v>93</v>
      </c>
      <c r="AF291" s="68" t="s">
        <v>93</v>
      </c>
      <c r="AG291" s="68" t="s">
        <v>93</v>
      </c>
      <c r="AH291" s="68" t="s">
        <v>93</v>
      </c>
      <c r="AI291" s="68" t="s">
        <v>93</v>
      </c>
      <c r="AJ291" s="68" t="s">
        <v>93</v>
      </c>
      <c r="AK291" s="68" t="s">
        <v>93</v>
      </c>
      <c r="AL291" s="68" t="s">
        <v>93</v>
      </c>
      <c r="AM291" s="68" t="s">
        <v>93</v>
      </c>
      <c r="AN291" s="68" t="s">
        <v>93</v>
      </c>
      <c r="AO291" s="68" t="s">
        <v>93</v>
      </c>
      <c r="AP291" s="68" t="s">
        <v>93</v>
      </c>
      <c r="AQ291" s="68" t="s">
        <v>93</v>
      </c>
      <c r="AR291" s="68" t="s">
        <v>93</v>
      </c>
      <c r="AS291" s="68" t="s">
        <v>93</v>
      </c>
      <c r="AT291" s="68" t="s">
        <v>93</v>
      </c>
      <c r="AU291" s="68" t="s">
        <v>93</v>
      </c>
      <c r="AV291" s="68" t="s">
        <v>93</v>
      </c>
      <c r="AW291" s="68" t="s">
        <v>93</v>
      </c>
      <c r="AX291" s="68" t="s">
        <v>93</v>
      </c>
      <c r="AY291" s="68" t="s">
        <v>93</v>
      </c>
      <c r="AZ291" s="68" t="s">
        <v>93</v>
      </c>
      <c r="BA291" s="68" t="s">
        <v>93</v>
      </c>
      <c r="BB291" s="68" t="s">
        <v>93</v>
      </c>
      <c r="BC291" s="68" t="s">
        <v>93</v>
      </c>
      <c r="BD291" s="68" t="s">
        <v>93</v>
      </c>
      <c r="BE291" s="68" t="s">
        <v>93</v>
      </c>
      <c r="BF291" s="68" t="s">
        <v>93</v>
      </c>
      <c r="BG291" s="68" t="s">
        <v>93</v>
      </c>
      <c r="BH291" s="68" t="s">
        <v>93</v>
      </c>
      <c r="BI291" s="68" t="s">
        <v>93</v>
      </c>
      <c r="BJ291" s="68" t="s">
        <v>93</v>
      </c>
      <c r="BK291" s="68" t="s">
        <v>93</v>
      </c>
      <c r="BL291" s="68" t="s">
        <v>93</v>
      </c>
      <c r="BM291" s="68" t="s">
        <v>93</v>
      </c>
      <c r="BN291" s="68" t="s">
        <v>93</v>
      </c>
      <c r="BO291" s="68" t="s">
        <v>93</v>
      </c>
      <c r="BP291" s="69" t="s">
        <v>93</v>
      </c>
    </row>
    <row r="292" spans="2:68" x14ac:dyDescent="0.25">
      <c r="B292" s="64">
        <v>10</v>
      </c>
      <c r="C292" s="65">
        <v>41</v>
      </c>
      <c r="D292" s="65" t="s">
        <v>100</v>
      </c>
      <c r="E292" s="66">
        <f>'[3]Master File'!B291</f>
        <v>46305</v>
      </c>
      <c r="F292" s="67" t="str">
        <f>'[3]Master File'!C291</f>
        <v>Explorer 5PM</v>
      </c>
      <c r="G292" s="46"/>
      <c r="I292" s="74" t="s">
        <v>93</v>
      </c>
      <c r="J292" s="74" t="s">
        <v>93</v>
      </c>
      <c r="K292" s="74" t="s">
        <v>93</v>
      </c>
      <c r="L292" s="68" t="s">
        <v>94</v>
      </c>
      <c r="M292" s="74" t="s">
        <v>93</v>
      </c>
      <c r="N292" s="74" t="s">
        <v>93</v>
      </c>
      <c r="O292" s="74" t="s">
        <v>93</v>
      </c>
      <c r="P292" s="74" t="s">
        <v>93</v>
      </c>
      <c r="Q292" s="74" t="s">
        <v>93</v>
      </c>
      <c r="R292" s="74" t="s">
        <v>93</v>
      </c>
      <c r="S292" s="74" t="s">
        <v>93</v>
      </c>
      <c r="T292" s="68" t="s">
        <v>94</v>
      </c>
      <c r="U292" s="74" t="s">
        <v>93</v>
      </c>
      <c r="V292" s="74" t="s">
        <v>93</v>
      </c>
      <c r="W292" s="74" t="s">
        <v>93</v>
      </c>
      <c r="X292" s="74" t="s">
        <v>93</v>
      </c>
      <c r="Y292" s="74" t="s">
        <v>93</v>
      </c>
      <c r="Z292" s="68" t="s">
        <v>94</v>
      </c>
      <c r="AA292" s="74" t="s">
        <v>93</v>
      </c>
      <c r="AB292" s="74" t="s">
        <v>93</v>
      </c>
      <c r="AC292" s="74" t="s">
        <v>93</v>
      </c>
      <c r="AD292" s="74" t="s">
        <v>94</v>
      </c>
      <c r="AE292" s="74" t="s">
        <v>94</v>
      </c>
      <c r="AF292" s="74" t="s">
        <v>93</v>
      </c>
      <c r="AG292" s="74" t="s">
        <v>93</v>
      </c>
      <c r="AH292" s="74" t="s">
        <v>93</v>
      </c>
      <c r="AI292" s="74" t="s">
        <v>93</v>
      </c>
      <c r="AJ292" s="74" t="s">
        <v>93</v>
      </c>
      <c r="AK292" s="74" t="s">
        <v>93</v>
      </c>
      <c r="AL292" s="74" t="s">
        <v>93</v>
      </c>
      <c r="AM292" s="74" t="s">
        <v>93</v>
      </c>
      <c r="AN292" s="74" t="s">
        <v>93</v>
      </c>
      <c r="AO292" s="74" t="s">
        <v>93</v>
      </c>
      <c r="AP292" s="74" t="s">
        <v>93</v>
      </c>
      <c r="AQ292" s="74" t="s">
        <v>93</v>
      </c>
      <c r="AR292" s="74" t="s">
        <v>93</v>
      </c>
      <c r="AS292" s="74" t="s">
        <v>93</v>
      </c>
      <c r="AT292" s="74" t="s">
        <v>93</v>
      </c>
      <c r="AU292" s="74" t="s">
        <v>93</v>
      </c>
      <c r="AV292" s="74" t="s">
        <v>93</v>
      </c>
      <c r="AW292" s="74" t="s">
        <v>93</v>
      </c>
      <c r="AX292" s="74" t="s">
        <v>93</v>
      </c>
      <c r="AY292" s="74" t="s">
        <v>93</v>
      </c>
      <c r="AZ292" s="74" t="s">
        <v>93</v>
      </c>
      <c r="BA292" s="74" t="s">
        <v>93</v>
      </c>
      <c r="BB292" s="74" t="s">
        <v>93</v>
      </c>
      <c r="BC292" s="74" t="s">
        <v>93</v>
      </c>
      <c r="BD292" s="74" t="s">
        <v>93</v>
      </c>
      <c r="BE292" s="74" t="s">
        <v>93</v>
      </c>
      <c r="BF292" s="74" t="s">
        <v>93</v>
      </c>
      <c r="BG292" s="74" t="s">
        <v>93</v>
      </c>
      <c r="BH292" s="74" t="s">
        <v>93</v>
      </c>
      <c r="BI292" s="74" t="s">
        <v>93</v>
      </c>
      <c r="BJ292" s="74" t="s">
        <v>93</v>
      </c>
      <c r="BK292" s="74" t="s">
        <v>93</v>
      </c>
      <c r="BL292" s="74" t="s">
        <v>93</v>
      </c>
      <c r="BM292" s="74" t="s">
        <v>93</v>
      </c>
      <c r="BN292" s="74" t="s">
        <v>93</v>
      </c>
      <c r="BO292" s="74" t="s">
        <v>93</v>
      </c>
      <c r="BP292" s="75" t="s">
        <v>93</v>
      </c>
    </row>
    <row r="293" spans="2:68" x14ac:dyDescent="0.25">
      <c r="B293" s="64">
        <v>10</v>
      </c>
      <c r="C293" s="65">
        <v>42</v>
      </c>
      <c r="D293" s="65" t="s">
        <v>92</v>
      </c>
      <c r="E293" s="66">
        <f>'[3]Master File'!B292</f>
        <v>46306</v>
      </c>
      <c r="F293" s="67" t="str">
        <f>'[3]Master File'!C292</f>
        <v>Explorer 5PM</v>
      </c>
      <c r="G293" s="46"/>
      <c r="I293" s="74" t="s">
        <v>93</v>
      </c>
      <c r="J293" s="74" t="s">
        <v>93</v>
      </c>
      <c r="K293" s="74" t="s">
        <v>93</v>
      </c>
      <c r="L293" s="68" t="s">
        <v>94</v>
      </c>
      <c r="M293" s="74" t="s">
        <v>93</v>
      </c>
      <c r="N293" s="74" t="s">
        <v>93</v>
      </c>
      <c r="O293" s="74" t="s">
        <v>93</v>
      </c>
      <c r="P293" s="74" t="s">
        <v>93</v>
      </c>
      <c r="Q293" s="74" t="s">
        <v>93</v>
      </c>
      <c r="R293" s="74" t="s">
        <v>93</v>
      </c>
      <c r="S293" s="74" t="s">
        <v>93</v>
      </c>
      <c r="T293" s="68" t="s">
        <v>94</v>
      </c>
      <c r="U293" s="74" t="s">
        <v>93</v>
      </c>
      <c r="V293" s="74" t="s">
        <v>93</v>
      </c>
      <c r="W293" s="74" t="s">
        <v>93</v>
      </c>
      <c r="X293" s="74" t="s">
        <v>93</v>
      </c>
      <c r="Y293" s="74" t="s">
        <v>93</v>
      </c>
      <c r="Z293" s="68" t="s">
        <v>94</v>
      </c>
      <c r="AA293" s="74" t="s">
        <v>93</v>
      </c>
      <c r="AB293" s="74" t="s">
        <v>93</v>
      </c>
      <c r="AC293" s="74" t="s">
        <v>93</v>
      </c>
      <c r="AD293" s="74" t="s">
        <v>94</v>
      </c>
      <c r="AE293" s="74" t="s">
        <v>94</v>
      </c>
      <c r="AF293" s="74" t="s">
        <v>93</v>
      </c>
      <c r="AG293" s="74" t="s">
        <v>93</v>
      </c>
      <c r="AH293" s="74" t="s">
        <v>93</v>
      </c>
      <c r="AI293" s="74" t="s">
        <v>93</v>
      </c>
      <c r="AJ293" s="74" t="s">
        <v>93</v>
      </c>
      <c r="AK293" s="74" t="s">
        <v>93</v>
      </c>
      <c r="AL293" s="74" t="s">
        <v>93</v>
      </c>
      <c r="AM293" s="74" t="s">
        <v>93</v>
      </c>
      <c r="AN293" s="74" t="s">
        <v>93</v>
      </c>
      <c r="AO293" s="74" t="s">
        <v>93</v>
      </c>
      <c r="AP293" s="74" t="s">
        <v>93</v>
      </c>
      <c r="AQ293" s="74" t="s">
        <v>93</v>
      </c>
      <c r="AR293" s="74" t="s">
        <v>93</v>
      </c>
      <c r="AS293" s="74" t="s">
        <v>93</v>
      </c>
      <c r="AT293" s="74" t="s">
        <v>93</v>
      </c>
      <c r="AU293" s="74" t="s">
        <v>93</v>
      </c>
      <c r="AV293" s="74" t="s">
        <v>93</v>
      </c>
      <c r="AW293" s="74" t="s">
        <v>93</v>
      </c>
      <c r="AX293" s="74" t="s">
        <v>93</v>
      </c>
      <c r="AY293" s="74" t="s">
        <v>93</v>
      </c>
      <c r="AZ293" s="74" t="s">
        <v>93</v>
      </c>
      <c r="BA293" s="74" t="s">
        <v>93</v>
      </c>
      <c r="BB293" s="74" t="s">
        <v>93</v>
      </c>
      <c r="BC293" s="74" t="s">
        <v>93</v>
      </c>
      <c r="BD293" s="74" t="s">
        <v>93</v>
      </c>
      <c r="BE293" s="74" t="s">
        <v>93</v>
      </c>
      <c r="BF293" s="74" t="s">
        <v>93</v>
      </c>
      <c r="BG293" s="74" t="s">
        <v>93</v>
      </c>
      <c r="BH293" s="74" t="s">
        <v>93</v>
      </c>
      <c r="BI293" s="74" t="s">
        <v>93</v>
      </c>
      <c r="BJ293" s="74" t="s">
        <v>93</v>
      </c>
      <c r="BK293" s="74" t="s">
        <v>93</v>
      </c>
      <c r="BL293" s="74" t="s">
        <v>93</v>
      </c>
      <c r="BM293" s="74" t="s">
        <v>93</v>
      </c>
      <c r="BN293" s="74" t="s">
        <v>93</v>
      </c>
      <c r="BO293" s="74" t="s">
        <v>93</v>
      </c>
      <c r="BP293" s="75" t="s">
        <v>93</v>
      </c>
    </row>
    <row r="294" spans="2:68" x14ac:dyDescent="0.25">
      <c r="B294" s="64">
        <v>10</v>
      </c>
      <c r="C294" s="65">
        <v>42</v>
      </c>
      <c r="D294" s="65" t="s">
        <v>95</v>
      </c>
      <c r="E294" s="66">
        <f>'[3]Master File'!B293</f>
        <v>46307</v>
      </c>
      <c r="F294" s="67" t="str">
        <f>'[3]Master File'!C293</f>
        <v>Lodge 5PM</v>
      </c>
      <c r="G294" s="46"/>
      <c r="I294" s="68" t="s">
        <v>93</v>
      </c>
      <c r="J294" s="68" t="s">
        <v>93</v>
      </c>
      <c r="K294" s="68" t="s">
        <v>93</v>
      </c>
      <c r="L294" s="68" t="s">
        <v>94</v>
      </c>
      <c r="M294" s="68" t="s">
        <v>93</v>
      </c>
      <c r="N294" s="68" t="s">
        <v>93</v>
      </c>
      <c r="O294" s="68" t="s">
        <v>93</v>
      </c>
      <c r="P294" s="68" t="s">
        <v>93</v>
      </c>
      <c r="Q294" s="68" t="s">
        <v>93</v>
      </c>
      <c r="R294" s="68" t="s">
        <v>93</v>
      </c>
      <c r="S294" s="68" t="s">
        <v>93</v>
      </c>
      <c r="T294" s="68" t="s">
        <v>94</v>
      </c>
      <c r="U294" s="68" t="s">
        <v>93</v>
      </c>
      <c r="V294" s="68" t="s">
        <v>93</v>
      </c>
      <c r="W294" s="68" t="s">
        <v>93</v>
      </c>
      <c r="X294" s="68" t="s">
        <v>93</v>
      </c>
      <c r="Y294" s="68" t="s">
        <v>93</v>
      </c>
      <c r="Z294" s="68" t="s">
        <v>94</v>
      </c>
      <c r="AA294" s="68" t="s">
        <v>93</v>
      </c>
      <c r="AB294" s="68" t="s">
        <v>93</v>
      </c>
      <c r="AC294" s="68" t="s">
        <v>93</v>
      </c>
      <c r="AD294" s="68" t="s">
        <v>93</v>
      </c>
      <c r="AE294" s="68" t="s">
        <v>93</v>
      </c>
      <c r="AF294" s="68" t="s">
        <v>93</v>
      </c>
      <c r="AG294" s="68" t="s">
        <v>93</v>
      </c>
      <c r="AH294" s="68" t="s">
        <v>93</v>
      </c>
      <c r="AI294" s="68" t="s">
        <v>93</v>
      </c>
      <c r="AJ294" s="68" t="s">
        <v>93</v>
      </c>
      <c r="AK294" s="68" t="s">
        <v>93</v>
      </c>
      <c r="AL294" s="68" t="s">
        <v>93</v>
      </c>
      <c r="AM294" s="68" t="s">
        <v>93</v>
      </c>
      <c r="AN294" s="68" t="s">
        <v>93</v>
      </c>
      <c r="AO294" s="68" t="s">
        <v>93</v>
      </c>
      <c r="AP294" s="68" t="s">
        <v>93</v>
      </c>
      <c r="AQ294" s="68" t="s">
        <v>93</v>
      </c>
      <c r="AR294" s="68" t="s">
        <v>93</v>
      </c>
      <c r="AS294" s="68" t="s">
        <v>93</v>
      </c>
      <c r="AT294" s="68" t="s">
        <v>93</v>
      </c>
      <c r="AU294" s="68" t="s">
        <v>93</v>
      </c>
      <c r="AV294" s="68" t="s">
        <v>93</v>
      </c>
      <c r="AW294" s="68" t="s">
        <v>93</v>
      </c>
      <c r="AX294" s="68" t="s">
        <v>93</v>
      </c>
      <c r="AY294" s="68" t="s">
        <v>93</v>
      </c>
      <c r="AZ294" s="68" t="s">
        <v>93</v>
      </c>
      <c r="BA294" s="68" t="s">
        <v>93</v>
      </c>
      <c r="BB294" s="68" t="s">
        <v>93</v>
      </c>
      <c r="BC294" s="68" t="s">
        <v>93</v>
      </c>
      <c r="BD294" s="68" t="s">
        <v>93</v>
      </c>
      <c r="BE294" s="68" t="s">
        <v>93</v>
      </c>
      <c r="BF294" s="68" t="s">
        <v>93</v>
      </c>
      <c r="BG294" s="68" t="s">
        <v>93</v>
      </c>
      <c r="BH294" s="68" t="s">
        <v>93</v>
      </c>
      <c r="BI294" s="68" t="s">
        <v>93</v>
      </c>
      <c r="BJ294" s="68" t="s">
        <v>93</v>
      </c>
      <c r="BK294" s="68" t="s">
        <v>93</v>
      </c>
      <c r="BL294" s="68" t="s">
        <v>93</v>
      </c>
      <c r="BM294" s="68" t="s">
        <v>93</v>
      </c>
      <c r="BN294" s="68" t="s">
        <v>93</v>
      </c>
      <c r="BO294" s="68" t="s">
        <v>93</v>
      </c>
      <c r="BP294" s="69" t="s">
        <v>93</v>
      </c>
    </row>
    <row r="295" spans="2:68" x14ac:dyDescent="0.25">
      <c r="B295" s="64">
        <v>10</v>
      </c>
      <c r="C295" s="65">
        <v>42</v>
      </c>
      <c r="D295" s="65" t="s">
        <v>96</v>
      </c>
      <c r="E295" s="66">
        <f>'[3]Master File'!B294</f>
        <v>46308</v>
      </c>
      <c r="F295" s="67" t="str">
        <f>'[3]Master File'!C294</f>
        <v>Closed</v>
      </c>
      <c r="G295" s="46"/>
      <c r="I295" s="68" t="s">
        <v>93</v>
      </c>
      <c r="J295" s="68" t="s">
        <v>93</v>
      </c>
      <c r="K295" s="68" t="s">
        <v>93</v>
      </c>
      <c r="L295" s="68" t="s">
        <v>94</v>
      </c>
      <c r="M295" s="68" t="s">
        <v>93</v>
      </c>
      <c r="N295" s="68" t="s">
        <v>93</v>
      </c>
      <c r="O295" s="68" t="s">
        <v>93</v>
      </c>
      <c r="P295" s="68" t="s">
        <v>93</v>
      </c>
      <c r="Q295" s="68" t="s">
        <v>93</v>
      </c>
      <c r="R295" s="68" t="s">
        <v>93</v>
      </c>
      <c r="S295" s="68" t="s">
        <v>93</v>
      </c>
      <c r="T295" s="68" t="s">
        <v>94</v>
      </c>
      <c r="U295" s="68" t="s">
        <v>93</v>
      </c>
      <c r="V295" s="68" t="s">
        <v>93</v>
      </c>
      <c r="W295" s="68" t="s">
        <v>93</v>
      </c>
      <c r="X295" s="68" t="s">
        <v>93</v>
      </c>
      <c r="Y295" s="68" t="s">
        <v>93</v>
      </c>
      <c r="Z295" s="68" t="s">
        <v>94</v>
      </c>
      <c r="AA295" s="68" t="s">
        <v>93</v>
      </c>
      <c r="AB295" s="68" t="s">
        <v>93</v>
      </c>
      <c r="AC295" s="68" t="s">
        <v>93</v>
      </c>
      <c r="AD295" s="68" t="s">
        <v>93</v>
      </c>
      <c r="AE295" s="68" t="s">
        <v>93</v>
      </c>
      <c r="AF295" s="68" t="s">
        <v>93</v>
      </c>
      <c r="AG295" s="68" t="s">
        <v>93</v>
      </c>
      <c r="AH295" s="68" t="s">
        <v>93</v>
      </c>
      <c r="AI295" s="68" t="s">
        <v>93</v>
      </c>
      <c r="AJ295" s="68" t="s">
        <v>93</v>
      </c>
      <c r="AK295" s="68" t="s">
        <v>93</v>
      </c>
      <c r="AL295" s="68" t="s">
        <v>93</v>
      </c>
      <c r="AM295" s="68" t="s">
        <v>93</v>
      </c>
      <c r="AN295" s="68" t="s">
        <v>93</v>
      </c>
      <c r="AO295" s="68" t="s">
        <v>93</v>
      </c>
      <c r="AP295" s="68" t="s">
        <v>93</v>
      </c>
      <c r="AQ295" s="68" t="s">
        <v>93</v>
      </c>
      <c r="AR295" s="68" t="s">
        <v>93</v>
      </c>
      <c r="AS295" s="68" t="s">
        <v>93</v>
      </c>
      <c r="AT295" s="68" t="s">
        <v>93</v>
      </c>
      <c r="AU295" s="68" t="s">
        <v>93</v>
      </c>
      <c r="AV295" s="68" t="s">
        <v>93</v>
      </c>
      <c r="AW295" s="68" t="s">
        <v>93</v>
      </c>
      <c r="AX295" s="68" t="s">
        <v>93</v>
      </c>
      <c r="AY295" s="68" t="s">
        <v>93</v>
      </c>
      <c r="AZ295" s="68" t="s">
        <v>93</v>
      </c>
      <c r="BA295" s="68" t="s">
        <v>93</v>
      </c>
      <c r="BB295" s="68" t="s">
        <v>93</v>
      </c>
      <c r="BC295" s="68" t="s">
        <v>93</v>
      </c>
      <c r="BD295" s="68" t="s">
        <v>93</v>
      </c>
      <c r="BE295" s="68" t="s">
        <v>93</v>
      </c>
      <c r="BF295" s="68" t="s">
        <v>93</v>
      </c>
      <c r="BG295" s="68" t="s">
        <v>93</v>
      </c>
      <c r="BH295" s="68" t="s">
        <v>93</v>
      </c>
      <c r="BI295" s="68" t="s">
        <v>93</v>
      </c>
      <c r="BJ295" s="68" t="s">
        <v>93</v>
      </c>
      <c r="BK295" s="68" t="s">
        <v>93</v>
      </c>
      <c r="BL295" s="68" t="s">
        <v>93</v>
      </c>
      <c r="BM295" s="68" t="s">
        <v>93</v>
      </c>
      <c r="BN295" s="68" t="s">
        <v>93</v>
      </c>
      <c r="BO295" s="68" t="s">
        <v>93</v>
      </c>
      <c r="BP295" s="69" t="s">
        <v>93</v>
      </c>
    </row>
    <row r="296" spans="2:68" x14ac:dyDescent="0.25">
      <c r="B296" s="64">
        <v>10</v>
      </c>
      <c r="C296" s="65">
        <v>42</v>
      </c>
      <c r="D296" s="65" t="s">
        <v>97</v>
      </c>
      <c r="E296" s="66">
        <f>'[3]Master File'!B295</f>
        <v>46309</v>
      </c>
      <c r="F296" s="67" t="str">
        <f>'[3]Master File'!C295</f>
        <v>Closed</v>
      </c>
      <c r="G296" s="46"/>
      <c r="I296" s="68" t="s">
        <v>93</v>
      </c>
      <c r="J296" s="68" t="s">
        <v>93</v>
      </c>
      <c r="K296" s="68" t="s">
        <v>93</v>
      </c>
      <c r="L296" s="68" t="s">
        <v>94</v>
      </c>
      <c r="M296" s="68" t="s">
        <v>93</v>
      </c>
      <c r="N296" s="68" t="s">
        <v>93</v>
      </c>
      <c r="O296" s="68" t="s">
        <v>93</v>
      </c>
      <c r="P296" s="68" t="s">
        <v>93</v>
      </c>
      <c r="Q296" s="68" t="s">
        <v>93</v>
      </c>
      <c r="R296" s="68" t="s">
        <v>93</v>
      </c>
      <c r="S296" s="68" t="s">
        <v>93</v>
      </c>
      <c r="T296" s="68" t="s">
        <v>94</v>
      </c>
      <c r="U296" s="68" t="s">
        <v>93</v>
      </c>
      <c r="V296" s="68" t="s">
        <v>93</v>
      </c>
      <c r="W296" s="68" t="s">
        <v>93</v>
      </c>
      <c r="X296" s="68" t="s">
        <v>93</v>
      </c>
      <c r="Y296" s="68" t="s">
        <v>93</v>
      </c>
      <c r="Z296" s="68" t="s">
        <v>94</v>
      </c>
      <c r="AA296" s="68" t="s">
        <v>93</v>
      </c>
      <c r="AB296" s="68" t="s">
        <v>93</v>
      </c>
      <c r="AC296" s="68" t="s">
        <v>93</v>
      </c>
      <c r="AD296" s="68" t="s">
        <v>93</v>
      </c>
      <c r="AE296" s="68" t="s">
        <v>93</v>
      </c>
      <c r="AF296" s="68" t="s">
        <v>93</v>
      </c>
      <c r="AG296" s="68" t="s">
        <v>93</v>
      </c>
      <c r="AH296" s="68" t="s">
        <v>93</v>
      </c>
      <c r="AI296" s="68" t="s">
        <v>93</v>
      </c>
      <c r="AJ296" s="68" t="s">
        <v>93</v>
      </c>
      <c r="AK296" s="68" t="s">
        <v>93</v>
      </c>
      <c r="AL296" s="68" t="s">
        <v>93</v>
      </c>
      <c r="AM296" s="68" t="s">
        <v>93</v>
      </c>
      <c r="AN296" s="68" t="s">
        <v>93</v>
      </c>
      <c r="AO296" s="68" t="s">
        <v>93</v>
      </c>
      <c r="AP296" s="68" t="s">
        <v>93</v>
      </c>
      <c r="AQ296" s="68" t="s">
        <v>93</v>
      </c>
      <c r="AR296" s="68" t="s">
        <v>93</v>
      </c>
      <c r="AS296" s="68" t="s">
        <v>93</v>
      </c>
      <c r="AT296" s="68" t="s">
        <v>93</v>
      </c>
      <c r="AU296" s="68" t="s">
        <v>93</v>
      </c>
      <c r="AV296" s="68" t="s">
        <v>93</v>
      </c>
      <c r="AW296" s="68" t="s">
        <v>93</v>
      </c>
      <c r="AX296" s="68" t="s">
        <v>93</v>
      </c>
      <c r="AY296" s="68" t="s">
        <v>93</v>
      </c>
      <c r="AZ296" s="68" t="s">
        <v>93</v>
      </c>
      <c r="BA296" s="68" t="s">
        <v>93</v>
      </c>
      <c r="BB296" s="68" t="s">
        <v>93</v>
      </c>
      <c r="BC296" s="68" t="s">
        <v>93</v>
      </c>
      <c r="BD296" s="68" t="s">
        <v>93</v>
      </c>
      <c r="BE296" s="68" t="s">
        <v>93</v>
      </c>
      <c r="BF296" s="68" t="s">
        <v>93</v>
      </c>
      <c r="BG296" s="68" t="s">
        <v>93</v>
      </c>
      <c r="BH296" s="68" t="s">
        <v>93</v>
      </c>
      <c r="BI296" s="68" t="s">
        <v>93</v>
      </c>
      <c r="BJ296" s="68" t="s">
        <v>93</v>
      </c>
      <c r="BK296" s="68" t="s">
        <v>93</v>
      </c>
      <c r="BL296" s="68" t="s">
        <v>93</v>
      </c>
      <c r="BM296" s="68" t="s">
        <v>93</v>
      </c>
      <c r="BN296" s="68" t="s">
        <v>93</v>
      </c>
      <c r="BO296" s="68" t="s">
        <v>93</v>
      </c>
      <c r="BP296" s="69" t="s">
        <v>93</v>
      </c>
    </row>
    <row r="297" spans="2:68" x14ac:dyDescent="0.25">
      <c r="B297" s="64">
        <v>10</v>
      </c>
      <c r="C297" s="65">
        <v>42</v>
      </c>
      <c r="D297" s="65" t="s">
        <v>98</v>
      </c>
      <c r="E297" s="66">
        <f>'[3]Master File'!B296</f>
        <v>46310</v>
      </c>
      <c r="F297" s="67" t="str">
        <f>'[3]Master File'!C296</f>
        <v>Lodge 5PM</v>
      </c>
      <c r="G297" s="46"/>
      <c r="I297" s="68" t="s">
        <v>93</v>
      </c>
      <c r="J297" s="68" t="s">
        <v>93</v>
      </c>
      <c r="K297" s="68" t="s">
        <v>93</v>
      </c>
      <c r="L297" s="68" t="s">
        <v>94</v>
      </c>
      <c r="M297" s="68" t="s">
        <v>93</v>
      </c>
      <c r="N297" s="68" t="s">
        <v>93</v>
      </c>
      <c r="O297" s="68" t="s">
        <v>93</v>
      </c>
      <c r="P297" s="68" t="s">
        <v>93</v>
      </c>
      <c r="Q297" s="68" t="s">
        <v>93</v>
      </c>
      <c r="R297" s="68" t="s">
        <v>93</v>
      </c>
      <c r="S297" s="68" t="s">
        <v>93</v>
      </c>
      <c r="T297" s="68" t="s">
        <v>94</v>
      </c>
      <c r="U297" s="68" t="s">
        <v>93</v>
      </c>
      <c r="V297" s="68" t="s">
        <v>93</v>
      </c>
      <c r="W297" s="68" t="s">
        <v>93</v>
      </c>
      <c r="X297" s="68" t="s">
        <v>93</v>
      </c>
      <c r="Y297" s="68" t="s">
        <v>93</v>
      </c>
      <c r="Z297" s="68" t="s">
        <v>94</v>
      </c>
      <c r="AA297" s="68" t="s">
        <v>93</v>
      </c>
      <c r="AB297" s="68" t="s">
        <v>93</v>
      </c>
      <c r="AC297" s="68" t="s">
        <v>93</v>
      </c>
      <c r="AD297" s="68" t="s">
        <v>93</v>
      </c>
      <c r="AE297" s="68" t="s">
        <v>93</v>
      </c>
      <c r="AF297" s="68" t="s">
        <v>93</v>
      </c>
      <c r="AG297" s="68" t="s">
        <v>93</v>
      </c>
      <c r="AH297" s="68" t="s">
        <v>93</v>
      </c>
      <c r="AI297" s="68" t="s">
        <v>93</v>
      </c>
      <c r="AJ297" s="68" t="s">
        <v>93</v>
      </c>
      <c r="AK297" s="68" t="s">
        <v>93</v>
      </c>
      <c r="AL297" s="68" t="s">
        <v>93</v>
      </c>
      <c r="AM297" s="68" t="s">
        <v>93</v>
      </c>
      <c r="AN297" s="68" t="s">
        <v>93</v>
      </c>
      <c r="AO297" s="68" t="s">
        <v>93</v>
      </c>
      <c r="AP297" s="68" t="s">
        <v>93</v>
      </c>
      <c r="AQ297" s="68" t="s">
        <v>93</v>
      </c>
      <c r="AR297" s="68" t="s">
        <v>93</v>
      </c>
      <c r="AS297" s="68" t="s">
        <v>93</v>
      </c>
      <c r="AT297" s="68" t="s">
        <v>93</v>
      </c>
      <c r="AU297" s="68" t="s">
        <v>93</v>
      </c>
      <c r="AV297" s="68" t="s">
        <v>93</v>
      </c>
      <c r="AW297" s="68" t="s">
        <v>93</v>
      </c>
      <c r="AX297" s="68" t="s">
        <v>93</v>
      </c>
      <c r="AY297" s="68" t="s">
        <v>93</v>
      </c>
      <c r="AZ297" s="68" t="s">
        <v>93</v>
      </c>
      <c r="BA297" s="68" t="s">
        <v>93</v>
      </c>
      <c r="BB297" s="68" t="s">
        <v>93</v>
      </c>
      <c r="BC297" s="68" t="s">
        <v>93</v>
      </c>
      <c r="BD297" s="68" t="s">
        <v>93</v>
      </c>
      <c r="BE297" s="68" t="s">
        <v>93</v>
      </c>
      <c r="BF297" s="68" t="s">
        <v>93</v>
      </c>
      <c r="BG297" s="68" t="s">
        <v>93</v>
      </c>
      <c r="BH297" s="68" t="s">
        <v>93</v>
      </c>
      <c r="BI297" s="68" t="s">
        <v>93</v>
      </c>
      <c r="BJ297" s="68" t="s">
        <v>93</v>
      </c>
      <c r="BK297" s="68" t="s">
        <v>93</v>
      </c>
      <c r="BL297" s="68" t="s">
        <v>93</v>
      </c>
      <c r="BM297" s="68" t="s">
        <v>93</v>
      </c>
      <c r="BN297" s="68" t="s">
        <v>93</v>
      </c>
      <c r="BO297" s="68" t="s">
        <v>93</v>
      </c>
      <c r="BP297" s="69" t="s">
        <v>93</v>
      </c>
    </row>
    <row r="298" spans="2:68" x14ac:dyDescent="0.25">
      <c r="B298" s="64">
        <v>10</v>
      </c>
      <c r="C298" s="65">
        <v>42</v>
      </c>
      <c r="D298" s="65" t="s">
        <v>99</v>
      </c>
      <c r="E298" s="66">
        <f>'[3]Master File'!B297</f>
        <v>46311</v>
      </c>
      <c r="F298" s="67" t="str">
        <f>'[3]Master File'!C297</f>
        <v>Lodge 5PM</v>
      </c>
      <c r="G298" s="46"/>
      <c r="I298" s="68" t="s">
        <v>93</v>
      </c>
      <c r="J298" s="68" t="s">
        <v>93</v>
      </c>
      <c r="K298" s="68" t="s">
        <v>93</v>
      </c>
      <c r="L298" s="68" t="s">
        <v>94</v>
      </c>
      <c r="M298" s="68" t="s">
        <v>93</v>
      </c>
      <c r="N298" s="68" t="s">
        <v>93</v>
      </c>
      <c r="O298" s="68" t="s">
        <v>93</v>
      </c>
      <c r="P298" s="68" t="s">
        <v>93</v>
      </c>
      <c r="Q298" s="68" t="s">
        <v>93</v>
      </c>
      <c r="R298" s="68" t="s">
        <v>93</v>
      </c>
      <c r="S298" s="68" t="s">
        <v>93</v>
      </c>
      <c r="T298" s="68" t="s">
        <v>94</v>
      </c>
      <c r="U298" s="68" t="s">
        <v>93</v>
      </c>
      <c r="V298" s="68" t="s">
        <v>93</v>
      </c>
      <c r="W298" s="68" t="s">
        <v>93</v>
      </c>
      <c r="X298" s="68" t="s">
        <v>93</v>
      </c>
      <c r="Y298" s="68" t="s">
        <v>93</v>
      </c>
      <c r="Z298" s="68" t="s">
        <v>94</v>
      </c>
      <c r="AA298" s="68" t="s">
        <v>93</v>
      </c>
      <c r="AB298" s="68" t="s">
        <v>93</v>
      </c>
      <c r="AC298" s="68" t="s">
        <v>93</v>
      </c>
      <c r="AD298" s="68" t="s">
        <v>93</v>
      </c>
      <c r="AE298" s="68" t="s">
        <v>93</v>
      </c>
      <c r="AF298" s="68" t="s">
        <v>93</v>
      </c>
      <c r="AG298" s="68" t="s">
        <v>93</v>
      </c>
      <c r="AH298" s="68" t="s">
        <v>93</v>
      </c>
      <c r="AI298" s="68" t="s">
        <v>93</v>
      </c>
      <c r="AJ298" s="68" t="s">
        <v>93</v>
      </c>
      <c r="AK298" s="68" t="s">
        <v>93</v>
      </c>
      <c r="AL298" s="68" t="s">
        <v>93</v>
      </c>
      <c r="AM298" s="68" t="s">
        <v>93</v>
      </c>
      <c r="AN298" s="68" t="s">
        <v>93</v>
      </c>
      <c r="AO298" s="68" t="s">
        <v>93</v>
      </c>
      <c r="AP298" s="68" t="s">
        <v>93</v>
      </c>
      <c r="AQ298" s="68" t="s">
        <v>93</v>
      </c>
      <c r="AR298" s="68" t="s">
        <v>93</v>
      </c>
      <c r="AS298" s="68" t="s">
        <v>93</v>
      </c>
      <c r="AT298" s="68" t="s">
        <v>93</v>
      </c>
      <c r="AU298" s="68" t="s">
        <v>93</v>
      </c>
      <c r="AV298" s="68" t="s">
        <v>93</v>
      </c>
      <c r="AW298" s="68" t="s">
        <v>93</v>
      </c>
      <c r="AX298" s="68" t="s">
        <v>93</v>
      </c>
      <c r="AY298" s="68" t="s">
        <v>93</v>
      </c>
      <c r="AZ298" s="68" t="s">
        <v>93</v>
      </c>
      <c r="BA298" s="68" t="s">
        <v>93</v>
      </c>
      <c r="BB298" s="68" t="s">
        <v>93</v>
      </c>
      <c r="BC298" s="68" t="s">
        <v>93</v>
      </c>
      <c r="BD298" s="68" t="s">
        <v>93</v>
      </c>
      <c r="BE298" s="68" t="s">
        <v>93</v>
      </c>
      <c r="BF298" s="68" t="s">
        <v>93</v>
      </c>
      <c r="BG298" s="68" t="s">
        <v>93</v>
      </c>
      <c r="BH298" s="68" t="s">
        <v>93</v>
      </c>
      <c r="BI298" s="68" t="s">
        <v>93</v>
      </c>
      <c r="BJ298" s="68" t="s">
        <v>93</v>
      </c>
      <c r="BK298" s="68" t="s">
        <v>93</v>
      </c>
      <c r="BL298" s="68" t="s">
        <v>93</v>
      </c>
      <c r="BM298" s="68" t="s">
        <v>93</v>
      </c>
      <c r="BN298" s="68" t="s">
        <v>93</v>
      </c>
      <c r="BO298" s="68" t="s">
        <v>93</v>
      </c>
      <c r="BP298" s="69" t="s">
        <v>93</v>
      </c>
    </row>
    <row r="299" spans="2:68" x14ac:dyDescent="0.25">
      <c r="B299" s="64">
        <v>10</v>
      </c>
      <c r="C299" s="65">
        <v>42</v>
      </c>
      <c r="D299" s="65" t="s">
        <v>100</v>
      </c>
      <c r="E299" s="66">
        <f>'[3]Master File'!B298</f>
        <v>46312</v>
      </c>
      <c r="F299" s="67" t="str">
        <f>'[3]Master File'!C298</f>
        <v>Explorer 5PM</v>
      </c>
      <c r="G299" s="46"/>
      <c r="I299" s="74" t="s">
        <v>93</v>
      </c>
      <c r="J299" s="74" t="s">
        <v>93</v>
      </c>
      <c r="K299" s="74" t="s">
        <v>93</v>
      </c>
      <c r="L299" s="68" t="s">
        <v>94</v>
      </c>
      <c r="M299" s="74" t="s">
        <v>93</v>
      </c>
      <c r="N299" s="74" t="s">
        <v>93</v>
      </c>
      <c r="O299" s="74" t="s">
        <v>93</v>
      </c>
      <c r="P299" s="74" t="s">
        <v>93</v>
      </c>
      <c r="Q299" s="74" t="s">
        <v>93</v>
      </c>
      <c r="R299" s="74" t="s">
        <v>93</v>
      </c>
      <c r="S299" s="74" t="s">
        <v>93</v>
      </c>
      <c r="T299" s="68" t="s">
        <v>94</v>
      </c>
      <c r="U299" s="74" t="s">
        <v>93</v>
      </c>
      <c r="V299" s="74" t="s">
        <v>93</v>
      </c>
      <c r="W299" s="74" t="s">
        <v>93</v>
      </c>
      <c r="X299" s="74" t="s">
        <v>93</v>
      </c>
      <c r="Y299" s="74" t="s">
        <v>93</v>
      </c>
      <c r="Z299" s="68" t="s">
        <v>94</v>
      </c>
      <c r="AA299" s="74" t="s">
        <v>93</v>
      </c>
      <c r="AB299" s="74" t="s">
        <v>93</v>
      </c>
      <c r="AC299" s="74" t="s">
        <v>93</v>
      </c>
      <c r="AD299" s="74" t="s">
        <v>94</v>
      </c>
      <c r="AE299" s="74" t="s">
        <v>94</v>
      </c>
      <c r="AF299" s="74" t="s">
        <v>93</v>
      </c>
      <c r="AG299" s="74" t="s">
        <v>93</v>
      </c>
      <c r="AH299" s="74" t="s">
        <v>93</v>
      </c>
      <c r="AI299" s="74" t="s">
        <v>93</v>
      </c>
      <c r="AJ299" s="74" t="s">
        <v>93</v>
      </c>
      <c r="AK299" s="74" t="s">
        <v>93</v>
      </c>
      <c r="AL299" s="74" t="s">
        <v>93</v>
      </c>
      <c r="AM299" s="74" t="s">
        <v>93</v>
      </c>
      <c r="AN299" s="74" t="s">
        <v>93</v>
      </c>
      <c r="AO299" s="74" t="s">
        <v>93</v>
      </c>
      <c r="AP299" s="74" t="s">
        <v>93</v>
      </c>
      <c r="AQ299" s="74" t="s">
        <v>93</v>
      </c>
      <c r="AR299" s="74" t="s">
        <v>93</v>
      </c>
      <c r="AS299" s="74" t="s">
        <v>93</v>
      </c>
      <c r="AT299" s="74" t="s">
        <v>93</v>
      </c>
      <c r="AU299" s="74" t="s">
        <v>93</v>
      </c>
      <c r="AV299" s="74" t="s">
        <v>93</v>
      </c>
      <c r="AW299" s="74" t="s">
        <v>93</v>
      </c>
      <c r="AX299" s="74" t="s">
        <v>93</v>
      </c>
      <c r="AY299" s="74" t="s">
        <v>93</v>
      </c>
      <c r="AZ299" s="74" t="s">
        <v>93</v>
      </c>
      <c r="BA299" s="74" t="s">
        <v>93</v>
      </c>
      <c r="BB299" s="74" t="s">
        <v>93</v>
      </c>
      <c r="BC299" s="74" t="s">
        <v>93</v>
      </c>
      <c r="BD299" s="74" t="s">
        <v>93</v>
      </c>
      <c r="BE299" s="74" t="s">
        <v>93</v>
      </c>
      <c r="BF299" s="74" t="s">
        <v>93</v>
      </c>
      <c r="BG299" s="74" t="s">
        <v>93</v>
      </c>
      <c r="BH299" s="74" t="s">
        <v>93</v>
      </c>
      <c r="BI299" s="74" t="s">
        <v>93</v>
      </c>
      <c r="BJ299" s="74" t="s">
        <v>93</v>
      </c>
      <c r="BK299" s="74" t="s">
        <v>93</v>
      </c>
      <c r="BL299" s="74" t="s">
        <v>93</v>
      </c>
      <c r="BM299" s="74" t="s">
        <v>93</v>
      </c>
      <c r="BN299" s="74" t="s">
        <v>93</v>
      </c>
      <c r="BO299" s="74" t="s">
        <v>93</v>
      </c>
      <c r="BP299" s="75" t="s">
        <v>93</v>
      </c>
    </row>
    <row r="300" spans="2:68" x14ac:dyDescent="0.25">
      <c r="B300" s="64">
        <v>10</v>
      </c>
      <c r="C300" s="65">
        <v>43</v>
      </c>
      <c r="D300" s="65" t="s">
        <v>92</v>
      </c>
      <c r="E300" s="66">
        <f>'[3]Master File'!B299</f>
        <v>46313</v>
      </c>
      <c r="F300" s="67" t="str">
        <f>'[3]Master File'!C299</f>
        <v>Explorer 5PM</v>
      </c>
      <c r="G300" s="46"/>
      <c r="I300" s="74" t="s">
        <v>93</v>
      </c>
      <c r="J300" s="74" t="s">
        <v>93</v>
      </c>
      <c r="K300" s="74" t="s">
        <v>93</v>
      </c>
      <c r="L300" s="68" t="s">
        <v>94</v>
      </c>
      <c r="M300" s="74" t="s">
        <v>93</v>
      </c>
      <c r="N300" s="74" t="s">
        <v>93</v>
      </c>
      <c r="O300" s="74" t="s">
        <v>93</v>
      </c>
      <c r="P300" s="74" t="s">
        <v>93</v>
      </c>
      <c r="Q300" s="74" t="s">
        <v>93</v>
      </c>
      <c r="R300" s="74" t="s">
        <v>93</v>
      </c>
      <c r="S300" s="74" t="s">
        <v>93</v>
      </c>
      <c r="T300" s="68" t="s">
        <v>94</v>
      </c>
      <c r="U300" s="74" t="s">
        <v>93</v>
      </c>
      <c r="V300" s="74" t="s">
        <v>93</v>
      </c>
      <c r="W300" s="74" t="s">
        <v>93</v>
      </c>
      <c r="X300" s="74" t="s">
        <v>93</v>
      </c>
      <c r="Y300" s="74" t="s">
        <v>93</v>
      </c>
      <c r="Z300" s="68" t="s">
        <v>94</v>
      </c>
      <c r="AA300" s="74" t="s">
        <v>93</v>
      </c>
      <c r="AB300" s="74" t="s">
        <v>93</v>
      </c>
      <c r="AC300" s="74" t="s">
        <v>93</v>
      </c>
      <c r="AD300" s="74" t="s">
        <v>94</v>
      </c>
      <c r="AE300" s="74" t="s">
        <v>94</v>
      </c>
      <c r="AF300" s="74" t="s">
        <v>93</v>
      </c>
      <c r="AG300" s="74" t="s">
        <v>93</v>
      </c>
      <c r="AH300" s="74" t="s">
        <v>93</v>
      </c>
      <c r="AI300" s="74" t="s">
        <v>93</v>
      </c>
      <c r="AJ300" s="74" t="s">
        <v>93</v>
      </c>
      <c r="AK300" s="74" t="s">
        <v>93</v>
      </c>
      <c r="AL300" s="74" t="s">
        <v>93</v>
      </c>
      <c r="AM300" s="74" t="s">
        <v>93</v>
      </c>
      <c r="AN300" s="74" t="s">
        <v>93</v>
      </c>
      <c r="AO300" s="74" t="s">
        <v>93</v>
      </c>
      <c r="AP300" s="74" t="s">
        <v>93</v>
      </c>
      <c r="AQ300" s="74" t="s">
        <v>93</v>
      </c>
      <c r="AR300" s="74" t="s">
        <v>93</v>
      </c>
      <c r="AS300" s="74" t="s">
        <v>93</v>
      </c>
      <c r="AT300" s="74" t="s">
        <v>93</v>
      </c>
      <c r="AU300" s="74" t="s">
        <v>93</v>
      </c>
      <c r="AV300" s="74" t="s">
        <v>93</v>
      </c>
      <c r="AW300" s="74" t="s">
        <v>93</v>
      </c>
      <c r="AX300" s="74" t="s">
        <v>93</v>
      </c>
      <c r="AY300" s="74" t="s">
        <v>93</v>
      </c>
      <c r="AZ300" s="74" t="s">
        <v>93</v>
      </c>
      <c r="BA300" s="74" t="s">
        <v>93</v>
      </c>
      <c r="BB300" s="74" t="s">
        <v>93</v>
      </c>
      <c r="BC300" s="74" t="s">
        <v>93</v>
      </c>
      <c r="BD300" s="74" t="s">
        <v>93</v>
      </c>
      <c r="BE300" s="74" t="s">
        <v>93</v>
      </c>
      <c r="BF300" s="74" t="s">
        <v>93</v>
      </c>
      <c r="BG300" s="74" t="s">
        <v>93</v>
      </c>
      <c r="BH300" s="74" t="s">
        <v>93</v>
      </c>
      <c r="BI300" s="74" t="s">
        <v>93</v>
      </c>
      <c r="BJ300" s="74" t="s">
        <v>93</v>
      </c>
      <c r="BK300" s="74" t="s">
        <v>93</v>
      </c>
      <c r="BL300" s="74" t="s">
        <v>93</v>
      </c>
      <c r="BM300" s="74" t="s">
        <v>93</v>
      </c>
      <c r="BN300" s="74" t="s">
        <v>93</v>
      </c>
      <c r="BO300" s="74" t="s">
        <v>93</v>
      </c>
      <c r="BP300" s="75" t="s">
        <v>93</v>
      </c>
    </row>
    <row r="301" spans="2:68" x14ac:dyDescent="0.25">
      <c r="B301" s="64">
        <v>10</v>
      </c>
      <c r="C301" s="65">
        <v>43</v>
      </c>
      <c r="D301" s="65" t="s">
        <v>95</v>
      </c>
      <c r="E301" s="66">
        <f>'[3]Master File'!B300</f>
        <v>46314</v>
      </c>
      <c r="F301" s="67" t="str">
        <f>'[3]Master File'!C300</f>
        <v>Explorer 5PM</v>
      </c>
      <c r="G301" s="46"/>
      <c r="I301" s="68" t="s">
        <v>93</v>
      </c>
      <c r="J301" s="68" t="s">
        <v>93</v>
      </c>
      <c r="K301" s="68" t="s">
        <v>93</v>
      </c>
      <c r="L301" s="68" t="s">
        <v>94</v>
      </c>
      <c r="M301" s="68" t="s">
        <v>93</v>
      </c>
      <c r="N301" s="68" t="s">
        <v>93</v>
      </c>
      <c r="O301" s="68" t="s">
        <v>93</v>
      </c>
      <c r="P301" s="68" t="s">
        <v>93</v>
      </c>
      <c r="Q301" s="68" t="s">
        <v>93</v>
      </c>
      <c r="R301" s="68" t="s">
        <v>93</v>
      </c>
      <c r="S301" s="68" t="s">
        <v>93</v>
      </c>
      <c r="T301" s="68" t="s">
        <v>93</v>
      </c>
      <c r="U301" s="68" t="s">
        <v>93</v>
      </c>
      <c r="V301" s="68" t="s">
        <v>93</v>
      </c>
      <c r="W301" s="68" t="s">
        <v>93</v>
      </c>
      <c r="X301" s="68" t="s">
        <v>93</v>
      </c>
      <c r="Y301" s="68" t="s">
        <v>93</v>
      </c>
      <c r="Z301" s="68" t="s">
        <v>94</v>
      </c>
      <c r="AA301" s="68" t="s">
        <v>93</v>
      </c>
      <c r="AB301" s="68" t="s">
        <v>93</v>
      </c>
      <c r="AC301" s="68" t="s">
        <v>93</v>
      </c>
      <c r="AD301" s="68" t="s">
        <v>93</v>
      </c>
      <c r="AE301" s="68" t="s">
        <v>93</v>
      </c>
      <c r="AF301" s="68" t="s">
        <v>93</v>
      </c>
      <c r="AG301" s="68" t="s">
        <v>93</v>
      </c>
      <c r="AH301" s="68" t="s">
        <v>93</v>
      </c>
      <c r="AI301" s="68" t="s">
        <v>93</v>
      </c>
      <c r="AJ301" s="68" t="s">
        <v>93</v>
      </c>
      <c r="AK301" s="68" t="s">
        <v>93</v>
      </c>
      <c r="AL301" s="68" t="s">
        <v>93</v>
      </c>
      <c r="AM301" s="68" t="s">
        <v>93</v>
      </c>
      <c r="AN301" s="68" t="s">
        <v>93</v>
      </c>
      <c r="AO301" s="68" t="s">
        <v>93</v>
      </c>
      <c r="AP301" s="68" t="s">
        <v>93</v>
      </c>
      <c r="AQ301" s="68" t="s">
        <v>93</v>
      </c>
      <c r="AR301" s="68" t="s">
        <v>93</v>
      </c>
      <c r="AS301" s="68" t="s">
        <v>93</v>
      </c>
      <c r="AT301" s="68" t="s">
        <v>93</v>
      </c>
      <c r="AU301" s="68" t="s">
        <v>93</v>
      </c>
      <c r="AV301" s="68" t="s">
        <v>93</v>
      </c>
      <c r="AW301" s="68" t="s">
        <v>93</v>
      </c>
      <c r="AX301" s="68" t="s">
        <v>93</v>
      </c>
      <c r="AY301" s="68" t="s">
        <v>93</v>
      </c>
      <c r="AZ301" s="68" t="s">
        <v>93</v>
      </c>
      <c r="BA301" s="68" t="s">
        <v>93</v>
      </c>
      <c r="BB301" s="68" t="s">
        <v>93</v>
      </c>
      <c r="BC301" s="68" t="s">
        <v>93</v>
      </c>
      <c r="BD301" s="68" t="s">
        <v>93</v>
      </c>
      <c r="BE301" s="68" t="s">
        <v>93</v>
      </c>
      <c r="BF301" s="68" t="s">
        <v>93</v>
      </c>
      <c r="BG301" s="68" t="s">
        <v>93</v>
      </c>
      <c r="BH301" s="68" t="s">
        <v>93</v>
      </c>
      <c r="BI301" s="68" t="s">
        <v>93</v>
      </c>
      <c r="BJ301" s="68" t="s">
        <v>93</v>
      </c>
      <c r="BK301" s="68" t="s">
        <v>93</v>
      </c>
      <c r="BL301" s="68" t="s">
        <v>93</v>
      </c>
      <c r="BM301" s="68" t="s">
        <v>93</v>
      </c>
      <c r="BN301" s="68" t="s">
        <v>93</v>
      </c>
      <c r="BO301" s="68" t="s">
        <v>93</v>
      </c>
      <c r="BP301" s="69" t="s">
        <v>93</v>
      </c>
    </row>
    <row r="302" spans="2:68" x14ac:dyDescent="0.25">
      <c r="B302" s="64">
        <v>10</v>
      </c>
      <c r="C302" s="65">
        <v>43</v>
      </c>
      <c r="D302" s="65" t="s">
        <v>96</v>
      </c>
      <c r="E302" s="66">
        <f>'[3]Master File'!B301</f>
        <v>46315</v>
      </c>
      <c r="F302" s="67" t="str">
        <f>'[3]Master File'!C301</f>
        <v>Explorer 5PM</v>
      </c>
      <c r="G302" s="46"/>
      <c r="I302" s="68" t="s">
        <v>93</v>
      </c>
      <c r="J302" s="68" t="s">
        <v>93</v>
      </c>
      <c r="K302" s="68" t="s">
        <v>93</v>
      </c>
      <c r="L302" s="68" t="s">
        <v>94</v>
      </c>
      <c r="M302" s="68" t="s">
        <v>93</v>
      </c>
      <c r="N302" s="68" t="s">
        <v>93</v>
      </c>
      <c r="O302" s="68" t="s">
        <v>93</v>
      </c>
      <c r="P302" s="68" t="s">
        <v>93</v>
      </c>
      <c r="Q302" s="68" t="s">
        <v>93</v>
      </c>
      <c r="R302" s="68" t="s">
        <v>93</v>
      </c>
      <c r="S302" s="68" t="s">
        <v>93</v>
      </c>
      <c r="T302" s="68" t="s">
        <v>93</v>
      </c>
      <c r="U302" s="68" t="s">
        <v>93</v>
      </c>
      <c r="V302" s="68" t="s">
        <v>93</v>
      </c>
      <c r="W302" s="68" t="s">
        <v>93</v>
      </c>
      <c r="X302" s="68" t="s">
        <v>93</v>
      </c>
      <c r="Y302" s="68" t="s">
        <v>93</v>
      </c>
      <c r="Z302" s="68" t="s">
        <v>94</v>
      </c>
      <c r="AA302" s="68" t="s">
        <v>93</v>
      </c>
      <c r="AB302" s="68" t="s">
        <v>93</v>
      </c>
      <c r="AC302" s="68" t="s">
        <v>93</v>
      </c>
      <c r="AD302" s="68" t="s">
        <v>93</v>
      </c>
      <c r="AE302" s="68" t="s">
        <v>93</v>
      </c>
      <c r="AF302" s="68" t="s">
        <v>93</v>
      </c>
      <c r="AG302" s="68" t="s">
        <v>93</v>
      </c>
      <c r="AH302" s="68" t="s">
        <v>93</v>
      </c>
      <c r="AI302" s="68" t="s">
        <v>93</v>
      </c>
      <c r="AJ302" s="68" t="s">
        <v>93</v>
      </c>
      <c r="AK302" s="68" t="s">
        <v>93</v>
      </c>
      <c r="AL302" s="68" t="s">
        <v>93</v>
      </c>
      <c r="AM302" s="68" t="s">
        <v>93</v>
      </c>
      <c r="AN302" s="68" t="s">
        <v>93</v>
      </c>
      <c r="AO302" s="68" t="s">
        <v>93</v>
      </c>
      <c r="AP302" s="68" t="s">
        <v>93</v>
      </c>
      <c r="AQ302" s="68" t="s">
        <v>93</v>
      </c>
      <c r="AR302" s="68" t="s">
        <v>93</v>
      </c>
      <c r="AS302" s="68" t="s">
        <v>93</v>
      </c>
      <c r="AT302" s="68" t="s">
        <v>93</v>
      </c>
      <c r="AU302" s="68" t="s">
        <v>93</v>
      </c>
      <c r="AV302" s="68" t="s">
        <v>93</v>
      </c>
      <c r="AW302" s="68" t="s">
        <v>93</v>
      </c>
      <c r="AX302" s="68" t="s">
        <v>93</v>
      </c>
      <c r="AY302" s="68" t="s">
        <v>93</v>
      </c>
      <c r="AZ302" s="68" t="s">
        <v>93</v>
      </c>
      <c r="BA302" s="68" t="s">
        <v>93</v>
      </c>
      <c r="BB302" s="68" t="s">
        <v>93</v>
      </c>
      <c r="BC302" s="68" t="s">
        <v>93</v>
      </c>
      <c r="BD302" s="68" t="s">
        <v>93</v>
      </c>
      <c r="BE302" s="68" t="s">
        <v>93</v>
      </c>
      <c r="BF302" s="68" t="s">
        <v>93</v>
      </c>
      <c r="BG302" s="68" t="s">
        <v>93</v>
      </c>
      <c r="BH302" s="68" t="s">
        <v>93</v>
      </c>
      <c r="BI302" s="68" t="s">
        <v>93</v>
      </c>
      <c r="BJ302" s="68" t="s">
        <v>93</v>
      </c>
      <c r="BK302" s="68" t="s">
        <v>93</v>
      </c>
      <c r="BL302" s="68" t="s">
        <v>93</v>
      </c>
      <c r="BM302" s="68" t="s">
        <v>93</v>
      </c>
      <c r="BN302" s="68" t="s">
        <v>93</v>
      </c>
      <c r="BO302" s="68" t="s">
        <v>93</v>
      </c>
      <c r="BP302" s="69" t="s">
        <v>93</v>
      </c>
    </row>
    <row r="303" spans="2:68" x14ac:dyDescent="0.25">
      <c r="B303" s="64">
        <v>10</v>
      </c>
      <c r="C303" s="65">
        <v>43</v>
      </c>
      <c r="D303" s="65" t="s">
        <v>97</v>
      </c>
      <c r="E303" s="66">
        <f>'[3]Master File'!B302</f>
        <v>46316</v>
      </c>
      <c r="F303" s="67" t="str">
        <f>'[3]Master File'!C302</f>
        <v>Explorer 5PM</v>
      </c>
      <c r="G303" s="46"/>
      <c r="I303" s="68" t="s">
        <v>93</v>
      </c>
      <c r="J303" s="68" t="s">
        <v>93</v>
      </c>
      <c r="K303" s="68" t="s">
        <v>93</v>
      </c>
      <c r="L303" s="68" t="s">
        <v>94</v>
      </c>
      <c r="M303" s="68" t="s">
        <v>93</v>
      </c>
      <c r="N303" s="68" t="s">
        <v>93</v>
      </c>
      <c r="O303" s="68" t="s">
        <v>93</v>
      </c>
      <c r="P303" s="68" t="s">
        <v>93</v>
      </c>
      <c r="Q303" s="68" t="s">
        <v>93</v>
      </c>
      <c r="R303" s="68" t="s">
        <v>93</v>
      </c>
      <c r="S303" s="68" t="s">
        <v>93</v>
      </c>
      <c r="T303" s="68" t="s">
        <v>93</v>
      </c>
      <c r="U303" s="68" t="s">
        <v>93</v>
      </c>
      <c r="V303" s="68" t="s">
        <v>93</v>
      </c>
      <c r="W303" s="68" t="s">
        <v>93</v>
      </c>
      <c r="X303" s="68" t="s">
        <v>93</v>
      </c>
      <c r="Y303" s="68" t="s">
        <v>93</v>
      </c>
      <c r="Z303" s="68" t="s">
        <v>94</v>
      </c>
      <c r="AA303" s="68" t="s">
        <v>93</v>
      </c>
      <c r="AB303" s="68" t="s">
        <v>93</v>
      </c>
      <c r="AC303" s="68" t="s">
        <v>93</v>
      </c>
      <c r="AD303" s="68" t="s">
        <v>93</v>
      </c>
      <c r="AE303" s="68" t="s">
        <v>93</v>
      </c>
      <c r="AF303" s="68" t="s">
        <v>93</v>
      </c>
      <c r="AG303" s="68" t="s">
        <v>93</v>
      </c>
      <c r="AH303" s="68" t="s">
        <v>93</v>
      </c>
      <c r="AI303" s="68" t="s">
        <v>93</v>
      </c>
      <c r="AJ303" s="68" t="s">
        <v>93</v>
      </c>
      <c r="AK303" s="68" t="s">
        <v>93</v>
      </c>
      <c r="AL303" s="68" t="s">
        <v>93</v>
      </c>
      <c r="AM303" s="68" t="s">
        <v>93</v>
      </c>
      <c r="AN303" s="68" t="s">
        <v>93</v>
      </c>
      <c r="AO303" s="68" t="s">
        <v>93</v>
      </c>
      <c r="AP303" s="68" t="s">
        <v>93</v>
      </c>
      <c r="AQ303" s="68" t="s">
        <v>93</v>
      </c>
      <c r="AR303" s="68" t="s">
        <v>93</v>
      </c>
      <c r="AS303" s="68" t="s">
        <v>93</v>
      </c>
      <c r="AT303" s="68" t="s">
        <v>93</v>
      </c>
      <c r="AU303" s="68" t="s">
        <v>93</v>
      </c>
      <c r="AV303" s="68" t="s">
        <v>93</v>
      </c>
      <c r="AW303" s="68" t="s">
        <v>93</v>
      </c>
      <c r="AX303" s="68" t="s">
        <v>93</v>
      </c>
      <c r="AY303" s="68" t="s">
        <v>93</v>
      </c>
      <c r="AZ303" s="68" t="s">
        <v>93</v>
      </c>
      <c r="BA303" s="68" t="s">
        <v>93</v>
      </c>
      <c r="BB303" s="68" t="s">
        <v>93</v>
      </c>
      <c r="BC303" s="68" t="s">
        <v>93</v>
      </c>
      <c r="BD303" s="68" t="s">
        <v>93</v>
      </c>
      <c r="BE303" s="68" t="s">
        <v>93</v>
      </c>
      <c r="BF303" s="68" t="s">
        <v>93</v>
      </c>
      <c r="BG303" s="68" t="s">
        <v>93</v>
      </c>
      <c r="BH303" s="68" t="s">
        <v>93</v>
      </c>
      <c r="BI303" s="68" t="s">
        <v>93</v>
      </c>
      <c r="BJ303" s="68" t="s">
        <v>93</v>
      </c>
      <c r="BK303" s="68" t="s">
        <v>93</v>
      </c>
      <c r="BL303" s="68" t="s">
        <v>93</v>
      </c>
      <c r="BM303" s="68" t="s">
        <v>93</v>
      </c>
      <c r="BN303" s="68" t="s">
        <v>93</v>
      </c>
      <c r="BO303" s="68" t="s">
        <v>93</v>
      </c>
      <c r="BP303" s="69" t="s">
        <v>93</v>
      </c>
    </row>
    <row r="304" spans="2:68" x14ac:dyDescent="0.25">
      <c r="B304" s="64">
        <v>10</v>
      </c>
      <c r="C304" s="65">
        <v>43</v>
      </c>
      <c r="D304" s="65" t="s">
        <v>98</v>
      </c>
      <c r="E304" s="66">
        <f>'[3]Master File'!B303</f>
        <v>46317</v>
      </c>
      <c r="F304" s="67" t="str">
        <f>'[3]Master File'!C303</f>
        <v>Explorer 5PM</v>
      </c>
      <c r="G304" s="46"/>
      <c r="I304" s="68" t="s">
        <v>93</v>
      </c>
      <c r="J304" s="68" t="s">
        <v>93</v>
      </c>
      <c r="K304" s="68" t="s">
        <v>93</v>
      </c>
      <c r="L304" s="68" t="s">
        <v>94</v>
      </c>
      <c r="M304" s="68" t="s">
        <v>93</v>
      </c>
      <c r="N304" s="68" t="s">
        <v>93</v>
      </c>
      <c r="O304" s="68" t="s">
        <v>93</v>
      </c>
      <c r="P304" s="68" t="s">
        <v>93</v>
      </c>
      <c r="Q304" s="68" t="s">
        <v>93</v>
      </c>
      <c r="R304" s="68" t="s">
        <v>93</v>
      </c>
      <c r="S304" s="68" t="s">
        <v>93</v>
      </c>
      <c r="T304" s="68" t="s">
        <v>93</v>
      </c>
      <c r="U304" s="68" t="s">
        <v>93</v>
      </c>
      <c r="V304" s="68" t="s">
        <v>93</v>
      </c>
      <c r="W304" s="68" t="s">
        <v>93</v>
      </c>
      <c r="X304" s="68" t="s">
        <v>93</v>
      </c>
      <c r="Y304" s="68" t="s">
        <v>93</v>
      </c>
      <c r="Z304" s="68" t="s">
        <v>94</v>
      </c>
      <c r="AA304" s="68" t="s">
        <v>93</v>
      </c>
      <c r="AB304" s="68" t="s">
        <v>93</v>
      </c>
      <c r="AC304" s="68" t="s">
        <v>93</v>
      </c>
      <c r="AD304" s="68" t="s">
        <v>93</v>
      </c>
      <c r="AE304" s="68" t="s">
        <v>93</v>
      </c>
      <c r="AF304" s="68" t="s">
        <v>93</v>
      </c>
      <c r="AG304" s="68" t="s">
        <v>93</v>
      </c>
      <c r="AH304" s="68" t="s">
        <v>93</v>
      </c>
      <c r="AI304" s="68" t="s">
        <v>93</v>
      </c>
      <c r="AJ304" s="68" t="s">
        <v>93</v>
      </c>
      <c r="AK304" s="68" t="s">
        <v>93</v>
      </c>
      <c r="AL304" s="68" t="s">
        <v>93</v>
      </c>
      <c r="AM304" s="68" t="s">
        <v>93</v>
      </c>
      <c r="AN304" s="68" t="s">
        <v>93</v>
      </c>
      <c r="AO304" s="68" t="s">
        <v>93</v>
      </c>
      <c r="AP304" s="68" t="s">
        <v>93</v>
      </c>
      <c r="AQ304" s="68" t="s">
        <v>93</v>
      </c>
      <c r="AR304" s="68" t="s">
        <v>93</v>
      </c>
      <c r="AS304" s="68" t="s">
        <v>93</v>
      </c>
      <c r="AT304" s="68" t="s">
        <v>93</v>
      </c>
      <c r="AU304" s="68" t="s">
        <v>93</v>
      </c>
      <c r="AV304" s="68" t="s">
        <v>93</v>
      </c>
      <c r="AW304" s="68" t="s">
        <v>93</v>
      </c>
      <c r="AX304" s="68" t="s">
        <v>93</v>
      </c>
      <c r="AY304" s="68" t="s">
        <v>93</v>
      </c>
      <c r="AZ304" s="68" t="s">
        <v>93</v>
      </c>
      <c r="BA304" s="68" t="s">
        <v>93</v>
      </c>
      <c r="BB304" s="68" t="s">
        <v>93</v>
      </c>
      <c r="BC304" s="68" t="s">
        <v>93</v>
      </c>
      <c r="BD304" s="68" t="s">
        <v>93</v>
      </c>
      <c r="BE304" s="68" t="s">
        <v>93</v>
      </c>
      <c r="BF304" s="68" t="s">
        <v>93</v>
      </c>
      <c r="BG304" s="68" t="s">
        <v>93</v>
      </c>
      <c r="BH304" s="68" t="s">
        <v>93</v>
      </c>
      <c r="BI304" s="68" t="s">
        <v>93</v>
      </c>
      <c r="BJ304" s="68" t="s">
        <v>93</v>
      </c>
      <c r="BK304" s="68" t="s">
        <v>93</v>
      </c>
      <c r="BL304" s="68" t="s">
        <v>93</v>
      </c>
      <c r="BM304" s="68" t="s">
        <v>93</v>
      </c>
      <c r="BN304" s="68" t="s">
        <v>93</v>
      </c>
      <c r="BO304" s="68" t="s">
        <v>93</v>
      </c>
      <c r="BP304" s="69" t="s">
        <v>93</v>
      </c>
    </row>
    <row r="305" spans="2:68" x14ac:dyDescent="0.25">
      <c r="B305" s="64">
        <v>10</v>
      </c>
      <c r="C305" s="65">
        <v>43</v>
      </c>
      <c r="D305" s="65" t="s">
        <v>99</v>
      </c>
      <c r="E305" s="66">
        <f>'[3]Master File'!B304</f>
        <v>46318</v>
      </c>
      <c r="F305" s="67" t="str">
        <f>'[3]Master File'!C304</f>
        <v>Explorer + 7pm</v>
      </c>
      <c r="G305" s="46"/>
      <c r="I305" s="68" t="s">
        <v>93</v>
      </c>
      <c r="J305" s="68" t="s">
        <v>93</v>
      </c>
      <c r="K305" s="68" t="s">
        <v>93</v>
      </c>
      <c r="L305" s="68" t="s">
        <v>94</v>
      </c>
      <c r="M305" s="68" t="s">
        <v>93</v>
      </c>
      <c r="N305" s="68" t="s">
        <v>93</v>
      </c>
      <c r="O305" s="68" t="s">
        <v>93</v>
      </c>
      <c r="P305" s="68" t="s">
        <v>93</v>
      </c>
      <c r="Q305" s="68" t="s">
        <v>93</v>
      </c>
      <c r="R305" s="68" t="s">
        <v>93</v>
      </c>
      <c r="S305" s="68" t="s">
        <v>93</v>
      </c>
      <c r="T305" s="68" t="s">
        <v>93</v>
      </c>
      <c r="U305" s="68" t="s">
        <v>93</v>
      </c>
      <c r="V305" s="68" t="s">
        <v>93</v>
      </c>
      <c r="W305" s="68" t="s">
        <v>93</v>
      </c>
      <c r="X305" s="68" t="s">
        <v>93</v>
      </c>
      <c r="Y305" s="68" t="s">
        <v>93</v>
      </c>
      <c r="Z305" s="68" t="s">
        <v>94</v>
      </c>
      <c r="AA305" s="68" t="s">
        <v>93</v>
      </c>
      <c r="AB305" s="68" t="s">
        <v>93</v>
      </c>
      <c r="AC305" s="68" t="s">
        <v>93</v>
      </c>
      <c r="AD305" s="68" t="s">
        <v>93</v>
      </c>
      <c r="AE305" s="68" t="s">
        <v>93</v>
      </c>
      <c r="AF305" s="68" t="s">
        <v>93</v>
      </c>
      <c r="AG305" s="68" t="s">
        <v>93</v>
      </c>
      <c r="AH305" s="68" t="s">
        <v>93</v>
      </c>
      <c r="AI305" s="68" t="s">
        <v>93</v>
      </c>
      <c r="AJ305" s="68" t="s">
        <v>93</v>
      </c>
      <c r="AK305" s="68" t="s">
        <v>93</v>
      </c>
      <c r="AL305" s="68" t="s">
        <v>93</v>
      </c>
      <c r="AM305" s="68" t="s">
        <v>93</v>
      </c>
      <c r="AN305" s="68" t="s">
        <v>93</v>
      </c>
      <c r="AO305" s="68" t="s">
        <v>93</v>
      </c>
      <c r="AP305" s="68" t="s">
        <v>93</v>
      </c>
      <c r="AQ305" s="68" t="s">
        <v>93</v>
      </c>
      <c r="AR305" s="68" t="s">
        <v>93</v>
      </c>
      <c r="AS305" s="68" t="s">
        <v>93</v>
      </c>
      <c r="AT305" s="68" t="s">
        <v>93</v>
      </c>
      <c r="AU305" s="68" t="s">
        <v>93</v>
      </c>
      <c r="AV305" s="68" t="s">
        <v>93</v>
      </c>
      <c r="AW305" s="68" t="s">
        <v>93</v>
      </c>
      <c r="AX305" s="68" t="s">
        <v>93</v>
      </c>
      <c r="AY305" s="68" t="s">
        <v>93</v>
      </c>
      <c r="AZ305" s="68" t="s">
        <v>93</v>
      </c>
      <c r="BA305" s="68" t="s">
        <v>93</v>
      </c>
      <c r="BB305" s="68" t="s">
        <v>93</v>
      </c>
      <c r="BC305" s="68" t="s">
        <v>93</v>
      </c>
      <c r="BD305" s="68" t="s">
        <v>93</v>
      </c>
      <c r="BE305" s="68" t="s">
        <v>93</v>
      </c>
      <c r="BF305" s="68" t="s">
        <v>93</v>
      </c>
      <c r="BG305" s="68" t="s">
        <v>93</v>
      </c>
      <c r="BH305" s="68" t="s">
        <v>93</v>
      </c>
      <c r="BI305" s="68" t="s">
        <v>93</v>
      </c>
      <c r="BJ305" s="68" t="s">
        <v>93</v>
      </c>
      <c r="BK305" s="68" t="s">
        <v>93</v>
      </c>
      <c r="BL305" s="68" t="s">
        <v>93</v>
      </c>
      <c r="BM305" s="68" t="s">
        <v>93</v>
      </c>
      <c r="BN305" s="68" t="s">
        <v>93</v>
      </c>
      <c r="BO305" s="68" t="s">
        <v>93</v>
      </c>
      <c r="BP305" s="69" t="s">
        <v>93</v>
      </c>
    </row>
    <row r="306" spans="2:68" x14ac:dyDescent="0.25">
      <c r="B306" s="64">
        <v>10</v>
      </c>
      <c r="C306" s="65">
        <v>43</v>
      </c>
      <c r="D306" s="65" t="s">
        <v>100</v>
      </c>
      <c r="E306" s="66">
        <f>'[3]Master File'!B305</f>
        <v>46319</v>
      </c>
      <c r="F306" s="67" t="str">
        <f>'[3]Master File'!C305</f>
        <v>Explorer + 7pm</v>
      </c>
      <c r="G306" s="46"/>
      <c r="I306" s="74" t="s">
        <v>93</v>
      </c>
      <c r="J306" s="74" t="s">
        <v>93</v>
      </c>
      <c r="K306" s="74" t="s">
        <v>93</v>
      </c>
      <c r="L306" s="68" t="s">
        <v>94</v>
      </c>
      <c r="M306" s="74" t="s">
        <v>93</v>
      </c>
      <c r="N306" s="74" t="s">
        <v>93</v>
      </c>
      <c r="O306" s="74" t="s">
        <v>93</v>
      </c>
      <c r="P306" s="74" t="s">
        <v>93</v>
      </c>
      <c r="Q306" s="74" t="s">
        <v>93</v>
      </c>
      <c r="R306" s="74" t="s">
        <v>93</v>
      </c>
      <c r="S306" s="74" t="s">
        <v>93</v>
      </c>
      <c r="T306" s="74" t="s">
        <v>93</v>
      </c>
      <c r="U306" s="74" t="s">
        <v>93</v>
      </c>
      <c r="V306" s="74" t="s">
        <v>93</v>
      </c>
      <c r="W306" s="74" t="s">
        <v>93</v>
      </c>
      <c r="X306" s="74" t="s">
        <v>93</v>
      </c>
      <c r="Y306" s="74" t="s">
        <v>93</v>
      </c>
      <c r="Z306" s="68" t="s">
        <v>94</v>
      </c>
      <c r="AA306" s="74" t="s">
        <v>93</v>
      </c>
      <c r="AB306" s="74" t="s">
        <v>93</v>
      </c>
      <c r="AC306" s="74" t="s">
        <v>93</v>
      </c>
      <c r="AD306" s="74" t="s">
        <v>94</v>
      </c>
      <c r="AE306" s="74" t="s">
        <v>94</v>
      </c>
      <c r="AF306" s="74" t="s">
        <v>93</v>
      </c>
      <c r="AG306" s="74" t="s">
        <v>93</v>
      </c>
      <c r="AH306" s="74" t="s">
        <v>93</v>
      </c>
      <c r="AI306" s="74" t="s">
        <v>93</v>
      </c>
      <c r="AJ306" s="74" t="s">
        <v>93</v>
      </c>
      <c r="AK306" s="74" t="s">
        <v>93</v>
      </c>
      <c r="AL306" s="74" t="s">
        <v>93</v>
      </c>
      <c r="AM306" s="74" t="s">
        <v>93</v>
      </c>
      <c r="AN306" s="74" t="s">
        <v>93</v>
      </c>
      <c r="AO306" s="74" t="s">
        <v>93</v>
      </c>
      <c r="AP306" s="74" t="s">
        <v>93</v>
      </c>
      <c r="AQ306" s="74" t="s">
        <v>93</v>
      </c>
      <c r="AR306" s="74" t="s">
        <v>93</v>
      </c>
      <c r="AS306" s="74" t="s">
        <v>93</v>
      </c>
      <c r="AT306" s="74" t="s">
        <v>93</v>
      </c>
      <c r="AU306" s="74" t="s">
        <v>93</v>
      </c>
      <c r="AV306" s="74" t="s">
        <v>93</v>
      </c>
      <c r="AW306" s="74" t="s">
        <v>93</v>
      </c>
      <c r="AX306" s="74" t="s">
        <v>93</v>
      </c>
      <c r="AY306" s="74" t="s">
        <v>93</v>
      </c>
      <c r="AZ306" s="74" t="s">
        <v>93</v>
      </c>
      <c r="BA306" s="74" t="s">
        <v>93</v>
      </c>
      <c r="BB306" s="74" t="s">
        <v>93</v>
      </c>
      <c r="BC306" s="74" t="s">
        <v>93</v>
      </c>
      <c r="BD306" s="74" t="s">
        <v>93</v>
      </c>
      <c r="BE306" s="74" t="s">
        <v>93</v>
      </c>
      <c r="BF306" s="74" t="s">
        <v>93</v>
      </c>
      <c r="BG306" s="74" t="s">
        <v>93</v>
      </c>
      <c r="BH306" s="74" t="s">
        <v>93</v>
      </c>
      <c r="BI306" s="74" t="s">
        <v>93</v>
      </c>
      <c r="BJ306" s="74" t="s">
        <v>93</v>
      </c>
      <c r="BK306" s="74" t="s">
        <v>93</v>
      </c>
      <c r="BL306" s="74" t="s">
        <v>93</v>
      </c>
      <c r="BM306" s="74" t="s">
        <v>93</v>
      </c>
      <c r="BN306" s="74" t="s">
        <v>93</v>
      </c>
      <c r="BO306" s="74" t="s">
        <v>93</v>
      </c>
      <c r="BP306" s="75" t="s">
        <v>93</v>
      </c>
    </row>
    <row r="307" spans="2:68" x14ac:dyDescent="0.25">
      <c r="B307" s="64">
        <v>10</v>
      </c>
      <c r="C307" s="65">
        <v>44</v>
      </c>
      <c r="D307" s="65" t="s">
        <v>92</v>
      </c>
      <c r="E307" s="66">
        <f>'[3]Master File'!B306</f>
        <v>46320</v>
      </c>
      <c r="F307" s="67" t="str">
        <f>'[3]Master File'!C306</f>
        <v>Explorer + 7pm</v>
      </c>
      <c r="G307" s="46"/>
      <c r="I307" s="74" t="s">
        <v>93</v>
      </c>
      <c r="J307" s="74" t="s">
        <v>93</v>
      </c>
      <c r="K307" s="74" t="s">
        <v>93</v>
      </c>
      <c r="L307" s="68" t="s">
        <v>94</v>
      </c>
      <c r="M307" s="74" t="s">
        <v>93</v>
      </c>
      <c r="N307" s="74" t="s">
        <v>93</v>
      </c>
      <c r="O307" s="74" t="s">
        <v>93</v>
      </c>
      <c r="P307" s="74" t="s">
        <v>93</v>
      </c>
      <c r="Q307" s="74" t="s">
        <v>93</v>
      </c>
      <c r="R307" s="74" t="s">
        <v>93</v>
      </c>
      <c r="S307" s="74" t="s">
        <v>93</v>
      </c>
      <c r="T307" s="74" t="s">
        <v>93</v>
      </c>
      <c r="U307" s="74" t="s">
        <v>93</v>
      </c>
      <c r="V307" s="74" t="s">
        <v>93</v>
      </c>
      <c r="W307" s="74" t="s">
        <v>93</v>
      </c>
      <c r="X307" s="74" t="s">
        <v>93</v>
      </c>
      <c r="Y307" s="74" t="s">
        <v>93</v>
      </c>
      <c r="Z307" s="68" t="s">
        <v>94</v>
      </c>
      <c r="AA307" s="74" t="s">
        <v>93</v>
      </c>
      <c r="AB307" s="74" t="s">
        <v>93</v>
      </c>
      <c r="AC307" s="74" t="s">
        <v>93</v>
      </c>
      <c r="AD307" s="74" t="s">
        <v>94</v>
      </c>
      <c r="AE307" s="74" t="s">
        <v>94</v>
      </c>
      <c r="AF307" s="74" t="s">
        <v>93</v>
      </c>
      <c r="AG307" s="74" t="s">
        <v>93</v>
      </c>
      <c r="AH307" s="74" t="s">
        <v>93</v>
      </c>
      <c r="AI307" s="74" t="s">
        <v>93</v>
      </c>
      <c r="AJ307" s="74" t="s">
        <v>93</v>
      </c>
      <c r="AK307" s="74" t="s">
        <v>93</v>
      </c>
      <c r="AL307" s="74" t="s">
        <v>93</v>
      </c>
      <c r="AM307" s="74" t="s">
        <v>93</v>
      </c>
      <c r="AN307" s="74" t="s">
        <v>93</v>
      </c>
      <c r="AO307" s="74" t="s">
        <v>93</v>
      </c>
      <c r="AP307" s="74" t="s">
        <v>93</v>
      </c>
      <c r="AQ307" s="74" t="s">
        <v>93</v>
      </c>
      <c r="AR307" s="74" t="s">
        <v>93</v>
      </c>
      <c r="AS307" s="74" t="s">
        <v>93</v>
      </c>
      <c r="AT307" s="74" t="s">
        <v>93</v>
      </c>
      <c r="AU307" s="74" t="s">
        <v>93</v>
      </c>
      <c r="AV307" s="74" t="s">
        <v>93</v>
      </c>
      <c r="AW307" s="74" t="s">
        <v>93</v>
      </c>
      <c r="AX307" s="74" t="s">
        <v>93</v>
      </c>
      <c r="AY307" s="74" t="s">
        <v>93</v>
      </c>
      <c r="AZ307" s="74" t="s">
        <v>93</v>
      </c>
      <c r="BA307" s="74" t="s">
        <v>93</v>
      </c>
      <c r="BB307" s="74" t="s">
        <v>93</v>
      </c>
      <c r="BC307" s="74" t="s">
        <v>93</v>
      </c>
      <c r="BD307" s="74" t="s">
        <v>93</v>
      </c>
      <c r="BE307" s="74" t="s">
        <v>93</v>
      </c>
      <c r="BF307" s="74" t="s">
        <v>93</v>
      </c>
      <c r="BG307" s="74" t="s">
        <v>93</v>
      </c>
      <c r="BH307" s="74" t="s">
        <v>93</v>
      </c>
      <c r="BI307" s="74" t="s">
        <v>93</v>
      </c>
      <c r="BJ307" s="74" t="s">
        <v>93</v>
      </c>
      <c r="BK307" s="74" t="s">
        <v>93</v>
      </c>
      <c r="BL307" s="74" t="s">
        <v>93</v>
      </c>
      <c r="BM307" s="74" t="s">
        <v>93</v>
      </c>
      <c r="BN307" s="74" t="s">
        <v>93</v>
      </c>
      <c r="BO307" s="74" t="s">
        <v>93</v>
      </c>
      <c r="BP307" s="75" t="s">
        <v>93</v>
      </c>
    </row>
    <row r="308" spans="2:68" x14ac:dyDescent="0.25">
      <c r="B308" s="64">
        <v>10</v>
      </c>
      <c r="C308" s="65">
        <v>44</v>
      </c>
      <c r="D308" s="65" t="s">
        <v>95</v>
      </c>
      <c r="E308" s="66">
        <f>'[3]Master File'!B307</f>
        <v>46321</v>
      </c>
      <c r="F308" s="67" t="str">
        <f>'[3]Master File'!C307</f>
        <v>Explorer + 7pm</v>
      </c>
      <c r="G308" s="46"/>
      <c r="I308" s="68" t="s">
        <v>93</v>
      </c>
      <c r="J308" s="68" t="s">
        <v>93</v>
      </c>
      <c r="K308" s="68" t="s">
        <v>93</v>
      </c>
      <c r="L308" s="68" t="s">
        <v>94</v>
      </c>
      <c r="M308" s="68" t="s">
        <v>93</v>
      </c>
      <c r="N308" s="68" t="s">
        <v>93</v>
      </c>
      <c r="O308" s="68" t="s">
        <v>93</v>
      </c>
      <c r="P308" s="68" t="s">
        <v>93</v>
      </c>
      <c r="Q308" s="68" t="s">
        <v>93</v>
      </c>
      <c r="R308" s="68" t="s">
        <v>93</v>
      </c>
      <c r="S308" s="68" t="s">
        <v>93</v>
      </c>
      <c r="T308" s="68" t="s">
        <v>93</v>
      </c>
      <c r="U308" s="68" t="s">
        <v>93</v>
      </c>
      <c r="V308" s="68" t="s">
        <v>93</v>
      </c>
      <c r="W308" s="68" t="s">
        <v>93</v>
      </c>
      <c r="X308" s="68" t="s">
        <v>93</v>
      </c>
      <c r="Y308" s="68" t="s">
        <v>93</v>
      </c>
      <c r="Z308" s="68" t="s">
        <v>94</v>
      </c>
      <c r="AA308" s="68" t="s">
        <v>93</v>
      </c>
      <c r="AB308" s="68" t="s">
        <v>93</v>
      </c>
      <c r="AC308" s="68" t="s">
        <v>93</v>
      </c>
      <c r="AD308" s="68" t="s">
        <v>93</v>
      </c>
      <c r="AE308" s="68" t="s">
        <v>93</v>
      </c>
      <c r="AF308" s="68" t="s">
        <v>93</v>
      </c>
      <c r="AG308" s="68" t="s">
        <v>93</v>
      </c>
      <c r="AH308" s="68" t="s">
        <v>93</v>
      </c>
      <c r="AI308" s="68" t="s">
        <v>93</v>
      </c>
      <c r="AJ308" s="68" t="s">
        <v>93</v>
      </c>
      <c r="AK308" s="68" t="s">
        <v>93</v>
      </c>
      <c r="AL308" s="68" t="s">
        <v>93</v>
      </c>
      <c r="AM308" s="68" t="s">
        <v>93</v>
      </c>
      <c r="AN308" s="68" t="s">
        <v>93</v>
      </c>
      <c r="AO308" s="68" t="s">
        <v>93</v>
      </c>
      <c r="AP308" s="68" t="s">
        <v>93</v>
      </c>
      <c r="AQ308" s="68" t="s">
        <v>93</v>
      </c>
      <c r="AR308" s="68" t="s">
        <v>93</v>
      </c>
      <c r="AS308" s="68" t="s">
        <v>93</v>
      </c>
      <c r="AT308" s="68" t="s">
        <v>93</v>
      </c>
      <c r="AU308" s="68" t="s">
        <v>93</v>
      </c>
      <c r="AV308" s="68" t="s">
        <v>93</v>
      </c>
      <c r="AW308" s="68" t="s">
        <v>93</v>
      </c>
      <c r="AX308" s="68" t="s">
        <v>93</v>
      </c>
      <c r="AY308" s="68" t="s">
        <v>93</v>
      </c>
      <c r="AZ308" s="68" t="s">
        <v>93</v>
      </c>
      <c r="BA308" s="68" t="s">
        <v>93</v>
      </c>
      <c r="BB308" s="68" t="s">
        <v>93</v>
      </c>
      <c r="BC308" s="68" t="s">
        <v>93</v>
      </c>
      <c r="BD308" s="68" t="s">
        <v>93</v>
      </c>
      <c r="BE308" s="68" t="s">
        <v>93</v>
      </c>
      <c r="BF308" s="68" t="s">
        <v>93</v>
      </c>
      <c r="BG308" s="68" t="s">
        <v>93</v>
      </c>
      <c r="BH308" s="68" t="s">
        <v>93</v>
      </c>
      <c r="BI308" s="68" t="s">
        <v>93</v>
      </c>
      <c r="BJ308" s="68" t="s">
        <v>93</v>
      </c>
      <c r="BK308" s="68" t="s">
        <v>93</v>
      </c>
      <c r="BL308" s="68" t="s">
        <v>93</v>
      </c>
      <c r="BM308" s="68" t="s">
        <v>93</v>
      </c>
      <c r="BN308" s="68" t="s">
        <v>93</v>
      </c>
      <c r="BO308" s="68" t="s">
        <v>93</v>
      </c>
      <c r="BP308" s="69" t="s">
        <v>93</v>
      </c>
    </row>
    <row r="309" spans="2:68" x14ac:dyDescent="0.25">
      <c r="B309" s="64">
        <v>10</v>
      </c>
      <c r="C309" s="65">
        <v>44</v>
      </c>
      <c r="D309" s="65" t="s">
        <v>96</v>
      </c>
      <c r="E309" s="66">
        <f>'[3]Master File'!B308</f>
        <v>46322</v>
      </c>
      <c r="F309" s="67" t="str">
        <f>'[3]Master File'!C308</f>
        <v>Explorer + 7pm</v>
      </c>
      <c r="G309" s="46"/>
      <c r="I309" s="68" t="s">
        <v>93</v>
      </c>
      <c r="J309" s="68" t="s">
        <v>93</v>
      </c>
      <c r="K309" s="68" t="s">
        <v>93</v>
      </c>
      <c r="L309" s="68" t="s">
        <v>94</v>
      </c>
      <c r="M309" s="68" t="s">
        <v>93</v>
      </c>
      <c r="N309" s="68" t="s">
        <v>93</v>
      </c>
      <c r="O309" s="68" t="s">
        <v>93</v>
      </c>
      <c r="P309" s="68" t="s">
        <v>93</v>
      </c>
      <c r="Q309" s="68" t="s">
        <v>93</v>
      </c>
      <c r="R309" s="68" t="s">
        <v>93</v>
      </c>
      <c r="S309" s="68" t="s">
        <v>93</v>
      </c>
      <c r="T309" s="68" t="s">
        <v>93</v>
      </c>
      <c r="U309" s="68" t="s">
        <v>93</v>
      </c>
      <c r="V309" s="68" t="s">
        <v>93</v>
      </c>
      <c r="W309" s="68" t="s">
        <v>93</v>
      </c>
      <c r="X309" s="68" t="s">
        <v>93</v>
      </c>
      <c r="Y309" s="68" t="s">
        <v>93</v>
      </c>
      <c r="Z309" s="68" t="s">
        <v>94</v>
      </c>
      <c r="AA309" s="68" t="s">
        <v>93</v>
      </c>
      <c r="AB309" s="68" t="s">
        <v>93</v>
      </c>
      <c r="AC309" s="68" t="s">
        <v>93</v>
      </c>
      <c r="AD309" s="68" t="s">
        <v>93</v>
      </c>
      <c r="AE309" s="68" t="s">
        <v>93</v>
      </c>
      <c r="AF309" s="68" t="s">
        <v>93</v>
      </c>
      <c r="AG309" s="68" t="s">
        <v>93</v>
      </c>
      <c r="AH309" s="68" t="s">
        <v>93</v>
      </c>
      <c r="AI309" s="68" t="s">
        <v>93</v>
      </c>
      <c r="AJ309" s="68" t="s">
        <v>93</v>
      </c>
      <c r="AK309" s="68" t="s">
        <v>93</v>
      </c>
      <c r="AL309" s="68" t="s">
        <v>93</v>
      </c>
      <c r="AM309" s="68" t="s">
        <v>93</v>
      </c>
      <c r="AN309" s="68" t="s">
        <v>93</v>
      </c>
      <c r="AO309" s="68" t="s">
        <v>93</v>
      </c>
      <c r="AP309" s="68" t="s">
        <v>93</v>
      </c>
      <c r="AQ309" s="68" t="s">
        <v>93</v>
      </c>
      <c r="AR309" s="68" t="s">
        <v>93</v>
      </c>
      <c r="AS309" s="68" t="s">
        <v>93</v>
      </c>
      <c r="AT309" s="68" t="s">
        <v>93</v>
      </c>
      <c r="AU309" s="68" t="s">
        <v>93</v>
      </c>
      <c r="AV309" s="68" t="s">
        <v>93</v>
      </c>
      <c r="AW309" s="68" t="s">
        <v>93</v>
      </c>
      <c r="AX309" s="68" t="s">
        <v>93</v>
      </c>
      <c r="AY309" s="68" t="s">
        <v>93</v>
      </c>
      <c r="AZ309" s="68" t="s">
        <v>93</v>
      </c>
      <c r="BA309" s="68" t="s">
        <v>93</v>
      </c>
      <c r="BB309" s="68" t="s">
        <v>93</v>
      </c>
      <c r="BC309" s="68" t="s">
        <v>93</v>
      </c>
      <c r="BD309" s="68" t="s">
        <v>93</v>
      </c>
      <c r="BE309" s="68" t="s">
        <v>93</v>
      </c>
      <c r="BF309" s="68" t="s">
        <v>93</v>
      </c>
      <c r="BG309" s="68" t="s">
        <v>93</v>
      </c>
      <c r="BH309" s="68" t="s">
        <v>93</v>
      </c>
      <c r="BI309" s="68" t="s">
        <v>93</v>
      </c>
      <c r="BJ309" s="68" t="s">
        <v>93</v>
      </c>
      <c r="BK309" s="68" t="s">
        <v>93</v>
      </c>
      <c r="BL309" s="68" t="s">
        <v>93</v>
      </c>
      <c r="BM309" s="68" t="s">
        <v>93</v>
      </c>
      <c r="BN309" s="68" t="s">
        <v>93</v>
      </c>
      <c r="BO309" s="68" t="s">
        <v>93</v>
      </c>
      <c r="BP309" s="69" t="s">
        <v>93</v>
      </c>
    </row>
    <row r="310" spans="2:68" x14ac:dyDescent="0.25">
      <c r="B310" s="64">
        <v>10</v>
      </c>
      <c r="C310" s="65">
        <v>44</v>
      </c>
      <c r="D310" s="65" t="s">
        <v>97</v>
      </c>
      <c r="E310" s="66">
        <f>'[3]Master File'!B309</f>
        <v>46323</v>
      </c>
      <c r="F310" s="67" t="str">
        <f>'[3]Master File'!C309</f>
        <v>Explorer + 7pm</v>
      </c>
      <c r="G310" s="46"/>
      <c r="I310" s="68" t="s">
        <v>93</v>
      </c>
      <c r="J310" s="68" t="s">
        <v>93</v>
      </c>
      <c r="K310" s="68" t="s">
        <v>93</v>
      </c>
      <c r="L310" s="68" t="s">
        <v>94</v>
      </c>
      <c r="M310" s="68" t="s">
        <v>93</v>
      </c>
      <c r="N310" s="68" t="s">
        <v>93</v>
      </c>
      <c r="O310" s="68" t="s">
        <v>93</v>
      </c>
      <c r="P310" s="68" t="s">
        <v>93</v>
      </c>
      <c r="Q310" s="68" t="s">
        <v>93</v>
      </c>
      <c r="R310" s="68" t="s">
        <v>93</v>
      </c>
      <c r="S310" s="68" t="s">
        <v>93</v>
      </c>
      <c r="T310" s="68" t="s">
        <v>93</v>
      </c>
      <c r="U310" s="68" t="s">
        <v>93</v>
      </c>
      <c r="V310" s="68" t="s">
        <v>93</v>
      </c>
      <c r="W310" s="68" t="s">
        <v>93</v>
      </c>
      <c r="X310" s="68" t="s">
        <v>93</v>
      </c>
      <c r="Y310" s="68" t="s">
        <v>93</v>
      </c>
      <c r="Z310" s="68" t="s">
        <v>94</v>
      </c>
      <c r="AA310" s="68" t="s">
        <v>93</v>
      </c>
      <c r="AB310" s="68" t="s">
        <v>93</v>
      </c>
      <c r="AC310" s="68" t="s">
        <v>93</v>
      </c>
      <c r="AD310" s="68" t="s">
        <v>93</v>
      </c>
      <c r="AE310" s="68" t="s">
        <v>93</v>
      </c>
      <c r="AF310" s="68" t="s">
        <v>93</v>
      </c>
      <c r="AG310" s="68" t="s">
        <v>93</v>
      </c>
      <c r="AH310" s="68" t="s">
        <v>93</v>
      </c>
      <c r="AI310" s="68" t="s">
        <v>93</v>
      </c>
      <c r="AJ310" s="68" t="s">
        <v>93</v>
      </c>
      <c r="AK310" s="68" t="s">
        <v>93</v>
      </c>
      <c r="AL310" s="68" t="s">
        <v>93</v>
      </c>
      <c r="AM310" s="68" t="s">
        <v>93</v>
      </c>
      <c r="AN310" s="68" t="s">
        <v>93</v>
      </c>
      <c r="AO310" s="68" t="s">
        <v>93</v>
      </c>
      <c r="AP310" s="68" t="s">
        <v>93</v>
      </c>
      <c r="AQ310" s="68" t="s">
        <v>93</v>
      </c>
      <c r="AR310" s="68" t="s">
        <v>93</v>
      </c>
      <c r="AS310" s="68" t="s">
        <v>93</v>
      </c>
      <c r="AT310" s="68" t="s">
        <v>93</v>
      </c>
      <c r="AU310" s="68" t="s">
        <v>93</v>
      </c>
      <c r="AV310" s="68" t="s">
        <v>93</v>
      </c>
      <c r="AW310" s="68" t="s">
        <v>93</v>
      </c>
      <c r="AX310" s="68" t="s">
        <v>93</v>
      </c>
      <c r="AY310" s="68" t="s">
        <v>93</v>
      </c>
      <c r="AZ310" s="68" t="s">
        <v>93</v>
      </c>
      <c r="BA310" s="68" t="s">
        <v>93</v>
      </c>
      <c r="BB310" s="68" t="s">
        <v>93</v>
      </c>
      <c r="BC310" s="68" t="s">
        <v>93</v>
      </c>
      <c r="BD310" s="68" t="s">
        <v>93</v>
      </c>
      <c r="BE310" s="68" t="s">
        <v>93</v>
      </c>
      <c r="BF310" s="68" t="s">
        <v>93</v>
      </c>
      <c r="BG310" s="68" t="s">
        <v>93</v>
      </c>
      <c r="BH310" s="68" t="s">
        <v>93</v>
      </c>
      <c r="BI310" s="68" t="s">
        <v>93</v>
      </c>
      <c r="BJ310" s="68" t="s">
        <v>93</v>
      </c>
      <c r="BK310" s="68" t="s">
        <v>93</v>
      </c>
      <c r="BL310" s="68" t="s">
        <v>93</v>
      </c>
      <c r="BM310" s="68" t="s">
        <v>93</v>
      </c>
      <c r="BN310" s="68" t="s">
        <v>93</v>
      </c>
      <c r="BO310" s="68" t="s">
        <v>93</v>
      </c>
      <c r="BP310" s="69" t="s">
        <v>93</v>
      </c>
    </row>
    <row r="311" spans="2:68" x14ac:dyDescent="0.25">
      <c r="B311" s="64">
        <v>10</v>
      </c>
      <c r="C311" s="65">
        <v>44</v>
      </c>
      <c r="D311" s="65" t="s">
        <v>98</v>
      </c>
      <c r="E311" s="66">
        <f>'[3]Master File'!B310</f>
        <v>46324</v>
      </c>
      <c r="F311" s="67" t="str">
        <f>'[3]Master File'!C310</f>
        <v>Explorer + 7pm</v>
      </c>
      <c r="G311" s="46"/>
      <c r="I311" s="68" t="s">
        <v>93</v>
      </c>
      <c r="J311" s="68" t="s">
        <v>93</v>
      </c>
      <c r="K311" s="68" t="s">
        <v>93</v>
      </c>
      <c r="L311" s="68" t="s">
        <v>94</v>
      </c>
      <c r="M311" s="68" t="s">
        <v>93</v>
      </c>
      <c r="N311" s="68" t="s">
        <v>93</v>
      </c>
      <c r="O311" s="68" t="s">
        <v>93</v>
      </c>
      <c r="P311" s="68" t="s">
        <v>93</v>
      </c>
      <c r="Q311" s="68" t="s">
        <v>93</v>
      </c>
      <c r="R311" s="68" t="s">
        <v>93</v>
      </c>
      <c r="S311" s="68" t="s">
        <v>93</v>
      </c>
      <c r="T311" s="68" t="s">
        <v>93</v>
      </c>
      <c r="U311" s="68" t="s">
        <v>93</v>
      </c>
      <c r="V311" s="68" t="s">
        <v>93</v>
      </c>
      <c r="W311" s="68" t="s">
        <v>93</v>
      </c>
      <c r="X311" s="68" t="s">
        <v>93</v>
      </c>
      <c r="Y311" s="68" t="s">
        <v>93</v>
      </c>
      <c r="Z311" s="68" t="s">
        <v>94</v>
      </c>
      <c r="AA311" s="68" t="s">
        <v>93</v>
      </c>
      <c r="AB311" s="68" t="s">
        <v>93</v>
      </c>
      <c r="AC311" s="68" t="s">
        <v>93</v>
      </c>
      <c r="AD311" s="68" t="s">
        <v>93</v>
      </c>
      <c r="AE311" s="68" t="s">
        <v>93</v>
      </c>
      <c r="AF311" s="68" t="s">
        <v>93</v>
      </c>
      <c r="AG311" s="68" t="s">
        <v>93</v>
      </c>
      <c r="AH311" s="68" t="s">
        <v>93</v>
      </c>
      <c r="AI311" s="68" t="s">
        <v>93</v>
      </c>
      <c r="AJ311" s="68" t="s">
        <v>93</v>
      </c>
      <c r="AK311" s="68" t="s">
        <v>93</v>
      </c>
      <c r="AL311" s="68" t="s">
        <v>93</v>
      </c>
      <c r="AM311" s="68" t="s">
        <v>93</v>
      </c>
      <c r="AN311" s="68" t="s">
        <v>93</v>
      </c>
      <c r="AO311" s="68" t="s">
        <v>93</v>
      </c>
      <c r="AP311" s="68" t="s">
        <v>93</v>
      </c>
      <c r="AQ311" s="68" t="s">
        <v>93</v>
      </c>
      <c r="AR311" s="68" t="s">
        <v>93</v>
      </c>
      <c r="AS311" s="68" t="s">
        <v>93</v>
      </c>
      <c r="AT311" s="68" t="s">
        <v>93</v>
      </c>
      <c r="AU311" s="68" t="s">
        <v>93</v>
      </c>
      <c r="AV311" s="68" t="s">
        <v>93</v>
      </c>
      <c r="AW311" s="68" t="s">
        <v>93</v>
      </c>
      <c r="AX311" s="68" t="s">
        <v>93</v>
      </c>
      <c r="AY311" s="68" t="s">
        <v>93</v>
      </c>
      <c r="AZ311" s="68" t="s">
        <v>93</v>
      </c>
      <c r="BA311" s="68" t="s">
        <v>93</v>
      </c>
      <c r="BB311" s="68" t="s">
        <v>93</v>
      </c>
      <c r="BC311" s="68" t="s">
        <v>93</v>
      </c>
      <c r="BD311" s="68" t="s">
        <v>93</v>
      </c>
      <c r="BE311" s="68" t="s">
        <v>93</v>
      </c>
      <c r="BF311" s="68" t="s">
        <v>93</v>
      </c>
      <c r="BG311" s="68" t="s">
        <v>93</v>
      </c>
      <c r="BH311" s="68" t="s">
        <v>93</v>
      </c>
      <c r="BI311" s="68" t="s">
        <v>93</v>
      </c>
      <c r="BJ311" s="68" t="s">
        <v>93</v>
      </c>
      <c r="BK311" s="68" t="s">
        <v>93</v>
      </c>
      <c r="BL311" s="68" t="s">
        <v>93</v>
      </c>
      <c r="BM311" s="68" t="s">
        <v>93</v>
      </c>
      <c r="BN311" s="68" t="s">
        <v>93</v>
      </c>
      <c r="BO311" s="68" t="s">
        <v>93</v>
      </c>
      <c r="BP311" s="69" t="s">
        <v>93</v>
      </c>
    </row>
    <row r="312" spans="2:68" x14ac:dyDescent="0.25">
      <c r="B312" s="64">
        <v>10</v>
      </c>
      <c r="C312" s="65">
        <v>44</v>
      </c>
      <c r="D312" s="65" t="s">
        <v>99</v>
      </c>
      <c r="E312" s="66">
        <f>'[3]Master File'!B311</f>
        <v>46325</v>
      </c>
      <c r="F312" s="67" t="str">
        <f>'[3]Master File'!C311</f>
        <v>Explorer + 7pm</v>
      </c>
      <c r="G312" s="46"/>
      <c r="I312" s="68" t="s">
        <v>93</v>
      </c>
      <c r="J312" s="68" t="s">
        <v>93</v>
      </c>
      <c r="K312" s="68" t="s">
        <v>93</v>
      </c>
      <c r="L312" s="68" t="s">
        <v>94</v>
      </c>
      <c r="M312" s="68" t="s">
        <v>93</v>
      </c>
      <c r="N312" s="68" t="s">
        <v>93</v>
      </c>
      <c r="O312" s="68" t="s">
        <v>93</v>
      </c>
      <c r="P312" s="68" t="s">
        <v>93</v>
      </c>
      <c r="Q312" s="68" t="s">
        <v>93</v>
      </c>
      <c r="R312" s="68" t="s">
        <v>93</v>
      </c>
      <c r="S312" s="68" t="s">
        <v>93</v>
      </c>
      <c r="T312" s="68" t="s">
        <v>93</v>
      </c>
      <c r="U312" s="68" t="s">
        <v>93</v>
      </c>
      <c r="V312" s="68" t="s">
        <v>93</v>
      </c>
      <c r="W312" s="68" t="s">
        <v>93</v>
      </c>
      <c r="X312" s="68" t="s">
        <v>93</v>
      </c>
      <c r="Y312" s="68" t="s">
        <v>93</v>
      </c>
      <c r="Z312" s="68" t="s">
        <v>94</v>
      </c>
      <c r="AA312" s="68" t="s">
        <v>93</v>
      </c>
      <c r="AB312" s="68" t="s">
        <v>93</v>
      </c>
      <c r="AC312" s="68" t="s">
        <v>93</v>
      </c>
      <c r="AD312" s="68" t="s">
        <v>93</v>
      </c>
      <c r="AE312" s="68" t="s">
        <v>93</v>
      </c>
      <c r="AF312" s="68" t="s">
        <v>93</v>
      </c>
      <c r="AG312" s="68" t="s">
        <v>93</v>
      </c>
      <c r="AH312" s="68" t="s">
        <v>93</v>
      </c>
      <c r="AI312" s="68" t="s">
        <v>93</v>
      </c>
      <c r="AJ312" s="68" t="s">
        <v>93</v>
      </c>
      <c r="AK312" s="68" t="s">
        <v>93</v>
      </c>
      <c r="AL312" s="68" t="s">
        <v>93</v>
      </c>
      <c r="AM312" s="68" t="s">
        <v>93</v>
      </c>
      <c r="AN312" s="68" t="s">
        <v>93</v>
      </c>
      <c r="AO312" s="68" t="s">
        <v>93</v>
      </c>
      <c r="AP312" s="68" t="s">
        <v>93</v>
      </c>
      <c r="AQ312" s="68" t="s">
        <v>93</v>
      </c>
      <c r="AR312" s="68" t="s">
        <v>93</v>
      </c>
      <c r="AS312" s="68" t="s">
        <v>93</v>
      </c>
      <c r="AT312" s="68" t="s">
        <v>93</v>
      </c>
      <c r="AU312" s="68" t="s">
        <v>93</v>
      </c>
      <c r="AV312" s="68" t="s">
        <v>93</v>
      </c>
      <c r="AW312" s="68" t="s">
        <v>93</v>
      </c>
      <c r="AX312" s="68" t="s">
        <v>93</v>
      </c>
      <c r="AY312" s="68" t="s">
        <v>93</v>
      </c>
      <c r="AZ312" s="68" t="s">
        <v>93</v>
      </c>
      <c r="BA312" s="68" t="s">
        <v>93</v>
      </c>
      <c r="BB312" s="68" t="s">
        <v>93</v>
      </c>
      <c r="BC312" s="68" t="s">
        <v>93</v>
      </c>
      <c r="BD312" s="68" t="s">
        <v>93</v>
      </c>
      <c r="BE312" s="68" t="s">
        <v>93</v>
      </c>
      <c r="BF312" s="68" t="s">
        <v>93</v>
      </c>
      <c r="BG312" s="68" t="s">
        <v>93</v>
      </c>
      <c r="BH312" s="68" t="s">
        <v>93</v>
      </c>
      <c r="BI312" s="68" t="s">
        <v>93</v>
      </c>
      <c r="BJ312" s="68" t="s">
        <v>93</v>
      </c>
      <c r="BK312" s="68" t="s">
        <v>93</v>
      </c>
      <c r="BL312" s="68" t="s">
        <v>93</v>
      </c>
      <c r="BM312" s="68" t="s">
        <v>93</v>
      </c>
      <c r="BN312" s="68" t="s">
        <v>93</v>
      </c>
      <c r="BO312" s="68" t="s">
        <v>93</v>
      </c>
      <c r="BP312" s="69" t="s">
        <v>93</v>
      </c>
    </row>
    <row r="313" spans="2:68" x14ac:dyDescent="0.25">
      <c r="B313" s="64">
        <v>10</v>
      </c>
      <c r="C313" s="65">
        <v>44</v>
      </c>
      <c r="D313" s="65" t="s">
        <v>100</v>
      </c>
      <c r="E313" s="66">
        <f>'[3]Master File'!B312</f>
        <v>46326</v>
      </c>
      <c r="F313" s="67" t="str">
        <f>'[3]Master File'!C312</f>
        <v>Explorer + 7pm</v>
      </c>
      <c r="G313" s="46"/>
      <c r="I313" s="74" t="s">
        <v>93</v>
      </c>
      <c r="J313" s="74" t="s">
        <v>93</v>
      </c>
      <c r="K313" s="74" t="s">
        <v>93</v>
      </c>
      <c r="L313" s="68" t="s">
        <v>94</v>
      </c>
      <c r="M313" s="74" t="s">
        <v>93</v>
      </c>
      <c r="N313" s="74" t="s">
        <v>93</v>
      </c>
      <c r="O313" s="74" t="s">
        <v>93</v>
      </c>
      <c r="P313" s="74" t="s">
        <v>93</v>
      </c>
      <c r="Q313" s="74" t="s">
        <v>93</v>
      </c>
      <c r="R313" s="74" t="s">
        <v>93</v>
      </c>
      <c r="S313" s="74" t="s">
        <v>93</v>
      </c>
      <c r="T313" s="74" t="s">
        <v>93</v>
      </c>
      <c r="U313" s="74" t="s">
        <v>93</v>
      </c>
      <c r="V313" s="74" t="s">
        <v>93</v>
      </c>
      <c r="W313" s="74" t="s">
        <v>93</v>
      </c>
      <c r="X313" s="74" t="s">
        <v>93</v>
      </c>
      <c r="Y313" s="74" t="s">
        <v>93</v>
      </c>
      <c r="Z313" s="68" t="s">
        <v>94</v>
      </c>
      <c r="AA313" s="74" t="s">
        <v>93</v>
      </c>
      <c r="AB313" s="74" t="s">
        <v>93</v>
      </c>
      <c r="AC313" s="74" t="s">
        <v>93</v>
      </c>
      <c r="AD313" s="74" t="s">
        <v>94</v>
      </c>
      <c r="AE313" s="74" t="s">
        <v>94</v>
      </c>
      <c r="AF313" s="74" t="s">
        <v>93</v>
      </c>
      <c r="AG313" s="74" t="s">
        <v>93</v>
      </c>
      <c r="AH313" s="74" t="s">
        <v>93</v>
      </c>
      <c r="AI313" s="74" t="s">
        <v>93</v>
      </c>
      <c r="AJ313" s="74" t="s">
        <v>93</v>
      </c>
      <c r="AK313" s="74" t="s">
        <v>93</v>
      </c>
      <c r="AL313" s="74" t="s">
        <v>93</v>
      </c>
      <c r="AM313" s="74" t="s">
        <v>93</v>
      </c>
      <c r="AN313" s="74" t="s">
        <v>93</v>
      </c>
      <c r="AO313" s="74" t="s">
        <v>93</v>
      </c>
      <c r="AP313" s="74" t="s">
        <v>93</v>
      </c>
      <c r="AQ313" s="74" t="s">
        <v>93</v>
      </c>
      <c r="AR313" s="74" t="s">
        <v>93</v>
      </c>
      <c r="AS313" s="74" t="s">
        <v>93</v>
      </c>
      <c r="AT313" s="74" t="s">
        <v>93</v>
      </c>
      <c r="AU313" s="74" t="s">
        <v>93</v>
      </c>
      <c r="AV313" s="74" t="s">
        <v>93</v>
      </c>
      <c r="AW313" s="74" t="s">
        <v>93</v>
      </c>
      <c r="AX313" s="74" t="s">
        <v>93</v>
      </c>
      <c r="AY313" s="74" t="s">
        <v>93</v>
      </c>
      <c r="AZ313" s="74" t="s">
        <v>93</v>
      </c>
      <c r="BA313" s="74" t="s">
        <v>93</v>
      </c>
      <c r="BB313" s="74" t="s">
        <v>93</v>
      </c>
      <c r="BC313" s="74" t="s">
        <v>93</v>
      </c>
      <c r="BD313" s="74" t="s">
        <v>93</v>
      </c>
      <c r="BE313" s="74" t="s">
        <v>93</v>
      </c>
      <c r="BF313" s="74" t="s">
        <v>93</v>
      </c>
      <c r="BG313" s="74" t="s">
        <v>93</v>
      </c>
      <c r="BH313" s="74" t="s">
        <v>93</v>
      </c>
      <c r="BI313" s="74" t="s">
        <v>93</v>
      </c>
      <c r="BJ313" s="74" t="s">
        <v>93</v>
      </c>
      <c r="BK313" s="74" t="s">
        <v>93</v>
      </c>
      <c r="BL313" s="74" t="s">
        <v>93</v>
      </c>
      <c r="BM313" s="74" t="s">
        <v>93</v>
      </c>
      <c r="BN313" s="74" t="s">
        <v>93</v>
      </c>
      <c r="BO313" s="74" t="s">
        <v>93</v>
      </c>
      <c r="BP313" s="75" t="s">
        <v>93</v>
      </c>
    </row>
    <row r="314" spans="2:68" x14ac:dyDescent="0.25">
      <c r="B314" s="64">
        <v>11</v>
      </c>
      <c r="C314" s="65">
        <v>45</v>
      </c>
      <c r="D314" s="65" t="s">
        <v>92</v>
      </c>
      <c r="E314" s="66">
        <f>'[3]Master File'!B313</f>
        <v>46327</v>
      </c>
      <c r="F314" s="67" t="str">
        <f>'[3]Master File'!C313</f>
        <v>Explorer + 7pm</v>
      </c>
      <c r="G314" s="46"/>
      <c r="I314" s="74" t="s">
        <v>93</v>
      </c>
      <c r="J314" s="74" t="s">
        <v>93</v>
      </c>
      <c r="K314" s="74" t="s">
        <v>93</v>
      </c>
      <c r="L314" s="68" t="s">
        <v>94</v>
      </c>
      <c r="M314" s="74" t="s">
        <v>93</v>
      </c>
      <c r="N314" s="74" t="s">
        <v>93</v>
      </c>
      <c r="O314" s="74" t="s">
        <v>93</v>
      </c>
      <c r="P314" s="74" t="s">
        <v>93</v>
      </c>
      <c r="Q314" s="74" t="s">
        <v>93</v>
      </c>
      <c r="R314" s="74" t="s">
        <v>93</v>
      </c>
      <c r="S314" s="74" t="s">
        <v>93</v>
      </c>
      <c r="T314" s="74" t="s">
        <v>93</v>
      </c>
      <c r="U314" s="74" t="s">
        <v>93</v>
      </c>
      <c r="V314" s="74" t="s">
        <v>93</v>
      </c>
      <c r="W314" s="74" t="s">
        <v>93</v>
      </c>
      <c r="X314" s="74" t="s">
        <v>93</v>
      </c>
      <c r="Y314" s="74" t="s">
        <v>93</v>
      </c>
      <c r="Z314" s="68" t="s">
        <v>94</v>
      </c>
      <c r="AA314" s="74" t="s">
        <v>93</v>
      </c>
      <c r="AB314" s="74" t="s">
        <v>93</v>
      </c>
      <c r="AC314" s="74" t="s">
        <v>93</v>
      </c>
      <c r="AD314" s="74" t="s">
        <v>94</v>
      </c>
      <c r="AE314" s="74" t="s">
        <v>94</v>
      </c>
      <c r="AF314" s="74" t="s">
        <v>93</v>
      </c>
      <c r="AG314" s="74" t="s">
        <v>93</v>
      </c>
      <c r="AH314" s="74" t="s">
        <v>93</v>
      </c>
      <c r="AI314" s="74" t="s">
        <v>93</v>
      </c>
      <c r="AJ314" s="74" t="s">
        <v>93</v>
      </c>
      <c r="AK314" s="74" t="s">
        <v>93</v>
      </c>
      <c r="AL314" s="74" t="s">
        <v>93</v>
      </c>
      <c r="AM314" s="74" t="s">
        <v>93</v>
      </c>
      <c r="AN314" s="74" t="s">
        <v>93</v>
      </c>
      <c r="AO314" s="74" t="s">
        <v>93</v>
      </c>
      <c r="AP314" s="74" t="s">
        <v>93</v>
      </c>
      <c r="AQ314" s="74" t="s">
        <v>93</v>
      </c>
      <c r="AR314" s="74" t="s">
        <v>93</v>
      </c>
      <c r="AS314" s="74" t="s">
        <v>93</v>
      </c>
      <c r="AT314" s="74" t="s">
        <v>93</v>
      </c>
      <c r="AU314" s="74" t="s">
        <v>93</v>
      </c>
      <c r="AV314" s="74" t="s">
        <v>93</v>
      </c>
      <c r="AW314" s="74" t="s">
        <v>93</v>
      </c>
      <c r="AX314" s="74" t="s">
        <v>93</v>
      </c>
      <c r="AY314" s="74" t="s">
        <v>93</v>
      </c>
      <c r="AZ314" s="74" t="s">
        <v>93</v>
      </c>
      <c r="BA314" s="74" t="s">
        <v>93</v>
      </c>
      <c r="BB314" s="74" t="s">
        <v>93</v>
      </c>
      <c r="BC314" s="74" t="s">
        <v>93</v>
      </c>
      <c r="BD314" s="74" t="s">
        <v>93</v>
      </c>
      <c r="BE314" s="74" t="s">
        <v>93</v>
      </c>
      <c r="BF314" s="74" t="s">
        <v>93</v>
      </c>
      <c r="BG314" s="74" t="s">
        <v>93</v>
      </c>
      <c r="BH314" s="74" t="s">
        <v>93</v>
      </c>
      <c r="BI314" s="74" t="s">
        <v>93</v>
      </c>
      <c r="BJ314" s="74" t="s">
        <v>93</v>
      </c>
      <c r="BK314" s="74" t="s">
        <v>93</v>
      </c>
      <c r="BL314" s="74" t="s">
        <v>93</v>
      </c>
      <c r="BM314" s="74" t="s">
        <v>93</v>
      </c>
      <c r="BN314" s="74" t="s">
        <v>93</v>
      </c>
      <c r="BO314" s="74" t="s">
        <v>93</v>
      </c>
      <c r="BP314" s="75" t="s">
        <v>93</v>
      </c>
    </row>
    <row r="315" spans="2:68" x14ac:dyDescent="0.25">
      <c r="B315" s="64">
        <v>11</v>
      </c>
      <c r="C315" s="65">
        <v>45</v>
      </c>
      <c r="D315" s="65" t="s">
        <v>95</v>
      </c>
      <c r="E315" s="66">
        <f>'[3]Master File'!B314</f>
        <v>46328</v>
      </c>
      <c r="F315" s="67" t="str">
        <f>'[3]Master File'!C314</f>
        <v>Closed</v>
      </c>
      <c r="G315" s="46"/>
      <c r="I315" s="68" t="s">
        <v>93</v>
      </c>
      <c r="J315" s="68" t="s">
        <v>93</v>
      </c>
      <c r="K315" s="68" t="s">
        <v>93</v>
      </c>
      <c r="L315" s="68" t="s">
        <v>94</v>
      </c>
      <c r="M315" s="68" t="s">
        <v>93</v>
      </c>
      <c r="N315" s="68" t="s">
        <v>93</v>
      </c>
      <c r="O315" s="68" t="s">
        <v>93</v>
      </c>
      <c r="P315" s="68" t="s">
        <v>93</v>
      </c>
      <c r="Q315" s="68" t="s">
        <v>93</v>
      </c>
      <c r="R315" s="68" t="s">
        <v>93</v>
      </c>
      <c r="S315" s="68" t="s">
        <v>93</v>
      </c>
      <c r="T315" s="68" t="s">
        <v>93</v>
      </c>
      <c r="U315" s="68" t="s">
        <v>93</v>
      </c>
      <c r="V315" s="68" t="s">
        <v>93</v>
      </c>
      <c r="W315" s="68" t="s">
        <v>93</v>
      </c>
      <c r="X315" s="68" t="s">
        <v>93</v>
      </c>
      <c r="Y315" s="68" t="s">
        <v>93</v>
      </c>
      <c r="Z315" s="68" t="s">
        <v>94</v>
      </c>
      <c r="AA315" s="68" t="s">
        <v>93</v>
      </c>
      <c r="AB315" s="68" t="s">
        <v>93</v>
      </c>
      <c r="AC315" s="68" t="s">
        <v>93</v>
      </c>
      <c r="AD315" s="68" t="s">
        <v>93</v>
      </c>
      <c r="AE315" s="68" t="s">
        <v>93</v>
      </c>
      <c r="AF315" s="68" t="s">
        <v>93</v>
      </c>
      <c r="AG315" s="68" t="s">
        <v>93</v>
      </c>
      <c r="AH315" s="68" t="s">
        <v>93</v>
      </c>
      <c r="AI315" s="68" t="s">
        <v>93</v>
      </c>
      <c r="AJ315" s="68" t="s">
        <v>93</v>
      </c>
      <c r="AK315" s="68" t="s">
        <v>93</v>
      </c>
      <c r="AL315" s="68" t="s">
        <v>93</v>
      </c>
      <c r="AM315" s="68" t="s">
        <v>93</v>
      </c>
      <c r="AN315" s="68" t="s">
        <v>93</v>
      </c>
      <c r="AO315" s="68" t="s">
        <v>93</v>
      </c>
      <c r="AP315" s="68" t="s">
        <v>93</v>
      </c>
      <c r="AQ315" s="68" t="s">
        <v>93</v>
      </c>
      <c r="AR315" s="68" t="s">
        <v>93</v>
      </c>
      <c r="AS315" s="68" t="s">
        <v>93</v>
      </c>
      <c r="AT315" s="68" t="s">
        <v>93</v>
      </c>
      <c r="AU315" s="68" t="s">
        <v>93</v>
      </c>
      <c r="AV315" s="68" t="s">
        <v>93</v>
      </c>
      <c r="AW315" s="68" t="s">
        <v>93</v>
      </c>
      <c r="AX315" s="68" t="s">
        <v>93</v>
      </c>
      <c r="AY315" s="68" t="s">
        <v>93</v>
      </c>
      <c r="AZ315" s="68" t="s">
        <v>93</v>
      </c>
      <c r="BA315" s="68" t="s">
        <v>93</v>
      </c>
      <c r="BB315" s="68" t="s">
        <v>93</v>
      </c>
      <c r="BC315" s="68" t="s">
        <v>93</v>
      </c>
      <c r="BD315" s="68" t="s">
        <v>93</v>
      </c>
      <c r="BE315" s="68" t="s">
        <v>93</v>
      </c>
      <c r="BF315" s="68" t="s">
        <v>93</v>
      </c>
      <c r="BG315" s="68" t="s">
        <v>93</v>
      </c>
      <c r="BH315" s="68" t="s">
        <v>93</v>
      </c>
      <c r="BI315" s="68" t="s">
        <v>93</v>
      </c>
      <c r="BJ315" s="68" t="s">
        <v>93</v>
      </c>
      <c r="BK315" s="68" t="s">
        <v>93</v>
      </c>
      <c r="BL315" s="68" t="s">
        <v>93</v>
      </c>
      <c r="BM315" s="68" t="s">
        <v>93</v>
      </c>
      <c r="BN315" s="68" t="s">
        <v>93</v>
      </c>
      <c r="BO315" s="68" t="s">
        <v>93</v>
      </c>
      <c r="BP315" s="69" t="s">
        <v>93</v>
      </c>
    </row>
    <row r="316" spans="2:68" x14ac:dyDescent="0.25">
      <c r="B316" s="64">
        <v>11</v>
      </c>
      <c r="C316" s="65">
        <v>45</v>
      </c>
      <c r="D316" s="65" t="s">
        <v>96</v>
      </c>
      <c r="E316" s="66">
        <f>'[3]Master File'!B315</f>
        <v>46329</v>
      </c>
      <c r="F316" s="67" t="str">
        <f>'[3]Master File'!C315</f>
        <v>Closed</v>
      </c>
      <c r="G316" s="46"/>
      <c r="I316" s="68" t="s">
        <v>93</v>
      </c>
      <c r="J316" s="68" t="s">
        <v>93</v>
      </c>
      <c r="K316" s="68" t="s">
        <v>93</v>
      </c>
      <c r="L316" s="68" t="s">
        <v>94</v>
      </c>
      <c r="M316" s="68" t="s">
        <v>93</v>
      </c>
      <c r="N316" s="68" t="s">
        <v>93</v>
      </c>
      <c r="O316" s="68" t="s">
        <v>93</v>
      </c>
      <c r="P316" s="68" t="s">
        <v>93</v>
      </c>
      <c r="Q316" s="68" t="s">
        <v>93</v>
      </c>
      <c r="R316" s="68" t="s">
        <v>93</v>
      </c>
      <c r="S316" s="68" t="s">
        <v>93</v>
      </c>
      <c r="T316" s="68" t="s">
        <v>93</v>
      </c>
      <c r="U316" s="68" t="s">
        <v>93</v>
      </c>
      <c r="V316" s="68" t="s">
        <v>93</v>
      </c>
      <c r="W316" s="68" t="s">
        <v>93</v>
      </c>
      <c r="X316" s="68" t="s">
        <v>93</v>
      </c>
      <c r="Y316" s="68" t="s">
        <v>93</v>
      </c>
      <c r="Z316" s="68" t="s">
        <v>94</v>
      </c>
      <c r="AA316" s="68" t="s">
        <v>93</v>
      </c>
      <c r="AB316" s="68" t="s">
        <v>93</v>
      </c>
      <c r="AC316" s="68" t="s">
        <v>93</v>
      </c>
      <c r="AD316" s="68" t="s">
        <v>93</v>
      </c>
      <c r="AE316" s="68" t="s">
        <v>93</v>
      </c>
      <c r="AF316" s="68" t="s">
        <v>93</v>
      </c>
      <c r="AG316" s="68" t="s">
        <v>93</v>
      </c>
      <c r="AH316" s="68" t="s">
        <v>93</v>
      </c>
      <c r="AI316" s="68" t="s">
        <v>93</v>
      </c>
      <c r="AJ316" s="68" t="s">
        <v>93</v>
      </c>
      <c r="AK316" s="68" t="s">
        <v>93</v>
      </c>
      <c r="AL316" s="68" t="s">
        <v>93</v>
      </c>
      <c r="AM316" s="68" t="s">
        <v>93</v>
      </c>
      <c r="AN316" s="68" t="s">
        <v>93</v>
      </c>
      <c r="AO316" s="68" t="s">
        <v>93</v>
      </c>
      <c r="AP316" s="68" t="s">
        <v>93</v>
      </c>
      <c r="AQ316" s="68" t="s">
        <v>93</v>
      </c>
      <c r="AR316" s="68" t="s">
        <v>93</v>
      </c>
      <c r="AS316" s="68" t="s">
        <v>93</v>
      </c>
      <c r="AT316" s="68" t="s">
        <v>93</v>
      </c>
      <c r="AU316" s="68" t="s">
        <v>93</v>
      </c>
      <c r="AV316" s="68" t="s">
        <v>93</v>
      </c>
      <c r="AW316" s="68" t="s">
        <v>93</v>
      </c>
      <c r="AX316" s="68" t="s">
        <v>93</v>
      </c>
      <c r="AY316" s="68" t="s">
        <v>93</v>
      </c>
      <c r="AZ316" s="68" t="s">
        <v>93</v>
      </c>
      <c r="BA316" s="68" t="s">
        <v>93</v>
      </c>
      <c r="BB316" s="68" t="s">
        <v>93</v>
      </c>
      <c r="BC316" s="68" t="s">
        <v>93</v>
      </c>
      <c r="BD316" s="68" t="s">
        <v>93</v>
      </c>
      <c r="BE316" s="68" t="s">
        <v>93</v>
      </c>
      <c r="BF316" s="68" t="s">
        <v>93</v>
      </c>
      <c r="BG316" s="68" t="s">
        <v>93</v>
      </c>
      <c r="BH316" s="68" t="s">
        <v>93</v>
      </c>
      <c r="BI316" s="68" t="s">
        <v>93</v>
      </c>
      <c r="BJ316" s="68" t="s">
        <v>93</v>
      </c>
      <c r="BK316" s="68" t="s">
        <v>93</v>
      </c>
      <c r="BL316" s="68" t="s">
        <v>93</v>
      </c>
      <c r="BM316" s="68" t="s">
        <v>93</v>
      </c>
      <c r="BN316" s="68" t="s">
        <v>93</v>
      </c>
      <c r="BO316" s="68" t="s">
        <v>93</v>
      </c>
      <c r="BP316" s="69" t="s">
        <v>93</v>
      </c>
    </row>
    <row r="317" spans="2:68" x14ac:dyDescent="0.25">
      <c r="B317" s="64">
        <v>11</v>
      </c>
      <c r="C317" s="65">
        <v>45</v>
      </c>
      <c r="D317" s="65" t="s">
        <v>97</v>
      </c>
      <c r="E317" s="66">
        <f>'[3]Master File'!B316</f>
        <v>46330</v>
      </c>
      <c r="F317" s="67" t="str">
        <f>'[3]Master File'!C316</f>
        <v>Closed</v>
      </c>
      <c r="G317" s="46"/>
      <c r="I317" s="68" t="s">
        <v>93</v>
      </c>
      <c r="J317" s="68" t="s">
        <v>93</v>
      </c>
      <c r="K317" s="68" t="s">
        <v>93</v>
      </c>
      <c r="L317" s="68" t="s">
        <v>94</v>
      </c>
      <c r="M317" s="68" t="s">
        <v>93</v>
      </c>
      <c r="N317" s="68" t="s">
        <v>93</v>
      </c>
      <c r="O317" s="68" t="s">
        <v>93</v>
      </c>
      <c r="P317" s="68" t="s">
        <v>93</v>
      </c>
      <c r="Q317" s="68" t="s">
        <v>93</v>
      </c>
      <c r="R317" s="68" t="s">
        <v>93</v>
      </c>
      <c r="S317" s="68" t="s">
        <v>93</v>
      </c>
      <c r="T317" s="68" t="s">
        <v>93</v>
      </c>
      <c r="U317" s="68" t="s">
        <v>93</v>
      </c>
      <c r="V317" s="68" t="s">
        <v>93</v>
      </c>
      <c r="W317" s="68" t="s">
        <v>93</v>
      </c>
      <c r="X317" s="68" t="s">
        <v>93</v>
      </c>
      <c r="Y317" s="68" t="s">
        <v>93</v>
      </c>
      <c r="Z317" s="68" t="s">
        <v>94</v>
      </c>
      <c r="AA317" s="68" t="s">
        <v>93</v>
      </c>
      <c r="AB317" s="68" t="s">
        <v>93</v>
      </c>
      <c r="AC317" s="68" t="s">
        <v>93</v>
      </c>
      <c r="AD317" s="68" t="s">
        <v>93</v>
      </c>
      <c r="AE317" s="68" t="s">
        <v>93</v>
      </c>
      <c r="AF317" s="68" t="s">
        <v>93</v>
      </c>
      <c r="AG317" s="68" t="s">
        <v>93</v>
      </c>
      <c r="AH317" s="68" t="s">
        <v>93</v>
      </c>
      <c r="AI317" s="68" t="s">
        <v>93</v>
      </c>
      <c r="AJ317" s="68" t="s">
        <v>93</v>
      </c>
      <c r="AK317" s="68" t="s">
        <v>93</v>
      </c>
      <c r="AL317" s="68" t="s">
        <v>93</v>
      </c>
      <c r="AM317" s="68" t="s">
        <v>93</v>
      </c>
      <c r="AN317" s="68" t="s">
        <v>93</v>
      </c>
      <c r="AO317" s="68" t="s">
        <v>93</v>
      </c>
      <c r="AP317" s="68" t="s">
        <v>93</v>
      </c>
      <c r="AQ317" s="68" t="s">
        <v>93</v>
      </c>
      <c r="AR317" s="68" t="s">
        <v>93</v>
      </c>
      <c r="AS317" s="68" t="s">
        <v>93</v>
      </c>
      <c r="AT317" s="68" t="s">
        <v>93</v>
      </c>
      <c r="AU317" s="68" t="s">
        <v>93</v>
      </c>
      <c r="AV317" s="68" t="s">
        <v>93</v>
      </c>
      <c r="AW317" s="68" t="s">
        <v>93</v>
      </c>
      <c r="AX317" s="68" t="s">
        <v>93</v>
      </c>
      <c r="AY317" s="68" t="s">
        <v>93</v>
      </c>
      <c r="AZ317" s="68" t="s">
        <v>93</v>
      </c>
      <c r="BA317" s="68" t="s">
        <v>93</v>
      </c>
      <c r="BB317" s="68" t="s">
        <v>93</v>
      </c>
      <c r="BC317" s="68" t="s">
        <v>93</v>
      </c>
      <c r="BD317" s="68" t="s">
        <v>93</v>
      </c>
      <c r="BE317" s="68" t="s">
        <v>93</v>
      </c>
      <c r="BF317" s="68" t="s">
        <v>93</v>
      </c>
      <c r="BG317" s="68" t="s">
        <v>93</v>
      </c>
      <c r="BH317" s="68" t="s">
        <v>93</v>
      </c>
      <c r="BI317" s="68" t="s">
        <v>93</v>
      </c>
      <c r="BJ317" s="68" t="s">
        <v>93</v>
      </c>
      <c r="BK317" s="68" t="s">
        <v>93</v>
      </c>
      <c r="BL317" s="68" t="s">
        <v>93</v>
      </c>
      <c r="BM317" s="68" t="s">
        <v>93</v>
      </c>
      <c r="BN317" s="68" t="s">
        <v>93</v>
      </c>
      <c r="BO317" s="68" t="s">
        <v>93</v>
      </c>
      <c r="BP317" s="69" t="s">
        <v>93</v>
      </c>
    </row>
    <row r="318" spans="2:68" x14ac:dyDescent="0.25">
      <c r="B318" s="64">
        <v>11</v>
      </c>
      <c r="C318" s="65">
        <v>45</v>
      </c>
      <c r="D318" s="65" t="s">
        <v>98</v>
      </c>
      <c r="E318" s="66">
        <f>'[3]Master File'!B317</f>
        <v>46331</v>
      </c>
      <c r="F318" s="67" t="str">
        <f>'[3]Master File'!C317</f>
        <v>Closed</v>
      </c>
      <c r="G318" s="46"/>
      <c r="I318" s="68" t="s">
        <v>93</v>
      </c>
      <c r="J318" s="68" t="s">
        <v>93</v>
      </c>
      <c r="K318" s="68" t="s">
        <v>93</v>
      </c>
      <c r="L318" s="68" t="s">
        <v>94</v>
      </c>
      <c r="M318" s="68" t="s">
        <v>93</v>
      </c>
      <c r="N318" s="68" t="s">
        <v>93</v>
      </c>
      <c r="O318" s="68" t="s">
        <v>93</v>
      </c>
      <c r="P318" s="68" t="s">
        <v>93</v>
      </c>
      <c r="Q318" s="68" t="s">
        <v>93</v>
      </c>
      <c r="R318" s="68" t="s">
        <v>93</v>
      </c>
      <c r="S318" s="68" t="s">
        <v>93</v>
      </c>
      <c r="T318" s="68" t="s">
        <v>93</v>
      </c>
      <c r="U318" s="68" t="s">
        <v>93</v>
      </c>
      <c r="V318" s="68" t="s">
        <v>93</v>
      </c>
      <c r="W318" s="68" t="s">
        <v>93</v>
      </c>
      <c r="X318" s="68" t="s">
        <v>93</v>
      </c>
      <c r="Y318" s="68" t="s">
        <v>93</v>
      </c>
      <c r="Z318" s="68" t="s">
        <v>94</v>
      </c>
      <c r="AA318" s="68" t="s">
        <v>93</v>
      </c>
      <c r="AB318" s="68" t="s">
        <v>93</v>
      </c>
      <c r="AC318" s="68" t="s">
        <v>93</v>
      </c>
      <c r="AD318" s="68" t="s">
        <v>93</v>
      </c>
      <c r="AE318" s="68" t="s">
        <v>93</v>
      </c>
      <c r="AF318" s="68" t="s">
        <v>93</v>
      </c>
      <c r="AG318" s="68" t="s">
        <v>93</v>
      </c>
      <c r="AH318" s="68" t="s">
        <v>93</v>
      </c>
      <c r="AI318" s="68" t="s">
        <v>93</v>
      </c>
      <c r="AJ318" s="68" t="s">
        <v>93</v>
      </c>
      <c r="AK318" s="68" t="s">
        <v>93</v>
      </c>
      <c r="AL318" s="68" t="s">
        <v>93</v>
      </c>
      <c r="AM318" s="68" t="s">
        <v>93</v>
      </c>
      <c r="AN318" s="68" t="s">
        <v>93</v>
      </c>
      <c r="AO318" s="68" t="s">
        <v>93</v>
      </c>
      <c r="AP318" s="68" t="s">
        <v>93</v>
      </c>
      <c r="AQ318" s="68" t="s">
        <v>93</v>
      </c>
      <c r="AR318" s="68" t="s">
        <v>93</v>
      </c>
      <c r="AS318" s="68" t="s">
        <v>93</v>
      </c>
      <c r="AT318" s="68" t="s">
        <v>93</v>
      </c>
      <c r="AU318" s="68" t="s">
        <v>93</v>
      </c>
      <c r="AV318" s="68" t="s">
        <v>93</v>
      </c>
      <c r="AW318" s="68" t="s">
        <v>93</v>
      </c>
      <c r="AX318" s="68" t="s">
        <v>93</v>
      </c>
      <c r="AY318" s="68" t="s">
        <v>93</v>
      </c>
      <c r="AZ318" s="68" t="s">
        <v>93</v>
      </c>
      <c r="BA318" s="68" t="s">
        <v>93</v>
      </c>
      <c r="BB318" s="68" t="s">
        <v>93</v>
      </c>
      <c r="BC318" s="68" t="s">
        <v>93</v>
      </c>
      <c r="BD318" s="68" t="s">
        <v>93</v>
      </c>
      <c r="BE318" s="68" t="s">
        <v>93</v>
      </c>
      <c r="BF318" s="68" t="s">
        <v>93</v>
      </c>
      <c r="BG318" s="68" t="s">
        <v>93</v>
      </c>
      <c r="BH318" s="68" t="s">
        <v>93</v>
      </c>
      <c r="BI318" s="68" t="s">
        <v>93</v>
      </c>
      <c r="BJ318" s="68" t="s">
        <v>93</v>
      </c>
      <c r="BK318" s="68" t="s">
        <v>93</v>
      </c>
      <c r="BL318" s="68" t="s">
        <v>93</v>
      </c>
      <c r="BM318" s="68" t="s">
        <v>93</v>
      </c>
      <c r="BN318" s="68" t="s">
        <v>93</v>
      </c>
      <c r="BO318" s="68" t="s">
        <v>93</v>
      </c>
      <c r="BP318" s="69" t="s">
        <v>93</v>
      </c>
    </row>
    <row r="319" spans="2:68" x14ac:dyDescent="0.25">
      <c r="B319" s="64">
        <v>11</v>
      </c>
      <c r="C319" s="65">
        <v>45</v>
      </c>
      <c r="D319" s="65" t="s">
        <v>99</v>
      </c>
      <c r="E319" s="66">
        <f>'[3]Master File'!B318</f>
        <v>46332</v>
      </c>
      <c r="F319" s="67" t="str">
        <f>'[3]Master File'!C318</f>
        <v>Closed</v>
      </c>
      <c r="G319" s="46"/>
      <c r="I319" s="68" t="s">
        <v>93</v>
      </c>
      <c r="J319" s="68" t="s">
        <v>93</v>
      </c>
      <c r="K319" s="68" t="s">
        <v>93</v>
      </c>
      <c r="L319" s="68" t="s">
        <v>94</v>
      </c>
      <c r="M319" s="68" t="s">
        <v>93</v>
      </c>
      <c r="N319" s="68" t="s">
        <v>93</v>
      </c>
      <c r="O319" s="68" t="s">
        <v>93</v>
      </c>
      <c r="P319" s="68" t="s">
        <v>93</v>
      </c>
      <c r="Q319" s="68" t="s">
        <v>93</v>
      </c>
      <c r="R319" s="68" t="s">
        <v>93</v>
      </c>
      <c r="S319" s="68" t="s">
        <v>93</v>
      </c>
      <c r="T319" s="68" t="s">
        <v>93</v>
      </c>
      <c r="U319" s="68" t="s">
        <v>93</v>
      </c>
      <c r="V319" s="68" t="s">
        <v>93</v>
      </c>
      <c r="W319" s="68" t="s">
        <v>93</v>
      </c>
      <c r="X319" s="68" t="s">
        <v>93</v>
      </c>
      <c r="Y319" s="68" t="s">
        <v>93</v>
      </c>
      <c r="Z319" s="68" t="s">
        <v>94</v>
      </c>
      <c r="AA319" s="68" t="s">
        <v>93</v>
      </c>
      <c r="AB319" s="68" t="s">
        <v>93</v>
      </c>
      <c r="AC319" s="68" t="s">
        <v>93</v>
      </c>
      <c r="AD319" s="68" t="s">
        <v>93</v>
      </c>
      <c r="AE319" s="68" t="s">
        <v>93</v>
      </c>
      <c r="AF319" s="68" t="s">
        <v>93</v>
      </c>
      <c r="AG319" s="68" t="s">
        <v>93</v>
      </c>
      <c r="AH319" s="68" t="s">
        <v>93</v>
      </c>
      <c r="AI319" s="68" t="s">
        <v>93</v>
      </c>
      <c r="AJ319" s="68" t="s">
        <v>93</v>
      </c>
      <c r="AK319" s="68" t="s">
        <v>93</v>
      </c>
      <c r="AL319" s="68" t="s">
        <v>93</v>
      </c>
      <c r="AM319" s="68" t="s">
        <v>93</v>
      </c>
      <c r="AN319" s="68" t="s">
        <v>93</v>
      </c>
      <c r="AO319" s="68" t="s">
        <v>93</v>
      </c>
      <c r="AP319" s="68" t="s">
        <v>93</v>
      </c>
      <c r="AQ319" s="68" t="s">
        <v>93</v>
      </c>
      <c r="AR319" s="68" t="s">
        <v>93</v>
      </c>
      <c r="AS319" s="68" t="s">
        <v>93</v>
      </c>
      <c r="AT319" s="68" t="s">
        <v>93</v>
      </c>
      <c r="AU319" s="68" t="s">
        <v>93</v>
      </c>
      <c r="AV319" s="68" t="s">
        <v>93</v>
      </c>
      <c r="AW319" s="68" t="s">
        <v>93</v>
      </c>
      <c r="AX319" s="68" t="s">
        <v>93</v>
      </c>
      <c r="AY319" s="68" t="s">
        <v>93</v>
      </c>
      <c r="AZ319" s="68" t="s">
        <v>93</v>
      </c>
      <c r="BA319" s="68" t="s">
        <v>93</v>
      </c>
      <c r="BB319" s="68" t="s">
        <v>93</v>
      </c>
      <c r="BC319" s="68" t="s">
        <v>93</v>
      </c>
      <c r="BD319" s="68" t="s">
        <v>93</v>
      </c>
      <c r="BE319" s="68" t="s">
        <v>93</v>
      </c>
      <c r="BF319" s="68" t="s">
        <v>93</v>
      </c>
      <c r="BG319" s="68" t="s">
        <v>93</v>
      </c>
      <c r="BH319" s="68" t="s">
        <v>93</v>
      </c>
      <c r="BI319" s="68" t="s">
        <v>93</v>
      </c>
      <c r="BJ319" s="68" t="s">
        <v>93</v>
      </c>
      <c r="BK319" s="68" t="s">
        <v>93</v>
      </c>
      <c r="BL319" s="68" t="s">
        <v>93</v>
      </c>
      <c r="BM319" s="68" t="s">
        <v>93</v>
      </c>
      <c r="BN319" s="68" t="s">
        <v>93</v>
      </c>
      <c r="BO319" s="68" t="s">
        <v>93</v>
      </c>
      <c r="BP319" s="69" t="s">
        <v>93</v>
      </c>
    </row>
    <row r="320" spans="2:68" x14ac:dyDescent="0.25">
      <c r="B320" s="64">
        <v>11</v>
      </c>
      <c r="C320" s="65">
        <v>45</v>
      </c>
      <c r="D320" s="65" t="s">
        <v>100</v>
      </c>
      <c r="E320" s="66">
        <f>'[3]Master File'!B319</f>
        <v>46333</v>
      </c>
      <c r="F320" s="67" t="str">
        <f>'[3]Master File'!C319</f>
        <v>Explorer 5PM</v>
      </c>
      <c r="G320" s="46"/>
      <c r="I320" s="74" t="s">
        <v>93</v>
      </c>
      <c r="J320" s="74" t="s">
        <v>93</v>
      </c>
      <c r="K320" s="74" t="s">
        <v>93</v>
      </c>
      <c r="L320" s="68" t="s">
        <v>94</v>
      </c>
      <c r="M320" s="74" t="s">
        <v>93</v>
      </c>
      <c r="N320" s="74" t="s">
        <v>93</v>
      </c>
      <c r="O320" s="74" t="s">
        <v>93</v>
      </c>
      <c r="P320" s="74" t="s">
        <v>93</v>
      </c>
      <c r="Q320" s="74" t="s">
        <v>93</v>
      </c>
      <c r="R320" s="74" t="s">
        <v>93</v>
      </c>
      <c r="S320" s="74" t="s">
        <v>93</v>
      </c>
      <c r="T320" s="74" t="s">
        <v>93</v>
      </c>
      <c r="U320" s="74" t="s">
        <v>93</v>
      </c>
      <c r="V320" s="74" t="s">
        <v>93</v>
      </c>
      <c r="W320" s="74" t="s">
        <v>93</v>
      </c>
      <c r="X320" s="74" t="s">
        <v>93</v>
      </c>
      <c r="Y320" s="74" t="s">
        <v>93</v>
      </c>
      <c r="Z320" s="68" t="s">
        <v>94</v>
      </c>
      <c r="AA320" s="74" t="s">
        <v>93</v>
      </c>
      <c r="AB320" s="74" t="s">
        <v>93</v>
      </c>
      <c r="AC320" s="74" t="s">
        <v>93</v>
      </c>
      <c r="AD320" s="74" t="s">
        <v>94</v>
      </c>
      <c r="AE320" s="74" t="s">
        <v>94</v>
      </c>
      <c r="AF320" s="74" t="s">
        <v>93</v>
      </c>
      <c r="AG320" s="74" t="s">
        <v>93</v>
      </c>
      <c r="AH320" s="74" t="s">
        <v>93</v>
      </c>
      <c r="AI320" s="74" t="s">
        <v>93</v>
      </c>
      <c r="AJ320" s="74" t="s">
        <v>93</v>
      </c>
      <c r="AK320" s="74" t="s">
        <v>93</v>
      </c>
      <c r="AL320" s="74" t="s">
        <v>93</v>
      </c>
      <c r="AM320" s="74" t="s">
        <v>93</v>
      </c>
      <c r="AN320" s="74" t="s">
        <v>93</v>
      </c>
      <c r="AO320" s="74" t="s">
        <v>93</v>
      </c>
      <c r="AP320" s="74" t="s">
        <v>93</v>
      </c>
      <c r="AQ320" s="74" t="s">
        <v>93</v>
      </c>
      <c r="AR320" s="74" t="s">
        <v>93</v>
      </c>
      <c r="AS320" s="74" t="s">
        <v>93</v>
      </c>
      <c r="AT320" s="74" t="s">
        <v>93</v>
      </c>
      <c r="AU320" s="74" t="s">
        <v>93</v>
      </c>
      <c r="AV320" s="74" t="s">
        <v>93</v>
      </c>
      <c r="AW320" s="74" t="s">
        <v>93</v>
      </c>
      <c r="AX320" s="74" t="s">
        <v>93</v>
      </c>
      <c r="AY320" s="74" t="s">
        <v>93</v>
      </c>
      <c r="AZ320" s="74" t="s">
        <v>93</v>
      </c>
      <c r="BA320" s="74" t="s">
        <v>93</v>
      </c>
      <c r="BB320" s="74" t="s">
        <v>93</v>
      </c>
      <c r="BC320" s="74" t="s">
        <v>93</v>
      </c>
      <c r="BD320" s="74" t="s">
        <v>93</v>
      </c>
      <c r="BE320" s="74" t="s">
        <v>93</v>
      </c>
      <c r="BF320" s="74" t="s">
        <v>93</v>
      </c>
      <c r="BG320" s="74" t="s">
        <v>93</v>
      </c>
      <c r="BH320" s="74" t="s">
        <v>93</v>
      </c>
      <c r="BI320" s="74" t="s">
        <v>93</v>
      </c>
      <c r="BJ320" s="74" t="s">
        <v>93</v>
      </c>
      <c r="BK320" s="74" t="s">
        <v>93</v>
      </c>
      <c r="BL320" s="74" t="s">
        <v>93</v>
      </c>
      <c r="BM320" s="74" t="s">
        <v>93</v>
      </c>
      <c r="BN320" s="74" t="s">
        <v>93</v>
      </c>
      <c r="BO320" s="74" t="s">
        <v>93</v>
      </c>
      <c r="BP320" s="75" t="s">
        <v>93</v>
      </c>
    </row>
    <row r="321" spans="2:68" x14ac:dyDescent="0.25">
      <c r="B321" s="64">
        <v>11</v>
      </c>
      <c r="C321" s="65">
        <v>46</v>
      </c>
      <c r="D321" s="65" t="s">
        <v>92</v>
      </c>
      <c r="E321" s="66">
        <f>'[3]Master File'!B320</f>
        <v>46334</v>
      </c>
      <c r="F321" s="67" t="str">
        <f>'[3]Master File'!C320</f>
        <v>Explorer 5PM</v>
      </c>
      <c r="G321" s="46"/>
      <c r="I321" s="74" t="s">
        <v>93</v>
      </c>
      <c r="J321" s="74" t="s">
        <v>93</v>
      </c>
      <c r="K321" s="74" t="s">
        <v>93</v>
      </c>
      <c r="L321" s="68" t="s">
        <v>94</v>
      </c>
      <c r="M321" s="74" t="s">
        <v>93</v>
      </c>
      <c r="N321" s="74" t="s">
        <v>93</v>
      </c>
      <c r="O321" s="74" t="s">
        <v>93</v>
      </c>
      <c r="P321" s="74" t="s">
        <v>93</v>
      </c>
      <c r="Q321" s="74" t="s">
        <v>93</v>
      </c>
      <c r="R321" s="74" t="s">
        <v>93</v>
      </c>
      <c r="S321" s="74" t="s">
        <v>93</v>
      </c>
      <c r="T321" s="74" t="s">
        <v>93</v>
      </c>
      <c r="U321" s="74" t="s">
        <v>93</v>
      </c>
      <c r="V321" s="74" t="s">
        <v>93</v>
      </c>
      <c r="W321" s="74" t="s">
        <v>93</v>
      </c>
      <c r="X321" s="74" t="s">
        <v>93</v>
      </c>
      <c r="Y321" s="74" t="s">
        <v>93</v>
      </c>
      <c r="Z321" s="68" t="s">
        <v>94</v>
      </c>
      <c r="AA321" s="74" t="s">
        <v>93</v>
      </c>
      <c r="AB321" s="74" t="s">
        <v>93</v>
      </c>
      <c r="AC321" s="74" t="s">
        <v>93</v>
      </c>
      <c r="AD321" s="74" t="s">
        <v>94</v>
      </c>
      <c r="AE321" s="74" t="s">
        <v>94</v>
      </c>
      <c r="AF321" s="74" t="s">
        <v>93</v>
      </c>
      <c r="AG321" s="74" t="s">
        <v>93</v>
      </c>
      <c r="AH321" s="74" t="s">
        <v>93</v>
      </c>
      <c r="AI321" s="74" t="s">
        <v>93</v>
      </c>
      <c r="AJ321" s="74" t="s">
        <v>93</v>
      </c>
      <c r="AK321" s="74" t="s">
        <v>93</v>
      </c>
      <c r="AL321" s="74" t="s">
        <v>93</v>
      </c>
      <c r="AM321" s="74" t="s">
        <v>93</v>
      </c>
      <c r="AN321" s="74" t="s">
        <v>93</v>
      </c>
      <c r="AO321" s="74" t="s">
        <v>93</v>
      </c>
      <c r="AP321" s="74" t="s">
        <v>93</v>
      </c>
      <c r="AQ321" s="74" t="s">
        <v>93</v>
      </c>
      <c r="AR321" s="74" t="s">
        <v>93</v>
      </c>
      <c r="AS321" s="74" t="s">
        <v>93</v>
      </c>
      <c r="AT321" s="74" t="s">
        <v>93</v>
      </c>
      <c r="AU321" s="74" t="s">
        <v>93</v>
      </c>
      <c r="AV321" s="74" t="s">
        <v>93</v>
      </c>
      <c r="AW321" s="74" t="s">
        <v>93</v>
      </c>
      <c r="AX321" s="74" t="s">
        <v>93</v>
      </c>
      <c r="AY321" s="74" t="s">
        <v>93</v>
      </c>
      <c r="AZ321" s="74" t="s">
        <v>93</v>
      </c>
      <c r="BA321" s="74" t="s">
        <v>93</v>
      </c>
      <c r="BB321" s="74" t="s">
        <v>93</v>
      </c>
      <c r="BC321" s="74" t="s">
        <v>93</v>
      </c>
      <c r="BD321" s="74" t="s">
        <v>93</v>
      </c>
      <c r="BE321" s="74" t="s">
        <v>93</v>
      </c>
      <c r="BF321" s="74" t="s">
        <v>93</v>
      </c>
      <c r="BG321" s="74" t="s">
        <v>93</v>
      </c>
      <c r="BH321" s="74" t="s">
        <v>93</v>
      </c>
      <c r="BI321" s="74" t="s">
        <v>93</v>
      </c>
      <c r="BJ321" s="74" t="s">
        <v>93</v>
      </c>
      <c r="BK321" s="74" t="s">
        <v>93</v>
      </c>
      <c r="BL321" s="74" t="s">
        <v>93</v>
      </c>
      <c r="BM321" s="74" t="s">
        <v>93</v>
      </c>
      <c r="BN321" s="74" t="s">
        <v>93</v>
      </c>
      <c r="BO321" s="74" t="s">
        <v>93</v>
      </c>
      <c r="BP321" s="75" t="s">
        <v>93</v>
      </c>
    </row>
    <row r="322" spans="2:68" x14ac:dyDescent="0.25">
      <c r="B322" s="64">
        <v>11</v>
      </c>
      <c r="C322" s="65">
        <v>46</v>
      </c>
      <c r="D322" s="65" t="s">
        <v>95</v>
      </c>
      <c r="E322" s="66">
        <f>'[3]Master File'!B321</f>
        <v>46335</v>
      </c>
      <c r="F322" s="67" t="str">
        <f>'[3]Master File'!C321</f>
        <v>Closed</v>
      </c>
      <c r="G322" s="46"/>
      <c r="I322" s="68" t="s">
        <v>93</v>
      </c>
      <c r="J322" s="68" t="s">
        <v>93</v>
      </c>
      <c r="K322" s="68" t="s">
        <v>93</v>
      </c>
      <c r="L322" s="68" t="s">
        <v>94</v>
      </c>
      <c r="M322" s="68" t="s">
        <v>93</v>
      </c>
      <c r="N322" s="68" t="s">
        <v>93</v>
      </c>
      <c r="O322" s="68" t="s">
        <v>93</v>
      </c>
      <c r="P322" s="68" t="s">
        <v>93</v>
      </c>
      <c r="Q322" s="68" t="s">
        <v>93</v>
      </c>
      <c r="R322" s="68" t="s">
        <v>93</v>
      </c>
      <c r="S322" s="68" t="s">
        <v>93</v>
      </c>
      <c r="T322" s="68" t="s">
        <v>93</v>
      </c>
      <c r="U322" s="68" t="s">
        <v>93</v>
      </c>
      <c r="V322" s="68" t="s">
        <v>93</v>
      </c>
      <c r="W322" s="68" t="s">
        <v>93</v>
      </c>
      <c r="X322" s="68" t="s">
        <v>93</v>
      </c>
      <c r="Y322" s="68" t="s">
        <v>93</v>
      </c>
      <c r="Z322" s="68" t="s">
        <v>94</v>
      </c>
      <c r="AA322" s="68" t="s">
        <v>93</v>
      </c>
      <c r="AB322" s="68" t="s">
        <v>93</v>
      </c>
      <c r="AC322" s="68" t="s">
        <v>93</v>
      </c>
      <c r="AD322" s="68" t="s">
        <v>93</v>
      </c>
      <c r="AE322" s="68" t="s">
        <v>93</v>
      </c>
      <c r="AF322" s="68" t="s">
        <v>93</v>
      </c>
      <c r="AG322" s="68" t="s">
        <v>93</v>
      </c>
      <c r="AH322" s="68" t="s">
        <v>93</v>
      </c>
      <c r="AI322" s="68" t="s">
        <v>93</v>
      </c>
      <c r="AJ322" s="68" t="s">
        <v>93</v>
      </c>
      <c r="AK322" s="68" t="s">
        <v>93</v>
      </c>
      <c r="AL322" s="68" t="s">
        <v>93</v>
      </c>
      <c r="AM322" s="68" t="s">
        <v>93</v>
      </c>
      <c r="AN322" s="68" t="s">
        <v>93</v>
      </c>
      <c r="AO322" s="68" t="s">
        <v>93</v>
      </c>
      <c r="AP322" s="68" t="s">
        <v>93</v>
      </c>
      <c r="AQ322" s="68" t="s">
        <v>93</v>
      </c>
      <c r="AR322" s="68" t="s">
        <v>93</v>
      </c>
      <c r="AS322" s="68" t="s">
        <v>93</v>
      </c>
      <c r="AT322" s="68" t="s">
        <v>93</v>
      </c>
      <c r="AU322" s="68" t="s">
        <v>93</v>
      </c>
      <c r="AV322" s="68" t="s">
        <v>93</v>
      </c>
      <c r="AW322" s="68" t="s">
        <v>93</v>
      </c>
      <c r="AX322" s="68" t="s">
        <v>93</v>
      </c>
      <c r="AY322" s="68" t="s">
        <v>93</v>
      </c>
      <c r="AZ322" s="68" t="s">
        <v>93</v>
      </c>
      <c r="BA322" s="68" t="s">
        <v>93</v>
      </c>
      <c r="BB322" s="68" t="s">
        <v>93</v>
      </c>
      <c r="BC322" s="68" t="s">
        <v>93</v>
      </c>
      <c r="BD322" s="68" t="s">
        <v>93</v>
      </c>
      <c r="BE322" s="68" t="s">
        <v>93</v>
      </c>
      <c r="BF322" s="68" t="s">
        <v>93</v>
      </c>
      <c r="BG322" s="68" t="s">
        <v>93</v>
      </c>
      <c r="BH322" s="68" t="s">
        <v>93</v>
      </c>
      <c r="BI322" s="68" t="s">
        <v>93</v>
      </c>
      <c r="BJ322" s="68" t="s">
        <v>93</v>
      </c>
      <c r="BK322" s="68" t="s">
        <v>93</v>
      </c>
      <c r="BL322" s="68" t="s">
        <v>93</v>
      </c>
      <c r="BM322" s="68" t="s">
        <v>93</v>
      </c>
      <c r="BN322" s="68" t="s">
        <v>93</v>
      </c>
      <c r="BO322" s="68" t="s">
        <v>93</v>
      </c>
      <c r="BP322" s="69" t="s">
        <v>93</v>
      </c>
    </row>
    <row r="323" spans="2:68" x14ac:dyDescent="0.25">
      <c r="B323" s="64">
        <v>11</v>
      </c>
      <c r="C323" s="65">
        <v>46</v>
      </c>
      <c r="D323" s="65" t="s">
        <v>96</v>
      </c>
      <c r="E323" s="66">
        <f>'[3]Master File'!B322</f>
        <v>46336</v>
      </c>
      <c r="F323" s="67" t="str">
        <f>'[3]Master File'!C322</f>
        <v>Closed</v>
      </c>
      <c r="G323" s="46"/>
      <c r="I323" s="68" t="s">
        <v>93</v>
      </c>
      <c r="J323" s="68" t="s">
        <v>93</v>
      </c>
      <c r="K323" s="68" t="s">
        <v>93</v>
      </c>
      <c r="L323" s="68" t="s">
        <v>94</v>
      </c>
      <c r="M323" s="68" t="s">
        <v>93</v>
      </c>
      <c r="N323" s="68" t="s">
        <v>93</v>
      </c>
      <c r="O323" s="68" t="s">
        <v>93</v>
      </c>
      <c r="P323" s="68" t="s">
        <v>93</v>
      </c>
      <c r="Q323" s="68" t="s">
        <v>93</v>
      </c>
      <c r="R323" s="68" t="s">
        <v>93</v>
      </c>
      <c r="S323" s="68" t="s">
        <v>93</v>
      </c>
      <c r="T323" s="68" t="s">
        <v>93</v>
      </c>
      <c r="U323" s="68" t="s">
        <v>93</v>
      </c>
      <c r="V323" s="68" t="s">
        <v>93</v>
      </c>
      <c r="W323" s="68" t="s">
        <v>93</v>
      </c>
      <c r="X323" s="68" t="s">
        <v>93</v>
      </c>
      <c r="Y323" s="68" t="s">
        <v>93</v>
      </c>
      <c r="Z323" s="68" t="s">
        <v>94</v>
      </c>
      <c r="AA323" s="68" t="s">
        <v>93</v>
      </c>
      <c r="AB323" s="68" t="s">
        <v>93</v>
      </c>
      <c r="AC323" s="68" t="s">
        <v>93</v>
      </c>
      <c r="AD323" s="68" t="s">
        <v>93</v>
      </c>
      <c r="AE323" s="68" t="s">
        <v>93</v>
      </c>
      <c r="AF323" s="68" t="s">
        <v>93</v>
      </c>
      <c r="AG323" s="68" t="s">
        <v>93</v>
      </c>
      <c r="AH323" s="68" t="s">
        <v>93</v>
      </c>
      <c r="AI323" s="68" t="s">
        <v>93</v>
      </c>
      <c r="AJ323" s="68" t="s">
        <v>93</v>
      </c>
      <c r="AK323" s="68" t="s">
        <v>93</v>
      </c>
      <c r="AL323" s="68" t="s">
        <v>93</v>
      </c>
      <c r="AM323" s="68" t="s">
        <v>93</v>
      </c>
      <c r="AN323" s="68" t="s">
        <v>93</v>
      </c>
      <c r="AO323" s="68" t="s">
        <v>93</v>
      </c>
      <c r="AP323" s="68" t="s">
        <v>93</v>
      </c>
      <c r="AQ323" s="68" t="s">
        <v>93</v>
      </c>
      <c r="AR323" s="68" t="s">
        <v>93</v>
      </c>
      <c r="AS323" s="68" t="s">
        <v>93</v>
      </c>
      <c r="AT323" s="68" t="s">
        <v>93</v>
      </c>
      <c r="AU323" s="68" t="s">
        <v>93</v>
      </c>
      <c r="AV323" s="68" t="s">
        <v>93</v>
      </c>
      <c r="AW323" s="68" t="s">
        <v>93</v>
      </c>
      <c r="AX323" s="68" t="s">
        <v>93</v>
      </c>
      <c r="AY323" s="68" t="s">
        <v>93</v>
      </c>
      <c r="AZ323" s="68" t="s">
        <v>93</v>
      </c>
      <c r="BA323" s="68" t="s">
        <v>93</v>
      </c>
      <c r="BB323" s="68" t="s">
        <v>93</v>
      </c>
      <c r="BC323" s="68" t="s">
        <v>93</v>
      </c>
      <c r="BD323" s="68" t="s">
        <v>93</v>
      </c>
      <c r="BE323" s="68" t="s">
        <v>93</v>
      </c>
      <c r="BF323" s="68" t="s">
        <v>93</v>
      </c>
      <c r="BG323" s="68" t="s">
        <v>93</v>
      </c>
      <c r="BH323" s="68" t="s">
        <v>93</v>
      </c>
      <c r="BI323" s="68" t="s">
        <v>93</v>
      </c>
      <c r="BJ323" s="68" t="s">
        <v>93</v>
      </c>
      <c r="BK323" s="68" t="s">
        <v>93</v>
      </c>
      <c r="BL323" s="68" t="s">
        <v>93</v>
      </c>
      <c r="BM323" s="68" t="s">
        <v>93</v>
      </c>
      <c r="BN323" s="68" t="s">
        <v>93</v>
      </c>
      <c r="BO323" s="68" t="s">
        <v>93</v>
      </c>
      <c r="BP323" s="69" t="s">
        <v>93</v>
      </c>
    </row>
    <row r="324" spans="2:68" x14ac:dyDescent="0.25">
      <c r="B324" s="64">
        <v>11</v>
      </c>
      <c r="C324" s="65">
        <v>46</v>
      </c>
      <c r="D324" s="65" t="s">
        <v>97</v>
      </c>
      <c r="E324" s="66">
        <f>'[3]Master File'!B323</f>
        <v>46337</v>
      </c>
      <c r="F324" s="67" t="str">
        <f>'[3]Master File'!C323</f>
        <v>Closed</v>
      </c>
      <c r="G324" s="46"/>
      <c r="I324" s="68" t="s">
        <v>93</v>
      </c>
      <c r="J324" s="68" t="s">
        <v>93</v>
      </c>
      <c r="K324" s="68" t="s">
        <v>93</v>
      </c>
      <c r="L324" s="68" t="s">
        <v>94</v>
      </c>
      <c r="M324" s="68" t="s">
        <v>93</v>
      </c>
      <c r="N324" s="68" t="s">
        <v>93</v>
      </c>
      <c r="O324" s="68" t="s">
        <v>93</v>
      </c>
      <c r="P324" s="68" t="s">
        <v>93</v>
      </c>
      <c r="Q324" s="68" t="s">
        <v>93</v>
      </c>
      <c r="R324" s="68" t="s">
        <v>93</v>
      </c>
      <c r="S324" s="68" t="s">
        <v>93</v>
      </c>
      <c r="T324" s="68" t="s">
        <v>93</v>
      </c>
      <c r="U324" s="68" t="s">
        <v>93</v>
      </c>
      <c r="V324" s="68" t="s">
        <v>93</v>
      </c>
      <c r="W324" s="68" t="s">
        <v>93</v>
      </c>
      <c r="X324" s="68" t="s">
        <v>93</v>
      </c>
      <c r="Y324" s="68" t="s">
        <v>93</v>
      </c>
      <c r="Z324" s="68" t="s">
        <v>94</v>
      </c>
      <c r="AA324" s="68" t="s">
        <v>93</v>
      </c>
      <c r="AB324" s="68" t="s">
        <v>93</v>
      </c>
      <c r="AC324" s="68" t="s">
        <v>93</v>
      </c>
      <c r="AD324" s="68" t="s">
        <v>93</v>
      </c>
      <c r="AE324" s="68" t="s">
        <v>93</v>
      </c>
      <c r="AF324" s="68" t="s">
        <v>93</v>
      </c>
      <c r="AG324" s="68" t="s">
        <v>93</v>
      </c>
      <c r="AH324" s="68" t="s">
        <v>93</v>
      </c>
      <c r="AI324" s="68" t="s">
        <v>93</v>
      </c>
      <c r="AJ324" s="68" t="s">
        <v>93</v>
      </c>
      <c r="AK324" s="68" t="s">
        <v>93</v>
      </c>
      <c r="AL324" s="68" t="s">
        <v>93</v>
      </c>
      <c r="AM324" s="68" t="s">
        <v>93</v>
      </c>
      <c r="AN324" s="68" t="s">
        <v>93</v>
      </c>
      <c r="AO324" s="68" t="s">
        <v>93</v>
      </c>
      <c r="AP324" s="68" t="s">
        <v>93</v>
      </c>
      <c r="AQ324" s="68" t="s">
        <v>93</v>
      </c>
      <c r="AR324" s="68" t="s">
        <v>93</v>
      </c>
      <c r="AS324" s="68" t="s">
        <v>93</v>
      </c>
      <c r="AT324" s="68" t="s">
        <v>93</v>
      </c>
      <c r="AU324" s="68" t="s">
        <v>93</v>
      </c>
      <c r="AV324" s="68" t="s">
        <v>93</v>
      </c>
      <c r="AW324" s="68" t="s">
        <v>93</v>
      </c>
      <c r="AX324" s="68" t="s">
        <v>93</v>
      </c>
      <c r="AY324" s="68" t="s">
        <v>93</v>
      </c>
      <c r="AZ324" s="68" t="s">
        <v>93</v>
      </c>
      <c r="BA324" s="68" t="s">
        <v>93</v>
      </c>
      <c r="BB324" s="68" t="s">
        <v>93</v>
      </c>
      <c r="BC324" s="68" t="s">
        <v>93</v>
      </c>
      <c r="BD324" s="68" t="s">
        <v>93</v>
      </c>
      <c r="BE324" s="68" t="s">
        <v>93</v>
      </c>
      <c r="BF324" s="68" t="s">
        <v>93</v>
      </c>
      <c r="BG324" s="68" t="s">
        <v>93</v>
      </c>
      <c r="BH324" s="68" t="s">
        <v>93</v>
      </c>
      <c r="BI324" s="68" t="s">
        <v>93</v>
      </c>
      <c r="BJ324" s="68" t="s">
        <v>93</v>
      </c>
      <c r="BK324" s="68" t="s">
        <v>93</v>
      </c>
      <c r="BL324" s="68" t="s">
        <v>93</v>
      </c>
      <c r="BM324" s="68" t="s">
        <v>93</v>
      </c>
      <c r="BN324" s="68" t="s">
        <v>93</v>
      </c>
      <c r="BO324" s="68" t="s">
        <v>93</v>
      </c>
      <c r="BP324" s="69" t="s">
        <v>93</v>
      </c>
    </row>
    <row r="325" spans="2:68" x14ac:dyDescent="0.25">
      <c r="B325" s="64">
        <v>11</v>
      </c>
      <c r="C325" s="65">
        <v>46</v>
      </c>
      <c r="D325" s="65" t="s">
        <v>98</v>
      </c>
      <c r="E325" s="66">
        <f>'[3]Master File'!B324</f>
        <v>46338</v>
      </c>
      <c r="F325" s="67" t="str">
        <f>'[3]Master File'!C324</f>
        <v>Closed</v>
      </c>
      <c r="G325" s="46"/>
      <c r="I325" s="68" t="s">
        <v>93</v>
      </c>
      <c r="J325" s="68" t="s">
        <v>93</v>
      </c>
      <c r="K325" s="68" t="s">
        <v>93</v>
      </c>
      <c r="L325" s="68" t="s">
        <v>94</v>
      </c>
      <c r="M325" s="68" t="s">
        <v>93</v>
      </c>
      <c r="N325" s="68" t="s">
        <v>93</v>
      </c>
      <c r="O325" s="68" t="s">
        <v>93</v>
      </c>
      <c r="P325" s="68" t="s">
        <v>93</v>
      </c>
      <c r="Q325" s="68" t="s">
        <v>93</v>
      </c>
      <c r="R325" s="68" t="s">
        <v>93</v>
      </c>
      <c r="S325" s="68" t="s">
        <v>93</v>
      </c>
      <c r="T325" s="68" t="s">
        <v>93</v>
      </c>
      <c r="U325" s="68" t="s">
        <v>93</v>
      </c>
      <c r="V325" s="68" t="s">
        <v>93</v>
      </c>
      <c r="W325" s="68" t="s">
        <v>93</v>
      </c>
      <c r="X325" s="68" t="s">
        <v>93</v>
      </c>
      <c r="Y325" s="68" t="s">
        <v>93</v>
      </c>
      <c r="Z325" s="68" t="s">
        <v>94</v>
      </c>
      <c r="AA325" s="68" t="s">
        <v>93</v>
      </c>
      <c r="AB325" s="68" t="s">
        <v>93</v>
      </c>
      <c r="AC325" s="68" t="s">
        <v>93</v>
      </c>
      <c r="AD325" s="68" t="s">
        <v>93</v>
      </c>
      <c r="AE325" s="68" t="s">
        <v>93</v>
      </c>
      <c r="AF325" s="68" t="s">
        <v>93</v>
      </c>
      <c r="AG325" s="68" t="s">
        <v>93</v>
      </c>
      <c r="AH325" s="68" t="s">
        <v>93</v>
      </c>
      <c r="AI325" s="68" t="s">
        <v>93</v>
      </c>
      <c r="AJ325" s="68" t="s">
        <v>93</v>
      </c>
      <c r="AK325" s="68" t="s">
        <v>93</v>
      </c>
      <c r="AL325" s="68" t="s">
        <v>93</v>
      </c>
      <c r="AM325" s="68" t="s">
        <v>93</v>
      </c>
      <c r="AN325" s="68" t="s">
        <v>93</v>
      </c>
      <c r="AO325" s="68" t="s">
        <v>93</v>
      </c>
      <c r="AP325" s="68" t="s">
        <v>93</v>
      </c>
      <c r="AQ325" s="68" t="s">
        <v>93</v>
      </c>
      <c r="AR325" s="68" t="s">
        <v>93</v>
      </c>
      <c r="AS325" s="68" t="s">
        <v>93</v>
      </c>
      <c r="AT325" s="68" t="s">
        <v>93</v>
      </c>
      <c r="AU325" s="68" t="s">
        <v>93</v>
      </c>
      <c r="AV325" s="68" t="s">
        <v>93</v>
      </c>
      <c r="AW325" s="68" t="s">
        <v>93</v>
      </c>
      <c r="AX325" s="68" t="s">
        <v>93</v>
      </c>
      <c r="AY325" s="68" t="s">
        <v>93</v>
      </c>
      <c r="AZ325" s="68" t="s">
        <v>93</v>
      </c>
      <c r="BA325" s="68" t="s">
        <v>93</v>
      </c>
      <c r="BB325" s="68" t="s">
        <v>93</v>
      </c>
      <c r="BC325" s="68" t="s">
        <v>93</v>
      </c>
      <c r="BD325" s="68" t="s">
        <v>93</v>
      </c>
      <c r="BE325" s="68" t="s">
        <v>93</v>
      </c>
      <c r="BF325" s="68" t="s">
        <v>93</v>
      </c>
      <c r="BG325" s="68" t="s">
        <v>93</v>
      </c>
      <c r="BH325" s="68" t="s">
        <v>93</v>
      </c>
      <c r="BI325" s="68" t="s">
        <v>93</v>
      </c>
      <c r="BJ325" s="68" t="s">
        <v>93</v>
      </c>
      <c r="BK325" s="68" t="s">
        <v>93</v>
      </c>
      <c r="BL325" s="68" t="s">
        <v>93</v>
      </c>
      <c r="BM325" s="68" t="s">
        <v>93</v>
      </c>
      <c r="BN325" s="68" t="s">
        <v>93</v>
      </c>
      <c r="BO325" s="68" t="s">
        <v>93</v>
      </c>
      <c r="BP325" s="69" t="s">
        <v>93</v>
      </c>
    </row>
    <row r="326" spans="2:68" x14ac:dyDescent="0.25">
      <c r="B326" s="64">
        <v>11</v>
      </c>
      <c r="C326" s="65">
        <v>46</v>
      </c>
      <c r="D326" s="65" t="s">
        <v>99</v>
      </c>
      <c r="E326" s="66">
        <f>'[3]Master File'!B325</f>
        <v>46339</v>
      </c>
      <c r="F326" s="67" t="str">
        <f>'[3]Master File'!C325</f>
        <v>Closed</v>
      </c>
      <c r="G326" s="46"/>
      <c r="I326" s="68" t="s">
        <v>93</v>
      </c>
      <c r="J326" s="68" t="s">
        <v>93</v>
      </c>
      <c r="K326" s="68" t="s">
        <v>93</v>
      </c>
      <c r="L326" s="68" t="s">
        <v>94</v>
      </c>
      <c r="M326" s="68" t="s">
        <v>93</v>
      </c>
      <c r="N326" s="68" t="s">
        <v>93</v>
      </c>
      <c r="O326" s="68" t="s">
        <v>93</v>
      </c>
      <c r="P326" s="68" t="s">
        <v>93</v>
      </c>
      <c r="Q326" s="68" t="s">
        <v>93</v>
      </c>
      <c r="R326" s="68" t="s">
        <v>93</v>
      </c>
      <c r="S326" s="68" t="s">
        <v>93</v>
      </c>
      <c r="T326" s="68" t="s">
        <v>93</v>
      </c>
      <c r="U326" s="68" t="s">
        <v>93</v>
      </c>
      <c r="V326" s="68" t="s">
        <v>93</v>
      </c>
      <c r="W326" s="68" t="s">
        <v>93</v>
      </c>
      <c r="X326" s="68" t="s">
        <v>93</v>
      </c>
      <c r="Y326" s="68" t="s">
        <v>93</v>
      </c>
      <c r="Z326" s="68" t="s">
        <v>94</v>
      </c>
      <c r="AA326" s="68" t="s">
        <v>93</v>
      </c>
      <c r="AB326" s="68" t="s">
        <v>93</v>
      </c>
      <c r="AC326" s="68" t="s">
        <v>93</v>
      </c>
      <c r="AD326" s="68" t="s">
        <v>93</v>
      </c>
      <c r="AE326" s="68" t="s">
        <v>93</v>
      </c>
      <c r="AF326" s="68" t="s">
        <v>93</v>
      </c>
      <c r="AG326" s="68" t="s">
        <v>93</v>
      </c>
      <c r="AH326" s="68" t="s">
        <v>93</v>
      </c>
      <c r="AI326" s="68" t="s">
        <v>93</v>
      </c>
      <c r="AJ326" s="68" t="s">
        <v>93</v>
      </c>
      <c r="AK326" s="68" t="s">
        <v>93</v>
      </c>
      <c r="AL326" s="68" t="s">
        <v>93</v>
      </c>
      <c r="AM326" s="68" t="s">
        <v>93</v>
      </c>
      <c r="AN326" s="68" t="s">
        <v>93</v>
      </c>
      <c r="AO326" s="68" t="s">
        <v>93</v>
      </c>
      <c r="AP326" s="68" t="s">
        <v>93</v>
      </c>
      <c r="AQ326" s="68" t="s">
        <v>93</v>
      </c>
      <c r="AR326" s="68" t="s">
        <v>93</v>
      </c>
      <c r="AS326" s="68" t="s">
        <v>93</v>
      </c>
      <c r="AT326" s="68" t="s">
        <v>93</v>
      </c>
      <c r="AU326" s="68" t="s">
        <v>93</v>
      </c>
      <c r="AV326" s="68" t="s">
        <v>93</v>
      </c>
      <c r="AW326" s="68" t="s">
        <v>93</v>
      </c>
      <c r="AX326" s="68" t="s">
        <v>93</v>
      </c>
      <c r="AY326" s="68" t="s">
        <v>93</v>
      </c>
      <c r="AZ326" s="68" t="s">
        <v>93</v>
      </c>
      <c r="BA326" s="68" t="s">
        <v>93</v>
      </c>
      <c r="BB326" s="68" t="s">
        <v>93</v>
      </c>
      <c r="BC326" s="68" t="s">
        <v>93</v>
      </c>
      <c r="BD326" s="68" t="s">
        <v>93</v>
      </c>
      <c r="BE326" s="68" t="s">
        <v>93</v>
      </c>
      <c r="BF326" s="68" t="s">
        <v>93</v>
      </c>
      <c r="BG326" s="68" t="s">
        <v>93</v>
      </c>
      <c r="BH326" s="68" t="s">
        <v>93</v>
      </c>
      <c r="BI326" s="68" t="s">
        <v>93</v>
      </c>
      <c r="BJ326" s="68" t="s">
        <v>93</v>
      </c>
      <c r="BK326" s="68" t="s">
        <v>93</v>
      </c>
      <c r="BL326" s="68" t="s">
        <v>93</v>
      </c>
      <c r="BM326" s="68" t="s">
        <v>93</v>
      </c>
      <c r="BN326" s="68" t="s">
        <v>93</v>
      </c>
      <c r="BO326" s="68" t="s">
        <v>93</v>
      </c>
      <c r="BP326" s="69" t="s">
        <v>93</v>
      </c>
    </row>
    <row r="327" spans="2:68" x14ac:dyDescent="0.25">
      <c r="B327" s="64">
        <v>11</v>
      </c>
      <c r="C327" s="65">
        <v>46</v>
      </c>
      <c r="D327" s="65" t="s">
        <v>100</v>
      </c>
      <c r="E327" s="66">
        <f>'[3]Master File'!B326</f>
        <v>46340</v>
      </c>
      <c r="F327" s="67" t="str">
        <f>'[3]Master File'!C326</f>
        <v>Explorer 5PM</v>
      </c>
      <c r="G327" s="46"/>
      <c r="I327" s="74" t="s">
        <v>93</v>
      </c>
      <c r="J327" s="74" t="s">
        <v>93</v>
      </c>
      <c r="K327" s="74" t="s">
        <v>93</v>
      </c>
      <c r="L327" s="68" t="s">
        <v>94</v>
      </c>
      <c r="M327" s="74" t="s">
        <v>93</v>
      </c>
      <c r="N327" s="74" t="s">
        <v>93</v>
      </c>
      <c r="O327" s="74" t="s">
        <v>93</v>
      </c>
      <c r="P327" s="74" t="s">
        <v>93</v>
      </c>
      <c r="Q327" s="74" t="s">
        <v>93</v>
      </c>
      <c r="R327" s="74" t="s">
        <v>93</v>
      </c>
      <c r="S327" s="74" t="s">
        <v>93</v>
      </c>
      <c r="T327" s="74" t="s">
        <v>93</v>
      </c>
      <c r="U327" s="74" t="s">
        <v>93</v>
      </c>
      <c r="V327" s="74" t="s">
        <v>93</v>
      </c>
      <c r="W327" s="74" t="s">
        <v>93</v>
      </c>
      <c r="X327" s="74" t="s">
        <v>93</v>
      </c>
      <c r="Y327" s="74" t="s">
        <v>93</v>
      </c>
      <c r="Z327" s="68" t="s">
        <v>94</v>
      </c>
      <c r="AA327" s="74" t="s">
        <v>93</v>
      </c>
      <c r="AB327" s="74" t="s">
        <v>93</v>
      </c>
      <c r="AC327" s="74" t="s">
        <v>93</v>
      </c>
      <c r="AD327" s="74" t="s">
        <v>94</v>
      </c>
      <c r="AE327" s="74" t="s">
        <v>94</v>
      </c>
      <c r="AF327" s="74" t="s">
        <v>93</v>
      </c>
      <c r="AG327" s="74" t="s">
        <v>93</v>
      </c>
      <c r="AH327" s="74" t="s">
        <v>93</v>
      </c>
      <c r="AI327" s="74" t="s">
        <v>93</v>
      </c>
      <c r="AJ327" s="74" t="s">
        <v>93</v>
      </c>
      <c r="AK327" s="74" t="s">
        <v>93</v>
      </c>
      <c r="AL327" s="74" t="s">
        <v>93</v>
      </c>
      <c r="AM327" s="74" t="s">
        <v>93</v>
      </c>
      <c r="AN327" s="74" t="s">
        <v>93</v>
      </c>
      <c r="AO327" s="74" t="s">
        <v>93</v>
      </c>
      <c r="AP327" s="74" t="s">
        <v>93</v>
      </c>
      <c r="AQ327" s="74" t="s">
        <v>93</v>
      </c>
      <c r="AR327" s="74" t="s">
        <v>93</v>
      </c>
      <c r="AS327" s="74" t="s">
        <v>93</v>
      </c>
      <c r="AT327" s="74" t="s">
        <v>93</v>
      </c>
      <c r="AU327" s="74" t="s">
        <v>93</v>
      </c>
      <c r="AV327" s="74" t="s">
        <v>93</v>
      </c>
      <c r="AW327" s="74" t="s">
        <v>93</v>
      </c>
      <c r="AX327" s="74" t="s">
        <v>93</v>
      </c>
      <c r="AY327" s="74" t="s">
        <v>93</v>
      </c>
      <c r="AZ327" s="74" t="s">
        <v>93</v>
      </c>
      <c r="BA327" s="74" t="s">
        <v>93</v>
      </c>
      <c r="BB327" s="74" t="s">
        <v>93</v>
      </c>
      <c r="BC327" s="74" t="s">
        <v>93</v>
      </c>
      <c r="BD327" s="74" t="s">
        <v>93</v>
      </c>
      <c r="BE327" s="74" t="s">
        <v>93</v>
      </c>
      <c r="BF327" s="74" t="s">
        <v>93</v>
      </c>
      <c r="BG327" s="74" t="s">
        <v>93</v>
      </c>
      <c r="BH327" s="74" t="s">
        <v>93</v>
      </c>
      <c r="BI327" s="74" t="s">
        <v>93</v>
      </c>
      <c r="BJ327" s="74" t="s">
        <v>93</v>
      </c>
      <c r="BK327" s="74" t="s">
        <v>93</v>
      </c>
      <c r="BL327" s="74" t="s">
        <v>93</v>
      </c>
      <c r="BM327" s="74" t="s">
        <v>93</v>
      </c>
      <c r="BN327" s="74" t="s">
        <v>93</v>
      </c>
      <c r="BO327" s="74" t="s">
        <v>93</v>
      </c>
      <c r="BP327" s="75" t="s">
        <v>93</v>
      </c>
    </row>
    <row r="328" spans="2:68" x14ac:dyDescent="0.25">
      <c r="B328" s="64">
        <v>11</v>
      </c>
      <c r="C328" s="65">
        <v>47</v>
      </c>
      <c r="D328" s="65" t="s">
        <v>92</v>
      </c>
      <c r="E328" s="66">
        <f>'[3]Master File'!B327</f>
        <v>46341</v>
      </c>
      <c r="F328" s="67" t="str">
        <f>'[3]Master File'!C327</f>
        <v>Explorer 5PM</v>
      </c>
      <c r="G328" s="46"/>
      <c r="I328" s="74" t="s">
        <v>93</v>
      </c>
      <c r="J328" s="74" t="s">
        <v>93</v>
      </c>
      <c r="K328" s="74" t="s">
        <v>93</v>
      </c>
      <c r="L328" s="68" t="s">
        <v>94</v>
      </c>
      <c r="M328" s="74" t="s">
        <v>93</v>
      </c>
      <c r="N328" s="74" t="s">
        <v>93</v>
      </c>
      <c r="O328" s="74" t="s">
        <v>93</v>
      </c>
      <c r="P328" s="74" t="s">
        <v>93</v>
      </c>
      <c r="Q328" s="74" t="s">
        <v>93</v>
      </c>
      <c r="R328" s="74" t="s">
        <v>93</v>
      </c>
      <c r="S328" s="74" t="s">
        <v>93</v>
      </c>
      <c r="T328" s="74" t="s">
        <v>93</v>
      </c>
      <c r="U328" s="74" t="s">
        <v>93</v>
      </c>
      <c r="V328" s="74" t="s">
        <v>93</v>
      </c>
      <c r="W328" s="74" t="s">
        <v>93</v>
      </c>
      <c r="X328" s="74" t="s">
        <v>93</v>
      </c>
      <c r="Y328" s="74" t="s">
        <v>93</v>
      </c>
      <c r="Z328" s="68" t="s">
        <v>94</v>
      </c>
      <c r="AA328" s="74" t="s">
        <v>93</v>
      </c>
      <c r="AB328" s="74" t="s">
        <v>93</v>
      </c>
      <c r="AC328" s="74" t="s">
        <v>93</v>
      </c>
      <c r="AD328" s="74" t="s">
        <v>94</v>
      </c>
      <c r="AE328" s="74" t="s">
        <v>94</v>
      </c>
      <c r="AF328" s="74" t="s">
        <v>93</v>
      </c>
      <c r="AG328" s="74" t="s">
        <v>93</v>
      </c>
      <c r="AH328" s="74" t="s">
        <v>93</v>
      </c>
      <c r="AI328" s="74" t="s">
        <v>93</v>
      </c>
      <c r="AJ328" s="74" t="s">
        <v>93</v>
      </c>
      <c r="AK328" s="74" t="s">
        <v>93</v>
      </c>
      <c r="AL328" s="74" t="s">
        <v>93</v>
      </c>
      <c r="AM328" s="74" t="s">
        <v>93</v>
      </c>
      <c r="AN328" s="74" t="s">
        <v>93</v>
      </c>
      <c r="AO328" s="74" t="s">
        <v>93</v>
      </c>
      <c r="AP328" s="74" t="s">
        <v>93</v>
      </c>
      <c r="AQ328" s="74" t="s">
        <v>93</v>
      </c>
      <c r="AR328" s="74" t="s">
        <v>93</v>
      </c>
      <c r="AS328" s="74" t="s">
        <v>93</v>
      </c>
      <c r="AT328" s="74" t="s">
        <v>93</v>
      </c>
      <c r="AU328" s="74" t="s">
        <v>93</v>
      </c>
      <c r="AV328" s="74" t="s">
        <v>93</v>
      </c>
      <c r="AW328" s="74" t="s">
        <v>93</v>
      </c>
      <c r="AX328" s="74" t="s">
        <v>93</v>
      </c>
      <c r="AY328" s="74" t="s">
        <v>93</v>
      </c>
      <c r="AZ328" s="74" t="s">
        <v>93</v>
      </c>
      <c r="BA328" s="74" t="s">
        <v>93</v>
      </c>
      <c r="BB328" s="74" t="s">
        <v>93</v>
      </c>
      <c r="BC328" s="74" t="s">
        <v>93</v>
      </c>
      <c r="BD328" s="74" t="s">
        <v>93</v>
      </c>
      <c r="BE328" s="74" t="s">
        <v>93</v>
      </c>
      <c r="BF328" s="74" t="s">
        <v>93</v>
      </c>
      <c r="BG328" s="74" t="s">
        <v>93</v>
      </c>
      <c r="BH328" s="74" t="s">
        <v>93</v>
      </c>
      <c r="BI328" s="74" t="s">
        <v>93</v>
      </c>
      <c r="BJ328" s="74" t="s">
        <v>93</v>
      </c>
      <c r="BK328" s="74" t="s">
        <v>93</v>
      </c>
      <c r="BL328" s="74" t="s">
        <v>93</v>
      </c>
      <c r="BM328" s="74" t="s">
        <v>93</v>
      </c>
      <c r="BN328" s="74" t="s">
        <v>93</v>
      </c>
      <c r="BO328" s="74" t="s">
        <v>93</v>
      </c>
      <c r="BP328" s="75" t="s">
        <v>93</v>
      </c>
    </row>
    <row r="329" spans="2:68" x14ac:dyDescent="0.25">
      <c r="B329" s="64">
        <v>11</v>
      </c>
      <c r="C329" s="65">
        <v>47</v>
      </c>
      <c r="D329" s="65" t="s">
        <v>95</v>
      </c>
      <c r="E329" s="66">
        <f>'[3]Master File'!B328</f>
        <v>46342</v>
      </c>
      <c r="F329" s="67" t="str">
        <f>'[3]Master File'!C328</f>
        <v>Closed</v>
      </c>
      <c r="G329" s="46"/>
      <c r="I329" s="68" t="s">
        <v>93</v>
      </c>
      <c r="J329" s="68" t="s">
        <v>93</v>
      </c>
      <c r="K329" s="68" t="s">
        <v>93</v>
      </c>
      <c r="L329" s="68" t="s">
        <v>94</v>
      </c>
      <c r="M329" s="68" t="s">
        <v>93</v>
      </c>
      <c r="N329" s="68" t="s">
        <v>93</v>
      </c>
      <c r="O329" s="68" t="s">
        <v>93</v>
      </c>
      <c r="P329" s="68" t="s">
        <v>93</v>
      </c>
      <c r="Q329" s="68" t="s">
        <v>93</v>
      </c>
      <c r="R329" s="68" t="s">
        <v>93</v>
      </c>
      <c r="S329" s="68" t="s">
        <v>93</v>
      </c>
      <c r="T329" s="68" t="s">
        <v>93</v>
      </c>
      <c r="U329" s="68" t="s">
        <v>93</v>
      </c>
      <c r="V329" s="68" t="s">
        <v>93</v>
      </c>
      <c r="W329" s="68" t="s">
        <v>93</v>
      </c>
      <c r="X329" s="68" t="s">
        <v>93</v>
      </c>
      <c r="Y329" s="68" t="s">
        <v>93</v>
      </c>
      <c r="Z329" s="68" t="s">
        <v>94</v>
      </c>
      <c r="AA329" s="68" t="s">
        <v>93</v>
      </c>
      <c r="AB329" s="68" t="s">
        <v>93</v>
      </c>
      <c r="AC329" s="68" t="s">
        <v>93</v>
      </c>
      <c r="AD329" s="68" t="s">
        <v>93</v>
      </c>
      <c r="AE329" s="68" t="s">
        <v>93</v>
      </c>
      <c r="AF329" s="68" t="s">
        <v>93</v>
      </c>
      <c r="AG329" s="68" t="s">
        <v>93</v>
      </c>
      <c r="AH329" s="68" t="s">
        <v>93</v>
      </c>
      <c r="AI329" s="68" t="s">
        <v>93</v>
      </c>
      <c r="AJ329" s="68" t="s">
        <v>93</v>
      </c>
      <c r="AK329" s="68" t="s">
        <v>93</v>
      </c>
      <c r="AL329" s="68" t="s">
        <v>93</v>
      </c>
      <c r="AM329" s="68" t="s">
        <v>93</v>
      </c>
      <c r="AN329" s="68" t="s">
        <v>93</v>
      </c>
      <c r="AO329" s="68" t="s">
        <v>93</v>
      </c>
      <c r="AP329" s="68" t="s">
        <v>93</v>
      </c>
      <c r="AQ329" s="68" t="s">
        <v>93</v>
      </c>
      <c r="AR329" s="68" t="s">
        <v>93</v>
      </c>
      <c r="AS329" s="68" t="s">
        <v>93</v>
      </c>
      <c r="AT329" s="68" t="s">
        <v>93</v>
      </c>
      <c r="AU329" s="68" t="s">
        <v>93</v>
      </c>
      <c r="AV329" s="68" t="s">
        <v>93</v>
      </c>
      <c r="AW329" s="68" t="s">
        <v>93</v>
      </c>
      <c r="AX329" s="68" t="s">
        <v>93</v>
      </c>
      <c r="AY329" s="68" t="s">
        <v>93</v>
      </c>
      <c r="AZ329" s="68" t="s">
        <v>93</v>
      </c>
      <c r="BA329" s="68" t="s">
        <v>93</v>
      </c>
      <c r="BB329" s="68" t="s">
        <v>93</v>
      </c>
      <c r="BC329" s="68" t="s">
        <v>93</v>
      </c>
      <c r="BD329" s="68" t="s">
        <v>93</v>
      </c>
      <c r="BE329" s="68" t="s">
        <v>93</v>
      </c>
      <c r="BF329" s="68" t="s">
        <v>93</v>
      </c>
      <c r="BG329" s="68" t="s">
        <v>93</v>
      </c>
      <c r="BH329" s="68" t="s">
        <v>93</v>
      </c>
      <c r="BI329" s="68" t="s">
        <v>93</v>
      </c>
      <c r="BJ329" s="68" t="s">
        <v>93</v>
      </c>
      <c r="BK329" s="68" t="s">
        <v>93</v>
      </c>
      <c r="BL329" s="68" t="s">
        <v>93</v>
      </c>
      <c r="BM329" s="68" t="s">
        <v>93</v>
      </c>
      <c r="BN329" s="68" t="s">
        <v>93</v>
      </c>
      <c r="BO329" s="68" t="s">
        <v>93</v>
      </c>
      <c r="BP329" s="69" t="s">
        <v>93</v>
      </c>
    </row>
    <row r="330" spans="2:68" x14ac:dyDescent="0.25">
      <c r="B330" s="64">
        <v>11</v>
      </c>
      <c r="C330" s="65">
        <v>47</v>
      </c>
      <c r="D330" s="65" t="s">
        <v>96</v>
      </c>
      <c r="E330" s="66">
        <f>'[3]Master File'!B329</f>
        <v>46343</v>
      </c>
      <c r="F330" s="67" t="str">
        <f>'[3]Master File'!C329</f>
        <v>Closed</v>
      </c>
      <c r="G330" s="46"/>
      <c r="I330" s="68" t="s">
        <v>93</v>
      </c>
      <c r="J330" s="68" t="s">
        <v>93</v>
      </c>
      <c r="K330" s="68" t="s">
        <v>93</v>
      </c>
      <c r="L330" s="68" t="s">
        <v>94</v>
      </c>
      <c r="M330" s="68" t="s">
        <v>93</v>
      </c>
      <c r="N330" s="68" t="s">
        <v>93</v>
      </c>
      <c r="O330" s="68" t="s">
        <v>93</v>
      </c>
      <c r="P330" s="68" t="s">
        <v>93</v>
      </c>
      <c r="Q330" s="68" t="s">
        <v>93</v>
      </c>
      <c r="R330" s="68" t="s">
        <v>93</v>
      </c>
      <c r="S330" s="68" t="s">
        <v>93</v>
      </c>
      <c r="T330" s="68" t="s">
        <v>93</v>
      </c>
      <c r="U330" s="68" t="s">
        <v>93</v>
      </c>
      <c r="V330" s="68" t="s">
        <v>93</v>
      </c>
      <c r="W330" s="68" t="s">
        <v>93</v>
      </c>
      <c r="X330" s="68" t="s">
        <v>93</v>
      </c>
      <c r="Y330" s="68" t="s">
        <v>93</v>
      </c>
      <c r="Z330" s="68" t="s">
        <v>94</v>
      </c>
      <c r="AA330" s="68" t="s">
        <v>93</v>
      </c>
      <c r="AB330" s="68" t="s">
        <v>93</v>
      </c>
      <c r="AC330" s="68" t="s">
        <v>93</v>
      </c>
      <c r="AD330" s="68" t="s">
        <v>93</v>
      </c>
      <c r="AE330" s="68" t="s">
        <v>93</v>
      </c>
      <c r="AF330" s="68" t="s">
        <v>93</v>
      </c>
      <c r="AG330" s="68" t="s">
        <v>93</v>
      </c>
      <c r="AH330" s="68" t="s">
        <v>93</v>
      </c>
      <c r="AI330" s="68" t="s">
        <v>93</v>
      </c>
      <c r="AJ330" s="68" t="s">
        <v>93</v>
      </c>
      <c r="AK330" s="68" t="s">
        <v>93</v>
      </c>
      <c r="AL330" s="68" t="s">
        <v>93</v>
      </c>
      <c r="AM330" s="68" t="s">
        <v>93</v>
      </c>
      <c r="AN330" s="68" t="s">
        <v>93</v>
      </c>
      <c r="AO330" s="68" t="s">
        <v>93</v>
      </c>
      <c r="AP330" s="68" t="s">
        <v>93</v>
      </c>
      <c r="AQ330" s="68" t="s">
        <v>93</v>
      </c>
      <c r="AR330" s="68" t="s">
        <v>93</v>
      </c>
      <c r="AS330" s="68" t="s">
        <v>93</v>
      </c>
      <c r="AT330" s="68" t="s">
        <v>93</v>
      </c>
      <c r="AU330" s="68" t="s">
        <v>93</v>
      </c>
      <c r="AV330" s="68" t="s">
        <v>93</v>
      </c>
      <c r="AW330" s="68" t="s">
        <v>93</v>
      </c>
      <c r="AX330" s="68" t="s">
        <v>93</v>
      </c>
      <c r="AY330" s="68" t="s">
        <v>93</v>
      </c>
      <c r="AZ330" s="68" t="s">
        <v>93</v>
      </c>
      <c r="BA330" s="68" t="s">
        <v>93</v>
      </c>
      <c r="BB330" s="68" t="s">
        <v>93</v>
      </c>
      <c r="BC330" s="68" t="s">
        <v>93</v>
      </c>
      <c r="BD330" s="68" t="s">
        <v>93</v>
      </c>
      <c r="BE330" s="68" t="s">
        <v>93</v>
      </c>
      <c r="BF330" s="68" t="s">
        <v>93</v>
      </c>
      <c r="BG330" s="68" t="s">
        <v>93</v>
      </c>
      <c r="BH330" s="68" t="s">
        <v>93</v>
      </c>
      <c r="BI330" s="68" t="s">
        <v>93</v>
      </c>
      <c r="BJ330" s="68" t="s">
        <v>93</v>
      </c>
      <c r="BK330" s="68" t="s">
        <v>93</v>
      </c>
      <c r="BL330" s="68" t="s">
        <v>93</v>
      </c>
      <c r="BM330" s="68" t="s">
        <v>93</v>
      </c>
      <c r="BN330" s="68" t="s">
        <v>93</v>
      </c>
      <c r="BO330" s="68" t="s">
        <v>93</v>
      </c>
      <c r="BP330" s="69" t="s">
        <v>93</v>
      </c>
    </row>
    <row r="331" spans="2:68" x14ac:dyDescent="0.25">
      <c r="B331" s="64">
        <v>11</v>
      </c>
      <c r="C331" s="65">
        <v>47</v>
      </c>
      <c r="D331" s="65" t="s">
        <v>97</v>
      </c>
      <c r="E331" s="66">
        <f>'[3]Master File'!B330</f>
        <v>46344</v>
      </c>
      <c r="F331" s="67" t="str">
        <f>'[3]Master File'!C330</f>
        <v>Closed</v>
      </c>
      <c r="G331" s="46"/>
      <c r="I331" s="68" t="s">
        <v>93</v>
      </c>
      <c r="J331" s="68" t="s">
        <v>93</v>
      </c>
      <c r="K331" s="68" t="s">
        <v>93</v>
      </c>
      <c r="L331" s="68" t="s">
        <v>94</v>
      </c>
      <c r="M331" s="68" t="s">
        <v>93</v>
      </c>
      <c r="N331" s="68" t="s">
        <v>93</v>
      </c>
      <c r="O331" s="68" t="s">
        <v>93</v>
      </c>
      <c r="P331" s="68" t="s">
        <v>93</v>
      </c>
      <c r="Q331" s="68" t="s">
        <v>93</v>
      </c>
      <c r="R331" s="68" t="s">
        <v>93</v>
      </c>
      <c r="S331" s="68" t="s">
        <v>93</v>
      </c>
      <c r="T331" s="68" t="s">
        <v>93</v>
      </c>
      <c r="U331" s="68" t="s">
        <v>93</v>
      </c>
      <c r="V331" s="68" t="s">
        <v>93</v>
      </c>
      <c r="W331" s="68" t="s">
        <v>93</v>
      </c>
      <c r="X331" s="68" t="s">
        <v>93</v>
      </c>
      <c r="Y331" s="68" t="s">
        <v>93</v>
      </c>
      <c r="Z331" s="68" t="s">
        <v>94</v>
      </c>
      <c r="AA331" s="68" t="s">
        <v>93</v>
      </c>
      <c r="AB331" s="68" t="s">
        <v>93</v>
      </c>
      <c r="AC331" s="68" t="s">
        <v>93</v>
      </c>
      <c r="AD331" s="68" t="s">
        <v>93</v>
      </c>
      <c r="AE331" s="68" t="s">
        <v>93</v>
      </c>
      <c r="AF331" s="68" t="s">
        <v>93</v>
      </c>
      <c r="AG331" s="68" t="s">
        <v>93</v>
      </c>
      <c r="AH331" s="68" t="s">
        <v>93</v>
      </c>
      <c r="AI331" s="68" t="s">
        <v>93</v>
      </c>
      <c r="AJ331" s="68" t="s">
        <v>93</v>
      </c>
      <c r="AK331" s="68" t="s">
        <v>93</v>
      </c>
      <c r="AL331" s="68" t="s">
        <v>93</v>
      </c>
      <c r="AM331" s="68" t="s">
        <v>93</v>
      </c>
      <c r="AN331" s="68" t="s">
        <v>93</v>
      </c>
      <c r="AO331" s="68" t="s">
        <v>93</v>
      </c>
      <c r="AP331" s="68" t="s">
        <v>93</v>
      </c>
      <c r="AQ331" s="68" t="s">
        <v>93</v>
      </c>
      <c r="AR331" s="68" t="s">
        <v>93</v>
      </c>
      <c r="AS331" s="68" t="s">
        <v>93</v>
      </c>
      <c r="AT331" s="68" t="s">
        <v>93</v>
      </c>
      <c r="AU331" s="68" t="s">
        <v>93</v>
      </c>
      <c r="AV331" s="68" t="s">
        <v>93</v>
      </c>
      <c r="AW331" s="68" t="s">
        <v>93</v>
      </c>
      <c r="AX331" s="68" t="s">
        <v>93</v>
      </c>
      <c r="AY331" s="68" t="s">
        <v>93</v>
      </c>
      <c r="AZ331" s="68" t="s">
        <v>93</v>
      </c>
      <c r="BA331" s="68" t="s">
        <v>93</v>
      </c>
      <c r="BB331" s="68" t="s">
        <v>93</v>
      </c>
      <c r="BC331" s="68" t="s">
        <v>93</v>
      </c>
      <c r="BD331" s="68" t="s">
        <v>93</v>
      </c>
      <c r="BE331" s="68" t="s">
        <v>93</v>
      </c>
      <c r="BF331" s="68" t="s">
        <v>93</v>
      </c>
      <c r="BG331" s="68" t="s">
        <v>93</v>
      </c>
      <c r="BH331" s="68" t="s">
        <v>93</v>
      </c>
      <c r="BI331" s="68" t="s">
        <v>93</v>
      </c>
      <c r="BJ331" s="68" t="s">
        <v>93</v>
      </c>
      <c r="BK331" s="68" t="s">
        <v>93</v>
      </c>
      <c r="BL331" s="68" t="s">
        <v>93</v>
      </c>
      <c r="BM331" s="68" t="s">
        <v>93</v>
      </c>
      <c r="BN331" s="68" t="s">
        <v>93</v>
      </c>
      <c r="BO331" s="68" t="s">
        <v>93</v>
      </c>
      <c r="BP331" s="69" t="s">
        <v>93</v>
      </c>
    </row>
    <row r="332" spans="2:68" x14ac:dyDescent="0.25">
      <c r="B332" s="64">
        <v>11</v>
      </c>
      <c r="C332" s="65">
        <v>47</v>
      </c>
      <c r="D332" s="65" t="s">
        <v>98</v>
      </c>
      <c r="E332" s="66">
        <f>'[3]Master File'!B331</f>
        <v>46345</v>
      </c>
      <c r="F332" s="67" t="str">
        <f>'[3]Master File'!C331</f>
        <v>Closed</v>
      </c>
      <c r="G332" s="46"/>
      <c r="I332" s="68" t="s">
        <v>93</v>
      </c>
      <c r="J332" s="68" t="s">
        <v>93</v>
      </c>
      <c r="K332" s="68" t="s">
        <v>93</v>
      </c>
      <c r="L332" s="68" t="s">
        <v>94</v>
      </c>
      <c r="M332" s="68" t="s">
        <v>93</v>
      </c>
      <c r="N332" s="68" t="s">
        <v>93</v>
      </c>
      <c r="O332" s="68" t="s">
        <v>93</v>
      </c>
      <c r="P332" s="68" t="s">
        <v>93</v>
      </c>
      <c r="Q332" s="68" t="s">
        <v>93</v>
      </c>
      <c r="R332" s="68" t="s">
        <v>93</v>
      </c>
      <c r="S332" s="68" t="s">
        <v>93</v>
      </c>
      <c r="T332" s="68" t="s">
        <v>93</v>
      </c>
      <c r="U332" s="68" t="s">
        <v>93</v>
      </c>
      <c r="V332" s="68" t="s">
        <v>93</v>
      </c>
      <c r="W332" s="68" t="s">
        <v>93</v>
      </c>
      <c r="X332" s="68" t="s">
        <v>93</v>
      </c>
      <c r="Y332" s="68" t="s">
        <v>93</v>
      </c>
      <c r="Z332" s="68" t="s">
        <v>94</v>
      </c>
      <c r="AA332" s="68" t="s">
        <v>93</v>
      </c>
      <c r="AB332" s="68" t="s">
        <v>93</v>
      </c>
      <c r="AC332" s="68" t="s">
        <v>93</v>
      </c>
      <c r="AD332" s="68" t="s">
        <v>93</v>
      </c>
      <c r="AE332" s="68" t="s">
        <v>93</v>
      </c>
      <c r="AF332" s="68" t="s">
        <v>93</v>
      </c>
      <c r="AG332" s="68" t="s">
        <v>93</v>
      </c>
      <c r="AH332" s="68" t="s">
        <v>93</v>
      </c>
      <c r="AI332" s="68" t="s">
        <v>93</v>
      </c>
      <c r="AJ332" s="68" t="s">
        <v>93</v>
      </c>
      <c r="AK332" s="68" t="s">
        <v>93</v>
      </c>
      <c r="AL332" s="68" t="s">
        <v>93</v>
      </c>
      <c r="AM332" s="68" t="s">
        <v>93</v>
      </c>
      <c r="AN332" s="68" t="s">
        <v>93</v>
      </c>
      <c r="AO332" s="68" t="s">
        <v>93</v>
      </c>
      <c r="AP332" s="68" t="s">
        <v>93</v>
      </c>
      <c r="AQ332" s="68" t="s">
        <v>93</v>
      </c>
      <c r="AR332" s="68" t="s">
        <v>93</v>
      </c>
      <c r="AS332" s="68" t="s">
        <v>93</v>
      </c>
      <c r="AT332" s="68" t="s">
        <v>93</v>
      </c>
      <c r="AU332" s="68" t="s">
        <v>93</v>
      </c>
      <c r="AV332" s="68" t="s">
        <v>93</v>
      </c>
      <c r="AW332" s="68" t="s">
        <v>93</v>
      </c>
      <c r="AX332" s="68" t="s">
        <v>93</v>
      </c>
      <c r="AY332" s="68" t="s">
        <v>93</v>
      </c>
      <c r="AZ332" s="68" t="s">
        <v>93</v>
      </c>
      <c r="BA332" s="68" t="s">
        <v>93</v>
      </c>
      <c r="BB332" s="68" t="s">
        <v>93</v>
      </c>
      <c r="BC332" s="68" t="s">
        <v>93</v>
      </c>
      <c r="BD332" s="68" t="s">
        <v>93</v>
      </c>
      <c r="BE332" s="68" t="s">
        <v>93</v>
      </c>
      <c r="BF332" s="68" t="s">
        <v>93</v>
      </c>
      <c r="BG332" s="68" t="s">
        <v>93</v>
      </c>
      <c r="BH332" s="68" t="s">
        <v>93</v>
      </c>
      <c r="BI332" s="68" t="s">
        <v>93</v>
      </c>
      <c r="BJ332" s="68" t="s">
        <v>93</v>
      </c>
      <c r="BK332" s="68" t="s">
        <v>93</v>
      </c>
      <c r="BL332" s="68" t="s">
        <v>93</v>
      </c>
      <c r="BM332" s="68" t="s">
        <v>93</v>
      </c>
      <c r="BN332" s="68" t="s">
        <v>93</v>
      </c>
      <c r="BO332" s="68" t="s">
        <v>93</v>
      </c>
      <c r="BP332" s="69" t="s">
        <v>93</v>
      </c>
    </row>
    <row r="333" spans="2:68" x14ac:dyDescent="0.25">
      <c r="B333" s="64">
        <v>11</v>
      </c>
      <c r="C333" s="65">
        <v>47</v>
      </c>
      <c r="D333" s="65" t="s">
        <v>99</v>
      </c>
      <c r="E333" s="66">
        <f>'[3]Master File'!B332</f>
        <v>46346</v>
      </c>
      <c r="F333" s="67" t="str">
        <f>'[3]Master File'!C332</f>
        <v>Closed</v>
      </c>
      <c r="G333" s="46"/>
      <c r="I333" s="68" t="s">
        <v>93</v>
      </c>
      <c r="J333" s="68" t="s">
        <v>93</v>
      </c>
      <c r="K333" s="68" t="s">
        <v>93</v>
      </c>
      <c r="L333" s="68" t="s">
        <v>94</v>
      </c>
      <c r="M333" s="68" t="s">
        <v>93</v>
      </c>
      <c r="N333" s="68" t="s">
        <v>93</v>
      </c>
      <c r="O333" s="68" t="s">
        <v>93</v>
      </c>
      <c r="P333" s="68" t="s">
        <v>93</v>
      </c>
      <c r="Q333" s="68" t="s">
        <v>93</v>
      </c>
      <c r="R333" s="68" t="s">
        <v>93</v>
      </c>
      <c r="S333" s="68" t="s">
        <v>93</v>
      </c>
      <c r="T333" s="68" t="s">
        <v>93</v>
      </c>
      <c r="U333" s="68" t="s">
        <v>93</v>
      </c>
      <c r="V333" s="68" t="s">
        <v>93</v>
      </c>
      <c r="W333" s="68" t="s">
        <v>93</v>
      </c>
      <c r="X333" s="68" t="s">
        <v>93</v>
      </c>
      <c r="Y333" s="68" t="s">
        <v>93</v>
      </c>
      <c r="Z333" s="68" t="s">
        <v>94</v>
      </c>
      <c r="AA333" s="68" t="s">
        <v>93</v>
      </c>
      <c r="AB333" s="68" t="s">
        <v>93</v>
      </c>
      <c r="AC333" s="68" t="s">
        <v>93</v>
      </c>
      <c r="AD333" s="68" t="s">
        <v>93</v>
      </c>
      <c r="AE333" s="68" t="s">
        <v>93</v>
      </c>
      <c r="AF333" s="68" t="s">
        <v>93</v>
      </c>
      <c r="AG333" s="68" t="s">
        <v>93</v>
      </c>
      <c r="AH333" s="68" t="s">
        <v>93</v>
      </c>
      <c r="AI333" s="68" t="s">
        <v>93</v>
      </c>
      <c r="AJ333" s="68" t="s">
        <v>93</v>
      </c>
      <c r="AK333" s="68" t="s">
        <v>93</v>
      </c>
      <c r="AL333" s="68" t="s">
        <v>93</v>
      </c>
      <c r="AM333" s="68" t="s">
        <v>93</v>
      </c>
      <c r="AN333" s="68" t="s">
        <v>93</v>
      </c>
      <c r="AO333" s="68" t="s">
        <v>93</v>
      </c>
      <c r="AP333" s="68" t="s">
        <v>93</v>
      </c>
      <c r="AQ333" s="68" t="s">
        <v>93</v>
      </c>
      <c r="AR333" s="68" t="s">
        <v>93</v>
      </c>
      <c r="AS333" s="68" t="s">
        <v>93</v>
      </c>
      <c r="AT333" s="68" t="s">
        <v>93</v>
      </c>
      <c r="AU333" s="68" t="s">
        <v>93</v>
      </c>
      <c r="AV333" s="68" t="s">
        <v>93</v>
      </c>
      <c r="AW333" s="68" t="s">
        <v>93</v>
      </c>
      <c r="AX333" s="68" t="s">
        <v>93</v>
      </c>
      <c r="AY333" s="68" t="s">
        <v>93</v>
      </c>
      <c r="AZ333" s="68" t="s">
        <v>93</v>
      </c>
      <c r="BA333" s="68" t="s">
        <v>93</v>
      </c>
      <c r="BB333" s="68" t="s">
        <v>93</v>
      </c>
      <c r="BC333" s="68" t="s">
        <v>93</v>
      </c>
      <c r="BD333" s="68" t="s">
        <v>93</v>
      </c>
      <c r="BE333" s="68" t="s">
        <v>93</v>
      </c>
      <c r="BF333" s="68" t="s">
        <v>93</v>
      </c>
      <c r="BG333" s="68" t="s">
        <v>93</v>
      </c>
      <c r="BH333" s="68" t="s">
        <v>93</v>
      </c>
      <c r="BI333" s="68" t="s">
        <v>93</v>
      </c>
      <c r="BJ333" s="68" t="s">
        <v>93</v>
      </c>
      <c r="BK333" s="68" t="s">
        <v>93</v>
      </c>
      <c r="BL333" s="68" t="s">
        <v>93</v>
      </c>
      <c r="BM333" s="68" t="s">
        <v>93</v>
      </c>
      <c r="BN333" s="68" t="s">
        <v>93</v>
      </c>
      <c r="BO333" s="68" t="s">
        <v>93</v>
      </c>
      <c r="BP333" s="69" t="s">
        <v>93</v>
      </c>
    </row>
    <row r="334" spans="2:68" x14ac:dyDescent="0.25">
      <c r="B334" s="64">
        <v>11</v>
      </c>
      <c r="C334" s="65">
        <v>47</v>
      </c>
      <c r="D334" s="65" t="s">
        <v>100</v>
      </c>
      <c r="E334" s="66">
        <f>'[3]Master File'!B333</f>
        <v>46347</v>
      </c>
      <c r="F334" s="67" t="str">
        <f>'[3]Master File'!C333</f>
        <v>WT Off-Peak</v>
      </c>
      <c r="G334" s="46"/>
      <c r="I334" s="74" t="s">
        <v>93</v>
      </c>
      <c r="J334" s="74" t="s">
        <v>93</v>
      </c>
      <c r="K334" s="74" t="s">
        <v>93</v>
      </c>
      <c r="L334" s="68" t="s">
        <v>94</v>
      </c>
      <c r="M334" s="74" t="s">
        <v>93</v>
      </c>
      <c r="N334" s="74" t="s">
        <v>93</v>
      </c>
      <c r="O334" s="74" t="s">
        <v>93</v>
      </c>
      <c r="P334" s="74" t="s">
        <v>93</v>
      </c>
      <c r="Q334" s="74" t="s">
        <v>93</v>
      </c>
      <c r="R334" s="74" t="s">
        <v>93</v>
      </c>
      <c r="S334" s="74" t="s">
        <v>93</v>
      </c>
      <c r="T334" s="74" t="s">
        <v>93</v>
      </c>
      <c r="U334" s="74" t="s">
        <v>93</v>
      </c>
      <c r="V334" s="74" t="s">
        <v>93</v>
      </c>
      <c r="W334" s="74" t="s">
        <v>93</v>
      </c>
      <c r="X334" s="74" t="s">
        <v>93</v>
      </c>
      <c r="Y334" s="74" t="s">
        <v>93</v>
      </c>
      <c r="Z334" s="68" t="s">
        <v>94</v>
      </c>
      <c r="AA334" s="74" t="s">
        <v>93</v>
      </c>
      <c r="AB334" s="74" t="s">
        <v>93</v>
      </c>
      <c r="AC334" s="74" t="s">
        <v>93</v>
      </c>
      <c r="AD334" s="74" t="s">
        <v>94</v>
      </c>
      <c r="AE334" s="74" t="s">
        <v>94</v>
      </c>
      <c r="AF334" s="74" t="s">
        <v>93</v>
      </c>
      <c r="AG334" s="74" t="s">
        <v>93</v>
      </c>
      <c r="AH334" s="74" t="s">
        <v>93</v>
      </c>
      <c r="AI334" s="74" t="s">
        <v>93</v>
      </c>
      <c r="AJ334" s="74" t="s">
        <v>93</v>
      </c>
      <c r="AK334" s="74" t="s">
        <v>93</v>
      </c>
      <c r="AL334" s="74" t="s">
        <v>93</v>
      </c>
      <c r="AM334" s="74" t="s">
        <v>93</v>
      </c>
      <c r="AN334" s="74" t="s">
        <v>93</v>
      </c>
      <c r="AO334" s="74" t="s">
        <v>93</v>
      </c>
      <c r="AP334" s="74" t="s">
        <v>93</v>
      </c>
      <c r="AQ334" s="74" t="s">
        <v>93</v>
      </c>
      <c r="AR334" s="74" t="s">
        <v>93</v>
      </c>
      <c r="AS334" s="74" t="s">
        <v>93</v>
      </c>
      <c r="AT334" s="74" t="s">
        <v>93</v>
      </c>
      <c r="AU334" s="74" t="s">
        <v>93</v>
      </c>
      <c r="AV334" s="74" t="s">
        <v>93</v>
      </c>
      <c r="AW334" s="74" t="s">
        <v>93</v>
      </c>
      <c r="AX334" s="74" t="s">
        <v>93</v>
      </c>
      <c r="AY334" s="74" t="s">
        <v>93</v>
      </c>
      <c r="AZ334" s="74" t="s">
        <v>93</v>
      </c>
      <c r="BA334" s="74" t="s">
        <v>93</v>
      </c>
      <c r="BB334" s="74" t="s">
        <v>93</v>
      </c>
      <c r="BC334" s="74" t="s">
        <v>93</v>
      </c>
      <c r="BD334" s="74" t="s">
        <v>93</v>
      </c>
      <c r="BE334" s="74" t="s">
        <v>93</v>
      </c>
      <c r="BF334" s="74" t="s">
        <v>93</v>
      </c>
      <c r="BG334" s="74" t="s">
        <v>93</v>
      </c>
      <c r="BH334" s="74" t="s">
        <v>93</v>
      </c>
      <c r="BI334" s="74" t="s">
        <v>93</v>
      </c>
      <c r="BJ334" s="74" t="s">
        <v>93</v>
      </c>
      <c r="BK334" s="74" t="s">
        <v>93</v>
      </c>
      <c r="BL334" s="74" t="s">
        <v>93</v>
      </c>
      <c r="BM334" s="74" t="s">
        <v>93</v>
      </c>
      <c r="BN334" s="74" t="s">
        <v>93</v>
      </c>
      <c r="BO334" s="74" t="s">
        <v>93</v>
      </c>
      <c r="BP334" s="75" t="s">
        <v>93</v>
      </c>
    </row>
    <row r="335" spans="2:68" x14ac:dyDescent="0.25">
      <c r="B335" s="64">
        <v>11</v>
      </c>
      <c r="C335" s="65">
        <v>48</v>
      </c>
      <c r="D335" s="65" t="s">
        <v>92</v>
      </c>
      <c r="E335" s="66">
        <f>'[3]Master File'!B334</f>
        <v>46348</v>
      </c>
      <c r="F335" s="67" t="str">
        <f>'[3]Master File'!C334</f>
        <v>WT Off-Peak</v>
      </c>
      <c r="G335" s="46"/>
      <c r="I335" s="74" t="s">
        <v>93</v>
      </c>
      <c r="J335" s="74" t="s">
        <v>93</v>
      </c>
      <c r="K335" s="74" t="s">
        <v>93</v>
      </c>
      <c r="L335" s="68" t="s">
        <v>94</v>
      </c>
      <c r="M335" s="74" t="s">
        <v>93</v>
      </c>
      <c r="N335" s="74" t="s">
        <v>93</v>
      </c>
      <c r="O335" s="74" t="s">
        <v>93</v>
      </c>
      <c r="P335" s="74" t="s">
        <v>93</v>
      </c>
      <c r="Q335" s="74" t="s">
        <v>93</v>
      </c>
      <c r="R335" s="74" t="s">
        <v>93</v>
      </c>
      <c r="S335" s="74" t="s">
        <v>93</v>
      </c>
      <c r="T335" s="74" t="s">
        <v>93</v>
      </c>
      <c r="U335" s="74" t="s">
        <v>93</v>
      </c>
      <c r="V335" s="74" t="s">
        <v>93</v>
      </c>
      <c r="W335" s="74" t="s">
        <v>93</v>
      </c>
      <c r="X335" s="74" t="s">
        <v>93</v>
      </c>
      <c r="Y335" s="74" t="s">
        <v>93</v>
      </c>
      <c r="Z335" s="68" t="s">
        <v>94</v>
      </c>
      <c r="AA335" s="74" t="s">
        <v>93</v>
      </c>
      <c r="AB335" s="74" t="s">
        <v>93</v>
      </c>
      <c r="AC335" s="74" t="s">
        <v>93</v>
      </c>
      <c r="AD335" s="74" t="s">
        <v>94</v>
      </c>
      <c r="AE335" s="74" t="s">
        <v>94</v>
      </c>
      <c r="AF335" s="74" t="s">
        <v>93</v>
      </c>
      <c r="AG335" s="74" t="s">
        <v>93</v>
      </c>
      <c r="AH335" s="74" t="s">
        <v>93</v>
      </c>
      <c r="AI335" s="74" t="s">
        <v>93</v>
      </c>
      <c r="AJ335" s="74" t="s">
        <v>93</v>
      </c>
      <c r="AK335" s="74" t="s">
        <v>93</v>
      </c>
      <c r="AL335" s="74" t="s">
        <v>93</v>
      </c>
      <c r="AM335" s="74" t="s">
        <v>93</v>
      </c>
      <c r="AN335" s="74" t="s">
        <v>93</v>
      </c>
      <c r="AO335" s="74" t="s">
        <v>93</v>
      </c>
      <c r="AP335" s="74" t="s">
        <v>93</v>
      </c>
      <c r="AQ335" s="74" t="s">
        <v>93</v>
      </c>
      <c r="AR335" s="74" t="s">
        <v>93</v>
      </c>
      <c r="AS335" s="74" t="s">
        <v>93</v>
      </c>
      <c r="AT335" s="74" t="s">
        <v>93</v>
      </c>
      <c r="AU335" s="74" t="s">
        <v>93</v>
      </c>
      <c r="AV335" s="74" t="s">
        <v>93</v>
      </c>
      <c r="AW335" s="74" t="s">
        <v>93</v>
      </c>
      <c r="AX335" s="74" t="s">
        <v>93</v>
      </c>
      <c r="AY335" s="74" t="s">
        <v>93</v>
      </c>
      <c r="AZ335" s="74" t="s">
        <v>93</v>
      </c>
      <c r="BA335" s="74" t="s">
        <v>93</v>
      </c>
      <c r="BB335" s="74" t="s">
        <v>93</v>
      </c>
      <c r="BC335" s="74" t="s">
        <v>93</v>
      </c>
      <c r="BD335" s="74" t="s">
        <v>93</v>
      </c>
      <c r="BE335" s="74" t="s">
        <v>93</v>
      </c>
      <c r="BF335" s="74" t="s">
        <v>93</v>
      </c>
      <c r="BG335" s="74" t="s">
        <v>93</v>
      </c>
      <c r="BH335" s="74" t="s">
        <v>93</v>
      </c>
      <c r="BI335" s="74" t="s">
        <v>93</v>
      </c>
      <c r="BJ335" s="74" t="s">
        <v>93</v>
      </c>
      <c r="BK335" s="74" t="s">
        <v>93</v>
      </c>
      <c r="BL335" s="74" t="s">
        <v>93</v>
      </c>
      <c r="BM335" s="74" t="s">
        <v>93</v>
      </c>
      <c r="BN335" s="74" t="s">
        <v>93</v>
      </c>
      <c r="BO335" s="74" t="s">
        <v>93</v>
      </c>
      <c r="BP335" s="75" t="s">
        <v>93</v>
      </c>
    </row>
    <row r="336" spans="2:68" x14ac:dyDescent="0.25">
      <c r="B336" s="64">
        <v>11</v>
      </c>
      <c r="C336" s="65">
        <v>48</v>
      </c>
      <c r="D336" s="65" t="s">
        <v>95</v>
      </c>
      <c r="E336" s="66">
        <f>'[3]Master File'!B335</f>
        <v>46349</v>
      </c>
      <c r="F336" s="67" t="str">
        <f>'[3]Master File'!C335</f>
        <v>Closed</v>
      </c>
      <c r="G336" s="46"/>
      <c r="I336" s="68" t="s">
        <v>93</v>
      </c>
      <c r="J336" s="68" t="s">
        <v>93</v>
      </c>
      <c r="K336" s="68" t="s">
        <v>93</v>
      </c>
      <c r="L336" s="68" t="s">
        <v>94</v>
      </c>
      <c r="M336" s="68" t="s">
        <v>93</v>
      </c>
      <c r="N336" s="68" t="s">
        <v>93</v>
      </c>
      <c r="O336" s="68" t="s">
        <v>93</v>
      </c>
      <c r="P336" s="68" t="s">
        <v>93</v>
      </c>
      <c r="Q336" s="68" t="s">
        <v>93</v>
      </c>
      <c r="R336" s="68" t="s">
        <v>93</v>
      </c>
      <c r="S336" s="68" t="s">
        <v>93</v>
      </c>
      <c r="T336" s="68" t="s">
        <v>93</v>
      </c>
      <c r="U336" s="68" t="s">
        <v>93</v>
      </c>
      <c r="V336" s="68" t="s">
        <v>93</v>
      </c>
      <c r="W336" s="68" t="s">
        <v>93</v>
      </c>
      <c r="X336" s="68" t="s">
        <v>93</v>
      </c>
      <c r="Y336" s="68" t="s">
        <v>93</v>
      </c>
      <c r="Z336" s="68" t="s">
        <v>94</v>
      </c>
      <c r="AA336" s="68" t="s">
        <v>93</v>
      </c>
      <c r="AB336" s="68" t="s">
        <v>93</v>
      </c>
      <c r="AC336" s="68" t="s">
        <v>93</v>
      </c>
      <c r="AD336" s="68" t="s">
        <v>93</v>
      </c>
      <c r="AE336" s="68" t="s">
        <v>93</v>
      </c>
      <c r="AF336" s="68" t="s">
        <v>93</v>
      </c>
      <c r="AG336" s="68" t="s">
        <v>93</v>
      </c>
      <c r="AH336" s="68" t="s">
        <v>93</v>
      </c>
      <c r="AI336" s="68" t="s">
        <v>93</v>
      </c>
      <c r="AJ336" s="68" t="s">
        <v>93</v>
      </c>
      <c r="AK336" s="68" t="s">
        <v>93</v>
      </c>
      <c r="AL336" s="68" t="s">
        <v>93</v>
      </c>
      <c r="AM336" s="68" t="s">
        <v>93</v>
      </c>
      <c r="AN336" s="68" t="s">
        <v>93</v>
      </c>
      <c r="AO336" s="68" t="s">
        <v>93</v>
      </c>
      <c r="AP336" s="68" t="s">
        <v>93</v>
      </c>
      <c r="AQ336" s="68" t="s">
        <v>93</v>
      </c>
      <c r="AR336" s="68" t="s">
        <v>93</v>
      </c>
      <c r="AS336" s="68" t="s">
        <v>93</v>
      </c>
      <c r="AT336" s="68" t="s">
        <v>93</v>
      </c>
      <c r="AU336" s="68" t="s">
        <v>93</v>
      </c>
      <c r="AV336" s="68" t="s">
        <v>93</v>
      </c>
      <c r="AW336" s="68" t="s">
        <v>93</v>
      </c>
      <c r="AX336" s="68" t="s">
        <v>93</v>
      </c>
      <c r="AY336" s="68" t="s">
        <v>93</v>
      </c>
      <c r="AZ336" s="68" t="s">
        <v>93</v>
      </c>
      <c r="BA336" s="68" t="s">
        <v>93</v>
      </c>
      <c r="BB336" s="68" t="s">
        <v>93</v>
      </c>
      <c r="BC336" s="68" t="s">
        <v>93</v>
      </c>
      <c r="BD336" s="68" t="s">
        <v>93</v>
      </c>
      <c r="BE336" s="68" t="s">
        <v>93</v>
      </c>
      <c r="BF336" s="68" t="s">
        <v>93</v>
      </c>
      <c r="BG336" s="68" t="s">
        <v>93</v>
      </c>
      <c r="BH336" s="68" t="s">
        <v>93</v>
      </c>
      <c r="BI336" s="68" t="s">
        <v>93</v>
      </c>
      <c r="BJ336" s="68" t="s">
        <v>93</v>
      </c>
      <c r="BK336" s="68" t="s">
        <v>93</v>
      </c>
      <c r="BL336" s="68" t="s">
        <v>93</v>
      </c>
      <c r="BM336" s="68" t="s">
        <v>93</v>
      </c>
      <c r="BN336" s="68" t="s">
        <v>93</v>
      </c>
      <c r="BO336" s="68" t="s">
        <v>93</v>
      </c>
      <c r="BP336" s="69" t="s">
        <v>93</v>
      </c>
    </row>
    <row r="337" spans="2:68" x14ac:dyDescent="0.25">
      <c r="B337" s="64">
        <v>11</v>
      </c>
      <c r="C337" s="65">
        <v>48</v>
      </c>
      <c r="D337" s="65" t="s">
        <v>96</v>
      </c>
      <c r="E337" s="66">
        <f>'[3]Master File'!B336</f>
        <v>46350</v>
      </c>
      <c r="F337" s="67" t="str">
        <f>'[3]Master File'!C336</f>
        <v>Closed</v>
      </c>
      <c r="G337" s="46"/>
      <c r="I337" s="68" t="s">
        <v>93</v>
      </c>
      <c r="J337" s="68" t="s">
        <v>93</v>
      </c>
      <c r="K337" s="68" t="s">
        <v>93</v>
      </c>
      <c r="L337" s="68" t="s">
        <v>94</v>
      </c>
      <c r="M337" s="68" t="s">
        <v>93</v>
      </c>
      <c r="N337" s="68" t="s">
        <v>93</v>
      </c>
      <c r="O337" s="68" t="s">
        <v>93</v>
      </c>
      <c r="P337" s="68" t="s">
        <v>93</v>
      </c>
      <c r="Q337" s="68" t="s">
        <v>93</v>
      </c>
      <c r="R337" s="68" t="s">
        <v>93</v>
      </c>
      <c r="S337" s="68" t="s">
        <v>93</v>
      </c>
      <c r="T337" s="68" t="s">
        <v>93</v>
      </c>
      <c r="U337" s="68" t="s">
        <v>93</v>
      </c>
      <c r="V337" s="68" t="s">
        <v>93</v>
      </c>
      <c r="W337" s="68" t="s">
        <v>93</v>
      </c>
      <c r="X337" s="68" t="s">
        <v>93</v>
      </c>
      <c r="Y337" s="68" t="s">
        <v>93</v>
      </c>
      <c r="Z337" s="68" t="s">
        <v>94</v>
      </c>
      <c r="AA337" s="68" t="s">
        <v>93</v>
      </c>
      <c r="AB337" s="68" t="s">
        <v>93</v>
      </c>
      <c r="AC337" s="68" t="s">
        <v>93</v>
      </c>
      <c r="AD337" s="68" t="s">
        <v>93</v>
      </c>
      <c r="AE337" s="68" t="s">
        <v>93</v>
      </c>
      <c r="AF337" s="68" t="s">
        <v>93</v>
      </c>
      <c r="AG337" s="68" t="s">
        <v>93</v>
      </c>
      <c r="AH337" s="68" t="s">
        <v>93</v>
      </c>
      <c r="AI337" s="68" t="s">
        <v>93</v>
      </c>
      <c r="AJ337" s="68" t="s">
        <v>93</v>
      </c>
      <c r="AK337" s="68" t="s">
        <v>93</v>
      </c>
      <c r="AL337" s="68" t="s">
        <v>93</v>
      </c>
      <c r="AM337" s="68" t="s">
        <v>93</v>
      </c>
      <c r="AN337" s="68" t="s">
        <v>93</v>
      </c>
      <c r="AO337" s="68" t="s">
        <v>93</v>
      </c>
      <c r="AP337" s="68" t="s">
        <v>93</v>
      </c>
      <c r="AQ337" s="68" t="s">
        <v>93</v>
      </c>
      <c r="AR337" s="68" t="s">
        <v>93</v>
      </c>
      <c r="AS337" s="68" t="s">
        <v>93</v>
      </c>
      <c r="AT337" s="68" t="s">
        <v>93</v>
      </c>
      <c r="AU337" s="68" t="s">
        <v>93</v>
      </c>
      <c r="AV337" s="68" t="s">
        <v>93</v>
      </c>
      <c r="AW337" s="68" t="s">
        <v>93</v>
      </c>
      <c r="AX337" s="68" t="s">
        <v>93</v>
      </c>
      <c r="AY337" s="68" t="s">
        <v>93</v>
      </c>
      <c r="AZ337" s="68" t="s">
        <v>93</v>
      </c>
      <c r="BA337" s="68" t="s">
        <v>93</v>
      </c>
      <c r="BB337" s="68" t="s">
        <v>93</v>
      </c>
      <c r="BC337" s="68" t="s">
        <v>93</v>
      </c>
      <c r="BD337" s="68" t="s">
        <v>93</v>
      </c>
      <c r="BE337" s="68" t="s">
        <v>93</v>
      </c>
      <c r="BF337" s="68" t="s">
        <v>93</v>
      </c>
      <c r="BG337" s="68" t="s">
        <v>93</v>
      </c>
      <c r="BH337" s="68" t="s">
        <v>93</v>
      </c>
      <c r="BI337" s="68" t="s">
        <v>93</v>
      </c>
      <c r="BJ337" s="68" t="s">
        <v>93</v>
      </c>
      <c r="BK337" s="68" t="s">
        <v>93</v>
      </c>
      <c r="BL337" s="68" t="s">
        <v>93</v>
      </c>
      <c r="BM337" s="68" t="s">
        <v>93</v>
      </c>
      <c r="BN337" s="68" t="s">
        <v>93</v>
      </c>
      <c r="BO337" s="68" t="s">
        <v>93</v>
      </c>
      <c r="BP337" s="69" t="s">
        <v>93</v>
      </c>
    </row>
    <row r="338" spans="2:68" x14ac:dyDescent="0.25">
      <c r="B338" s="64">
        <v>11</v>
      </c>
      <c r="C338" s="65">
        <v>48</v>
      </c>
      <c r="D338" s="65" t="s">
        <v>97</v>
      </c>
      <c r="E338" s="66">
        <f>'[3]Master File'!B337</f>
        <v>46351</v>
      </c>
      <c r="F338" s="67" t="str">
        <f>'[3]Master File'!C337</f>
        <v>Closed</v>
      </c>
      <c r="G338" s="46"/>
      <c r="I338" s="68" t="s">
        <v>93</v>
      </c>
      <c r="J338" s="68" t="s">
        <v>93</v>
      </c>
      <c r="K338" s="68" t="s">
        <v>93</v>
      </c>
      <c r="L338" s="68" t="s">
        <v>94</v>
      </c>
      <c r="M338" s="68" t="s">
        <v>93</v>
      </c>
      <c r="N338" s="68" t="s">
        <v>93</v>
      </c>
      <c r="O338" s="68" t="s">
        <v>93</v>
      </c>
      <c r="P338" s="68" t="s">
        <v>93</v>
      </c>
      <c r="Q338" s="68" t="s">
        <v>93</v>
      </c>
      <c r="R338" s="68" t="s">
        <v>93</v>
      </c>
      <c r="S338" s="68" t="s">
        <v>93</v>
      </c>
      <c r="T338" s="68" t="s">
        <v>93</v>
      </c>
      <c r="U338" s="68" t="s">
        <v>93</v>
      </c>
      <c r="V338" s="68" t="s">
        <v>93</v>
      </c>
      <c r="W338" s="68" t="s">
        <v>93</v>
      </c>
      <c r="X338" s="68" t="s">
        <v>93</v>
      </c>
      <c r="Y338" s="68" t="s">
        <v>93</v>
      </c>
      <c r="Z338" s="68" t="s">
        <v>94</v>
      </c>
      <c r="AA338" s="68" t="s">
        <v>93</v>
      </c>
      <c r="AB338" s="68" t="s">
        <v>93</v>
      </c>
      <c r="AC338" s="68" t="s">
        <v>93</v>
      </c>
      <c r="AD338" s="68" t="s">
        <v>93</v>
      </c>
      <c r="AE338" s="68" t="s">
        <v>93</v>
      </c>
      <c r="AF338" s="68" t="s">
        <v>93</v>
      </c>
      <c r="AG338" s="68" t="s">
        <v>93</v>
      </c>
      <c r="AH338" s="68" t="s">
        <v>93</v>
      </c>
      <c r="AI338" s="68" t="s">
        <v>93</v>
      </c>
      <c r="AJ338" s="68" t="s">
        <v>93</v>
      </c>
      <c r="AK338" s="68" t="s">
        <v>93</v>
      </c>
      <c r="AL338" s="68" t="s">
        <v>93</v>
      </c>
      <c r="AM338" s="68" t="s">
        <v>93</v>
      </c>
      <c r="AN338" s="68" t="s">
        <v>93</v>
      </c>
      <c r="AO338" s="68" t="s">
        <v>93</v>
      </c>
      <c r="AP338" s="68" t="s">
        <v>93</v>
      </c>
      <c r="AQ338" s="68" t="s">
        <v>93</v>
      </c>
      <c r="AR338" s="68" t="s">
        <v>93</v>
      </c>
      <c r="AS338" s="68" t="s">
        <v>93</v>
      </c>
      <c r="AT338" s="68" t="s">
        <v>93</v>
      </c>
      <c r="AU338" s="68" t="s">
        <v>93</v>
      </c>
      <c r="AV338" s="68" t="s">
        <v>93</v>
      </c>
      <c r="AW338" s="68" t="s">
        <v>93</v>
      </c>
      <c r="AX338" s="68" t="s">
        <v>93</v>
      </c>
      <c r="AY338" s="68" t="s">
        <v>93</v>
      </c>
      <c r="AZ338" s="68" t="s">
        <v>93</v>
      </c>
      <c r="BA338" s="68" t="s">
        <v>93</v>
      </c>
      <c r="BB338" s="68" t="s">
        <v>93</v>
      </c>
      <c r="BC338" s="68" t="s">
        <v>93</v>
      </c>
      <c r="BD338" s="68" t="s">
        <v>93</v>
      </c>
      <c r="BE338" s="68" t="s">
        <v>93</v>
      </c>
      <c r="BF338" s="68" t="s">
        <v>93</v>
      </c>
      <c r="BG338" s="68" t="s">
        <v>93</v>
      </c>
      <c r="BH338" s="68" t="s">
        <v>93</v>
      </c>
      <c r="BI338" s="68" t="s">
        <v>93</v>
      </c>
      <c r="BJ338" s="68" t="s">
        <v>93</v>
      </c>
      <c r="BK338" s="68" t="s">
        <v>93</v>
      </c>
      <c r="BL338" s="68" t="s">
        <v>93</v>
      </c>
      <c r="BM338" s="68" t="s">
        <v>93</v>
      </c>
      <c r="BN338" s="68" t="s">
        <v>93</v>
      </c>
      <c r="BO338" s="68" t="s">
        <v>93</v>
      </c>
      <c r="BP338" s="69" t="s">
        <v>93</v>
      </c>
    </row>
    <row r="339" spans="2:68" x14ac:dyDescent="0.25">
      <c r="B339" s="64">
        <v>11</v>
      </c>
      <c r="C339" s="65">
        <v>48</v>
      </c>
      <c r="D339" s="65" t="s">
        <v>98</v>
      </c>
      <c r="E339" s="66">
        <f>'[3]Master File'!B338</f>
        <v>46352</v>
      </c>
      <c r="F339" s="67" t="str">
        <f>'[3]Master File'!C338</f>
        <v>Closed</v>
      </c>
      <c r="G339" s="46"/>
      <c r="I339" s="68" t="s">
        <v>93</v>
      </c>
      <c r="J339" s="68" t="s">
        <v>93</v>
      </c>
      <c r="K339" s="68" t="s">
        <v>93</v>
      </c>
      <c r="L339" s="68" t="s">
        <v>94</v>
      </c>
      <c r="M339" s="68" t="s">
        <v>93</v>
      </c>
      <c r="N339" s="68" t="s">
        <v>93</v>
      </c>
      <c r="O339" s="68" t="s">
        <v>93</v>
      </c>
      <c r="P339" s="68" t="s">
        <v>93</v>
      </c>
      <c r="Q339" s="68" t="s">
        <v>93</v>
      </c>
      <c r="R339" s="68" t="s">
        <v>93</v>
      </c>
      <c r="S339" s="68" t="s">
        <v>93</v>
      </c>
      <c r="T339" s="68" t="s">
        <v>93</v>
      </c>
      <c r="U339" s="68" t="s">
        <v>93</v>
      </c>
      <c r="V339" s="68" t="s">
        <v>93</v>
      </c>
      <c r="W339" s="68" t="s">
        <v>93</v>
      </c>
      <c r="X339" s="68" t="s">
        <v>93</v>
      </c>
      <c r="Y339" s="68" t="s">
        <v>93</v>
      </c>
      <c r="Z339" s="68" t="s">
        <v>94</v>
      </c>
      <c r="AA339" s="68" t="s">
        <v>93</v>
      </c>
      <c r="AB339" s="68" t="s">
        <v>93</v>
      </c>
      <c r="AC339" s="68" t="s">
        <v>93</v>
      </c>
      <c r="AD339" s="68" t="s">
        <v>93</v>
      </c>
      <c r="AE339" s="68" t="s">
        <v>93</v>
      </c>
      <c r="AF339" s="68" t="s">
        <v>93</v>
      </c>
      <c r="AG339" s="68" t="s">
        <v>93</v>
      </c>
      <c r="AH339" s="68" t="s">
        <v>93</v>
      </c>
      <c r="AI339" s="68" t="s">
        <v>93</v>
      </c>
      <c r="AJ339" s="68" t="s">
        <v>93</v>
      </c>
      <c r="AK339" s="68" t="s">
        <v>93</v>
      </c>
      <c r="AL339" s="68" t="s">
        <v>93</v>
      </c>
      <c r="AM339" s="68" t="s">
        <v>93</v>
      </c>
      <c r="AN339" s="68" t="s">
        <v>93</v>
      </c>
      <c r="AO339" s="68" t="s">
        <v>93</v>
      </c>
      <c r="AP339" s="68" t="s">
        <v>93</v>
      </c>
      <c r="AQ339" s="68" t="s">
        <v>93</v>
      </c>
      <c r="AR339" s="68" t="s">
        <v>93</v>
      </c>
      <c r="AS339" s="68" t="s">
        <v>93</v>
      </c>
      <c r="AT339" s="68" t="s">
        <v>93</v>
      </c>
      <c r="AU339" s="68" t="s">
        <v>93</v>
      </c>
      <c r="AV339" s="68" t="s">
        <v>93</v>
      </c>
      <c r="AW339" s="68" t="s">
        <v>93</v>
      </c>
      <c r="AX339" s="68" t="s">
        <v>93</v>
      </c>
      <c r="AY339" s="68" t="s">
        <v>93</v>
      </c>
      <c r="AZ339" s="68" t="s">
        <v>93</v>
      </c>
      <c r="BA339" s="68" t="s">
        <v>93</v>
      </c>
      <c r="BB339" s="68" t="s">
        <v>93</v>
      </c>
      <c r="BC339" s="68" t="s">
        <v>93</v>
      </c>
      <c r="BD339" s="68" t="s">
        <v>93</v>
      </c>
      <c r="BE339" s="68" t="s">
        <v>93</v>
      </c>
      <c r="BF339" s="68" t="s">
        <v>93</v>
      </c>
      <c r="BG339" s="68" t="s">
        <v>93</v>
      </c>
      <c r="BH339" s="68" t="s">
        <v>93</v>
      </c>
      <c r="BI339" s="68" t="s">
        <v>93</v>
      </c>
      <c r="BJ339" s="68" t="s">
        <v>93</v>
      </c>
      <c r="BK339" s="68" t="s">
        <v>93</v>
      </c>
      <c r="BL339" s="68" t="s">
        <v>93</v>
      </c>
      <c r="BM339" s="68" t="s">
        <v>93</v>
      </c>
      <c r="BN339" s="68" t="s">
        <v>93</v>
      </c>
      <c r="BO339" s="68" t="s">
        <v>93</v>
      </c>
      <c r="BP339" s="69" t="s">
        <v>93</v>
      </c>
    </row>
    <row r="340" spans="2:68" x14ac:dyDescent="0.25">
      <c r="B340" s="64">
        <v>11</v>
      </c>
      <c r="C340" s="65">
        <v>48</v>
      </c>
      <c r="D340" s="65" t="s">
        <v>99</v>
      </c>
      <c r="E340" s="66">
        <f>'[3]Master File'!B339</f>
        <v>46353</v>
      </c>
      <c r="F340" s="67" t="str">
        <f>'[3]Master File'!C339</f>
        <v>Closed</v>
      </c>
      <c r="G340" s="46"/>
      <c r="I340" s="68" t="s">
        <v>93</v>
      </c>
      <c r="J340" s="68" t="s">
        <v>93</v>
      </c>
      <c r="K340" s="68" t="s">
        <v>93</v>
      </c>
      <c r="L340" s="68" t="s">
        <v>94</v>
      </c>
      <c r="M340" s="68" t="s">
        <v>93</v>
      </c>
      <c r="N340" s="68" t="s">
        <v>93</v>
      </c>
      <c r="O340" s="68" t="s">
        <v>93</v>
      </c>
      <c r="P340" s="68" t="s">
        <v>93</v>
      </c>
      <c r="Q340" s="68" t="s">
        <v>93</v>
      </c>
      <c r="R340" s="68" t="s">
        <v>93</v>
      </c>
      <c r="S340" s="68" t="s">
        <v>93</v>
      </c>
      <c r="T340" s="68" t="s">
        <v>93</v>
      </c>
      <c r="U340" s="68" t="s">
        <v>93</v>
      </c>
      <c r="V340" s="68" t="s">
        <v>93</v>
      </c>
      <c r="W340" s="68" t="s">
        <v>93</v>
      </c>
      <c r="X340" s="68" t="s">
        <v>93</v>
      </c>
      <c r="Y340" s="68" t="s">
        <v>93</v>
      </c>
      <c r="Z340" s="68" t="s">
        <v>94</v>
      </c>
      <c r="AA340" s="68" t="s">
        <v>93</v>
      </c>
      <c r="AB340" s="68" t="s">
        <v>93</v>
      </c>
      <c r="AC340" s="68" t="s">
        <v>93</v>
      </c>
      <c r="AD340" s="68" t="s">
        <v>93</v>
      </c>
      <c r="AE340" s="68" t="s">
        <v>93</v>
      </c>
      <c r="AF340" s="68" t="s">
        <v>93</v>
      </c>
      <c r="AG340" s="68" t="s">
        <v>93</v>
      </c>
      <c r="AH340" s="68" t="s">
        <v>93</v>
      </c>
      <c r="AI340" s="68" t="s">
        <v>93</v>
      </c>
      <c r="AJ340" s="68" t="s">
        <v>93</v>
      </c>
      <c r="AK340" s="68" t="s">
        <v>93</v>
      </c>
      <c r="AL340" s="68" t="s">
        <v>93</v>
      </c>
      <c r="AM340" s="68" t="s">
        <v>93</v>
      </c>
      <c r="AN340" s="68" t="s">
        <v>93</v>
      </c>
      <c r="AO340" s="68" t="s">
        <v>93</v>
      </c>
      <c r="AP340" s="68" t="s">
        <v>93</v>
      </c>
      <c r="AQ340" s="68" t="s">
        <v>93</v>
      </c>
      <c r="AR340" s="68" t="s">
        <v>93</v>
      </c>
      <c r="AS340" s="68" t="s">
        <v>93</v>
      </c>
      <c r="AT340" s="68" t="s">
        <v>93</v>
      </c>
      <c r="AU340" s="68" t="s">
        <v>93</v>
      </c>
      <c r="AV340" s="68" t="s">
        <v>93</v>
      </c>
      <c r="AW340" s="68" t="s">
        <v>93</v>
      </c>
      <c r="AX340" s="68" t="s">
        <v>93</v>
      </c>
      <c r="AY340" s="68" t="s">
        <v>93</v>
      </c>
      <c r="AZ340" s="68" t="s">
        <v>93</v>
      </c>
      <c r="BA340" s="68" t="s">
        <v>93</v>
      </c>
      <c r="BB340" s="68" t="s">
        <v>93</v>
      </c>
      <c r="BC340" s="68" t="s">
        <v>93</v>
      </c>
      <c r="BD340" s="68" t="s">
        <v>93</v>
      </c>
      <c r="BE340" s="68" t="s">
        <v>93</v>
      </c>
      <c r="BF340" s="68" t="s">
        <v>93</v>
      </c>
      <c r="BG340" s="68" t="s">
        <v>93</v>
      </c>
      <c r="BH340" s="68" t="s">
        <v>93</v>
      </c>
      <c r="BI340" s="68" t="s">
        <v>93</v>
      </c>
      <c r="BJ340" s="68" t="s">
        <v>93</v>
      </c>
      <c r="BK340" s="68" t="s">
        <v>93</v>
      </c>
      <c r="BL340" s="68" t="s">
        <v>93</v>
      </c>
      <c r="BM340" s="68" t="s">
        <v>93</v>
      </c>
      <c r="BN340" s="68" t="s">
        <v>93</v>
      </c>
      <c r="BO340" s="68" t="s">
        <v>93</v>
      </c>
      <c r="BP340" s="69" t="s">
        <v>93</v>
      </c>
    </row>
    <row r="341" spans="2:68" x14ac:dyDescent="0.25">
      <c r="B341" s="64">
        <v>11</v>
      </c>
      <c r="C341" s="65">
        <v>48</v>
      </c>
      <c r="D341" s="65" t="s">
        <v>100</v>
      </c>
      <c r="E341" s="66">
        <f>'[3]Master File'!B340</f>
        <v>46354</v>
      </c>
      <c r="F341" s="67" t="str">
        <f>'[3]Master File'!C340</f>
        <v>WT Peak</v>
      </c>
      <c r="G341" s="46"/>
      <c r="I341" s="74" t="s">
        <v>93</v>
      </c>
      <c r="J341" s="74" t="s">
        <v>93</v>
      </c>
      <c r="K341" s="74" t="s">
        <v>93</v>
      </c>
      <c r="L341" s="68" t="s">
        <v>94</v>
      </c>
      <c r="M341" s="74" t="s">
        <v>93</v>
      </c>
      <c r="N341" s="74" t="s">
        <v>93</v>
      </c>
      <c r="O341" s="74" t="s">
        <v>93</v>
      </c>
      <c r="P341" s="74" t="s">
        <v>93</v>
      </c>
      <c r="Q341" s="74" t="s">
        <v>93</v>
      </c>
      <c r="R341" s="74" t="s">
        <v>93</v>
      </c>
      <c r="S341" s="74" t="s">
        <v>93</v>
      </c>
      <c r="T341" s="74" t="s">
        <v>93</v>
      </c>
      <c r="U341" s="74" t="s">
        <v>93</v>
      </c>
      <c r="V341" s="74" t="s">
        <v>93</v>
      </c>
      <c r="W341" s="74" t="s">
        <v>93</v>
      </c>
      <c r="X341" s="74" t="s">
        <v>93</v>
      </c>
      <c r="Y341" s="74" t="s">
        <v>93</v>
      </c>
      <c r="Z341" s="68" t="s">
        <v>94</v>
      </c>
      <c r="AA341" s="74" t="s">
        <v>93</v>
      </c>
      <c r="AB341" s="74" t="s">
        <v>93</v>
      </c>
      <c r="AC341" s="74" t="s">
        <v>93</v>
      </c>
      <c r="AD341" s="74" t="s">
        <v>94</v>
      </c>
      <c r="AE341" s="74" t="s">
        <v>94</v>
      </c>
      <c r="AF341" s="74" t="s">
        <v>93</v>
      </c>
      <c r="AG341" s="74" t="s">
        <v>93</v>
      </c>
      <c r="AH341" s="74" t="s">
        <v>93</v>
      </c>
      <c r="AI341" s="74" t="s">
        <v>93</v>
      </c>
      <c r="AJ341" s="74" t="s">
        <v>93</v>
      </c>
      <c r="AK341" s="74" t="s">
        <v>93</v>
      </c>
      <c r="AL341" s="74" t="s">
        <v>93</v>
      </c>
      <c r="AM341" s="74" t="s">
        <v>93</v>
      </c>
      <c r="AN341" s="74" t="s">
        <v>93</v>
      </c>
      <c r="AO341" s="74" t="s">
        <v>93</v>
      </c>
      <c r="AP341" s="74" t="s">
        <v>93</v>
      </c>
      <c r="AQ341" s="74" t="s">
        <v>93</v>
      </c>
      <c r="AR341" s="74" t="s">
        <v>93</v>
      </c>
      <c r="AS341" s="74" t="s">
        <v>93</v>
      </c>
      <c r="AT341" s="74" t="s">
        <v>93</v>
      </c>
      <c r="AU341" s="74" t="s">
        <v>93</v>
      </c>
      <c r="AV341" s="74" t="s">
        <v>93</v>
      </c>
      <c r="AW341" s="74" t="s">
        <v>93</v>
      </c>
      <c r="AX341" s="74" t="s">
        <v>93</v>
      </c>
      <c r="AY341" s="74" t="s">
        <v>93</v>
      </c>
      <c r="AZ341" s="74" t="s">
        <v>93</v>
      </c>
      <c r="BA341" s="74" t="s">
        <v>93</v>
      </c>
      <c r="BB341" s="74" t="s">
        <v>93</v>
      </c>
      <c r="BC341" s="74" t="s">
        <v>93</v>
      </c>
      <c r="BD341" s="74" t="s">
        <v>93</v>
      </c>
      <c r="BE341" s="74" t="s">
        <v>93</v>
      </c>
      <c r="BF341" s="74" t="s">
        <v>93</v>
      </c>
      <c r="BG341" s="74" t="s">
        <v>93</v>
      </c>
      <c r="BH341" s="74" t="s">
        <v>93</v>
      </c>
      <c r="BI341" s="74" t="s">
        <v>93</v>
      </c>
      <c r="BJ341" s="74" t="s">
        <v>93</v>
      </c>
      <c r="BK341" s="74" t="s">
        <v>93</v>
      </c>
      <c r="BL341" s="74" t="s">
        <v>93</v>
      </c>
      <c r="BM341" s="74" t="s">
        <v>93</v>
      </c>
      <c r="BN341" s="74" t="s">
        <v>93</v>
      </c>
      <c r="BO341" s="74" t="s">
        <v>93</v>
      </c>
      <c r="BP341" s="75" t="s">
        <v>93</v>
      </c>
    </row>
    <row r="342" spans="2:68" x14ac:dyDescent="0.25">
      <c r="B342" s="64">
        <v>12</v>
      </c>
      <c r="C342" s="65">
        <v>49</v>
      </c>
      <c r="D342" s="65" t="s">
        <v>92</v>
      </c>
      <c r="E342" s="66">
        <f>'[3]Master File'!B341</f>
        <v>46355</v>
      </c>
      <c r="F342" s="67" t="str">
        <f>'[3]Master File'!C341</f>
        <v>WT Peak</v>
      </c>
      <c r="G342" s="46"/>
      <c r="I342" s="74" t="s">
        <v>93</v>
      </c>
      <c r="J342" s="74" t="s">
        <v>93</v>
      </c>
      <c r="K342" s="74" t="s">
        <v>93</v>
      </c>
      <c r="L342" s="68" t="s">
        <v>94</v>
      </c>
      <c r="M342" s="74" t="s">
        <v>93</v>
      </c>
      <c r="N342" s="74" t="s">
        <v>93</v>
      </c>
      <c r="O342" s="74" t="s">
        <v>93</v>
      </c>
      <c r="P342" s="74" t="s">
        <v>93</v>
      </c>
      <c r="Q342" s="74" t="s">
        <v>93</v>
      </c>
      <c r="R342" s="74" t="s">
        <v>93</v>
      </c>
      <c r="S342" s="74" t="s">
        <v>93</v>
      </c>
      <c r="T342" s="74" t="s">
        <v>93</v>
      </c>
      <c r="U342" s="74" t="s">
        <v>93</v>
      </c>
      <c r="V342" s="74" t="s">
        <v>93</v>
      </c>
      <c r="W342" s="74" t="s">
        <v>93</v>
      </c>
      <c r="X342" s="74" t="s">
        <v>93</v>
      </c>
      <c r="Y342" s="74" t="s">
        <v>93</v>
      </c>
      <c r="Z342" s="68" t="s">
        <v>94</v>
      </c>
      <c r="AA342" s="74" t="s">
        <v>93</v>
      </c>
      <c r="AB342" s="74" t="s">
        <v>93</v>
      </c>
      <c r="AC342" s="74" t="s">
        <v>93</v>
      </c>
      <c r="AD342" s="74" t="s">
        <v>94</v>
      </c>
      <c r="AE342" s="74" t="s">
        <v>94</v>
      </c>
      <c r="AF342" s="74" t="s">
        <v>93</v>
      </c>
      <c r="AG342" s="74" t="s">
        <v>93</v>
      </c>
      <c r="AH342" s="74" t="s">
        <v>93</v>
      </c>
      <c r="AI342" s="74" t="s">
        <v>93</v>
      </c>
      <c r="AJ342" s="74" t="s">
        <v>93</v>
      </c>
      <c r="AK342" s="74" t="s">
        <v>93</v>
      </c>
      <c r="AL342" s="74" t="s">
        <v>93</v>
      </c>
      <c r="AM342" s="74" t="s">
        <v>93</v>
      </c>
      <c r="AN342" s="74" t="s">
        <v>93</v>
      </c>
      <c r="AO342" s="74" t="s">
        <v>93</v>
      </c>
      <c r="AP342" s="74" t="s">
        <v>93</v>
      </c>
      <c r="AQ342" s="74" t="s">
        <v>93</v>
      </c>
      <c r="AR342" s="74" t="s">
        <v>93</v>
      </c>
      <c r="AS342" s="74" t="s">
        <v>93</v>
      </c>
      <c r="AT342" s="74" t="s">
        <v>93</v>
      </c>
      <c r="AU342" s="74" t="s">
        <v>93</v>
      </c>
      <c r="AV342" s="74" t="s">
        <v>93</v>
      </c>
      <c r="AW342" s="74" t="s">
        <v>93</v>
      </c>
      <c r="AX342" s="74" t="s">
        <v>93</v>
      </c>
      <c r="AY342" s="74" t="s">
        <v>93</v>
      </c>
      <c r="AZ342" s="74" t="s">
        <v>93</v>
      </c>
      <c r="BA342" s="74" t="s">
        <v>93</v>
      </c>
      <c r="BB342" s="74" t="s">
        <v>93</v>
      </c>
      <c r="BC342" s="74" t="s">
        <v>93</v>
      </c>
      <c r="BD342" s="74" t="s">
        <v>93</v>
      </c>
      <c r="BE342" s="74" t="s">
        <v>93</v>
      </c>
      <c r="BF342" s="74" t="s">
        <v>93</v>
      </c>
      <c r="BG342" s="74" t="s">
        <v>93</v>
      </c>
      <c r="BH342" s="74" t="s">
        <v>93</v>
      </c>
      <c r="BI342" s="74" t="s">
        <v>93</v>
      </c>
      <c r="BJ342" s="74" t="s">
        <v>93</v>
      </c>
      <c r="BK342" s="74" t="s">
        <v>93</v>
      </c>
      <c r="BL342" s="74" t="s">
        <v>93</v>
      </c>
      <c r="BM342" s="74" t="s">
        <v>93</v>
      </c>
      <c r="BN342" s="74" t="s">
        <v>93</v>
      </c>
      <c r="BO342" s="74" t="s">
        <v>93</v>
      </c>
      <c r="BP342" s="75" t="s">
        <v>93</v>
      </c>
    </row>
    <row r="343" spans="2:68" x14ac:dyDescent="0.25">
      <c r="B343" s="64">
        <v>12</v>
      </c>
      <c r="C343" s="65">
        <v>49</v>
      </c>
      <c r="D343" s="65" t="s">
        <v>95</v>
      </c>
      <c r="E343" s="66">
        <f>'[3]Master File'!B342</f>
        <v>46356</v>
      </c>
      <c r="F343" s="67" t="str">
        <f>'[3]Master File'!C342</f>
        <v>Closed</v>
      </c>
      <c r="G343" s="46"/>
      <c r="I343" s="68" t="s">
        <v>93</v>
      </c>
      <c r="J343" s="68" t="s">
        <v>93</v>
      </c>
      <c r="K343" s="68" t="s">
        <v>93</v>
      </c>
      <c r="L343" s="68" t="s">
        <v>94</v>
      </c>
      <c r="M343" s="68" t="s">
        <v>93</v>
      </c>
      <c r="N343" s="68" t="s">
        <v>93</v>
      </c>
      <c r="O343" s="68" t="s">
        <v>93</v>
      </c>
      <c r="P343" s="68" t="s">
        <v>93</v>
      </c>
      <c r="Q343" s="68" t="s">
        <v>93</v>
      </c>
      <c r="R343" s="68" t="s">
        <v>93</v>
      </c>
      <c r="S343" s="68" t="s">
        <v>93</v>
      </c>
      <c r="T343" s="68" t="s">
        <v>93</v>
      </c>
      <c r="U343" s="68" t="s">
        <v>93</v>
      </c>
      <c r="V343" s="68" t="s">
        <v>93</v>
      </c>
      <c r="W343" s="68" t="s">
        <v>93</v>
      </c>
      <c r="X343" s="68" t="s">
        <v>93</v>
      </c>
      <c r="Y343" s="68" t="s">
        <v>93</v>
      </c>
      <c r="Z343" s="68" t="s">
        <v>94</v>
      </c>
      <c r="AA343" s="68" t="s">
        <v>93</v>
      </c>
      <c r="AB343" s="68" t="s">
        <v>93</v>
      </c>
      <c r="AC343" s="68" t="s">
        <v>93</v>
      </c>
      <c r="AD343" s="68" t="s">
        <v>93</v>
      </c>
      <c r="AE343" s="68" t="s">
        <v>93</v>
      </c>
      <c r="AF343" s="68" t="s">
        <v>93</v>
      </c>
      <c r="AG343" s="68" t="s">
        <v>93</v>
      </c>
      <c r="AH343" s="68" t="s">
        <v>93</v>
      </c>
      <c r="AI343" s="68" t="s">
        <v>93</v>
      </c>
      <c r="AJ343" s="68" t="s">
        <v>93</v>
      </c>
      <c r="AK343" s="68" t="s">
        <v>93</v>
      </c>
      <c r="AL343" s="68" t="s">
        <v>93</v>
      </c>
      <c r="AM343" s="68" t="s">
        <v>93</v>
      </c>
      <c r="AN343" s="68" t="s">
        <v>93</v>
      </c>
      <c r="AO343" s="68" t="s">
        <v>93</v>
      </c>
      <c r="AP343" s="68" t="s">
        <v>93</v>
      </c>
      <c r="AQ343" s="68" t="s">
        <v>93</v>
      </c>
      <c r="AR343" s="68" t="s">
        <v>93</v>
      </c>
      <c r="AS343" s="68" t="s">
        <v>93</v>
      </c>
      <c r="AT343" s="68" t="s">
        <v>93</v>
      </c>
      <c r="AU343" s="68" t="s">
        <v>93</v>
      </c>
      <c r="AV343" s="68" t="s">
        <v>93</v>
      </c>
      <c r="AW343" s="68" t="s">
        <v>93</v>
      </c>
      <c r="AX343" s="68" t="s">
        <v>93</v>
      </c>
      <c r="AY343" s="68" t="s">
        <v>93</v>
      </c>
      <c r="AZ343" s="68" t="s">
        <v>93</v>
      </c>
      <c r="BA343" s="68" t="s">
        <v>93</v>
      </c>
      <c r="BB343" s="68" t="s">
        <v>93</v>
      </c>
      <c r="BC343" s="68" t="s">
        <v>93</v>
      </c>
      <c r="BD343" s="68" t="s">
        <v>93</v>
      </c>
      <c r="BE343" s="68" t="s">
        <v>93</v>
      </c>
      <c r="BF343" s="68" t="s">
        <v>93</v>
      </c>
      <c r="BG343" s="68" t="s">
        <v>93</v>
      </c>
      <c r="BH343" s="68" t="s">
        <v>93</v>
      </c>
      <c r="BI343" s="68" t="s">
        <v>93</v>
      </c>
      <c r="BJ343" s="68" t="s">
        <v>93</v>
      </c>
      <c r="BK343" s="68" t="s">
        <v>93</v>
      </c>
      <c r="BL343" s="68" t="s">
        <v>93</v>
      </c>
      <c r="BM343" s="68" t="s">
        <v>93</v>
      </c>
      <c r="BN343" s="68" t="s">
        <v>93</v>
      </c>
      <c r="BO343" s="68" t="s">
        <v>93</v>
      </c>
      <c r="BP343" s="69" t="s">
        <v>93</v>
      </c>
    </row>
    <row r="344" spans="2:68" x14ac:dyDescent="0.25">
      <c r="B344" s="64">
        <v>12</v>
      </c>
      <c r="C344" s="65">
        <v>49</v>
      </c>
      <c r="D344" s="65" t="s">
        <v>96</v>
      </c>
      <c r="E344" s="66">
        <f>'[3]Master File'!B343</f>
        <v>46357</v>
      </c>
      <c r="F344" s="67" t="str">
        <f>'[3]Master File'!C343</f>
        <v>Closed</v>
      </c>
      <c r="G344" s="46"/>
      <c r="I344" s="68" t="s">
        <v>93</v>
      </c>
      <c r="J344" s="68" t="s">
        <v>93</v>
      </c>
      <c r="K344" s="68" t="s">
        <v>93</v>
      </c>
      <c r="L344" s="68" t="s">
        <v>94</v>
      </c>
      <c r="M344" s="68" t="s">
        <v>93</v>
      </c>
      <c r="N344" s="68" t="s">
        <v>93</v>
      </c>
      <c r="O344" s="68" t="s">
        <v>93</v>
      </c>
      <c r="P344" s="68" t="s">
        <v>93</v>
      </c>
      <c r="Q344" s="68" t="s">
        <v>93</v>
      </c>
      <c r="R344" s="68" t="s">
        <v>93</v>
      </c>
      <c r="S344" s="68" t="s">
        <v>93</v>
      </c>
      <c r="T344" s="68" t="s">
        <v>93</v>
      </c>
      <c r="U344" s="68" t="s">
        <v>93</v>
      </c>
      <c r="V344" s="68" t="s">
        <v>93</v>
      </c>
      <c r="W344" s="68" t="s">
        <v>93</v>
      </c>
      <c r="X344" s="68" t="s">
        <v>93</v>
      </c>
      <c r="Y344" s="68" t="s">
        <v>93</v>
      </c>
      <c r="Z344" s="68" t="s">
        <v>94</v>
      </c>
      <c r="AA344" s="68" t="s">
        <v>93</v>
      </c>
      <c r="AB344" s="68" t="s">
        <v>93</v>
      </c>
      <c r="AC344" s="68" t="s">
        <v>93</v>
      </c>
      <c r="AD344" s="68" t="s">
        <v>93</v>
      </c>
      <c r="AE344" s="68" t="s">
        <v>93</v>
      </c>
      <c r="AF344" s="68" t="s">
        <v>93</v>
      </c>
      <c r="AG344" s="68" t="s">
        <v>93</v>
      </c>
      <c r="AH344" s="68" t="s">
        <v>93</v>
      </c>
      <c r="AI344" s="68" t="s">
        <v>93</v>
      </c>
      <c r="AJ344" s="68" t="s">
        <v>93</v>
      </c>
      <c r="AK344" s="68" t="s">
        <v>93</v>
      </c>
      <c r="AL344" s="68" t="s">
        <v>93</v>
      </c>
      <c r="AM344" s="68" t="s">
        <v>93</v>
      </c>
      <c r="AN344" s="68" t="s">
        <v>93</v>
      </c>
      <c r="AO344" s="68" t="s">
        <v>93</v>
      </c>
      <c r="AP344" s="68" t="s">
        <v>93</v>
      </c>
      <c r="AQ344" s="68" t="s">
        <v>93</v>
      </c>
      <c r="AR344" s="68" t="s">
        <v>93</v>
      </c>
      <c r="AS344" s="68" t="s">
        <v>93</v>
      </c>
      <c r="AT344" s="68" t="s">
        <v>93</v>
      </c>
      <c r="AU344" s="68" t="s">
        <v>93</v>
      </c>
      <c r="AV344" s="68" t="s">
        <v>93</v>
      </c>
      <c r="AW344" s="68" t="s">
        <v>93</v>
      </c>
      <c r="AX344" s="68" t="s">
        <v>93</v>
      </c>
      <c r="AY344" s="68" t="s">
        <v>93</v>
      </c>
      <c r="AZ344" s="68" t="s">
        <v>93</v>
      </c>
      <c r="BA344" s="68" t="s">
        <v>93</v>
      </c>
      <c r="BB344" s="68" t="s">
        <v>93</v>
      </c>
      <c r="BC344" s="68" t="s">
        <v>93</v>
      </c>
      <c r="BD344" s="68" t="s">
        <v>93</v>
      </c>
      <c r="BE344" s="68" t="s">
        <v>93</v>
      </c>
      <c r="BF344" s="68" t="s">
        <v>93</v>
      </c>
      <c r="BG344" s="68" t="s">
        <v>93</v>
      </c>
      <c r="BH344" s="68" t="s">
        <v>93</v>
      </c>
      <c r="BI344" s="68" t="s">
        <v>93</v>
      </c>
      <c r="BJ344" s="68" t="s">
        <v>93</v>
      </c>
      <c r="BK344" s="68" t="s">
        <v>93</v>
      </c>
      <c r="BL344" s="68" t="s">
        <v>93</v>
      </c>
      <c r="BM344" s="68" t="s">
        <v>93</v>
      </c>
      <c r="BN344" s="68" t="s">
        <v>93</v>
      </c>
      <c r="BO344" s="68" t="s">
        <v>93</v>
      </c>
      <c r="BP344" s="69" t="s">
        <v>93</v>
      </c>
    </row>
    <row r="345" spans="2:68" x14ac:dyDescent="0.25">
      <c r="B345" s="64">
        <v>12</v>
      </c>
      <c r="C345" s="65">
        <v>49</v>
      </c>
      <c r="D345" s="65" t="s">
        <v>97</v>
      </c>
      <c r="E345" s="66">
        <f>'[3]Master File'!B344</f>
        <v>46358</v>
      </c>
      <c r="F345" s="67" t="str">
        <f>'[3]Master File'!C344</f>
        <v>Closed</v>
      </c>
      <c r="G345" s="46"/>
      <c r="I345" s="68" t="s">
        <v>93</v>
      </c>
      <c r="J345" s="68" t="s">
        <v>93</v>
      </c>
      <c r="K345" s="68" t="s">
        <v>93</v>
      </c>
      <c r="L345" s="68" t="s">
        <v>94</v>
      </c>
      <c r="M345" s="68" t="s">
        <v>93</v>
      </c>
      <c r="N345" s="68" t="s">
        <v>93</v>
      </c>
      <c r="O345" s="68" t="s">
        <v>93</v>
      </c>
      <c r="P345" s="68" t="s">
        <v>93</v>
      </c>
      <c r="Q345" s="68" t="s">
        <v>93</v>
      </c>
      <c r="R345" s="68" t="s">
        <v>93</v>
      </c>
      <c r="S345" s="68" t="s">
        <v>93</v>
      </c>
      <c r="T345" s="68" t="s">
        <v>93</v>
      </c>
      <c r="U345" s="68" t="s">
        <v>93</v>
      </c>
      <c r="V345" s="68" t="s">
        <v>93</v>
      </c>
      <c r="W345" s="68" t="s">
        <v>93</v>
      </c>
      <c r="X345" s="68" t="s">
        <v>93</v>
      </c>
      <c r="Y345" s="68" t="s">
        <v>93</v>
      </c>
      <c r="Z345" s="68" t="s">
        <v>94</v>
      </c>
      <c r="AA345" s="68" t="s">
        <v>93</v>
      </c>
      <c r="AB345" s="68" t="s">
        <v>93</v>
      </c>
      <c r="AC345" s="68" t="s">
        <v>93</v>
      </c>
      <c r="AD345" s="68" t="s">
        <v>93</v>
      </c>
      <c r="AE345" s="68" t="s">
        <v>93</v>
      </c>
      <c r="AF345" s="68" t="s">
        <v>93</v>
      </c>
      <c r="AG345" s="68" t="s">
        <v>93</v>
      </c>
      <c r="AH345" s="68" t="s">
        <v>93</v>
      </c>
      <c r="AI345" s="68" t="s">
        <v>93</v>
      </c>
      <c r="AJ345" s="68" t="s">
        <v>93</v>
      </c>
      <c r="AK345" s="68" t="s">
        <v>93</v>
      </c>
      <c r="AL345" s="68" t="s">
        <v>93</v>
      </c>
      <c r="AM345" s="68" t="s">
        <v>93</v>
      </c>
      <c r="AN345" s="68" t="s">
        <v>93</v>
      </c>
      <c r="AO345" s="68" t="s">
        <v>93</v>
      </c>
      <c r="AP345" s="68" t="s">
        <v>93</v>
      </c>
      <c r="AQ345" s="68" t="s">
        <v>93</v>
      </c>
      <c r="AR345" s="68" t="s">
        <v>93</v>
      </c>
      <c r="AS345" s="68" t="s">
        <v>93</v>
      </c>
      <c r="AT345" s="68" t="s">
        <v>93</v>
      </c>
      <c r="AU345" s="68" t="s">
        <v>93</v>
      </c>
      <c r="AV345" s="68" t="s">
        <v>93</v>
      </c>
      <c r="AW345" s="68" t="s">
        <v>93</v>
      </c>
      <c r="AX345" s="68" t="s">
        <v>93</v>
      </c>
      <c r="AY345" s="68" t="s">
        <v>93</v>
      </c>
      <c r="AZ345" s="68" t="s">
        <v>93</v>
      </c>
      <c r="BA345" s="68" t="s">
        <v>93</v>
      </c>
      <c r="BB345" s="68" t="s">
        <v>93</v>
      </c>
      <c r="BC345" s="68" t="s">
        <v>93</v>
      </c>
      <c r="BD345" s="68" t="s">
        <v>93</v>
      </c>
      <c r="BE345" s="68" t="s">
        <v>93</v>
      </c>
      <c r="BF345" s="68" t="s">
        <v>93</v>
      </c>
      <c r="BG345" s="68" t="s">
        <v>93</v>
      </c>
      <c r="BH345" s="68" t="s">
        <v>93</v>
      </c>
      <c r="BI345" s="68" t="s">
        <v>93</v>
      </c>
      <c r="BJ345" s="68" t="s">
        <v>93</v>
      </c>
      <c r="BK345" s="68" t="s">
        <v>93</v>
      </c>
      <c r="BL345" s="68" t="s">
        <v>93</v>
      </c>
      <c r="BM345" s="68" t="s">
        <v>93</v>
      </c>
      <c r="BN345" s="68" t="s">
        <v>93</v>
      </c>
      <c r="BO345" s="68" t="s">
        <v>93</v>
      </c>
      <c r="BP345" s="69" t="s">
        <v>93</v>
      </c>
    </row>
    <row r="346" spans="2:68" x14ac:dyDescent="0.25">
      <c r="B346" s="64">
        <v>12</v>
      </c>
      <c r="C346" s="65">
        <v>49</v>
      </c>
      <c r="D346" s="65" t="s">
        <v>98</v>
      </c>
      <c r="E346" s="66">
        <f>'[3]Master File'!B345</f>
        <v>46359</v>
      </c>
      <c r="F346" s="67" t="str">
        <f>'[3]Master File'!C345</f>
        <v>Closed</v>
      </c>
      <c r="G346" s="46"/>
      <c r="I346" s="68" t="s">
        <v>93</v>
      </c>
      <c r="J346" s="68" t="s">
        <v>93</v>
      </c>
      <c r="K346" s="68" t="s">
        <v>93</v>
      </c>
      <c r="L346" s="68" t="s">
        <v>94</v>
      </c>
      <c r="M346" s="68" t="s">
        <v>93</v>
      </c>
      <c r="N346" s="68" t="s">
        <v>93</v>
      </c>
      <c r="O346" s="68" t="s">
        <v>93</v>
      </c>
      <c r="P346" s="68" t="s">
        <v>93</v>
      </c>
      <c r="Q346" s="68" t="s">
        <v>93</v>
      </c>
      <c r="R346" s="68" t="s">
        <v>93</v>
      </c>
      <c r="S346" s="68" t="s">
        <v>93</v>
      </c>
      <c r="T346" s="68" t="s">
        <v>93</v>
      </c>
      <c r="U346" s="68" t="s">
        <v>93</v>
      </c>
      <c r="V346" s="68" t="s">
        <v>93</v>
      </c>
      <c r="W346" s="68" t="s">
        <v>93</v>
      </c>
      <c r="X346" s="68" t="s">
        <v>93</v>
      </c>
      <c r="Y346" s="68" t="s">
        <v>93</v>
      </c>
      <c r="Z346" s="68" t="s">
        <v>94</v>
      </c>
      <c r="AA346" s="68" t="s">
        <v>93</v>
      </c>
      <c r="AB346" s="68" t="s">
        <v>93</v>
      </c>
      <c r="AC346" s="68" t="s">
        <v>93</v>
      </c>
      <c r="AD346" s="68" t="s">
        <v>93</v>
      </c>
      <c r="AE346" s="68" t="s">
        <v>93</v>
      </c>
      <c r="AF346" s="68" t="s">
        <v>93</v>
      </c>
      <c r="AG346" s="68" t="s">
        <v>93</v>
      </c>
      <c r="AH346" s="68" t="s">
        <v>93</v>
      </c>
      <c r="AI346" s="68" t="s">
        <v>93</v>
      </c>
      <c r="AJ346" s="68" t="s">
        <v>93</v>
      </c>
      <c r="AK346" s="68" t="s">
        <v>93</v>
      </c>
      <c r="AL346" s="68" t="s">
        <v>93</v>
      </c>
      <c r="AM346" s="68" t="s">
        <v>93</v>
      </c>
      <c r="AN346" s="68" t="s">
        <v>93</v>
      </c>
      <c r="AO346" s="68" t="s">
        <v>93</v>
      </c>
      <c r="AP346" s="68" t="s">
        <v>93</v>
      </c>
      <c r="AQ346" s="68" t="s">
        <v>93</v>
      </c>
      <c r="AR346" s="68" t="s">
        <v>93</v>
      </c>
      <c r="AS346" s="68" t="s">
        <v>93</v>
      </c>
      <c r="AT346" s="68" t="s">
        <v>93</v>
      </c>
      <c r="AU346" s="68" t="s">
        <v>93</v>
      </c>
      <c r="AV346" s="68" t="s">
        <v>93</v>
      </c>
      <c r="AW346" s="68" t="s">
        <v>93</v>
      </c>
      <c r="AX346" s="68" t="s">
        <v>93</v>
      </c>
      <c r="AY346" s="68" t="s">
        <v>93</v>
      </c>
      <c r="AZ346" s="68" t="s">
        <v>93</v>
      </c>
      <c r="BA346" s="68" t="s">
        <v>93</v>
      </c>
      <c r="BB346" s="68" t="s">
        <v>93</v>
      </c>
      <c r="BC346" s="68" t="s">
        <v>93</v>
      </c>
      <c r="BD346" s="68" t="s">
        <v>93</v>
      </c>
      <c r="BE346" s="68" t="s">
        <v>93</v>
      </c>
      <c r="BF346" s="68" t="s">
        <v>93</v>
      </c>
      <c r="BG346" s="68" t="s">
        <v>93</v>
      </c>
      <c r="BH346" s="68" t="s">
        <v>93</v>
      </c>
      <c r="BI346" s="68" t="s">
        <v>93</v>
      </c>
      <c r="BJ346" s="68" t="s">
        <v>93</v>
      </c>
      <c r="BK346" s="68" t="s">
        <v>93</v>
      </c>
      <c r="BL346" s="68" t="s">
        <v>93</v>
      </c>
      <c r="BM346" s="68" t="s">
        <v>93</v>
      </c>
      <c r="BN346" s="68" t="s">
        <v>93</v>
      </c>
      <c r="BO346" s="68" t="s">
        <v>93</v>
      </c>
      <c r="BP346" s="69" t="s">
        <v>93</v>
      </c>
    </row>
    <row r="347" spans="2:68" x14ac:dyDescent="0.25">
      <c r="B347" s="64">
        <v>12</v>
      </c>
      <c r="C347" s="65">
        <v>49</v>
      </c>
      <c r="D347" s="65" t="s">
        <v>99</v>
      </c>
      <c r="E347" s="66">
        <f>'[3]Master File'!B346</f>
        <v>46360</v>
      </c>
      <c r="F347" s="67" t="str">
        <f>'[3]Master File'!C346</f>
        <v>Closed</v>
      </c>
      <c r="G347" s="46"/>
      <c r="I347" s="68" t="s">
        <v>93</v>
      </c>
      <c r="J347" s="68" t="s">
        <v>93</v>
      </c>
      <c r="K347" s="68" t="s">
        <v>93</v>
      </c>
      <c r="L347" s="68" t="s">
        <v>94</v>
      </c>
      <c r="M347" s="68" t="s">
        <v>93</v>
      </c>
      <c r="N347" s="68" t="s">
        <v>93</v>
      </c>
      <c r="O347" s="68" t="s">
        <v>93</v>
      </c>
      <c r="P347" s="68" t="s">
        <v>93</v>
      </c>
      <c r="Q347" s="68" t="s">
        <v>93</v>
      </c>
      <c r="R347" s="68" t="s">
        <v>93</v>
      </c>
      <c r="S347" s="68" t="s">
        <v>93</v>
      </c>
      <c r="T347" s="68" t="s">
        <v>93</v>
      </c>
      <c r="U347" s="68" t="s">
        <v>93</v>
      </c>
      <c r="V347" s="68" t="s">
        <v>93</v>
      </c>
      <c r="W347" s="68" t="s">
        <v>93</v>
      </c>
      <c r="X347" s="68" t="s">
        <v>93</v>
      </c>
      <c r="Y347" s="68" t="s">
        <v>93</v>
      </c>
      <c r="Z347" s="68" t="s">
        <v>94</v>
      </c>
      <c r="AA347" s="68" t="s">
        <v>93</v>
      </c>
      <c r="AB347" s="68" t="s">
        <v>93</v>
      </c>
      <c r="AC347" s="68" t="s">
        <v>93</v>
      </c>
      <c r="AD347" s="68" t="s">
        <v>93</v>
      </c>
      <c r="AE347" s="68" t="s">
        <v>93</v>
      </c>
      <c r="AF347" s="68" t="s">
        <v>93</v>
      </c>
      <c r="AG347" s="68" t="s">
        <v>93</v>
      </c>
      <c r="AH347" s="68" t="s">
        <v>93</v>
      </c>
      <c r="AI347" s="68" t="s">
        <v>93</v>
      </c>
      <c r="AJ347" s="68" t="s">
        <v>93</v>
      </c>
      <c r="AK347" s="68" t="s">
        <v>93</v>
      </c>
      <c r="AL347" s="68" t="s">
        <v>93</v>
      </c>
      <c r="AM347" s="68" t="s">
        <v>93</v>
      </c>
      <c r="AN347" s="68" t="s">
        <v>93</v>
      </c>
      <c r="AO347" s="68" t="s">
        <v>93</v>
      </c>
      <c r="AP347" s="68" t="s">
        <v>93</v>
      </c>
      <c r="AQ347" s="68" t="s">
        <v>93</v>
      </c>
      <c r="AR347" s="68" t="s">
        <v>93</v>
      </c>
      <c r="AS347" s="68" t="s">
        <v>93</v>
      </c>
      <c r="AT347" s="68" t="s">
        <v>93</v>
      </c>
      <c r="AU347" s="68" t="s">
        <v>93</v>
      </c>
      <c r="AV347" s="68" t="s">
        <v>93</v>
      </c>
      <c r="AW347" s="68" t="s">
        <v>93</v>
      </c>
      <c r="AX347" s="68" t="s">
        <v>93</v>
      </c>
      <c r="AY347" s="68" t="s">
        <v>93</v>
      </c>
      <c r="AZ347" s="68" t="s">
        <v>93</v>
      </c>
      <c r="BA347" s="68" t="s">
        <v>93</v>
      </c>
      <c r="BB347" s="68" t="s">
        <v>93</v>
      </c>
      <c r="BC347" s="68" t="s">
        <v>93</v>
      </c>
      <c r="BD347" s="68" t="s">
        <v>93</v>
      </c>
      <c r="BE347" s="68" t="s">
        <v>93</v>
      </c>
      <c r="BF347" s="68" t="s">
        <v>93</v>
      </c>
      <c r="BG347" s="68" t="s">
        <v>93</v>
      </c>
      <c r="BH347" s="68" t="s">
        <v>93</v>
      </c>
      <c r="BI347" s="68" t="s">
        <v>93</v>
      </c>
      <c r="BJ347" s="68" t="s">
        <v>93</v>
      </c>
      <c r="BK347" s="68" t="s">
        <v>93</v>
      </c>
      <c r="BL347" s="68" t="s">
        <v>93</v>
      </c>
      <c r="BM347" s="68" t="s">
        <v>93</v>
      </c>
      <c r="BN347" s="68" t="s">
        <v>93</v>
      </c>
      <c r="BO347" s="68" t="s">
        <v>93</v>
      </c>
      <c r="BP347" s="69" t="s">
        <v>93</v>
      </c>
    </row>
    <row r="348" spans="2:68" x14ac:dyDescent="0.25">
      <c r="B348" s="64">
        <v>12</v>
      </c>
      <c r="C348" s="65">
        <v>49</v>
      </c>
      <c r="D348" s="65" t="s">
        <v>100</v>
      </c>
      <c r="E348" s="66">
        <f>'[3]Master File'!B347</f>
        <v>46361</v>
      </c>
      <c r="F348" s="67" t="str">
        <f>'[3]Master File'!C347</f>
        <v>WT Peak</v>
      </c>
      <c r="G348" s="46"/>
      <c r="I348" s="74" t="s">
        <v>93</v>
      </c>
      <c r="J348" s="74" t="s">
        <v>93</v>
      </c>
      <c r="K348" s="74" t="s">
        <v>93</v>
      </c>
      <c r="L348" s="68" t="s">
        <v>94</v>
      </c>
      <c r="M348" s="74" t="s">
        <v>93</v>
      </c>
      <c r="N348" s="74" t="s">
        <v>93</v>
      </c>
      <c r="O348" s="74" t="s">
        <v>93</v>
      </c>
      <c r="P348" s="74" t="s">
        <v>93</v>
      </c>
      <c r="Q348" s="74" t="s">
        <v>93</v>
      </c>
      <c r="R348" s="74" t="s">
        <v>93</v>
      </c>
      <c r="S348" s="74" t="s">
        <v>93</v>
      </c>
      <c r="T348" s="74" t="s">
        <v>93</v>
      </c>
      <c r="U348" s="74" t="s">
        <v>93</v>
      </c>
      <c r="V348" s="74" t="s">
        <v>93</v>
      </c>
      <c r="W348" s="74" t="s">
        <v>93</v>
      </c>
      <c r="X348" s="74" t="s">
        <v>93</v>
      </c>
      <c r="Y348" s="74" t="s">
        <v>93</v>
      </c>
      <c r="Z348" s="68" t="s">
        <v>94</v>
      </c>
      <c r="AA348" s="74" t="s">
        <v>93</v>
      </c>
      <c r="AB348" s="74" t="s">
        <v>93</v>
      </c>
      <c r="AC348" s="74" t="s">
        <v>93</v>
      </c>
      <c r="AD348" s="74" t="s">
        <v>94</v>
      </c>
      <c r="AE348" s="74" t="s">
        <v>94</v>
      </c>
      <c r="AF348" s="74" t="s">
        <v>93</v>
      </c>
      <c r="AG348" s="74" t="s">
        <v>93</v>
      </c>
      <c r="AH348" s="74" t="s">
        <v>93</v>
      </c>
      <c r="AI348" s="74" t="s">
        <v>93</v>
      </c>
      <c r="AJ348" s="74" t="s">
        <v>93</v>
      </c>
      <c r="AK348" s="74" t="s">
        <v>93</v>
      </c>
      <c r="AL348" s="74" t="s">
        <v>93</v>
      </c>
      <c r="AM348" s="74" t="s">
        <v>93</v>
      </c>
      <c r="AN348" s="74" t="s">
        <v>93</v>
      </c>
      <c r="AO348" s="74" t="s">
        <v>93</v>
      </c>
      <c r="AP348" s="74" t="s">
        <v>93</v>
      </c>
      <c r="AQ348" s="74" t="s">
        <v>93</v>
      </c>
      <c r="AR348" s="74" t="s">
        <v>93</v>
      </c>
      <c r="AS348" s="74" t="s">
        <v>93</v>
      </c>
      <c r="AT348" s="74" t="s">
        <v>93</v>
      </c>
      <c r="AU348" s="74" t="s">
        <v>93</v>
      </c>
      <c r="AV348" s="74" t="s">
        <v>93</v>
      </c>
      <c r="AW348" s="74" t="s">
        <v>93</v>
      </c>
      <c r="AX348" s="74" t="s">
        <v>93</v>
      </c>
      <c r="AY348" s="74" t="s">
        <v>93</v>
      </c>
      <c r="AZ348" s="74" t="s">
        <v>93</v>
      </c>
      <c r="BA348" s="74" t="s">
        <v>93</v>
      </c>
      <c r="BB348" s="74" t="s">
        <v>93</v>
      </c>
      <c r="BC348" s="74" t="s">
        <v>93</v>
      </c>
      <c r="BD348" s="74" t="s">
        <v>93</v>
      </c>
      <c r="BE348" s="74" t="s">
        <v>93</v>
      </c>
      <c r="BF348" s="74" t="s">
        <v>93</v>
      </c>
      <c r="BG348" s="74" t="s">
        <v>93</v>
      </c>
      <c r="BH348" s="74" t="s">
        <v>93</v>
      </c>
      <c r="BI348" s="74" t="s">
        <v>93</v>
      </c>
      <c r="BJ348" s="74" t="s">
        <v>93</v>
      </c>
      <c r="BK348" s="74" t="s">
        <v>93</v>
      </c>
      <c r="BL348" s="74" t="s">
        <v>93</v>
      </c>
      <c r="BM348" s="74" t="s">
        <v>93</v>
      </c>
      <c r="BN348" s="74" t="s">
        <v>93</v>
      </c>
      <c r="BO348" s="74" t="s">
        <v>93</v>
      </c>
      <c r="BP348" s="75" t="s">
        <v>93</v>
      </c>
    </row>
    <row r="349" spans="2:68" x14ac:dyDescent="0.25">
      <c r="B349" s="64">
        <v>12</v>
      </c>
      <c r="C349" s="65">
        <v>50</v>
      </c>
      <c r="D349" s="65" t="s">
        <v>92</v>
      </c>
      <c r="E349" s="66">
        <f>'[3]Master File'!B348</f>
        <v>46362</v>
      </c>
      <c r="F349" s="67" t="str">
        <f>'[3]Master File'!C348</f>
        <v>WT Peak</v>
      </c>
      <c r="G349" s="46"/>
      <c r="I349" s="74" t="s">
        <v>93</v>
      </c>
      <c r="J349" s="74" t="s">
        <v>93</v>
      </c>
      <c r="K349" s="74" t="s">
        <v>93</v>
      </c>
      <c r="L349" s="68" t="s">
        <v>94</v>
      </c>
      <c r="M349" s="74" t="s">
        <v>93</v>
      </c>
      <c r="N349" s="74" t="s">
        <v>93</v>
      </c>
      <c r="O349" s="74" t="s">
        <v>93</v>
      </c>
      <c r="P349" s="74" t="s">
        <v>93</v>
      </c>
      <c r="Q349" s="74" t="s">
        <v>93</v>
      </c>
      <c r="R349" s="74" t="s">
        <v>93</v>
      </c>
      <c r="S349" s="74" t="s">
        <v>93</v>
      </c>
      <c r="T349" s="74" t="s">
        <v>93</v>
      </c>
      <c r="U349" s="74" t="s">
        <v>93</v>
      </c>
      <c r="V349" s="74" t="s">
        <v>93</v>
      </c>
      <c r="W349" s="74" t="s">
        <v>93</v>
      </c>
      <c r="X349" s="74" t="s">
        <v>93</v>
      </c>
      <c r="Y349" s="74" t="s">
        <v>93</v>
      </c>
      <c r="Z349" s="68" t="s">
        <v>94</v>
      </c>
      <c r="AA349" s="74" t="s">
        <v>93</v>
      </c>
      <c r="AB349" s="74" t="s">
        <v>93</v>
      </c>
      <c r="AC349" s="74" t="s">
        <v>93</v>
      </c>
      <c r="AD349" s="74" t="s">
        <v>94</v>
      </c>
      <c r="AE349" s="74" t="s">
        <v>94</v>
      </c>
      <c r="AF349" s="74" t="s">
        <v>93</v>
      </c>
      <c r="AG349" s="74" t="s">
        <v>93</v>
      </c>
      <c r="AH349" s="74" t="s">
        <v>93</v>
      </c>
      <c r="AI349" s="74" t="s">
        <v>93</v>
      </c>
      <c r="AJ349" s="74" t="s">
        <v>93</v>
      </c>
      <c r="AK349" s="74" t="s">
        <v>93</v>
      </c>
      <c r="AL349" s="74" t="s">
        <v>93</v>
      </c>
      <c r="AM349" s="74" t="s">
        <v>93</v>
      </c>
      <c r="AN349" s="74" t="s">
        <v>93</v>
      </c>
      <c r="AO349" s="74" t="s">
        <v>93</v>
      </c>
      <c r="AP349" s="74" t="s">
        <v>93</v>
      </c>
      <c r="AQ349" s="74" t="s">
        <v>93</v>
      </c>
      <c r="AR349" s="74" t="s">
        <v>93</v>
      </c>
      <c r="AS349" s="74" t="s">
        <v>93</v>
      </c>
      <c r="AT349" s="74" t="s">
        <v>93</v>
      </c>
      <c r="AU349" s="74" t="s">
        <v>93</v>
      </c>
      <c r="AV349" s="74" t="s">
        <v>93</v>
      </c>
      <c r="AW349" s="74" t="s">
        <v>93</v>
      </c>
      <c r="AX349" s="74" t="s">
        <v>93</v>
      </c>
      <c r="AY349" s="74" t="s">
        <v>93</v>
      </c>
      <c r="AZ349" s="74" t="s">
        <v>93</v>
      </c>
      <c r="BA349" s="74" t="s">
        <v>93</v>
      </c>
      <c r="BB349" s="74" t="s">
        <v>93</v>
      </c>
      <c r="BC349" s="74" t="s">
        <v>93</v>
      </c>
      <c r="BD349" s="74" t="s">
        <v>93</v>
      </c>
      <c r="BE349" s="74" t="s">
        <v>93</v>
      </c>
      <c r="BF349" s="74" t="s">
        <v>93</v>
      </c>
      <c r="BG349" s="74" t="s">
        <v>93</v>
      </c>
      <c r="BH349" s="74" t="s">
        <v>93</v>
      </c>
      <c r="BI349" s="74" t="s">
        <v>93</v>
      </c>
      <c r="BJ349" s="74" t="s">
        <v>93</v>
      </c>
      <c r="BK349" s="74" t="s">
        <v>93</v>
      </c>
      <c r="BL349" s="74" t="s">
        <v>93</v>
      </c>
      <c r="BM349" s="74" t="s">
        <v>93</v>
      </c>
      <c r="BN349" s="74" t="s">
        <v>93</v>
      </c>
      <c r="BO349" s="74" t="s">
        <v>93</v>
      </c>
      <c r="BP349" s="75" t="s">
        <v>93</v>
      </c>
    </row>
    <row r="350" spans="2:68" x14ac:dyDescent="0.25">
      <c r="B350" s="64">
        <v>12</v>
      </c>
      <c r="C350" s="65">
        <v>50</v>
      </c>
      <c r="D350" s="65" t="s">
        <v>95</v>
      </c>
      <c r="E350" s="66">
        <f>'[3]Master File'!B349</f>
        <v>46363</v>
      </c>
      <c r="F350" s="67" t="str">
        <f>'[3]Master File'!C349</f>
        <v>Closed</v>
      </c>
      <c r="G350" s="46"/>
      <c r="I350" s="68" t="s">
        <v>93</v>
      </c>
      <c r="J350" s="68" t="s">
        <v>93</v>
      </c>
      <c r="K350" s="68" t="s">
        <v>93</v>
      </c>
      <c r="L350" s="68" t="s">
        <v>94</v>
      </c>
      <c r="M350" s="68" t="s">
        <v>93</v>
      </c>
      <c r="N350" s="68" t="s">
        <v>93</v>
      </c>
      <c r="O350" s="68" t="s">
        <v>93</v>
      </c>
      <c r="P350" s="68" t="s">
        <v>93</v>
      </c>
      <c r="Q350" s="68" t="s">
        <v>93</v>
      </c>
      <c r="R350" s="68" t="s">
        <v>93</v>
      </c>
      <c r="S350" s="68" t="s">
        <v>93</v>
      </c>
      <c r="T350" s="68" t="s">
        <v>93</v>
      </c>
      <c r="U350" s="68" t="s">
        <v>93</v>
      </c>
      <c r="V350" s="68" t="s">
        <v>93</v>
      </c>
      <c r="W350" s="68" t="s">
        <v>93</v>
      </c>
      <c r="X350" s="68" t="s">
        <v>93</v>
      </c>
      <c r="Y350" s="68" t="s">
        <v>93</v>
      </c>
      <c r="Z350" s="68" t="s">
        <v>94</v>
      </c>
      <c r="AA350" s="68" t="s">
        <v>93</v>
      </c>
      <c r="AB350" s="68" t="s">
        <v>93</v>
      </c>
      <c r="AC350" s="68" t="s">
        <v>93</v>
      </c>
      <c r="AD350" s="68" t="s">
        <v>93</v>
      </c>
      <c r="AE350" s="68" t="s">
        <v>93</v>
      </c>
      <c r="AF350" s="68" t="s">
        <v>93</v>
      </c>
      <c r="AG350" s="68" t="s">
        <v>93</v>
      </c>
      <c r="AH350" s="68" t="s">
        <v>93</v>
      </c>
      <c r="AI350" s="68" t="s">
        <v>93</v>
      </c>
      <c r="AJ350" s="68" t="s">
        <v>93</v>
      </c>
      <c r="AK350" s="68" t="s">
        <v>93</v>
      </c>
      <c r="AL350" s="68" t="s">
        <v>93</v>
      </c>
      <c r="AM350" s="68" t="s">
        <v>93</v>
      </c>
      <c r="AN350" s="68" t="s">
        <v>93</v>
      </c>
      <c r="AO350" s="68" t="s">
        <v>93</v>
      </c>
      <c r="AP350" s="68" t="s">
        <v>93</v>
      </c>
      <c r="AQ350" s="68" t="s">
        <v>93</v>
      </c>
      <c r="AR350" s="68" t="s">
        <v>93</v>
      </c>
      <c r="AS350" s="68" t="s">
        <v>93</v>
      </c>
      <c r="AT350" s="68" t="s">
        <v>93</v>
      </c>
      <c r="AU350" s="68" t="s">
        <v>93</v>
      </c>
      <c r="AV350" s="68" t="s">
        <v>93</v>
      </c>
      <c r="AW350" s="68" t="s">
        <v>93</v>
      </c>
      <c r="AX350" s="68" t="s">
        <v>93</v>
      </c>
      <c r="AY350" s="68" t="s">
        <v>93</v>
      </c>
      <c r="AZ350" s="68" t="s">
        <v>93</v>
      </c>
      <c r="BA350" s="68" t="s">
        <v>93</v>
      </c>
      <c r="BB350" s="68" t="s">
        <v>93</v>
      </c>
      <c r="BC350" s="68" t="s">
        <v>93</v>
      </c>
      <c r="BD350" s="68" t="s">
        <v>93</v>
      </c>
      <c r="BE350" s="68" t="s">
        <v>93</v>
      </c>
      <c r="BF350" s="68" t="s">
        <v>93</v>
      </c>
      <c r="BG350" s="68" t="s">
        <v>93</v>
      </c>
      <c r="BH350" s="68" t="s">
        <v>93</v>
      </c>
      <c r="BI350" s="68" t="s">
        <v>93</v>
      </c>
      <c r="BJ350" s="68" t="s">
        <v>93</v>
      </c>
      <c r="BK350" s="68" t="s">
        <v>93</v>
      </c>
      <c r="BL350" s="68" t="s">
        <v>93</v>
      </c>
      <c r="BM350" s="68" t="s">
        <v>93</v>
      </c>
      <c r="BN350" s="68" t="s">
        <v>93</v>
      </c>
      <c r="BO350" s="68" t="s">
        <v>93</v>
      </c>
      <c r="BP350" s="69" t="s">
        <v>93</v>
      </c>
    </row>
    <row r="351" spans="2:68" x14ac:dyDescent="0.25">
      <c r="B351" s="64">
        <v>12</v>
      </c>
      <c r="C351" s="65">
        <v>50</v>
      </c>
      <c r="D351" s="65" t="s">
        <v>96</v>
      </c>
      <c r="E351" s="66">
        <f>'[3]Master File'!B350</f>
        <v>46364</v>
      </c>
      <c r="F351" s="67" t="str">
        <f>'[3]Master File'!C350</f>
        <v>Closed</v>
      </c>
      <c r="G351" s="46"/>
      <c r="I351" s="68" t="s">
        <v>93</v>
      </c>
      <c r="J351" s="68" t="s">
        <v>93</v>
      </c>
      <c r="K351" s="68" t="s">
        <v>93</v>
      </c>
      <c r="L351" s="68" t="s">
        <v>94</v>
      </c>
      <c r="M351" s="68" t="s">
        <v>93</v>
      </c>
      <c r="N351" s="68" t="s">
        <v>93</v>
      </c>
      <c r="O351" s="68" t="s">
        <v>93</v>
      </c>
      <c r="P351" s="68" t="s">
        <v>93</v>
      </c>
      <c r="Q351" s="68" t="s">
        <v>93</v>
      </c>
      <c r="R351" s="68" t="s">
        <v>93</v>
      </c>
      <c r="S351" s="68" t="s">
        <v>93</v>
      </c>
      <c r="T351" s="68" t="s">
        <v>93</v>
      </c>
      <c r="U351" s="68" t="s">
        <v>93</v>
      </c>
      <c r="V351" s="68" t="s">
        <v>93</v>
      </c>
      <c r="W351" s="68" t="s">
        <v>93</v>
      </c>
      <c r="X351" s="68" t="s">
        <v>93</v>
      </c>
      <c r="Y351" s="68" t="s">
        <v>93</v>
      </c>
      <c r="Z351" s="68" t="s">
        <v>94</v>
      </c>
      <c r="AA351" s="68" t="s">
        <v>93</v>
      </c>
      <c r="AB351" s="68" t="s">
        <v>93</v>
      </c>
      <c r="AC351" s="68" t="s">
        <v>93</v>
      </c>
      <c r="AD351" s="68" t="s">
        <v>93</v>
      </c>
      <c r="AE351" s="68" t="s">
        <v>93</v>
      </c>
      <c r="AF351" s="68" t="s">
        <v>93</v>
      </c>
      <c r="AG351" s="68" t="s">
        <v>93</v>
      </c>
      <c r="AH351" s="68" t="s">
        <v>93</v>
      </c>
      <c r="AI351" s="68" t="s">
        <v>93</v>
      </c>
      <c r="AJ351" s="68" t="s">
        <v>93</v>
      </c>
      <c r="AK351" s="68" t="s">
        <v>93</v>
      </c>
      <c r="AL351" s="68" t="s">
        <v>93</v>
      </c>
      <c r="AM351" s="68" t="s">
        <v>93</v>
      </c>
      <c r="AN351" s="68" t="s">
        <v>93</v>
      </c>
      <c r="AO351" s="68" t="s">
        <v>93</v>
      </c>
      <c r="AP351" s="68" t="s">
        <v>93</v>
      </c>
      <c r="AQ351" s="68" t="s">
        <v>93</v>
      </c>
      <c r="AR351" s="68" t="s">
        <v>93</v>
      </c>
      <c r="AS351" s="68" t="s">
        <v>93</v>
      </c>
      <c r="AT351" s="68" t="s">
        <v>93</v>
      </c>
      <c r="AU351" s="68" t="s">
        <v>93</v>
      </c>
      <c r="AV351" s="68" t="s">
        <v>93</v>
      </c>
      <c r="AW351" s="68" t="s">
        <v>93</v>
      </c>
      <c r="AX351" s="68" t="s">
        <v>93</v>
      </c>
      <c r="AY351" s="68" t="s">
        <v>93</v>
      </c>
      <c r="AZ351" s="68" t="s">
        <v>93</v>
      </c>
      <c r="BA351" s="68" t="s">
        <v>93</v>
      </c>
      <c r="BB351" s="68" t="s">
        <v>93</v>
      </c>
      <c r="BC351" s="68" t="s">
        <v>93</v>
      </c>
      <c r="BD351" s="68" t="s">
        <v>93</v>
      </c>
      <c r="BE351" s="68" t="s">
        <v>93</v>
      </c>
      <c r="BF351" s="68" t="s">
        <v>93</v>
      </c>
      <c r="BG351" s="68" t="s">
        <v>93</v>
      </c>
      <c r="BH351" s="68" t="s">
        <v>93</v>
      </c>
      <c r="BI351" s="68" t="s">
        <v>93</v>
      </c>
      <c r="BJ351" s="68" t="s">
        <v>93</v>
      </c>
      <c r="BK351" s="68" t="s">
        <v>93</v>
      </c>
      <c r="BL351" s="68" t="s">
        <v>93</v>
      </c>
      <c r="BM351" s="68" t="s">
        <v>93</v>
      </c>
      <c r="BN351" s="68" t="s">
        <v>93</v>
      </c>
      <c r="BO351" s="68" t="s">
        <v>93</v>
      </c>
      <c r="BP351" s="69" t="s">
        <v>93</v>
      </c>
    </row>
    <row r="352" spans="2:68" x14ac:dyDescent="0.25">
      <c r="B352" s="64">
        <v>12</v>
      </c>
      <c r="C352" s="65">
        <v>50</v>
      </c>
      <c r="D352" s="65" t="s">
        <v>97</v>
      </c>
      <c r="E352" s="66">
        <f>'[3]Master File'!B351</f>
        <v>46365</v>
      </c>
      <c r="F352" s="67" t="str">
        <f>'[3]Master File'!C351</f>
        <v>Closed</v>
      </c>
      <c r="G352" s="46"/>
      <c r="I352" s="68" t="s">
        <v>93</v>
      </c>
      <c r="J352" s="68" t="s">
        <v>93</v>
      </c>
      <c r="K352" s="68" t="s">
        <v>93</v>
      </c>
      <c r="L352" s="68" t="s">
        <v>94</v>
      </c>
      <c r="M352" s="68" t="s">
        <v>93</v>
      </c>
      <c r="N352" s="68" t="s">
        <v>93</v>
      </c>
      <c r="O352" s="68" t="s">
        <v>93</v>
      </c>
      <c r="P352" s="68" t="s">
        <v>93</v>
      </c>
      <c r="Q352" s="68" t="s">
        <v>93</v>
      </c>
      <c r="R352" s="68" t="s">
        <v>93</v>
      </c>
      <c r="S352" s="68" t="s">
        <v>93</v>
      </c>
      <c r="T352" s="68" t="s">
        <v>93</v>
      </c>
      <c r="U352" s="68" t="s">
        <v>93</v>
      </c>
      <c r="V352" s="68" t="s">
        <v>93</v>
      </c>
      <c r="W352" s="68" t="s">
        <v>93</v>
      </c>
      <c r="X352" s="68" t="s">
        <v>93</v>
      </c>
      <c r="Y352" s="68" t="s">
        <v>93</v>
      </c>
      <c r="Z352" s="68" t="s">
        <v>94</v>
      </c>
      <c r="AA352" s="68" t="s">
        <v>93</v>
      </c>
      <c r="AB352" s="68" t="s">
        <v>93</v>
      </c>
      <c r="AC352" s="68" t="s">
        <v>93</v>
      </c>
      <c r="AD352" s="68" t="s">
        <v>93</v>
      </c>
      <c r="AE352" s="68" t="s">
        <v>93</v>
      </c>
      <c r="AF352" s="68" t="s">
        <v>93</v>
      </c>
      <c r="AG352" s="68" t="s">
        <v>93</v>
      </c>
      <c r="AH352" s="68" t="s">
        <v>93</v>
      </c>
      <c r="AI352" s="68" t="s">
        <v>93</v>
      </c>
      <c r="AJ352" s="68" t="s">
        <v>93</v>
      </c>
      <c r="AK352" s="68" t="s">
        <v>93</v>
      </c>
      <c r="AL352" s="68" t="s">
        <v>93</v>
      </c>
      <c r="AM352" s="68" t="s">
        <v>93</v>
      </c>
      <c r="AN352" s="68" t="s">
        <v>93</v>
      </c>
      <c r="AO352" s="68" t="s">
        <v>93</v>
      </c>
      <c r="AP352" s="68" t="s">
        <v>93</v>
      </c>
      <c r="AQ352" s="68" t="s">
        <v>93</v>
      </c>
      <c r="AR352" s="68" t="s">
        <v>93</v>
      </c>
      <c r="AS352" s="68" t="s">
        <v>93</v>
      </c>
      <c r="AT352" s="68" t="s">
        <v>93</v>
      </c>
      <c r="AU352" s="68" t="s">
        <v>93</v>
      </c>
      <c r="AV352" s="68" t="s">
        <v>93</v>
      </c>
      <c r="AW352" s="68" t="s">
        <v>93</v>
      </c>
      <c r="AX352" s="68" t="s">
        <v>93</v>
      </c>
      <c r="AY352" s="68" t="s">
        <v>93</v>
      </c>
      <c r="AZ352" s="68" t="s">
        <v>93</v>
      </c>
      <c r="BA352" s="68" t="s">
        <v>93</v>
      </c>
      <c r="BB352" s="68" t="s">
        <v>93</v>
      </c>
      <c r="BC352" s="68" t="s">
        <v>93</v>
      </c>
      <c r="BD352" s="68" t="s">
        <v>93</v>
      </c>
      <c r="BE352" s="68" t="s">
        <v>93</v>
      </c>
      <c r="BF352" s="68" t="s">
        <v>93</v>
      </c>
      <c r="BG352" s="68" t="s">
        <v>93</v>
      </c>
      <c r="BH352" s="68" t="s">
        <v>93</v>
      </c>
      <c r="BI352" s="68" t="s">
        <v>93</v>
      </c>
      <c r="BJ352" s="68" t="s">
        <v>93</v>
      </c>
      <c r="BK352" s="68" t="s">
        <v>93</v>
      </c>
      <c r="BL352" s="68" t="s">
        <v>93</v>
      </c>
      <c r="BM352" s="68" t="s">
        <v>93</v>
      </c>
      <c r="BN352" s="68" t="s">
        <v>93</v>
      </c>
      <c r="BO352" s="68" t="s">
        <v>93</v>
      </c>
      <c r="BP352" s="69" t="s">
        <v>93</v>
      </c>
    </row>
    <row r="353" spans="2:68" x14ac:dyDescent="0.25">
      <c r="B353" s="64">
        <v>12</v>
      </c>
      <c r="C353" s="65">
        <v>50</v>
      </c>
      <c r="D353" s="65" t="s">
        <v>98</v>
      </c>
      <c r="E353" s="66">
        <f>'[3]Master File'!B352</f>
        <v>46366</v>
      </c>
      <c r="F353" s="67" t="str">
        <f>'[3]Master File'!C352</f>
        <v>Closed</v>
      </c>
      <c r="G353" s="46"/>
      <c r="I353" s="68" t="s">
        <v>93</v>
      </c>
      <c r="J353" s="68" t="s">
        <v>93</v>
      </c>
      <c r="K353" s="68" t="s">
        <v>93</v>
      </c>
      <c r="L353" s="68" t="s">
        <v>94</v>
      </c>
      <c r="M353" s="68" t="s">
        <v>93</v>
      </c>
      <c r="N353" s="68" t="s">
        <v>93</v>
      </c>
      <c r="O353" s="68" t="s">
        <v>93</v>
      </c>
      <c r="P353" s="68" t="s">
        <v>93</v>
      </c>
      <c r="Q353" s="68" t="s">
        <v>93</v>
      </c>
      <c r="R353" s="68" t="s">
        <v>93</v>
      </c>
      <c r="S353" s="68" t="s">
        <v>93</v>
      </c>
      <c r="T353" s="68" t="s">
        <v>93</v>
      </c>
      <c r="U353" s="68" t="s">
        <v>93</v>
      </c>
      <c r="V353" s="68" t="s">
        <v>93</v>
      </c>
      <c r="W353" s="68" t="s">
        <v>93</v>
      </c>
      <c r="X353" s="68" t="s">
        <v>93</v>
      </c>
      <c r="Y353" s="68" t="s">
        <v>93</v>
      </c>
      <c r="Z353" s="68" t="s">
        <v>94</v>
      </c>
      <c r="AA353" s="68" t="s">
        <v>93</v>
      </c>
      <c r="AB353" s="68" t="s">
        <v>93</v>
      </c>
      <c r="AC353" s="68" t="s">
        <v>93</v>
      </c>
      <c r="AD353" s="68" t="s">
        <v>93</v>
      </c>
      <c r="AE353" s="68" t="s">
        <v>93</v>
      </c>
      <c r="AF353" s="68" t="s">
        <v>93</v>
      </c>
      <c r="AG353" s="68" t="s">
        <v>93</v>
      </c>
      <c r="AH353" s="68" t="s">
        <v>93</v>
      </c>
      <c r="AI353" s="68" t="s">
        <v>93</v>
      </c>
      <c r="AJ353" s="68" t="s">
        <v>93</v>
      </c>
      <c r="AK353" s="68" t="s">
        <v>93</v>
      </c>
      <c r="AL353" s="68" t="s">
        <v>93</v>
      </c>
      <c r="AM353" s="68" t="s">
        <v>93</v>
      </c>
      <c r="AN353" s="68" t="s">
        <v>93</v>
      </c>
      <c r="AO353" s="68" t="s">
        <v>93</v>
      </c>
      <c r="AP353" s="68" t="s">
        <v>93</v>
      </c>
      <c r="AQ353" s="68" t="s">
        <v>93</v>
      </c>
      <c r="AR353" s="68" t="s">
        <v>93</v>
      </c>
      <c r="AS353" s="68" t="s">
        <v>93</v>
      </c>
      <c r="AT353" s="68" t="s">
        <v>93</v>
      </c>
      <c r="AU353" s="68" t="s">
        <v>93</v>
      </c>
      <c r="AV353" s="68" t="s">
        <v>93</v>
      </c>
      <c r="AW353" s="68" t="s">
        <v>93</v>
      </c>
      <c r="AX353" s="68" t="s">
        <v>93</v>
      </c>
      <c r="AY353" s="68" t="s">
        <v>93</v>
      </c>
      <c r="AZ353" s="68" t="s">
        <v>93</v>
      </c>
      <c r="BA353" s="68" t="s">
        <v>93</v>
      </c>
      <c r="BB353" s="68" t="s">
        <v>93</v>
      </c>
      <c r="BC353" s="68" t="s">
        <v>93</v>
      </c>
      <c r="BD353" s="68" t="s">
        <v>93</v>
      </c>
      <c r="BE353" s="68" t="s">
        <v>93</v>
      </c>
      <c r="BF353" s="68" t="s">
        <v>93</v>
      </c>
      <c r="BG353" s="68" t="s">
        <v>93</v>
      </c>
      <c r="BH353" s="68" t="s">
        <v>93</v>
      </c>
      <c r="BI353" s="68" t="s">
        <v>93</v>
      </c>
      <c r="BJ353" s="68" t="s">
        <v>93</v>
      </c>
      <c r="BK353" s="68" t="s">
        <v>93</v>
      </c>
      <c r="BL353" s="68" t="s">
        <v>93</v>
      </c>
      <c r="BM353" s="68" t="s">
        <v>93</v>
      </c>
      <c r="BN353" s="68" t="s">
        <v>93</v>
      </c>
      <c r="BO353" s="68" t="s">
        <v>93</v>
      </c>
      <c r="BP353" s="69" t="s">
        <v>93</v>
      </c>
    </row>
    <row r="354" spans="2:68" x14ac:dyDescent="0.25">
      <c r="B354" s="64">
        <v>12</v>
      </c>
      <c r="C354" s="65">
        <v>50</v>
      </c>
      <c r="D354" s="65" t="s">
        <v>99</v>
      </c>
      <c r="E354" s="66">
        <f>'[3]Master File'!B353</f>
        <v>46367</v>
      </c>
      <c r="F354" s="67" t="str">
        <f>'[3]Master File'!C353</f>
        <v>WT Off-Peak</v>
      </c>
      <c r="G354" s="46"/>
      <c r="I354" s="68" t="s">
        <v>93</v>
      </c>
      <c r="J354" s="68" t="s">
        <v>93</v>
      </c>
      <c r="K354" s="68" t="s">
        <v>93</v>
      </c>
      <c r="L354" s="68" t="s">
        <v>94</v>
      </c>
      <c r="M354" s="68" t="s">
        <v>93</v>
      </c>
      <c r="N354" s="68" t="s">
        <v>93</v>
      </c>
      <c r="O354" s="68" t="s">
        <v>93</v>
      </c>
      <c r="P354" s="68" t="s">
        <v>93</v>
      </c>
      <c r="Q354" s="68" t="s">
        <v>93</v>
      </c>
      <c r="R354" s="68" t="s">
        <v>93</v>
      </c>
      <c r="S354" s="68" t="s">
        <v>93</v>
      </c>
      <c r="T354" s="68" t="s">
        <v>93</v>
      </c>
      <c r="U354" s="68" t="s">
        <v>93</v>
      </c>
      <c r="V354" s="68" t="s">
        <v>93</v>
      </c>
      <c r="W354" s="68" t="s">
        <v>93</v>
      </c>
      <c r="X354" s="68" t="s">
        <v>93</v>
      </c>
      <c r="Y354" s="68" t="s">
        <v>93</v>
      </c>
      <c r="Z354" s="68" t="s">
        <v>94</v>
      </c>
      <c r="AA354" s="68" t="s">
        <v>93</v>
      </c>
      <c r="AB354" s="68" t="s">
        <v>93</v>
      </c>
      <c r="AC354" s="68" t="s">
        <v>93</v>
      </c>
      <c r="AD354" s="68" t="s">
        <v>93</v>
      </c>
      <c r="AE354" s="68" t="s">
        <v>93</v>
      </c>
      <c r="AF354" s="68" t="s">
        <v>93</v>
      </c>
      <c r="AG354" s="68" t="s">
        <v>93</v>
      </c>
      <c r="AH354" s="68" t="s">
        <v>93</v>
      </c>
      <c r="AI354" s="68" t="s">
        <v>93</v>
      </c>
      <c r="AJ354" s="68" t="s">
        <v>93</v>
      </c>
      <c r="AK354" s="68" t="s">
        <v>93</v>
      </c>
      <c r="AL354" s="68" t="s">
        <v>93</v>
      </c>
      <c r="AM354" s="68" t="s">
        <v>93</v>
      </c>
      <c r="AN354" s="68" t="s">
        <v>93</v>
      </c>
      <c r="AO354" s="68" t="s">
        <v>93</v>
      </c>
      <c r="AP354" s="68" t="s">
        <v>93</v>
      </c>
      <c r="AQ354" s="68" t="s">
        <v>93</v>
      </c>
      <c r="AR354" s="68" t="s">
        <v>93</v>
      </c>
      <c r="AS354" s="68" t="s">
        <v>93</v>
      </c>
      <c r="AT354" s="68" t="s">
        <v>93</v>
      </c>
      <c r="AU354" s="68" t="s">
        <v>93</v>
      </c>
      <c r="AV354" s="68" t="s">
        <v>93</v>
      </c>
      <c r="AW354" s="68" t="s">
        <v>93</v>
      </c>
      <c r="AX354" s="68" t="s">
        <v>93</v>
      </c>
      <c r="AY354" s="68" t="s">
        <v>93</v>
      </c>
      <c r="AZ354" s="68" t="s">
        <v>93</v>
      </c>
      <c r="BA354" s="68" t="s">
        <v>93</v>
      </c>
      <c r="BB354" s="68" t="s">
        <v>93</v>
      </c>
      <c r="BC354" s="68" t="s">
        <v>93</v>
      </c>
      <c r="BD354" s="68" t="s">
        <v>93</v>
      </c>
      <c r="BE354" s="68" t="s">
        <v>93</v>
      </c>
      <c r="BF354" s="68" t="s">
        <v>93</v>
      </c>
      <c r="BG354" s="68" t="s">
        <v>93</v>
      </c>
      <c r="BH354" s="68" t="s">
        <v>93</v>
      </c>
      <c r="BI354" s="68" t="s">
        <v>93</v>
      </c>
      <c r="BJ354" s="68" t="s">
        <v>93</v>
      </c>
      <c r="BK354" s="68" t="s">
        <v>93</v>
      </c>
      <c r="BL354" s="68" t="s">
        <v>93</v>
      </c>
      <c r="BM354" s="68" t="s">
        <v>93</v>
      </c>
      <c r="BN354" s="68" t="s">
        <v>93</v>
      </c>
      <c r="BO354" s="68" t="s">
        <v>93</v>
      </c>
      <c r="BP354" s="69" t="s">
        <v>93</v>
      </c>
    </row>
    <row r="355" spans="2:68" x14ac:dyDescent="0.25">
      <c r="B355" s="64">
        <v>12</v>
      </c>
      <c r="C355" s="65">
        <v>50</v>
      </c>
      <c r="D355" s="65" t="s">
        <v>100</v>
      </c>
      <c r="E355" s="66">
        <f>'[3]Master File'!B354</f>
        <v>46368</v>
      </c>
      <c r="F355" s="67" t="str">
        <f>'[3]Master File'!C354</f>
        <v>WT Peak</v>
      </c>
      <c r="G355" s="46"/>
      <c r="I355" s="74" t="s">
        <v>93</v>
      </c>
      <c r="J355" s="74" t="s">
        <v>93</v>
      </c>
      <c r="K355" s="74" t="s">
        <v>93</v>
      </c>
      <c r="L355" s="68" t="s">
        <v>94</v>
      </c>
      <c r="M355" s="74" t="s">
        <v>93</v>
      </c>
      <c r="N355" s="74" t="s">
        <v>93</v>
      </c>
      <c r="O355" s="74" t="s">
        <v>93</v>
      </c>
      <c r="P355" s="74" t="s">
        <v>93</v>
      </c>
      <c r="Q355" s="74" t="s">
        <v>93</v>
      </c>
      <c r="R355" s="74" t="s">
        <v>93</v>
      </c>
      <c r="S355" s="74" t="s">
        <v>93</v>
      </c>
      <c r="T355" s="74" t="s">
        <v>93</v>
      </c>
      <c r="U355" s="74" t="s">
        <v>93</v>
      </c>
      <c r="V355" s="74" t="s">
        <v>93</v>
      </c>
      <c r="W355" s="74" t="s">
        <v>93</v>
      </c>
      <c r="X355" s="74" t="s">
        <v>93</v>
      </c>
      <c r="Y355" s="74" t="s">
        <v>93</v>
      </c>
      <c r="Z355" s="68" t="s">
        <v>94</v>
      </c>
      <c r="AA355" s="74" t="s">
        <v>93</v>
      </c>
      <c r="AB355" s="74" t="s">
        <v>93</v>
      </c>
      <c r="AC355" s="74" t="s">
        <v>93</v>
      </c>
      <c r="AD355" s="74" t="s">
        <v>94</v>
      </c>
      <c r="AE355" s="74" t="s">
        <v>94</v>
      </c>
      <c r="AF355" s="74" t="s">
        <v>93</v>
      </c>
      <c r="AG355" s="74" t="s">
        <v>93</v>
      </c>
      <c r="AH355" s="74" t="s">
        <v>93</v>
      </c>
      <c r="AI355" s="74" t="s">
        <v>93</v>
      </c>
      <c r="AJ355" s="74" t="s">
        <v>93</v>
      </c>
      <c r="AK355" s="74" t="s">
        <v>93</v>
      </c>
      <c r="AL355" s="74" t="s">
        <v>93</v>
      </c>
      <c r="AM355" s="74" t="s">
        <v>93</v>
      </c>
      <c r="AN355" s="74" t="s">
        <v>93</v>
      </c>
      <c r="AO355" s="74" t="s">
        <v>93</v>
      </c>
      <c r="AP355" s="74" t="s">
        <v>93</v>
      </c>
      <c r="AQ355" s="74" t="s">
        <v>93</v>
      </c>
      <c r="AR355" s="74" t="s">
        <v>93</v>
      </c>
      <c r="AS355" s="74" t="s">
        <v>93</v>
      </c>
      <c r="AT355" s="74" t="s">
        <v>93</v>
      </c>
      <c r="AU355" s="74" t="s">
        <v>93</v>
      </c>
      <c r="AV355" s="74" t="s">
        <v>93</v>
      </c>
      <c r="AW355" s="74" t="s">
        <v>93</v>
      </c>
      <c r="AX355" s="74" t="s">
        <v>93</v>
      </c>
      <c r="AY355" s="74" t="s">
        <v>93</v>
      </c>
      <c r="AZ355" s="74" t="s">
        <v>93</v>
      </c>
      <c r="BA355" s="74" t="s">
        <v>93</v>
      </c>
      <c r="BB355" s="74" t="s">
        <v>93</v>
      </c>
      <c r="BC355" s="74" t="s">
        <v>93</v>
      </c>
      <c r="BD355" s="74" t="s">
        <v>93</v>
      </c>
      <c r="BE355" s="74" t="s">
        <v>93</v>
      </c>
      <c r="BF355" s="74" t="s">
        <v>93</v>
      </c>
      <c r="BG355" s="74" t="s">
        <v>93</v>
      </c>
      <c r="BH355" s="74" t="s">
        <v>93</v>
      </c>
      <c r="BI355" s="74" t="s">
        <v>93</v>
      </c>
      <c r="BJ355" s="74" t="s">
        <v>93</v>
      </c>
      <c r="BK355" s="74" t="s">
        <v>93</v>
      </c>
      <c r="BL355" s="74" t="s">
        <v>93</v>
      </c>
      <c r="BM355" s="74" t="s">
        <v>93</v>
      </c>
      <c r="BN355" s="74" t="s">
        <v>93</v>
      </c>
      <c r="BO355" s="74" t="s">
        <v>93</v>
      </c>
      <c r="BP355" s="75" t="s">
        <v>93</v>
      </c>
    </row>
    <row r="356" spans="2:68" x14ac:dyDescent="0.25">
      <c r="B356" s="64">
        <v>12</v>
      </c>
      <c r="C356" s="65">
        <v>51</v>
      </c>
      <c r="D356" s="65" t="s">
        <v>92</v>
      </c>
      <c r="E356" s="66">
        <f>'[3]Master File'!B355</f>
        <v>46369</v>
      </c>
      <c r="F356" s="67" t="str">
        <f>'[3]Master File'!C355</f>
        <v>WT Peak</v>
      </c>
      <c r="G356" s="46"/>
      <c r="I356" s="74" t="s">
        <v>93</v>
      </c>
      <c r="J356" s="74" t="s">
        <v>93</v>
      </c>
      <c r="K356" s="74" t="s">
        <v>93</v>
      </c>
      <c r="L356" s="68" t="s">
        <v>94</v>
      </c>
      <c r="M356" s="74" t="s">
        <v>93</v>
      </c>
      <c r="N356" s="74" t="s">
        <v>93</v>
      </c>
      <c r="O356" s="74" t="s">
        <v>93</v>
      </c>
      <c r="P356" s="74" t="s">
        <v>93</v>
      </c>
      <c r="Q356" s="74" t="s">
        <v>93</v>
      </c>
      <c r="R356" s="74" t="s">
        <v>93</v>
      </c>
      <c r="S356" s="74" t="s">
        <v>93</v>
      </c>
      <c r="T356" s="74" t="s">
        <v>93</v>
      </c>
      <c r="U356" s="74" t="s">
        <v>93</v>
      </c>
      <c r="V356" s="74" t="s">
        <v>93</v>
      </c>
      <c r="W356" s="74" t="s">
        <v>93</v>
      </c>
      <c r="X356" s="74" t="s">
        <v>93</v>
      </c>
      <c r="Y356" s="74" t="s">
        <v>93</v>
      </c>
      <c r="Z356" s="68" t="s">
        <v>94</v>
      </c>
      <c r="AA356" s="74" t="s">
        <v>93</v>
      </c>
      <c r="AB356" s="74" t="s">
        <v>93</v>
      </c>
      <c r="AC356" s="74" t="s">
        <v>93</v>
      </c>
      <c r="AD356" s="74" t="s">
        <v>94</v>
      </c>
      <c r="AE356" s="74" t="s">
        <v>94</v>
      </c>
      <c r="AF356" s="74" t="s">
        <v>93</v>
      </c>
      <c r="AG356" s="74" t="s">
        <v>93</v>
      </c>
      <c r="AH356" s="74" t="s">
        <v>93</v>
      </c>
      <c r="AI356" s="74" t="s">
        <v>93</v>
      </c>
      <c r="AJ356" s="74" t="s">
        <v>93</v>
      </c>
      <c r="AK356" s="74" t="s">
        <v>93</v>
      </c>
      <c r="AL356" s="74" t="s">
        <v>93</v>
      </c>
      <c r="AM356" s="74" t="s">
        <v>93</v>
      </c>
      <c r="AN356" s="74" t="s">
        <v>93</v>
      </c>
      <c r="AO356" s="74" t="s">
        <v>93</v>
      </c>
      <c r="AP356" s="74" t="s">
        <v>93</v>
      </c>
      <c r="AQ356" s="74" t="s">
        <v>93</v>
      </c>
      <c r="AR356" s="74" t="s">
        <v>93</v>
      </c>
      <c r="AS356" s="74" t="s">
        <v>93</v>
      </c>
      <c r="AT356" s="74" t="s">
        <v>93</v>
      </c>
      <c r="AU356" s="74" t="s">
        <v>93</v>
      </c>
      <c r="AV356" s="74" t="s">
        <v>93</v>
      </c>
      <c r="AW356" s="74" t="s">
        <v>93</v>
      </c>
      <c r="AX356" s="74" t="s">
        <v>93</v>
      </c>
      <c r="AY356" s="74" t="s">
        <v>93</v>
      </c>
      <c r="AZ356" s="74" t="s">
        <v>93</v>
      </c>
      <c r="BA356" s="74" t="s">
        <v>93</v>
      </c>
      <c r="BB356" s="74" t="s">
        <v>93</v>
      </c>
      <c r="BC356" s="74" t="s">
        <v>93</v>
      </c>
      <c r="BD356" s="74" t="s">
        <v>93</v>
      </c>
      <c r="BE356" s="74" t="s">
        <v>93</v>
      </c>
      <c r="BF356" s="74" t="s">
        <v>93</v>
      </c>
      <c r="BG356" s="74" t="s">
        <v>93</v>
      </c>
      <c r="BH356" s="74" t="s">
        <v>93</v>
      </c>
      <c r="BI356" s="74" t="s">
        <v>93</v>
      </c>
      <c r="BJ356" s="74" t="s">
        <v>93</v>
      </c>
      <c r="BK356" s="74" t="s">
        <v>93</v>
      </c>
      <c r="BL356" s="74" t="s">
        <v>93</v>
      </c>
      <c r="BM356" s="74" t="s">
        <v>93</v>
      </c>
      <c r="BN356" s="74" t="s">
        <v>93</v>
      </c>
      <c r="BO356" s="74" t="s">
        <v>93</v>
      </c>
      <c r="BP356" s="75" t="s">
        <v>93</v>
      </c>
    </row>
    <row r="357" spans="2:68" x14ac:dyDescent="0.25">
      <c r="B357" s="64">
        <v>12</v>
      </c>
      <c r="C357" s="65">
        <v>51</v>
      </c>
      <c r="D357" s="65" t="s">
        <v>95</v>
      </c>
      <c r="E357" s="66">
        <f>'[3]Master File'!B356</f>
        <v>46370</v>
      </c>
      <c r="F357" s="67" t="str">
        <f>'[3]Master File'!C356</f>
        <v>WT Off-Peak</v>
      </c>
      <c r="G357" s="46"/>
      <c r="I357" s="68" t="s">
        <v>93</v>
      </c>
      <c r="J357" s="68" t="s">
        <v>93</v>
      </c>
      <c r="K357" s="68" t="s">
        <v>93</v>
      </c>
      <c r="L357" s="68" t="s">
        <v>94</v>
      </c>
      <c r="M357" s="68" t="s">
        <v>93</v>
      </c>
      <c r="N357" s="68" t="s">
        <v>93</v>
      </c>
      <c r="O357" s="68" t="s">
        <v>93</v>
      </c>
      <c r="P357" s="68" t="s">
        <v>93</v>
      </c>
      <c r="Q357" s="68" t="s">
        <v>93</v>
      </c>
      <c r="R357" s="68" t="s">
        <v>93</v>
      </c>
      <c r="S357" s="68" t="s">
        <v>93</v>
      </c>
      <c r="T357" s="68" t="s">
        <v>93</v>
      </c>
      <c r="U357" s="68" t="s">
        <v>93</v>
      </c>
      <c r="V357" s="68" t="s">
        <v>93</v>
      </c>
      <c r="W357" s="68" t="s">
        <v>93</v>
      </c>
      <c r="X357" s="68" t="s">
        <v>93</v>
      </c>
      <c r="Y357" s="68" t="s">
        <v>93</v>
      </c>
      <c r="Z357" s="68" t="s">
        <v>94</v>
      </c>
      <c r="AA357" s="68" t="s">
        <v>93</v>
      </c>
      <c r="AB357" s="68" t="s">
        <v>93</v>
      </c>
      <c r="AC357" s="68" t="s">
        <v>93</v>
      </c>
      <c r="AD357" s="68" t="s">
        <v>93</v>
      </c>
      <c r="AE357" s="68" t="s">
        <v>93</v>
      </c>
      <c r="AF357" s="68" t="s">
        <v>93</v>
      </c>
      <c r="AG357" s="68" t="s">
        <v>93</v>
      </c>
      <c r="AH357" s="68" t="s">
        <v>93</v>
      </c>
      <c r="AI357" s="68" t="s">
        <v>93</v>
      </c>
      <c r="AJ357" s="68" t="s">
        <v>93</v>
      </c>
      <c r="AK357" s="68" t="s">
        <v>93</v>
      </c>
      <c r="AL357" s="68" t="s">
        <v>93</v>
      </c>
      <c r="AM357" s="68" t="s">
        <v>93</v>
      </c>
      <c r="AN357" s="68" t="s">
        <v>93</v>
      </c>
      <c r="AO357" s="68" t="s">
        <v>93</v>
      </c>
      <c r="AP357" s="68" t="s">
        <v>93</v>
      </c>
      <c r="AQ357" s="68" t="s">
        <v>93</v>
      </c>
      <c r="AR357" s="68" t="s">
        <v>93</v>
      </c>
      <c r="AS357" s="68" t="s">
        <v>93</v>
      </c>
      <c r="AT357" s="68" t="s">
        <v>93</v>
      </c>
      <c r="AU357" s="68" t="s">
        <v>93</v>
      </c>
      <c r="AV357" s="68" t="s">
        <v>93</v>
      </c>
      <c r="AW357" s="68" t="s">
        <v>93</v>
      </c>
      <c r="AX357" s="68" t="s">
        <v>93</v>
      </c>
      <c r="AY357" s="68" t="s">
        <v>93</v>
      </c>
      <c r="AZ357" s="68" t="s">
        <v>93</v>
      </c>
      <c r="BA357" s="68" t="s">
        <v>93</v>
      </c>
      <c r="BB357" s="68" t="s">
        <v>93</v>
      </c>
      <c r="BC357" s="68" t="s">
        <v>93</v>
      </c>
      <c r="BD357" s="68" t="s">
        <v>93</v>
      </c>
      <c r="BE357" s="68" t="s">
        <v>93</v>
      </c>
      <c r="BF357" s="68" t="s">
        <v>93</v>
      </c>
      <c r="BG357" s="68" t="s">
        <v>93</v>
      </c>
      <c r="BH357" s="68" t="s">
        <v>93</v>
      </c>
      <c r="BI357" s="68" t="s">
        <v>93</v>
      </c>
      <c r="BJ357" s="68" t="s">
        <v>93</v>
      </c>
      <c r="BK357" s="68" t="s">
        <v>93</v>
      </c>
      <c r="BL357" s="68" t="s">
        <v>93</v>
      </c>
      <c r="BM357" s="68" t="s">
        <v>93</v>
      </c>
      <c r="BN357" s="68" t="s">
        <v>93</v>
      </c>
      <c r="BO357" s="68" t="s">
        <v>93</v>
      </c>
      <c r="BP357" s="69" t="s">
        <v>93</v>
      </c>
    </row>
    <row r="358" spans="2:68" x14ac:dyDescent="0.25">
      <c r="B358" s="64">
        <v>12</v>
      </c>
      <c r="C358" s="65">
        <v>51</v>
      </c>
      <c r="D358" s="65" t="s">
        <v>96</v>
      </c>
      <c r="E358" s="66">
        <f>'[3]Master File'!B357</f>
        <v>46371</v>
      </c>
      <c r="F358" s="67" t="str">
        <f>'[3]Master File'!C357</f>
        <v>WT Off-Peak</v>
      </c>
      <c r="G358" s="46"/>
      <c r="I358" s="68" t="s">
        <v>93</v>
      </c>
      <c r="J358" s="68" t="s">
        <v>93</v>
      </c>
      <c r="K358" s="68" t="s">
        <v>93</v>
      </c>
      <c r="L358" s="68" t="s">
        <v>94</v>
      </c>
      <c r="M358" s="68" t="s">
        <v>93</v>
      </c>
      <c r="N358" s="68" t="s">
        <v>93</v>
      </c>
      <c r="O358" s="68" t="s">
        <v>93</v>
      </c>
      <c r="P358" s="68" t="s">
        <v>93</v>
      </c>
      <c r="Q358" s="68" t="s">
        <v>93</v>
      </c>
      <c r="R358" s="68" t="s">
        <v>93</v>
      </c>
      <c r="S358" s="68" t="s">
        <v>93</v>
      </c>
      <c r="T358" s="68" t="s">
        <v>93</v>
      </c>
      <c r="U358" s="68" t="s">
        <v>93</v>
      </c>
      <c r="V358" s="68" t="s">
        <v>93</v>
      </c>
      <c r="W358" s="68" t="s">
        <v>93</v>
      </c>
      <c r="X358" s="68" t="s">
        <v>93</v>
      </c>
      <c r="Y358" s="68" t="s">
        <v>93</v>
      </c>
      <c r="Z358" s="68" t="s">
        <v>94</v>
      </c>
      <c r="AA358" s="68" t="s">
        <v>93</v>
      </c>
      <c r="AB358" s="68" t="s">
        <v>93</v>
      </c>
      <c r="AC358" s="68" t="s">
        <v>93</v>
      </c>
      <c r="AD358" s="68" t="s">
        <v>93</v>
      </c>
      <c r="AE358" s="68" t="s">
        <v>93</v>
      </c>
      <c r="AF358" s="68" t="s">
        <v>93</v>
      </c>
      <c r="AG358" s="68" t="s">
        <v>93</v>
      </c>
      <c r="AH358" s="68" t="s">
        <v>93</v>
      </c>
      <c r="AI358" s="68" t="s">
        <v>93</v>
      </c>
      <c r="AJ358" s="68" t="s">
        <v>93</v>
      </c>
      <c r="AK358" s="68" t="s">
        <v>93</v>
      </c>
      <c r="AL358" s="68" t="s">
        <v>93</v>
      </c>
      <c r="AM358" s="68" t="s">
        <v>93</v>
      </c>
      <c r="AN358" s="68" t="s">
        <v>93</v>
      </c>
      <c r="AO358" s="68" t="s">
        <v>93</v>
      </c>
      <c r="AP358" s="68" t="s">
        <v>93</v>
      </c>
      <c r="AQ358" s="68" t="s">
        <v>93</v>
      </c>
      <c r="AR358" s="68" t="s">
        <v>93</v>
      </c>
      <c r="AS358" s="68" t="s">
        <v>93</v>
      </c>
      <c r="AT358" s="68" t="s">
        <v>93</v>
      </c>
      <c r="AU358" s="68" t="s">
        <v>93</v>
      </c>
      <c r="AV358" s="68" t="s">
        <v>93</v>
      </c>
      <c r="AW358" s="68" t="s">
        <v>93</v>
      </c>
      <c r="AX358" s="68" t="s">
        <v>93</v>
      </c>
      <c r="AY358" s="68" t="s">
        <v>93</v>
      </c>
      <c r="AZ358" s="68" t="s">
        <v>93</v>
      </c>
      <c r="BA358" s="68" t="s">
        <v>93</v>
      </c>
      <c r="BB358" s="68" t="s">
        <v>93</v>
      </c>
      <c r="BC358" s="68" t="s">
        <v>93</v>
      </c>
      <c r="BD358" s="68" t="s">
        <v>93</v>
      </c>
      <c r="BE358" s="68" t="s">
        <v>93</v>
      </c>
      <c r="BF358" s="68" t="s">
        <v>93</v>
      </c>
      <c r="BG358" s="68" t="s">
        <v>93</v>
      </c>
      <c r="BH358" s="68" t="s">
        <v>93</v>
      </c>
      <c r="BI358" s="68" t="s">
        <v>93</v>
      </c>
      <c r="BJ358" s="68" t="s">
        <v>93</v>
      </c>
      <c r="BK358" s="68" t="s">
        <v>93</v>
      </c>
      <c r="BL358" s="68" t="s">
        <v>93</v>
      </c>
      <c r="BM358" s="68" t="s">
        <v>93</v>
      </c>
      <c r="BN358" s="68" t="s">
        <v>93</v>
      </c>
      <c r="BO358" s="68" t="s">
        <v>93</v>
      </c>
      <c r="BP358" s="69" t="s">
        <v>93</v>
      </c>
    </row>
    <row r="359" spans="2:68" x14ac:dyDescent="0.25">
      <c r="B359" s="64">
        <v>12</v>
      </c>
      <c r="C359" s="65">
        <v>51</v>
      </c>
      <c r="D359" s="65" t="s">
        <v>97</v>
      </c>
      <c r="E359" s="66">
        <f>'[3]Master File'!B358</f>
        <v>46372</v>
      </c>
      <c r="F359" s="67" t="str">
        <f>'[3]Master File'!C358</f>
        <v>WT Off-Peak</v>
      </c>
      <c r="G359" s="46"/>
      <c r="I359" s="68" t="s">
        <v>93</v>
      </c>
      <c r="J359" s="68" t="s">
        <v>93</v>
      </c>
      <c r="K359" s="68" t="s">
        <v>93</v>
      </c>
      <c r="L359" s="68" t="s">
        <v>94</v>
      </c>
      <c r="M359" s="68" t="s">
        <v>93</v>
      </c>
      <c r="N359" s="68" t="s">
        <v>93</v>
      </c>
      <c r="O359" s="68" t="s">
        <v>93</v>
      </c>
      <c r="P359" s="68" t="s">
        <v>93</v>
      </c>
      <c r="Q359" s="68" t="s">
        <v>93</v>
      </c>
      <c r="R359" s="68" t="s">
        <v>93</v>
      </c>
      <c r="S359" s="68" t="s">
        <v>93</v>
      </c>
      <c r="T359" s="68" t="s">
        <v>93</v>
      </c>
      <c r="U359" s="68" t="s">
        <v>93</v>
      </c>
      <c r="V359" s="68" t="s">
        <v>93</v>
      </c>
      <c r="W359" s="68" t="s">
        <v>93</v>
      </c>
      <c r="X359" s="68" t="s">
        <v>93</v>
      </c>
      <c r="Y359" s="68" t="s">
        <v>93</v>
      </c>
      <c r="Z359" s="68" t="s">
        <v>94</v>
      </c>
      <c r="AA359" s="68" t="s">
        <v>93</v>
      </c>
      <c r="AB359" s="68" t="s">
        <v>93</v>
      </c>
      <c r="AC359" s="68" t="s">
        <v>93</v>
      </c>
      <c r="AD359" s="68" t="s">
        <v>93</v>
      </c>
      <c r="AE359" s="68" t="s">
        <v>93</v>
      </c>
      <c r="AF359" s="68" t="s">
        <v>93</v>
      </c>
      <c r="AG359" s="68" t="s">
        <v>93</v>
      </c>
      <c r="AH359" s="68" t="s">
        <v>93</v>
      </c>
      <c r="AI359" s="68" t="s">
        <v>93</v>
      </c>
      <c r="AJ359" s="68" t="s">
        <v>93</v>
      </c>
      <c r="AK359" s="68" t="s">
        <v>93</v>
      </c>
      <c r="AL359" s="68" t="s">
        <v>93</v>
      </c>
      <c r="AM359" s="68" t="s">
        <v>93</v>
      </c>
      <c r="AN359" s="68" t="s">
        <v>93</v>
      </c>
      <c r="AO359" s="68" t="s">
        <v>93</v>
      </c>
      <c r="AP359" s="68" t="s">
        <v>93</v>
      </c>
      <c r="AQ359" s="68" t="s">
        <v>93</v>
      </c>
      <c r="AR359" s="68" t="s">
        <v>93</v>
      </c>
      <c r="AS359" s="68" t="s">
        <v>93</v>
      </c>
      <c r="AT359" s="68" t="s">
        <v>93</v>
      </c>
      <c r="AU359" s="68" t="s">
        <v>93</v>
      </c>
      <c r="AV359" s="68" t="s">
        <v>93</v>
      </c>
      <c r="AW359" s="68" t="s">
        <v>93</v>
      </c>
      <c r="AX359" s="68" t="s">
        <v>93</v>
      </c>
      <c r="AY359" s="68" t="s">
        <v>93</v>
      </c>
      <c r="AZ359" s="68" t="s">
        <v>93</v>
      </c>
      <c r="BA359" s="68" t="s">
        <v>93</v>
      </c>
      <c r="BB359" s="68" t="s">
        <v>93</v>
      </c>
      <c r="BC359" s="68" t="s">
        <v>93</v>
      </c>
      <c r="BD359" s="68" t="s">
        <v>93</v>
      </c>
      <c r="BE359" s="68" t="s">
        <v>93</v>
      </c>
      <c r="BF359" s="68" t="s">
        <v>93</v>
      </c>
      <c r="BG359" s="68" t="s">
        <v>93</v>
      </c>
      <c r="BH359" s="68" t="s">
        <v>93</v>
      </c>
      <c r="BI359" s="68" t="s">
        <v>93</v>
      </c>
      <c r="BJ359" s="68" t="s">
        <v>93</v>
      </c>
      <c r="BK359" s="68" t="s">
        <v>93</v>
      </c>
      <c r="BL359" s="68" t="s">
        <v>93</v>
      </c>
      <c r="BM359" s="68" t="s">
        <v>93</v>
      </c>
      <c r="BN359" s="68" t="s">
        <v>93</v>
      </c>
      <c r="BO359" s="68" t="s">
        <v>93</v>
      </c>
      <c r="BP359" s="69" t="s">
        <v>93</v>
      </c>
    </row>
    <row r="360" spans="2:68" x14ac:dyDescent="0.25">
      <c r="B360" s="64">
        <v>12</v>
      </c>
      <c r="C360" s="65">
        <v>51</v>
      </c>
      <c r="D360" s="65" t="s">
        <v>98</v>
      </c>
      <c r="E360" s="66">
        <f>'[3]Master File'!B359</f>
        <v>46373</v>
      </c>
      <c r="F360" s="67" t="str">
        <f>'[3]Master File'!C359</f>
        <v>WT Off-Peak</v>
      </c>
      <c r="G360" s="46"/>
      <c r="I360" s="68" t="s">
        <v>93</v>
      </c>
      <c r="J360" s="68" t="s">
        <v>93</v>
      </c>
      <c r="K360" s="68" t="s">
        <v>93</v>
      </c>
      <c r="L360" s="68" t="s">
        <v>94</v>
      </c>
      <c r="M360" s="68" t="s">
        <v>93</v>
      </c>
      <c r="N360" s="68" t="s">
        <v>93</v>
      </c>
      <c r="O360" s="68" t="s">
        <v>93</v>
      </c>
      <c r="P360" s="68" t="s">
        <v>93</v>
      </c>
      <c r="Q360" s="68" t="s">
        <v>93</v>
      </c>
      <c r="R360" s="68" t="s">
        <v>93</v>
      </c>
      <c r="S360" s="68" t="s">
        <v>93</v>
      </c>
      <c r="T360" s="68" t="s">
        <v>93</v>
      </c>
      <c r="U360" s="68" t="s">
        <v>93</v>
      </c>
      <c r="V360" s="68" t="s">
        <v>93</v>
      </c>
      <c r="W360" s="68" t="s">
        <v>93</v>
      </c>
      <c r="X360" s="68" t="s">
        <v>93</v>
      </c>
      <c r="Y360" s="68" t="s">
        <v>93</v>
      </c>
      <c r="Z360" s="68" t="s">
        <v>94</v>
      </c>
      <c r="AA360" s="68" t="s">
        <v>93</v>
      </c>
      <c r="AB360" s="68" t="s">
        <v>93</v>
      </c>
      <c r="AC360" s="68" t="s">
        <v>93</v>
      </c>
      <c r="AD360" s="68" t="s">
        <v>93</v>
      </c>
      <c r="AE360" s="68" t="s">
        <v>93</v>
      </c>
      <c r="AF360" s="68" t="s">
        <v>93</v>
      </c>
      <c r="AG360" s="68" t="s">
        <v>93</v>
      </c>
      <c r="AH360" s="68" t="s">
        <v>93</v>
      </c>
      <c r="AI360" s="68" t="s">
        <v>93</v>
      </c>
      <c r="AJ360" s="68" t="s">
        <v>93</v>
      </c>
      <c r="AK360" s="68" t="s">
        <v>93</v>
      </c>
      <c r="AL360" s="68" t="s">
        <v>93</v>
      </c>
      <c r="AM360" s="68" t="s">
        <v>93</v>
      </c>
      <c r="AN360" s="68" t="s">
        <v>93</v>
      </c>
      <c r="AO360" s="68" t="s">
        <v>93</v>
      </c>
      <c r="AP360" s="68" t="s">
        <v>93</v>
      </c>
      <c r="AQ360" s="68" t="s">
        <v>93</v>
      </c>
      <c r="AR360" s="68" t="s">
        <v>93</v>
      </c>
      <c r="AS360" s="68" t="s">
        <v>93</v>
      </c>
      <c r="AT360" s="68" t="s">
        <v>93</v>
      </c>
      <c r="AU360" s="68" t="s">
        <v>93</v>
      </c>
      <c r="AV360" s="68" t="s">
        <v>93</v>
      </c>
      <c r="AW360" s="68" t="s">
        <v>93</v>
      </c>
      <c r="AX360" s="68" t="s">
        <v>93</v>
      </c>
      <c r="AY360" s="68" t="s">
        <v>93</v>
      </c>
      <c r="AZ360" s="68" t="s">
        <v>93</v>
      </c>
      <c r="BA360" s="68" t="s">
        <v>93</v>
      </c>
      <c r="BB360" s="68" t="s">
        <v>93</v>
      </c>
      <c r="BC360" s="68" t="s">
        <v>93</v>
      </c>
      <c r="BD360" s="68" t="s">
        <v>93</v>
      </c>
      <c r="BE360" s="68" t="s">
        <v>93</v>
      </c>
      <c r="BF360" s="68" t="s">
        <v>93</v>
      </c>
      <c r="BG360" s="68" t="s">
        <v>93</v>
      </c>
      <c r="BH360" s="68" t="s">
        <v>93</v>
      </c>
      <c r="BI360" s="68" t="s">
        <v>93</v>
      </c>
      <c r="BJ360" s="68" t="s">
        <v>93</v>
      </c>
      <c r="BK360" s="68" t="s">
        <v>93</v>
      </c>
      <c r="BL360" s="68" t="s">
        <v>93</v>
      </c>
      <c r="BM360" s="68" t="s">
        <v>93</v>
      </c>
      <c r="BN360" s="68" t="s">
        <v>93</v>
      </c>
      <c r="BO360" s="68" t="s">
        <v>93</v>
      </c>
      <c r="BP360" s="69" t="s">
        <v>93</v>
      </c>
    </row>
    <row r="361" spans="2:68" x14ac:dyDescent="0.25">
      <c r="B361" s="64">
        <v>12</v>
      </c>
      <c r="C361" s="65">
        <v>51</v>
      </c>
      <c r="D361" s="65" t="s">
        <v>99</v>
      </c>
      <c r="E361" s="66">
        <f>'[3]Master File'!B360</f>
        <v>46374</v>
      </c>
      <c r="F361" s="67" t="str">
        <f>'[3]Master File'!C360</f>
        <v>WT Off-Peak</v>
      </c>
      <c r="G361" s="46"/>
      <c r="I361" s="68" t="s">
        <v>93</v>
      </c>
      <c r="J361" s="68" t="s">
        <v>93</v>
      </c>
      <c r="K361" s="68" t="s">
        <v>93</v>
      </c>
      <c r="L361" s="68" t="s">
        <v>94</v>
      </c>
      <c r="M361" s="68" t="s">
        <v>93</v>
      </c>
      <c r="N361" s="68" t="s">
        <v>93</v>
      </c>
      <c r="O361" s="68" t="s">
        <v>93</v>
      </c>
      <c r="P361" s="68" t="s">
        <v>93</v>
      </c>
      <c r="Q361" s="68" t="s">
        <v>93</v>
      </c>
      <c r="R361" s="68" t="s">
        <v>93</v>
      </c>
      <c r="S361" s="68" t="s">
        <v>93</v>
      </c>
      <c r="T361" s="68" t="s">
        <v>93</v>
      </c>
      <c r="U361" s="68" t="s">
        <v>93</v>
      </c>
      <c r="V361" s="68" t="s">
        <v>93</v>
      </c>
      <c r="W361" s="68" t="s">
        <v>93</v>
      </c>
      <c r="X361" s="68" t="s">
        <v>93</v>
      </c>
      <c r="Y361" s="68" t="s">
        <v>93</v>
      </c>
      <c r="Z361" s="68" t="s">
        <v>94</v>
      </c>
      <c r="AA361" s="68" t="s">
        <v>93</v>
      </c>
      <c r="AB361" s="68" t="s">
        <v>93</v>
      </c>
      <c r="AC361" s="68" t="s">
        <v>93</v>
      </c>
      <c r="AD361" s="68" t="s">
        <v>93</v>
      </c>
      <c r="AE361" s="68" t="s">
        <v>93</v>
      </c>
      <c r="AF361" s="68" t="s">
        <v>93</v>
      </c>
      <c r="AG361" s="68" t="s">
        <v>93</v>
      </c>
      <c r="AH361" s="68" t="s">
        <v>93</v>
      </c>
      <c r="AI361" s="68" t="s">
        <v>93</v>
      </c>
      <c r="AJ361" s="68" t="s">
        <v>93</v>
      </c>
      <c r="AK361" s="68" t="s">
        <v>93</v>
      </c>
      <c r="AL361" s="68" t="s">
        <v>93</v>
      </c>
      <c r="AM361" s="68" t="s">
        <v>93</v>
      </c>
      <c r="AN361" s="68" t="s">
        <v>93</v>
      </c>
      <c r="AO361" s="68" t="s">
        <v>93</v>
      </c>
      <c r="AP361" s="68" t="s">
        <v>93</v>
      </c>
      <c r="AQ361" s="68" t="s">
        <v>93</v>
      </c>
      <c r="AR361" s="68" t="s">
        <v>93</v>
      </c>
      <c r="AS361" s="68" t="s">
        <v>93</v>
      </c>
      <c r="AT361" s="68" t="s">
        <v>93</v>
      </c>
      <c r="AU361" s="68" t="s">
        <v>93</v>
      </c>
      <c r="AV361" s="68" t="s">
        <v>93</v>
      </c>
      <c r="AW361" s="68" t="s">
        <v>93</v>
      </c>
      <c r="AX361" s="68" t="s">
        <v>93</v>
      </c>
      <c r="AY361" s="68" t="s">
        <v>93</v>
      </c>
      <c r="AZ361" s="68" t="s">
        <v>93</v>
      </c>
      <c r="BA361" s="68" t="s">
        <v>93</v>
      </c>
      <c r="BB361" s="68" t="s">
        <v>93</v>
      </c>
      <c r="BC361" s="68" t="s">
        <v>93</v>
      </c>
      <c r="BD361" s="68" t="s">
        <v>93</v>
      </c>
      <c r="BE361" s="68" t="s">
        <v>93</v>
      </c>
      <c r="BF361" s="68" t="s">
        <v>93</v>
      </c>
      <c r="BG361" s="68" t="s">
        <v>93</v>
      </c>
      <c r="BH361" s="68" t="s">
        <v>93</v>
      </c>
      <c r="BI361" s="68" t="s">
        <v>93</v>
      </c>
      <c r="BJ361" s="68" t="s">
        <v>93</v>
      </c>
      <c r="BK361" s="68" t="s">
        <v>93</v>
      </c>
      <c r="BL361" s="68" t="s">
        <v>93</v>
      </c>
      <c r="BM361" s="68" t="s">
        <v>93</v>
      </c>
      <c r="BN361" s="68" t="s">
        <v>93</v>
      </c>
      <c r="BO361" s="68" t="s">
        <v>93</v>
      </c>
      <c r="BP361" s="69" t="s">
        <v>93</v>
      </c>
    </row>
    <row r="362" spans="2:68" x14ac:dyDescent="0.25">
      <c r="B362" s="64">
        <v>12</v>
      </c>
      <c r="C362" s="65">
        <v>51</v>
      </c>
      <c r="D362" s="65" t="s">
        <v>100</v>
      </c>
      <c r="E362" s="66">
        <f>'[3]Master File'!B361</f>
        <v>46375</v>
      </c>
      <c r="F362" s="67" t="str">
        <f>'[3]Master File'!C361</f>
        <v>WT Peak</v>
      </c>
      <c r="G362" s="46"/>
      <c r="I362" s="74" t="s">
        <v>93</v>
      </c>
      <c r="J362" s="74" t="s">
        <v>93</v>
      </c>
      <c r="K362" s="74" t="s">
        <v>93</v>
      </c>
      <c r="L362" s="68" t="s">
        <v>94</v>
      </c>
      <c r="M362" s="74" t="s">
        <v>93</v>
      </c>
      <c r="N362" s="74" t="s">
        <v>93</v>
      </c>
      <c r="O362" s="74" t="s">
        <v>93</v>
      </c>
      <c r="P362" s="74" t="s">
        <v>93</v>
      </c>
      <c r="Q362" s="74" t="s">
        <v>93</v>
      </c>
      <c r="R362" s="74" t="s">
        <v>93</v>
      </c>
      <c r="S362" s="74" t="s">
        <v>93</v>
      </c>
      <c r="T362" s="74" t="s">
        <v>93</v>
      </c>
      <c r="U362" s="74" t="s">
        <v>93</v>
      </c>
      <c r="V362" s="74" t="s">
        <v>93</v>
      </c>
      <c r="W362" s="74" t="s">
        <v>93</v>
      </c>
      <c r="X362" s="74" t="s">
        <v>93</v>
      </c>
      <c r="Y362" s="74" t="s">
        <v>93</v>
      </c>
      <c r="Z362" s="68" t="s">
        <v>94</v>
      </c>
      <c r="AA362" s="74" t="s">
        <v>93</v>
      </c>
      <c r="AB362" s="74" t="s">
        <v>93</v>
      </c>
      <c r="AC362" s="74" t="s">
        <v>93</v>
      </c>
      <c r="AD362" s="74" t="s">
        <v>94</v>
      </c>
      <c r="AE362" s="74" t="s">
        <v>94</v>
      </c>
      <c r="AF362" s="74" t="s">
        <v>93</v>
      </c>
      <c r="AG362" s="74" t="s">
        <v>93</v>
      </c>
      <c r="AH362" s="74" t="s">
        <v>93</v>
      </c>
      <c r="AI362" s="74" t="s">
        <v>93</v>
      </c>
      <c r="AJ362" s="74" t="s">
        <v>93</v>
      </c>
      <c r="AK362" s="74" t="s">
        <v>93</v>
      </c>
      <c r="AL362" s="74" t="s">
        <v>93</v>
      </c>
      <c r="AM362" s="74" t="s">
        <v>93</v>
      </c>
      <c r="AN362" s="74" t="s">
        <v>93</v>
      </c>
      <c r="AO362" s="74" t="s">
        <v>93</v>
      </c>
      <c r="AP362" s="74" t="s">
        <v>93</v>
      </c>
      <c r="AQ362" s="74" t="s">
        <v>93</v>
      </c>
      <c r="AR362" s="74" t="s">
        <v>93</v>
      </c>
      <c r="AS362" s="74" t="s">
        <v>93</v>
      </c>
      <c r="AT362" s="74" t="s">
        <v>93</v>
      </c>
      <c r="AU362" s="74" t="s">
        <v>93</v>
      </c>
      <c r="AV362" s="74" t="s">
        <v>93</v>
      </c>
      <c r="AW362" s="74" t="s">
        <v>93</v>
      </c>
      <c r="AX362" s="74" t="s">
        <v>93</v>
      </c>
      <c r="AY362" s="74" t="s">
        <v>93</v>
      </c>
      <c r="AZ362" s="74" t="s">
        <v>93</v>
      </c>
      <c r="BA362" s="74" t="s">
        <v>93</v>
      </c>
      <c r="BB362" s="74" t="s">
        <v>93</v>
      </c>
      <c r="BC362" s="74" t="s">
        <v>93</v>
      </c>
      <c r="BD362" s="74" t="s">
        <v>93</v>
      </c>
      <c r="BE362" s="74" t="s">
        <v>93</v>
      </c>
      <c r="BF362" s="74" t="s">
        <v>93</v>
      </c>
      <c r="BG362" s="74" t="s">
        <v>93</v>
      </c>
      <c r="BH362" s="74" t="s">
        <v>93</v>
      </c>
      <c r="BI362" s="74" t="s">
        <v>93</v>
      </c>
      <c r="BJ362" s="74" t="s">
        <v>93</v>
      </c>
      <c r="BK362" s="74" t="s">
        <v>93</v>
      </c>
      <c r="BL362" s="74" t="s">
        <v>93</v>
      </c>
      <c r="BM362" s="74" t="s">
        <v>93</v>
      </c>
      <c r="BN362" s="74" t="s">
        <v>93</v>
      </c>
      <c r="BO362" s="74" t="s">
        <v>93</v>
      </c>
      <c r="BP362" s="75" t="s">
        <v>93</v>
      </c>
    </row>
    <row r="363" spans="2:68" x14ac:dyDescent="0.25">
      <c r="B363" s="64">
        <v>12</v>
      </c>
      <c r="C363" s="65">
        <v>52</v>
      </c>
      <c r="D363" s="65" t="s">
        <v>92</v>
      </c>
      <c r="E363" s="66">
        <f>'[3]Master File'!B362</f>
        <v>46376</v>
      </c>
      <c r="F363" s="67" t="str">
        <f>'[3]Master File'!C362</f>
        <v>WT Peak</v>
      </c>
      <c r="G363" s="46"/>
      <c r="I363" s="74" t="s">
        <v>93</v>
      </c>
      <c r="J363" s="74" t="s">
        <v>93</v>
      </c>
      <c r="K363" s="74" t="s">
        <v>93</v>
      </c>
      <c r="L363" s="68" t="s">
        <v>94</v>
      </c>
      <c r="M363" s="74" t="s">
        <v>93</v>
      </c>
      <c r="N363" s="74" t="s">
        <v>93</v>
      </c>
      <c r="O363" s="74" t="s">
        <v>93</v>
      </c>
      <c r="P363" s="74" t="s">
        <v>93</v>
      </c>
      <c r="Q363" s="74" t="s">
        <v>93</v>
      </c>
      <c r="R363" s="74" t="s">
        <v>93</v>
      </c>
      <c r="S363" s="74" t="s">
        <v>93</v>
      </c>
      <c r="T363" s="74" t="s">
        <v>93</v>
      </c>
      <c r="U363" s="74" t="s">
        <v>93</v>
      </c>
      <c r="V363" s="74" t="s">
        <v>93</v>
      </c>
      <c r="W363" s="74" t="s">
        <v>93</v>
      </c>
      <c r="X363" s="74" t="s">
        <v>93</v>
      </c>
      <c r="Y363" s="74" t="s">
        <v>93</v>
      </c>
      <c r="Z363" s="68" t="s">
        <v>94</v>
      </c>
      <c r="AA363" s="74" t="s">
        <v>93</v>
      </c>
      <c r="AB363" s="74" t="s">
        <v>93</v>
      </c>
      <c r="AC363" s="74" t="s">
        <v>93</v>
      </c>
      <c r="AD363" s="74" t="s">
        <v>94</v>
      </c>
      <c r="AE363" s="74" t="s">
        <v>94</v>
      </c>
      <c r="AF363" s="74" t="s">
        <v>93</v>
      </c>
      <c r="AG363" s="74" t="s">
        <v>93</v>
      </c>
      <c r="AH363" s="74" t="s">
        <v>93</v>
      </c>
      <c r="AI363" s="74" t="s">
        <v>93</v>
      </c>
      <c r="AJ363" s="74" t="s">
        <v>93</v>
      </c>
      <c r="AK363" s="74" t="s">
        <v>93</v>
      </c>
      <c r="AL363" s="74" t="s">
        <v>93</v>
      </c>
      <c r="AM363" s="74" t="s">
        <v>93</v>
      </c>
      <c r="AN363" s="74" t="s">
        <v>93</v>
      </c>
      <c r="AO363" s="74" t="s">
        <v>93</v>
      </c>
      <c r="AP363" s="74" t="s">
        <v>93</v>
      </c>
      <c r="AQ363" s="74" t="s">
        <v>93</v>
      </c>
      <c r="AR363" s="74" t="s">
        <v>93</v>
      </c>
      <c r="AS363" s="74" t="s">
        <v>93</v>
      </c>
      <c r="AT363" s="74" t="s">
        <v>93</v>
      </c>
      <c r="AU363" s="74" t="s">
        <v>93</v>
      </c>
      <c r="AV363" s="74" t="s">
        <v>93</v>
      </c>
      <c r="AW363" s="74" t="s">
        <v>93</v>
      </c>
      <c r="AX363" s="74" t="s">
        <v>93</v>
      </c>
      <c r="AY363" s="74" t="s">
        <v>93</v>
      </c>
      <c r="AZ363" s="74" t="s">
        <v>93</v>
      </c>
      <c r="BA363" s="74" t="s">
        <v>93</v>
      </c>
      <c r="BB363" s="74" t="s">
        <v>93</v>
      </c>
      <c r="BC363" s="74" t="s">
        <v>93</v>
      </c>
      <c r="BD363" s="74" t="s">
        <v>93</v>
      </c>
      <c r="BE363" s="74" t="s">
        <v>93</v>
      </c>
      <c r="BF363" s="74" t="s">
        <v>93</v>
      </c>
      <c r="BG363" s="74" t="s">
        <v>93</v>
      </c>
      <c r="BH363" s="74" t="s">
        <v>93</v>
      </c>
      <c r="BI363" s="74" t="s">
        <v>93</v>
      </c>
      <c r="BJ363" s="74" t="s">
        <v>93</v>
      </c>
      <c r="BK363" s="74" t="s">
        <v>93</v>
      </c>
      <c r="BL363" s="74" t="s">
        <v>93</v>
      </c>
      <c r="BM363" s="74" t="s">
        <v>93</v>
      </c>
      <c r="BN363" s="74" t="s">
        <v>93</v>
      </c>
      <c r="BO363" s="74" t="s">
        <v>93</v>
      </c>
      <c r="BP363" s="75" t="s">
        <v>93</v>
      </c>
    </row>
    <row r="364" spans="2:68" x14ac:dyDescent="0.25">
      <c r="B364" s="64">
        <v>12</v>
      </c>
      <c r="C364" s="65">
        <v>52</v>
      </c>
      <c r="D364" s="65" t="s">
        <v>95</v>
      </c>
      <c r="E364" s="66">
        <f>'[3]Master File'!B363</f>
        <v>46377</v>
      </c>
      <c r="F364" s="67" t="str">
        <f>'[3]Master File'!C363</f>
        <v>WT Peak</v>
      </c>
      <c r="G364" s="46"/>
      <c r="I364" s="68" t="s">
        <v>93</v>
      </c>
      <c r="J364" s="68" t="s">
        <v>93</v>
      </c>
      <c r="K364" s="68" t="s">
        <v>93</v>
      </c>
      <c r="L364" s="68" t="s">
        <v>94</v>
      </c>
      <c r="M364" s="68" t="s">
        <v>93</v>
      </c>
      <c r="N364" s="68" t="s">
        <v>93</v>
      </c>
      <c r="O364" s="68" t="s">
        <v>93</v>
      </c>
      <c r="P364" s="68" t="s">
        <v>93</v>
      </c>
      <c r="Q364" s="68" t="s">
        <v>93</v>
      </c>
      <c r="R364" s="68" t="s">
        <v>93</v>
      </c>
      <c r="S364" s="68" t="s">
        <v>93</v>
      </c>
      <c r="T364" s="68" t="s">
        <v>93</v>
      </c>
      <c r="U364" s="68" t="s">
        <v>93</v>
      </c>
      <c r="V364" s="68" t="s">
        <v>93</v>
      </c>
      <c r="W364" s="68" t="s">
        <v>93</v>
      </c>
      <c r="X364" s="68" t="s">
        <v>93</v>
      </c>
      <c r="Y364" s="68" t="s">
        <v>93</v>
      </c>
      <c r="Z364" s="68" t="s">
        <v>94</v>
      </c>
      <c r="AA364" s="68" t="s">
        <v>93</v>
      </c>
      <c r="AB364" s="68" t="s">
        <v>93</v>
      </c>
      <c r="AC364" s="68" t="s">
        <v>93</v>
      </c>
      <c r="AD364" s="68" t="s">
        <v>93</v>
      </c>
      <c r="AE364" s="68" t="s">
        <v>93</v>
      </c>
      <c r="AF364" s="68" t="s">
        <v>93</v>
      </c>
      <c r="AG364" s="68" t="s">
        <v>93</v>
      </c>
      <c r="AH364" s="68" t="s">
        <v>93</v>
      </c>
      <c r="AI364" s="68" t="s">
        <v>93</v>
      </c>
      <c r="AJ364" s="68" t="s">
        <v>93</v>
      </c>
      <c r="AK364" s="68" t="s">
        <v>93</v>
      </c>
      <c r="AL364" s="68" t="s">
        <v>93</v>
      </c>
      <c r="AM364" s="68" t="s">
        <v>93</v>
      </c>
      <c r="AN364" s="68" t="s">
        <v>93</v>
      </c>
      <c r="AO364" s="68" t="s">
        <v>93</v>
      </c>
      <c r="AP364" s="68" t="s">
        <v>93</v>
      </c>
      <c r="AQ364" s="68" t="s">
        <v>93</v>
      </c>
      <c r="AR364" s="68" t="s">
        <v>93</v>
      </c>
      <c r="AS364" s="68" t="s">
        <v>93</v>
      </c>
      <c r="AT364" s="68" t="s">
        <v>93</v>
      </c>
      <c r="AU364" s="68" t="s">
        <v>93</v>
      </c>
      <c r="AV364" s="68" t="s">
        <v>93</v>
      </c>
      <c r="AW364" s="68" t="s">
        <v>93</v>
      </c>
      <c r="AX364" s="68" t="s">
        <v>93</v>
      </c>
      <c r="AY364" s="68" t="s">
        <v>93</v>
      </c>
      <c r="AZ364" s="68" t="s">
        <v>93</v>
      </c>
      <c r="BA364" s="68" t="s">
        <v>93</v>
      </c>
      <c r="BB364" s="68" t="s">
        <v>93</v>
      </c>
      <c r="BC364" s="68" t="s">
        <v>93</v>
      </c>
      <c r="BD364" s="68" t="s">
        <v>93</v>
      </c>
      <c r="BE364" s="68" t="s">
        <v>93</v>
      </c>
      <c r="BF364" s="68" t="s">
        <v>93</v>
      </c>
      <c r="BG364" s="68" t="s">
        <v>93</v>
      </c>
      <c r="BH364" s="68" t="s">
        <v>93</v>
      </c>
      <c r="BI364" s="68" t="s">
        <v>93</v>
      </c>
      <c r="BJ364" s="68" t="s">
        <v>93</v>
      </c>
      <c r="BK364" s="68" t="s">
        <v>93</v>
      </c>
      <c r="BL364" s="68" t="s">
        <v>93</v>
      </c>
      <c r="BM364" s="68" t="s">
        <v>93</v>
      </c>
      <c r="BN364" s="68" t="s">
        <v>93</v>
      </c>
      <c r="BO364" s="68" t="s">
        <v>93</v>
      </c>
      <c r="BP364" s="69" t="s">
        <v>93</v>
      </c>
    </row>
    <row r="365" spans="2:68" x14ac:dyDescent="0.25">
      <c r="B365" s="64">
        <v>12</v>
      </c>
      <c r="C365" s="65">
        <v>52</v>
      </c>
      <c r="D365" s="65" t="s">
        <v>96</v>
      </c>
      <c r="E365" s="66">
        <f>'[3]Master File'!B364</f>
        <v>46378</v>
      </c>
      <c r="F365" s="67" t="str">
        <f>'[3]Master File'!C364</f>
        <v>WT Peak</v>
      </c>
      <c r="G365" s="46"/>
      <c r="I365" s="68" t="s">
        <v>93</v>
      </c>
      <c r="J365" s="68" t="s">
        <v>93</v>
      </c>
      <c r="K365" s="68" t="s">
        <v>93</v>
      </c>
      <c r="L365" s="68" t="s">
        <v>94</v>
      </c>
      <c r="M365" s="68" t="s">
        <v>93</v>
      </c>
      <c r="N365" s="68" t="s">
        <v>93</v>
      </c>
      <c r="O365" s="68" t="s">
        <v>93</v>
      </c>
      <c r="P365" s="68" t="s">
        <v>93</v>
      </c>
      <c r="Q365" s="68" t="s">
        <v>93</v>
      </c>
      <c r="R365" s="68" t="s">
        <v>93</v>
      </c>
      <c r="S365" s="68" t="s">
        <v>93</v>
      </c>
      <c r="T365" s="68" t="s">
        <v>93</v>
      </c>
      <c r="U365" s="68" t="s">
        <v>93</v>
      </c>
      <c r="V365" s="68" t="s">
        <v>93</v>
      </c>
      <c r="W365" s="68" t="s">
        <v>93</v>
      </c>
      <c r="X365" s="68" t="s">
        <v>93</v>
      </c>
      <c r="Y365" s="68" t="s">
        <v>93</v>
      </c>
      <c r="Z365" s="68" t="s">
        <v>94</v>
      </c>
      <c r="AA365" s="68" t="s">
        <v>93</v>
      </c>
      <c r="AB365" s="68" t="s">
        <v>93</v>
      </c>
      <c r="AC365" s="68" t="s">
        <v>93</v>
      </c>
      <c r="AD365" s="68" t="s">
        <v>93</v>
      </c>
      <c r="AE365" s="68" t="s">
        <v>93</v>
      </c>
      <c r="AF365" s="68" t="s">
        <v>93</v>
      </c>
      <c r="AG365" s="68" t="s">
        <v>93</v>
      </c>
      <c r="AH365" s="68" t="s">
        <v>93</v>
      </c>
      <c r="AI365" s="68" t="s">
        <v>93</v>
      </c>
      <c r="AJ365" s="68" t="s">
        <v>93</v>
      </c>
      <c r="AK365" s="68" t="s">
        <v>93</v>
      </c>
      <c r="AL365" s="68" t="s">
        <v>93</v>
      </c>
      <c r="AM365" s="68" t="s">
        <v>93</v>
      </c>
      <c r="AN365" s="68" t="s">
        <v>93</v>
      </c>
      <c r="AO365" s="68" t="s">
        <v>93</v>
      </c>
      <c r="AP365" s="68" t="s">
        <v>93</v>
      </c>
      <c r="AQ365" s="68" t="s">
        <v>93</v>
      </c>
      <c r="AR365" s="68" t="s">
        <v>93</v>
      </c>
      <c r="AS365" s="68" t="s">
        <v>93</v>
      </c>
      <c r="AT365" s="68" t="s">
        <v>93</v>
      </c>
      <c r="AU365" s="68" t="s">
        <v>93</v>
      </c>
      <c r="AV365" s="68" t="s">
        <v>93</v>
      </c>
      <c r="AW365" s="68" t="s">
        <v>93</v>
      </c>
      <c r="AX365" s="68" t="s">
        <v>93</v>
      </c>
      <c r="AY365" s="68" t="s">
        <v>93</v>
      </c>
      <c r="AZ365" s="68" t="s">
        <v>93</v>
      </c>
      <c r="BA365" s="68" t="s">
        <v>93</v>
      </c>
      <c r="BB365" s="68" t="s">
        <v>93</v>
      </c>
      <c r="BC365" s="68" t="s">
        <v>93</v>
      </c>
      <c r="BD365" s="68" t="s">
        <v>93</v>
      </c>
      <c r="BE365" s="68" t="s">
        <v>93</v>
      </c>
      <c r="BF365" s="68" t="s">
        <v>93</v>
      </c>
      <c r="BG365" s="68" t="s">
        <v>93</v>
      </c>
      <c r="BH365" s="68" t="s">
        <v>93</v>
      </c>
      <c r="BI365" s="68" t="s">
        <v>93</v>
      </c>
      <c r="BJ365" s="68" t="s">
        <v>93</v>
      </c>
      <c r="BK365" s="68" t="s">
        <v>93</v>
      </c>
      <c r="BL365" s="68" t="s">
        <v>93</v>
      </c>
      <c r="BM365" s="68" t="s">
        <v>93</v>
      </c>
      <c r="BN365" s="68" t="s">
        <v>93</v>
      </c>
      <c r="BO365" s="68" t="s">
        <v>93</v>
      </c>
      <c r="BP365" s="69" t="s">
        <v>93</v>
      </c>
    </row>
    <row r="366" spans="2:68" x14ac:dyDescent="0.25">
      <c r="B366" s="64">
        <v>12</v>
      </c>
      <c r="C366" s="65">
        <v>52</v>
      </c>
      <c r="D366" s="65" t="s">
        <v>97</v>
      </c>
      <c r="E366" s="66">
        <f>'[3]Master File'!B365</f>
        <v>46379</v>
      </c>
      <c r="F366" s="67" t="str">
        <f>'[3]Master File'!C365</f>
        <v>WT Peak</v>
      </c>
      <c r="G366" s="46"/>
      <c r="I366" s="68" t="s">
        <v>93</v>
      </c>
      <c r="J366" s="68" t="s">
        <v>93</v>
      </c>
      <c r="K366" s="68" t="s">
        <v>93</v>
      </c>
      <c r="L366" s="68" t="s">
        <v>94</v>
      </c>
      <c r="M366" s="68" t="s">
        <v>93</v>
      </c>
      <c r="N366" s="68" t="s">
        <v>93</v>
      </c>
      <c r="O366" s="68" t="s">
        <v>93</v>
      </c>
      <c r="P366" s="68" t="s">
        <v>93</v>
      </c>
      <c r="Q366" s="68" t="s">
        <v>93</v>
      </c>
      <c r="R366" s="68" t="s">
        <v>93</v>
      </c>
      <c r="S366" s="68" t="s">
        <v>93</v>
      </c>
      <c r="T366" s="68" t="s">
        <v>93</v>
      </c>
      <c r="U366" s="68" t="s">
        <v>93</v>
      </c>
      <c r="V366" s="68" t="s">
        <v>93</v>
      </c>
      <c r="W366" s="68" t="s">
        <v>93</v>
      </c>
      <c r="X366" s="68" t="s">
        <v>93</v>
      </c>
      <c r="Y366" s="68" t="s">
        <v>93</v>
      </c>
      <c r="Z366" s="68" t="s">
        <v>94</v>
      </c>
      <c r="AA366" s="68" t="s">
        <v>93</v>
      </c>
      <c r="AB366" s="68" t="s">
        <v>93</v>
      </c>
      <c r="AC366" s="68" t="s">
        <v>93</v>
      </c>
      <c r="AD366" s="68" t="s">
        <v>93</v>
      </c>
      <c r="AE366" s="68" t="s">
        <v>93</v>
      </c>
      <c r="AF366" s="68" t="s">
        <v>93</v>
      </c>
      <c r="AG366" s="68" t="s">
        <v>93</v>
      </c>
      <c r="AH366" s="68" t="s">
        <v>93</v>
      </c>
      <c r="AI366" s="68" t="s">
        <v>93</v>
      </c>
      <c r="AJ366" s="68" t="s">
        <v>93</v>
      </c>
      <c r="AK366" s="68" t="s">
        <v>93</v>
      </c>
      <c r="AL366" s="68" t="s">
        <v>93</v>
      </c>
      <c r="AM366" s="68" t="s">
        <v>93</v>
      </c>
      <c r="AN366" s="68" t="s">
        <v>93</v>
      </c>
      <c r="AO366" s="68" t="s">
        <v>93</v>
      </c>
      <c r="AP366" s="68" t="s">
        <v>93</v>
      </c>
      <c r="AQ366" s="68" t="s">
        <v>93</v>
      </c>
      <c r="AR366" s="68" t="s">
        <v>93</v>
      </c>
      <c r="AS366" s="68" t="s">
        <v>93</v>
      </c>
      <c r="AT366" s="68" t="s">
        <v>93</v>
      </c>
      <c r="AU366" s="68" t="s">
        <v>93</v>
      </c>
      <c r="AV366" s="68" t="s">
        <v>93</v>
      </c>
      <c r="AW366" s="68" t="s">
        <v>93</v>
      </c>
      <c r="AX366" s="68" t="s">
        <v>93</v>
      </c>
      <c r="AY366" s="68" t="s">
        <v>93</v>
      </c>
      <c r="AZ366" s="68" t="s">
        <v>93</v>
      </c>
      <c r="BA366" s="68" t="s">
        <v>93</v>
      </c>
      <c r="BB366" s="68" t="s">
        <v>93</v>
      </c>
      <c r="BC366" s="68" t="s">
        <v>93</v>
      </c>
      <c r="BD366" s="68" t="s">
        <v>93</v>
      </c>
      <c r="BE366" s="68" t="s">
        <v>93</v>
      </c>
      <c r="BF366" s="68" t="s">
        <v>93</v>
      </c>
      <c r="BG366" s="68" t="s">
        <v>93</v>
      </c>
      <c r="BH366" s="68" t="s">
        <v>93</v>
      </c>
      <c r="BI366" s="68" t="s">
        <v>93</v>
      </c>
      <c r="BJ366" s="68" t="s">
        <v>93</v>
      </c>
      <c r="BK366" s="68" t="s">
        <v>93</v>
      </c>
      <c r="BL366" s="68" t="s">
        <v>93</v>
      </c>
      <c r="BM366" s="68" t="s">
        <v>93</v>
      </c>
      <c r="BN366" s="68" t="s">
        <v>93</v>
      </c>
      <c r="BO366" s="68" t="s">
        <v>93</v>
      </c>
      <c r="BP366" s="69" t="s">
        <v>93</v>
      </c>
    </row>
    <row r="367" spans="2:68" x14ac:dyDescent="0.25">
      <c r="B367" s="64">
        <v>12</v>
      </c>
      <c r="C367" s="65">
        <v>52</v>
      </c>
      <c r="D367" s="65" t="s">
        <v>98</v>
      </c>
      <c r="E367" s="66">
        <f>'[3]Master File'!B366</f>
        <v>46380</v>
      </c>
      <c r="F367" s="67" t="str">
        <f>'[3]Master File'!C366</f>
        <v>WT Peak</v>
      </c>
      <c r="G367" s="46"/>
      <c r="I367" s="68" t="s">
        <v>93</v>
      </c>
      <c r="J367" s="68" t="s">
        <v>93</v>
      </c>
      <c r="K367" s="68" t="s">
        <v>93</v>
      </c>
      <c r="L367" s="68" t="s">
        <v>94</v>
      </c>
      <c r="M367" s="68" t="s">
        <v>93</v>
      </c>
      <c r="N367" s="68" t="s">
        <v>93</v>
      </c>
      <c r="O367" s="68" t="s">
        <v>93</v>
      </c>
      <c r="P367" s="68" t="s">
        <v>93</v>
      </c>
      <c r="Q367" s="68" t="s">
        <v>93</v>
      </c>
      <c r="R367" s="68" t="s">
        <v>93</v>
      </c>
      <c r="S367" s="68" t="s">
        <v>93</v>
      </c>
      <c r="T367" s="68" t="s">
        <v>93</v>
      </c>
      <c r="U367" s="68" t="s">
        <v>93</v>
      </c>
      <c r="V367" s="68" t="s">
        <v>93</v>
      </c>
      <c r="W367" s="68" t="s">
        <v>93</v>
      </c>
      <c r="X367" s="68" t="s">
        <v>93</v>
      </c>
      <c r="Y367" s="68" t="s">
        <v>93</v>
      </c>
      <c r="Z367" s="68" t="s">
        <v>94</v>
      </c>
      <c r="AA367" s="68" t="s">
        <v>93</v>
      </c>
      <c r="AB367" s="68" t="s">
        <v>93</v>
      </c>
      <c r="AC367" s="68" t="s">
        <v>93</v>
      </c>
      <c r="AD367" s="68" t="s">
        <v>93</v>
      </c>
      <c r="AE367" s="68" t="s">
        <v>93</v>
      </c>
      <c r="AF367" s="68" t="s">
        <v>93</v>
      </c>
      <c r="AG367" s="68" t="s">
        <v>93</v>
      </c>
      <c r="AH367" s="68" t="s">
        <v>93</v>
      </c>
      <c r="AI367" s="68" t="s">
        <v>93</v>
      </c>
      <c r="AJ367" s="68" t="s">
        <v>93</v>
      </c>
      <c r="AK367" s="68" t="s">
        <v>93</v>
      </c>
      <c r="AL367" s="68" t="s">
        <v>93</v>
      </c>
      <c r="AM367" s="68" t="s">
        <v>93</v>
      </c>
      <c r="AN367" s="68" t="s">
        <v>93</v>
      </c>
      <c r="AO367" s="68" t="s">
        <v>93</v>
      </c>
      <c r="AP367" s="68" t="s">
        <v>93</v>
      </c>
      <c r="AQ367" s="68" t="s">
        <v>93</v>
      </c>
      <c r="AR367" s="68" t="s">
        <v>93</v>
      </c>
      <c r="AS367" s="68" t="s">
        <v>93</v>
      </c>
      <c r="AT367" s="68" t="s">
        <v>93</v>
      </c>
      <c r="AU367" s="68" t="s">
        <v>93</v>
      </c>
      <c r="AV367" s="68" t="s">
        <v>93</v>
      </c>
      <c r="AW367" s="68" t="s">
        <v>93</v>
      </c>
      <c r="AX367" s="68" t="s">
        <v>93</v>
      </c>
      <c r="AY367" s="68" t="s">
        <v>93</v>
      </c>
      <c r="AZ367" s="68" t="s">
        <v>93</v>
      </c>
      <c r="BA367" s="68" t="s">
        <v>93</v>
      </c>
      <c r="BB367" s="68" t="s">
        <v>93</v>
      </c>
      <c r="BC367" s="68" t="s">
        <v>93</v>
      </c>
      <c r="BD367" s="68" t="s">
        <v>93</v>
      </c>
      <c r="BE367" s="68" t="s">
        <v>93</v>
      </c>
      <c r="BF367" s="68" t="s">
        <v>93</v>
      </c>
      <c r="BG367" s="68" t="s">
        <v>93</v>
      </c>
      <c r="BH367" s="68" t="s">
        <v>93</v>
      </c>
      <c r="BI367" s="68" t="s">
        <v>93</v>
      </c>
      <c r="BJ367" s="68" t="s">
        <v>93</v>
      </c>
      <c r="BK367" s="68" t="s">
        <v>93</v>
      </c>
      <c r="BL367" s="68" t="s">
        <v>93</v>
      </c>
      <c r="BM367" s="68" t="s">
        <v>93</v>
      </c>
      <c r="BN367" s="68" t="s">
        <v>93</v>
      </c>
      <c r="BO367" s="68" t="s">
        <v>93</v>
      </c>
      <c r="BP367" s="69" t="s">
        <v>93</v>
      </c>
    </row>
    <row r="368" spans="2:68" x14ac:dyDescent="0.25">
      <c r="B368" s="64">
        <v>12</v>
      </c>
      <c r="C368" s="65">
        <v>52</v>
      </c>
      <c r="D368" s="65" t="s">
        <v>99</v>
      </c>
      <c r="E368" s="66">
        <f>'[3]Master File'!B367</f>
        <v>46381</v>
      </c>
      <c r="F368" s="67" t="str">
        <f>'[3]Master File'!C367</f>
        <v>Closed</v>
      </c>
      <c r="G368" s="46"/>
      <c r="I368" s="68" t="s">
        <v>93</v>
      </c>
      <c r="J368" s="68" t="s">
        <v>93</v>
      </c>
      <c r="K368" s="68" t="s">
        <v>93</v>
      </c>
      <c r="L368" s="68" t="s">
        <v>94</v>
      </c>
      <c r="M368" s="68" t="s">
        <v>93</v>
      </c>
      <c r="N368" s="68" t="s">
        <v>93</v>
      </c>
      <c r="O368" s="68" t="s">
        <v>93</v>
      </c>
      <c r="P368" s="68" t="s">
        <v>93</v>
      </c>
      <c r="Q368" s="68" t="s">
        <v>93</v>
      </c>
      <c r="R368" s="68" t="s">
        <v>93</v>
      </c>
      <c r="S368" s="68" t="s">
        <v>93</v>
      </c>
      <c r="T368" s="68" t="s">
        <v>93</v>
      </c>
      <c r="U368" s="68" t="s">
        <v>93</v>
      </c>
      <c r="V368" s="68" t="s">
        <v>93</v>
      </c>
      <c r="W368" s="68" t="s">
        <v>93</v>
      </c>
      <c r="X368" s="68" t="s">
        <v>93</v>
      </c>
      <c r="Y368" s="68" t="s">
        <v>93</v>
      </c>
      <c r="Z368" s="68" t="s">
        <v>94</v>
      </c>
      <c r="AA368" s="68" t="s">
        <v>93</v>
      </c>
      <c r="AB368" s="68" t="s">
        <v>93</v>
      </c>
      <c r="AC368" s="68" t="s">
        <v>93</v>
      </c>
      <c r="AD368" s="68" t="s">
        <v>93</v>
      </c>
      <c r="AE368" s="68" t="s">
        <v>93</v>
      </c>
      <c r="AF368" s="68" t="s">
        <v>93</v>
      </c>
      <c r="AG368" s="68" t="s">
        <v>93</v>
      </c>
      <c r="AH368" s="68" t="s">
        <v>93</v>
      </c>
      <c r="AI368" s="68" t="s">
        <v>93</v>
      </c>
      <c r="AJ368" s="68" t="s">
        <v>93</v>
      </c>
      <c r="AK368" s="68" t="s">
        <v>93</v>
      </c>
      <c r="AL368" s="68" t="s">
        <v>93</v>
      </c>
      <c r="AM368" s="68" t="s">
        <v>93</v>
      </c>
      <c r="AN368" s="68" t="s">
        <v>93</v>
      </c>
      <c r="AO368" s="68" t="s">
        <v>93</v>
      </c>
      <c r="AP368" s="68" t="s">
        <v>93</v>
      </c>
      <c r="AQ368" s="68" t="s">
        <v>93</v>
      </c>
      <c r="AR368" s="68" t="s">
        <v>93</v>
      </c>
      <c r="AS368" s="68" t="s">
        <v>93</v>
      </c>
      <c r="AT368" s="68" t="s">
        <v>93</v>
      </c>
      <c r="AU368" s="68" t="s">
        <v>93</v>
      </c>
      <c r="AV368" s="68" t="s">
        <v>93</v>
      </c>
      <c r="AW368" s="68" t="s">
        <v>93</v>
      </c>
      <c r="AX368" s="68" t="s">
        <v>93</v>
      </c>
      <c r="AY368" s="68" t="s">
        <v>93</v>
      </c>
      <c r="AZ368" s="68" t="s">
        <v>93</v>
      </c>
      <c r="BA368" s="68" t="s">
        <v>93</v>
      </c>
      <c r="BB368" s="68" t="s">
        <v>93</v>
      </c>
      <c r="BC368" s="68" t="s">
        <v>93</v>
      </c>
      <c r="BD368" s="68" t="s">
        <v>93</v>
      </c>
      <c r="BE368" s="68" t="s">
        <v>93</v>
      </c>
      <c r="BF368" s="68" t="s">
        <v>93</v>
      </c>
      <c r="BG368" s="68" t="s">
        <v>93</v>
      </c>
      <c r="BH368" s="68" t="s">
        <v>93</v>
      </c>
      <c r="BI368" s="68" t="s">
        <v>93</v>
      </c>
      <c r="BJ368" s="68" t="s">
        <v>93</v>
      </c>
      <c r="BK368" s="68" t="s">
        <v>93</v>
      </c>
      <c r="BL368" s="68" t="s">
        <v>93</v>
      </c>
      <c r="BM368" s="68" t="s">
        <v>93</v>
      </c>
      <c r="BN368" s="68" t="s">
        <v>93</v>
      </c>
      <c r="BO368" s="68" t="s">
        <v>93</v>
      </c>
      <c r="BP368" s="69" t="s">
        <v>93</v>
      </c>
    </row>
    <row r="369" spans="2:68" x14ac:dyDescent="0.25">
      <c r="B369" s="64">
        <v>12</v>
      </c>
      <c r="C369" s="65">
        <v>52</v>
      </c>
      <c r="D369" s="65" t="s">
        <v>100</v>
      </c>
      <c r="E369" s="66">
        <f>'[3]Master File'!B368</f>
        <v>46382</v>
      </c>
      <c r="F369" s="67" t="str">
        <f>'[3]Master File'!C368</f>
        <v>Closed</v>
      </c>
      <c r="G369" s="46"/>
      <c r="I369" s="74" t="s">
        <v>93</v>
      </c>
      <c r="J369" s="74" t="s">
        <v>93</v>
      </c>
      <c r="K369" s="74" t="s">
        <v>93</v>
      </c>
      <c r="L369" s="68" t="s">
        <v>94</v>
      </c>
      <c r="M369" s="74" t="s">
        <v>93</v>
      </c>
      <c r="N369" s="74" t="s">
        <v>93</v>
      </c>
      <c r="O369" s="74" t="s">
        <v>93</v>
      </c>
      <c r="P369" s="74" t="s">
        <v>93</v>
      </c>
      <c r="Q369" s="74" t="s">
        <v>93</v>
      </c>
      <c r="R369" s="74" t="s">
        <v>93</v>
      </c>
      <c r="S369" s="74" t="s">
        <v>93</v>
      </c>
      <c r="T369" s="74" t="s">
        <v>93</v>
      </c>
      <c r="U369" s="74" t="s">
        <v>93</v>
      </c>
      <c r="V369" s="74" t="s">
        <v>93</v>
      </c>
      <c r="W369" s="74" t="s">
        <v>93</v>
      </c>
      <c r="X369" s="74" t="s">
        <v>93</v>
      </c>
      <c r="Y369" s="74" t="s">
        <v>93</v>
      </c>
      <c r="Z369" s="68" t="s">
        <v>94</v>
      </c>
      <c r="AA369" s="74" t="s">
        <v>93</v>
      </c>
      <c r="AB369" s="74" t="s">
        <v>93</v>
      </c>
      <c r="AC369" s="74" t="s">
        <v>93</v>
      </c>
      <c r="AD369" s="74" t="s">
        <v>94</v>
      </c>
      <c r="AE369" s="74" t="s">
        <v>94</v>
      </c>
      <c r="AF369" s="74" t="s">
        <v>93</v>
      </c>
      <c r="AG369" s="74" t="s">
        <v>93</v>
      </c>
      <c r="AH369" s="74" t="s">
        <v>93</v>
      </c>
      <c r="AI369" s="74" t="s">
        <v>93</v>
      </c>
      <c r="AJ369" s="74" t="s">
        <v>93</v>
      </c>
      <c r="AK369" s="74" t="s">
        <v>93</v>
      </c>
      <c r="AL369" s="74" t="s">
        <v>93</v>
      </c>
      <c r="AM369" s="74" t="s">
        <v>93</v>
      </c>
      <c r="AN369" s="74" t="s">
        <v>93</v>
      </c>
      <c r="AO369" s="74" t="s">
        <v>93</v>
      </c>
      <c r="AP369" s="74" t="s">
        <v>93</v>
      </c>
      <c r="AQ369" s="74" t="s">
        <v>93</v>
      </c>
      <c r="AR369" s="74" t="s">
        <v>93</v>
      </c>
      <c r="AS369" s="74" t="s">
        <v>93</v>
      </c>
      <c r="AT369" s="74" t="s">
        <v>93</v>
      </c>
      <c r="AU369" s="74" t="s">
        <v>93</v>
      </c>
      <c r="AV369" s="74" t="s">
        <v>93</v>
      </c>
      <c r="AW369" s="74" t="s">
        <v>93</v>
      </c>
      <c r="AX369" s="74" t="s">
        <v>93</v>
      </c>
      <c r="AY369" s="74" t="s">
        <v>93</v>
      </c>
      <c r="AZ369" s="74" t="s">
        <v>93</v>
      </c>
      <c r="BA369" s="74" t="s">
        <v>93</v>
      </c>
      <c r="BB369" s="74" t="s">
        <v>93</v>
      </c>
      <c r="BC369" s="74" t="s">
        <v>93</v>
      </c>
      <c r="BD369" s="74" t="s">
        <v>93</v>
      </c>
      <c r="BE369" s="74" t="s">
        <v>93</v>
      </c>
      <c r="BF369" s="74" t="s">
        <v>93</v>
      </c>
      <c r="BG369" s="74" t="s">
        <v>93</v>
      </c>
      <c r="BH369" s="74" t="s">
        <v>93</v>
      </c>
      <c r="BI369" s="74" t="s">
        <v>93</v>
      </c>
      <c r="BJ369" s="74" t="s">
        <v>93</v>
      </c>
      <c r="BK369" s="74" t="s">
        <v>93</v>
      </c>
      <c r="BL369" s="74" t="s">
        <v>93</v>
      </c>
      <c r="BM369" s="74" t="s">
        <v>93</v>
      </c>
      <c r="BN369" s="74" t="s">
        <v>93</v>
      </c>
      <c r="BO369" s="74" t="s">
        <v>93</v>
      </c>
      <c r="BP369" s="75" t="s">
        <v>93</v>
      </c>
    </row>
    <row r="370" spans="2:68" ht="15.75" thickBot="1" x14ac:dyDescent="0.3">
      <c r="I370" s="76"/>
      <c r="AM370" s="76"/>
    </row>
    <row r="371" spans="2:68" s="77" customFormat="1" x14ac:dyDescent="0.25">
      <c r="F371" s="78" t="s">
        <v>101</v>
      </c>
      <c r="I371" s="79">
        <f t="shared" ref="I371:BP371" si="1">COUNTIF(I6:I369,"Open")</f>
        <v>346</v>
      </c>
      <c r="J371" s="80">
        <f t="shared" si="1"/>
        <v>346</v>
      </c>
      <c r="K371" s="80">
        <f t="shared" si="1"/>
        <v>346</v>
      </c>
      <c r="L371" s="80">
        <f t="shared" si="1"/>
        <v>0</v>
      </c>
      <c r="M371" s="80">
        <f t="shared" si="1"/>
        <v>240</v>
      </c>
      <c r="N371" s="80">
        <f t="shared" si="1"/>
        <v>240</v>
      </c>
      <c r="O371" s="80">
        <f t="shared" si="1"/>
        <v>240</v>
      </c>
      <c r="P371" s="80">
        <f t="shared" si="1"/>
        <v>240</v>
      </c>
      <c r="Q371" s="80">
        <f t="shared" si="1"/>
        <v>346</v>
      </c>
      <c r="R371" s="80">
        <f t="shared" si="1"/>
        <v>346</v>
      </c>
      <c r="S371" s="80">
        <f t="shared" si="1"/>
        <v>346</v>
      </c>
      <c r="T371" s="80">
        <f t="shared" si="1"/>
        <v>332</v>
      </c>
      <c r="U371" s="80">
        <f t="shared" si="1"/>
        <v>346</v>
      </c>
      <c r="V371" s="80">
        <f t="shared" si="1"/>
        <v>346</v>
      </c>
      <c r="W371" s="80">
        <f t="shared" si="1"/>
        <v>364</v>
      </c>
      <c r="X371" s="80">
        <f t="shared" si="1"/>
        <v>346</v>
      </c>
      <c r="Y371" s="80">
        <f t="shared" si="1"/>
        <v>346</v>
      </c>
      <c r="Z371" s="80">
        <f t="shared" si="1"/>
        <v>0</v>
      </c>
      <c r="AA371" s="80">
        <f t="shared" si="1"/>
        <v>240</v>
      </c>
      <c r="AB371" s="80">
        <f t="shared" si="1"/>
        <v>346</v>
      </c>
      <c r="AC371" s="80">
        <f t="shared" si="1"/>
        <v>364</v>
      </c>
      <c r="AD371" s="80">
        <f t="shared" si="1"/>
        <v>260</v>
      </c>
      <c r="AE371" s="80">
        <f t="shared" si="1"/>
        <v>260</v>
      </c>
      <c r="AF371" s="80">
        <f t="shared" si="1"/>
        <v>364</v>
      </c>
      <c r="AG371" s="80">
        <f t="shared" si="1"/>
        <v>364</v>
      </c>
      <c r="AH371" s="80">
        <f t="shared" si="1"/>
        <v>364</v>
      </c>
      <c r="AI371" s="80">
        <f t="shared" si="1"/>
        <v>364</v>
      </c>
      <c r="AJ371" s="80">
        <f t="shared" si="1"/>
        <v>364</v>
      </c>
      <c r="AK371" s="80">
        <f t="shared" si="1"/>
        <v>364</v>
      </c>
      <c r="AL371" s="81">
        <f t="shared" si="1"/>
        <v>364</v>
      </c>
      <c r="AM371" s="79">
        <f t="shared" si="1"/>
        <v>364</v>
      </c>
      <c r="AN371" s="80">
        <f t="shared" si="1"/>
        <v>364</v>
      </c>
      <c r="AO371" s="80">
        <f t="shared" si="1"/>
        <v>364</v>
      </c>
      <c r="AP371" s="80">
        <f t="shared" si="1"/>
        <v>364</v>
      </c>
      <c r="AQ371" s="80">
        <f t="shared" si="1"/>
        <v>364</v>
      </c>
      <c r="AR371" s="80">
        <f t="shared" si="1"/>
        <v>364</v>
      </c>
      <c r="AS371" s="80">
        <f t="shared" si="1"/>
        <v>364</v>
      </c>
      <c r="AT371" s="80">
        <f t="shared" si="1"/>
        <v>364</v>
      </c>
      <c r="AU371" s="80">
        <f t="shared" si="1"/>
        <v>364</v>
      </c>
      <c r="AV371" s="80">
        <f t="shared" si="1"/>
        <v>364</v>
      </c>
      <c r="AW371" s="80">
        <f t="shared" si="1"/>
        <v>364</v>
      </c>
      <c r="AX371" s="80">
        <f t="shared" si="1"/>
        <v>364</v>
      </c>
      <c r="AY371" s="80">
        <f t="shared" si="1"/>
        <v>364</v>
      </c>
      <c r="AZ371" s="80">
        <f t="shared" si="1"/>
        <v>364</v>
      </c>
      <c r="BA371" s="80">
        <f t="shared" si="1"/>
        <v>364</v>
      </c>
      <c r="BB371" s="80">
        <f t="shared" si="1"/>
        <v>364</v>
      </c>
      <c r="BC371" s="80">
        <f t="shared" si="1"/>
        <v>364</v>
      </c>
      <c r="BD371" s="80">
        <f t="shared" si="1"/>
        <v>364</v>
      </c>
      <c r="BE371" s="80">
        <f t="shared" si="1"/>
        <v>364</v>
      </c>
      <c r="BF371" s="80">
        <f t="shared" si="1"/>
        <v>364</v>
      </c>
      <c r="BG371" s="80">
        <f t="shared" si="1"/>
        <v>364</v>
      </c>
      <c r="BH371" s="80">
        <f t="shared" si="1"/>
        <v>364</v>
      </c>
      <c r="BI371" s="80">
        <f t="shared" si="1"/>
        <v>364</v>
      </c>
      <c r="BJ371" s="80">
        <f t="shared" si="1"/>
        <v>364</v>
      </c>
      <c r="BK371" s="80">
        <f t="shared" si="1"/>
        <v>364</v>
      </c>
      <c r="BL371" s="80">
        <f t="shared" si="1"/>
        <v>364</v>
      </c>
      <c r="BM371" s="80">
        <f t="shared" si="1"/>
        <v>364</v>
      </c>
      <c r="BN371" s="80">
        <f t="shared" si="1"/>
        <v>364</v>
      </c>
      <c r="BO371" s="80">
        <f t="shared" si="1"/>
        <v>364</v>
      </c>
      <c r="BP371" s="81">
        <f t="shared" si="1"/>
        <v>364</v>
      </c>
    </row>
    <row r="372" spans="2:68" ht="15.75" thickBot="1" x14ac:dyDescent="0.3">
      <c r="F372" s="82" t="s">
        <v>102</v>
      </c>
      <c r="I372" s="83">
        <f t="shared" ref="I372:BP372" si="2">COUNTIF(I6:I369,"Closed")</f>
        <v>18</v>
      </c>
      <c r="J372" s="84">
        <f t="shared" si="2"/>
        <v>18</v>
      </c>
      <c r="K372" s="84">
        <f t="shared" si="2"/>
        <v>18</v>
      </c>
      <c r="L372" s="84">
        <f t="shared" si="2"/>
        <v>364</v>
      </c>
      <c r="M372" s="84">
        <f t="shared" si="2"/>
        <v>124</v>
      </c>
      <c r="N372" s="84">
        <f t="shared" si="2"/>
        <v>124</v>
      </c>
      <c r="O372" s="84">
        <f t="shared" si="2"/>
        <v>124</v>
      </c>
      <c r="P372" s="84">
        <f t="shared" si="2"/>
        <v>124</v>
      </c>
      <c r="Q372" s="84">
        <f t="shared" si="2"/>
        <v>18</v>
      </c>
      <c r="R372" s="84">
        <f t="shared" si="2"/>
        <v>18</v>
      </c>
      <c r="S372" s="84">
        <f t="shared" si="2"/>
        <v>18</v>
      </c>
      <c r="T372" s="84">
        <f t="shared" si="2"/>
        <v>32</v>
      </c>
      <c r="U372" s="84">
        <f t="shared" si="2"/>
        <v>18</v>
      </c>
      <c r="V372" s="84">
        <f t="shared" si="2"/>
        <v>18</v>
      </c>
      <c r="W372" s="84">
        <f t="shared" si="2"/>
        <v>0</v>
      </c>
      <c r="X372" s="84">
        <f t="shared" si="2"/>
        <v>18</v>
      </c>
      <c r="Y372" s="84">
        <f t="shared" si="2"/>
        <v>18</v>
      </c>
      <c r="Z372" s="84">
        <f t="shared" si="2"/>
        <v>364</v>
      </c>
      <c r="AA372" s="84">
        <f t="shared" si="2"/>
        <v>124</v>
      </c>
      <c r="AB372" s="84">
        <f t="shared" si="2"/>
        <v>18</v>
      </c>
      <c r="AC372" s="84">
        <f t="shared" si="2"/>
        <v>0</v>
      </c>
      <c r="AD372" s="84">
        <f t="shared" si="2"/>
        <v>104</v>
      </c>
      <c r="AE372" s="84">
        <f t="shared" si="2"/>
        <v>104</v>
      </c>
      <c r="AF372" s="84">
        <f t="shared" si="2"/>
        <v>0</v>
      </c>
      <c r="AG372" s="84">
        <f t="shared" si="2"/>
        <v>0</v>
      </c>
      <c r="AH372" s="84">
        <f t="shared" si="2"/>
        <v>0</v>
      </c>
      <c r="AI372" s="84">
        <f t="shared" si="2"/>
        <v>0</v>
      </c>
      <c r="AJ372" s="84">
        <f t="shared" si="2"/>
        <v>0</v>
      </c>
      <c r="AK372" s="84">
        <f t="shared" si="2"/>
        <v>0</v>
      </c>
      <c r="AL372" s="85">
        <f t="shared" si="2"/>
        <v>0</v>
      </c>
      <c r="AM372" s="83">
        <f t="shared" si="2"/>
        <v>0</v>
      </c>
      <c r="AN372" s="84">
        <f t="shared" si="2"/>
        <v>0</v>
      </c>
      <c r="AO372" s="84">
        <f t="shared" si="2"/>
        <v>0</v>
      </c>
      <c r="AP372" s="84">
        <f t="shared" si="2"/>
        <v>0</v>
      </c>
      <c r="AQ372" s="84">
        <f t="shared" si="2"/>
        <v>0</v>
      </c>
      <c r="AR372" s="84">
        <f t="shared" si="2"/>
        <v>0</v>
      </c>
      <c r="AS372" s="84">
        <f t="shared" si="2"/>
        <v>0</v>
      </c>
      <c r="AT372" s="84">
        <f t="shared" si="2"/>
        <v>0</v>
      </c>
      <c r="AU372" s="84">
        <f t="shared" si="2"/>
        <v>0</v>
      </c>
      <c r="AV372" s="84">
        <f t="shared" si="2"/>
        <v>0</v>
      </c>
      <c r="AW372" s="84">
        <f t="shared" si="2"/>
        <v>0</v>
      </c>
      <c r="AX372" s="84">
        <f t="shared" si="2"/>
        <v>0</v>
      </c>
      <c r="AY372" s="84">
        <f t="shared" si="2"/>
        <v>0</v>
      </c>
      <c r="AZ372" s="84">
        <f t="shared" si="2"/>
        <v>0</v>
      </c>
      <c r="BA372" s="84">
        <f t="shared" si="2"/>
        <v>0</v>
      </c>
      <c r="BB372" s="84">
        <f t="shared" si="2"/>
        <v>0</v>
      </c>
      <c r="BC372" s="84">
        <f t="shared" si="2"/>
        <v>0</v>
      </c>
      <c r="BD372" s="84">
        <f t="shared" si="2"/>
        <v>0</v>
      </c>
      <c r="BE372" s="84">
        <f t="shared" si="2"/>
        <v>0</v>
      </c>
      <c r="BF372" s="84">
        <f t="shared" si="2"/>
        <v>0</v>
      </c>
      <c r="BG372" s="84">
        <f t="shared" si="2"/>
        <v>0</v>
      </c>
      <c r="BH372" s="84">
        <f t="shared" si="2"/>
        <v>0</v>
      </c>
      <c r="BI372" s="84">
        <f t="shared" si="2"/>
        <v>0</v>
      </c>
      <c r="BJ372" s="84">
        <f t="shared" si="2"/>
        <v>0</v>
      </c>
      <c r="BK372" s="84">
        <f t="shared" si="2"/>
        <v>0</v>
      </c>
      <c r="BL372" s="84">
        <f t="shared" si="2"/>
        <v>0</v>
      </c>
      <c r="BM372" s="84">
        <f t="shared" si="2"/>
        <v>0</v>
      </c>
      <c r="BN372" s="84">
        <f t="shared" si="2"/>
        <v>0</v>
      </c>
      <c r="BO372" s="84">
        <f t="shared" si="2"/>
        <v>0</v>
      </c>
      <c r="BP372" s="85">
        <f t="shared" si="2"/>
        <v>0</v>
      </c>
    </row>
  </sheetData>
  <mergeCells count="1">
    <mergeCell ref="B2:F2"/>
  </mergeCells>
  <conditionalFormatting sqref="I6:BP369">
    <cfRule type="containsText" dxfId="36" priority="37" operator="containsText" text="Closed">
      <formula>NOT(ISERROR(SEARCH("Closed",I6)))</formula>
    </cfRule>
  </conditionalFormatting>
  <conditionalFormatting sqref="AA6:AA55 AA318:AA365 AA170:AA314 J92:R93 J84:R86 T84:Z86 T92:Z93 AA368:AA369 AA58:AA167 M6:P55 M58:P83 M87:P91 M94:P129">
    <cfRule type="cellIs" dxfId="35" priority="36" operator="equal">
      <formula>"Closed"</formula>
    </cfRule>
  </conditionalFormatting>
  <conditionalFormatting sqref="AB7:AB167 AB207:AB365 AB180:AB181 AB173:AB174 AB368:AB369">
    <cfRule type="cellIs" dxfId="34" priority="35" operator="equal">
      <formula>"Closed"</formula>
    </cfRule>
  </conditionalFormatting>
  <conditionalFormatting sqref="AC68:AD70 AC60:AD63 AD58:AD59 AC75:AD76 AC6:AD41 AD64:AD67 AD71:AD74 AD77:AD79 AC45:AD57 AD42:AD44 AC326:AD328 AC322:AC325 AC335:AD365 AC80:AD321 AC329:AC334 AD333:AE334 AC368:AD369">
    <cfRule type="cellIs" dxfId="33" priority="34" operator="equal">
      <formula>"Closed"</formula>
    </cfRule>
  </conditionalFormatting>
  <conditionalFormatting sqref="AB6">
    <cfRule type="cellIs" dxfId="32" priority="33" operator="equal">
      <formula>"Closed"</formula>
    </cfRule>
  </conditionalFormatting>
  <conditionalFormatting sqref="AC71:AC74">
    <cfRule type="containsText" dxfId="31" priority="32" operator="containsText" text="Closed">
      <formula>NOT(ISERROR(SEARCH("Closed",AC71)))</formula>
    </cfRule>
  </conditionalFormatting>
  <conditionalFormatting sqref="AC64:AC67">
    <cfRule type="containsText" dxfId="30" priority="31" operator="containsText" text="Closed">
      <formula>NOT(ISERROR(SEARCH("Closed",AC64)))</formula>
    </cfRule>
  </conditionalFormatting>
  <conditionalFormatting sqref="AC58:AC59">
    <cfRule type="containsText" dxfId="29" priority="30" operator="containsText" text="Closed">
      <formula>NOT(ISERROR(SEARCH("Closed",AC58)))</formula>
    </cfRule>
  </conditionalFormatting>
  <conditionalFormatting sqref="AA56:AA57">
    <cfRule type="containsText" dxfId="28" priority="29" operator="containsText" text="Closed">
      <formula>NOT(ISERROR(SEARCH("Closed",AA56)))</formula>
    </cfRule>
  </conditionalFormatting>
  <conditionalFormatting sqref="AC77:AC79">
    <cfRule type="containsText" dxfId="27" priority="28" operator="containsText" text="Closed">
      <formula>NOT(ISERROR(SEARCH("Closed",AC77)))</formula>
    </cfRule>
  </conditionalFormatting>
  <conditionalFormatting sqref="AF134:AF137 AF140:AF144 AF147:AF148 AF128:AF130">
    <cfRule type="cellIs" dxfId="26" priority="27" operator="equal">
      <formula>"Closed"</formula>
    </cfRule>
  </conditionalFormatting>
  <conditionalFormatting sqref="AF149:AF151">
    <cfRule type="cellIs" dxfId="25" priority="26" operator="equal">
      <formula>"Closed"</formula>
    </cfRule>
  </conditionalFormatting>
  <conditionalFormatting sqref="AG128:AG130">
    <cfRule type="cellIs" dxfId="24" priority="25" operator="equal">
      <formula>"Closed"</formula>
    </cfRule>
  </conditionalFormatting>
  <conditionalFormatting sqref="AG134:AI137 AH140:AI144 AH147:AI151">
    <cfRule type="cellIs" dxfId="23" priority="24" operator="equal">
      <formula>"Closed"</formula>
    </cfRule>
  </conditionalFormatting>
  <conditionalFormatting sqref="AG140:AG144">
    <cfRule type="cellIs" dxfId="22" priority="23" operator="equal">
      <formula>"Closed"</formula>
    </cfRule>
  </conditionalFormatting>
  <conditionalFormatting sqref="AG147:AG151">
    <cfRule type="cellIs" dxfId="21" priority="22" operator="equal">
      <formula>"Closed"</formula>
    </cfRule>
  </conditionalFormatting>
  <conditionalFormatting sqref="AB182:AB206">
    <cfRule type="containsText" dxfId="20" priority="21" operator="containsText" text="Closed">
      <formula>NOT(ISERROR(SEARCH("Closed",AB182)))</formula>
    </cfRule>
  </conditionalFormatting>
  <conditionalFormatting sqref="AB175:AB179">
    <cfRule type="containsText" dxfId="19" priority="20" operator="containsText" text="Closed">
      <formula>NOT(ISERROR(SEARCH("Closed",AB175)))</formula>
    </cfRule>
  </conditionalFormatting>
  <conditionalFormatting sqref="AB169:AB172">
    <cfRule type="containsText" dxfId="18" priority="19" operator="containsText" text="Closed">
      <formula>NOT(ISERROR(SEARCH("Closed",AB169)))</formula>
    </cfRule>
  </conditionalFormatting>
  <conditionalFormatting sqref="AC42:AC44">
    <cfRule type="containsText" dxfId="17" priority="18" operator="containsText" text="Closed">
      <formula>NOT(ISERROR(SEARCH("Closed",AC42)))</formula>
    </cfRule>
  </conditionalFormatting>
  <conditionalFormatting sqref="AD322:AD325">
    <cfRule type="containsText" dxfId="16" priority="17" operator="containsText" text="Closed">
      <formula>NOT(ISERROR(SEARCH("Closed",AD322)))</formula>
    </cfRule>
  </conditionalFormatting>
  <conditionalFormatting sqref="AD329:AD331">
    <cfRule type="containsText" dxfId="15" priority="16" operator="containsText" text="Closed">
      <formula>NOT(ISERROR(SEARCH("Closed",AD329)))</formula>
    </cfRule>
  </conditionalFormatting>
  <conditionalFormatting sqref="AA315:AA317">
    <cfRule type="containsText" dxfId="14" priority="15" operator="containsText" text="Closed">
      <formula>NOT(ISERROR(SEARCH("Closed",AA315)))</formula>
    </cfRule>
  </conditionalFormatting>
  <conditionalFormatting sqref="AD332">
    <cfRule type="containsText" dxfId="13" priority="14" operator="containsText" text="Closed">
      <formula>NOT(ISERROR(SEARCH("Closed",AD332)))</formula>
    </cfRule>
  </conditionalFormatting>
  <conditionalFormatting sqref="AH266:AH365 AH252:AI256 AH259:AI263 AI315:AI365 AI266:AI298 AH368:AI369">
    <cfRule type="cellIs" dxfId="12" priority="13" operator="equal">
      <formula>"Closed"</formula>
    </cfRule>
  </conditionalFormatting>
  <conditionalFormatting sqref="AF112:AG116 AF119:AG123 AF126:AG127 AF6:AG95">
    <cfRule type="cellIs" dxfId="11" priority="12" operator="equal">
      <formula>"Closed"</formula>
    </cfRule>
  </conditionalFormatting>
  <conditionalFormatting sqref="AF138:AF139">
    <cfRule type="containsText" dxfId="10" priority="11" operator="containsText" text="Closed">
      <formula>NOT(ISERROR(SEARCH("Closed",AF138)))</formula>
    </cfRule>
  </conditionalFormatting>
  <conditionalFormatting sqref="AF145:AF146">
    <cfRule type="containsText" dxfId="9" priority="10" operator="containsText" text="Closed">
      <formula>NOT(ISERROR(SEARCH("Closed",AF145)))</formula>
    </cfRule>
  </conditionalFormatting>
  <conditionalFormatting sqref="AF96:AF111">
    <cfRule type="containsText" dxfId="8" priority="9" operator="containsText" text="Closed">
      <formula>NOT(ISERROR(SEARCH("Closed",AF96)))</formula>
    </cfRule>
  </conditionalFormatting>
  <conditionalFormatting sqref="AF117:AG118">
    <cfRule type="containsText" dxfId="7" priority="8" operator="containsText" text="Closed">
      <formula>NOT(ISERROR(SEARCH("Closed",AF117)))</formula>
    </cfRule>
  </conditionalFormatting>
  <conditionalFormatting sqref="AF124:AG125">
    <cfRule type="containsText" dxfId="6" priority="7" operator="containsText" text="Closed">
      <formula>NOT(ISERROR(SEARCH("Closed",AF124)))</formula>
    </cfRule>
  </conditionalFormatting>
  <conditionalFormatting sqref="AA168:AA169 AB168">
    <cfRule type="containsText" dxfId="5" priority="6" operator="containsText" text="Closed">
      <formula>NOT(ISERROR(SEARCH("Closed",AA168)))</formula>
    </cfRule>
  </conditionalFormatting>
  <conditionalFormatting sqref="Z6">
    <cfRule type="cellIs" dxfId="4" priority="5" operator="equal">
      <formula>"Closed"</formula>
    </cfRule>
  </conditionalFormatting>
  <conditionalFormatting sqref="Z7:Z369">
    <cfRule type="cellIs" dxfId="3" priority="4" operator="equal">
      <formula>"Closed"</formula>
    </cfRule>
  </conditionalFormatting>
  <conditionalFormatting sqref="M56:M57">
    <cfRule type="containsText" dxfId="2" priority="3" operator="containsText" text="Closed">
      <formula>NOT(ISERROR(SEARCH("Closed",M56)))</formula>
    </cfRule>
  </conditionalFormatting>
  <conditionalFormatting sqref="N56:P57">
    <cfRule type="containsText" dxfId="1" priority="2" operator="containsText" text="Closed">
      <formula>NOT(ISERROR(SEARCH("Closed",N56)))</formula>
    </cfRule>
  </conditionalFormatting>
  <conditionalFormatting sqref="T287:T300">
    <cfRule type="cellIs" dxfId="0" priority="1" operator="equal">
      <formula>"Closed"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Scheduling</vt:lpstr>
      <vt:lpstr>Closed 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Eesa Gurling</dc:creator>
  <cp:lastModifiedBy>Eesa Gurling</cp:lastModifiedBy>
  <dcterms:created xsi:type="dcterms:W3CDTF">2026-01-25T09:16:47Z</dcterms:created>
  <dcterms:modified xsi:type="dcterms:W3CDTF">2026-03-17T12:06:02Z</dcterms:modified>
</cp:coreProperties>
</file>